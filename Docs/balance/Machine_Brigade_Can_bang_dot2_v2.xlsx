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ục lục" sheetId="1" state="visible" r:id="rId3"/>
    <sheet name="Quy tắc" sheetId="2" state="visible" r:id="rId4"/>
    <sheet name="Quyết định" sheetId="3" state="visible" r:id="rId5"/>
    <sheet name="Manifest" sheetId="4" state="visible" r:id="rId6"/>
    <sheet name="Gói" sheetId="5" state="visible" r:id="rId7"/>
    <sheet name="Hệ số" sheetId="6" state="visible" r:id="rId8"/>
    <sheet name="Tính toán" sheetId="7" state="visible" r:id="rId9"/>
    <sheet name="Máy bay – số phát" sheetId="8" state="visible" r:id="rId10"/>
    <sheet name="Pháo sáng" sheetId="9" state="visible" r:id="rId11"/>
    <sheet name="APS" sheetId="10" state="visible" r:id="rId12"/>
    <sheet name="Vũ khí dùng chung" sheetId="11" state="visible" r:id="rId13"/>
    <sheet name="Gungnir" sheetId="12" state="visible" r:id="rId14"/>
    <sheet name="CHECK" sheetId="13" state="visible" r:id="rId15"/>
    <sheet name="Ngân sách thực thể" sheetId="14" state="visible" r:id="rId16"/>
    <sheet name="So với v1" sheetId="15" state="visible" r:id="rId17"/>
  </sheets>
  <definedNames>
    <definedName function="false" hidden="true" localSheetId="9" name="_xlnm._FilterDatabase" vbProcedure="false">APS!$A$3:$M$13</definedName>
    <definedName function="false" hidden="true" localSheetId="12" name="_xlnm._FilterDatabase" vbProcedure="false">CHECK!$A$3:$E$19</definedName>
    <definedName function="false" hidden="true" localSheetId="4" name="_xlnm._FilterDatabase" vbProcedure="false">Gói!$A$1:$F$158</definedName>
    <definedName function="false" hidden="true" localSheetId="11" name="_xlnm._FilterDatabase" vbProcedure="false">Gungnir!$A$1:$C$12</definedName>
    <definedName function="false" hidden="true" localSheetId="3" name="_xlnm._FilterDatabase" vbProcedure="false">Manifest!$A$3:$R$366</definedName>
    <definedName function="false" hidden="true" localSheetId="13" name="_xlnm._FilterDatabase" vbProcedure="false">'Ngân sách thực thể'!$A$3:$E$16</definedName>
    <definedName function="false" hidden="true" localSheetId="8" name="_xlnm._FilterDatabase" vbProcedure="false">'Pháo sáng'!$A$3:$J$26</definedName>
    <definedName function="false" hidden="true" localSheetId="1" name="_xlnm._FilterDatabase" vbProcedure="false">'Quy tắc'!$A$1:$B$12</definedName>
    <definedName function="false" hidden="true" localSheetId="2" name="_xlnm._FilterDatabase" vbProcedure="false">'Quyết định'!$A$1:$E$10</definedName>
    <definedName function="false" hidden="true" localSheetId="14" name="_xlnm._FilterDatabase" vbProcedure="false">'So với v1'!$A$1:$C$18</definedName>
    <definedName function="false" hidden="true" localSheetId="6" name="_xlnm._FilterDatabase" vbProcedure="false">'Tính toán'!$A$1:$Q$101</definedName>
    <definedName function="false" hidden="true" localSheetId="10" name="_xlnm._FilterDatabase" vbProcedure="false">'Vũ khí dùng chung'!$A$3:$F$15</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I51" authorId="0">
      <text>
        <r>
          <rPr>
            <sz val="10"/>
            <rFont val="Arial"/>
            <family val="2"/>
          </rPr>
          <t xml:space="preserve">known_good trước khi dòng "Xem lại" đợt 1 bị áp nhầm (dot2 v1 &gt; Kiểm tra nhanh)</t>
        </r>
      </text>
    </comment>
    <comment ref="I80" authorId="0">
      <text>
        <r>
          <rPr>
            <sz val="10"/>
            <rFont val="Arial"/>
            <family val="2"/>
          </rPr>
          <t xml:space="preserve">known_good trước khi dòng "Xem lại" đợt 1 bị áp nhầm (dot2 v1 &gt; Kiểm tra nhanh)</t>
        </r>
      </text>
    </comment>
    <comment ref="I83" authorId="0">
      <text>
        <r>
          <rPr>
            <sz val="10"/>
            <rFont val="Arial"/>
            <family val="2"/>
          </rPr>
          <t xml:space="preserve">known_good trước khi dòng "Xem lại" đợt 1 bị áp nhầm (dot2 v1 &gt; Kiểm tra nhanh)</t>
        </r>
      </text>
    </comment>
    <comment ref="K43" authorId="0">
      <text>
        <r>
          <rPr>
            <sz val="10"/>
            <rFont val="Arial"/>
            <family val="2"/>
          </rPr>
          <t xml:space="preserve">D8: dải 4–8 phát Buk hiệu dụng (cường kích/đi qua); công thức giá cho 1.770 là dưới dải</t>
        </r>
      </text>
    </comment>
    <comment ref="K51" authorId="0">
      <text>
        <r>
          <rPr>
            <sz val="10"/>
            <rFont val="Arial"/>
            <family val="2"/>
          </rPr>
          <t xml:space="preserve">D4/D8: 12 phát Buk hiệu dụng, mép trên dải 8–12 (máy bay ở lại lâu, không còn rút về sửa); thay cho 6.045 theo công thức giá</t>
        </r>
      </text>
    </comment>
  </commentList>
</comments>
</file>

<file path=xl/sharedStrings.xml><?xml version="1.0" encoding="utf-8"?>
<sst xmlns="http://schemas.openxmlformats.org/spreadsheetml/2006/main" count="6719" uniqueCount="1430">
  <si>
    <t xml:space="preserve">Machine Brigade — Cân bằng đợt 2, bản v2 (2026-10-02)</t>
  </si>
  <si>
    <t xml:space="preserve">Bản này thay hoàn toàn Machine_Brigade_Can_bang_dot2.xlsx. Agent chỉ đọc sheet Manifest để sửa dữ liệu; mọi sheet khác là giải thích hoặc công thức. Đợt này thuần lý thuyết: không chạy mô phỏng, test trong game hay đo FPS.</t>
  </si>
  <si>
    <t xml:space="preserve">Sheet</t>
  </si>
  <si>
    <t xml:space="preserve">Nội dung</t>
  </si>
  <si>
    <t xml:space="preserve">Quy tắc</t>
  </si>
  <si>
    <t xml:space="preserve">Luật bắt buộc cho agent: trạng thái, kiểm tra trước khi áp, gói, làm tròn, baseCP, vũ khí dùng chung</t>
  </si>
  <si>
    <t xml:space="preserve">Quyết định</t>
  </si>
  <si>
    <t xml:space="preserve">D1–D9 đã chốt (thay cho danh sách DECIDE), lý do, gói bị ảnh hưởng</t>
  </si>
  <si>
    <t xml:space="preserve">Manifest</t>
  </si>
  <si>
    <t xml:space="preserve">NGUỒN DUY NHẤT để agent sửa dữ liệu. Chỉ dòng FIX/APPLY được áp</t>
  </si>
  <si>
    <t xml:space="preserve">Gói</t>
  </si>
  <si>
    <t xml:space="preserve">Danh sách gói, phụ thuộc, có cần viết code không</t>
  </si>
  <si>
    <t xml:space="preserve">Hệ số</t>
  </si>
  <si>
    <t xml:space="preserve">Tham số đầu vào (chữ xanh) của sheet Tính toán</t>
  </si>
  <si>
    <t xml:space="preserve">Tính toán</t>
  </si>
  <si>
    <t xml:space="preserve">Công thức sống: CP mới, máu, thưởng, hệ số sát thương, thả dù cho 100 xe. Manifest là bản đóng băng của sheet này</t>
  </si>
  <si>
    <t xml:space="preserve">Máy bay – số phát</t>
  </si>
  <si>
    <t xml:space="preserve">Số phát để hạ theo vũ khí phòng không tham chiếu và dải mục tiêu (thay sàn máu và cột Typhon/Icarus)</t>
  </si>
  <si>
    <t xml:space="preserve">Pháo sáng</t>
  </si>
  <si>
    <t xml:space="preserve">Chuyển đổi 23 máy bay/trực thăng từ hồi chiêu sang số lần</t>
  </si>
  <si>
    <t xml:space="preserve">APS</t>
  </si>
  <si>
    <t xml:space="preserve">SELF_APS và POINT_DEFENSE; khả năng gắn Trophy theo xe</t>
  </si>
  <si>
    <t xml:space="preserve">Vũ khí dùng chung</t>
  </si>
  <si>
    <t xml:space="preserve">Vì sao hệ số DPS phải đặt ở xe, không sửa vũ khí</t>
  </si>
  <si>
    <t xml:space="preserve">Gungnir</t>
  </si>
  <si>
    <t xml:space="preserve">Gói nâng Gungnir lên boss chủ lực</t>
  </si>
  <si>
    <t xml:space="preserve">CHECK</t>
  </si>
  <si>
    <t xml:space="preserve">Việc agent phải đọc code/dữ liệu và báo cáo, không sửa</t>
  </si>
  <si>
    <t xml:space="preserve">Ngân sách thực thể</t>
  </si>
  <si>
    <t xml:space="preserve">Nguồn thực thể: đã có giới hạn / chưa có giới hạn</t>
  </si>
  <si>
    <t xml:space="preserve">So với v1</t>
  </si>
  <si>
    <t xml:space="preserve">Những gì đổi so với Machine_Brigade_Can_bang_dot2.xlsx</t>
  </si>
  <si>
    <t xml:space="preserve">Màu trạng thái</t>
  </si>
  <si>
    <t xml:space="preserve">FIX</t>
  </si>
  <si>
    <t xml:space="preserve">APPLY</t>
  </si>
  <si>
    <t xml:space="preserve">DECIDE</t>
  </si>
  <si>
    <t xml:space="preserve">HOLD</t>
  </si>
  <si>
    <t xml:space="preserve">REJECT</t>
  </si>
  <si>
    <t xml:space="preserve">Mã</t>
  </si>
  <si>
    <t xml:space="preserve">Luật</t>
  </si>
  <si>
    <t xml:space="preserve">R1 Trạng thái</t>
  </si>
  <si>
    <t xml:space="preserve">FIX = phục hồi giá trị đã biết là đúng (known_good). APPLY = thay đổi đã duyệt. DECIDE = chờ chủ dự án. HOLD = chờ dữ liệu/đo. CHECK = đọc và báo cáo, không sửa. REJECT = bỏ. Agent CHỈ sửa dữ liệu theo FIX và APPLY. Ô trống hoặc mã lạ = bỏ qua (fail closed).</t>
  </si>
  <si>
    <t xml:space="preserve">R2 Kiểm tra trước khi áp</t>
  </si>
  <si>
    <t xml:space="preserve">Với mỗi dòng: hiện tại == new_value → ALREADY_APPLIED; hiện tại == expected_before (trong tolerance) → OK; khác → CONFLICT. Một dòng CONFLICT → bỏ cả gói và ghi log. Gói có cả OK và ALREADY_APPLIED vẫn áp nhưng ghi cảnh báo "gói từng bị áp dở".</t>
  </si>
  <si>
    <t xml:space="preserve">R3 Gói nguyên vẹn</t>
  </si>
  <si>
    <t xml:space="preserve">Mọi dòng cùng bundle_id áp cùng một commit hoặc không áp. Gói có depends_on chỉ áp khi các gói phụ thuộc đã áp xong (hoặc ALREADY_APPLIED). Không áp nửa gói của một xe.</t>
  </si>
  <si>
    <t xml:space="preserve">R4 Không đọc văn xuôi</t>
  </si>
  <si>
    <t xml:space="preserve">Agent không được đọc chuỗi kiểu "2352 → 6000" ở cột reason/derivation để sửa dữ liệu. Chỉ dùng entity_id, field_path, expected_before, new_value.</t>
  </si>
  <si>
    <t xml:space="preserve">R5 field_path là đường dẫn logic</t>
  </si>
  <si>
    <t xml:space="preserve">field_path (units.&lt;id&gt;.hp, units.&lt;id&gt;.cost…) là tên logic. Việc đầu tiên (CHECK C01) là lập bảng ánh xạ field_path → khóa thật trong balance.json/campaign.json. Trường nào không ánh xạ được thì gói đó CONFLICT, không đoán.</t>
  </si>
  <si>
    <t xml:space="preserve">R6 Làm tròn</t>
  </si>
  <si>
    <t xml:space="preserve">Một hàm chung ROUND_HALF_UP cho mọi CP suy ra (10 × 1,25 = 12,5 → 13). Máu làm tròn tới 10 bằng cùng kiểu. Không dùng round() của Python (làm tròn về số chẵn).</t>
  </si>
  <si>
    <t xml:space="preserve">R7 baseCP và chi phí gọi</t>
  </si>
  <si>
    <t xml:space="preserve">baseCP là giá gốc của thẻ sau định giá lại. runtimeCallCost là giá sau giảm giá hạng thẻ. Nhóm thưởng, thời gian thả dù, giá trị tiếp tế, phân loại cân bằng đều dùng baseCP. Không thẻ nào đổi nhóm vì giảm giá hạng thẻ.</t>
  </si>
  <si>
    <t xml:space="preserve">R8 Vũ khí dùng chung</t>
  </si>
  <si>
    <t xml:space="preserve">Cân bằng theo xe dùng units.&lt;id&gt;.outgoingDamageMult (nhân sát thương mọi vũ khí của xe đó). Không sửa vũ khí có scope=shared_weapon trừ khi manifest ghi rõ scope=shared_weapon. Test sau khi áp: mọi dòng scope=unit thì JSON vũ khí phải giữ nguyên byte-for-byte; nếu một vũ khí dùng chung đổi, liệt kê mọi xe mang nó.</t>
  </si>
  <si>
    <t xml:space="preserve">R9 Đơn vị</t>
  </si>
  <si>
    <t xml:space="preserve">So sánh sau khi chuẩn hóa đơn vị (cột unit). Tốc độ xoay: dữ liệu °/s, mã rad/s; test hồi quy bảo đảm tài liệu không in rad/s dưới nhãn °/s.</t>
  </si>
  <si>
    <t xml:space="preserve">R10 Số đo</t>
  </si>
  <si>
    <t xml:space="preserve">Bảng kết quả hiện tại chỉ dùng số đo có cùng hash balance.json, campaign.json, build, commit, phiên bản luật. Số đo lệch hash chuyển sang phụ lục "Lịch sử đo". Đợt này không chạy đo.</t>
  </si>
  <si>
    <t xml:space="preserve">R11 Nhổ lan</t>
  </si>
  <si>
    <t xml:space="preserve">Đơn vị nổ lan (cột AoE ở sheet Tính toán) nhận phần hệ số theo giá ngay, phần thưởng sức mạnh ở gói B5 (HOLD) cho tới khi có thước đo nổ lan.</t>
  </si>
  <si>
    <t xml:space="preserve">Vấn đề</t>
  </si>
  <si>
    <t xml:space="preserve">Đã chốt</t>
  </si>
  <si>
    <t xml:space="preserve">Lý do</t>
  </si>
  <si>
    <t xml:space="preserve">D1</t>
  </si>
  <si>
    <t xml:space="preserve">Nâng lên boss chủ lực: siêu vũ khí chu kỳ 45 s, targetingMode=GLOBAL, đòn pháo điện từ xuyên tuyến theo mô tả (xuyên tối đa 5 xe × 1.000, nổ cuối 2.000 lõi 12 m, rìa 20 m), máu theo công thức boss chủ lực chương 11.</t>
  </si>
  <si>
    <t xml:space="preserve">Là trận cuối của Orlov; giữ được cảm giác "khẩu pháo bắn khắp bản đồ"; luật "mini boss không có siêu vũ khí" được giữ nguyên.</t>
  </si>
  <si>
    <t xml:space="preserve">G1</t>
  </si>
  <si>
    <t xml:space="preserve">D2</t>
  </si>
  <si>
    <t xml:space="preserve">Cách chỉnh DPS theo xe</t>
  </si>
  <si>
    <t xml:space="preserve">Thêm units.&lt;id&gt;.outgoingDamageMult. Bỏ luật "không đẩy sát thương mỗi phát ra ngoài thang cỡ nòng" của dot2 v1, chỉ cho hệ số này.</t>
  </si>
  <si>
    <t xml:space="preserve">Không tăng số đạn và hiệu ứng trên sân (hiệu năng điện thoại); không đụng 12 vũ khí dùng chung; giữ nhịp bắn, băng đạn, nạp đạn đặc trưng của từng vũ khí.</t>
  </si>
  <si>
    <t xml:space="preserve">S03, mọi B1, B5</t>
  </si>
  <si>
    <t xml:space="preserve">D3</t>
  </si>
  <si>
    <t xml:space="preserve">Thưởng sức mạnh</t>
  </si>
  <si>
    <t xml:space="preserve">Đường C: thưởng = min(15%, max(0, 1,25% × (baseCP mới − 8))). 9 CP +1,25%, 12 CP +5%, 16 CP +10%, từ 20 CP +15%.</t>
  </si>
  <si>
    <t xml:space="preserve">Một dòng công thức, không có bậc 8 → 9 CP.</t>
  </si>
  <si>
    <t xml:space="preserve">B1, B5</t>
  </si>
  <si>
    <t xml:space="preserve">D4</t>
  </si>
  <si>
    <t xml:space="preserve">Máu sau phục hồi</t>
  </si>
  <si>
    <t xml:space="preserve">Xe mặt đất theo công thức giá: Pháo phản lực nhiệt áp 1.980 × (11/9)^1,15 ≈ 2.490; Pháo cối công thành 3.300 × (15/12)^1,15 ≈ 4.270. Pháo hạm bay chốt 4.900 (12 phát Buk hiệu dụng, mép trên dải D8), không dùng 6.045.</t>
  </si>
  <si>
    <t xml:space="preserve">Một luật chung cho xe mặt đất; máy bay theo số phát vì cột Typhon 1.460 đã bị loại.</t>
  </si>
  <si>
    <t xml:space="preserve">B0, B1</t>
  </si>
  <si>
    <t xml:space="preserve">D5</t>
  </si>
  <si>
    <t xml:space="preserve">Tốc độ 4 xe</t>
  </si>
  <si>
    <t xml:space="preserve">Về đúng giá trị đã biết: Tăng nhẹ lội nước 9, Xe bom bọc thép 13, Tăng phun lửa 6,5 (bằng Tăng chủ lực), Xe công binh 7. Chỉ FIX, không thêm giá trị mới.</t>
  </si>
  <si>
    <t xml:space="preserve">Không có dữ liệu chứng minh 8 / 11 / 5,5 / 5,5 tốt hơn giá trị cũ; đợt lý thuyết không tạo thay đổi mới khi không cần.</t>
  </si>
  <si>
    <t xml:space="preserve">B0</t>
  </si>
  <si>
    <t xml:space="preserve">D6</t>
  </si>
  <si>
    <t xml:space="preserve">Đổi từ hồi chiêu sang số lần dự trữ; tốc độ hồi giữ đúng hồi chiêu hiện tại (không làm yếu đi); 6 đơn vị thêm mới hồi 20 s; Oanh tạc cơ tàng hình bỏ pháo sáng theo luật "chỉ khi mẫu thật có"; Mồi bẫy nhiệt chỉ nâng cấp đơn vị đã có.</t>
  </si>
  <si>
    <t xml:space="preserve">Đổi hệ mà không đổi sức mạnh lâu dài; số lần dự trữ cho cảm giác đỡ đợt đầu.</t>
  </si>
  <si>
    <t xml:space="preserve">B2-FLR</t>
  </si>
  <si>
    <t xml:space="preserve">D7</t>
  </si>
  <si>
    <t xml:space="preserve">SELF_APS của xe chỉ chặn tên lửa dẫn đường, drone, rốc-két bắn thẳng; hồi 10 s. Tăng thế hệ mới 2 lần (BUILT_IN), Siêu tăng 3 lần (BUILT_IN, mới). Tăng chủ lực RETROFIT_ELIGIBLE: Trophy cho 2 lần, hồi 20 s. BUILT_IN gắn Trophy: +1 lần, hồi nhanh hơn 25%. Tăng hạng nặng NONE. Phòng thủ điểm tách thành POINT_DEFENSE.</t>
  </si>
  <si>
    <t xml:space="preserve">Một xe diệt tăng không phá được T-14, hai xe thì phá được; xe diệt tăng dùng pháo không bị vô hiệu.</t>
  </si>
  <si>
    <t xml:space="preserve">B2-APS, S07</t>
  </si>
  <si>
    <t xml:space="preserve">D8</t>
  </si>
  <si>
    <t xml:space="preserve">Số phát mục tiêu cho máy bay</t>
  </si>
  <si>
    <t xml:space="preserve">Thước đo chính: số phát Buk hiệu dụng (320 × hệ số với máy bay, giả định 1,3; CHECK C10). Dải: tiêm kích 3–5; máy bay ở lại lâu 8–12; cường kích/đi qua 4–8; drone và máy bay trinh sát 2–4. Bỏ sàn 85% đường cong máu.</t>
  </si>
  <si>
    <t xml:space="preserve">Đo sức sống bằng vũ khí phòng không thật thay vì vũ khí boss không truy được nguồn.</t>
  </si>
  <si>
    <t xml:space="preserve">B1 (máy bay)</t>
  </si>
  <si>
    <t xml:space="preserve">D9</t>
  </si>
  <si>
    <t xml:space="preserve">Kho CP</t>
  </si>
  <si>
    <t xml:space="preserve">Phương án A: kho 30 → 45 (Công thành 40 → 55, Sinh tồn 30 → 40, Săn trùm 45 → 60, Vault 45 → 60). Ngưỡng tiếp tế giữ nguyên (HOLD) cho tới khi đọc code.</t>
  </si>
  <si>
    <t xml:space="preserve">Đơn vị 29 CP gọi được mà không chiếm cả kho; không thêm hệ điểm chỗ quân.</t>
  </si>
  <si>
    <t xml:space="preserve">E1</t>
  </si>
  <si>
    <t xml:space="preserve">Nguồn duy nhất để agent sửa dữ liệu (R1–R5). Chỉ dòng FIX/APPLY được áp; HOLD/REJECT ở đây để giữ dấu vết. Giá trị đã đóng băng từ sheet Tính toán.</t>
  </si>
  <si>
    <t xml:space="preserve">bundle_id</t>
  </si>
  <si>
    <t xml:space="preserve">entity_id</t>
  </si>
  <si>
    <t xml:space="preserve">field_path</t>
  </si>
  <si>
    <t xml:space="preserve">unit</t>
  </si>
  <si>
    <t xml:space="preserve">value_type</t>
  </si>
  <si>
    <t xml:space="preserve">known_good</t>
  </si>
  <si>
    <t xml:space="preserve">expected_before</t>
  </si>
  <si>
    <t xml:space="preserve">new_value</t>
  </si>
  <si>
    <t xml:space="preserve">tolerance</t>
  </si>
  <si>
    <t xml:space="preserve">derivation</t>
  </si>
  <si>
    <t xml:space="preserve">status</t>
  </si>
  <si>
    <t xml:space="preserve">scope</t>
  </si>
  <si>
    <t xml:space="preserve">requires_code</t>
  </si>
  <si>
    <t xml:space="preserve">depends_on</t>
  </si>
  <si>
    <t xml:space="preserve">owner_decision_id</t>
  </si>
  <si>
    <t xml:space="preserve">validation</t>
  </si>
  <si>
    <t xml:space="preserve">reason</t>
  </si>
  <si>
    <t xml:space="preserve">source</t>
  </si>
  <si>
    <t xml:space="preserve">S01</t>
  </si>
  <si>
    <t xml:space="preserve">(hệ thống)</t>
  </si>
  <si>
    <t xml:space="preserve">—</t>
  </si>
  <si>
    <t xml:space="preserve">code</t>
  </si>
  <si>
    <t xml:space="preserve">Manifest engine: đọc sheet Manifest, kiểm tra trước khi áp (R2), áp theo gói (R3), ghi log CONFLICT/ALREADY_APPLIED</t>
  </si>
  <si>
    <t xml:space="preserve">system</t>
  </si>
  <si>
    <t xml:space="preserve">Test đi kèm phải pass</t>
  </si>
  <si>
    <t xml:space="preserve">Review vòng 3–cuối</t>
  </si>
  <si>
    <t xml:space="preserve">S02</t>
  </si>
  <si>
    <t xml:space="preserve">Hàm làm tròn chung ROUND_HALF_UP cho CP và máu (R6)</t>
  </si>
  <si>
    <t xml:space="preserve">S03</t>
  </si>
  <si>
    <t xml:space="preserve">Trường units.&lt;id&gt;.outgoingDamageMult (mặc định 1,0), nhân sát thương mọi vũ khí của xe; validator vũ khí dùng chung (R8)</t>
  </si>
  <si>
    <t xml:space="preserve">S04</t>
  </si>
  <si>
    <t xml:space="preserve">Tách baseCP và runtimeCallCost (R7); mọi phân nhóm dùng baseCP</t>
  </si>
  <si>
    <t xml:space="preserve">S05</t>
  </si>
  <si>
    <t xml:space="preserve">Cờ năng lực đòn đánh: canHitGround, canHitAir, interceptable, flareEligible, apsEligible, ciwsEligible (dùng lại trường có sẵn nếu đã có; CHECK C13)</t>
  </si>
  <si>
    <t xml:space="preserve">S06</t>
  </si>
  <si>
    <t xml:space="preserve">Pháo sáng theo số lần: maxCharges, rechargeSec, nạp đầy khi về sân bay; Mồi bẫy nhiệt chỉ nâng cấp đơn vị BUILT_IN</t>
  </si>
  <si>
    <t xml:space="preserve">S07</t>
  </si>
  <si>
    <t xml:space="preserve">interceptionSystem.mode = SELF_APS | POINT_DEFENSE; apsCapability = NONE | BUILT_IN | RETROFIT_ELIGIBLE; danh sách loại đạn chặn được tách: directMissile, drone, directRocket, artilleryRocket, mortarShell, artilleryShell, tankShell</t>
  </si>
  <si>
    <t xml:space="preserve">S08</t>
  </si>
  <si>
    <t xml:space="preserve">Lịch sử đo: gắn hash cho mọi số đo; số đo lệch hash chuyển sang phụ lục (R10)</t>
  </si>
  <si>
    <t xml:space="preserve">S09</t>
  </si>
  <si>
    <t xml:space="preserve">Test hồi quy đơn vị tốc độ xoay (R9)</t>
  </si>
  <si>
    <t xml:space="preserve">Chiếm cứ điểm / Tử chiến / Vua đồi</t>
  </si>
  <si>
    <t xml:space="preserve">modes.&lt;mode&gt;.cpStockCap</t>
  </si>
  <si>
    <t xml:space="preserve">CP</t>
  </si>
  <si>
    <t xml:space="preserve">int</t>
  </si>
  <si>
    <t xml:space="preserve">Phương án A (sheet Kinh tế dot2 v1)</t>
  </si>
  <si>
    <t xml:space="preserve">Kho mới ≥ giá đơn vị đắt nhất + 15</t>
  </si>
  <si>
    <t xml:space="preserve">Đơn vị 29 CP không chiếm cả kho</t>
  </si>
  <si>
    <t xml:space="preserve">dot2 v1 &gt; Kinh tế</t>
  </si>
  <si>
    <t xml:space="preserve">Công phá</t>
  </si>
  <si>
    <t xml:space="preserve">Công thành</t>
  </si>
  <si>
    <t xml:space="preserve">Phòng thủ / Vô tận</t>
  </si>
  <si>
    <t xml:space="preserve">Sinh tồn</t>
  </si>
  <si>
    <t xml:space="preserve">Săn trùm</t>
  </si>
  <si>
    <t xml:space="preserve">Chỉ huy Vault</t>
  </si>
  <si>
    <t xml:space="preserve">E2</t>
  </si>
  <si>
    <t xml:space="preserve">(tiếp tế)</t>
  </si>
  <si>
    <t xml:space="preserve">economy.supplyThreshold</t>
  </si>
  <si>
    <t xml:space="preserve">float</t>
  </si>
  <si>
    <t xml:space="preserve">24 × 1,05 hiện tại; 29,2 là đề xuất cũ</t>
  </si>
  <si>
    <t xml:space="preserve">C02</t>
  </si>
  <si>
    <t xml:space="preserve">Chưa biết hình dạng đường phạt</t>
  </si>
  <si>
    <t xml:space="preserve">PDF tr. 266</t>
  </si>
  <si>
    <t xml:space="preserve">B0-sky_gunship</t>
  </si>
  <si>
    <t xml:space="preserve">sky_gunship</t>
  </si>
  <si>
    <t xml:space="preserve">units.sky_gunship.hp</t>
  </si>
  <si>
    <t xml:space="preserve">HP</t>
  </si>
  <si>
    <t xml:space="preserve">Phục hồi known_good ở giá hiện tại</t>
  </si>
  <si>
    <t xml:space="preserve">hp == known_good</t>
  </si>
  <si>
    <t xml:space="preserve">Dòng "Xem lại" đợt 1 bị áp nhầm</t>
  </si>
  <si>
    <t xml:space="preserve">dot2 v1 &gt; Kiểm tra nhanh</t>
  </si>
  <si>
    <t xml:space="preserve">B0-thermobaric_launcher</t>
  </si>
  <si>
    <t xml:space="preserve">thermobaric_launcher</t>
  </si>
  <si>
    <t xml:space="preserve">units.thermobaric_launcher.hp</t>
  </si>
  <si>
    <t xml:space="preserve">B0-siege_tank</t>
  </si>
  <si>
    <t xml:space="preserve">siege_tank</t>
  </si>
  <si>
    <t xml:space="preserve">units.siege_tank.hp</t>
  </si>
  <si>
    <t xml:space="preserve">B0-light_tank</t>
  </si>
  <si>
    <t xml:space="preserve">light_tank</t>
  </si>
  <si>
    <t xml:space="preserve">units.light_tank.speed</t>
  </si>
  <si>
    <t xml:space="preserve">m/s</t>
  </si>
  <si>
    <t xml:space="preserve">Phục hồi known_good</t>
  </si>
  <si>
    <t xml:space="preserve">speed == known_good</t>
  </si>
  <si>
    <t xml:space="preserve">B0-vbied</t>
  </si>
  <si>
    <t xml:space="preserve">vbied</t>
  </si>
  <si>
    <t xml:space="preserve">units.vbied.speed</t>
  </si>
  <si>
    <t xml:space="preserve">B0-flame_tank</t>
  </si>
  <si>
    <t xml:space="preserve">flame_tank</t>
  </si>
  <si>
    <t xml:space="preserve">units.flame_tank.speed</t>
  </si>
  <si>
    <t xml:space="preserve">B0-engineer_vehicle</t>
  </si>
  <si>
    <t xml:space="preserve">engineer_vehicle</t>
  </si>
  <si>
    <t xml:space="preserve">units.engineer_vehicle.speed</t>
  </si>
  <si>
    <t xml:space="preserve">B1-armored_car</t>
  </si>
  <si>
    <t xml:space="preserve">armored_car</t>
  </si>
  <si>
    <t xml:space="preserve">units.armored_car.dropDelaySec</t>
  </si>
  <si>
    <t xml:space="preserve">s</t>
  </si>
  <si>
    <t xml:space="preserve">baseCP mới ≤ 4: 2,5 s; ≥ 15: 5 s; còn lại 3,5 s</t>
  </si>
  <si>
    <t xml:space="preserve">S01, S02, S03, S04, E1</t>
  </si>
  <si>
    <t xml:space="preserve">Theo baseCP, không theo giá sau giảm</t>
  </si>
  <si>
    <t xml:space="preserve">Xe rẻ phản ứng nhanh, xe đắt có khoảnh khắc ra quân</t>
  </si>
  <si>
    <t xml:space="preserve">B1-combat_wreck_car</t>
  </si>
  <si>
    <t xml:space="preserve">combat_wreck_car</t>
  </si>
  <si>
    <t xml:space="preserve">units.combat_wreck_car.dropDelaySec</t>
  </si>
  <si>
    <t xml:space="preserve">B1-river_patrol_boat</t>
  </si>
  <si>
    <t xml:space="preserve">river_patrol_boat</t>
  </si>
  <si>
    <t xml:space="preserve">units.river_patrol_boat.cost</t>
  </si>
  <si>
    <t xml:space="preserve">ROUND_HALF_UP(5 × 1.15)</t>
  </si>
  <si>
    <t xml:space="preserve">baseCP dùng cho mọi phân nhóm</t>
  </si>
  <si>
    <t xml:space="preserve">Định giá lại theo nhóm giá</t>
  </si>
  <si>
    <t xml:space="preserve">units.river_patrol_boat.hp</t>
  </si>
  <si>
    <t xml:space="preserve">ROUND10(801 × (6/5)^1,15)</t>
  </si>
  <si>
    <t xml:space="preserve">hp == derivation</t>
  </si>
  <si>
    <t xml:space="preserve">Máu tăng nhanh hơn giá</t>
  </si>
  <si>
    <t xml:space="preserve">Đã chốt; D4; D8</t>
  </si>
  <si>
    <t xml:space="preserve">units.river_patrol_boat.outgoingDamageMult</t>
  </si>
  <si>
    <t xml:space="preserve">×</t>
  </si>
  <si>
    <t xml:space="preserve">(6/5) × (1 + 0.0000)</t>
  </si>
  <si>
    <t xml:space="preserve">D2, D3</t>
  </si>
  <si>
    <t xml:space="preserve">Vũ khí dùng chung không đổi (R8)</t>
  </si>
  <si>
    <t xml:space="preserve">Giữ giá trị mỗi CP sau tăng giá + thưởng</t>
  </si>
  <si>
    <t xml:space="preserve">Đã chốt; D3</t>
  </si>
  <si>
    <t xml:space="preserve">B1-airborne_vehicle</t>
  </si>
  <si>
    <t xml:space="preserve">airborne_vehicle</t>
  </si>
  <si>
    <t xml:space="preserve">units.airborne_vehicle.cost</t>
  </si>
  <si>
    <t xml:space="preserve">ROUND_HALF_UP(6 × 1.15)</t>
  </si>
  <si>
    <t xml:space="preserve">units.airborne_vehicle.hp</t>
  </si>
  <si>
    <t xml:space="preserve">ROUND10(1100 × (7/6)^1,15)</t>
  </si>
  <si>
    <t xml:space="preserve">units.airborne_vehicle.outgoingDamageMult</t>
  </si>
  <si>
    <t xml:space="preserve">(7/6) × (1 + 0.0000)</t>
  </si>
  <si>
    <t xml:space="preserve">B1-amphib_light_vehicle</t>
  </si>
  <si>
    <t xml:space="preserve">amphib_light_vehicle</t>
  </si>
  <si>
    <t xml:space="preserve">units.amphib_light_vehicle.cost</t>
  </si>
  <si>
    <t xml:space="preserve">units.amphib_light_vehicle.hp</t>
  </si>
  <si>
    <t xml:space="preserve">ROUND10(1199 × (7/6)^1,15)</t>
  </si>
  <si>
    <t xml:space="preserve">units.amphib_light_vehicle.outgoingDamageMult</t>
  </si>
  <si>
    <t xml:space="preserve">B1-ifv</t>
  </si>
  <si>
    <t xml:space="preserve">ifv</t>
  </si>
  <si>
    <t xml:space="preserve">units.ifv.cost</t>
  </si>
  <si>
    <t xml:space="preserve">units.ifv.hp</t>
  </si>
  <si>
    <t xml:space="preserve">ROUND10(1144 × (7/6)^1,15)</t>
  </si>
  <si>
    <t xml:space="preserve">units.ifv.outgoingDamageMult</t>
  </si>
  <si>
    <t xml:space="preserve">B1-auto_loader_howitzer</t>
  </si>
  <si>
    <t xml:space="preserve">auto_loader_howitzer</t>
  </si>
  <si>
    <t xml:space="preserve">units.auto_loader_howitzer.cost</t>
  </si>
  <si>
    <t xml:space="preserve">ROUND_HALF_UP(8 × 1.15)</t>
  </si>
  <si>
    <t xml:space="preserve">units.auto_loader_howitzer.hp</t>
  </si>
  <si>
    <t xml:space="preserve">ROUND10(1599 × (9/8)^1,15)</t>
  </si>
  <si>
    <t xml:space="preserve">units.auto_loader_howitzer.outgoingDamageMult</t>
  </si>
  <si>
    <t xml:space="preserve">(9/8) — phần thưởng ở B5</t>
  </si>
  <si>
    <t xml:space="preserve">Giữ giá trị mỗi CP sau tăng giá</t>
  </si>
  <si>
    <t xml:space="preserve">B5-auto_loader_howitzer</t>
  </si>
  <si>
    <t xml:space="preserve">(9/8) × (1 + 0.0125)</t>
  </si>
  <si>
    <t xml:space="preserve">Chờ thước đo nổ lan (R11)</t>
  </si>
  <si>
    <t xml:space="preserve">Review vòng cuối mục 18</t>
  </si>
  <si>
    <t xml:space="preserve">B1-river_gunboat</t>
  </si>
  <si>
    <t xml:space="preserve">river_gunboat</t>
  </si>
  <si>
    <t xml:space="preserve">units.river_gunboat.cost</t>
  </si>
  <si>
    <t xml:space="preserve">ROUND_HALF_UP(9 × 1.25)</t>
  </si>
  <si>
    <t xml:space="preserve">units.river_gunboat.hp</t>
  </si>
  <si>
    <t xml:space="preserve">ROUND10(2499 × (11/9)^1,15)</t>
  </si>
  <si>
    <t xml:space="preserve">units.river_gunboat.outgoingDamageMult</t>
  </si>
  <si>
    <t xml:space="preserve">(11/9) × (1 + 0.0375)</t>
  </si>
  <si>
    <t xml:space="preserve">B1-coastal_ashm_vehicle</t>
  </si>
  <si>
    <t xml:space="preserve">coastal_ashm_vehicle</t>
  </si>
  <si>
    <t xml:space="preserve">units.coastal_ashm_vehicle.cost</t>
  </si>
  <si>
    <t xml:space="preserve">ROUND_HALF_UP(10 × 1.25)</t>
  </si>
  <si>
    <t xml:space="preserve">units.coastal_ashm_vehicle.hp</t>
  </si>
  <si>
    <t xml:space="preserve">ROUND10(900 × (13/10)^1,15)</t>
  </si>
  <si>
    <t xml:space="preserve">units.coastal_ashm_vehicle.outgoingDamageMult</t>
  </si>
  <si>
    <t xml:space="preserve">(13/10) — phần thưởng ở B5</t>
  </si>
  <si>
    <t xml:space="preserve">B5-coastal_ashm_vehicle</t>
  </si>
  <si>
    <t xml:space="preserve">(13/10) × (1 + 0.0625)</t>
  </si>
  <si>
    <t xml:space="preserve">B1-ground_cruise_missile_vehicle</t>
  </si>
  <si>
    <t xml:space="preserve">ground_cruise_missile_vehicle</t>
  </si>
  <si>
    <t xml:space="preserve">units.ground_cruise_missile_vehicle.cost</t>
  </si>
  <si>
    <t xml:space="preserve">ROUND_HALF_UP(12 × 1.25)</t>
  </si>
  <si>
    <t xml:space="preserve">units.ground_cruise_missile_vehicle.hp</t>
  </si>
  <si>
    <t xml:space="preserve">ROUND10(1001 × (15/12)^1,15)</t>
  </si>
  <si>
    <t xml:space="preserve">units.ground_cruise_missile_vehicle.outgoingDamageMult</t>
  </si>
  <si>
    <t xml:space="preserve">(15/12) — phần thưởng ở B5</t>
  </si>
  <si>
    <t xml:space="preserve">B5-ground_cruise_missile_vehicle</t>
  </si>
  <si>
    <t xml:space="preserve">(15/12) × (1 + 0.0875)</t>
  </si>
  <si>
    <t xml:space="preserve">units.ground_cruise_missile_vehicle.dropDelaySec</t>
  </si>
  <si>
    <t xml:space="preserve">B1-engineer_vehicle</t>
  </si>
  <si>
    <t xml:space="preserve">units.engineer_vehicle.dropDelaySec</t>
  </si>
  <si>
    <t xml:space="preserve">S01, S02, S03, S04, E1, B0-engineer_vehicle</t>
  </si>
  <si>
    <t xml:space="preserve">B1-smoke_carrier</t>
  </si>
  <si>
    <t xml:space="preserve">smoke_carrier</t>
  </si>
  <si>
    <t xml:space="preserve">units.smoke_carrier.dropDelaySec</t>
  </si>
  <si>
    <t xml:space="preserve">B1-ammo_carrier</t>
  </si>
  <si>
    <t xml:space="preserve">ammo_carrier</t>
  </si>
  <si>
    <t xml:space="preserve">units.ammo_carrier.dropDelaySec</t>
  </si>
  <si>
    <t xml:space="preserve">B1-bridging_vehicle</t>
  </si>
  <si>
    <t xml:space="preserve">bridging_vehicle</t>
  </si>
  <si>
    <t xml:space="preserve">units.bridging_vehicle.dropDelaySec</t>
  </si>
  <si>
    <t xml:space="preserve">B1-demolition_line_vehicle</t>
  </si>
  <si>
    <t xml:space="preserve">demolition_line_vehicle</t>
  </si>
  <si>
    <t xml:space="preserve">units.demolition_line_vehicle.dropDelaySec</t>
  </si>
  <si>
    <t xml:space="preserve">B1-mobile_repair_vehicle</t>
  </si>
  <si>
    <t xml:space="preserve">mobile_repair_vehicle</t>
  </si>
  <si>
    <t xml:space="preserve">units.mobile_repair_vehicle.dropDelaySec</t>
  </si>
  <si>
    <t xml:space="preserve">B1-counter_battery_radar</t>
  </si>
  <si>
    <t xml:space="preserve">counter_battery_radar</t>
  </si>
  <si>
    <t xml:space="preserve">units.counter_battery_radar.cost</t>
  </si>
  <si>
    <t xml:space="preserve">units.counter_battery_radar.hp</t>
  </si>
  <si>
    <t xml:space="preserve">ROUND10(792 × (6/5)^1,15)</t>
  </si>
  <si>
    <t xml:space="preserve">units.counter_battery_radar.outgoingDamageMult</t>
  </si>
  <si>
    <t xml:space="preserve">B1-dazzler_vehicle</t>
  </si>
  <si>
    <t xml:space="preserve">dazzler_vehicle</t>
  </si>
  <si>
    <t xml:space="preserve">units.dazzler_vehicle.cost</t>
  </si>
  <si>
    <t xml:space="preserve">units.dazzler_vehicle.hp</t>
  </si>
  <si>
    <t xml:space="preserve">ROUND10(900 × (6/5)^1,15)</t>
  </si>
  <si>
    <t xml:space="preserve">units.dazzler_vehicle.outgoingDamageMult</t>
  </si>
  <si>
    <t xml:space="preserve">B1-ew_jammer</t>
  </si>
  <si>
    <t xml:space="preserve">ew_jammer</t>
  </si>
  <si>
    <t xml:space="preserve">units.ew_jammer.cost</t>
  </si>
  <si>
    <t xml:space="preserve">units.ew_jammer.hp</t>
  </si>
  <si>
    <t xml:space="preserve">ROUND10(836 × (6/5)^1,15)</t>
  </si>
  <si>
    <t xml:space="preserve">units.ew_jammer.outgoingDamageMult</t>
  </si>
  <si>
    <t xml:space="preserve">B1-gps_jammer_vehicle</t>
  </si>
  <si>
    <t xml:space="preserve">gps_jammer_vehicle</t>
  </si>
  <si>
    <t xml:space="preserve">units.gps_jammer_vehicle.cost</t>
  </si>
  <si>
    <t xml:space="preserve">units.gps_jammer_vehicle.hp</t>
  </si>
  <si>
    <t xml:space="preserve">units.gps_jammer_vehicle.outgoingDamageMult</t>
  </si>
  <si>
    <t xml:space="preserve">B1-ground_drone_carrier</t>
  </si>
  <si>
    <t xml:space="preserve">ground_drone_carrier</t>
  </si>
  <si>
    <t xml:space="preserve">units.ground_drone_carrier.cost</t>
  </si>
  <si>
    <t xml:space="preserve">units.ground_drone_carrier.hp</t>
  </si>
  <si>
    <t xml:space="preserve">units.ground_drone_carrier.outgoingDamageMult</t>
  </si>
  <si>
    <t xml:space="preserve">B1-mine_layer</t>
  </si>
  <si>
    <t xml:space="preserve">mine_layer</t>
  </si>
  <si>
    <t xml:space="preserve">units.mine_layer.cost</t>
  </si>
  <si>
    <t xml:space="preserve">units.mine_layer.hp</t>
  </si>
  <si>
    <t xml:space="preserve">ROUND10(924 × (6/5)^1,15)</t>
  </si>
  <si>
    <t xml:space="preserve">units.mine_layer.outgoingDamageMult</t>
  </si>
  <si>
    <t xml:space="preserve">B1-command_vehicle</t>
  </si>
  <si>
    <t xml:space="preserve">command_vehicle</t>
  </si>
  <si>
    <t xml:space="preserve">units.command_vehicle.cost</t>
  </si>
  <si>
    <t xml:space="preserve">units.command_vehicle.hp</t>
  </si>
  <si>
    <t xml:space="preserve">ROUND10(1232 × (7/6)^1,15)</t>
  </si>
  <si>
    <t xml:space="preserve">units.command_vehicle.outgoingDamageMult</t>
  </si>
  <si>
    <t xml:space="preserve">B1-drone_hijack_vehicle</t>
  </si>
  <si>
    <t xml:space="preserve">drone_hijack_vehicle</t>
  </si>
  <si>
    <t xml:space="preserve">units.drone_hijack_vehicle.cost</t>
  </si>
  <si>
    <t xml:space="preserve">units.drone_hijack_vehicle.hp</t>
  </si>
  <si>
    <t xml:space="preserve">ROUND10(900 × (7/6)^1,15)</t>
  </si>
  <si>
    <t xml:space="preserve">units.drone_hijack_vehicle.outgoingDamageMult</t>
  </si>
  <si>
    <t xml:space="preserve">B1-shield_carrier</t>
  </si>
  <si>
    <t xml:space="preserve">shield_carrier</t>
  </si>
  <si>
    <t xml:space="preserve">units.shield_carrier.cost</t>
  </si>
  <si>
    <t xml:space="preserve">ROUND_HALF_UP(7 × 1.15)</t>
  </si>
  <si>
    <t xml:space="preserve">units.shield_carrier.hp</t>
  </si>
  <si>
    <t xml:space="preserve">ROUND10(1056 × (8/7)^1,15)</t>
  </si>
  <si>
    <t xml:space="preserve">units.shield_carrier.outgoingDamageMult</t>
  </si>
  <si>
    <t xml:space="preserve">(8/7) × (1 + 0.0000)</t>
  </si>
  <si>
    <t xml:space="preserve">B1-scout_heli</t>
  </si>
  <si>
    <t xml:space="preserve">scout_heli</t>
  </si>
  <si>
    <t xml:space="preserve">units.scout_heli.cost</t>
  </si>
  <si>
    <t xml:space="preserve">units.scout_heli.hp</t>
  </si>
  <si>
    <t xml:space="preserve">Máy bay: số phát Buk hiệu dụng trong dải (sheet Máy bay – số phát)</t>
  </si>
  <si>
    <t xml:space="preserve">units.scout_heli.outgoingDamageMult</t>
  </si>
  <si>
    <t xml:space="preserve">B1-recon_drone</t>
  </si>
  <si>
    <t xml:space="preserve">recon_drone</t>
  </si>
  <si>
    <t xml:space="preserve">units.recon_drone.cost</t>
  </si>
  <si>
    <t xml:space="preserve">units.recon_drone.hp</t>
  </si>
  <si>
    <t xml:space="preserve">ROUND10(704 × (7/6)^1,15)</t>
  </si>
  <si>
    <t xml:space="preserve">units.recon_drone.outgoingDamageMult</t>
  </si>
  <si>
    <t xml:space="preserve">B1-wingman_drone</t>
  </si>
  <si>
    <t xml:space="preserve">wingman_drone</t>
  </si>
  <si>
    <t xml:space="preserve">units.wingman_drone.cost</t>
  </si>
  <si>
    <t xml:space="preserve">units.wingman_drone.hp</t>
  </si>
  <si>
    <t xml:space="preserve">ROUND10(660 × (7/6)^1,15)</t>
  </si>
  <si>
    <t xml:space="preserve">units.wingman_drone.outgoingDamageMult</t>
  </si>
  <si>
    <t xml:space="preserve">B1-heavy_lift_helicopter</t>
  </si>
  <si>
    <t xml:space="preserve">heavy_lift_helicopter</t>
  </si>
  <si>
    <t xml:space="preserve">units.heavy_lift_helicopter.cost</t>
  </si>
  <si>
    <t xml:space="preserve">units.heavy_lift_helicopter.hp</t>
  </si>
  <si>
    <t xml:space="preserve">ROUND10(1800 × (8/7)^1,15)</t>
  </si>
  <si>
    <t xml:space="preserve">units.heavy_lift_helicopter.outgoingDamageMult</t>
  </si>
  <si>
    <t xml:space="preserve">B1-light_attack_heli</t>
  </si>
  <si>
    <t xml:space="preserve">light_attack_heli</t>
  </si>
  <si>
    <t xml:space="preserve">units.light_attack_heli.cost</t>
  </si>
  <si>
    <t xml:space="preserve">units.light_attack_heli.hp</t>
  </si>
  <si>
    <t xml:space="preserve">ROUND10(1100 × (8/7)^1,15)</t>
  </si>
  <si>
    <t xml:space="preserve">units.light_attack_heli.outgoingDamageMult</t>
  </si>
  <si>
    <t xml:space="preserve">B1-prop_attack_plane</t>
  </si>
  <si>
    <t xml:space="preserve">prop_attack_plane</t>
  </si>
  <si>
    <t xml:space="preserve">units.prop_attack_plane.cost</t>
  </si>
  <si>
    <t xml:space="preserve">units.prop_attack_plane.hp</t>
  </si>
  <si>
    <t xml:space="preserve">ROUND10(900 × (8/7)^1,15)</t>
  </si>
  <si>
    <t xml:space="preserve">units.prop_attack_plane.outgoingDamageMult</t>
  </si>
  <si>
    <t xml:space="preserve">B1-aerial_tanker</t>
  </si>
  <si>
    <t xml:space="preserve">aerial_tanker</t>
  </si>
  <si>
    <t xml:space="preserve">units.aerial_tanker.cost</t>
  </si>
  <si>
    <t xml:space="preserve">units.aerial_tanker.hp</t>
  </si>
  <si>
    <t xml:space="preserve">ROUND10(2499 × (9/8)^1,15)</t>
  </si>
  <si>
    <t xml:space="preserve">units.aerial_tanker.outgoingDamageMult</t>
  </si>
  <si>
    <t xml:space="preserve">B1-recon_jet</t>
  </si>
  <si>
    <t xml:space="preserve">recon_jet</t>
  </si>
  <si>
    <t xml:space="preserve">units.recon_jet.cost</t>
  </si>
  <si>
    <t xml:space="preserve">units.recon_jet.hp</t>
  </si>
  <si>
    <t xml:space="preserve">ROUND10(801 × (9/8)^1,15)</t>
  </si>
  <si>
    <t xml:space="preserve">units.recon_jet.outgoingDamageMult</t>
  </si>
  <si>
    <t xml:space="preserve">B1-attack_helicopter</t>
  </si>
  <si>
    <t xml:space="preserve">attack_helicopter</t>
  </si>
  <si>
    <t xml:space="preserve">units.attack_helicopter.cost</t>
  </si>
  <si>
    <t xml:space="preserve">units.attack_helicopter.hp</t>
  </si>
  <si>
    <t xml:space="preserve">ROUND10(1760 × (11/9)^1,15)</t>
  </si>
  <si>
    <t xml:space="preserve">units.attack_helicopter.outgoingDamageMult</t>
  </si>
  <si>
    <t xml:space="preserve">B1-strike_drone</t>
  </si>
  <si>
    <t xml:space="preserve">strike_drone</t>
  </si>
  <si>
    <t xml:space="preserve">units.strike_drone.cost</t>
  </si>
  <si>
    <t xml:space="preserve">units.strike_drone.hp</t>
  </si>
  <si>
    <t xml:space="preserve">ROUND10(1056 × (11/9)^1,15)</t>
  </si>
  <si>
    <t xml:space="preserve">units.strike_drone.outgoingDamageMult</t>
  </si>
  <si>
    <t xml:space="preserve">B1-fighter_jet</t>
  </si>
  <si>
    <t xml:space="preserve">fighter_jet</t>
  </si>
  <si>
    <t xml:space="preserve">units.fighter_jet.cost</t>
  </si>
  <si>
    <t xml:space="preserve">units.fighter_jet.hp</t>
  </si>
  <si>
    <t xml:space="preserve">ROUND10(1144 × (15/12)^1,15)</t>
  </si>
  <si>
    <t xml:space="preserve">units.fighter_jet.outgoingDamageMult</t>
  </si>
  <si>
    <t xml:space="preserve">units.fighter_jet.dropDelaySec</t>
  </si>
  <si>
    <t xml:space="preserve">B1-interceptor_jet</t>
  </si>
  <si>
    <t xml:space="preserve">interceptor_jet</t>
  </si>
  <si>
    <t xml:space="preserve">units.interceptor_jet.cost</t>
  </si>
  <si>
    <t xml:space="preserve">ROUND_HALF_UP(13 × 1.25)</t>
  </si>
  <si>
    <t xml:space="preserve">units.interceptor_jet.hp</t>
  </si>
  <si>
    <t xml:space="preserve">ROUND10(1300 × (16/13)^1,15)</t>
  </si>
  <si>
    <t xml:space="preserve">units.interceptor_jet.outgoingDamageMult</t>
  </si>
  <si>
    <t xml:space="preserve">(16/13) × (1 + 0.1000)</t>
  </si>
  <si>
    <t xml:space="preserve">units.interceptor_jet.dropDelaySec</t>
  </si>
  <si>
    <t xml:space="preserve">B1-stealth_fighter</t>
  </si>
  <si>
    <t xml:space="preserve">stealth_fighter</t>
  </si>
  <si>
    <t xml:space="preserve">units.stealth_fighter.cost</t>
  </si>
  <si>
    <t xml:space="preserve">units.stealth_fighter.hp</t>
  </si>
  <si>
    <t xml:space="preserve">ROUND10(1056 × (16/13)^1,15)</t>
  </si>
  <si>
    <t xml:space="preserve">units.stealth_fighter.outgoingDamageMult</t>
  </si>
  <si>
    <t xml:space="preserve">units.stealth_fighter.dropDelaySec</t>
  </si>
  <si>
    <t xml:space="preserve">B1-swarm_carrier</t>
  </si>
  <si>
    <t xml:space="preserve">swarm_carrier</t>
  </si>
  <si>
    <t xml:space="preserve">units.swarm_carrier.cost</t>
  </si>
  <si>
    <t xml:space="preserve">units.swarm_carrier.hp</t>
  </si>
  <si>
    <t xml:space="preserve">D8: dải 4–8 phát Buk hiệu dụng (cường kích/đi qua); công thức giá cho 1.770 là dưới dải</t>
  </si>
  <si>
    <t xml:space="preserve">units.swarm_carrier.outgoingDamageMult</t>
  </si>
  <si>
    <t xml:space="preserve">(16/13) — phần thưởng ở B5</t>
  </si>
  <si>
    <t xml:space="preserve">B5-swarm_carrier</t>
  </si>
  <si>
    <t xml:space="preserve">units.swarm_carrier.dropDelaySec</t>
  </si>
  <si>
    <t xml:space="preserve">B1-twin_rotor_gunship</t>
  </si>
  <si>
    <t xml:space="preserve">twin_rotor_gunship</t>
  </si>
  <si>
    <t xml:space="preserve">units.twin_rotor_gunship.cost</t>
  </si>
  <si>
    <t xml:space="preserve">ROUND_HALF_UP(14 × 1.3)</t>
  </si>
  <si>
    <t xml:space="preserve">units.twin_rotor_gunship.hp</t>
  </si>
  <si>
    <t xml:space="preserve">ROUND10(3500 × (18/14)^1,15)</t>
  </si>
  <si>
    <t xml:space="preserve">units.twin_rotor_gunship.outgoingDamageMult</t>
  </si>
  <si>
    <t xml:space="preserve">(18/14) × (1 + 0.1250)</t>
  </si>
  <si>
    <t xml:space="preserve">units.twin_rotor_gunship.dropDelaySec</t>
  </si>
  <si>
    <t xml:space="preserve">B1-gunship_heli</t>
  </si>
  <si>
    <t xml:space="preserve">gunship_heli</t>
  </si>
  <si>
    <t xml:space="preserve">units.gunship_heli.cost</t>
  </si>
  <si>
    <t xml:space="preserve">ROUND_HALF_UP(15 × 1.3)</t>
  </si>
  <si>
    <t xml:space="preserve">units.gunship_heli.hp</t>
  </si>
  <si>
    <t xml:space="preserve">ROUND10(2600 × (20/15)^1,15)</t>
  </si>
  <si>
    <t xml:space="preserve">units.gunship_heli.outgoingDamageMult</t>
  </si>
  <si>
    <t xml:space="preserve">(20/15) × (1 + 0.1500)</t>
  </si>
  <si>
    <t xml:space="preserve">units.gunship_heli.dropDelaySec</t>
  </si>
  <si>
    <t xml:space="preserve">B1-glide_bomber</t>
  </si>
  <si>
    <t xml:space="preserve">glide_bomber</t>
  </si>
  <si>
    <t xml:space="preserve">units.glide_bomber.cost</t>
  </si>
  <si>
    <t xml:space="preserve">ROUND_HALF_UP(16 × 1.3)</t>
  </si>
  <si>
    <t xml:space="preserve">units.glide_bomber.hp</t>
  </si>
  <si>
    <t xml:space="preserve">ROUND10(2200 × (21/16)^1,15)</t>
  </si>
  <si>
    <t xml:space="preserve">units.glide_bomber.outgoingDamageMult</t>
  </si>
  <si>
    <t xml:space="preserve">(21/16) — phần thưởng ở B5</t>
  </si>
  <si>
    <t xml:space="preserve">B5-glide_bomber</t>
  </si>
  <si>
    <t xml:space="preserve">(21/16) × (1 + 0.1500)</t>
  </si>
  <si>
    <t xml:space="preserve">units.glide_bomber.dropDelaySec</t>
  </si>
  <si>
    <t xml:space="preserve">B1-stealth_naval_strike</t>
  </si>
  <si>
    <t xml:space="preserve">stealth_naval_strike</t>
  </si>
  <si>
    <t xml:space="preserve">units.stealth_naval_strike.cost</t>
  </si>
  <si>
    <t xml:space="preserve">ROUND_HALF_UP(17 × 1.3)</t>
  </si>
  <si>
    <t xml:space="preserve">units.stealth_naval_strike.hp</t>
  </si>
  <si>
    <t xml:space="preserve">ROUND10(1500 × (22/17)^1,15)</t>
  </si>
  <si>
    <t xml:space="preserve">units.stealth_naval_strike.outgoingDamageMult</t>
  </si>
  <si>
    <t xml:space="preserve">(22/17) × (1 + 0.1500)</t>
  </si>
  <si>
    <t xml:space="preserve">units.stealth_naval_strike.dropDelaySec</t>
  </si>
  <si>
    <t xml:space="preserve">B1-attack_jet</t>
  </si>
  <si>
    <t xml:space="preserve">attack_jet</t>
  </si>
  <si>
    <t xml:space="preserve">units.attack_jet.cost</t>
  </si>
  <si>
    <t xml:space="preserve">ROUND_HALF_UP(18 × 1.3)</t>
  </si>
  <si>
    <t xml:space="preserve">units.attack_jet.hp</t>
  </si>
  <si>
    <t xml:space="preserve">ROUND10(1870 × (23/18)^1,15)</t>
  </si>
  <si>
    <t xml:space="preserve">units.attack_jet.outgoingDamageMult</t>
  </si>
  <si>
    <t xml:space="preserve">(23/18) × (1 + 0.1500)</t>
  </si>
  <si>
    <t xml:space="preserve">units.attack_jet.dropDelaySec</t>
  </si>
  <si>
    <t xml:space="preserve">B1-stealth_bomber</t>
  </si>
  <si>
    <t xml:space="preserve">stealth_bomber</t>
  </si>
  <si>
    <t xml:space="preserve">units.stealth_bomber.cost</t>
  </si>
  <si>
    <t xml:space="preserve">ROUND_HALF_UP(21 × 1.3)</t>
  </si>
  <si>
    <t xml:space="preserve">units.stealth_bomber.hp</t>
  </si>
  <si>
    <t xml:space="preserve">ROUND10(1980 × (27/21)^1,15)</t>
  </si>
  <si>
    <t xml:space="preserve">units.stealth_bomber.outgoingDamageMult</t>
  </si>
  <si>
    <t xml:space="preserve">(27/21) — phần thưởng ở B5</t>
  </si>
  <si>
    <t xml:space="preserve">B5-stealth_bomber</t>
  </si>
  <si>
    <t xml:space="preserve">(27/21) × (1 + 0.1500)</t>
  </si>
  <si>
    <t xml:space="preserve">units.stealth_bomber.dropDelaySec</t>
  </si>
  <si>
    <t xml:space="preserve">B1-heavy_bomber</t>
  </si>
  <si>
    <t xml:space="preserve">heavy_bomber</t>
  </si>
  <si>
    <t xml:space="preserve">units.heavy_bomber.cost</t>
  </si>
  <si>
    <t xml:space="preserve">ROUND_HALF_UP(22 × 1.3)</t>
  </si>
  <si>
    <t xml:space="preserve">units.heavy_bomber.hp</t>
  </si>
  <si>
    <t xml:space="preserve">ROUND10(3300 × (29/22)^1,15)</t>
  </si>
  <si>
    <t xml:space="preserve">units.heavy_bomber.outgoingDamageMult</t>
  </si>
  <si>
    <t xml:space="preserve">(29/22) — phần thưởng ở B5</t>
  </si>
  <si>
    <t xml:space="preserve">B5-heavy_bomber</t>
  </si>
  <si>
    <t xml:space="preserve">(29/22) × (1 + 0.1500)</t>
  </si>
  <si>
    <t xml:space="preserve">units.heavy_bomber.dropDelaySec</t>
  </si>
  <si>
    <t xml:space="preserve">B1-sky_gunship</t>
  </si>
  <si>
    <t xml:space="preserve">units.sky_gunship.cost</t>
  </si>
  <si>
    <t xml:space="preserve">S01, S02, S03, S04, E1, B0-sky_gunship, B2-FLR-sky_gunship, B3-AI</t>
  </si>
  <si>
    <t xml:space="preserve">D4/D8: 12 phát Buk hiệu dụng, mép trên dải 8–12 (máy bay ở lại lâu, không còn rút về sửa); thay cho 6.045 theo công thức giá</t>
  </si>
  <si>
    <t xml:space="preserve">D4/D8</t>
  </si>
  <si>
    <t xml:space="preserve">units.sky_gunship.outgoingDamageMult</t>
  </si>
  <si>
    <t xml:space="preserve">units.sky_gunship.dropDelaySec</t>
  </si>
  <si>
    <t xml:space="preserve">B1-scout_jeep</t>
  </si>
  <si>
    <t xml:space="preserve">scout_jeep</t>
  </si>
  <si>
    <t xml:space="preserve">units.scout_jeep.dropDelaySec</t>
  </si>
  <si>
    <t xml:space="preserve">B1-vbied</t>
  </si>
  <si>
    <t xml:space="preserve">units.vbied.dropDelaySec</t>
  </si>
  <si>
    <t xml:space="preserve">S01, S02, S03, S04, E1, B0-vbied</t>
  </si>
  <si>
    <t xml:space="preserve">B1-radar_scout</t>
  </si>
  <si>
    <t xml:space="preserve">radar_scout</t>
  </si>
  <si>
    <t xml:space="preserve">units.radar_scout.dropDelaySec</t>
  </si>
  <si>
    <t xml:space="preserve">B1-radar_support_vehicle</t>
  </si>
  <si>
    <t xml:space="preserve">radar_support_vehicle</t>
  </si>
  <si>
    <t xml:space="preserve">units.radar_support_vehicle.cost</t>
  </si>
  <si>
    <t xml:space="preserve">units.radar_support_vehicle.hp</t>
  </si>
  <si>
    <t xml:space="preserve">units.radar_support_vehicle.outgoingDamageMult</t>
  </si>
  <si>
    <t xml:space="preserve">B1-light_tank</t>
  </si>
  <si>
    <t xml:space="preserve">units.light_tank.dropDelaySec</t>
  </si>
  <si>
    <t xml:space="preserve">S01, S02, S03, S04, E1, B0-light_tank</t>
  </si>
  <si>
    <t xml:space="preserve">B1-airborne_light_tank</t>
  </si>
  <si>
    <t xml:space="preserve">airborne_light_tank</t>
  </si>
  <si>
    <t xml:space="preserve">units.airborne_light_tank.cost</t>
  </si>
  <si>
    <t xml:space="preserve">units.airborne_light_tank.hp</t>
  </si>
  <si>
    <t xml:space="preserve">ROUND10(1300 × (6/5)^1,15)</t>
  </si>
  <si>
    <t xml:space="preserve">units.airborne_light_tank.outgoingDamageMult</t>
  </si>
  <si>
    <t xml:space="preserve">B1-flame_tank</t>
  </si>
  <si>
    <t xml:space="preserve">units.flame_tank.cost</t>
  </si>
  <si>
    <t xml:space="preserve">S01, S02, S03, S04, E1, B0-flame_tank</t>
  </si>
  <si>
    <t xml:space="preserve">units.flame_tank.hp</t>
  </si>
  <si>
    <t xml:space="preserve">ROUND10(1320 × (6/5)^1,15)</t>
  </si>
  <si>
    <t xml:space="preserve">units.flame_tank.outgoingDamageMult</t>
  </si>
  <si>
    <t xml:space="preserve">B1-turtle_tank</t>
  </si>
  <si>
    <t xml:space="preserve">turtle_tank</t>
  </si>
  <si>
    <t xml:space="preserve">units.turtle_tank.cost</t>
  </si>
  <si>
    <t xml:space="preserve">units.turtle_tank.hp</t>
  </si>
  <si>
    <t xml:space="preserve">ROUND10(2860 × (8/7)^1,15)</t>
  </si>
  <si>
    <t xml:space="preserve">units.turtle_tank.outgoingDamageMult</t>
  </si>
  <si>
    <t xml:space="preserve">B1-bmpt</t>
  </si>
  <si>
    <t xml:space="preserve">bmpt</t>
  </si>
  <si>
    <t xml:space="preserve">units.bmpt.cost</t>
  </si>
  <si>
    <t xml:space="preserve">units.bmpt.hp</t>
  </si>
  <si>
    <t xml:space="preserve">ROUND10(2530 × (11/9)^1,15)</t>
  </si>
  <si>
    <t xml:space="preserve">units.bmpt.outgoingDamageMult</t>
  </si>
  <si>
    <t xml:space="preserve">B1-recoilless_jeep</t>
  </si>
  <si>
    <t xml:space="preserve">recoilless_jeep</t>
  </si>
  <si>
    <t xml:space="preserve">units.recoilless_jeep.dropDelaySec</t>
  </si>
  <si>
    <t xml:space="preserve">B1-towed_at_gun</t>
  </si>
  <si>
    <t xml:space="preserve">towed_at_gun</t>
  </si>
  <si>
    <t xml:space="preserve">units.towed_at_gun.dropDelaySec</t>
  </si>
  <si>
    <t xml:space="preserve">B1-fpv_carrier</t>
  </si>
  <si>
    <t xml:space="preserve">fpv_carrier</t>
  </si>
  <si>
    <t xml:space="preserve">units.fpv_carrier.cost</t>
  </si>
  <si>
    <t xml:space="preserve">units.fpv_carrier.hp</t>
  </si>
  <si>
    <t xml:space="preserve">ROUND10(924 × (7/6)^1,15)</t>
  </si>
  <si>
    <t xml:space="preserve">units.fpv_carrier.outgoingDamageMult</t>
  </si>
  <si>
    <t xml:space="preserve">B1-lancet_truck</t>
  </si>
  <si>
    <t xml:space="preserve">lancet_truck</t>
  </si>
  <si>
    <t xml:space="preserve">units.lancet_truck.cost</t>
  </si>
  <si>
    <t xml:space="preserve">units.lancet_truck.hp</t>
  </si>
  <si>
    <t xml:space="preserve">ROUND10(836 × (7/6)^1,15)</t>
  </si>
  <si>
    <t xml:space="preserve">units.lancet_truck.outgoingDamageMult</t>
  </si>
  <si>
    <t xml:space="preserve">B1-tank_destroyer</t>
  </si>
  <si>
    <t xml:space="preserve">tank_destroyer</t>
  </si>
  <si>
    <t xml:space="preserve">units.tank_destroyer.cost</t>
  </si>
  <si>
    <t xml:space="preserve">units.tank_destroyer.hp</t>
  </si>
  <si>
    <t xml:space="preserve">ROUND10(1364 × (7/6)^1,15)</t>
  </si>
  <si>
    <t xml:space="preserve">units.tank_destroyer.outgoingDamageMult</t>
  </si>
  <si>
    <t xml:space="preserve">B1-wheeled_gun</t>
  </si>
  <si>
    <t xml:space="preserve">wheeled_gun</t>
  </si>
  <si>
    <t xml:space="preserve">units.wheeled_gun.cost</t>
  </si>
  <si>
    <t xml:space="preserve">units.wheeled_gun.hp</t>
  </si>
  <si>
    <t xml:space="preserve">ROUND10(1500 × (7/6)^1,15)</t>
  </si>
  <si>
    <t xml:space="preserve">units.wheeled_gun.outgoingDamageMult</t>
  </si>
  <si>
    <t xml:space="preserve">B1-fibre_fpv_carrier</t>
  </si>
  <si>
    <t xml:space="preserve">fibre_fpv_carrier</t>
  </si>
  <si>
    <t xml:space="preserve">units.fibre_fpv_carrier.cost</t>
  </si>
  <si>
    <t xml:space="preserve">units.fibre_fpv_carrier.hp</t>
  </si>
  <si>
    <t xml:space="preserve">ROUND10(950 × (8/7)^1,15)</t>
  </si>
  <si>
    <t xml:space="preserve">units.fibre_fpv_carrier.outgoingDamageMult</t>
  </si>
  <si>
    <t xml:space="preserve">B1-radar_atgm_vehicle</t>
  </si>
  <si>
    <t xml:space="preserve">radar_atgm_vehicle</t>
  </si>
  <si>
    <t xml:space="preserve">units.radar_atgm_vehicle.cost</t>
  </si>
  <si>
    <t xml:space="preserve">units.radar_atgm_vehicle.hp</t>
  </si>
  <si>
    <t xml:space="preserve">ROUND10(1300 × (8/7)^1,15)</t>
  </si>
  <si>
    <t xml:space="preserve">units.radar_atgm_vehicle.outgoingDamageMult</t>
  </si>
  <si>
    <t xml:space="preserve">B1-nlos_atgm_vehicle</t>
  </si>
  <si>
    <t xml:space="preserve">nlos_atgm_vehicle</t>
  </si>
  <si>
    <t xml:space="preserve">units.nlos_atgm_vehicle.cost</t>
  </si>
  <si>
    <t xml:space="preserve">units.nlos_atgm_vehicle.hp</t>
  </si>
  <si>
    <t xml:space="preserve">ROUND10(900 × (9/8)^1,15)</t>
  </si>
  <si>
    <t xml:space="preserve">units.nlos_atgm_vehicle.outgoingDamageMult</t>
  </si>
  <si>
    <t xml:space="preserve">B1-laser_tank</t>
  </si>
  <si>
    <t xml:space="preserve">laser_tank</t>
  </si>
  <si>
    <t xml:space="preserve">units.laser_tank.cost</t>
  </si>
  <si>
    <t xml:space="preserve">units.laser_tank.hp</t>
  </si>
  <si>
    <t xml:space="preserve">ROUND10(1540 × (11/9)^1,15)</t>
  </si>
  <si>
    <t xml:space="preserve">units.laser_tank.outgoingDamageMult</t>
  </si>
  <si>
    <t xml:space="preserve">B1-railgun_truck</t>
  </si>
  <si>
    <t xml:space="preserve">railgun_truck</t>
  </si>
  <si>
    <t xml:space="preserve">units.railgun_truck.cost</t>
  </si>
  <si>
    <t xml:space="preserve">units.railgun_truck.hp</t>
  </si>
  <si>
    <t xml:space="preserve">ROUND10(924 × (13/10)^1,15)</t>
  </si>
  <si>
    <t xml:space="preserve">units.railgun_truck.outgoingDamageMult</t>
  </si>
  <si>
    <t xml:space="preserve">B1-rocket_technical</t>
  </si>
  <si>
    <t xml:space="preserve">rocket_technical</t>
  </si>
  <si>
    <t xml:space="preserve">units.rocket_technical.dropDelaySec</t>
  </si>
  <si>
    <t xml:space="preserve">B1-mortar_carrier</t>
  </si>
  <si>
    <t xml:space="preserve">mortar_carrier</t>
  </si>
  <si>
    <t xml:space="preserve">units.mortar_carrier.dropDelaySec</t>
  </si>
  <si>
    <t xml:space="preserve">B1-sp_mortar</t>
  </si>
  <si>
    <t xml:space="preserve">sp_mortar</t>
  </si>
  <si>
    <t xml:space="preserve">units.sp_mortar.cost</t>
  </si>
  <si>
    <t xml:space="preserve">units.sp_mortar.hp</t>
  </si>
  <si>
    <t xml:space="preserve">ROUND10(1199 × (6/5)^1,15)</t>
  </si>
  <si>
    <t xml:space="preserve">units.sp_mortar.outgoingDamageMult</t>
  </si>
  <si>
    <t xml:space="preserve">(6/5) — phần thưởng ở B5</t>
  </si>
  <si>
    <t xml:space="preserve">B1-artillery</t>
  </si>
  <si>
    <t xml:space="preserve">artillery</t>
  </si>
  <si>
    <t xml:space="preserve">units.artillery.cost</t>
  </si>
  <si>
    <t xml:space="preserve">units.artillery.hp</t>
  </si>
  <si>
    <t xml:space="preserve">units.artillery.outgoingDamageMult</t>
  </si>
  <si>
    <t xml:space="preserve">(7/6) — phần thưởng ở B5</t>
  </si>
  <si>
    <t xml:space="preserve">B1-wheeled_howitzer</t>
  </si>
  <si>
    <t xml:space="preserve">wheeled_howitzer</t>
  </si>
  <si>
    <t xml:space="preserve">units.wheeled_howitzer.cost</t>
  </si>
  <si>
    <t xml:space="preserve">units.wheeled_howitzer.hp</t>
  </si>
  <si>
    <t xml:space="preserve">ROUND10(700 × (7/6)^1,15)</t>
  </si>
  <si>
    <t xml:space="preserve">units.wheeled_howitzer.outgoingDamageMult</t>
  </si>
  <si>
    <t xml:space="preserve">B1-mine_rocket_truck</t>
  </si>
  <si>
    <t xml:space="preserve">mine_rocket_truck</t>
  </si>
  <si>
    <t xml:space="preserve">units.mine_rocket_truck.cost</t>
  </si>
  <si>
    <t xml:space="preserve">units.mine_rocket_truck.hp</t>
  </si>
  <si>
    <t xml:space="preserve">ROUND10(801 × (8/7)^1,15)</t>
  </si>
  <si>
    <t xml:space="preserve">units.mine_rocket_truck.outgoingDamageMult</t>
  </si>
  <si>
    <t xml:space="preserve">(8/7) — phần thưởng ở B5</t>
  </si>
  <si>
    <t xml:space="preserve">B1-mlrs</t>
  </si>
  <si>
    <t xml:space="preserve">mlrs</t>
  </si>
  <si>
    <t xml:space="preserve">units.mlrs.cost</t>
  </si>
  <si>
    <t xml:space="preserve">units.mlrs.hp</t>
  </si>
  <si>
    <t xml:space="preserve">ROUND10(704 × (8/7)^1,15)</t>
  </si>
  <si>
    <t xml:space="preserve">units.mlrs.outgoingDamageMult</t>
  </si>
  <si>
    <t xml:space="preserve">B1-shahed_truck</t>
  </si>
  <si>
    <t xml:space="preserve">shahed_truck</t>
  </si>
  <si>
    <t xml:space="preserve">units.shahed_truck.cost</t>
  </si>
  <si>
    <t xml:space="preserve">units.shahed_truck.hp</t>
  </si>
  <si>
    <t xml:space="preserve">ROUND10(880 × (9/8)^1,15)</t>
  </si>
  <si>
    <t xml:space="preserve">units.shahed_truck.outgoingDamageMult</t>
  </si>
  <si>
    <t xml:space="preserve">B5-shahed_truck</t>
  </si>
  <si>
    <t xml:space="preserve">B1-thermobaric_launcher</t>
  </si>
  <si>
    <t xml:space="preserve">units.thermobaric_launcher.cost</t>
  </si>
  <si>
    <t xml:space="preserve">S01, S02, S03, S04, E1, B0-thermobaric_launcher</t>
  </si>
  <si>
    <t xml:space="preserve">ROUND10(1980 × (11/9)^1,15)</t>
  </si>
  <si>
    <t xml:space="preserve">units.thermobaric_launcher.outgoingDamageMult</t>
  </si>
  <si>
    <t xml:space="preserve">(11/9) — phần thưởng ở B5</t>
  </si>
  <si>
    <t xml:space="preserve">B5-thermobaric_launcher</t>
  </si>
  <si>
    <t xml:space="preserve">B1-ballistic_launcher</t>
  </si>
  <si>
    <t xml:space="preserve">ballistic_launcher</t>
  </si>
  <si>
    <t xml:space="preserve">units.ballistic_launcher.cost</t>
  </si>
  <si>
    <t xml:space="preserve">ROUND_HALF_UP(11 × 1.25)</t>
  </si>
  <si>
    <t xml:space="preserve">units.ballistic_launcher.hp</t>
  </si>
  <si>
    <t xml:space="preserve">ROUND10(990 × (14/11)^1,15)</t>
  </si>
  <si>
    <t xml:space="preserve">units.ballistic_launcher.outgoingDamageMult</t>
  </si>
  <si>
    <t xml:space="preserve">(14/11) — phần thưởng ở B5</t>
  </si>
  <si>
    <t xml:space="preserve">B5-ballistic_launcher</t>
  </si>
  <si>
    <t xml:space="preserve">(14/11) × (1 + 0.0750)</t>
  </si>
  <si>
    <t xml:space="preserve">B1-heavy_rocket_artillery</t>
  </si>
  <si>
    <t xml:space="preserve">heavy_rocket_artillery</t>
  </si>
  <si>
    <t xml:space="preserve">units.heavy_rocket_artillery.cost</t>
  </si>
  <si>
    <t xml:space="preserve">units.heavy_rocket_artillery.hp</t>
  </si>
  <si>
    <t xml:space="preserve">ROUND10(924 × (15/12)^1,15)</t>
  </si>
  <si>
    <t xml:space="preserve">units.heavy_rocket_artillery.outgoingDamageMult</t>
  </si>
  <si>
    <t xml:space="preserve">B5-heavy_rocket_artillery</t>
  </si>
  <si>
    <t xml:space="preserve">units.heavy_rocket_artillery.dropDelaySec</t>
  </si>
  <si>
    <t xml:space="preserve">B1-siege_tank</t>
  </si>
  <si>
    <t xml:space="preserve">units.siege_tank.cost</t>
  </si>
  <si>
    <t xml:space="preserve">S01, S02, S03, S04, E1, B0-siege_tank</t>
  </si>
  <si>
    <t xml:space="preserve">ROUND10(3300 × (15/12)^1,15)</t>
  </si>
  <si>
    <t xml:space="preserve">units.siege_tank.outgoingDamageMult</t>
  </si>
  <si>
    <t xml:space="preserve">B5-siege_tank</t>
  </si>
  <si>
    <t xml:space="preserve">units.siege_tank.dropDelaySec</t>
  </si>
  <si>
    <t xml:space="preserve">B1-zu23_technical</t>
  </si>
  <si>
    <t xml:space="preserve">zu23_technical</t>
  </si>
  <si>
    <t xml:space="preserve">units.zu23_technical.dropDelaySec</t>
  </si>
  <si>
    <t xml:space="preserve">B1-aa_vehicle</t>
  </si>
  <si>
    <t xml:space="preserve">aa_vehicle</t>
  </si>
  <si>
    <t xml:space="preserve">units.aa_vehicle.dropDelaySec</t>
  </si>
  <si>
    <t xml:space="preserve">B1-shorad_vehicle</t>
  </si>
  <si>
    <t xml:space="preserve">shorad_vehicle</t>
  </si>
  <si>
    <t xml:space="preserve">units.shorad_vehicle.dropDelaySec</t>
  </si>
  <si>
    <t xml:space="preserve">B1-aa_gun_vehicle</t>
  </si>
  <si>
    <t xml:space="preserve">aa_gun_vehicle</t>
  </si>
  <si>
    <t xml:space="preserve">units.aa_gun_vehicle.cost</t>
  </si>
  <si>
    <t xml:space="preserve">units.aa_gun_vehicle.hp</t>
  </si>
  <si>
    <t xml:space="preserve">ROUND10(1001 × (6/5)^1,15)</t>
  </si>
  <si>
    <t xml:space="preserve">units.aa_gun_vehicle.outgoingDamageMult</t>
  </si>
  <si>
    <t xml:space="preserve">B1-interceptor_drone_vehicle</t>
  </si>
  <si>
    <t xml:space="preserve">interceptor_drone_vehicle</t>
  </si>
  <si>
    <t xml:space="preserve">units.interceptor_drone_vehicle.cost</t>
  </si>
  <si>
    <t xml:space="preserve">units.interceptor_drone_vehicle.hp</t>
  </si>
  <si>
    <t xml:space="preserve">units.interceptor_drone_vehicle.outgoingDamageMult</t>
  </si>
  <si>
    <t xml:space="preserve">B1-aa_57mm_vehicle</t>
  </si>
  <si>
    <t xml:space="preserve">aa_57mm_vehicle</t>
  </si>
  <si>
    <t xml:space="preserve">units.aa_57mm_vehicle.cost</t>
  </si>
  <si>
    <t xml:space="preserve">units.aa_57mm_vehicle.hp</t>
  </si>
  <si>
    <t xml:space="preserve">ROUND10(1399 × (7/6)^1,15)</t>
  </si>
  <si>
    <t xml:space="preserve">units.aa_57mm_vehicle.outgoingDamageMult</t>
  </si>
  <si>
    <t xml:space="preserve">B1-iron_beam</t>
  </si>
  <si>
    <t xml:space="preserve">iron_beam</t>
  </si>
  <si>
    <t xml:space="preserve">units.iron_beam.cost</t>
  </si>
  <si>
    <t xml:space="preserve">units.iron_beam.hp</t>
  </si>
  <si>
    <t xml:space="preserve">ROUND10(990 × (7/6)^1,15)</t>
  </si>
  <si>
    <t xml:space="preserve">units.iron_beam.outgoingDamageMult</t>
  </si>
  <si>
    <t xml:space="preserve">B1-microwave_vehicle</t>
  </si>
  <si>
    <t xml:space="preserve">microwave_vehicle</t>
  </si>
  <si>
    <t xml:space="preserve">units.microwave_vehicle.cost</t>
  </si>
  <si>
    <t xml:space="preserve">units.microwave_vehicle.hp</t>
  </si>
  <si>
    <t xml:space="preserve">units.microwave_vehicle.outgoingDamageMult</t>
  </si>
  <si>
    <t xml:space="preserve">B1-heavy_aa</t>
  </si>
  <si>
    <t xml:space="preserve">heavy_aa</t>
  </si>
  <si>
    <t xml:space="preserve">units.heavy_aa.cost</t>
  </si>
  <si>
    <t xml:space="preserve">units.heavy_aa.hp</t>
  </si>
  <si>
    <t xml:space="preserve">ROUND10(1188 × (8/7)^1,15)</t>
  </si>
  <si>
    <t xml:space="preserve">units.heavy_aa.outgoingDamageMult</t>
  </si>
  <si>
    <t xml:space="preserve">B1-sam_launcher</t>
  </si>
  <si>
    <t xml:space="preserve">sam_launcher</t>
  </si>
  <si>
    <t xml:space="preserve">units.sam_launcher.cost</t>
  </si>
  <si>
    <t xml:space="preserve">units.sam_launcher.hp</t>
  </si>
  <si>
    <t xml:space="preserve">units.sam_launcher.outgoingDamageMult</t>
  </si>
  <si>
    <t xml:space="preserve">B1-long_sam</t>
  </si>
  <si>
    <t xml:space="preserve">long_sam</t>
  </si>
  <si>
    <t xml:space="preserve">units.long_sam.cost</t>
  </si>
  <si>
    <t xml:space="preserve">units.long_sam.hp</t>
  </si>
  <si>
    <t xml:space="preserve">ROUND10(968 × (18/14)^1,15)</t>
  </si>
  <si>
    <t xml:space="preserve">units.long_sam.outgoingDamageMult</t>
  </si>
  <si>
    <t xml:space="preserve">units.long_sam.dropDelaySec</t>
  </si>
  <si>
    <t xml:space="preserve">B1-bunker_vehicle</t>
  </si>
  <si>
    <t xml:space="preserve">bunker_vehicle</t>
  </si>
  <si>
    <t xml:space="preserve">units.bunker_vehicle.cost</t>
  </si>
  <si>
    <t xml:space="preserve">units.bunker_vehicle.hp</t>
  </si>
  <si>
    <t xml:space="preserve">ROUND10(2860 × (7/6)^1,15)</t>
  </si>
  <si>
    <t xml:space="preserve">units.bunker_vehicle.outgoingDamageMult</t>
  </si>
  <si>
    <t xml:space="preserve">B1-armored_bulldozer</t>
  </si>
  <si>
    <t xml:space="preserve">armored_bulldozer</t>
  </si>
  <si>
    <t xml:space="preserve">units.armored_bulldozer.cost</t>
  </si>
  <si>
    <t xml:space="preserve">units.armored_bulldozer.hp</t>
  </si>
  <si>
    <t xml:space="preserve">units.armored_bulldozer.outgoingDamageMult</t>
  </si>
  <si>
    <t xml:space="preserve">B1-main_battle_tank</t>
  </si>
  <si>
    <t xml:space="preserve">main_battle_tank</t>
  </si>
  <si>
    <t xml:space="preserve">units.main_battle_tank.cost</t>
  </si>
  <si>
    <t xml:space="preserve">units.main_battle_tank.hp</t>
  </si>
  <si>
    <t xml:space="preserve">ROUND10(1980 × (8/7)^1,15)</t>
  </si>
  <si>
    <t xml:space="preserve">units.main_battle_tank.outgoingDamageMult</t>
  </si>
  <si>
    <t xml:space="preserve">B1-next_gen_tank</t>
  </si>
  <si>
    <t xml:space="preserve">next_gen_tank</t>
  </si>
  <si>
    <t xml:space="preserve">units.next_gen_tank.cost</t>
  </si>
  <si>
    <t xml:space="preserve">units.next_gen_tank.hp</t>
  </si>
  <si>
    <t xml:space="preserve">ROUND10(2299 × (11/9)^1,15)</t>
  </si>
  <si>
    <t xml:space="preserve">units.next_gen_tank.outgoingDamageMult</t>
  </si>
  <si>
    <t xml:space="preserve">B1-twin_tank</t>
  </si>
  <si>
    <t xml:space="preserve">twin_tank</t>
  </si>
  <si>
    <t xml:space="preserve">units.twin_tank.cost</t>
  </si>
  <si>
    <t xml:space="preserve">units.twin_tank.hp</t>
  </si>
  <si>
    <t xml:space="preserve">units.twin_tank.outgoingDamageMult</t>
  </si>
  <si>
    <t xml:space="preserve">B1-heavy_tank</t>
  </si>
  <si>
    <t xml:space="preserve">heavy_tank</t>
  </si>
  <si>
    <t xml:space="preserve">units.heavy_tank.cost</t>
  </si>
  <si>
    <t xml:space="preserve">units.heavy_tank.hp</t>
  </si>
  <si>
    <t xml:space="preserve">ROUND10(3520 × (16/13)^1,15)</t>
  </si>
  <si>
    <t xml:space="preserve">units.heavy_tank.outgoingDamageMult</t>
  </si>
  <si>
    <t xml:space="preserve">units.heavy_tank.dropDelaySec</t>
  </si>
  <si>
    <t xml:space="preserve">B1-titan_tank</t>
  </si>
  <si>
    <t xml:space="preserve">titan_tank</t>
  </si>
  <si>
    <t xml:space="preserve">units.titan_tank.cost</t>
  </si>
  <si>
    <t xml:space="preserve">units.titan_tank.hp</t>
  </si>
  <si>
    <t xml:space="preserve">ROUND10(5720 × (23/18)^1,15)</t>
  </si>
  <si>
    <t xml:space="preserve">units.titan_tank.outgoingDamageMult</t>
  </si>
  <si>
    <t xml:space="preserve">units.titan_tank.dropDelaySec</t>
  </si>
  <si>
    <t xml:space="preserve">B2-FLR-scout_heli</t>
  </si>
  <si>
    <t xml:space="preserve">units.scout_heli.flare.maxCharges</t>
  </si>
  <si>
    <t xml:space="preserve">lần</t>
  </si>
  <si>
    <t xml:space="preserve">Chưa có pháo sáng</t>
  </si>
  <si>
    <t xml:space="preserve">S01, S06</t>
  </si>
  <si>
    <t xml:space="preserve">Số lần đúng bảng Pháo sáng</t>
  </si>
  <si>
    <t xml:space="preserve">Thêm mới</t>
  </si>
  <si>
    <t xml:space="preserve">PDF thẻ xe tr. 45–61; dot2 v1 &gt; Pháo sáng &amp; APS</t>
  </si>
  <si>
    <t xml:space="preserve">units.scout_heli.flare.rechargeSec</t>
  </si>
  <si>
    <t xml:space="preserve">Mặc định 20 s cho đơn vị mới</t>
  </si>
  <si>
    <t xml:space="preserve">PDF thẻ xe tr. 45–61</t>
  </si>
  <si>
    <t xml:space="preserve">B2-FLR-heavy_lift_helicopter</t>
  </si>
  <si>
    <t xml:space="preserve">units.heavy_lift_helicopter.flare.maxCharges</t>
  </si>
  <si>
    <t xml:space="preserve">units.heavy_lift_helicopter.flare.rechargeSec</t>
  </si>
  <si>
    <t xml:space="preserve">B2-FLR-light_attack_heli</t>
  </si>
  <si>
    <t xml:space="preserve">units.light_attack_heli.flare.maxCharges</t>
  </si>
  <si>
    <t xml:space="preserve">units.light_attack_heli.flare.rechargeSec</t>
  </si>
  <si>
    <t xml:space="preserve">B2-FLR-prop_attack_plane</t>
  </si>
  <si>
    <t xml:space="preserve">units.prop_attack_plane.flare.maxCharges</t>
  </si>
  <si>
    <t xml:space="preserve">units.prop_attack_plane.flare.rechargeSec</t>
  </si>
  <si>
    <t xml:space="preserve">B2-FLR-aerial_tanker</t>
  </si>
  <si>
    <t xml:space="preserve">units.aerial_tanker.flare.maxCharges</t>
  </si>
  <si>
    <t xml:space="preserve">units.aerial_tanker.flare.rechargeSec</t>
  </si>
  <si>
    <t xml:space="preserve">B2-FLR-attack_helicopter</t>
  </si>
  <si>
    <t xml:space="preserve">units.attack_helicopter.flare.maxCharges</t>
  </si>
  <si>
    <t xml:space="preserve">Hồi chiêu hiện tại không có số lần → 0</t>
  </si>
  <si>
    <t xml:space="preserve">Đổi hệ</t>
  </si>
  <si>
    <t xml:space="preserve">units.attack_helicopter.flare.rechargeSec</t>
  </si>
  <si>
    <t xml:space="preserve">Giữ đúng nhịp hồi chiêu hiện tại</t>
  </si>
  <si>
    <t xml:space="preserve">B2-FLR-fighter_jet</t>
  </si>
  <si>
    <t xml:space="preserve">units.fighter_jet.flare.maxCharges</t>
  </si>
  <si>
    <t xml:space="preserve">units.fighter_jet.flare.rechargeSec</t>
  </si>
  <si>
    <t xml:space="preserve">B2-FLR-interceptor_jet</t>
  </si>
  <si>
    <t xml:space="preserve">units.interceptor_jet.flare.maxCharges</t>
  </si>
  <si>
    <t xml:space="preserve">units.interceptor_jet.flare.rechargeSec</t>
  </si>
  <si>
    <t xml:space="preserve">B2-FLR-stealth_fighter</t>
  </si>
  <si>
    <t xml:space="preserve">units.stealth_fighter.flare.maxCharges</t>
  </si>
  <si>
    <t xml:space="preserve">units.stealth_fighter.flare.rechargeSec</t>
  </si>
  <si>
    <t xml:space="preserve">B2-FLR-swarm_carrier</t>
  </si>
  <si>
    <t xml:space="preserve">units.swarm_carrier.flare.maxCharges</t>
  </si>
  <si>
    <t xml:space="preserve">units.swarm_carrier.flare.rechargeSec</t>
  </si>
  <si>
    <t xml:space="preserve">B2-FLR-twin_rotor_gunship</t>
  </si>
  <si>
    <t xml:space="preserve">units.twin_rotor_gunship.flare.maxCharges</t>
  </si>
  <si>
    <t xml:space="preserve">units.twin_rotor_gunship.flare.rechargeSec</t>
  </si>
  <si>
    <t xml:space="preserve">B2-FLR-gunship_heli</t>
  </si>
  <si>
    <t xml:space="preserve">units.gunship_heli.flare.maxCharges</t>
  </si>
  <si>
    <t xml:space="preserve">units.gunship_heli.flare.rechargeSec</t>
  </si>
  <si>
    <t xml:space="preserve">B2-FLR-glide_bomber</t>
  </si>
  <si>
    <t xml:space="preserve">units.glide_bomber.flare.maxCharges</t>
  </si>
  <si>
    <t xml:space="preserve">units.glide_bomber.flare.rechargeSec</t>
  </si>
  <si>
    <t xml:space="preserve">B2-FLR-attack_jet</t>
  </si>
  <si>
    <t xml:space="preserve">units.attack_jet.flare.maxCharges</t>
  </si>
  <si>
    <t xml:space="preserve">units.attack_jet.flare.rechargeSec</t>
  </si>
  <si>
    <t xml:space="preserve">B2-FLR-stealth_bomber</t>
  </si>
  <si>
    <t xml:space="preserve">units.stealth_bomber.flare.maxCharges</t>
  </si>
  <si>
    <t xml:space="preserve">Bỏ (theo luật mẫu thật)</t>
  </si>
  <si>
    <t xml:space="preserve">units.stealth_bomber.flare.rechargeSec</t>
  </si>
  <si>
    <t xml:space="preserve">Bỏ hệ</t>
  </si>
  <si>
    <t xml:space="preserve">B2-FLR-heavy_bomber</t>
  </si>
  <si>
    <t xml:space="preserve">units.heavy_bomber.flare.maxCharges</t>
  </si>
  <si>
    <t xml:space="preserve">units.heavy_bomber.flare.rechargeSec</t>
  </si>
  <si>
    <t xml:space="preserve">B2-FLR-sky_gunship</t>
  </si>
  <si>
    <t xml:space="preserve">units.sky_gunship.flare.maxCharges</t>
  </si>
  <si>
    <t xml:space="preserve">units.sky_gunship.flare.rechargeSec</t>
  </si>
  <si>
    <t xml:space="preserve">B3-AI</t>
  </si>
  <si>
    <t xml:space="preserve">(máy bay)</t>
  </si>
  <si>
    <t xml:space="preserve">aircraft.returnBecauseLowHP</t>
  </si>
  <si>
    <t xml:space="preserve">bool</t>
  </si>
  <si>
    <t xml:space="preserve">Chỉ bỏ điều kiện "máu thấp thì về sửa"; giữ về vì hết đạn, sửa ở Bãi đáp, vòng chờ</t>
  </si>
  <si>
    <t xml:space="preserve">S01, C12</t>
  </si>
  <si>
    <t xml:space="preserve">Test: máy bay máu thấp vẫn đánh tiếp; máy bay hết đạn vẫn về</t>
  </si>
  <si>
    <t xml:space="preserve">Quyết định thiết kế: không rút theo máu (đi cùng prompt 28)</t>
  </si>
  <si>
    <t xml:space="preserve">PDF tr. 45–61; AI_Research &gt; Tính năng chọn chiến thuật</t>
  </si>
  <si>
    <t xml:space="preserve">B2-APS-next_gen_tank</t>
  </si>
  <si>
    <t xml:space="preserve">units.next_gen_tank.apsCapability</t>
  </si>
  <si>
    <t xml:space="preserve">enum</t>
  </si>
  <si>
    <t xml:space="preserve">BUILT_IN</t>
  </si>
  <si>
    <t xml:space="preserve">S01, S07, C06</t>
  </si>
  <si>
    <t xml:space="preserve">Test: 1 xe Khrizantema không phá được APS, 2 xe phá được</t>
  </si>
  <si>
    <t xml:space="preserve">SELF_APS theo D7</t>
  </si>
  <si>
    <t xml:space="preserve">PDF tr. 85, 88, 107</t>
  </si>
  <si>
    <t xml:space="preserve">units.next_gen_tank.interception.rechargeSec</t>
  </si>
  <si>
    <t xml:space="preserve">units.next_gen_tank.interception.blocks.artilleryRocket</t>
  </si>
  <si>
    <t xml:space="preserve">units.next_gen_tank.interception.shellChance</t>
  </si>
  <si>
    <t xml:space="preserve">B2-APS-titan_tank</t>
  </si>
  <si>
    <t xml:space="preserve">units.titan_tank.apsCapability</t>
  </si>
  <si>
    <t xml:space="preserve">NONE</t>
  </si>
  <si>
    <t xml:space="preserve">S01, S07, C06, B1-titan_tank</t>
  </si>
  <si>
    <t xml:space="preserve">units.titan_tank.interception.maxCharges</t>
  </si>
  <si>
    <t xml:space="preserve">units.titan_tank.interception.rechargeSec</t>
  </si>
  <si>
    <t xml:space="preserve">B2-APS-main_battle_tank</t>
  </si>
  <si>
    <t xml:space="preserve">units.main_battle_tank.apsCapability</t>
  </si>
  <si>
    <t xml:space="preserve">RETROFIT_ELIGIBLE</t>
  </si>
  <si>
    <t xml:space="preserve">B2-APS-trophy</t>
  </si>
  <si>
    <t xml:space="preserve">equip.trophy_aps</t>
  </si>
  <si>
    <t xml:space="preserve">equipment.trophy_aps.rule</t>
  </si>
  <si>
    <t xml:space="preserve">+1 lần mọi xe</t>
  </si>
  <si>
    <t xml:space="preserve">NONE: không gắn; RETROFIT_ELIGIBLE: 2 lần, hồi 20 s; BUILT_IN: +1 lần, hồi ×0,75</t>
  </si>
  <si>
    <t xml:space="preserve">S01, S07</t>
  </si>
  <si>
    <t xml:space="preserve">Không xe NONE nào gắn được</t>
  </si>
  <si>
    <t xml:space="preserve">Đồ trang bị chỉ nâng cấp hệ đã có hoặc xe được phép retrofit</t>
  </si>
  <si>
    <t xml:space="preserve">PDF tr. đồ trang bị (Trophy: 2 lượt, hồi 20 s)</t>
  </si>
  <si>
    <t xml:space="preserve">gungnir</t>
  </si>
  <si>
    <t xml:space="preserve">boss.gungnir.tier</t>
  </si>
  <si>
    <t xml:space="preserve">mini</t>
  </si>
  <si>
    <t xml:space="preserve">major</t>
  </si>
  <si>
    <t xml:space="preserve">S01, S05, C11</t>
  </si>
  <si>
    <t xml:space="preserve">Test: chu kỳ 45 s; đòn trúng được mọi vị trí trên map 300×480; không trúng máy bay (canHitAir=false)</t>
  </si>
  <si>
    <t xml:space="preserve">Mini boss không được có siêu vũ khí</t>
  </si>
  <si>
    <t xml:space="preserve">PDF tr. 98, 101, 115, 166, 168</t>
  </si>
  <si>
    <t xml:space="preserve">boss.gungnir.superweapon.cycleSec</t>
  </si>
  <si>
    <t xml:space="preserve">boss.gungnir.superweapon.targetingMode</t>
  </si>
  <si>
    <t xml:space="preserve">range 400 m</t>
  </si>
  <si>
    <t xml:space="preserve">GLOBAL</t>
  </si>
  <si>
    <t xml:space="preserve">boss.gungnir.superweapon.pattern</t>
  </si>
  <si>
    <t xml:space="preserve">HE 900, lõi 12 m, rìa 20 m</t>
  </si>
  <si>
    <t xml:space="preserve">Xuyên tuyến tối đa 5 xe × 1.000; nổ cuối 2.000 lõi 12 m, rìa 20 m (40%)</t>
  </si>
  <si>
    <t xml:space="preserve">boss.gungnir.hp</t>
  </si>
  <si>
    <t xml:space="preserve">bossHp(chapter=11, tier=major) — agent tính bằng công thức boss hiện có</t>
  </si>
  <si>
    <t xml:space="preserve">R-supergun</t>
  </si>
  <si>
    <t xml:space="preserve">supergun_800</t>
  </si>
  <si>
    <t xml:space="preserve">weapons.supergun_800.range</t>
  </si>
  <si>
    <t xml:space="preserve">m</t>
  </si>
  <si>
    <t xml:space="preserve">Tầm 400 m là có chủ đích (đòn toàn map); thay bằng targetingMode=GLOBAL ở G1</t>
  </si>
  <si>
    <t xml:space="preserve">Review vòng 2–cuối</t>
  </si>
  <si>
    <t xml:space="preserve">R-radar</t>
  </si>
  <si>
    <t xml:space="preserve">units.radar_scout.dps</t>
  </si>
  <si>
    <t xml:space="preserve">Trinh sát không chấm bằng DPS; dùng thước đo vai trò (CHECK C14)</t>
  </si>
  <si>
    <t xml:space="preserve">R-floor</t>
  </si>
  <si>
    <t xml:space="preserve">(máy bay, xe nặng)</t>
  </si>
  <si>
    <t xml:space="preserve">balance.hpFloorCurve</t>
  </si>
  <si>
    <t xml:space="preserve">Thay bằng dải số phát cho máy bay (D8); xe mặt đất không xe nào chạm sàn</t>
  </si>
  <si>
    <t xml:space="preserve">R-typhon</t>
  </si>
  <si>
    <t xml:space="preserve">(chỉ số)</t>
  </si>
  <si>
    <t xml:space="preserve">metric.typhon1460</t>
  </si>
  <si>
    <t xml:space="preserve">Giá trị 1.460 không truy được nguồn; boss Typhon là 6 × 700 nhắm căn cứ</t>
  </si>
  <si>
    <t xml:space="preserve">R-icarus</t>
  </si>
  <si>
    <t xml:space="preserve">metric.icarusCoilgun1440</t>
  </si>
  <si>
    <t xml:space="preserve">Không có trong PDF; coilgun duy nhất là của Tempest (250 × 2)</t>
  </si>
  <si>
    <t xml:space="preserve">R-round-hover</t>
  </si>
  <si>
    <t xml:space="preserve">hover_gunboat</t>
  </si>
  <si>
    <t xml:space="preserve">units.hover_gunboat.hp</t>
  </si>
  <si>
    <t xml:space="preserve">Đổi chỉ do làm tròn, giá không đổi</t>
  </si>
  <si>
    <t xml:space="preserve">R-speed-new</t>
  </si>
  <si>
    <t xml:space="preserve">(4 xe)</t>
  </si>
  <si>
    <t xml:space="preserve">units.*.speed</t>
  </si>
  <si>
    <t xml:space="preserve">8 / 11 / 5,5 / 5,5</t>
  </si>
  <si>
    <t xml:space="preserve">Thay bằng FIX về giá trị đã biết (D5)</t>
  </si>
  <si>
    <t xml:space="preserve">Đối tượng</t>
  </si>
  <si>
    <t xml:space="preserve">Số dòng</t>
  </si>
  <si>
    <t xml:space="preserve">Trạng thái</t>
  </si>
  <si>
    <t xml:space="preserve">Cần viết code</t>
  </si>
  <si>
    <t xml:space="preserve">Có</t>
  </si>
  <si>
    <t xml:space="preserve">Không</t>
  </si>
  <si>
    <t xml:space="preserve">E1, S01, S02, S03, S04</t>
  </si>
  <si>
    <t xml:space="preserve">B0-engineer_vehicle, E1, S01, S02, S03, S04</t>
  </si>
  <si>
    <t xml:space="preserve">B0-sky_gunship, B2-FLR-sky_gunship, B3-AI, E1, S01, S02, S03, S04</t>
  </si>
  <si>
    <t xml:space="preserve">B0-vbied, E1, S01, S02, S03, S04</t>
  </si>
  <si>
    <t xml:space="preserve">B0-light_tank, E1, S01, S02, S03, S04</t>
  </si>
  <si>
    <t xml:space="preserve">B0-flame_tank, E1, S01, S02, S03, S04</t>
  </si>
  <si>
    <t xml:space="preserve">B0-thermobaric_launcher, E1, S01, S02, S03, S04</t>
  </si>
  <si>
    <t xml:space="preserve">B0-siege_tank, E1, S01, S02, S03, S04</t>
  </si>
  <si>
    <t xml:space="preserve">C12, S01</t>
  </si>
  <si>
    <t xml:space="preserve">C06, S01, S07</t>
  </si>
  <si>
    <t xml:space="preserve">B1-titan_tank, C06, S01, S07</t>
  </si>
  <si>
    <t xml:space="preserve">C11, S01, S05</t>
  </si>
  <si>
    <t xml:space="preserve">Tham số (chữ xanh = đầu vào, sửa ở đây thì sheet Tính toán và Máy bay – số phát tính lại)</t>
  </si>
  <si>
    <t xml:space="preserve">Tham số</t>
  </si>
  <si>
    <t xml:space="preserve">Giá trị</t>
  </si>
  <si>
    <t xml:space="preserve">Nguồn</t>
  </si>
  <si>
    <t xml:space="preserve">Số mũ máu theo giá</t>
  </si>
  <si>
    <t xml:space="preserve">Thưởng: hệ số mỗi CP</t>
  </si>
  <si>
    <t xml:space="preserve">Thưởng: trần</t>
  </si>
  <si>
    <t xml:space="preserve">Thưởng: CP bắt đầu</t>
  </si>
  <si>
    <t xml:space="preserve">Hệ số giá ≤ 4 CP</t>
  </si>
  <si>
    <t xml:space="preserve">Hệ số giá 5–8 CP</t>
  </si>
  <si>
    <t xml:space="preserve">Hệ số giá 9–13 CP</t>
  </si>
  <si>
    <t xml:space="preserve">Hệ số giá ≥ 14 CP</t>
  </si>
  <si>
    <t xml:space="preserve">Thả dù: CP ≤ (s = 2,5)</t>
  </si>
  <si>
    <t xml:space="preserve">Thả dù: CP ≥ (s = 5)</t>
  </si>
  <si>
    <t xml:space="preserve">Sát thương Buk</t>
  </si>
  <si>
    <t xml:space="preserve">PDF bảng vũ khí: buk_launcher</t>
  </si>
  <si>
    <t xml:space="preserve">Hệ số Buk với máy bay</t>
  </si>
  <si>
    <t xml:space="preserve">Giả định; CHECK C10</t>
  </si>
  <si>
    <t xml:space="preserve">Sát thương PK nhẹ (sam / stinger_atas)</t>
  </si>
  <si>
    <t xml:space="preserve">PDF: 170 / 178</t>
  </si>
  <si>
    <t xml:space="preserve">Sát thương tên lửa tiêm kích (air_to_air)</t>
  </si>
  <si>
    <t xml:space="preserve">PDF bảng vũ khí</t>
  </si>
  <si>
    <t xml:space="preserve">id</t>
  </si>
  <si>
    <t xml:space="preserve">Tên</t>
  </si>
  <si>
    <t xml:space="preserve">Lớp</t>
  </si>
  <si>
    <t xml:space="preserve">AoE (1 = thưởng ở B5)</t>
  </si>
  <si>
    <t xml:space="preserve">CP hiện tại</t>
  </si>
  <si>
    <t xml:space="preserve">Hệ số giá</t>
  </si>
  <si>
    <t xml:space="preserve">CP mới</t>
  </si>
  <si>
    <t xml:space="preserve">Máu hiện tại</t>
  </si>
  <si>
    <t xml:space="preserve">Máu gốc (known_good)</t>
  </si>
  <si>
    <t xml:space="preserve">Máu theo công thức</t>
  </si>
  <si>
    <t xml:space="preserve">Máu chốt (ghi đè)</t>
  </si>
  <si>
    <t xml:space="preserve">Máu chốt</t>
  </si>
  <si>
    <t xml:space="preserve">Tỷ lệ giá</t>
  </si>
  <si>
    <t xml:space="preserve">Thưởng (D3)</t>
  </si>
  <si>
    <t xml:space="preserve">Hệ số sát thương áp ngay</t>
  </si>
  <si>
    <t xml:space="preserve">Hệ số sát thương đầy đủ</t>
  </si>
  <si>
    <t xml:space="preserve">Thả dù (s)</t>
  </si>
  <si>
    <t xml:space="preserve">Xuồng đệm khí hộ tống</t>
  </si>
  <si>
    <t xml:space="preserve">Xe nhẹ</t>
  </si>
  <si>
    <t xml:space="preserve">Xe bọc thép bánh lốp</t>
  </si>
  <si>
    <t xml:space="preserve">Xe khi hỏng thành công sự</t>
  </si>
  <si>
    <t xml:space="preserve">Tàu tuần tra sông</t>
  </si>
  <si>
    <t xml:space="preserve">Xe đổ bộ đường không</t>
  </si>
  <si>
    <t xml:space="preserve">Xe lội nước tốc độ cao</t>
  </si>
  <si>
    <t xml:space="preserve">Xe chiến đấu bộ binh</t>
  </si>
  <si>
    <t xml:space="preserve">Lựu pháo nạp tự động</t>
  </si>
  <si>
    <t xml:space="preserve">Pháo hạm sông</t>
  </si>
  <si>
    <t xml:space="preserve">Xe tên lửa chống hạm bờ biển</t>
  </si>
  <si>
    <t xml:space="preserve">Xe phóng tên lửa hành trình</t>
  </si>
  <si>
    <t xml:space="preserve">supply_truck</t>
  </si>
  <si>
    <t xml:space="preserve">Xe tải tiếp tế</t>
  </si>
  <si>
    <t xml:space="preserve">Hỗ trợ</t>
  </si>
  <si>
    <t xml:space="preserve">Xe công binh</t>
  </si>
  <si>
    <t xml:space="preserve">Xe thả khói</t>
  </si>
  <si>
    <t xml:space="preserve">Xe tiếp đạn</t>
  </si>
  <si>
    <t xml:space="preserve">Xe bắc cầu</t>
  </si>
  <si>
    <t xml:space="preserve">Xe phá mìn bằng dây nổ</t>
  </si>
  <si>
    <t xml:space="preserve">Xe sửa chữa lưu động</t>
  </si>
  <si>
    <t xml:space="preserve">Xe radar phản pháo</t>
  </si>
  <si>
    <t xml:space="preserve">Xe laser chói lóa</t>
  </si>
  <si>
    <t xml:space="preserve">Xe gây nhiễu điện tử</t>
  </si>
  <si>
    <t xml:space="preserve">Xe gây nhiễu định vị</t>
  </si>
  <si>
    <t xml:space="preserve">Xe chỉ huy robot mặt đất</t>
  </si>
  <si>
    <t xml:space="preserve">Xe rải mìn</t>
  </si>
  <si>
    <t xml:space="preserve">Xe chỉ huy</t>
  </si>
  <si>
    <t xml:space="preserve">Xe chiếm quyền drone</t>
  </si>
  <si>
    <t xml:space="preserve">Xe phát khiên</t>
  </si>
  <si>
    <t xml:space="preserve">uav_loiter_strike</t>
  </si>
  <si>
    <t xml:space="preserve">UAV lượn tấn công</t>
  </si>
  <si>
    <t xml:space="preserve">Máy bay</t>
  </si>
  <si>
    <t xml:space="preserve">Trực thăng trinh sát vũ trang</t>
  </si>
  <si>
    <t xml:space="preserve">Trực thăng</t>
  </si>
  <si>
    <t xml:space="preserve">UAV trinh sát</t>
  </si>
  <si>
    <t xml:space="preserve">Drone hộ vệ</t>
  </si>
  <si>
    <t xml:space="preserve">Trực thăng cẩu tháp</t>
  </si>
  <si>
    <t xml:space="preserve">Trực thăng tấn công hạng nhẹ</t>
  </si>
  <si>
    <t xml:space="preserve">Máy bay cường kích cánh quạt</t>
  </si>
  <si>
    <t xml:space="preserve">Máy bay tiếp dầu</t>
  </si>
  <si>
    <t xml:space="preserve">Máy bay trinh sát tốc độ cao</t>
  </si>
  <si>
    <t xml:space="preserve">Trực thăng tấn công</t>
  </si>
  <si>
    <t xml:space="preserve">UAV tấn công</t>
  </si>
  <si>
    <t xml:space="preserve">Tiêm kích</t>
  </si>
  <si>
    <t xml:space="preserve">Tiêm kích đánh chặn</t>
  </si>
  <si>
    <t xml:space="preserve">Tiêm kích tàng hình</t>
  </si>
  <si>
    <t xml:space="preserve">Máy bay mẹ thả drone</t>
  </si>
  <si>
    <t xml:space="preserve">Pháo hạm trực thăng hai rô-to</t>
  </si>
  <si>
    <t xml:space="preserve">Trực thăng vũ trang bọc giáp</t>
  </si>
  <si>
    <t xml:space="preserve">Máy bay ném bom lượn tầm xa</t>
  </si>
  <si>
    <t xml:space="preserve">Cường kích tàng hình trên hạm</t>
  </si>
  <si>
    <t xml:space="preserve">Máy bay cường kích</t>
  </si>
  <si>
    <t xml:space="preserve">Oanh tạc cơ tàng hình</t>
  </si>
  <si>
    <t xml:space="preserve">Oanh tạc cơ chiến lược</t>
  </si>
  <si>
    <t xml:space="preserve">Pháo hạm bay</t>
  </si>
  <si>
    <t xml:space="preserve">Xe trinh sát hạng nhẹ</t>
  </si>
  <si>
    <t xml:space="preserve">Trinh sát</t>
  </si>
  <si>
    <t xml:space="preserve">Xe bom bọc thép</t>
  </si>
  <si>
    <t xml:space="preserve">Xe trinh sát bọc thép radar mặt đất</t>
  </si>
  <si>
    <t xml:space="preserve">Xe radar phòng không di động</t>
  </si>
  <si>
    <t xml:space="preserve">Tăng nhẹ lội nước</t>
  </si>
  <si>
    <t xml:space="preserve">Xe tăng</t>
  </si>
  <si>
    <t xml:space="preserve">Tăng nhẹ thả dù</t>
  </si>
  <si>
    <t xml:space="preserve">Tăng phun lửa</t>
  </si>
  <si>
    <t xml:space="preserve">Tăng mái che</t>
  </si>
  <si>
    <t xml:space="preserve">Xe hỗ trợ tăng</t>
  </si>
  <si>
    <t xml:space="preserve">Xe jeep súng không giật</t>
  </si>
  <si>
    <t xml:space="preserve">Diệt tăng</t>
  </si>
  <si>
    <t xml:space="preserve">Pháo chống tăng kéo cỡ lớn</t>
  </si>
  <si>
    <t xml:space="preserve">Xe phóng drone FPV</t>
  </si>
  <si>
    <t xml:space="preserve">Xe phóng đạn lảng vảng</t>
  </si>
  <si>
    <t xml:space="preserve">Pháo chống tăng tự hành</t>
  </si>
  <si>
    <t xml:space="preserve">Pháo xung kích bánh lốp</t>
  </si>
  <si>
    <t xml:space="preserve">Xe phóng drone FPV cáp quang</t>
  </si>
  <si>
    <t xml:space="preserve">Xe tên lửa chống tăng dẫn radar</t>
  </si>
  <si>
    <t xml:space="preserve">Xe tên lửa chống tăng ngoài tầm nhìn</t>
  </si>
  <si>
    <t xml:space="preserve">Xe la-de diệt tăng</t>
  </si>
  <si>
    <t xml:space="preserve">Xe pháo điện từ</t>
  </si>
  <si>
    <t xml:space="preserve">Bán tải rốc-két</t>
  </si>
  <si>
    <t xml:space="preserve">Pháo binh</t>
  </si>
  <si>
    <t xml:space="preserve">Xe cối tự hành</t>
  </si>
  <si>
    <t xml:space="preserve">Cối tự hành tháp kín</t>
  </si>
  <si>
    <t xml:space="preserve">Lựu pháo tự hành</t>
  </si>
  <si>
    <t xml:space="preserve">Pháo bánh lốp bắn rồi chạy</t>
  </si>
  <si>
    <t xml:space="preserve">Xe pháo phản lực rải mìn</t>
  </si>
  <si>
    <t xml:space="preserve">Pháo phản lực dẫn đường</t>
  </si>
  <si>
    <t xml:space="preserve">Xe phóng drone cảm tử tầm xa</t>
  </si>
  <si>
    <t xml:space="preserve">Pháo phản lực nhiệt áp</t>
  </si>
  <si>
    <t xml:space="preserve">Xe phóng tên lửa chiến thuật</t>
  </si>
  <si>
    <t xml:space="preserve">Pháo phản lực hạng nặng</t>
  </si>
  <si>
    <t xml:space="preserve">Pháo cối công thành</t>
  </si>
  <si>
    <t xml:space="preserve">Bán tải cao xạ</t>
  </si>
  <si>
    <t xml:space="preserve">Phòng không</t>
  </si>
  <si>
    <t xml:space="preserve">Pháo cao xạ tự hành</t>
  </si>
  <si>
    <t xml:space="preserve">Xe tên lửa phòng không nhẹ</t>
  </si>
  <si>
    <t xml:space="preserve">Xe cao xạ 40 mm</t>
  </si>
  <si>
    <t xml:space="preserve">Xe drone đánh chặn</t>
  </si>
  <si>
    <t xml:space="preserve">Xe phòng không 57 mm</t>
  </si>
  <si>
    <t xml:space="preserve">Xe la-de phòng không</t>
  </si>
  <si>
    <t xml:space="preserve">Xe vi sóng chống drone</t>
  </si>
  <si>
    <t xml:space="preserve">Xe phòng không pháo – tên lửa</t>
  </si>
  <si>
    <t xml:space="preserve">Xe tên lửa phòng không tầm trung</t>
  </si>
  <si>
    <t xml:space="preserve">Xe tên lửa phòng không tầm xa</t>
  </si>
  <si>
    <t xml:space="preserve">Xe công sự triển khai</t>
  </si>
  <si>
    <t xml:space="preserve">Hạng nặng</t>
  </si>
  <si>
    <t xml:space="preserve">Xe ủi bọc thép</t>
  </si>
  <si>
    <t xml:space="preserve">Tăng chủ lực</t>
  </si>
  <si>
    <t xml:space="preserve">Tăng thế hệ mới</t>
  </si>
  <si>
    <t xml:space="preserve">Tăng hai nòng</t>
  </si>
  <si>
    <t xml:space="preserve">Tăng hạng nặng</t>
  </si>
  <si>
    <t xml:space="preserve">Siêu tăng</t>
  </si>
  <si>
    <t xml:space="preserve">Số phát để hạ (làm tròn lên) với máu chốt ở sheet Tính toán. Thước đo chính: Buk hiệu dụng = sát thương × hệ số với máy bay (Hệ số). PK nhẹ và tên lửa tiêm kích chưa tính hệ số loại sát thương, chỉ để tham khảo. Đây là số "đòn sạch": chưa tính pháo sáng.</t>
  </si>
  <si>
    <t xml:space="preserve">Nhóm (D8)</t>
  </si>
  <si>
    <t xml:space="preserve">Buk hiệu dụng (phát)</t>
  </si>
  <si>
    <t xml:space="preserve">PK nhẹ (phát, thô)</t>
  </si>
  <si>
    <t xml:space="preserve">Tên lửa tiêm kích (phát, thô)</t>
  </si>
  <si>
    <t xml:space="preserve">Dải thấp</t>
  </si>
  <si>
    <t xml:space="preserve">Dải cao</t>
  </si>
  <si>
    <t xml:space="preserve">Trong dải?</t>
  </si>
  <si>
    <t xml:space="preserve">Ở lại lâu</t>
  </si>
  <si>
    <t xml:space="preserve">Cường kích / đi qua</t>
  </si>
  <si>
    <t xml:space="preserve">Drone / trinh sát</t>
  </si>
  <si>
    <t xml:space="preserve">Hồi chiêu hiện tại đọc từ thẻ xe trong PDF (tr. 45–61), agent xác nhận lại trong balance.json (CHECK C05). Đổi hệ giữ nguyên nhịp hồi để không làm yếu đi; số lần dự trữ là phần thêm. Nạp đầy khi về Bãi đáp hoặc sở chỉ huy.</t>
  </si>
  <si>
    <t xml:space="preserve">Đơn vị</t>
  </si>
  <si>
    <t xml:space="preserve">Có pháo sáng (hiện tại)</t>
  </si>
  <si>
    <t xml:space="preserve">Hồi chiêu hiện tại (s)</t>
  </si>
  <si>
    <t xml:space="preserve">Có pháo sáng (mới)</t>
  </si>
  <si>
    <t xml:space="preserve">Số lần dự trữ</t>
  </si>
  <si>
    <t xml:space="preserve">Hồi 1 lần (s)</t>
  </si>
  <si>
    <t xml:space="preserve">Loại thay đổi</t>
  </si>
  <si>
    <t xml:space="preserve">Đồ trang bị</t>
  </si>
  <si>
    <t xml:space="preserve">Không đổi</t>
  </si>
  <si>
    <t xml:space="preserve">Không gắn được Mồi bẫy nhiệt</t>
  </si>
  <si>
    <t xml:space="preserve">Đơn vị BUILT_IN gắn Mồi bẫy nhiệt: +1 lần, hồi nhanh hơn 25%</t>
  </si>
  <si>
    <t xml:space="preserve">SELF_APS chỉ bảo vệ chính xe; POINT_DEFENSE bảo vệ cả vùng. Dùng chung engine chặn đạn, khác profile cân bằng và khác luật đồ trang bị. Số hiện tại lấy từ PDF tr. 81, 85, 183–187, 206–228.</t>
  </si>
  <si>
    <t xml:space="preserve">Thực thể</t>
  </si>
  <si>
    <t xml:space="preserve">Nhãn hiện tại</t>
  </si>
  <si>
    <t xml:space="preserve">Loại đúng</t>
  </si>
  <si>
    <t xml:space="preserve">Hiện tại: lần / hồi / bán kính</t>
  </si>
  <si>
    <t xml:space="preserve">Chặn rốc-két pháo binh (hiện tại)</t>
  </si>
  <si>
    <t xml:space="preserve">Chặn đạn pháo (hiện tại)</t>
  </si>
  <si>
    <t xml:space="preserve">Mới: loại · khả năng</t>
  </si>
  <si>
    <t xml:space="preserve">Mới: lần / hồi / bán kính</t>
  </si>
  <si>
    <t xml:space="preserve">Chặn rốc-két pháo binh (mới)</t>
  </si>
  <si>
    <t xml:space="preserve">Chặn đạn pháo (mới)</t>
  </si>
  <si>
    <t xml:space="preserve">Ghi chú</t>
  </si>
  <si>
    <t xml:space="preserve">Tăng thế hệ mới (T-14)</t>
  </si>
  <si>
    <t xml:space="preserve">SELF_APS</t>
  </si>
  <si>
    <t xml:space="preserve">2 / 1,2 s / 20 m</t>
  </si>
  <si>
    <t xml:space="preserve">50%</t>
  </si>
  <si>
    <t xml:space="preserve">SELF_APS · BUILT_IN</t>
  </si>
  <si>
    <t xml:space="preserve">2 / 10 s / 20 m</t>
  </si>
  <si>
    <t xml:space="preserve">0%</t>
  </si>
  <si>
    <t xml:space="preserve">Baseline dot2 v1 ghi "—" là sai: xe đã có APS</t>
  </si>
  <si>
    <t xml:space="preserve">— (chỉ có trong dòng Tham khảo)</t>
  </si>
  <si>
    <t xml:space="preserve">3 / 10 s / 20 m</t>
  </si>
  <si>
    <t xml:space="preserve">Hệ mới (quyết định thiết kế)</t>
  </si>
  <si>
    <t xml:space="preserve">Trophy: 2 / 20 s</t>
  </si>
  <si>
    <t xml:space="preserve">M1A2 SEPv2, Leopard 2A8 có Trophy</t>
  </si>
  <si>
    <t xml:space="preserve">Object 195 nguyên mẫu; giữ điểm yếu trước tên lửa</t>
  </si>
  <si>
    <t xml:space="preserve">(các xe còn lại)</t>
  </si>
  <si>
    <t xml:space="preserve">Tăng mái che, Tăng hai nòng, Xe công sự, Xe ủi bọc thép…</t>
  </si>
  <si>
    <t xml:space="preserve">POINT_DEFENSE</t>
  </si>
  <si>
    <t xml:space="preserve">1 / 0,8 s / 30 m</t>
  </si>
  <si>
    <t xml:space="preserve">30%</t>
  </si>
  <si>
    <t xml:space="preserve">1 / (0,8 hoặc 1,2 s: CHECK C07) / 30 m</t>
  </si>
  <si>
    <t xml:space="preserve">Mô tả: "đạn pháo và đạn súng bay qua được"; bảng khắc chế: la-de chỉ thêm rốc-két pháo binh</t>
  </si>
  <si>
    <t xml:space="preserve">laser_ad_station</t>
  </si>
  <si>
    <t xml:space="preserve">Tháp la-de phòng không cố định</t>
  </si>
  <si>
    <t xml:space="preserve">1 / 0,8 s / 40 m</t>
  </si>
  <si>
    <t xml:space="preserve">Theo bảng khắc chế (la-de không chặn đạn pháo)</t>
  </si>
  <si>
    <t xml:space="preserve">c_ram</t>
  </si>
  <si>
    <t xml:space="preserve">Trạm C-RAM</t>
  </si>
  <si>
    <t xml:space="preserve">4 / 0,6 s / 35 m</t>
  </si>
  <si>
    <t xml:space="preserve">Giữ nguyên</t>
  </si>
  <si>
    <t xml:space="preserve">Giữ 30%</t>
  </si>
  <si>
    <t xml:space="preserve">Bảng khắc chế: C-RAM chặn một phần đạn pháo</t>
  </si>
  <si>
    <t xml:space="preserve">c_ram.centurion</t>
  </si>
  <si>
    <t xml:space="preserve">C-RAM · Centurion</t>
  </si>
  <si>
    <t xml:space="preserve">5 / 0,4 s / 35 m</t>
  </si>
  <si>
    <t xml:space="preserve">40%</t>
  </si>
  <si>
    <t xml:space="preserve">Giữ 40%</t>
  </si>
  <si>
    <t xml:space="preserve">(boss)</t>
  </si>
  <si>
    <t xml:space="preserve">Behemoth, Behemoth Mk.II, Tempest, Scylla, Nyx, Charybdis, Icarus Mk.0, Leviathan, Kraken, Daedalus, Bọ Bạc, Hyperion</t>
  </si>
  <si>
    <t xml:space="preserve">Chưa phân loại</t>
  </si>
  <si>
    <t xml:space="preserve">Khác nhau (2–3 lần, hồi 1,4–4 s)</t>
  </si>
  <si>
    <t xml:space="preserve">BOSS_SELF_APS hoặc POINT_DEFENSE</t>
  </si>
  <si>
    <t xml:space="preserve">Giữ nguyên số</t>
  </si>
  <si>
    <t xml:space="preserve">C06: ánh xạ id và phân loại; không chuẩn hóa về profile xe người chơi</t>
  </si>
  <si>
    <t xml:space="preserve">Ghép xe–vũ khí lấy từ sheet "Đơn vị – vũ khí" của đợt 1 (ghép bằng script, có thể lệch; CHECK C09). Kết luận không phụ thuộc chi tiết: sửa vũ khí dùng chung để đạt DPS một xe là sai.</t>
  </si>
  <si>
    <t xml:space="preserve">Vũ khí</t>
  </si>
  <si>
    <t xml:space="preserve">Số xe mang</t>
  </si>
  <si>
    <t xml:space="preserve">Các xe</t>
  </si>
  <si>
    <t xml:space="preserve">Hệ số cần (theo v2)</t>
  </si>
  <si>
    <t xml:space="preserve">Xung đột nếu sửa vũ khí</t>
  </si>
  <si>
    <t xml:space="preserve">Cách xử lý</t>
  </si>
  <si>
    <t xml:space="preserve">mg_coax</t>
  </si>
  <si>
    <t xml:space="preserve">armored_car, bmpt, bunker_vehicle, flame_tank, ifv, light_tank, main_battle_tank, titan_tank, turtle_tank, twin_tank, wheeled_gun</t>
  </si>
  <si>
    <t xml:space="preserve">1.000, 1.143, 1.167, 1.200, 1.268, 1.469</t>
  </si>
  <si>
    <t xml:space="preserve">outgoingDamageMult ở từng xe; vũ khí giữ nguyên</t>
  </si>
  <si>
    <t xml:space="preserve">hmg_selfdef_15</t>
  </si>
  <si>
    <t xml:space="preserve">ammo_carrier, artillery, command_vehicle, counter_battery_radar, engineer_vehicle, ew_jammer, lancet_truck, mine_layer, shahed_truck, shield_carrier, smoke_carrier</t>
  </si>
  <si>
    <t xml:space="preserve">1.000, 1.125, 1.143, 1.167, 1.200</t>
  </si>
  <si>
    <t xml:space="preserve">hmg_roof</t>
  </si>
  <si>
    <t xml:space="preserve">armored_bulldozer, heavy_tank, main_battle_tank, tank_destroyer, titan_tank, twin_tank, wheeled_gun</t>
  </si>
  <si>
    <t xml:space="preserve">1.143, 1.167, 1.268, 1.354, 1.469</t>
  </si>
  <si>
    <t xml:space="preserve">hmg_selfdef_18</t>
  </si>
  <si>
    <t xml:space="preserve">fpv_carrier, mortar_carrier, thermobaric_launcher</t>
  </si>
  <si>
    <t xml:space="preserve">1.000, 1.167, 1.222</t>
  </si>
  <si>
    <t xml:space="preserve">atgm</t>
  </si>
  <si>
    <t xml:space="preserve">ifv, titan_tank</t>
  </si>
  <si>
    <t xml:space="preserve">1.167, 1.469</t>
  </si>
  <si>
    <t xml:space="preserve">mg_jeep</t>
  </si>
  <si>
    <t xml:space="preserve">scout_jeep, supply_truck</t>
  </si>
  <si>
    <t xml:space="preserve">1.000</t>
  </si>
  <si>
    <t xml:space="preserve">gun_120mm</t>
  </si>
  <si>
    <t xml:space="preserve">main_battle_tank, turtle_tank</t>
  </si>
  <si>
    <t xml:space="preserve">1.143</t>
  </si>
  <si>
    <t xml:space="preserve">sam</t>
  </si>
  <si>
    <t xml:space="preserve">aa_vehicle, heavy_aa</t>
  </si>
  <si>
    <t xml:space="preserve">1.000, 1.143</t>
  </si>
  <si>
    <t xml:space="preserve">guided_bomb</t>
  </si>
  <si>
    <t xml:space="preserve">stealth_fighter, strike_drone</t>
  </si>
  <si>
    <t xml:space="preserve">1.268, 1.354</t>
  </si>
  <si>
    <t xml:space="preserve">air_to_air</t>
  </si>
  <si>
    <t xml:space="preserve">fighter_jet, stealth_fighter</t>
  </si>
  <si>
    <t xml:space="preserve">1.354, 1.359</t>
  </si>
  <si>
    <t xml:space="preserve">fighter_cannon</t>
  </si>
  <si>
    <t xml:space="preserve">jassm</t>
  </si>
  <si>
    <t xml:space="preserve">stealth_bomber, swarm_carrier</t>
  </si>
  <si>
    <t xml:space="preserve">1.231, 1.286</t>
  </si>
  <si>
    <t xml:space="preserve">Mục</t>
  </si>
  <si>
    <t xml:space="preserve">Hiện tại</t>
  </si>
  <si>
    <t xml:space="preserve">v2 (D1)</t>
  </si>
  <si>
    <t xml:space="preserve">Phân loại</t>
  </si>
  <si>
    <t xml:space="preserve">mini (tr. 168)</t>
  </si>
  <si>
    <t xml:space="preserve">Boss chủ lực</t>
  </si>
  <si>
    <t xml:space="preserve">Máu</t>
  </si>
  <si>
    <t xml:space="preserve">50.654</t>
  </si>
  <si>
    <t xml:space="preserve">Theo công thức boss chủ lực chương 11 (P × t × 0,6; t nội suy 2,5 → 4 phút ≈ 3,86 phút)</t>
  </si>
  <si>
    <t xml:space="preserve">Siêu vũ khí</t>
  </si>
  <si>
    <t xml:space="preserve">Có (vi phạm luật mini boss)</t>
  </si>
  <si>
    <t xml:space="preserve">Có, đúng luật</t>
  </si>
  <si>
    <t xml:space="preserve">Chu kỳ</t>
  </si>
  <si>
    <t xml:space="preserve">25 s</t>
  </si>
  <si>
    <t xml:space="preserve">45 s</t>
  </si>
  <si>
    <t xml:space="preserve">Nhắm</t>
  </si>
  <si>
    <t xml:space="preserve">Tầm 400 m (không phủ hết map 300×480, đường chéo ≈ 566 m)</t>
  </si>
  <si>
    <t xml:space="preserve">targetingMode = GLOBAL</t>
  </si>
  <si>
    <t xml:space="preserve">Cảnh báo</t>
  </si>
  <si>
    <t xml:space="preserve">3 s vòng đỏ</t>
  </si>
  <si>
    <t xml:space="preserve">3 s, vẽ cả đường ngắm xuyên tuyến</t>
  </si>
  <si>
    <t xml:space="preserve">Đòn (dữ liệu)</t>
  </si>
  <si>
    <t xml:space="preserve">supergun_800: nổ mạnh 900, lõi 12 m, rìa 20 m</t>
  </si>
  <si>
    <t xml:space="preserve">Xuyên tuyến tối đa 5 xe × 1.000, nổ ở xe cuối 2.000 lõi 12 m, rìa 20 m (40%)</t>
  </si>
  <si>
    <t xml:space="preserve">Đòn (mô tả)</t>
  </si>
  <si>
    <t xml:space="preserve">Pháo điện từ xuyên 5 xe × 1.000; nổ cuối 2.000</t>
  </si>
  <si>
    <t xml:space="preserve">Giữ mô tả làm chuẩn</t>
  </si>
  <si>
    <t xml:space="preserve">Cờ</t>
  </si>
  <si>
    <t xml:space="preserve">canHitAir=false, interceptable=false, flareEligible=false, apsEligible=false</t>
  </si>
  <si>
    <t xml:space="preserve">Ảnh hưởng khác</t>
  </si>
  <si>
    <t xml:space="preserve">Săn trùm: 16 → 17 boss chủ lực, 25 → 24 mini (CHECK C11 cách chọn 7 mini + 3 chủ lực)</t>
  </si>
  <si>
    <t xml:space="preserve">Có (đòn xuyên tuyến, nhắm toàn map)</t>
  </si>
  <si>
    <t xml:space="preserve">CHECK chỉ đọc và báo cáo. Không sửa dữ liệu trong cùng lượt.</t>
  </si>
  <si>
    <t xml:space="preserve">check_id</t>
  </si>
  <si>
    <t xml:space="preserve">Đọc gì</t>
  </si>
  <si>
    <t xml:space="preserve">Câu hỏi</t>
  </si>
  <si>
    <t xml:space="preserve">Ghi kết quả vào</t>
  </si>
  <si>
    <t xml:space="preserve">Gói bị chặn</t>
  </si>
  <si>
    <t xml:space="preserve">C01</t>
  </si>
  <si>
    <t xml:space="preserve">balance.json, campaign.json, lớp đọc dữ liệu</t>
  </si>
  <si>
    <t xml:space="preserve">Ánh xạ mọi field_path logic trong Manifest sang khóa thật</t>
  </si>
  <si>
    <t xml:space="preserve">docs/balance_field_map.md</t>
  </si>
  <si>
    <t xml:space="preserve">Mọi gói</t>
  </si>
  <si>
    <t xml:space="preserve">Hàm tính giá trị quân, ngưỡng tiếp tế, phạt thu nhập, hoàn CP, bắt kịp, ghi đè theo chế độ</t>
  </si>
  <si>
    <t xml:space="preserve">20 câu hỏi ở review vòng cuối mục 14 (baseCP hay chi phí gọi; ground/air/0 CP/triệu hồi/viện quân/đồng minh có tính không; xe đang thả dù, máy bay ở vòng chờ hoặc đang về; thứ tự áp hệ số; −75% đạt ở đâu; đường phạt tuyến tính/bậc/cong; hoàn CP theo giá nào, có trần không; bắt kịp áp trước hay sau tiếp tế; thứ tự trong cùng tick); thêm: ngưỡng có cộng theo kho CP của chế độ không</t>
  </si>
  <si>
    <t xml:space="preserve">docs/checks/supply_report.md</t>
  </si>
  <si>
    <t xml:space="preserve">C03</t>
  </si>
  <si>
    <t xml:space="preserve">Định nghĩa thẻ của supply_truck, hover_gunboat, uav_loiter_strike; thẻ hỗ trợ uav_loiter_strike_support</t>
  </si>
  <si>
    <t xml:space="preserve">Có vào được bộ bài không; dòng "mua sớm 300 xu" có phải văn bản sinh tự động không; UAV do thẻ hỗ trợ sinh ra có tính trần quân, trần máy bay, tiếp tế không</t>
  </si>
  <si>
    <t xml:space="preserve">docs/checks/zero_cp.md</t>
  </si>
  <si>
    <t xml:space="preserve">C04</t>
  </si>
  <si>
    <t xml:space="preserve">Mọi nơi sinh thực thể</t>
  </si>
  <si>
    <t xml:space="preserve">Liệt kê nguồn ở sheet Ngân sách thực thể: đã có giới hạn hay chưa, giới hạn ở đâu</t>
  </si>
  <si>
    <t xml:space="preserve">docs/checks/entity_budget.md</t>
  </si>
  <si>
    <t xml:space="preserve">C05</t>
  </si>
  <si>
    <t xml:space="preserve">Dữ liệu pháo sáng của 23 máy bay/trực thăng</t>
  </si>
  <si>
    <t xml:space="preserve">Xác nhận cột "Hồi chiêu hiện tại" ở sheet Pháo sáng; nếu lệch thì gói B2-FLR tương ứng CONFLICT</t>
  </si>
  <si>
    <t xml:space="preserve">docs/checks/flare_baseline.md</t>
  </si>
  <si>
    <t xml:space="preserve">B2-FLR-*</t>
  </si>
  <si>
    <t xml:space="preserve">C06</t>
  </si>
  <si>
    <t xml:space="preserve">Mã APS và mọi thực thể có "APS:" trong tài liệu</t>
  </si>
  <si>
    <t xml:space="preserve">Một hay nhiều đường code; ánh xạ id boss; phân loại SELF_APS / POINT_DEFENSE / BOSS_SELF_APS</t>
  </si>
  <si>
    <t xml:space="preserve">docs/checks/aps_audit.md</t>
  </si>
  <si>
    <t xml:space="preserve">B2-APS-*</t>
  </si>
  <si>
    <t xml:space="preserve">C07</t>
  </si>
  <si>
    <t xml:space="preserve">Hồi 0,8 s (dữ liệu) hay 1,2 s (mô tả): báo giá trị trong dữ liệu; không tự đổi</t>
  </si>
  <si>
    <t xml:space="preserve">B2-APS (iron_beam)</t>
  </si>
  <si>
    <t xml:space="preserve">C08</t>
  </si>
  <si>
    <t xml:space="preserve">Lịch sử commit đợt 1</t>
  </si>
  <si>
    <t xml:space="preserve">Truy từng thay đổi "ngoài dự kiến" (swarm_carrier 3.080 → 1.390, gunship_heli 3.080 → 2.600, wheeled_gun 1.914 → 1.500, sam_launcher 1.760 → 1.300, các tốc độ…) về dòng đợt 1 đã gây ra và trạng thái của dòng đó</t>
  </si>
  <si>
    <t xml:space="preserve">docs/checks/round1_trace.md</t>
  </si>
  <si>
    <t xml:space="preserve">C09</t>
  </si>
  <si>
    <t xml:space="preserve">Ghép xe–vũ khí</t>
  </si>
  <si>
    <t xml:space="preserve">Bỏ ghép mờ; build báo lỗi nếu còn vũ khí chưa khớp hoặc khớp mơ hồ (Khrizantema, súng phun lửa lô cốt)</t>
  </si>
  <si>
    <t xml:space="preserve">Test + docs/checks/weapon_map.md</t>
  </si>
  <si>
    <t xml:space="preserve">C10</t>
  </si>
  <si>
    <t xml:space="preserve">Bảng hệ số loại sát thương với máy bay</t>
  </si>
  <si>
    <t xml:space="preserve">Hệ số thực của Buk, PK nhẹ, tên lửa tiêm kích với máy bay giáp 0; cập nhật sheet Hệ số nếu khác 1,3</t>
  </si>
  <si>
    <t xml:space="preserve">docs/checks/aa_multipliers.md</t>
  </si>
  <si>
    <t xml:space="preserve">C11</t>
  </si>
  <si>
    <t xml:space="preserve">Cách chọn boss tuần (7 mini + 3 chủ lực) sau khi Gungnir thành chủ lực; công thức máu boss chương 11</t>
  </si>
  <si>
    <t xml:space="preserve">docs/checks/boss_hunt.md</t>
  </si>
  <si>
    <t xml:space="preserve">C12</t>
  </si>
  <si>
    <t xml:space="preserve">Hành vi máy bay</t>
  </si>
  <si>
    <t xml:space="preserve">Vị trí điều kiện "máu thấp thì về sửa"; bảo đảm bỏ nó không đụng về vì hết đạn, sửa ở Bãi đáp, vòng chờ</t>
  </si>
  <si>
    <t xml:space="preserve">docs/checks/aircraft_rtb.md</t>
  </si>
  <si>
    <t xml:space="preserve">C13</t>
  </si>
  <si>
    <t xml:space="preserve">Dữ liệu đạn/đòn đánh</t>
  </si>
  <si>
    <t xml:space="preserve">Đã có trường tương đương canHitAir, interceptable, flareEligible, apsEligible, ciwsEligible chưa; không tạo trường trùng</t>
  </si>
  <si>
    <t xml:space="preserve">docs/checks/attack_flags.md</t>
  </si>
  <si>
    <t xml:space="preserve">C14</t>
  </si>
  <si>
    <t xml:space="preserve">Thẻ ≤ 8 CP</t>
  </si>
  <si>
    <t xml:space="preserve">Lập thước đo theo vai trò (trinh sát: tầm nhìn, phát hiện, chiếm điểm, tốc độ / CP; xe bom: sát thương nổ / CP; hỗ trợ: sửa/s, tiếp đạn, thời gian khói…); mỗi thẻ rẻ phải vào top 3 vai trò ở ít nhất một thước đo; chỉ báo cáo</t>
  </si>
  <si>
    <t xml:space="preserve">docs/checks/cheap_roles.md</t>
  </si>
  <si>
    <t xml:space="preserve">C16</t>
  </si>
  <si>
    <t xml:space="preserve">Vũ khí chính của mọi xe</t>
  </si>
  <si>
    <t xml:space="preserve">Danh sách AoE (cột AoE ở sheet Tính toán) có khớp với vũ khí chính có nổ lan không; báo xe thiếu hoặc thừa, không tự đổi</t>
  </si>
  <si>
    <t xml:space="preserve">docs/checks/aoe_list.md</t>
  </si>
  <si>
    <t xml:space="preserve">B5-*</t>
  </si>
  <si>
    <t xml:space="preserve">C15</t>
  </si>
  <si>
    <t xml:space="preserve">Giảm giá theo hạng thẻ</t>
  </si>
  <si>
    <t xml:space="preserve">Mọi chỗ đang dùng giá sau giảm để phân nhóm, tính tiếp tế hoặc hoàn CP</t>
  </si>
  <si>
    <t xml:space="preserve">docs/checks/runtime_cost.md</t>
  </si>
  <si>
    <t xml:space="preserve">Kiến trúc: thực thể sống lâu trừ vào ngân sách chung mỗi phe; thực thể ngắn dùng pool riêng. Không đặt con số mới khi chưa đo hiệu năng.</t>
  </si>
  <si>
    <t xml:space="preserve">Loại</t>
  </si>
  <si>
    <t xml:space="preserve">Đã có giới hạn</t>
  </si>
  <si>
    <t xml:space="preserve">Giới hạn</t>
  </si>
  <si>
    <t xml:space="preserve">Nguồn tin</t>
  </si>
  <si>
    <t xml:space="preserve">Quân mặt đất thường</t>
  </si>
  <si>
    <t xml:space="preserve">Sống lâu</t>
  </si>
  <si>
    <t xml:space="preserve">32 mỗi phe (48 ở chiến dịch lớn)</t>
  </si>
  <si>
    <t xml:space="preserve">PDF tr. 18, 266</t>
  </si>
  <si>
    <t xml:space="preserve">6 mỗi phe</t>
  </si>
  <si>
    <t xml:space="preserve">Tối đa 4, ngoài trần máy bay</t>
  </si>
  <si>
    <t xml:space="preserve">PDF tr. 46</t>
  </si>
  <si>
    <t xml:space="preserve">Viện quân</t>
  </si>
  <si>
    <t xml:space="preserve">16 địch, 10 Accord</t>
  </si>
  <si>
    <t xml:space="preserve">PDF tr. 29</t>
  </si>
  <si>
    <t xml:space="preserve">Hỗ trợ "Thêm kíp lái"</t>
  </si>
  <si>
    <t xml:space="preserve">+6 quân (Săn trùm)</t>
  </si>
  <si>
    <t xml:space="preserve">PDF tr. 169</t>
  </si>
  <si>
    <t xml:space="preserve">Sinh tồn / Vô tận</t>
  </si>
  <si>
    <t xml:space="preserve">48 cùng lúc</t>
  </si>
  <si>
    <t xml:space="preserve">PDF tr. 25</t>
  </si>
  <si>
    <t xml:space="preserve">Quân chỉ huy đồng minh</t>
  </si>
  <si>
    <t xml:space="preserve">Chưa rõ</t>
  </si>
  <si>
    <t xml:space="preserve">Không thấy trần trong PDF</t>
  </si>
  <si>
    <t xml:space="preserve">CHECK C04</t>
  </si>
  <si>
    <t xml:space="preserve">Boss, mini boss từ mutator, hộ tống boss</t>
  </si>
  <si>
    <t xml:space="preserve">UAV từ thẻ hỗ trợ</t>
  </si>
  <si>
    <t xml:space="preserve">CHECK C03</t>
  </si>
  <si>
    <t xml:space="preserve">Robot con của Xe chỉ huy robot</t>
  </si>
  <si>
    <t xml:space="preserve">Chưa làm</t>
  </si>
  <si>
    <t xml:space="preserve">Phải dành chỗ trước khi làm</t>
  </si>
  <si>
    <t xml:space="preserve">PDF tr. 43</t>
  </si>
  <si>
    <t xml:space="preserve">Drone FPV (Máy bay mẹ, xe phóng FPV, nhà chứa)</t>
  </si>
  <si>
    <t xml:space="preserve">Ngắn</t>
  </si>
  <si>
    <t xml:space="preserve">Tên lửa, đạn pháo, rốc-két, bom</t>
  </si>
  <si>
    <t xml:space="preserve">Pool riêng</t>
  </si>
  <si>
    <t xml:space="preserve">Số đo hiệu năng cũ</t>
  </si>
  <si>
    <t xml:space="preserve">48 xe địch: 4,4 ms trung bình, p99 15,3 ms (máy bàn quy đổi ×6, không có hash) = Lịch sử đo</t>
  </si>
  <si>
    <t xml:space="preserve">PDF tr. 18</t>
  </si>
  <si>
    <t xml:space="preserve">dot2 v1</t>
  </si>
  <si>
    <t xml:space="preserve">dot2 v2</t>
  </si>
  <si>
    <t xml:space="preserve">Cột trạng thái</t>
  </si>
  <si>
    <t xml:space="preserve">Không có (chỉ Ưu tiên)</t>
  </si>
  <si>
    <t xml:space="preserve">Manifest có status FIX/APPLY/DECIDE/HOLD/CHECK/REJECT</t>
  </si>
  <si>
    <t xml:space="preserve">Làm tròn</t>
  </si>
  <si>
    <t xml:space="preserve">Lẫn round() Python và Excel ROUND (12 vs 13)</t>
  </si>
  <si>
    <t xml:space="preserve">ROUND_HALF_UP: Xe tên lửa chống hạm bờ biển và Xe pháo điện từ 10 → 13 CP; máu tính lại</t>
  </si>
  <si>
    <t xml:space="preserve">9–15 CP +10%, ≥ 16 CP +15% (bậc cứng)</t>
  </si>
  <si>
    <t xml:space="preserve">Đường C 1,25%/CP trên 8, trần 15%</t>
  </si>
  <si>
    <t xml:space="preserve">Cách đạt DPS</t>
  </si>
  <si>
    <t xml:space="preserve">Sửa nhịp, băng, nạp của vũ khí</t>
  </si>
  <si>
    <t xml:space="preserve">outgoingDamageMult theo xe; vũ khí dùng chung không đổi</t>
  </si>
  <si>
    <t xml:space="preserve">Đơn vị nổ lan</t>
  </si>
  <si>
    <t xml:space="preserve">Nhận cả thưởng</t>
  </si>
  <si>
    <t xml:space="preserve">Phần thưởng tách sang B5 (HOLD)</t>
  </si>
  <si>
    <t xml:space="preserve">6.000 máu, gộp với sửa lỗi</t>
  </si>
  <si>
    <t xml:space="preserve">B0: 4.400 @22 (FIX); B1: 29 CP, 4.900 máu, phụ thuộc B2 pháo sáng và B3 bỏ rút</t>
  </si>
  <si>
    <t xml:space="preserve">1.700</t>
  </si>
  <si>
    <t xml:space="preserve">FIX 1.980 @9, rồi 2.490 @11</t>
  </si>
  <si>
    <t xml:space="preserve">2.200</t>
  </si>
  <si>
    <t xml:space="preserve">FIX 3.300 @12, rồi 4.270 @15</t>
  </si>
  <si>
    <t xml:space="preserve">3.810 (sàn 85%)</t>
  </si>
  <si>
    <t xml:space="preserve">3.620 theo công thức giá; bỏ sàn</t>
  </si>
  <si>
    <t xml:space="preserve">FIX về 9 / 13 / 6,5 / 7</t>
  </si>
  <si>
    <t xml:space="preserve">Tầm Gungnir</t>
  </si>
  <si>
    <t xml:space="preserve">400 → 180</t>
  </si>
  <si>
    <t xml:space="preserve">REJECT; G1 nâng Gungnir lên chủ lực, nhắm GLOBAL</t>
  </si>
  <si>
    <t xml:space="preserve">Ghi hiện tại "—" cho mọi máy bay; hồi 20 s chung</t>
  </si>
  <si>
    <t xml:space="preserve">Hiện tại lấy từ PDF; giữ nhịp hồi; Oanh tạc cơ tàng hình bỏ</t>
  </si>
  <si>
    <t xml:space="preserve">T-14 hiện tại "—"; hồi 35 s; Trophy +1 cho mọi xe</t>
  </si>
  <si>
    <t xml:space="preserve">T-14 đã có; hồi 10 s; không chặn đạn pháo; NONE / BUILT_IN / RETROFIT_ELIGIBLE</t>
  </si>
  <si>
    <t xml:space="preserve">Chỉ số Typhon 1.460 / Icarus 1.440</t>
  </si>
  <si>
    <t xml:space="preserve">Dùng để tính số phát</t>
  </si>
  <si>
    <t xml:space="preserve">REJECT; thay bằng Buk hiệu dụng</t>
  </si>
  <si>
    <t xml:space="preserve">Đơn vị rẻ</t>
  </si>
  <si>
    <t xml:space="preserve">radar_scout +15–20% DPS</t>
  </si>
  <si>
    <t xml:space="preserve">REJECT; thước đo vai trò (C14)</t>
  </si>
  <si>
    <t xml:space="preserve">Máy bay thấp máu về sửa</t>
  </si>
  <si>
    <t xml:space="preserve">Không nhắc</t>
  </si>
  <si>
    <t xml:space="preserve">B3-AI: bỏ, đi cùng prompt 28</t>
  </si>
  <si>
    <t xml:space="preserve">Ngưỡng tiếp tế</t>
  </si>
  <si>
    <t xml:space="preserve">25 → 29,2</t>
  </si>
  <si>
    <t xml:space="preserve">HOLD tới khi có C02</t>
  </si>
</sst>
</file>

<file path=xl/styles.xml><?xml version="1.0" encoding="utf-8"?>
<styleSheet xmlns="http://schemas.openxmlformats.org/spreadsheetml/2006/main">
  <numFmts count="4">
    <numFmt numFmtId="164" formatCode="General"/>
    <numFmt numFmtId="165" formatCode="General"/>
    <numFmt numFmtId="166" formatCode="0.000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color rgb="FFFFFFFF"/>
      <name val="Arial"/>
      <family val="0"/>
      <charset val="1"/>
    </font>
    <font>
      <b val="true"/>
      <sz val="10"/>
      <name val="Arial"/>
      <family val="0"/>
      <charset val="1"/>
    </font>
    <font>
      <i val="true"/>
      <sz val="10"/>
      <name val="Arial"/>
      <family val="0"/>
      <charset val="1"/>
    </font>
    <font>
      <sz val="10"/>
      <color rgb="FF0000FF"/>
      <name val="Arial"/>
      <family val="0"/>
      <charset val="1"/>
    </font>
    <font>
      <sz val="10"/>
      <name val="Arial"/>
      <family val="2"/>
    </font>
  </fonts>
  <fills count="9">
    <fill>
      <patternFill patternType="none"/>
    </fill>
    <fill>
      <patternFill patternType="gray125"/>
    </fill>
    <fill>
      <patternFill patternType="solid">
        <fgColor rgb="FF3A4049"/>
        <bgColor rgb="FF333300"/>
      </patternFill>
    </fill>
    <fill>
      <patternFill patternType="solid">
        <fgColor rgb="FFD9EAD3"/>
        <bgColor rgb="FFE7E6E6"/>
      </patternFill>
    </fill>
    <fill>
      <patternFill patternType="solid">
        <fgColor rgb="FFDDEBF7"/>
        <bgColor rgb="FFE7E6E6"/>
      </patternFill>
    </fill>
    <fill>
      <patternFill patternType="solid">
        <fgColor rgb="FFFFF2CC"/>
        <bgColor rgb="FFFCE4D6"/>
      </patternFill>
    </fill>
    <fill>
      <patternFill patternType="solid">
        <fgColor rgb="FFFCE4D6"/>
        <bgColor rgb="FFFFF2CC"/>
      </patternFill>
    </fill>
    <fill>
      <patternFill patternType="solid">
        <fgColor rgb="FFEDE2F6"/>
        <bgColor rgb="FFE7E6E6"/>
      </patternFill>
    </fill>
    <fill>
      <patternFill patternType="solid">
        <fgColor rgb="FFE7E6E6"/>
        <bgColor rgb="FFEDE2F6"/>
      </patternFill>
    </fill>
  </fills>
  <borders count="2">
    <border diagonalUp="false" diagonalDown="false">
      <left/>
      <right/>
      <top/>
      <bottom/>
      <diagonal/>
    </border>
    <border diagonalUp="false" diagonalDown="false">
      <left style="thin">
        <color rgb="FFC8CCD2"/>
      </left>
      <right style="thin">
        <color rgb="FFC8CCD2"/>
      </right>
      <top style="thin">
        <color rgb="FFC8CCD2"/>
      </top>
      <bottom style="thin">
        <color rgb="FFC8CC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3A4049"/>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DDEBF7"/>
          <bgColor rgb="FF000000"/>
        </patternFill>
      </fill>
    </dxf>
    <dxf>
      <fill>
        <patternFill patternType="solid">
          <fgColor rgb="FFE7E6E6"/>
          <bgColor rgb="FF000000"/>
        </patternFill>
      </fill>
    </dxf>
    <dxf>
      <fill>
        <patternFill patternType="solid">
          <fgColor rgb="FFFCE4D6"/>
          <bgColor rgb="FF000000"/>
        </patternFill>
      </fill>
    </dxf>
    <dxf>
      <fill>
        <patternFill patternType="solid">
          <fgColor rgb="FF0000FF"/>
          <bgColor rgb="FF000000"/>
        </patternFill>
      </fill>
    </dxf>
    <dxf>
      <fill>
        <patternFill patternType="solid">
          <fgColor rgb="FFEDE2F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CD2"/>
      <rgbColor rgb="FF808080"/>
      <rgbColor rgb="FF9999FF"/>
      <rgbColor rgb="FF993366"/>
      <rgbColor rgb="FFFFF2CC"/>
      <rgbColor rgb="FFDDEBF7"/>
      <rgbColor rgb="FF660066"/>
      <rgbColor rgb="FFFF8080"/>
      <rgbColor rgb="FF0066CC"/>
      <rgbColor rgb="FFEDE2F6"/>
      <rgbColor rgb="FF000080"/>
      <rgbColor rgb="FFFF00FF"/>
      <rgbColor rgb="FFFFFF00"/>
      <rgbColor rgb="FF00FFFF"/>
      <rgbColor rgb="FF800080"/>
      <rgbColor rgb="FF800000"/>
      <rgbColor rgb="FF008080"/>
      <rgbColor rgb="FF0000FF"/>
      <rgbColor rgb="FF00CCFF"/>
      <rgbColor rgb="FFE7E6E6"/>
      <rgbColor rgb="FFD9EAD3"/>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A40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6.15" hidden="false" customHeight="false" outlineLevel="0" collapsed="false">
      <c r="A1" s="1" t="s">
        <v>0</v>
      </c>
    </row>
    <row r="2" customFormat="false" ht="45" hidden="false" customHeight="true" outlineLevel="0" collapsed="false">
      <c r="A2" s="2" t="s">
        <v>1</v>
      </c>
      <c r="B2" s="2"/>
    </row>
    <row r="4" customFormat="false" ht="15" hidden="false" customHeight="false" outlineLevel="0" collapsed="false">
      <c r="A4" s="3" t="s">
        <v>2</v>
      </c>
      <c r="B4" s="3" t="s">
        <v>3</v>
      </c>
    </row>
    <row r="5" customFormat="false" ht="15" hidden="false" customHeight="false" outlineLevel="0" collapsed="false">
      <c r="A5" s="4" t="s">
        <v>4</v>
      </c>
      <c r="B5" s="5" t="s">
        <v>5</v>
      </c>
    </row>
    <row r="6" customFormat="false" ht="15" hidden="false" customHeight="false" outlineLevel="0" collapsed="false">
      <c r="A6" s="4" t="s">
        <v>6</v>
      </c>
      <c r="B6" s="5" t="s">
        <v>7</v>
      </c>
    </row>
    <row r="7" customFormat="false" ht="15" hidden="false" customHeight="false" outlineLevel="0" collapsed="false">
      <c r="A7" s="4" t="s">
        <v>8</v>
      </c>
      <c r="B7" s="5" t="s">
        <v>9</v>
      </c>
    </row>
    <row r="8" customFormat="false" ht="15" hidden="false" customHeight="false" outlineLevel="0" collapsed="false">
      <c r="A8" s="4" t="s">
        <v>10</v>
      </c>
      <c r="B8" s="5" t="s">
        <v>11</v>
      </c>
    </row>
    <row r="9" customFormat="false" ht="15" hidden="false" customHeight="false" outlineLevel="0" collapsed="false">
      <c r="A9" s="4" t="s">
        <v>12</v>
      </c>
      <c r="B9" s="5" t="s">
        <v>13</v>
      </c>
    </row>
    <row r="10" customFormat="false" ht="15" hidden="false" customHeight="false" outlineLevel="0" collapsed="false">
      <c r="A10" s="4" t="s">
        <v>14</v>
      </c>
      <c r="B10" s="5" t="s">
        <v>15</v>
      </c>
    </row>
    <row r="11" customFormat="false" ht="15" hidden="false" customHeight="false" outlineLevel="0" collapsed="false">
      <c r="A11" s="4" t="s">
        <v>16</v>
      </c>
      <c r="B11" s="5" t="s">
        <v>17</v>
      </c>
    </row>
    <row r="12" customFormat="false" ht="15" hidden="false" customHeight="false" outlineLevel="0" collapsed="false">
      <c r="A12" s="4" t="s">
        <v>18</v>
      </c>
      <c r="B12" s="5" t="s">
        <v>19</v>
      </c>
    </row>
    <row r="13" customFormat="false" ht="15" hidden="false" customHeight="false" outlineLevel="0" collapsed="false">
      <c r="A13" s="4" t="s">
        <v>20</v>
      </c>
      <c r="B13" s="5" t="s">
        <v>21</v>
      </c>
    </row>
    <row r="14" customFormat="false" ht="15" hidden="false" customHeight="false" outlineLevel="0" collapsed="false">
      <c r="A14" s="4" t="s">
        <v>22</v>
      </c>
      <c r="B14" s="5" t="s">
        <v>23</v>
      </c>
    </row>
    <row r="15" customFormat="false" ht="15" hidden="false" customHeight="false" outlineLevel="0" collapsed="false">
      <c r="A15" s="4" t="s">
        <v>24</v>
      </c>
      <c r="B15" s="5" t="s">
        <v>25</v>
      </c>
    </row>
    <row r="16" customFormat="false" ht="15" hidden="false" customHeight="false" outlineLevel="0" collapsed="false">
      <c r="A16" s="4" t="s">
        <v>26</v>
      </c>
      <c r="B16" s="5" t="s">
        <v>27</v>
      </c>
    </row>
    <row r="17" customFormat="false" ht="15" hidden="false" customHeight="false" outlineLevel="0" collapsed="false">
      <c r="A17" s="4" t="s">
        <v>28</v>
      </c>
      <c r="B17" s="5" t="s">
        <v>29</v>
      </c>
    </row>
    <row r="18" customFormat="false" ht="15" hidden="false" customHeight="false" outlineLevel="0" collapsed="false">
      <c r="A18" s="4" t="s">
        <v>30</v>
      </c>
      <c r="B18" s="5" t="s">
        <v>31</v>
      </c>
    </row>
    <row r="20" customFormat="false" ht="15" hidden="false" customHeight="false" outlineLevel="0" collapsed="false">
      <c r="A20" s="4" t="s">
        <v>32</v>
      </c>
    </row>
    <row r="21" customFormat="false" ht="15" hidden="false" customHeight="false" outlineLevel="0" collapsed="false">
      <c r="A21" s="6" t="s">
        <v>33</v>
      </c>
    </row>
    <row r="22" customFormat="false" ht="15" hidden="false" customHeight="false" outlineLevel="0" collapsed="false">
      <c r="A22" s="7" t="s">
        <v>34</v>
      </c>
    </row>
    <row r="23" customFormat="false" ht="15" hidden="false" customHeight="false" outlineLevel="0" collapsed="false">
      <c r="A23" s="8" t="s">
        <v>35</v>
      </c>
    </row>
    <row r="24" customFormat="false" ht="15" hidden="false" customHeight="false" outlineLevel="0" collapsed="false">
      <c r="A24" s="9" t="s">
        <v>36</v>
      </c>
    </row>
    <row r="25" customFormat="false" ht="15" hidden="false" customHeight="false" outlineLevel="0" collapsed="false">
      <c r="A25" s="10" t="s">
        <v>26</v>
      </c>
    </row>
    <row r="26" customFormat="false" ht="15" hidden="false" customHeight="false" outlineLevel="0" collapsed="false">
      <c r="A26" s="11" t="s">
        <v>37</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0"/>
  </cols>
  <sheetData>
    <row r="1" customFormat="false" ht="15" hidden="false" customHeight="false" outlineLevel="0" collapsed="false">
      <c r="A1" s="12" t="s">
        <v>38</v>
      </c>
      <c r="B1" s="12" t="s">
        <v>39</v>
      </c>
    </row>
    <row r="2" customFormat="false" ht="23.85" hidden="false" customHeight="false" outlineLevel="0" collapsed="false">
      <c r="A2" s="13" t="s">
        <v>40</v>
      </c>
      <c r="B2" s="13" t="s">
        <v>41</v>
      </c>
    </row>
    <row r="3" customFormat="false" ht="23.85" hidden="false" customHeight="false" outlineLevel="0" collapsed="false">
      <c r="A3" s="13" t="s">
        <v>42</v>
      </c>
      <c r="B3" s="13" t="s">
        <v>43</v>
      </c>
    </row>
    <row r="4" customFormat="false" ht="23.85" hidden="false" customHeight="false" outlineLevel="0" collapsed="false">
      <c r="A4" s="13" t="s">
        <v>44</v>
      </c>
      <c r="B4" s="13" t="s">
        <v>45</v>
      </c>
    </row>
    <row r="5" customFormat="false" ht="15" hidden="false" customHeight="false" outlineLevel="0" collapsed="false">
      <c r="A5" s="13" t="s">
        <v>46</v>
      </c>
      <c r="B5" s="13" t="s">
        <v>47</v>
      </c>
    </row>
    <row r="6" customFormat="false" ht="23.85" hidden="false" customHeight="false" outlineLevel="0" collapsed="false">
      <c r="A6" s="13" t="s">
        <v>48</v>
      </c>
      <c r="B6" s="13" t="s">
        <v>49</v>
      </c>
    </row>
    <row r="7" customFormat="false" ht="23.85" hidden="false" customHeight="false" outlineLevel="0" collapsed="false">
      <c r="A7" s="13" t="s">
        <v>50</v>
      </c>
      <c r="B7" s="13" t="s">
        <v>51</v>
      </c>
    </row>
    <row r="8" customFormat="false" ht="23.85" hidden="false" customHeight="false" outlineLevel="0" collapsed="false">
      <c r="A8" s="13" t="s">
        <v>52</v>
      </c>
      <c r="B8" s="13" t="s">
        <v>53</v>
      </c>
    </row>
    <row r="9" customFormat="false" ht="35.05" hidden="false" customHeight="false" outlineLevel="0" collapsed="false">
      <c r="A9" s="13" t="s">
        <v>54</v>
      </c>
      <c r="B9" s="13" t="s">
        <v>55</v>
      </c>
    </row>
    <row r="10" customFormat="false" ht="15" hidden="false" customHeight="false" outlineLevel="0" collapsed="false">
      <c r="A10" s="13" t="s">
        <v>56</v>
      </c>
      <c r="B10" s="13" t="s">
        <v>57</v>
      </c>
    </row>
    <row r="11" customFormat="false" ht="23.85" hidden="false" customHeight="false" outlineLevel="0" collapsed="false">
      <c r="A11" s="13" t="s">
        <v>58</v>
      </c>
      <c r="B11" s="13" t="s">
        <v>59</v>
      </c>
    </row>
    <row r="12" customFormat="false" ht="15" hidden="false" customHeight="false" outlineLevel="0" collapsed="false">
      <c r="A12" s="13" t="s">
        <v>60</v>
      </c>
      <c r="B12" s="13" t="s">
        <v>61</v>
      </c>
    </row>
  </sheetData>
  <autoFilter ref="A1:B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70"/>
    <col collapsed="false" customWidth="true" hidden="false" outlineLevel="0" max="4" min="4" style="0" width="55"/>
    <col collapsed="false" customWidth="true" hidden="false" outlineLevel="0" max="5" min="5" style="0" width="16"/>
  </cols>
  <sheetData>
    <row r="1" customFormat="false" ht="15" hidden="false" customHeight="false" outlineLevel="0" collapsed="false">
      <c r="A1" s="12" t="s">
        <v>38</v>
      </c>
      <c r="B1" s="12" t="s">
        <v>62</v>
      </c>
      <c r="C1" s="12" t="s">
        <v>63</v>
      </c>
      <c r="D1" s="12" t="s">
        <v>64</v>
      </c>
      <c r="E1" s="12" t="s">
        <v>10</v>
      </c>
    </row>
    <row r="2" customFormat="false" ht="35.05" hidden="false" customHeight="false" outlineLevel="0" collapsed="false">
      <c r="A2" s="13" t="s">
        <v>65</v>
      </c>
      <c r="B2" s="13" t="s">
        <v>24</v>
      </c>
      <c r="C2" s="13" t="s">
        <v>66</v>
      </c>
      <c r="D2" s="13" t="s">
        <v>67</v>
      </c>
      <c r="E2" s="13" t="s">
        <v>68</v>
      </c>
    </row>
    <row r="3" customFormat="false" ht="35.05" hidden="false" customHeight="false" outlineLevel="0" collapsed="false">
      <c r="A3" s="13" t="s">
        <v>69</v>
      </c>
      <c r="B3" s="13" t="s">
        <v>70</v>
      </c>
      <c r="C3" s="13" t="s">
        <v>71</v>
      </c>
      <c r="D3" s="13" t="s">
        <v>72</v>
      </c>
      <c r="E3" s="13" t="s">
        <v>73</v>
      </c>
    </row>
    <row r="4" customFormat="false" ht="23.85" hidden="false" customHeight="false" outlineLevel="0" collapsed="false">
      <c r="A4" s="13" t="s">
        <v>74</v>
      </c>
      <c r="B4" s="13" t="s">
        <v>75</v>
      </c>
      <c r="C4" s="13" t="s">
        <v>76</v>
      </c>
      <c r="D4" s="13" t="s">
        <v>77</v>
      </c>
      <c r="E4" s="13" t="s">
        <v>78</v>
      </c>
    </row>
    <row r="5" customFormat="false" ht="35.05" hidden="false" customHeight="false" outlineLevel="0" collapsed="false">
      <c r="A5" s="13" t="s">
        <v>79</v>
      </c>
      <c r="B5" s="13" t="s">
        <v>80</v>
      </c>
      <c r="C5" s="13" t="s">
        <v>81</v>
      </c>
      <c r="D5" s="13" t="s">
        <v>82</v>
      </c>
      <c r="E5" s="13" t="s">
        <v>83</v>
      </c>
    </row>
    <row r="6" customFormat="false" ht="23.85" hidden="false" customHeight="false" outlineLevel="0" collapsed="false">
      <c r="A6" s="13" t="s">
        <v>84</v>
      </c>
      <c r="B6" s="13" t="s">
        <v>85</v>
      </c>
      <c r="C6" s="13" t="s">
        <v>86</v>
      </c>
      <c r="D6" s="13" t="s">
        <v>87</v>
      </c>
      <c r="E6" s="13" t="s">
        <v>88</v>
      </c>
    </row>
    <row r="7" customFormat="false" ht="35.05" hidden="false" customHeight="false" outlineLevel="0" collapsed="false">
      <c r="A7" s="13" t="s">
        <v>89</v>
      </c>
      <c r="B7" s="13" t="s">
        <v>18</v>
      </c>
      <c r="C7" s="13" t="s">
        <v>90</v>
      </c>
      <c r="D7" s="13" t="s">
        <v>91</v>
      </c>
      <c r="E7" s="13" t="s">
        <v>92</v>
      </c>
    </row>
    <row r="8" customFormat="false" ht="57.45" hidden="false" customHeight="false" outlineLevel="0" collapsed="false">
      <c r="A8" s="13" t="s">
        <v>93</v>
      </c>
      <c r="B8" s="13" t="s">
        <v>20</v>
      </c>
      <c r="C8" s="13" t="s">
        <v>94</v>
      </c>
      <c r="D8" s="13" t="s">
        <v>95</v>
      </c>
      <c r="E8" s="13" t="s">
        <v>96</v>
      </c>
    </row>
    <row r="9" customFormat="false" ht="35.05" hidden="false" customHeight="false" outlineLevel="0" collapsed="false">
      <c r="A9" s="13" t="s">
        <v>97</v>
      </c>
      <c r="B9" s="13" t="s">
        <v>98</v>
      </c>
      <c r="C9" s="13" t="s">
        <v>99</v>
      </c>
      <c r="D9" s="13" t="s">
        <v>100</v>
      </c>
      <c r="E9" s="13" t="s">
        <v>101</v>
      </c>
    </row>
    <row r="10" customFormat="false" ht="23.85" hidden="false" customHeight="false" outlineLevel="0" collapsed="false">
      <c r="A10" s="13" t="s">
        <v>102</v>
      </c>
      <c r="B10" s="13" t="s">
        <v>103</v>
      </c>
      <c r="C10" s="13" t="s">
        <v>104</v>
      </c>
      <c r="D10" s="13" t="s">
        <v>105</v>
      </c>
      <c r="E10" s="13" t="s">
        <v>106</v>
      </c>
    </row>
  </sheetData>
  <autoFilter ref="A1:E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34"/>
    <col collapsed="false" customWidth="true" hidden="false" outlineLevel="0" max="4" min="4" style="0" width="7"/>
    <col collapsed="false" customWidth="true" hidden="false" outlineLevel="0" max="5" min="5" style="0" width="9"/>
    <col collapsed="false" customWidth="true" hidden="false" outlineLevel="0" max="6" min="6" style="0" width="10"/>
    <col collapsed="false" customWidth="true" hidden="false" outlineLevel="0" max="7" min="7" style="0" width="14"/>
    <col collapsed="false" customWidth="true" hidden="false" outlineLevel="0" max="8" min="8" style="0" width="16"/>
    <col collapsed="false" customWidth="true" hidden="false" outlineLevel="0" max="9" min="9" style="0" width="9"/>
    <col collapsed="false" customWidth="true" hidden="false" outlineLevel="0" max="10" min="10" style="0" width="40"/>
    <col collapsed="false" customWidth="true" hidden="false" outlineLevel="0" max="11" min="11" style="0" width="9"/>
    <col collapsed="false" customWidth="true" hidden="false" outlineLevel="0" max="12" min="12" style="0" width="12"/>
    <col collapsed="false" customWidth="true" hidden="false" outlineLevel="0" max="13" min="13" style="0" width="9"/>
    <col collapsed="false" customWidth="true" hidden="false" outlineLevel="0" max="14" min="14" style="0" width="34"/>
    <col collapsed="false" customWidth="true" hidden="false" outlineLevel="0" max="15" min="15" style="0" width="10"/>
    <col collapsed="false" customWidth="true" hidden="false" outlineLevel="0" max="17" min="16" style="0" width="34"/>
    <col collapsed="false" customWidth="true" hidden="false" outlineLevel="0" max="18" min="18" style="0" width="24"/>
  </cols>
  <sheetData>
    <row r="1" customFormat="false" ht="45" hidden="false" customHeight="true" outlineLevel="0" collapsed="false">
      <c r="A1" s="14" t="s">
        <v>107</v>
      </c>
      <c r="B1" s="14"/>
      <c r="C1" s="14"/>
      <c r="D1" s="14"/>
      <c r="E1" s="14"/>
      <c r="F1" s="14"/>
      <c r="G1" s="14"/>
      <c r="H1" s="14"/>
      <c r="I1" s="14"/>
      <c r="J1" s="14"/>
      <c r="K1" s="14"/>
      <c r="L1" s="14"/>
      <c r="M1" s="14"/>
      <c r="N1" s="14"/>
      <c r="O1" s="14"/>
      <c r="P1" s="14"/>
      <c r="Q1" s="14"/>
      <c r="R1" s="14"/>
    </row>
    <row r="3" customFormat="false" ht="35.05" hidden="false" customHeight="false" outlineLevel="0" collapsed="false">
      <c r="A3" s="12" t="s">
        <v>108</v>
      </c>
      <c r="B3" s="12" t="s">
        <v>109</v>
      </c>
      <c r="C3" s="12" t="s">
        <v>110</v>
      </c>
      <c r="D3" s="12" t="s">
        <v>111</v>
      </c>
      <c r="E3" s="12" t="s">
        <v>112</v>
      </c>
      <c r="F3" s="12" t="s">
        <v>113</v>
      </c>
      <c r="G3" s="12" t="s">
        <v>114</v>
      </c>
      <c r="H3" s="12" t="s">
        <v>115</v>
      </c>
      <c r="I3" s="12" t="s">
        <v>116</v>
      </c>
      <c r="J3" s="12" t="s">
        <v>117</v>
      </c>
      <c r="K3" s="12" t="s">
        <v>118</v>
      </c>
      <c r="L3" s="12" t="s">
        <v>119</v>
      </c>
      <c r="M3" s="12" t="s">
        <v>120</v>
      </c>
      <c r="N3" s="12" t="s">
        <v>121</v>
      </c>
      <c r="O3" s="12" t="s">
        <v>122</v>
      </c>
      <c r="P3" s="12" t="s">
        <v>123</v>
      </c>
      <c r="Q3" s="12" t="s">
        <v>124</v>
      </c>
      <c r="R3" s="12" t="s">
        <v>125</v>
      </c>
    </row>
    <row r="4" customFormat="false" ht="46.25" hidden="false" customHeight="false" outlineLevel="0" collapsed="false">
      <c r="A4" s="13" t="s">
        <v>126</v>
      </c>
      <c r="B4" s="13" t="s">
        <v>127</v>
      </c>
      <c r="C4" s="13" t="s">
        <v>128</v>
      </c>
      <c r="D4" s="13" t="s">
        <v>128</v>
      </c>
      <c r="E4" s="13" t="s">
        <v>129</v>
      </c>
      <c r="F4" s="13"/>
      <c r="G4" s="13"/>
      <c r="H4" s="13"/>
      <c r="I4" s="13"/>
      <c r="J4" s="13" t="s">
        <v>130</v>
      </c>
      <c r="K4" s="15" t="s">
        <v>34</v>
      </c>
      <c r="L4" s="13" t="s">
        <v>131</v>
      </c>
      <c r="M4" s="16" t="b">
        <f aca="false">TRUE()</f>
        <v>1</v>
      </c>
      <c r="N4" s="13"/>
      <c r="O4" s="13" t="s">
        <v>128</v>
      </c>
      <c r="P4" s="13" t="s">
        <v>132</v>
      </c>
      <c r="Q4" s="13" t="s">
        <v>130</v>
      </c>
      <c r="R4" s="13" t="s">
        <v>133</v>
      </c>
    </row>
    <row r="5" customFormat="false" ht="23.85" hidden="false" customHeight="false" outlineLevel="0" collapsed="false">
      <c r="A5" s="13" t="s">
        <v>134</v>
      </c>
      <c r="B5" s="13" t="s">
        <v>127</v>
      </c>
      <c r="C5" s="13" t="s">
        <v>128</v>
      </c>
      <c r="D5" s="13" t="s">
        <v>128</v>
      </c>
      <c r="E5" s="13" t="s">
        <v>129</v>
      </c>
      <c r="F5" s="13"/>
      <c r="G5" s="13"/>
      <c r="H5" s="13"/>
      <c r="I5" s="13"/>
      <c r="J5" s="13" t="s">
        <v>135</v>
      </c>
      <c r="K5" s="15" t="s">
        <v>34</v>
      </c>
      <c r="L5" s="13" t="s">
        <v>131</v>
      </c>
      <c r="M5" s="16" t="b">
        <f aca="false">TRUE()</f>
        <v>1</v>
      </c>
      <c r="N5" s="13" t="s">
        <v>126</v>
      </c>
      <c r="O5" s="13" t="s">
        <v>128</v>
      </c>
      <c r="P5" s="13" t="s">
        <v>132</v>
      </c>
      <c r="Q5" s="13" t="s">
        <v>135</v>
      </c>
      <c r="R5" s="13" t="s">
        <v>133</v>
      </c>
    </row>
    <row r="6" customFormat="false" ht="46.25" hidden="false" customHeight="false" outlineLevel="0" collapsed="false">
      <c r="A6" s="13" t="s">
        <v>136</v>
      </c>
      <c r="B6" s="13" t="s">
        <v>127</v>
      </c>
      <c r="C6" s="13" t="s">
        <v>128</v>
      </c>
      <c r="D6" s="13" t="s">
        <v>128</v>
      </c>
      <c r="E6" s="13" t="s">
        <v>129</v>
      </c>
      <c r="F6" s="13"/>
      <c r="G6" s="13"/>
      <c r="H6" s="13"/>
      <c r="I6" s="13"/>
      <c r="J6" s="13" t="s">
        <v>137</v>
      </c>
      <c r="K6" s="15" t="s">
        <v>34</v>
      </c>
      <c r="L6" s="13" t="s">
        <v>131</v>
      </c>
      <c r="M6" s="16" t="b">
        <f aca="false">TRUE()</f>
        <v>1</v>
      </c>
      <c r="N6" s="13" t="s">
        <v>126</v>
      </c>
      <c r="O6" s="13" t="s">
        <v>69</v>
      </c>
      <c r="P6" s="13" t="s">
        <v>132</v>
      </c>
      <c r="Q6" s="13" t="s">
        <v>137</v>
      </c>
      <c r="R6" s="13" t="s">
        <v>133</v>
      </c>
    </row>
    <row r="7" customFormat="false" ht="23.85" hidden="false" customHeight="false" outlineLevel="0" collapsed="false">
      <c r="A7" s="13" t="s">
        <v>138</v>
      </c>
      <c r="B7" s="13" t="s">
        <v>127</v>
      </c>
      <c r="C7" s="13" t="s">
        <v>128</v>
      </c>
      <c r="D7" s="13" t="s">
        <v>128</v>
      </c>
      <c r="E7" s="13" t="s">
        <v>129</v>
      </c>
      <c r="F7" s="13"/>
      <c r="G7" s="13"/>
      <c r="H7" s="13"/>
      <c r="I7" s="13"/>
      <c r="J7" s="13" t="s">
        <v>139</v>
      </c>
      <c r="K7" s="15" t="s">
        <v>34</v>
      </c>
      <c r="L7" s="13" t="s">
        <v>131</v>
      </c>
      <c r="M7" s="16" t="b">
        <f aca="false">TRUE()</f>
        <v>1</v>
      </c>
      <c r="N7" s="13" t="s">
        <v>126</v>
      </c>
      <c r="O7" s="13" t="s">
        <v>128</v>
      </c>
      <c r="P7" s="13" t="s">
        <v>132</v>
      </c>
      <c r="Q7" s="13" t="s">
        <v>139</v>
      </c>
      <c r="R7" s="13" t="s">
        <v>133</v>
      </c>
    </row>
    <row r="8" customFormat="false" ht="46.25" hidden="false" customHeight="false" outlineLevel="0" collapsed="false">
      <c r="A8" s="13" t="s">
        <v>140</v>
      </c>
      <c r="B8" s="13" t="s">
        <v>127</v>
      </c>
      <c r="C8" s="13" t="s">
        <v>128</v>
      </c>
      <c r="D8" s="13" t="s">
        <v>128</v>
      </c>
      <c r="E8" s="13" t="s">
        <v>129</v>
      </c>
      <c r="F8" s="13"/>
      <c r="G8" s="13"/>
      <c r="H8" s="13"/>
      <c r="I8" s="13"/>
      <c r="J8" s="13" t="s">
        <v>141</v>
      </c>
      <c r="K8" s="15" t="s">
        <v>34</v>
      </c>
      <c r="L8" s="13" t="s">
        <v>131</v>
      </c>
      <c r="M8" s="16" t="b">
        <f aca="false">TRUE()</f>
        <v>1</v>
      </c>
      <c r="N8" s="13" t="s">
        <v>126</v>
      </c>
      <c r="O8" s="13" t="s">
        <v>93</v>
      </c>
      <c r="P8" s="13" t="s">
        <v>132</v>
      </c>
      <c r="Q8" s="13" t="s">
        <v>141</v>
      </c>
      <c r="R8" s="13" t="s">
        <v>133</v>
      </c>
    </row>
    <row r="9" customFormat="false" ht="46.25" hidden="false" customHeight="false" outlineLevel="0" collapsed="false">
      <c r="A9" s="13" t="s">
        <v>142</v>
      </c>
      <c r="B9" s="13" t="s">
        <v>127</v>
      </c>
      <c r="C9" s="13" t="s">
        <v>128</v>
      </c>
      <c r="D9" s="13" t="s">
        <v>128</v>
      </c>
      <c r="E9" s="13" t="s">
        <v>129</v>
      </c>
      <c r="F9" s="13"/>
      <c r="G9" s="13"/>
      <c r="H9" s="13"/>
      <c r="I9" s="13"/>
      <c r="J9" s="13" t="s">
        <v>143</v>
      </c>
      <c r="K9" s="15" t="s">
        <v>34</v>
      </c>
      <c r="L9" s="13" t="s">
        <v>131</v>
      </c>
      <c r="M9" s="16" t="b">
        <f aca="false">TRUE()</f>
        <v>1</v>
      </c>
      <c r="N9" s="13" t="s">
        <v>126</v>
      </c>
      <c r="O9" s="13" t="s">
        <v>89</v>
      </c>
      <c r="P9" s="13" t="s">
        <v>132</v>
      </c>
      <c r="Q9" s="13" t="s">
        <v>143</v>
      </c>
      <c r="R9" s="13" t="s">
        <v>133</v>
      </c>
    </row>
    <row r="10" customFormat="false" ht="79.85" hidden="false" customHeight="false" outlineLevel="0" collapsed="false">
      <c r="A10" s="13" t="s">
        <v>144</v>
      </c>
      <c r="B10" s="13" t="s">
        <v>127</v>
      </c>
      <c r="C10" s="13" t="s">
        <v>128</v>
      </c>
      <c r="D10" s="13" t="s">
        <v>128</v>
      </c>
      <c r="E10" s="13" t="s">
        <v>129</v>
      </c>
      <c r="F10" s="13"/>
      <c r="G10" s="13"/>
      <c r="H10" s="13"/>
      <c r="I10" s="13"/>
      <c r="J10" s="13" t="s">
        <v>145</v>
      </c>
      <c r="K10" s="15" t="s">
        <v>34</v>
      </c>
      <c r="L10" s="13" t="s">
        <v>131</v>
      </c>
      <c r="M10" s="16" t="b">
        <f aca="false">TRUE()</f>
        <v>1</v>
      </c>
      <c r="N10" s="13" t="s">
        <v>126</v>
      </c>
      <c r="O10" s="13" t="s">
        <v>93</v>
      </c>
      <c r="P10" s="13" t="s">
        <v>132</v>
      </c>
      <c r="Q10" s="13" t="s">
        <v>145</v>
      </c>
      <c r="R10" s="13" t="s">
        <v>133</v>
      </c>
    </row>
    <row r="11" customFormat="false" ht="23.85" hidden="false" customHeight="false" outlineLevel="0" collapsed="false">
      <c r="A11" s="13" t="s">
        <v>146</v>
      </c>
      <c r="B11" s="13" t="s">
        <v>127</v>
      </c>
      <c r="C11" s="13" t="s">
        <v>128</v>
      </c>
      <c r="D11" s="13" t="s">
        <v>128</v>
      </c>
      <c r="E11" s="13" t="s">
        <v>129</v>
      </c>
      <c r="F11" s="13"/>
      <c r="G11" s="13"/>
      <c r="H11" s="13"/>
      <c r="I11" s="13"/>
      <c r="J11" s="13" t="s">
        <v>147</v>
      </c>
      <c r="K11" s="15" t="s">
        <v>34</v>
      </c>
      <c r="L11" s="13" t="s">
        <v>131</v>
      </c>
      <c r="M11" s="16" t="b">
        <f aca="false">TRUE()</f>
        <v>1</v>
      </c>
      <c r="N11" s="13" t="s">
        <v>126</v>
      </c>
      <c r="O11" s="13" t="s">
        <v>128</v>
      </c>
      <c r="P11" s="13" t="s">
        <v>132</v>
      </c>
      <c r="Q11" s="13" t="s">
        <v>147</v>
      </c>
      <c r="R11" s="13" t="s">
        <v>133</v>
      </c>
    </row>
    <row r="12" customFormat="false" ht="15" hidden="false" customHeight="false" outlineLevel="0" collapsed="false">
      <c r="A12" s="13" t="s">
        <v>148</v>
      </c>
      <c r="B12" s="13" t="s">
        <v>127</v>
      </c>
      <c r="C12" s="13" t="s">
        <v>128</v>
      </c>
      <c r="D12" s="13" t="s">
        <v>128</v>
      </c>
      <c r="E12" s="13" t="s">
        <v>129</v>
      </c>
      <c r="F12" s="13"/>
      <c r="G12" s="13"/>
      <c r="H12" s="13"/>
      <c r="I12" s="13"/>
      <c r="J12" s="13" t="s">
        <v>149</v>
      </c>
      <c r="K12" s="15" t="s">
        <v>34</v>
      </c>
      <c r="L12" s="13" t="s">
        <v>131</v>
      </c>
      <c r="M12" s="16" t="b">
        <f aca="false">TRUE()</f>
        <v>1</v>
      </c>
      <c r="N12" s="13" t="s">
        <v>126</v>
      </c>
      <c r="O12" s="13" t="s">
        <v>128</v>
      </c>
      <c r="P12" s="13" t="s">
        <v>132</v>
      </c>
      <c r="Q12" s="13" t="s">
        <v>149</v>
      </c>
      <c r="R12" s="13" t="s">
        <v>133</v>
      </c>
    </row>
    <row r="13" customFormat="false" ht="23.85" hidden="false" customHeight="false" outlineLevel="0" collapsed="false">
      <c r="A13" s="13" t="s">
        <v>106</v>
      </c>
      <c r="B13" s="13" t="s">
        <v>150</v>
      </c>
      <c r="C13" s="13" t="s">
        <v>151</v>
      </c>
      <c r="D13" s="13" t="s">
        <v>152</v>
      </c>
      <c r="E13" s="13" t="s">
        <v>153</v>
      </c>
      <c r="F13" s="13"/>
      <c r="G13" s="13" t="n">
        <v>30</v>
      </c>
      <c r="H13" s="13" t="n">
        <v>45</v>
      </c>
      <c r="I13" s="13" t="n">
        <v>0</v>
      </c>
      <c r="J13" s="13" t="s">
        <v>154</v>
      </c>
      <c r="K13" s="15" t="s">
        <v>34</v>
      </c>
      <c r="L13" s="13" t="s">
        <v>131</v>
      </c>
      <c r="M13" s="16" t="b">
        <f aca="false">FALSE()</f>
        <v>0</v>
      </c>
      <c r="N13" s="13" t="s">
        <v>126</v>
      </c>
      <c r="O13" s="13" t="s">
        <v>102</v>
      </c>
      <c r="P13" s="13" t="s">
        <v>155</v>
      </c>
      <c r="Q13" s="13" t="s">
        <v>156</v>
      </c>
      <c r="R13" s="13" t="s">
        <v>157</v>
      </c>
    </row>
    <row r="14" customFormat="false" ht="15" hidden="false" customHeight="false" outlineLevel="0" collapsed="false">
      <c r="A14" s="13" t="s">
        <v>106</v>
      </c>
      <c r="B14" s="13" t="s">
        <v>158</v>
      </c>
      <c r="C14" s="13" t="s">
        <v>151</v>
      </c>
      <c r="D14" s="13" t="s">
        <v>152</v>
      </c>
      <c r="E14" s="13" t="s">
        <v>153</v>
      </c>
      <c r="F14" s="13"/>
      <c r="G14" s="13" t="n">
        <v>30</v>
      </c>
      <c r="H14" s="13" t="n">
        <v>45</v>
      </c>
      <c r="I14" s="13" t="n">
        <v>0</v>
      </c>
      <c r="J14" s="13" t="s">
        <v>154</v>
      </c>
      <c r="K14" s="15" t="s">
        <v>34</v>
      </c>
      <c r="L14" s="13" t="s">
        <v>131</v>
      </c>
      <c r="M14" s="16" t="b">
        <f aca="false">FALSE()</f>
        <v>0</v>
      </c>
      <c r="N14" s="13" t="s">
        <v>126</v>
      </c>
      <c r="O14" s="13" t="s">
        <v>102</v>
      </c>
      <c r="P14" s="13" t="s">
        <v>155</v>
      </c>
      <c r="Q14" s="13" t="s">
        <v>156</v>
      </c>
      <c r="R14" s="13" t="s">
        <v>157</v>
      </c>
    </row>
    <row r="15" customFormat="false" ht="15" hidden="false" customHeight="false" outlineLevel="0" collapsed="false">
      <c r="A15" s="13" t="s">
        <v>106</v>
      </c>
      <c r="B15" s="13" t="s">
        <v>159</v>
      </c>
      <c r="C15" s="13" t="s">
        <v>151</v>
      </c>
      <c r="D15" s="13" t="s">
        <v>152</v>
      </c>
      <c r="E15" s="13" t="s">
        <v>153</v>
      </c>
      <c r="F15" s="13"/>
      <c r="G15" s="13" t="n">
        <v>40</v>
      </c>
      <c r="H15" s="13" t="n">
        <v>55</v>
      </c>
      <c r="I15" s="13" t="n">
        <v>0</v>
      </c>
      <c r="J15" s="13" t="s">
        <v>154</v>
      </c>
      <c r="K15" s="15" t="s">
        <v>34</v>
      </c>
      <c r="L15" s="13" t="s">
        <v>131</v>
      </c>
      <c r="M15" s="16" t="b">
        <f aca="false">FALSE()</f>
        <v>0</v>
      </c>
      <c r="N15" s="13" t="s">
        <v>126</v>
      </c>
      <c r="O15" s="13" t="s">
        <v>102</v>
      </c>
      <c r="P15" s="13" t="s">
        <v>155</v>
      </c>
      <c r="Q15" s="13" t="s">
        <v>156</v>
      </c>
      <c r="R15" s="13" t="s">
        <v>157</v>
      </c>
    </row>
    <row r="16" customFormat="false" ht="15" hidden="false" customHeight="false" outlineLevel="0" collapsed="false">
      <c r="A16" s="13" t="s">
        <v>106</v>
      </c>
      <c r="B16" s="13" t="s">
        <v>160</v>
      </c>
      <c r="C16" s="13" t="s">
        <v>151</v>
      </c>
      <c r="D16" s="13" t="s">
        <v>152</v>
      </c>
      <c r="E16" s="13" t="s">
        <v>153</v>
      </c>
      <c r="F16" s="13"/>
      <c r="G16" s="13" t="n">
        <v>30</v>
      </c>
      <c r="H16" s="13" t="n">
        <v>45</v>
      </c>
      <c r="I16" s="13" t="n">
        <v>0</v>
      </c>
      <c r="J16" s="13" t="s">
        <v>154</v>
      </c>
      <c r="K16" s="15" t="s">
        <v>34</v>
      </c>
      <c r="L16" s="13" t="s">
        <v>131</v>
      </c>
      <c r="M16" s="16" t="b">
        <f aca="false">FALSE()</f>
        <v>0</v>
      </c>
      <c r="N16" s="13" t="s">
        <v>126</v>
      </c>
      <c r="O16" s="13" t="s">
        <v>102</v>
      </c>
      <c r="P16" s="13" t="s">
        <v>155</v>
      </c>
      <c r="Q16" s="13" t="s">
        <v>156</v>
      </c>
      <c r="R16" s="13" t="s">
        <v>157</v>
      </c>
    </row>
    <row r="17" customFormat="false" ht="15" hidden="false" customHeight="false" outlineLevel="0" collapsed="false">
      <c r="A17" s="13" t="s">
        <v>106</v>
      </c>
      <c r="B17" s="13" t="s">
        <v>161</v>
      </c>
      <c r="C17" s="13" t="s">
        <v>151</v>
      </c>
      <c r="D17" s="13" t="s">
        <v>152</v>
      </c>
      <c r="E17" s="13" t="s">
        <v>153</v>
      </c>
      <c r="F17" s="13"/>
      <c r="G17" s="13" t="n">
        <v>30</v>
      </c>
      <c r="H17" s="13" t="n">
        <v>40</v>
      </c>
      <c r="I17" s="13" t="n">
        <v>0</v>
      </c>
      <c r="J17" s="13" t="s">
        <v>154</v>
      </c>
      <c r="K17" s="15" t="s">
        <v>34</v>
      </c>
      <c r="L17" s="13" t="s">
        <v>131</v>
      </c>
      <c r="M17" s="16" t="b">
        <f aca="false">FALSE()</f>
        <v>0</v>
      </c>
      <c r="N17" s="13" t="s">
        <v>126</v>
      </c>
      <c r="O17" s="13" t="s">
        <v>102</v>
      </c>
      <c r="P17" s="13" t="s">
        <v>155</v>
      </c>
      <c r="Q17" s="13" t="s">
        <v>156</v>
      </c>
      <c r="R17" s="13" t="s">
        <v>157</v>
      </c>
    </row>
    <row r="18" customFormat="false" ht="15" hidden="false" customHeight="false" outlineLevel="0" collapsed="false">
      <c r="A18" s="13" t="s">
        <v>106</v>
      </c>
      <c r="B18" s="13" t="s">
        <v>162</v>
      </c>
      <c r="C18" s="13" t="s">
        <v>151</v>
      </c>
      <c r="D18" s="13" t="s">
        <v>152</v>
      </c>
      <c r="E18" s="13" t="s">
        <v>153</v>
      </c>
      <c r="F18" s="13"/>
      <c r="G18" s="13" t="n">
        <v>45</v>
      </c>
      <c r="H18" s="13" t="n">
        <v>60</v>
      </c>
      <c r="I18" s="13" t="n">
        <v>0</v>
      </c>
      <c r="J18" s="13" t="s">
        <v>154</v>
      </c>
      <c r="K18" s="15" t="s">
        <v>34</v>
      </c>
      <c r="L18" s="13" t="s">
        <v>131</v>
      </c>
      <c r="M18" s="16" t="b">
        <f aca="false">FALSE()</f>
        <v>0</v>
      </c>
      <c r="N18" s="13" t="s">
        <v>126</v>
      </c>
      <c r="O18" s="13" t="s">
        <v>102</v>
      </c>
      <c r="P18" s="13" t="s">
        <v>155</v>
      </c>
      <c r="Q18" s="13" t="s">
        <v>156</v>
      </c>
      <c r="R18" s="13" t="s">
        <v>157</v>
      </c>
    </row>
    <row r="19" customFormat="false" ht="15" hidden="false" customHeight="false" outlineLevel="0" collapsed="false">
      <c r="A19" s="13" t="s">
        <v>106</v>
      </c>
      <c r="B19" s="13" t="s">
        <v>163</v>
      </c>
      <c r="C19" s="13" t="s">
        <v>151</v>
      </c>
      <c r="D19" s="13" t="s">
        <v>152</v>
      </c>
      <c r="E19" s="13" t="s">
        <v>153</v>
      </c>
      <c r="F19" s="13"/>
      <c r="G19" s="13" t="n">
        <v>45</v>
      </c>
      <c r="H19" s="13" t="n">
        <v>60</v>
      </c>
      <c r="I19" s="13" t="n">
        <v>0</v>
      </c>
      <c r="J19" s="13" t="s">
        <v>154</v>
      </c>
      <c r="K19" s="15" t="s">
        <v>34</v>
      </c>
      <c r="L19" s="13" t="s">
        <v>131</v>
      </c>
      <c r="M19" s="16" t="b">
        <f aca="false">FALSE()</f>
        <v>0</v>
      </c>
      <c r="N19" s="13" t="s">
        <v>126</v>
      </c>
      <c r="O19" s="13" t="s">
        <v>102</v>
      </c>
      <c r="P19" s="13" t="s">
        <v>155</v>
      </c>
      <c r="Q19" s="13" t="s">
        <v>156</v>
      </c>
      <c r="R19" s="13" t="s">
        <v>157</v>
      </c>
    </row>
    <row r="20" customFormat="false" ht="15" hidden="false" customHeight="false" outlineLevel="0" collapsed="false">
      <c r="A20" s="13" t="s">
        <v>164</v>
      </c>
      <c r="B20" s="13" t="s">
        <v>165</v>
      </c>
      <c r="C20" s="13" t="s">
        <v>166</v>
      </c>
      <c r="D20" s="13" t="s">
        <v>152</v>
      </c>
      <c r="E20" s="13" t="s">
        <v>167</v>
      </c>
      <c r="F20" s="13"/>
      <c r="G20" s="13" t="n">
        <v>25.2</v>
      </c>
      <c r="H20" s="13"/>
      <c r="I20" s="13"/>
      <c r="J20" s="13" t="s">
        <v>168</v>
      </c>
      <c r="K20" s="17" t="s">
        <v>36</v>
      </c>
      <c r="L20" s="13" t="s">
        <v>131</v>
      </c>
      <c r="M20" s="16" t="b">
        <f aca="false">FALSE()</f>
        <v>0</v>
      </c>
      <c r="N20" s="13" t="s">
        <v>169</v>
      </c>
      <c r="O20" s="13" t="s">
        <v>128</v>
      </c>
      <c r="P20" s="13" t="s">
        <v>128</v>
      </c>
      <c r="Q20" s="13" t="s">
        <v>170</v>
      </c>
      <c r="R20" s="13" t="s">
        <v>171</v>
      </c>
    </row>
    <row r="21" customFormat="false" ht="15" hidden="false" customHeight="false" outlineLevel="0" collapsed="false">
      <c r="A21" s="13" t="s">
        <v>172</v>
      </c>
      <c r="B21" s="13" t="s">
        <v>173</v>
      </c>
      <c r="C21" s="13" t="s">
        <v>174</v>
      </c>
      <c r="D21" s="13" t="s">
        <v>175</v>
      </c>
      <c r="E21" s="13" t="s">
        <v>153</v>
      </c>
      <c r="F21" s="13" t="n">
        <v>4400</v>
      </c>
      <c r="G21" s="13" t="n">
        <v>2352</v>
      </c>
      <c r="H21" s="13" t="n">
        <v>4400</v>
      </c>
      <c r="I21" s="13" t="n">
        <v>0</v>
      </c>
      <c r="J21" s="13" t="s">
        <v>176</v>
      </c>
      <c r="K21" s="18" t="s">
        <v>33</v>
      </c>
      <c r="L21" s="13" t="s">
        <v>111</v>
      </c>
      <c r="M21" s="16" t="b">
        <f aca="false">FALSE()</f>
        <v>0</v>
      </c>
      <c r="N21" s="13" t="s">
        <v>126</v>
      </c>
      <c r="O21" s="13" t="s">
        <v>79</v>
      </c>
      <c r="P21" s="13" t="s">
        <v>177</v>
      </c>
      <c r="Q21" s="13" t="s">
        <v>178</v>
      </c>
      <c r="R21" s="13" t="s">
        <v>179</v>
      </c>
    </row>
    <row r="22" customFormat="false" ht="23.85" hidden="false" customHeight="false" outlineLevel="0" collapsed="false">
      <c r="A22" s="13" t="s">
        <v>180</v>
      </c>
      <c r="B22" s="13" t="s">
        <v>181</v>
      </c>
      <c r="C22" s="13" t="s">
        <v>182</v>
      </c>
      <c r="D22" s="13" t="s">
        <v>175</v>
      </c>
      <c r="E22" s="13" t="s">
        <v>153</v>
      </c>
      <c r="F22" s="13" t="n">
        <v>1980</v>
      </c>
      <c r="G22" s="13" t="n">
        <v>990</v>
      </c>
      <c r="H22" s="13" t="n">
        <v>1980</v>
      </c>
      <c r="I22" s="13" t="n">
        <v>0</v>
      </c>
      <c r="J22" s="13" t="s">
        <v>176</v>
      </c>
      <c r="K22" s="18" t="s">
        <v>33</v>
      </c>
      <c r="L22" s="13" t="s">
        <v>111</v>
      </c>
      <c r="M22" s="16" t="b">
        <f aca="false">FALSE()</f>
        <v>0</v>
      </c>
      <c r="N22" s="13" t="s">
        <v>126</v>
      </c>
      <c r="O22" s="13" t="s">
        <v>79</v>
      </c>
      <c r="P22" s="13" t="s">
        <v>177</v>
      </c>
      <c r="Q22" s="13" t="s">
        <v>178</v>
      </c>
      <c r="R22" s="13" t="s">
        <v>179</v>
      </c>
    </row>
    <row r="23" customFormat="false" ht="15" hidden="false" customHeight="false" outlineLevel="0" collapsed="false">
      <c r="A23" s="13" t="s">
        <v>183</v>
      </c>
      <c r="B23" s="13" t="s">
        <v>184</v>
      </c>
      <c r="C23" s="13" t="s">
        <v>185</v>
      </c>
      <c r="D23" s="13" t="s">
        <v>175</v>
      </c>
      <c r="E23" s="13" t="s">
        <v>153</v>
      </c>
      <c r="F23" s="13" t="n">
        <v>3300</v>
      </c>
      <c r="G23" s="13" t="n">
        <v>1320</v>
      </c>
      <c r="H23" s="13" t="n">
        <v>3300</v>
      </c>
      <c r="I23" s="13" t="n">
        <v>0</v>
      </c>
      <c r="J23" s="13" t="s">
        <v>176</v>
      </c>
      <c r="K23" s="18" t="s">
        <v>33</v>
      </c>
      <c r="L23" s="13" t="s">
        <v>111</v>
      </c>
      <c r="M23" s="16" t="b">
        <f aca="false">FALSE()</f>
        <v>0</v>
      </c>
      <c r="N23" s="13" t="s">
        <v>126</v>
      </c>
      <c r="O23" s="13" t="s">
        <v>79</v>
      </c>
      <c r="P23" s="13" t="s">
        <v>177</v>
      </c>
      <c r="Q23" s="13" t="s">
        <v>178</v>
      </c>
      <c r="R23" s="13" t="s">
        <v>179</v>
      </c>
    </row>
    <row r="24" customFormat="false" ht="15" hidden="false" customHeight="false" outlineLevel="0" collapsed="false">
      <c r="A24" s="13" t="s">
        <v>186</v>
      </c>
      <c r="B24" s="13" t="s">
        <v>187</v>
      </c>
      <c r="C24" s="13" t="s">
        <v>188</v>
      </c>
      <c r="D24" s="13" t="s">
        <v>189</v>
      </c>
      <c r="E24" s="13" t="s">
        <v>167</v>
      </c>
      <c r="F24" s="13" t="n">
        <v>9</v>
      </c>
      <c r="G24" s="13" t="n">
        <v>4</v>
      </c>
      <c r="H24" s="13" t="n">
        <v>9</v>
      </c>
      <c r="I24" s="13" t="n">
        <v>0.001</v>
      </c>
      <c r="J24" s="13" t="s">
        <v>190</v>
      </c>
      <c r="K24" s="18" t="s">
        <v>33</v>
      </c>
      <c r="L24" s="13" t="s">
        <v>111</v>
      </c>
      <c r="M24" s="16" t="b">
        <f aca="false">FALSE()</f>
        <v>0</v>
      </c>
      <c r="N24" s="13" t="s">
        <v>126</v>
      </c>
      <c r="O24" s="13" t="s">
        <v>84</v>
      </c>
      <c r="P24" s="13" t="s">
        <v>191</v>
      </c>
      <c r="Q24" s="13" t="s">
        <v>178</v>
      </c>
      <c r="R24" s="13" t="s">
        <v>179</v>
      </c>
    </row>
    <row r="25" customFormat="false" ht="15" hidden="false" customHeight="false" outlineLevel="0" collapsed="false">
      <c r="A25" s="13" t="s">
        <v>192</v>
      </c>
      <c r="B25" s="13" t="s">
        <v>193</v>
      </c>
      <c r="C25" s="13" t="s">
        <v>194</v>
      </c>
      <c r="D25" s="13" t="s">
        <v>189</v>
      </c>
      <c r="E25" s="13" t="s">
        <v>167</v>
      </c>
      <c r="F25" s="13" t="n">
        <v>13</v>
      </c>
      <c r="G25" s="13" t="n">
        <v>6.7</v>
      </c>
      <c r="H25" s="13" t="n">
        <v>13</v>
      </c>
      <c r="I25" s="13" t="n">
        <v>0.001</v>
      </c>
      <c r="J25" s="13" t="s">
        <v>190</v>
      </c>
      <c r="K25" s="18" t="s">
        <v>33</v>
      </c>
      <c r="L25" s="13" t="s">
        <v>111</v>
      </c>
      <c r="M25" s="16" t="b">
        <f aca="false">FALSE()</f>
        <v>0</v>
      </c>
      <c r="N25" s="13" t="s">
        <v>126</v>
      </c>
      <c r="O25" s="13" t="s">
        <v>84</v>
      </c>
      <c r="P25" s="13" t="s">
        <v>191</v>
      </c>
      <c r="Q25" s="13" t="s">
        <v>178</v>
      </c>
      <c r="R25" s="13" t="s">
        <v>179</v>
      </c>
    </row>
    <row r="26" customFormat="false" ht="15" hidden="false" customHeight="false" outlineLevel="0" collapsed="false">
      <c r="A26" s="13" t="s">
        <v>195</v>
      </c>
      <c r="B26" s="13" t="s">
        <v>196</v>
      </c>
      <c r="C26" s="13" t="s">
        <v>197</v>
      </c>
      <c r="D26" s="13" t="s">
        <v>189</v>
      </c>
      <c r="E26" s="13" t="s">
        <v>167</v>
      </c>
      <c r="F26" s="13" t="n">
        <v>6.5</v>
      </c>
      <c r="G26" s="13" t="n">
        <v>4.6</v>
      </c>
      <c r="H26" s="13" t="n">
        <v>6.5</v>
      </c>
      <c r="I26" s="13" t="n">
        <v>0.001</v>
      </c>
      <c r="J26" s="13" t="s">
        <v>190</v>
      </c>
      <c r="K26" s="18" t="s">
        <v>33</v>
      </c>
      <c r="L26" s="13" t="s">
        <v>111</v>
      </c>
      <c r="M26" s="16" t="b">
        <f aca="false">FALSE()</f>
        <v>0</v>
      </c>
      <c r="N26" s="13" t="s">
        <v>126</v>
      </c>
      <c r="O26" s="13" t="s">
        <v>84</v>
      </c>
      <c r="P26" s="13" t="s">
        <v>191</v>
      </c>
      <c r="Q26" s="13" t="s">
        <v>178</v>
      </c>
      <c r="R26" s="13" t="s">
        <v>179</v>
      </c>
    </row>
    <row r="27" customFormat="false" ht="15" hidden="false" customHeight="false" outlineLevel="0" collapsed="false">
      <c r="A27" s="13" t="s">
        <v>198</v>
      </c>
      <c r="B27" s="13" t="s">
        <v>199</v>
      </c>
      <c r="C27" s="13" t="s">
        <v>200</v>
      </c>
      <c r="D27" s="13" t="s">
        <v>189</v>
      </c>
      <c r="E27" s="13" t="s">
        <v>167</v>
      </c>
      <c r="F27" s="13" t="n">
        <v>7</v>
      </c>
      <c r="G27" s="13" t="n">
        <v>4.4</v>
      </c>
      <c r="H27" s="13" t="n">
        <v>7</v>
      </c>
      <c r="I27" s="13" t="n">
        <v>0.001</v>
      </c>
      <c r="J27" s="13" t="s">
        <v>190</v>
      </c>
      <c r="K27" s="18" t="s">
        <v>33</v>
      </c>
      <c r="L27" s="13" t="s">
        <v>111</v>
      </c>
      <c r="M27" s="16" t="b">
        <f aca="false">FALSE()</f>
        <v>0</v>
      </c>
      <c r="N27" s="13" t="s">
        <v>126</v>
      </c>
      <c r="O27" s="13" t="s">
        <v>84</v>
      </c>
      <c r="P27" s="13" t="s">
        <v>191</v>
      </c>
      <c r="Q27" s="13" t="s">
        <v>178</v>
      </c>
      <c r="R27" s="13" t="s">
        <v>179</v>
      </c>
    </row>
    <row r="28" customFormat="false" ht="23.85" hidden="false" customHeight="false" outlineLevel="0" collapsed="false">
      <c r="A28" s="13" t="s">
        <v>201</v>
      </c>
      <c r="B28" s="13" t="s">
        <v>202</v>
      </c>
      <c r="C28" s="13" t="s">
        <v>203</v>
      </c>
      <c r="D28" s="13" t="s">
        <v>204</v>
      </c>
      <c r="E28" s="13" t="s">
        <v>167</v>
      </c>
      <c r="F28" s="13"/>
      <c r="G28" s="13" t="n">
        <v>3.5</v>
      </c>
      <c r="H28" s="13" t="n">
        <v>2.5</v>
      </c>
      <c r="I28" s="13" t="n">
        <v>0.001</v>
      </c>
      <c r="J28" s="13" t="s">
        <v>205</v>
      </c>
      <c r="K28" s="15" t="s">
        <v>34</v>
      </c>
      <c r="L28" s="13" t="s">
        <v>111</v>
      </c>
      <c r="M28" s="16" t="b">
        <f aca="false">FALSE()</f>
        <v>0</v>
      </c>
      <c r="N28" s="13" t="s">
        <v>206</v>
      </c>
      <c r="O28" s="13" t="s">
        <v>128</v>
      </c>
      <c r="P28" s="13" t="s">
        <v>207</v>
      </c>
      <c r="Q28" s="13" t="s">
        <v>208</v>
      </c>
      <c r="R28" s="13" t="s">
        <v>63</v>
      </c>
    </row>
    <row r="29" customFormat="false" ht="23.85" hidden="false" customHeight="false" outlineLevel="0" collapsed="false">
      <c r="A29" s="13" t="s">
        <v>209</v>
      </c>
      <c r="B29" s="13" t="s">
        <v>210</v>
      </c>
      <c r="C29" s="13" t="s">
        <v>211</v>
      </c>
      <c r="D29" s="13" t="s">
        <v>204</v>
      </c>
      <c r="E29" s="13" t="s">
        <v>167</v>
      </c>
      <c r="F29" s="13"/>
      <c r="G29" s="13" t="n">
        <v>3.5</v>
      </c>
      <c r="H29" s="13" t="n">
        <v>2.5</v>
      </c>
      <c r="I29" s="13" t="n">
        <v>0.001</v>
      </c>
      <c r="J29" s="13" t="s">
        <v>205</v>
      </c>
      <c r="K29" s="15" t="s">
        <v>34</v>
      </c>
      <c r="L29" s="13" t="s">
        <v>111</v>
      </c>
      <c r="M29" s="16" t="b">
        <f aca="false">FALSE()</f>
        <v>0</v>
      </c>
      <c r="N29" s="13" t="s">
        <v>206</v>
      </c>
      <c r="O29" s="13" t="s">
        <v>128</v>
      </c>
      <c r="P29" s="13" t="s">
        <v>207</v>
      </c>
      <c r="Q29" s="13" t="s">
        <v>208</v>
      </c>
      <c r="R29" s="13" t="s">
        <v>63</v>
      </c>
    </row>
    <row r="30" customFormat="false" ht="15" hidden="false" customHeight="false" outlineLevel="0" collapsed="false">
      <c r="A30" s="13" t="s">
        <v>212</v>
      </c>
      <c r="B30" s="13" t="s">
        <v>213</v>
      </c>
      <c r="C30" s="13" t="s">
        <v>214</v>
      </c>
      <c r="D30" s="13" t="s">
        <v>152</v>
      </c>
      <c r="E30" s="13" t="s">
        <v>153</v>
      </c>
      <c r="F30" s="13"/>
      <c r="G30" s="13" t="n">
        <v>5</v>
      </c>
      <c r="H30" s="13" t="n">
        <v>6</v>
      </c>
      <c r="I30" s="13" t="n">
        <v>0</v>
      </c>
      <c r="J30" s="13" t="s">
        <v>215</v>
      </c>
      <c r="K30" s="15" t="s">
        <v>34</v>
      </c>
      <c r="L30" s="13" t="s">
        <v>111</v>
      </c>
      <c r="M30" s="16" t="b">
        <f aca="false">FALSE()</f>
        <v>0</v>
      </c>
      <c r="N30" s="13" t="s">
        <v>206</v>
      </c>
      <c r="O30" s="13" t="s">
        <v>128</v>
      </c>
      <c r="P30" s="13" t="s">
        <v>216</v>
      </c>
      <c r="Q30" s="13" t="s">
        <v>217</v>
      </c>
      <c r="R30" s="13" t="s">
        <v>63</v>
      </c>
    </row>
    <row r="31" customFormat="false" ht="15" hidden="false" customHeight="false" outlineLevel="0" collapsed="false">
      <c r="A31" s="13" t="s">
        <v>212</v>
      </c>
      <c r="B31" s="13" t="s">
        <v>213</v>
      </c>
      <c r="C31" s="13" t="s">
        <v>218</v>
      </c>
      <c r="D31" s="13" t="s">
        <v>175</v>
      </c>
      <c r="E31" s="13" t="s">
        <v>153</v>
      </c>
      <c r="F31" s="13"/>
      <c r="G31" s="13" t="n">
        <v>801</v>
      </c>
      <c r="H31" s="13" t="n">
        <v>990</v>
      </c>
      <c r="I31" s="13" t="n">
        <v>0</v>
      </c>
      <c r="J31" s="13" t="s">
        <v>219</v>
      </c>
      <c r="K31" s="15" t="s">
        <v>34</v>
      </c>
      <c r="L31" s="13" t="s">
        <v>111</v>
      </c>
      <c r="M31" s="16" t="b">
        <f aca="false">FALSE()</f>
        <v>0</v>
      </c>
      <c r="N31" s="13" t="s">
        <v>206</v>
      </c>
      <c r="O31" s="13" t="s">
        <v>128</v>
      </c>
      <c r="P31" s="13" t="s">
        <v>220</v>
      </c>
      <c r="Q31" s="13" t="s">
        <v>221</v>
      </c>
      <c r="R31" s="13" t="s">
        <v>222</v>
      </c>
    </row>
    <row r="32" customFormat="false" ht="23.85" hidden="false" customHeight="false" outlineLevel="0" collapsed="false">
      <c r="A32" s="13" t="s">
        <v>212</v>
      </c>
      <c r="B32" s="13" t="s">
        <v>213</v>
      </c>
      <c r="C32" s="13" t="s">
        <v>223</v>
      </c>
      <c r="D32" s="13" t="s">
        <v>224</v>
      </c>
      <c r="E32" s="13" t="s">
        <v>167</v>
      </c>
      <c r="F32" s="13"/>
      <c r="G32" s="13" t="n">
        <v>1</v>
      </c>
      <c r="H32" s="13" t="n">
        <v>1.2</v>
      </c>
      <c r="I32" s="13" t="n">
        <v>0.0005</v>
      </c>
      <c r="J32" s="13" t="s">
        <v>225</v>
      </c>
      <c r="K32" s="15" t="s">
        <v>34</v>
      </c>
      <c r="L32" s="13" t="s">
        <v>111</v>
      </c>
      <c r="M32" s="16" t="b">
        <f aca="false">FALSE()</f>
        <v>0</v>
      </c>
      <c r="N32" s="13" t="s">
        <v>206</v>
      </c>
      <c r="O32" s="13" t="s">
        <v>226</v>
      </c>
      <c r="P32" s="13" t="s">
        <v>227</v>
      </c>
      <c r="Q32" s="13" t="s">
        <v>228</v>
      </c>
      <c r="R32" s="13" t="s">
        <v>229</v>
      </c>
    </row>
    <row r="33" customFormat="false" ht="15" hidden="false" customHeight="false" outlineLevel="0" collapsed="false">
      <c r="A33" s="13" t="s">
        <v>230</v>
      </c>
      <c r="B33" s="13" t="s">
        <v>231</v>
      </c>
      <c r="C33" s="13" t="s">
        <v>232</v>
      </c>
      <c r="D33" s="13" t="s">
        <v>152</v>
      </c>
      <c r="E33" s="13" t="s">
        <v>153</v>
      </c>
      <c r="F33" s="13"/>
      <c r="G33" s="13" t="n">
        <v>6</v>
      </c>
      <c r="H33" s="13" t="n">
        <v>7</v>
      </c>
      <c r="I33" s="13" t="n">
        <v>0</v>
      </c>
      <c r="J33" s="13" t="s">
        <v>233</v>
      </c>
      <c r="K33" s="15" t="s">
        <v>34</v>
      </c>
      <c r="L33" s="13" t="s">
        <v>111</v>
      </c>
      <c r="M33" s="16" t="b">
        <f aca="false">FALSE()</f>
        <v>0</v>
      </c>
      <c r="N33" s="13" t="s">
        <v>206</v>
      </c>
      <c r="O33" s="13" t="s">
        <v>128</v>
      </c>
      <c r="P33" s="13" t="s">
        <v>216</v>
      </c>
      <c r="Q33" s="13" t="s">
        <v>217</v>
      </c>
      <c r="R33" s="13" t="s">
        <v>63</v>
      </c>
    </row>
    <row r="34" customFormat="false" ht="15" hidden="false" customHeight="false" outlineLevel="0" collapsed="false">
      <c r="A34" s="13" t="s">
        <v>230</v>
      </c>
      <c r="B34" s="13" t="s">
        <v>231</v>
      </c>
      <c r="C34" s="13" t="s">
        <v>234</v>
      </c>
      <c r="D34" s="13" t="s">
        <v>175</v>
      </c>
      <c r="E34" s="13" t="s">
        <v>153</v>
      </c>
      <c r="F34" s="13"/>
      <c r="G34" s="13" t="n">
        <v>1100</v>
      </c>
      <c r="H34" s="13" t="n">
        <v>1310</v>
      </c>
      <c r="I34" s="13" t="n">
        <v>0</v>
      </c>
      <c r="J34" s="13" t="s">
        <v>235</v>
      </c>
      <c r="K34" s="15" t="s">
        <v>34</v>
      </c>
      <c r="L34" s="13" t="s">
        <v>111</v>
      </c>
      <c r="M34" s="16" t="b">
        <f aca="false">FALSE()</f>
        <v>0</v>
      </c>
      <c r="N34" s="13" t="s">
        <v>206</v>
      </c>
      <c r="O34" s="13" t="s">
        <v>128</v>
      </c>
      <c r="P34" s="13" t="s">
        <v>220</v>
      </c>
      <c r="Q34" s="13" t="s">
        <v>221</v>
      </c>
      <c r="R34" s="13" t="s">
        <v>222</v>
      </c>
    </row>
    <row r="35" customFormat="false" ht="23.85" hidden="false" customHeight="false" outlineLevel="0" collapsed="false">
      <c r="A35" s="13" t="s">
        <v>230</v>
      </c>
      <c r="B35" s="13" t="s">
        <v>231</v>
      </c>
      <c r="C35" s="13" t="s">
        <v>236</v>
      </c>
      <c r="D35" s="13" t="s">
        <v>224</v>
      </c>
      <c r="E35" s="13" t="s">
        <v>167</v>
      </c>
      <c r="F35" s="13"/>
      <c r="G35" s="13" t="n">
        <v>1</v>
      </c>
      <c r="H35" s="13" t="n">
        <v>1.1667</v>
      </c>
      <c r="I35" s="13" t="n">
        <v>0.0005</v>
      </c>
      <c r="J35" s="13" t="s">
        <v>237</v>
      </c>
      <c r="K35" s="15" t="s">
        <v>34</v>
      </c>
      <c r="L35" s="13" t="s">
        <v>111</v>
      </c>
      <c r="M35" s="16" t="b">
        <f aca="false">FALSE()</f>
        <v>0</v>
      </c>
      <c r="N35" s="13" t="s">
        <v>206</v>
      </c>
      <c r="O35" s="13" t="s">
        <v>226</v>
      </c>
      <c r="P35" s="13" t="s">
        <v>227</v>
      </c>
      <c r="Q35" s="13" t="s">
        <v>228</v>
      </c>
      <c r="R35" s="13" t="s">
        <v>229</v>
      </c>
    </row>
    <row r="36" customFormat="false" ht="23.85" hidden="false" customHeight="false" outlineLevel="0" collapsed="false">
      <c r="A36" s="13" t="s">
        <v>238</v>
      </c>
      <c r="B36" s="13" t="s">
        <v>239</v>
      </c>
      <c r="C36" s="13" t="s">
        <v>240</v>
      </c>
      <c r="D36" s="13" t="s">
        <v>152</v>
      </c>
      <c r="E36" s="13" t="s">
        <v>153</v>
      </c>
      <c r="F36" s="13"/>
      <c r="G36" s="13" t="n">
        <v>6</v>
      </c>
      <c r="H36" s="13" t="n">
        <v>7</v>
      </c>
      <c r="I36" s="13" t="n">
        <v>0</v>
      </c>
      <c r="J36" s="13" t="s">
        <v>233</v>
      </c>
      <c r="K36" s="15" t="s">
        <v>34</v>
      </c>
      <c r="L36" s="13" t="s">
        <v>111</v>
      </c>
      <c r="M36" s="16" t="b">
        <f aca="false">FALSE()</f>
        <v>0</v>
      </c>
      <c r="N36" s="13" t="s">
        <v>206</v>
      </c>
      <c r="O36" s="13" t="s">
        <v>128</v>
      </c>
      <c r="P36" s="13" t="s">
        <v>216</v>
      </c>
      <c r="Q36" s="13" t="s">
        <v>217</v>
      </c>
      <c r="R36" s="13" t="s">
        <v>63</v>
      </c>
    </row>
    <row r="37" customFormat="false" ht="23.85" hidden="false" customHeight="false" outlineLevel="0" collapsed="false">
      <c r="A37" s="13" t="s">
        <v>238</v>
      </c>
      <c r="B37" s="13" t="s">
        <v>239</v>
      </c>
      <c r="C37" s="13" t="s">
        <v>241</v>
      </c>
      <c r="D37" s="13" t="s">
        <v>175</v>
      </c>
      <c r="E37" s="13" t="s">
        <v>153</v>
      </c>
      <c r="F37" s="13"/>
      <c r="G37" s="13" t="n">
        <v>1199</v>
      </c>
      <c r="H37" s="13" t="n">
        <v>1430</v>
      </c>
      <c r="I37" s="13" t="n">
        <v>0</v>
      </c>
      <c r="J37" s="13" t="s">
        <v>242</v>
      </c>
      <c r="K37" s="15" t="s">
        <v>34</v>
      </c>
      <c r="L37" s="13" t="s">
        <v>111</v>
      </c>
      <c r="M37" s="16" t="b">
        <f aca="false">FALSE()</f>
        <v>0</v>
      </c>
      <c r="N37" s="13" t="s">
        <v>206</v>
      </c>
      <c r="O37" s="13" t="s">
        <v>128</v>
      </c>
      <c r="P37" s="13" t="s">
        <v>220</v>
      </c>
      <c r="Q37" s="13" t="s">
        <v>221</v>
      </c>
      <c r="R37" s="13" t="s">
        <v>222</v>
      </c>
    </row>
    <row r="38" customFormat="false" ht="23.85" hidden="false" customHeight="false" outlineLevel="0" collapsed="false">
      <c r="A38" s="13" t="s">
        <v>238</v>
      </c>
      <c r="B38" s="13" t="s">
        <v>239</v>
      </c>
      <c r="C38" s="13" t="s">
        <v>243</v>
      </c>
      <c r="D38" s="13" t="s">
        <v>224</v>
      </c>
      <c r="E38" s="13" t="s">
        <v>167</v>
      </c>
      <c r="F38" s="13"/>
      <c r="G38" s="13" t="n">
        <v>1</v>
      </c>
      <c r="H38" s="13" t="n">
        <v>1.1667</v>
      </c>
      <c r="I38" s="13" t="n">
        <v>0.0005</v>
      </c>
      <c r="J38" s="13" t="s">
        <v>237</v>
      </c>
      <c r="K38" s="15" t="s">
        <v>34</v>
      </c>
      <c r="L38" s="13" t="s">
        <v>111</v>
      </c>
      <c r="M38" s="16" t="b">
        <f aca="false">FALSE()</f>
        <v>0</v>
      </c>
      <c r="N38" s="13" t="s">
        <v>206</v>
      </c>
      <c r="O38" s="13" t="s">
        <v>226</v>
      </c>
      <c r="P38" s="13" t="s">
        <v>227</v>
      </c>
      <c r="Q38" s="13" t="s">
        <v>228</v>
      </c>
      <c r="R38" s="13" t="s">
        <v>229</v>
      </c>
    </row>
    <row r="39" customFormat="false" ht="15" hidden="false" customHeight="false" outlineLevel="0" collapsed="false">
      <c r="A39" s="13" t="s">
        <v>244</v>
      </c>
      <c r="B39" s="13" t="s">
        <v>245</v>
      </c>
      <c r="C39" s="13" t="s">
        <v>246</v>
      </c>
      <c r="D39" s="13" t="s">
        <v>152</v>
      </c>
      <c r="E39" s="13" t="s">
        <v>153</v>
      </c>
      <c r="F39" s="13"/>
      <c r="G39" s="13" t="n">
        <v>6</v>
      </c>
      <c r="H39" s="13" t="n">
        <v>7</v>
      </c>
      <c r="I39" s="13" t="n">
        <v>0</v>
      </c>
      <c r="J39" s="13" t="s">
        <v>233</v>
      </c>
      <c r="K39" s="15" t="s">
        <v>34</v>
      </c>
      <c r="L39" s="13" t="s">
        <v>111</v>
      </c>
      <c r="M39" s="16" t="b">
        <f aca="false">FALSE()</f>
        <v>0</v>
      </c>
      <c r="N39" s="13" t="s">
        <v>206</v>
      </c>
      <c r="O39" s="13" t="s">
        <v>128</v>
      </c>
      <c r="P39" s="13" t="s">
        <v>216</v>
      </c>
      <c r="Q39" s="13" t="s">
        <v>217</v>
      </c>
      <c r="R39" s="13" t="s">
        <v>63</v>
      </c>
    </row>
    <row r="40" customFormat="false" ht="15" hidden="false" customHeight="false" outlineLevel="0" collapsed="false">
      <c r="A40" s="13" t="s">
        <v>244</v>
      </c>
      <c r="B40" s="13" t="s">
        <v>245</v>
      </c>
      <c r="C40" s="13" t="s">
        <v>247</v>
      </c>
      <c r="D40" s="13" t="s">
        <v>175</v>
      </c>
      <c r="E40" s="13" t="s">
        <v>153</v>
      </c>
      <c r="F40" s="13"/>
      <c r="G40" s="13" t="n">
        <v>1144</v>
      </c>
      <c r="H40" s="13" t="n">
        <v>1370</v>
      </c>
      <c r="I40" s="13" t="n">
        <v>0</v>
      </c>
      <c r="J40" s="13" t="s">
        <v>248</v>
      </c>
      <c r="K40" s="15" t="s">
        <v>34</v>
      </c>
      <c r="L40" s="13" t="s">
        <v>111</v>
      </c>
      <c r="M40" s="16" t="b">
        <f aca="false">FALSE()</f>
        <v>0</v>
      </c>
      <c r="N40" s="13" t="s">
        <v>206</v>
      </c>
      <c r="O40" s="13" t="s">
        <v>128</v>
      </c>
      <c r="P40" s="13" t="s">
        <v>220</v>
      </c>
      <c r="Q40" s="13" t="s">
        <v>221</v>
      </c>
      <c r="R40" s="13" t="s">
        <v>222</v>
      </c>
    </row>
    <row r="41" customFormat="false" ht="15" hidden="false" customHeight="false" outlineLevel="0" collapsed="false">
      <c r="A41" s="13" t="s">
        <v>244</v>
      </c>
      <c r="B41" s="13" t="s">
        <v>245</v>
      </c>
      <c r="C41" s="13" t="s">
        <v>249</v>
      </c>
      <c r="D41" s="13" t="s">
        <v>224</v>
      </c>
      <c r="E41" s="13" t="s">
        <v>167</v>
      </c>
      <c r="F41" s="13"/>
      <c r="G41" s="13" t="n">
        <v>1</v>
      </c>
      <c r="H41" s="13" t="n">
        <v>1.1667</v>
      </c>
      <c r="I41" s="13" t="n">
        <v>0.0005</v>
      </c>
      <c r="J41" s="13" t="s">
        <v>237</v>
      </c>
      <c r="K41" s="15" t="s">
        <v>34</v>
      </c>
      <c r="L41" s="13" t="s">
        <v>111</v>
      </c>
      <c r="M41" s="16" t="b">
        <f aca="false">FALSE()</f>
        <v>0</v>
      </c>
      <c r="N41" s="13" t="s">
        <v>206</v>
      </c>
      <c r="O41" s="13" t="s">
        <v>226</v>
      </c>
      <c r="P41" s="13" t="s">
        <v>227</v>
      </c>
      <c r="Q41" s="13" t="s">
        <v>228</v>
      </c>
      <c r="R41" s="13" t="s">
        <v>229</v>
      </c>
    </row>
    <row r="42" customFormat="false" ht="23.85" hidden="false" customHeight="false" outlineLevel="0" collapsed="false">
      <c r="A42" s="13" t="s">
        <v>250</v>
      </c>
      <c r="B42" s="13" t="s">
        <v>251</v>
      </c>
      <c r="C42" s="13" t="s">
        <v>252</v>
      </c>
      <c r="D42" s="13" t="s">
        <v>152</v>
      </c>
      <c r="E42" s="13" t="s">
        <v>153</v>
      </c>
      <c r="F42" s="13"/>
      <c r="G42" s="13" t="n">
        <v>8</v>
      </c>
      <c r="H42" s="13" t="n">
        <v>9</v>
      </c>
      <c r="I42" s="13" t="n">
        <v>0</v>
      </c>
      <c r="J42" s="13" t="s">
        <v>253</v>
      </c>
      <c r="K42" s="15" t="s">
        <v>34</v>
      </c>
      <c r="L42" s="13" t="s">
        <v>111</v>
      </c>
      <c r="M42" s="16" t="b">
        <f aca="false">FALSE()</f>
        <v>0</v>
      </c>
      <c r="N42" s="13" t="s">
        <v>206</v>
      </c>
      <c r="O42" s="13" t="s">
        <v>128</v>
      </c>
      <c r="P42" s="13" t="s">
        <v>216</v>
      </c>
      <c r="Q42" s="13" t="s">
        <v>217</v>
      </c>
      <c r="R42" s="13" t="s">
        <v>63</v>
      </c>
    </row>
    <row r="43" customFormat="false" ht="23.85" hidden="false" customHeight="false" outlineLevel="0" collapsed="false">
      <c r="A43" s="13" t="s">
        <v>250</v>
      </c>
      <c r="B43" s="13" t="s">
        <v>251</v>
      </c>
      <c r="C43" s="13" t="s">
        <v>254</v>
      </c>
      <c r="D43" s="13" t="s">
        <v>175</v>
      </c>
      <c r="E43" s="13" t="s">
        <v>153</v>
      </c>
      <c r="F43" s="13"/>
      <c r="G43" s="13" t="n">
        <v>1599</v>
      </c>
      <c r="H43" s="13" t="n">
        <v>1830</v>
      </c>
      <c r="I43" s="13" t="n">
        <v>0</v>
      </c>
      <c r="J43" s="13" t="s">
        <v>255</v>
      </c>
      <c r="K43" s="15" t="s">
        <v>34</v>
      </c>
      <c r="L43" s="13" t="s">
        <v>111</v>
      </c>
      <c r="M43" s="16" t="b">
        <f aca="false">FALSE()</f>
        <v>0</v>
      </c>
      <c r="N43" s="13" t="s">
        <v>206</v>
      </c>
      <c r="O43" s="13" t="s">
        <v>128</v>
      </c>
      <c r="P43" s="13" t="s">
        <v>220</v>
      </c>
      <c r="Q43" s="13" t="s">
        <v>221</v>
      </c>
      <c r="R43" s="13" t="s">
        <v>222</v>
      </c>
    </row>
    <row r="44" customFormat="false" ht="23.85" hidden="false" customHeight="false" outlineLevel="0" collapsed="false">
      <c r="A44" s="13" t="s">
        <v>250</v>
      </c>
      <c r="B44" s="13" t="s">
        <v>251</v>
      </c>
      <c r="C44" s="13" t="s">
        <v>256</v>
      </c>
      <c r="D44" s="13" t="s">
        <v>224</v>
      </c>
      <c r="E44" s="13" t="s">
        <v>167</v>
      </c>
      <c r="F44" s="13"/>
      <c r="G44" s="13" t="n">
        <v>1</v>
      </c>
      <c r="H44" s="13" t="n">
        <v>1.125</v>
      </c>
      <c r="I44" s="13" t="n">
        <v>0.0005</v>
      </c>
      <c r="J44" s="13" t="s">
        <v>257</v>
      </c>
      <c r="K44" s="15" t="s">
        <v>34</v>
      </c>
      <c r="L44" s="13" t="s">
        <v>111</v>
      </c>
      <c r="M44" s="16" t="b">
        <f aca="false">FALSE()</f>
        <v>0</v>
      </c>
      <c r="N44" s="13" t="s">
        <v>206</v>
      </c>
      <c r="O44" s="13" t="s">
        <v>226</v>
      </c>
      <c r="P44" s="13" t="s">
        <v>227</v>
      </c>
      <c r="Q44" s="13" t="s">
        <v>258</v>
      </c>
      <c r="R44" s="13" t="s">
        <v>229</v>
      </c>
    </row>
    <row r="45" customFormat="false" ht="23.85" hidden="false" customHeight="false" outlineLevel="0" collapsed="false">
      <c r="A45" s="13" t="s">
        <v>259</v>
      </c>
      <c r="B45" s="13" t="s">
        <v>251</v>
      </c>
      <c r="C45" s="13" t="s">
        <v>256</v>
      </c>
      <c r="D45" s="13" t="s">
        <v>224</v>
      </c>
      <c r="E45" s="13" t="s">
        <v>167</v>
      </c>
      <c r="F45" s="13"/>
      <c r="G45" s="13" t="n">
        <v>1.125</v>
      </c>
      <c r="H45" s="13" t="n">
        <v>1.1391</v>
      </c>
      <c r="I45" s="13" t="n">
        <v>0.0005</v>
      </c>
      <c r="J45" s="13" t="s">
        <v>260</v>
      </c>
      <c r="K45" s="17" t="s">
        <v>36</v>
      </c>
      <c r="L45" s="13" t="s">
        <v>111</v>
      </c>
      <c r="M45" s="16" t="b">
        <f aca="false">FALSE()</f>
        <v>0</v>
      </c>
      <c r="N45" s="13" t="s">
        <v>250</v>
      </c>
      <c r="O45" s="13" t="s">
        <v>74</v>
      </c>
      <c r="P45" s="13" t="s">
        <v>128</v>
      </c>
      <c r="Q45" s="13" t="s">
        <v>261</v>
      </c>
      <c r="R45" s="13" t="s">
        <v>262</v>
      </c>
    </row>
    <row r="46" customFormat="false" ht="15" hidden="false" customHeight="false" outlineLevel="0" collapsed="false">
      <c r="A46" s="13" t="s">
        <v>263</v>
      </c>
      <c r="B46" s="13" t="s">
        <v>264</v>
      </c>
      <c r="C46" s="13" t="s">
        <v>265</v>
      </c>
      <c r="D46" s="13" t="s">
        <v>152</v>
      </c>
      <c r="E46" s="13" t="s">
        <v>153</v>
      </c>
      <c r="F46" s="13"/>
      <c r="G46" s="13" t="n">
        <v>9</v>
      </c>
      <c r="H46" s="13" t="n">
        <v>11</v>
      </c>
      <c r="I46" s="13" t="n">
        <v>0</v>
      </c>
      <c r="J46" s="13" t="s">
        <v>266</v>
      </c>
      <c r="K46" s="15" t="s">
        <v>34</v>
      </c>
      <c r="L46" s="13" t="s">
        <v>111</v>
      </c>
      <c r="M46" s="16" t="b">
        <f aca="false">FALSE()</f>
        <v>0</v>
      </c>
      <c r="N46" s="13" t="s">
        <v>206</v>
      </c>
      <c r="O46" s="13" t="s">
        <v>128</v>
      </c>
      <c r="P46" s="13" t="s">
        <v>216</v>
      </c>
      <c r="Q46" s="13" t="s">
        <v>217</v>
      </c>
      <c r="R46" s="13" t="s">
        <v>63</v>
      </c>
    </row>
    <row r="47" customFormat="false" ht="15" hidden="false" customHeight="false" outlineLevel="0" collapsed="false">
      <c r="A47" s="13" t="s">
        <v>263</v>
      </c>
      <c r="B47" s="13" t="s">
        <v>264</v>
      </c>
      <c r="C47" s="13" t="s">
        <v>267</v>
      </c>
      <c r="D47" s="13" t="s">
        <v>175</v>
      </c>
      <c r="E47" s="13" t="s">
        <v>153</v>
      </c>
      <c r="F47" s="13"/>
      <c r="G47" s="13" t="n">
        <v>2499</v>
      </c>
      <c r="H47" s="13" t="n">
        <v>3150</v>
      </c>
      <c r="I47" s="13" t="n">
        <v>0</v>
      </c>
      <c r="J47" s="13" t="s">
        <v>268</v>
      </c>
      <c r="K47" s="15" t="s">
        <v>34</v>
      </c>
      <c r="L47" s="13" t="s">
        <v>111</v>
      </c>
      <c r="M47" s="16" t="b">
        <f aca="false">FALSE()</f>
        <v>0</v>
      </c>
      <c r="N47" s="13" t="s">
        <v>206</v>
      </c>
      <c r="O47" s="13" t="s">
        <v>128</v>
      </c>
      <c r="P47" s="13" t="s">
        <v>220</v>
      </c>
      <c r="Q47" s="13" t="s">
        <v>221</v>
      </c>
      <c r="R47" s="13" t="s">
        <v>222</v>
      </c>
    </row>
    <row r="48" customFormat="false" ht="15" hidden="false" customHeight="false" outlineLevel="0" collapsed="false">
      <c r="A48" s="13" t="s">
        <v>263</v>
      </c>
      <c r="B48" s="13" t="s">
        <v>264</v>
      </c>
      <c r="C48" s="13" t="s">
        <v>269</v>
      </c>
      <c r="D48" s="13" t="s">
        <v>224</v>
      </c>
      <c r="E48" s="13" t="s">
        <v>167</v>
      </c>
      <c r="F48" s="13"/>
      <c r="G48" s="13" t="n">
        <v>1</v>
      </c>
      <c r="H48" s="13" t="n">
        <v>1.2681</v>
      </c>
      <c r="I48" s="13" t="n">
        <v>0.0005</v>
      </c>
      <c r="J48" s="13" t="s">
        <v>270</v>
      </c>
      <c r="K48" s="15" t="s">
        <v>34</v>
      </c>
      <c r="L48" s="13" t="s">
        <v>111</v>
      </c>
      <c r="M48" s="16" t="b">
        <f aca="false">FALSE()</f>
        <v>0</v>
      </c>
      <c r="N48" s="13" t="s">
        <v>206</v>
      </c>
      <c r="O48" s="13" t="s">
        <v>226</v>
      </c>
      <c r="P48" s="13" t="s">
        <v>227</v>
      </c>
      <c r="Q48" s="13" t="s">
        <v>228</v>
      </c>
      <c r="R48" s="13" t="s">
        <v>229</v>
      </c>
    </row>
    <row r="49" customFormat="false" ht="35.05" hidden="false" customHeight="false" outlineLevel="0" collapsed="false">
      <c r="A49" s="13" t="s">
        <v>271</v>
      </c>
      <c r="B49" s="13" t="s">
        <v>272</v>
      </c>
      <c r="C49" s="13" t="s">
        <v>273</v>
      </c>
      <c r="D49" s="13" t="s">
        <v>152</v>
      </c>
      <c r="E49" s="13" t="s">
        <v>153</v>
      </c>
      <c r="F49" s="13"/>
      <c r="G49" s="13" t="n">
        <v>10</v>
      </c>
      <c r="H49" s="13" t="n">
        <v>13</v>
      </c>
      <c r="I49" s="13" t="n">
        <v>0</v>
      </c>
      <c r="J49" s="13" t="s">
        <v>274</v>
      </c>
      <c r="K49" s="15" t="s">
        <v>34</v>
      </c>
      <c r="L49" s="13" t="s">
        <v>111</v>
      </c>
      <c r="M49" s="16" t="b">
        <f aca="false">FALSE()</f>
        <v>0</v>
      </c>
      <c r="N49" s="13" t="s">
        <v>206</v>
      </c>
      <c r="O49" s="13" t="s">
        <v>128</v>
      </c>
      <c r="P49" s="13" t="s">
        <v>216</v>
      </c>
      <c r="Q49" s="13" t="s">
        <v>217</v>
      </c>
      <c r="R49" s="13" t="s">
        <v>63</v>
      </c>
    </row>
    <row r="50" customFormat="false" ht="35.05" hidden="false" customHeight="false" outlineLevel="0" collapsed="false">
      <c r="A50" s="13" t="s">
        <v>271</v>
      </c>
      <c r="B50" s="13" t="s">
        <v>272</v>
      </c>
      <c r="C50" s="13" t="s">
        <v>275</v>
      </c>
      <c r="D50" s="13" t="s">
        <v>175</v>
      </c>
      <c r="E50" s="13" t="s">
        <v>153</v>
      </c>
      <c r="F50" s="13"/>
      <c r="G50" s="13" t="n">
        <v>900</v>
      </c>
      <c r="H50" s="13" t="n">
        <v>1220</v>
      </c>
      <c r="I50" s="13" t="n">
        <v>0</v>
      </c>
      <c r="J50" s="13" t="s">
        <v>276</v>
      </c>
      <c r="K50" s="15" t="s">
        <v>34</v>
      </c>
      <c r="L50" s="13" t="s">
        <v>111</v>
      </c>
      <c r="M50" s="16" t="b">
        <f aca="false">FALSE()</f>
        <v>0</v>
      </c>
      <c r="N50" s="13" t="s">
        <v>206</v>
      </c>
      <c r="O50" s="13" t="s">
        <v>128</v>
      </c>
      <c r="P50" s="13" t="s">
        <v>220</v>
      </c>
      <c r="Q50" s="13" t="s">
        <v>221</v>
      </c>
      <c r="R50" s="13" t="s">
        <v>222</v>
      </c>
    </row>
    <row r="51" customFormat="false" ht="35.05" hidden="false" customHeight="false" outlineLevel="0" collapsed="false">
      <c r="A51" s="13" t="s">
        <v>271</v>
      </c>
      <c r="B51" s="13" t="s">
        <v>272</v>
      </c>
      <c r="C51" s="13" t="s">
        <v>277</v>
      </c>
      <c r="D51" s="13" t="s">
        <v>224</v>
      </c>
      <c r="E51" s="13" t="s">
        <v>167</v>
      </c>
      <c r="F51" s="13"/>
      <c r="G51" s="13" t="n">
        <v>1</v>
      </c>
      <c r="H51" s="13" t="n">
        <v>1.3</v>
      </c>
      <c r="I51" s="13" t="n">
        <v>0.0005</v>
      </c>
      <c r="J51" s="13" t="s">
        <v>278</v>
      </c>
      <c r="K51" s="15" t="s">
        <v>34</v>
      </c>
      <c r="L51" s="13" t="s">
        <v>111</v>
      </c>
      <c r="M51" s="16" t="b">
        <f aca="false">FALSE()</f>
        <v>0</v>
      </c>
      <c r="N51" s="13" t="s">
        <v>206</v>
      </c>
      <c r="O51" s="13" t="s">
        <v>226</v>
      </c>
      <c r="P51" s="13" t="s">
        <v>227</v>
      </c>
      <c r="Q51" s="13" t="s">
        <v>258</v>
      </c>
      <c r="R51" s="13" t="s">
        <v>229</v>
      </c>
    </row>
    <row r="52" customFormat="false" ht="35.05" hidden="false" customHeight="false" outlineLevel="0" collapsed="false">
      <c r="A52" s="13" t="s">
        <v>279</v>
      </c>
      <c r="B52" s="13" t="s">
        <v>272</v>
      </c>
      <c r="C52" s="13" t="s">
        <v>277</v>
      </c>
      <c r="D52" s="13" t="s">
        <v>224</v>
      </c>
      <c r="E52" s="13" t="s">
        <v>167</v>
      </c>
      <c r="F52" s="13"/>
      <c r="G52" s="13" t="n">
        <v>1.3</v>
      </c>
      <c r="H52" s="13" t="n">
        <v>1.3813</v>
      </c>
      <c r="I52" s="13" t="n">
        <v>0.0005</v>
      </c>
      <c r="J52" s="13" t="s">
        <v>280</v>
      </c>
      <c r="K52" s="17" t="s">
        <v>36</v>
      </c>
      <c r="L52" s="13" t="s">
        <v>111</v>
      </c>
      <c r="M52" s="16" t="b">
        <f aca="false">FALSE()</f>
        <v>0</v>
      </c>
      <c r="N52" s="13" t="s">
        <v>271</v>
      </c>
      <c r="O52" s="13" t="s">
        <v>74</v>
      </c>
      <c r="P52" s="13" t="s">
        <v>128</v>
      </c>
      <c r="Q52" s="13" t="s">
        <v>261</v>
      </c>
      <c r="R52" s="13" t="s">
        <v>262</v>
      </c>
    </row>
    <row r="53" customFormat="false" ht="35.05" hidden="false" customHeight="false" outlineLevel="0" collapsed="false">
      <c r="A53" s="13" t="s">
        <v>281</v>
      </c>
      <c r="B53" s="13" t="s">
        <v>282</v>
      </c>
      <c r="C53" s="13" t="s">
        <v>283</v>
      </c>
      <c r="D53" s="13" t="s">
        <v>152</v>
      </c>
      <c r="E53" s="13" t="s">
        <v>153</v>
      </c>
      <c r="F53" s="13"/>
      <c r="G53" s="13" t="n">
        <v>12</v>
      </c>
      <c r="H53" s="13" t="n">
        <v>15</v>
      </c>
      <c r="I53" s="13" t="n">
        <v>0</v>
      </c>
      <c r="J53" s="13" t="s">
        <v>284</v>
      </c>
      <c r="K53" s="15" t="s">
        <v>34</v>
      </c>
      <c r="L53" s="13" t="s">
        <v>111</v>
      </c>
      <c r="M53" s="16" t="b">
        <f aca="false">FALSE()</f>
        <v>0</v>
      </c>
      <c r="N53" s="13" t="s">
        <v>206</v>
      </c>
      <c r="O53" s="13" t="s">
        <v>128</v>
      </c>
      <c r="P53" s="13" t="s">
        <v>216</v>
      </c>
      <c r="Q53" s="13" t="s">
        <v>217</v>
      </c>
      <c r="R53" s="13" t="s">
        <v>63</v>
      </c>
    </row>
    <row r="54" customFormat="false" ht="35.05" hidden="false" customHeight="false" outlineLevel="0" collapsed="false">
      <c r="A54" s="13" t="s">
        <v>281</v>
      </c>
      <c r="B54" s="13" t="s">
        <v>282</v>
      </c>
      <c r="C54" s="13" t="s">
        <v>285</v>
      </c>
      <c r="D54" s="13" t="s">
        <v>175</v>
      </c>
      <c r="E54" s="13" t="s">
        <v>153</v>
      </c>
      <c r="F54" s="13"/>
      <c r="G54" s="13" t="n">
        <v>1001</v>
      </c>
      <c r="H54" s="13" t="n">
        <v>1290</v>
      </c>
      <c r="I54" s="13" t="n">
        <v>0</v>
      </c>
      <c r="J54" s="13" t="s">
        <v>286</v>
      </c>
      <c r="K54" s="15" t="s">
        <v>34</v>
      </c>
      <c r="L54" s="13" t="s">
        <v>111</v>
      </c>
      <c r="M54" s="16" t="b">
        <f aca="false">FALSE()</f>
        <v>0</v>
      </c>
      <c r="N54" s="13" t="s">
        <v>206</v>
      </c>
      <c r="O54" s="13" t="s">
        <v>128</v>
      </c>
      <c r="P54" s="13" t="s">
        <v>220</v>
      </c>
      <c r="Q54" s="13" t="s">
        <v>221</v>
      </c>
      <c r="R54" s="13" t="s">
        <v>222</v>
      </c>
    </row>
    <row r="55" customFormat="false" ht="35.05" hidden="false" customHeight="false" outlineLevel="0" collapsed="false">
      <c r="A55" s="13" t="s">
        <v>281</v>
      </c>
      <c r="B55" s="13" t="s">
        <v>282</v>
      </c>
      <c r="C55" s="13" t="s">
        <v>287</v>
      </c>
      <c r="D55" s="13" t="s">
        <v>224</v>
      </c>
      <c r="E55" s="13" t="s">
        <v>167</v>
      </c>
      <c r="F55" s="13"/>
      <c r="G55" s="13" t="n">
        <v>1</v>
      </c>
      <c r="H55" s="13" t="n">
        <v>1.25</v>
      </c>
      <c r="I55" s="13" t="n">
        <v>0.0005</v>
      </c>
      <c r="J55" s="13" t="s">
        <v>288</v>
      </c>
      <c r="K55" s="15" t="s">
        <v>34</v>
      </c>
      <c r="L55" s="13" t="s">
        <v>111</v>
      </c>
      <c r="M55" s="16" t="b">
        <f aca="false">FALSE()</f>
        <v>0</v>
      </c>
      <c r="N55" s="13" t="s">
        <v>206</v>
      </c>
      <c r="O55" s="13" t="s">
        <v>226</v>
      </c>
      <c r="P55" s="13" t="s">
        <v>227</v>
      </c>
      <c r="Q55" s="13" t="s">
        <v>258</v>
      </c>
      <c r="R55" s="13" t="s">
        <v>229</v>
      </c>
    </row>
    <row r="56" customFormat="false" ht="35.05" hidden="false" customHeight="false" outlineLevel="0" collapsed="false">
      <c r="A56" s="13" t="s">
        <v>289</v>
      </c>
      <c r="B56" s="13" t="s">
        <v>282</v>
      </c>
      <c r="C56" s="13" t="s">
        <v>287</v>
      </c>
      <c r="D56" s="13" t="s">
        <v>224</v>
      </c>
      <c r="E56" s="13" t="s">
        <v>167</v>
      </c>
      <c r="F56" s="13"/>
      <c r="G56" s="13" t="n">
        <v>1.25</v>
      </c>
      <c r="H56" s="13" t="n">
        <v>1.3594</v>
      </c>
      <c r="I56" s="13" t="n">
        <v>0.0005</v>
      </c>
      <c r="J56" s="13" t="s">
        <v>290</v>
      </c>
      <c r="K56" s="17" t="s">
        <v>36</v>
      </c>
      <c r="L56" s="13" t="s">
        <v>111</v>
      </c>
      <c r="M56" s="16" t="b">
        <f aca="false">FALSE()</f>
        <v>0</v>
      </c>
      <c r="N56" s="13" t="s">
        <v>281</v>
      </c>
      <c r="O56" s="13" t="s">
        <v>74</v>
      </c>
      <c r="P56" s="13" t="s">
        <v>128</v>
      </c>
      <c r="Q56" s="13" t="s">
        <v>261</v>
      </c>
      <c r="R56" s="13" t="s">
        <v>262</v>
      </c>
    </row>
    <row r="57" customFormat="false" ht="35.05" hidden="false" customHeight="false" outlineLevel="0" collapsed="false">
      <c r="A57" s="13" t="s">
        <v>281</v>
      </c>
      <c r="B57" s="13" t="s">
        <v>282</v>
      </c>
      <c r="C57" s="13" t="s">
        <v>291</v>
      </c>
      <c r="D57" s="13" t="s">
        <v>204</v>
      </c>
      <c r="E57" s="13" t="s">
        <v>167</v>
      </c>
      <c r="F57" s="13"/>
      <c r="G57" s="13" t="n">
        <v>3.5</v>
      </c>
      <c r="H57" s="13" t="n">
        <v>5</v>
      </c>
      <c r="I57" s="13" t="n">
        <v>0.001</v>
      </c>
      <c r="J57" s="13" t="s">
        <v>205</v>
      </c>
      <c r="K57" s="15" t="s">
        <v>34</v>
      </c>
      <c r="L57" s="13" t="s">
        <v>111</v>
      </c>
      <c r="M57" s="16" t="b">
        <f aca="false">FALSE()</f>
        <v>0</v>
      </c>
      <c r="N57" s="13" t="s">
        <v>206</v>
      </c>
      <c r="O57" s="13" t="s">
        <v>128</v>
      </c>
      <c r="P57" s="13" t="s">
        <v>207</v>
      </c>
      <c r="Q57" s="13" t="s">
        <v>208</v>
      </c>
      <c r="R57" s="13" t="s">
        <v>63</v>
      </c>
    </row>
    <row r="58" customFormat="false" ht="23.85" hidden="false" customHeight="false" outlineLevel="0" collapsed="false">
      <c r="A58" s="13" t="s">
        <v>292</v>
      </c>
      <c r="B58" s="13" t="s">
        <v>199</v>
      </c>
      <c r="C58" s="13" t="s">
        <v>293</v>
      </c>
      <c r="D58" s="13" t="s">
        <v>204</v>
      </c>
      <c r="E58" s="13" t="s">
        <v>167</v>
      </c>
      <c r="F58" s="13"/>
      <c r="G58" s="13" t="n">
        <v>3.5</v>
      </c>
      <c r="H58" s="13" t="n">
        <v>2.5</v>
      </c>
      <c r="I58" s="13" t="n">
        <v>0.001</v>
      </c>
      <c r="J58" s="13" t="s">
        <v>205</v>
      </c>
      <c r="K58" s="15" t="s">
        <v>34</v>
      </c>
      <c r="L58" s="13" t="s">
        <v>111</v>
      </c>
      <c r="M58" s="16" t="b">
        <f aca="false">FALSE()</f>
        <v>0</v>
      </c>
      <c r="N58" s="13" t="s">
        <v>294</v>
      </c>
      <c r="O58" s="13" t="s">
        <v>128</v>
      </c>
      <c r="P58" s="13" t="s">
        <v>207</v>
      </c>
      <c r="Q58" s="13" t="s">
        <v>208</v>
      </c>
      <c r="R58" s="13" t="s">
        <v>63</v>
      </c>
    </row>
    <row r="59" customFormat="false" ht="23.85" hidden="false" customHeight="false" outlineLevel="0" collapsed="false">
      <c r="A59" s="13" t="s">
        <v>295</v>
      </c>
      <c r="B59" s="13" t="s">
        <v>296</v>
      </c>
      <c r="C59" s="13" t="s">
        <v>297</v>
      </c>
      <c r="D59" s="13" t="s">
        <v>204</v>
      </c>
      <c r="E59" s="13" t="s">
        <v>167</v>
      </c>
      <c r="F59" s="13"/>
      <c r="G59" s="13" t="n">
        <v>3.5</v>
      </c>
      <c r="H59" s="13" t="n">
        <v>2.5</v>
      </c>
      <c r="I59" s="13" t="n">
        <v>0.001</v>
      </c>
      <c r="J59" s="13" t="s">
        <v>205</v>
      </c>
      <c r="K59" s="15" t="s">
        <v>34</v>
      </c>
      <c r="L59" s="13" t="s">
        <v>111</v>
      </c>
      <c r="M59" s="16" t="b">
        <f aca="false">FALSE()</f>
        <v>0</v>
      </c>
      <c r="N59" s="13" t="s">
        <v>206</v>
      </c>
      <c r="O59" s="13" t="s">
        <v>128</v>
      </c>
      <c r="P59" s="13" t="s">
        <v>207</v>
      </c>
      <c r="Q59" s="13" t="s">
        <v>208</v>
      </c>
      <c r="R59" s="13" t="s">
        <v>63</v>
      </c>
    </row>
    <row r="60" customFormat="false" ht="23.85" hidden="false" customHeight="false" outlineLevel="0" collapsed="false">
      <c r="A60" s="13" t="s">
        <v>298</v>
      </c>
      <c r="B60" s="13" t="s">
        <v>299</v>
      </c>
      <c r="C60" s="13" t="s">
        <v>300</v>
      </c>
      <c r="D60" s="13" t="s">
        <v>204</v>
      </c>
      <c r="E60" s="13" t="s">
        <v>167</v>
      </c>
      <c r="F60" s="13"/>
      <c r="G60" s="13" t="n">
        <v>3.5</v>
      </c>
      <c r="H60" s="13" t="n">
        <v>2.5</v>
      </c>
      <c r="I60" s="13" t="n">
        <v>0.001</v>
      </c>
      <c r="J60" s="13" t="s">
        <v>205</v>
      </c>
      <c r="K60" s="15" t="s">
        <v>34</v>
      </c>
      <c r="L60" s="13" t="s">
        <v>111</v>
      </c>
      <c r="M60" s="16" t="b">
        <f aca="false">FALSE()</f>
        <v>0</v>
      </c>
      <c r="N60" s="13" t="s">
        <v>206</v>
      </c>
      <c r="O60" s="13" t="s">
        <v>128</v>
      </c>
      <c r="P60" s="13" t="s">
        <v>207</v>
      </c>
      <c r="Q60" s="13" t="s">
        <v>208</v>
      </c>
      <c r="R60" s="13" t="s">
        <v>63</v>
      </c>
    </row>
    <row r="61" customFormat="false" ht="23.85" hidden="false" customHeight="false" outlineLevel="0" collapsed="false">
      <c r="A61" s="13" t="s">
        <v>301</v>
      </c>
      <c r="B61" s="13" t="s">
        <v>302</v>
      </c>
      <c r="C61" s="13" t="s">
        <v>303</v>
      </c>
      <c r="D61" s="13" t="s">
        <v>204</v>
      </c>
      <c r="E61" s="13" t="s">
        <v>167</v>
      </c>
      <c r="F61" s="13"/>
      <c r="G61" s="13" t="n">
        <v>3.5</v>
      </c>
      <c r="H61" s="13" t="n">
        <v>2.5</v>
      </c>
      <c r="I61" s="13" t="n">
        <v>0.001</v>
      </c>
      <c r="J61" s="13" t="s">
        <v>205</v>
      </c>
      <c r="K61" s="15" t="s">
        <v>34</v>
      </c>
      <c r="L61" s="13" t="s">
        <v>111</v>
      </c>
      <c r="M61" s="16" t="b">
        <f aca="false">FALSE()</f>
        <v>0</v>
      </c>
      <c r="N61" s="13" t="s">
        <v>206</v>
      </c>
      <c r="O61" s="13" t="s">
        <v>128</v>
      </c>
      <c r="P61" s="13" t="s">
        <v>207</v>
      </c>
      <c r="Q61" s="13" t="s">
        <v>208</v>
      </c>
      <c r="R61" s="13" t="s">
        <v>63</v>
      </c>
    </row>
    <row r="62" customFormat="false" ht="35.05" hidden="false" customHeight="false" outlineLevel="0" collapsed="false">
      <c r="A62" s="13" t="s">
        <v>304</v>
      </c>
      <c r="B62" s="13" t="s">
        <v>305</v>
      </c>
      <c r="C62" s="13" t="s">
        <v>306</v>
      </c>
      <c r="D62" s="13" t="s">
        <v>204</v>
      </c>
      <c r="E62" s="13" t="s">
        <v>167</v>
      </c>
      <c r="F62" s="13"/>
      <c r="G62" s="13" t="n">
        <v>3.5</v>
      </c>
      <c r="H62" s="13" t="n">
        <v>2.5</v>
      </c>
      <c r="I62" s="13" t="n">
        <v>0.001</v>
      </c>
      <c r="J62" s="13" t="s">
        <v>205</v>
      </c>
      <c r="K62" s="15" t="s">
        <v>34</v>
      </c>
      <c r="L62" s="13" t="s">
        <v>111</v>
      </c>
      <c r="M62" s="16" t="b">
        <f aca="false">FALSE()</f>
        <v>0</v>
      </c>
      <c r="N62" s="13" t="s">
        <v>206</v>
      </c>
      <c r="O62" s="13" t="s">
        <v>128</v>
      </c>
      <c r="P62" s="13" t="s">
        <v>207</v>
      </c>
      <c r="Q62" s="13" t="s">
        <v>208</v>
      </c>
      <c r="R62" s="13" t="s">
        <v>63</v>
      </c>
    </row>
    <row r="63" customFormat="false" ht="35.05" hidden="false" customHeight="false" outlineLevel="0" collapsed="false">
      <c r="A63" s="13" t="s">
        <v>307</v>
      </c>
      <c r="B63" s="13" t="s">
        <v>308</v>
      </c>
      <c r="C63" s="13" t="s">
        <v>309</v>
      </c>
      <c r="D63" s="13" t="s">
        <v>204</v>
      </c>
      <c r="E63" s="13" t="s">
        <v>167</v>
      </c>
      <c r="F63" s="13"/>
      <c r="G63" s="13" t="n">
        <v>3.5</v>
      </c>
      <c r="H63" s="13" t="n">
        <v>2.5</v>
      </c>
      <c r="I63" s="13" t="n">
        <v>0.001</v>
      </c>
      <c r="J63" s="13" t="s">
        <v>205</v>
      </c>
      <c r="K63" s="15" t="s">
        <v>34</v>
      </c>
      <c r="L63" s="13" t="s">
        <v>111</v>
      </c>
      <c r="M63" s="16" t="b">
        <f aca="false">FALSE()</f>
        <v>0</v>
      </c>
      <c r="N63" s="13" t="s">
        <v>206</v>
      </c>
      <c r="O63" s="13" t="s">
        <v>128</v>
      </c>
      <c r="P63" s="13" t="s">
        <v>207</v>
      </c>
      <c r="Q63" s="13" t="s">
        <v>208</v>
      </c>
      <c r="R63" s="13" t="s">
        <v>63</v>
      </c>
    </row>
    <row r="64" customFormat="false" ht="35.05" hidden="false" customHeight="false" outlineLevel="0" collapsed="false">
      <c r="A64" s="13" t="s">
        <v>310</v>
      </c>
      <c r="B64" s="13" t="s">
        <v>311</v>
      </c>
      <c r="C64" s="13" t="s">
        <v>312</v>
      </c>
      <c r="D64" s="13" t="s">
        <v>152</v>
      </c>
      <c r="E64" s="13" t="s">
        <v>153</v>
      </c>
      <c r="F64" s="13"/>
      <c r="G64" s="13" t="n">
        <v>5</v>
      </c>
      <c r="H64" s="13" t="n">
        <v>6</v>
      </c>
      <c r="I64" s="13" t="n">
        <v>0</v>
      </c>
      <c r="J64" s="13" t="s">
        <v>215</v>
      </c>
      <c r="K64" s="15" t="s">
        <v>34</v>
      </c>
      <c r="L64" s="13" t="s">
        <v>111</v>
      </c>
      <c r="M64" s="16" t="b">
        <f aca="false">FALSE()</f>
        <v>0</v>
      </c>
      <c r="N64" s="13" t="s">
        <v>206</v>
      </c>
      <c r="O64" s="13" t="s">
        <v>128</v>
      </c>
      <c r="P64" s="13" t="s">
        <v>216</v>
      </c>
      <c r="Q64" s="13" t="s">
        <v>217</v>
      </c>
      <c r="R64" s="13" t="s">
        <v>63</v>
      </c>
    </row>
    <row r="65" customFormat="false" ht="35.05" hidden="false" customHeight="false" outlineLevel="0" collapsed="false">
      <c r="A65" s="13" t="s">
        <v>310</v>
      </c>
      <c r="B65" s="13" t="s">
        <v>311</v>
      </c>
      <c r="C65" s="13" t="s">
        <v>313</v>
      </c>
      <c r="D65" s="13" t="s">
        <v>175</v>
      </c>
      <c r="E65" s="13" t="s">
        <v>153</v>
      </c>
      <c r="F65" s="13"/>
      <c r="G65" s="13" t="n">
        <v>792</v>
      </c>
      <c r="H65" s="13" t="n">
        <v>980</v>
      </c>
      <c r="I65" s="13" t="n">
        <v>0</v>
      </c>
      <c r="J65" s="13" t="s">
        <v>314</v>
      </c>
      <c r="K65" s="15" t="s">
        <v>34</v>
      </c>
      <c r="L65" s="13" t="s">
        <v>111</v>
      </c>
      <c r="M65" s="16" t="b">
        <f aca="false">FALSE()</f>
        <v>0</v>
      </c>
      <c r="N65" s="13" t="s">
        <v>206</v>
      </c>
      <c r="O65" s="13" t="s">
        <v>128</v>
      </c>
      <c r="P65" s="13" t="s">
        <v>220</v>
      </c>
      <c r="Q65" s="13" t="s">
        <v>221</v>
      </c>
      <c r="R65" s="13" t="s">
        <v>222</v>
      </c>
    </row>
    <row r="66" customFormat="false" ht="35.05" hidden="false" customHeight="false" outlineLevel="0" collapsed="false">
      <c r="A66" s="13" t="s">
        <v>310</v>
      </c>
      <c r="B66" s="13" t="s">
        <v>311</v>
      </c>
      <c r="C66" s="13" t="s">
        <v>315</v>
      </c>
      <c r="D66" s="13" t="s">
        <v>224</v>
      </c>
      <c r="E66" s="13" t="s">
        <v>167</v>
      </c>
      <c r="F66" s="13"/>
      <c r="G66" s="13" t="n">
        <v>1</v>
      </c>
      <c r="H66" s="13" t="n">
        <v>1.2</v>
      </c>
      <c r="I66" s="13" t="n">
        <v>0.0005</v>
      </c>
      <c r="J66" s="13" t="s">
        <v>225</v>
      </c>
      <c r="K66" s="15" t="s">
        <v>34</v>
      </c>
      <c r="L66" s="13" t="s">
        <v>111</v>
      </c>
      <c r="M66" s="16" t="b">
        <f aca="false">FALSE()</f>
        <v>0</v>
      </c>
      <c r="N66" s="13" t="s">
        <v>206</v>
      </c>
      <c r="O66" s="13" t="s">
        <v>226</v>
      </c>
      <c r="P66" s="13" t="s">
        <v>227</v>
      </c>
      <c r="Q66" s="13" t="s">
        <v>228</v>
      </c>
      <c r="R66" s="13" t="s">
        <v>229</v>
      </c>
    </row>
    <row r="67" customFormat="false" ht="15" hidden="false" customHeight="false" outlineLevel="0" collapsed="false">
      <c r="A67" s="13" t="s">
        <v>316</v>
      </c>
      <c r="B67" s="13" t="s">
        <v>317</v>
      </c>
      <c r="C67" s="13" t="s">
        <v>318</v>
      </c>
      <c r="D67" s="13" t="s">
        <v>152</v>
      </c>
      <c r="E67" s="13" t="s">
        <v>153</v>
      </c>
      <c r="F67" s="13"/>
      <c r="G67" s="13" t="n">
        <v>5</v>
      </c>
      <c r="H67" s="13" t="n">
        <v>6</v>
      </c>
      <c r="I67" s="13" t="n">
        <v>0</v>
      </c>
      <c r="J67" s="13" t="s">
        <v>215</v>
      </c>
      <c r="K67" s="15" t="s">
        <v>34</v>
      </c>
      <c r="L67" s="13" t="s">
        <v>111</v>
      </c>
      <c r="M67" s="16" t="b">
        <f aca="false">FALSE()</f>
        <v>0</v>
      </c>
      <c r="N67" s="13" t="s">
        <v>206</v>
      </c>
      <c r="O67" s="13" t="s">
        <v>128</v>
      </c>
      <c r="P67" s="13" t="s">
        <v>216</v>
      </c>
      <c r="Q67" s="13" t="s">
        <v>217</v>
      </c>
      <c r="R67" s="13" t="s">
        <v>63</v>
      </c>
    </row>
    <row r="68" customFormat="false" ht="15" hidden="false" customHeight="false" outlineLevel="0" collapsed="false">
      <c r="A68" s="13" t="s">
        <v>316</v>
      </c>
      <c r="B68" s="13" t="s">
        <v>317</v>
      </c>
      <c r="C68" s="13" t="s">
        <v>319</v>
      </c>
      <c r="D68" s="13" t="s">
        <v>175</v>
      </c>
      <c r="E68" s="13" t="s">
        <v>153</v>
      </c>
      <c r="F68" s="13"/>
      <c r="G68" s="13" t="n">
        <v>900</v>
      </c>
      <c r="H68" s="13" t="n">
        <v>1110</v>
      </c>
      <c r="I68" s="13" t="n">
        <v>0</v>
      </c>
      <c r="J68" s="13" t="s">
        <v>320</v>
      </c>
      <c r="K68" s="15" t="s">
        <v>34</v>
      </c>
      <c r="L68" s="13" t="s">
        <v>111</v>
      </c>
      <c r="M68" s="16" t="b">
        <f aca="false">FALSE()</f>
        <v>0</v>
      </c>
      <c r="N68" s="13" t="s">
        <v>206</v>
      </c>
      <c r="O68" s="13" t="s">
        <v>128</v>
      </c>
      <c r="P68" s="13" t="s">
        <v>220</v>
      </c>
      <c r="Q68" s="13" t="s">
        <v>221</v>
      </c>
      <c r="R68" s="13" t="s">
        <v>222</v>
      </c>
    </row>
    <row r="69" customFormat="false" ht="23.85" hidden="false" customHeight="false" outlineLevel="0" collapsed="false">
      <c r="A69" s="13" t="s">
        <v>316</v>
      </c>
      <c r="B69" s="13" t="s">
        <v>317</v>
      </c>
      <c r="C69" s="13" t="s">
        <v>321</v>
      </c>
      <c r="D69" s="13" t="s">
        <v>224</v>
      </c>
      <c r="E69" s="13" t="s">
        <v>167</v>
      </c>
      <c r="F69" s="13"/>
      <c r="G69" s="13" t="n">
        <v>1</v>
      </c>
      <c r="H69" s="13" t="n">
        <v>1.2</v>
      </c>
      <c r="I69" s="13" t="n">
        <v>0.0005</v>
      </c>
      <c r="J69" s="13" t="s">
        <v>225</v>
      </c>
      <c r="K69" s="15" t="s">
        <v>34</v>
      </c>
      <c r="L69" s="13" t="s">
        <v>111</v>
      </c>
      <c r="M69" s="16" t="b">
        <f aca="false">FALSE()</f>
        <v>0</v>
      </c>
      <c r="N69" s="13" t="s">
        <v>206</v>
      </c>
      <c r="O69" s="13" t="s">
        <v>226</v>
      </c>
      <c r="P69" s="13" t="s">
        <v>227</v>
      </c>
      <c r="Q69" s="13" t="s">
        <v>228</v>
      </c>
      <c r="R69" s="13" t="s">
        <v>229</v>
      </c>
    </row>
    <row r="70" customFormat="false" ht="15" hidden="false" customHeight="false" outlineLevel="0" collapsed="false">
      <c r="A70" s="13" t="s">
        <v>322</v>
      </c>
      <c r="B70" s="13" t="s">
        <v>323</v>
      </c>
      <c r="C70" s="13" t="s">
        <v>324</v>
      </c>
      <c r="D70" s="13" t="s">
        <v>152</v>
      </c>
      <c r="E70" s="13" t="s">
        <v>153</v>
      </c>
      <c r="F70" s="13"/>
      <c r="G70" s="13" t="n">
        <v>5</v>
      </c>
      <c r="H70" s="13" t="n">
        <v>6</v>
      </c>
      <c r="I70" s="13" t="n">
        <v>0</v>
      </c>
      <c r="J70" s="13" t="s">
        <v>215</v>
      </c>
      <c r="K70" s="15" t="s">
        <v>34</v>
      </c>
      <c r="L70" s="13" t="s">
        <v>111</v>
      </c>
      <c r="M70" s="16" t="b">
        <f aca="false">FALSE()</f>
        <v>0</v>
      </c>
      <c r="N70" s="13" t="s">
        <v>206</v>
      </c>
      <c r="O70" s="13" t="s">
        <v>128</v>
      </c>
      <c r="P70" s="13" t="s">
        <v>216</v>
      </c>
      <c r="Q70" s="13" t="s">
        <v>217</v>
      </c>
      <c r="R70" s="13" t="s">
        <v>63</v>
      </c>
    </row>
    <row r="71" customFormat="false" ht="15" hidden="false" customHeight="false" outlineLevel="0" collapsed="false">
      <c r="A71" s="13" t="s">
        <v>322</v>
      </c>
      <c r="B71" s="13" t="s">
        <v>323</v>
      </c>
      <c r="C71" s="13" t="s">
        <v>325</v>
      </c>
      <c r="D71" s="13" t="s">
        <v>175</v>
      </c>
      <c r="E71" s="13" t="s">
        <v>153</v>
      </c>
      <c r="F71" s="13"/>
      <c r="G71" s="13" t="n">
        <v>836</v>
      </c>
      <c r="H71" s="13" t="n">
        <v>1030</v>
      </c>
      <c r="I71" s="13" t="n">
        <v>0</v>
      </c>
      <c r="J71" s="13" t="s">
        <v>326</v>
      </c>
      <c r="K71" s="15" t="s">
        <v>34</v>
      </c>
      <c r="L71" s="13" t="s">
        <v>111</v>
      </c>
      <c r="M71" s="16" t="b">
        <f aca="false">FALSE()</f>
        <v>0</v>
      </c>
      <c r="N71" s="13" t="s">
        <v>206</v>
      </c>
      <c r="O71" s="13" t="s">
        <v>128</v>
      </c>
      <c r="P71" s="13" t="s">
        <v>220</v>
      </c>
      <c r="Q71" s="13" t="s">
        <v>221</v>
      </c>
      <c r="R71" s="13" t="s">
        <v>222</v>
      </c>
    </row>
    <row r="72" customFormat="false" ht="15" hidden="false" customHeight="false" outlineLevel="0" collapsed="false">
      <c r="A72" s="13" t="s">
        <v>322</v>
      </c>
      <c r="B72" s="13" t="s">
        <v>323</v>
      </c>
      <c r="C72" s="13" t="s">
        <v>327</v>
      </c>
      <c r="D72" s="13" t="s">
        <v>224</v>
      </c>
      <c r="E72" s="13" t="s">
        <v>167</v>
      </c>
      <c r="F72" s="13"/>
      <c r="G72" s="13" t="n">
        <v>1</v>
      </c>
      <c r="H72" s="13" t="n">
        <v>1.2</v>
      </c>
      <c r="I72" s="13" t="n">
        <v>0.0005</v>
      </c>
      <c r="J72" s="13" t="s">
        <v>225</v>
      </c>
      <c r="K72" s="15" t="s">
        <v>34</v>
      </c>
      <c r="L72" s="13" t="s">
        <v>111</v>
      </c>
      <c r="M72" s="16" t="b">
        <f aca="false">FALSE()</f>
        <v>0</v>
      </c>
      <c r="N72" s="13" t="s">
        <v>206</v>
      </c>
      <c r="O72" s="13" t="s">
        <v>226</v>
      </c>
      <c r="P72" s="13" t="s">
        <v>227</v>
      </c>
      <c r="Q72" s="13" t="s">
        <v>228</v>
      </c>
      <c r="R72" s="13" t="s">
        <v>229</v>
      </c>
    </row>
    <row r="73" customFormat="false" ht="23.85" hidden="false" customHeight="false" outlineLevel="0" collapsed="false">
      <c r="A73" s="13" t="s">
        <v>328</v>
      </c>
      <c r="B73" s="13" t="s">
        <v>329</v>
      </c>
      <c r="C73" s="13" t="s">
        <v>330</v>
      </c>
      <c r="D73" s="13" t="s">
        <v>152</v>
      </c>
      <c r="E73" s="13" t="s">
        <v>153</v>
      </c>
      <c r="F73" s="13"/>
      <c r="G73" s="13" t="n">
        <v>5</v>
      </c>
      <c r="H73" s="13" t="n">
        <v>6</v>
      </c>
      <c r="I73" s="13" t="n">
        <v>0</v>
      </c>
      <c r="J73" s="13" t="s">
        <v>215</v>
      </c>
      <c r="K73" s="15" t="s">
        <v>34</v>
      </c>
      <c r="L73" s="13" t="s">
        <v>111</v>
      </c>
      <c r="M73" s="16" t="b">
        <f aca="false">FALSE()</f>
        <v>0</v>
      </c>
      <c r="N73" s="13" t="s">
        <v>206</v>
      </c>
      <c r="O73" s="13" t="s">
        <v>128</v>
      </c>
      <c r="P73" s="13" t="s">
        <v>216</v>
      </c>
      <c r="Q73" s="13" t="s">
        <v>217</v>
      </c>
      <c r="R73" s="13" t="s">
        <v>63</v>
      </c>
    </row>
    <row r="74" customFormat="false" ht="23.85" hidden="false" customHeight="false" outlineLevel="0" collapsed="false">
      <c r="A74" s="13" t="s">
        <v>328</v>
      </c>
      <c r="B74" s="13" t="s">
        <v>329</v>
      </c>
      <c r="C74" s="13" t="s">
        <v>331</v>
      </c>
      <c r="D74" s="13" t="s">
        <v>175</v>
      </c>
      <c r="E74" s="13" t="s">
        <v>153</v>
      </c>
      <c r="F74" s="13"/>
      <c r="G74" s="13" t="n">
        <v>801</v>
      </c>
      <c r="H74" s="13" t="n">
        <v>990</v>
      </c>
      <c r="I74" s="13" t="n">
        <v>0</v>
      </c>
      <c r="J74" s="13" t="s">
        <v>219</v>
      </c>
      <c r="K74" s="15" t="s">
        <v>34</v>
      </c>
      <c r="L74" s="13" t="s">
        <v>111</v>
      </c>
      <c r="M74" s="16" t="b">
        <f aca="false">FALSE()</f>
        <v>0</v>
      </c>
      <c r="N74" s="13" t="s">
        <v>206</v>
      </c>
      <c r="O74" s="13" t="s">
        <v>128</v>
      </c>
      <c r="P74" s="13" t="s">
        <v>220</v>
      </c>
      <c r="Q74" s="13" t="s">
        <v>221</v>
      </c>
      <c r="R74" s="13" t="s">
        <v>222</v>
      </c>
    </row>
    <row r="75" customFormat="false" ht="23.85" hidden="false" customHeight="false" outlineLevel="0" collapsed="false">
      <c r="A75" s="13" t="s">
        <v>328</v>
      </c>
      <c r="B75" s="13" t="s">
        <v>329</v>
      </c>
      <c r="C75" s="13" t="s">
        <v>332</v>
      </c>
      <c r="D75" s="13" t="s">
        <v>224</v>
      </c>
      <c r="E75" s="13" t="s">
        <v>167</v>
      </c>
      <c r="F75" s="13"/>
      <c r="G75" s="13" t="n">
        <v>1</v>
      </c>
      <c r="H75" s="13" t="n">
        <v>1.2</v>
      </c>
      <c r="I75" s="13" t="n">
        <v>0.0005</v>
      </c>
      <c r="J75" s="13" t="s">
        <v>225</v>
      </c>
      <c r="K75" s="15" t="s">
        <v>34</v>
      </c>
      <c r="L75" s="13" t="s">
        <v>111</v>
      </c>
      <c r="M75" s="16" t="b">
        <f aca="false">FALSE()</f>
        <v>0</v>
      </c>
      <c r="N75" s="13" t="s">
        <v>206</v>
      </c>
      <c r="O75" s="13" t="s">
        <v>226</v>
      </c>
      <c r="P75" s="13" t="s">
        <v>227</v>
      </c>
      <c r="Q75" s="13" t="s">
        <v>228</v>
      </c>
      <c r="R75" s="13" t="s">
        <v>229</v>
      </c>
    </row>
    <row r="76" customFormat="false" ht="23.85" hidden="false" customHeight="false" outlineLevel="0" collapsed="false">
      <c r="A76" s="13" t="s">
        <v>333</v>
      </c>
      <c r="B76" s="13" t="s">
        <v>334</v>
      </c>
      <c r="C76" s="13" t="s">
        <v>335</v>
      </c>
      <c r="D76" s="13" t="s">
        <v>152</v>
      </c>
      <c r="E76" s="13" t="s">
        <v>153</v>
      </c>
      <c r="F76" s="13"/>
      <c r="G76" s="13" t="n">
        <v>5</v>
      </c>
      <c r="H76" s="13" t="n">
        <v>6</v>
      </c>
      <c r="I76" s="13" t="n">
        <v>0</v>
      </c>
      <c r="J76" s="13" t="s">
        <v>215</v>
      </c>
      <c r="K76" s="15" t="s">
        <v>34</v>
      </c>
      <c r="L76" s="13" t="s">
        <v>111</v>
      </c>
      <c r="M76" s="16" t="b">
        <f aca="false">FALSE()</f>
        <v>0</v>
      </c>
      <c r="N76" s="13" t="s">
        <v>206</v>
      </c>
      <c r="O76" s="13" t="s">
        <v>128</v>
      </c>
      <c r="P76" s="13" t="s">
        <v>216</v>
      </c>
      <c r="Q76" s="13" t="s">
        <v>217</v>
      </c>
      <c r="R76" s="13" t="s">
        <v>63</v>
      </c>
    </row>
    <row r="77" customFormat="false" ht="23.85" hidden="false" customHeight="false" outlineLevel="0" collapsed="false">
      <c r="A77" s="13" t="s">
        <v>333</v>
      </c>
      <c r="B77" s="13" t="s">
        <v>334</v>
      </c>
      <c r="C77" s="13" t="s">
        <v>336</v>
      </c>
      <c r="D77" s="13" t="s">
        <v>175</v>
      </c>
      <c r="E77" s="13" t="s">
        <v>153</v>
      </c>
      <c r="F77" s="13"/>
      <c r="G77" s="13" t="n">
        <v>900</v>
      </c>
      <c r="H77" s="13" t="n">
        <v>1110</v>
      </c>
      <c r="I77" s="13" t="n">
        <v>0</v>
      </c>
      <c r="J77" s="13" t="s">
        <v>320</v>
      </c>
      <c r="K77" s="15" t="s">
        <v>34</v>
      </c>
      <c r="L77" s="13" t="s">
        <v>111</v>
      </c>
      <c r="M77" s="16" t="b">
        <f aca="false">FALSE()</f>
        <v>0</v>
      </c>
      <c r="N77" s="13" t="s">
        <v>206</v>
      </c>
      <c r="O77" s="13" t="s">
        <v>128</v>
      </c>
      <c r="P77" s="13" t="s">
        <v>220</v>
      </c>
      <c r="Q77" s="13" t="s">
        <v>221</v>
      </c>
      <c r="R77" s="13" t="s">
        <v>222</v>
      </c>
    </row>
    <row r="78" customFormat="false" ht="23.85" hidden="false" customHeight="false" outlineLevel="0" collapsed="false">
      <c r="A78" s="13" t="s">
        <v>333</v>
      </c>
      <c r="B78" s="13" t="s">
        <v>334</v>
      </c>
      <c r="C78" s="13" t="s">
        <v>337</v>
      </c>
      <c r="D78" s="13" t="s">
        <v>224</v>
      </c>
      <c r="E78" s="13" t="s">
        <v>167</v>
      </c>
      <c r="F78" s="13"/>
      <c r="G78" s="13" t="n">
        <v>1</v>
      </c>
      <c r="H78" s="13" t="n">
        <v>1.2</v>
      </c>
      <c r="I78" s="13" t="n">
        <v>0.0005</v>
      </c>
      <c r="J78" s="13" t="s">
        <v>225</v>
      </c>
      <c r="K78" s="15" t="s">
        <v>34</v>
      </c>
      <c r="L78" s="13" t="s">
        <v>111</v>
      </c>
      <c r="M78" s="16" t="b">
        <f aca="false">FALSE()</f>
        <v>0</v>
      </c>
      <c r="N78" s="13" t="s">
        <v>206</v>
      </c>
      <c r="O78" s="13" t="s">
        <v>226</v>
      </c>
      <c r="P78" s="13" t="s">
        <v>227</v>
      </c>
      <c r="Q78" s="13" t="s">
        <v>228</v>
      </c>
      <c r="R78" s="13" t="s">
        <v>229</v>
      </c>
    </row>
    <row r="79" customFormat="false" ht="15" hidden="false" customHeight="false" outlineLevel="0" collapsed="false">
      <c r="A79" s="13" t="s">
        <v>338</v>
      </c>
      <c r="B79" s="13" t="s">
        <v>339</v>
      </c>
      <c r="C79" s="13" t="s">
        <v>340</v>
      </c>
      <c r="D79" s="13" t="s">
        <v>152</v>
      </c>
      <c r="E79" s="13" t="s">
        <v>153</v>
      </c>
      <c r="F79" s="13"/>
      <c r="G79" s="13" t="n">
        <v>5</v>
      </c>
      <c r="H79" s="13" t="n">
        <v>6</v>
      </c>
      <c r="I79" s="13" t="n">
        <v>0</v>
      </c>
      <c r="J79" s="13" t="s">
        <v>215</v>
      </c>
      <c r="K79" s="15" t="s">
        <v>34</v>
      </c>
      <c r="L79" s="13" t="s">
        <v>111</v>
      </c>
      <c r="M79" s="16" t="b">
        <f aca="false">FALSE()</f>
        <v>0</v>
      </c>
      <c r="N79" s="13" t="s">
        <v>206</v>
      </c>
      <c r="O79" s="13" t="s">
        <v>128</v>
      </c>
      <c r="P79" s="13" t="s">
        <v>216</v>
      </c>
      <c r="Q79" s="13" t="s">
        <v>217</v>
      </c>
      <c r="R79" s="13" t="s">
        <v>63</v>
      </c>
    </row>
    <row r="80" customFormat="false" ht="15" hidden="false" customHeight="false" outlineLevel="0" collapsed="false">
      <c r="A80" s="13" t="s">
        <v>338</v>
      </c>
      <c r="B80" s="13" t="s">
        <v>339</v>
      </c>
      <c r="C80" s="13" t="s">
        <v>341</v>
      </c>
      <c r="D80" s="13" t="s">
        <v>175</v>
      </c>
      <c r="E80" s="13" t="s">
        <v>153</v>
      </c>
      <c r="F80" s="13"/>
      <c r="G80" s="13" t="n">
        <v>924</v>
      </c>
      <c r="H80" s="13" t="n">
        <v>1140</v>
      </c>
      <c r="I80" s="13" t="n">
        <v>0</v>
      </c>
      <c r="J80" s="13" t="s">
        <v>342</v>
      </c>
      <c r="K80" s="15" t="s">
        <v>34</v>
      </c>
      <c r="L80" s="13" t="s">
        <v>111</v>
      </c>
      <c r="M80" s="16" t="b">
        <f aca="false">FALSE()</f>
        <v>0</v>
      </c>
      <c r="N80" s="13" t="s">
        <v>206</v>
      </c>
      <c r="O80" s="13" t="s">
        <v>128</v>
      </c>
      <c r="P80" s="13" t="s">
        <v>220</v>
      </c>
      <c r="Q80" s="13" t="s">
        <v>221</v>
      </c>
      <c r="R80" s="13" t="s">
        <v>222</v>
      </c>
    </row>
    <row r="81" customFormat="false" ht="15" hidden="false" customHeight="false" outlineLevel="0" collapsed="false">
      <c r="A81" s="13" t="s">
        <v>338</v>
      </c>
      <c r="B81" s="13" t="s">
        <v>339</v>
      </c>
      <c r="C81" s="13" t="s">
        <v>343</v>
      </c>
      <c r="D81" s="13" t="s">
        <v>224</v>
      </c>
      <c r="E81" s="13" t="s">
        <v>167</v>
      </c>
      <c r="F81" s="13"/>
      <c r="G81" s="13" t="n">
        <v>1</v>
      </c>
      <c r="H81" s="13" t="n">
        <v>1.2</v>
      </c>
      <c r="I81" s="13" t="n">
        <v>0.0005</v>
      </c>
      <c r="J81" s="13" t="s">
        <v>225</v>
      </c>
      <c r="K81" s="15" t="s">
        <v>34</v>
      </c>
      <c r="L81" s="13" t="s">
        <v>111</v>
      </c>
      <c r="M81" s="16" t="b">
        <f aca="false">FALSE()</f>
        <v>0</v>
      </c>
      <c r="N81" s="13" t="s">
        <v>206</v>
      </c>
      <c r="O81" s="13" t="s">
        <v>226</v>
      </c>
      <c r="P81" s="13" t="s">
        <v>227</v>
      </c>
      <c r="Q81" s="13" t="s">
        <v>228</v>
      </c>
      <c r="R81" s="13" t="s">
        <v>229</v>
      </c>
    </row>
    <row r="82" customFormat="false" ht="15" hidden="false" customHeight="false" outlineLevel="0" collapsed="false">
      <c r="A82" s="13" t="s">
        <v>344</v>
      </c>
      <c r="B82" s="13" t="s">
        <v>345</v>
      </c>
      <c r="C82" s="13" t="s">
        <v>346</v>
      </c>
      <c r="D82" s="13" t="s">
        <v>152</v>
      </c>
      <c r="E82" s="13" t="s">
        <v>153</v>
      </c>
      <c r="F82" s="13"/>
      <c r="G82" s="13" t="n">
        <v>6</v>
      </c>
      <c r="H82" s="13" t="n">
        <v>7</v>
      </c>
      <c r="I82" s="13" t="n">
        <v>0</v>
      </c>
      <c r="J82" s="13" t="s">
        <v>233</v>
      </c>
      <c r="K82" s="15" t="s">
        <v>34</v>
      </c>
      <c r="L82" s="13" t="s">
        <v>111</v>
      </c>
      <c r="M82" s="16" t="b">
        <f aca="false">FALSE()</f>
        <v>0</v>
      </c>
      <c r="N82" s="13" t="s">
        <v>206</v>
      </c>
      <c r="O82" s="13" t="s">
        <v>128</v>
      </c>
      <c r="P82" s="13" t="s">
        <v>216</v>
      </c>
      <c r="Q82" s="13" t="s">
        <v>217</v>
      </c>
      <c r="R82" s="13" t="s">
        <v>63</v>
      </c>
    </row>
    <row r="83" customFormat="false" ht="15" hidden="false" customHeight="false" outlineLevel="0" collapsed="false">
      <c r="A83" s="13" t="s">
        <v>344</v>
      </c>
      <c r="B83" s="13" t="s">
        <v>345</v>
      </c>
      <c r="C83" s="13" t="s">
        <v>347</v>
      </c>
      <c r="D83" s="13" t="s">
        <v>175</v>
      </c>
      <c r="E83" s="13" t="s">
        <v>153</v>
      </c>
      <c r="F83" s="13"/>
      <c r="G83" s="13" t="n">
        <v>1232</v>
      </c>
      <c r="H83" s="13" t="n">
        <v>1470</v>
      </c>
      <c r="I83" s="13" t="n">
        <v>0</v>
      </c>
      <c r="J83" s="13" t="s">
        <v>348</v>
      </c>
      <c r="K83" s="15" t="s">
        <v>34</v>
      </c>
      <c r="L83" s="13" t="s">
        <v>111</v>
      </c>
      <c r="M83" s="16" t="b">
        <f aca="false">FALSE()</f>
        <v>0</v>
      </c>
      <c r="N83" s="13" t="s">
        <v>206</v>
      </c>
      <c r="O83" s="13" t="s">
        <v>128</v>
      </c>
      <c r="P83" s="13" t="s">
        <v>220</v>
      </c>
      <c r="Q83" s="13" t="s">
        <v>221</v>
      </c>
      <c r="R83" s="13" t="s">
        <v>222</v>
      </c>
    </row>
    <row r="84" customFormat="false" ht="23.85" hidden="false" customHeight="false" outlineLevel="0" collapsed="false">
      <c r="A84" s="13" t="s">
        <v>344</v>
      </c>
      <c r="B84" s="13" t="s">
        <v>345</v>
      </c>
      <c r="C84" s="13" t="s">
        <v>349</v>
      </c>
      <c r="D84" s="13" t="s">
        <v>224</v>
      </c>
      <c r="E84" s="13" t="s">
        <v>167</v>
      </c>
      <c r="F84" s="13"/>
      <c r="G84" s="13" t="n">
        <v>1</v>
      </c>
      <c r="H84" s="13" t="n">
        <v>1.1667</v>
      </c>
      <c r="I84" s="13" t="n">
        <v>0.0005</v>
      </c>
      <c r="J84" s="13" t="s">
        <v>237</v>
      </c>
      <c r="K84" s="15" t="s">
        <v>34</v>
      </c>
      <c r="L84" s="13" t="s">
        <v>111</v>
      </c>
      <c r="M84" s="16" t="b">
        <f aca="false">FALSE()</f>
        <v>0</v>
      </c>
      <c r="N84" s="13" t="s">
        <v>206</v>
      </c>
      <c r="O84" s="13" t="s">
        <v>226</v>
      </c>
      <c r="P84" s="13" t="s">
        <v>227</v>
      </c>
      <c r="Q84" s="13" t="s">
        <v>228</v>
      </c>
      <c r="R84" s="13" t="s">
        <v>229</v>
      </c>
    </row>
    <row r="85" customFormat="false" ht="23.85" hidden="false" customHeight="false" outlineLevel="0" collapsed="false">
      <c r="A85" s="13" t="s">
        <v>350</v>
      </c>
      <c r="B85" s="13" t="s">
        <v>351</v>
      </c>
      <c r="C85" s="13" t="s">
        <v>352</v>
      </c>
      <c r="D85" s="13" t="s">
        <v>152</v>
      </c>
      <c r="E85" s="13" t="s">
        <v>153</v>
      </c>
      <c r="F85" s="13"/>
      <c r="G85" s="13" t="n">
        <v>6</v>
      </c>
      <c r="H85" s="13" t="n">
        <v>7</v>
      </c>
      <c r="I85" s="13" t="n">
        <v>0</v>
      </c>
      <c r="J85" s="13" t="s">
        <v>233</v>
      </c>
      <c r="K85" s="15" t="s">
        <v>34</v>
      </c>
      <c r="L85" s="13" t="s">
        <v>111</v>
      </c>
      <c r="M85" s="16" t="b">
        <f aca="false">FALSE()</f>
        <v>0</v>
      </c>
      <c r="N85" s="13" t="s">
        <v>206</v>
      </c>
      <c r="O85" s="13" t="s">
        <v>128</v>
      </c>
      <c r="P85" s="13" t="s">
        <v>216</v>
      </c>
      <c r="Q85" s="13" t="s">
        <v>217</v>
      </c>
      <c r="R85" s="13" t="s">
        <v>63</v>
      </c>
    </row>
    <row r="86" customFormat="false" ht="23.85" hidden="false" customHeight="false" outlineLevel="0" collapsed="false">
      <c r="A86" s="13" t="s">
        <v>350</v>
      </c>
      <c r="B86" s="13" t="s">
        <v>351</v>
      </c>
      <c r="C86" s="13" t="s">
        <v>353</v>
      </c>
      <c r="D86" s="13" t="s">
        <v>175</v>
      </c>
      <c r="E86" s="13" t="s">
        <v>153</v>
      </c>
      <c r="F86" s="13"/>
      <c r="G86" s="13" t="n">
        <v>900</v>
      </c>
      <c r="H86" s="13" t="n">
        <v>1070</v>
      </c>
      <c r="I86" s="13" t="n">
        <v>0</v>
      </c>
      <c r="J86" s="13" t="s">
        <v>354</v>
      </c>
      <c r="K86" s="15" t="s">
        <v>34</v>
      </c>
      <c r="L86" s="13" t="s">
        <v>111</v>
      </c>
      <c r="M86" s="16" t="b">
        <f aca="false">FALSE()</f>
        <v>0</v>
      </c>
      <c r="N86" s="13" t="s">
        <v>206</v>
      </c>
      <c r="O86" s="13" t="s">
        <v>128</v>
      </c>
      <c r="P86" s="13" t="s">
        <v>220</v>
      </c>
      <c r="Q86" s="13" t="s">
        <v>221</v>
      </c>
      <c r="R86" s="13" t="s">
        <v>222</v>
      </c>
    </row>
    <row r="87" customFormat="false" ht="23.85" hidden="false" customHeight="false" outlineLevel="0" collapsed="false">
      <c r="A87" s="13" t="s">
        <v>350</v>
      </c>
      <c r="B87" s="13" t="s">
        <v>351</v>
      </c>
      <c r="C87" s="13" t="s">
        <v>355</v>
      </c>
      <c r="D87" s="13" t="s">
        <v>224</v>
      </c>
      <c r="E87" s="13" t="s">
        <v>167</v>
      </c>
      <c r="F87" s="13"/>
      <c r="G87" s="13" t="n">
        <v>1</v>
      </c>
      <c r="H87" s="13" t="n">
        <v>1.1667</v>
      </c>
      <c r="I87" s="13" t="n">
        <v>0.0005</v>
      </c>
      <c r="J87" s="13" t="s">
        <v>237</v>
      </c>
      <c r="K87" s="15" t="s">
        <v>34</v>
      </c>
      <c r="L87" s="13" t="s">
        <v>111</v>
      </c>
      <c r="M87" s="16" t="b">
        <f aca="false">FALSE()</f>
        <v>0</v>
      </c>
      <c r="N87" s="13" t="s">
        <v>206</v>
      </c>
      <c r="O87" s="13" t="s">
        <v>226</v>
      </c>
      <c r="P87" s="13" t="s">
        <v>227</v>
      </c>
      <c r="Q87" s="13" t="s">
        <v>228</v>
      </c>
      <c r="R87" s="13" t="s">
        <v>229</v>
      </c>
    </row>
    <row r="88" customFormat="false" ht="15" hidden="false" customHeight="false" outlineLevel="0" collapsed="false">
      <c r="A88" s="13" t="s">
        <v>356</v>
      </c>
      <c r="B88" s="13" t="s">
        <v>357</v>
      </c>
      <c r="C88" s="13" t="s">
        <v>358</v>
      </c>
      <c r="D88" s="13" t="s">
        <v>152</v>
      </c>
      <c r="E88" s="13" t="s">
        <v>153</v>
      </c>
      <c r="F88" s="13"/>
      <c r="G88" s="13" t="n">
        <v>7</v>
      </c>
      <c r="H88" s="13" t="n">
        <v>8</v>
      </c>
      <c r="I88" s="13" t="n">
        <v>0</v>
      </c>
      <c r="J88" s="13" t="s">
        <v>359</v>
      </c>
      <c r="K88" s="15" t="s">
        <v>34</v>
      </c>
      <c r="L88" s="13" t="s">
        <v>111</v>
      </c>
      <c r="M88" s="16" t="b">
        <f aca="false">FALSE()</f>
        <v>0</v>
      </c>
      <c r="N88" s="13" t="s">
        <v>206</v>
      </c>
      <c r="O88" s="13" t="s">
        <v>128</v>
      </c>
      <c r="P88" s="13" t="s">
        <v>216</v>
      </c>
      <c r="Q88" s="13" t="s">
        <v>217</v>
      </c>
      <c r="R88" s="13" t="s">
        <v>63</v>
      </c>
    </row>
    <row r="89" customFormat="false" ht="15" hidden="false" customHeight="false" outlineLevel="0" collapsed="false">
      <c r="A89" s="13" t="s">
        <v>356</v>
      </c>
      <c r="B89" s="13" t="s">
        <v>357</v>
      </c>
      <c r="C89" s="13" t="s">
        <v>360</v>
      </c>
      <c r="D89" s="13" t="s">
        <v>175</v>
      </c>
      <c r="E89" s="13" t="s">
        <v>153</v>
      </c>
      <c r="F89" s="13"/>
      <c r="G89" s="13" t="n">
        <v>1056</v>
      </c>
      <c r="H89" s="13" t="n">
        <v>1230</v>
      </c>
      <c r="I89" s="13" t="n">
        <v>0</v>
      </c>
      <c r="J89" s="13" t="s">
        <v>361</v>
      </c>
      <c r="K89" s="15" t="s">
        <v>34</v>
      </c>
      <c r="L89" s="13" t="s">
        <v>111</v>
      </c>
      <c r="M89" s="16" t="b">
        <f aca="false">FALSE()</f>
        <v>0</v>
      </c>
      <c r="N89" s="13" t="s">
        <v>206</v>
      </c>
      <c r="O89" s="13" t="s">
        <v>128</v>
      </c>
      <c r="P89" s="13" t="s">
        <v>220</v>
      </c>
      <c r="Q89" s="13" t="s">
        <v>221</v>
      </c>
      <c r="R89" s="13" t="s">
        <v>222</v>
      </c>
    </row>
    <row r="90" customFormat="false" ht="15" hidden="false" customHeight="false" outlineLevel="0" collapsed="false">
      <c r="A90" s="13" t="s">
        <v>356</v>
      </c>
      <c r="B90" s="13" t="s">
        <v>357</v>
      </c>
      <c r="C90" s="13" t="s">
        <v>362</v>
      </c>
      <c r="D90" s="13" t="s">
        <v>224</v>
      </c>
      <c r="E90" s="13" t="s">
        <v>167</v>
      </c>
      <c r="F90" s="13"/>
      <c r="G90" s="13" t="n">
        <v>1</v>
      </c>
      <c r="H90" s="13" t="n">
        <v>1.1429</v>
      </c>
      <c r="I90" s="13" t="n">
        <v>0.0005</v>
      </c>
      <c r="J90" s="13" t="s">
        <v>363</v>
      </c>
      <c r="K90" s="15" t="s">
        <v>34</v>
      </c>
      <c r="L90" s="13" t="s">
        <v>111</v>
      </c>
      <c r="M90" s="16" t="b">
        <f aca="false">FALSE()</f>
        <v>0</v>
      </c>
      <c r="N90" s="13" t="s">
        <v>206</v>
      </c>
      <c r="O90" s="13" t="s">
        <v>226</v>
      </c>
      <c r="P90" s="13" t="s">
        <v>227</v>
      </c>
      <c r="Q90" s="13" t="s">
        <v>228</v>
      </c>
      <c r="R90" s="13" t="s">
        <v>229</v>
      </c>
    </row>
    <row r="91" customFormat="false" ht="15" hidden="false" customHeight="false" outlineLevel="0" collapsed="false">
      <c r="A91" s="13" t="s">
        <v>364</v>
      </c>
      <c r="B91" s="13" t="s">
        <v>365</v>
      </c>
      <c r="C91" s="13" t="s">
        <v>366</v>
      </c>
      <c r="D91" s="13" t="s">
        <v>152</v>
      </c>
      <c r="E91" s="13" t="s">
        <v>153</v>
      </c>
      <c r="F91" s="13"/>
      <c r="G91" s="13" t="n">
        <v>5</v>
      </c>
      <c r="H91" s="13" t="n">
        <v>6</v>
      </c>
      <c r="I91" s="13" t="n">
        <v>0</v>
      </c>
      <c r="J91" s="13" t="s">
        <v>215</v>
      </c>
      <c r="K91" s="15" t="s">
        <v>34</v>
      </c>
      <c r="L91" s="13" t="s">
        <v>111</v>
      </c>
      <c r="M91" s="16" t="b">
        <f aca="false">FALSE()</f>
        <v>0</v>
      </c>
      <c r="N91" s="13" t="s">
        <v>206</v>
      </c>
      <c r="O91" s="13" t="s">
        <v>128</v>
      </c>
      <c r="P91" s="13" t="s">
        <v>216</v>
      </c>
      <c r="Q91" s="13" t="s">
        <v>217</v>
      </c>
      <c r="R91" s="13" t="s">
        <v>63</v>
      </c>
    </row>
    <row r="92" customFormat="false" ht="23.85" hidden="false" customHeight="false" outlineLevel="0" collapsed="false">
      <c r="A92" s="13" t="s">
        <v>364</v>
      </c>
      <c r="B92" s="13" t="s">
        <v>365</v>
      </c>
      <c r="C92" s="13" t="s">
        <v>367</v>
      </c>
      <c r="D92" s="13" t="s">
        <v>175</v>
      </c>
      <c r="E92" s="13" t="s">
        <v>153</v>
      </c>
      <c r="F92" s="13"/>
      <c r="G92" s="13" t="n">
        <v>924</v>
      </c>
      <c r="H92" s="13" t="n">
        <v>1140</v>
      </c>
      <c r="I92" s="13" t="n">
        <v>0</v>
      </c>
      <c r="J92" s="13" t="s">
        <v>342</v>
      </c>
      <c r="K92" s="15" t="s">
        <v>34</v>
      </c>
      <c r="L92" s="13" t="s">
        <v>111</v>
      </c>
      <c r="M92" s="16" t="b">
        <f aca="false">FALSE()</f>
        <v>0</v>
      </c>
      <c r="N92" s="13" t="s">
        <v>206</v>
      </c>
      <c r="O92" s="13" t="s">
        <v>128</v>
      </c>
      <c r="P92" s="13" t="s">
        <v>368</v>
      </c>
      <c r="Q92" s="13" t="s">
        <v>221</v>
      </c>
      <c r="R92" s="13" t="s">
        <v>222</v>
      </c>
    </row>
    <row r="93" customFormat="false" ht="15" hidden="false" customHeight="false" outlineLevel="0" collapsed="false">
      <c r="A93" s="13" t="s">
        <v>364</v>
      </c>
      <c r="B93" s="13" t="s">
        <v>365</v>
      </c>
      <c r="C93" s="13" t="s">
        <v>369</v>
      </c>
      <c r="D93" s="13" t="s">
        <v>224</v>
      </c>
      <c r="E93" s="13" t="s">
        <v>167</v>
      </c>
      <c r="F93" s="13"/>
      <c r="G93" s="13" t="n">
        <v>1</v>
      </c>
      <c r="H93" s="13" t="n">
        <v>1.2</v>
      </c>
      <c r="I93" s="13" t="n">
        <v>0.0005</v>
      </c>
      <c r="J93" s="13" t="s">
        <v>225</v>
      </c>
      <c r="K93" s="15" t="s">
        <v>34</v>
      </c>
      <c r="L93" s="13" t="s">
        <v>111</v>
      </c>
      <c r="M93" s="16" t="b">
        <f aca="false">FALSE()</f>
        <v>0</v>
      </c>
      <c r="N93" s="13" t="s">
        <v>206</v>
      </c>
      <c r="O93" s="13" t="s">
        <v>226</v>
      </c>
      <c r="P93" s="13" t="s">
        <v>227</v>
      </c>
      <c r="Q93" s="13" t="s">
        <v>228</v>
      </c>
      <c r="R93" s="13" t="s">
        <v>229</v>
      </c>
    </row>
    <row r="94" customFormat="false" ht="15" hidden="false" customHeight="false" outlineLevel="0" collapsed="false">
      <c r="A94" s="13" t="s">
        <v>370</v>
      </c>
      <c r="B94" s="13" t="s">
        <v>371</v>
      </c>
      <c r="C94" s="13" t="s">
        <v>372</v>
      </c>
      <c r="D94" s="13" t="s">
        <v>152</v>
      </c>
      <c r="E94" s="13" t="s">
        <v>153</v>
      </c>
      <c r="F94" s="13"/>
      <c r="G94" s="13" t="n">
        <v>6</v>
      </c>
      <c r="H94" s="13" t="n">
        <v>7</v>
      </c>
      <c r="I94" s="13" t="n">
        <v>0</v>
      </c>
      <c r="J94" s="13" t="s">
        <v>233</v>
      </c>
      <c r="K94" s="15" t="s">
        <v>34</v>
      </c>
      <c r="L94" s="13" t="s">
        <v>111</v>
      </c>
      <c r="M94" s="16" t="b">
        <f aca="false">FALSE()</f>
        <v>0</v>
      </c>
      <c r="N94" s="13" t="s">
        <v>206</v>
      </c>
      <c r="O94" s="13" t="s">
        <v>128</v>
      </c>
      <c r="P94" s="13" t="s">
        <v>216</v>
      </c>
      <c r="Q94" s="13" t="s">
        <v>217</v>
      </c>
      <c r="R94" s="13" t="s">
        <v>63</v>
      </c>
    </row>
    <row r="95" customFormat="false" ht="23.85" hidden="false" customHeight="false" outlineLevel="0" collapsed="false">
      <c r="A95" s="13" t="s">
        <v>370</v>
      </c>
      <c r="B95" s="13" t="s">
        <v>371</v>
      </c>
      <c r="C95" s="13" t="s">
        <v>373</v>
      </c>
      <c r="D95" s="13" t="s">
        <v>175</v>
      </c>
      <c r="E95" s="13" t="s">
        <v>153</v>
      </c>
      <c r="F95" s="13"/>
      <c r="G95" s="13" t="n">
        <v>704</v>
      </c>
      <c r="H95" s="13" t="n">
        <v>840</v>
      </c>
      <c r="I95" s="13" t="n">
        <v>0</v>
      </c>
      <c r="J95" s="13" t="s">
        <v>374</v>
      </c>
      <c r="K95" s="15" t="s">
        <v>34</v>
      </c>
      <c r="L95" s="13" t="s">
        <v>111</v>
      </c>
      <c r="M95" s="16" t="b">
        <f aca="false">FALSE()</f>
        <v>0</v>
      </c>
      <c r="N95" s="13" t="s">
        <v>206</v>
      </c>
      <c r="O95" s="13" t="s">
        <v>128</v>
      </c>
      <c r="P95" s="13" t="s">
        <v>368</v>
      </c>
      <c r="Q95" s="13" t="s">
        <v>221</v>
      </c>
      <c r="R95" s="13" t="s">
        <v>222</v>
      </c>
    </row>
    <row r="96" customFormat="false" ht="15" hidden="false" customHeight="false" outlineLevel="0" collapsed="false">
      <c r="A96" s="13" t="s">
        <v>370</v>
      </c>
      <c r="B96" s="13" t="s">
        <v>371</v>
      </c>
      <c r="C96" s="13" t="s">
        <v>375</v>
      </c>
      <c r="D96" s="13" t="s">
        <v>224</v>
      </c>
      <c r="E96" s="13" t="s">
        <v>167</v>
      </c>
      <c r="F96" s="13"/>
      <c r="G96" s="13" t="n">
        <v>1</v>
      </c>
      <c r="H96" s="13" t="n">
        <v>1.1667</v>
      </c>
      <c r="I96" s="13" t="n">
        <v>0.0005</v>
      </c>
      <c r="J96" s="13" t="s">
        <v>237</v>
      </c>
      <c r="K96" s="15" t="s">
        <v>34</v>
      </c>
      <c r="L96" s="13" t="s">
        <v>111</v>
      </c>
      <c r="M96" s="16" t="b">
        <f aca="false">FALSE()</f>
        <v>0</v>
      </c>
      <c r="N96" s="13" t="s">
        <v>206</v>
      </c>
      <c r="O96" s="13" t="s">
        <v>226</v>
      </c>
      <c r="P96" s="13" t="s">
        <v>227</v>
      </c>
      <c r="Q96" s="13" t="s">
        <v>228</v>
      </c>
      <c r="R96" s="13" t="s">
        <v>229</v>
      </c>
    </row>
    <row r="97" customFormat="false" ht="15" hidden="false" customHeight="false" outlineLevel="0" collapsed="false">
      <c r="A97" s="13" t="s">
        <v>376</v>
      </c>
      <c r="B97" s="13" t="s">
        <v>377</v>
      </c>
      <c r="C97" s="13" t="s">
        <v>378</v>
      </c>
      <c r="D97" s="13" t="s">
        <v>152</v>
      </c>
      <c r="E97" s="13" t="s">
        <v>153</v>
      </c>
      <c r="F97" s="13"/>
      <c r="G97" s="13" t="n">
        <v>6</v>
      </c>
      <c r="H97" s="13" t="n">
        <v>7</v>
      </c>
      <c r="I97" s="13" t="n">
        <v>0</v>
      </c>
      <c r="J97" s="13" t="s">
        <v>233</v>
      </c>
      <c r="K97" s="15" t="s">
        <v>34</v>
      </c>
      <c r="L97" s="13" t="s">
        <v>111</v>
      </c>
      <c r="M97" s="16" t="b">
        <f aca="false">FALSE()</f>
        <v>0</v>
      </c>
      <c r="N97" s="13" t="s">
        <v>206</v>
      </c>
      <c r="O97" s="13" t="s">
        <v>128</v>
      </c>
      <c r="P97" s="13" t="s">
        <v>216</v>
      </c>
      <c r="Q97" s="13" t="s">
        <v>217</v>
      </c>
      <c r="R97" s="13" t="s">
        <v>63</v>
      </c>
    </row>
    <row r="98" customFormat="false" ht="23.85" hidden="false" customHeight="false" outlineLevel="0" collapsed="false">
      <c r="A98" s="13" t="s">
        <v>376</v>
      </c>
      <c r="B98" s="13" t="s">
        <v>377</v>
      </c>
      <c r="C98" s="13" t="s">
        <v>379</v>
      </c>
      <c r="D98" s="13" t="s">
        <v>175</v>
      </c>
      <c r="E98" s="13" t="s">
        <v>153</v>
      </c>
      <c r="F98" s="13"/>
      <c r="G98" s="13" t="n">
        <v>660</v>
      </c>
      <c r="H98" s="13" t="n">
        <v>790</v>
      </c>
      <c r="I98" s="13" t="n">
        <v>0</v>
      </c>
      <c r="J98" s="13" t="s">
        <v>380</v>
      </c>
      <c r="K98" s="15" t="s">
        <v>34</v>
      </c>
      <c r="L98" s="13" t="s">
        <v>111</v>
      </c>
      <c r="M98" s="16" t="b">
        <f aca="false">FALSE()</f>
        <v>0</v>
      </c>
      <c r="N98" s="13" t="s">
        <v>206</v>
      </c>
      <c r="O98" s="13" t="s">
        <v>128</v>
      </c>
      <c r="P98" s="13" t="s">
        <v>368</v>
      </c>
      <c r="Q98" s="13" t="s">
        <v>221</v>
      </c>
      <c r="R98" s="13" t="s">
        <v>222</v>
      </c>
    </row>
    <row r="99" customFormat="false" ht="23.85" hidden="false" customHeight="false" outlineLevel="0" collapsed="false">
      <c r="A99" s="13" t="s">
        <v>376</v>
      </c>
      <c r="B99" s="13" t="s">
        <v>377</v>
      </c>
      <c r="C99" s="13" t="s">
        <v>381</v>
      </c>
      <c r="D99" s="13" t="s">
        <v>224</v>
      </c>
      <c r="E99" s="13" t="s">
        <v>167</v>
      </c>
      <c r="F99" s="13"/>
      <c r="G99" s="13" t="n">
        <v>1</v>
      </c>
      <c r="H99" s="13" t="n">
        <v>1.1667</v>
      </c>
      <c r="I99" s="13" t="n">
        <v>0.0005</v>
      </c>
      <c r="J99" s="13" t="s">
        <v>237</v>
      </c>
      <c r="K99" s="15" t="s">
        <v>34</v>
      </c>
      <c r="L99" s="13" t="s">
        <v>111</v>
      </c>
      <c r="M99" s="16" t="b">
        <f aca="false">FALSE()</f>
        <v>0</v>
      </c>
      <c r="N99" s="13" t="s">
        <v>206</v>
      </c>
      <c r="O99" s="13" t="s">
        <v>226</v>
      </c>
      <c r="P99" s="13" t="s">
        <v>227</v>
      </c>
      <c r="Q99" s="13" t="s">
        <v>228</v>
      </c>
      <c r="R99" s="13" t="s">
        <v>229</v>
      </c>
    </row>
    <row r="100" customFormat="false" ht="23.85" hidden="false" customHeight="false" outlineLevel="0" collapsed="false">
      <c r="A100" s="13" t="s">
        <v>382</v>
      </c>
      <c r="B100" s="13" t="s">
        <v>383</v>
      </c>
      <c r="C100" s="13" t="s">
        <v>384</v>
      </c>
      <c r="D100" s="13" t="s">
        <v>152</v>
      </c>
      <c r="E100" s="13" t="s">
        <v>153</v>
      </c>
      <c r="F100" s="13"/>
      <c r="G100" s="13" t="n">
        <v>7</v>
      </c>
      <c r="H100" s="13" t="n">
        <v>8</v>
      </c>
      <c r="I100" s="13" t="n">
        <v>0</v>
      </c>
      <c r="J100" s="13" t="s">
        <v>359</v>
      </c>
      <c r="K100" s="15" t="s">
        <v>34</v>
      </c>
      <c r="L100" s="13" t="s">
        <v>111</v>
      </c>
      <c r="M100" s="16" t="b">
        <f aca="false">FALSE()</f>
        <v>0</v>
      </c>
      <c r="N100" s="13" t="s">
        <v>206</v>
      </c>
      <c r="O100" s="13" t="s">
        <v>128</v>
      </c>
      <c r="P100" s="13" t="s">
        <v>216</v>
      </c>
      <c r="Q100" s="13" t="s">
        <v>217</v>
      </c>
      <c r="R100" s="13" t="s">
        <v>63</v>
      </c>
    </row>
    <row r="101" customFormat="false" ht="23.85" hidden="false" customHeight="false" outlineLevel="0" collapsed="false">
      <c r="A101" s="13" t="s">
        <v>382</v>
      </c>
      <c r="B101" s="13" t="s">
        <v>383</v>
      </c>
      <c r="C101" s="13" t="s">
        <v>385</v>
      </c>
      <c r="D101" s="13" t="s">
        <v>175</v>
      </c>
      <c r="E101" s="13" t="s">
        <v>153</v>
      </c>
      <c r="F101" s="13"/>
      <c r="G101" s="13" t="n">
        <v>1800</v>
      </c>
      <c r="H101" s="13" t="n">
        <v>2100</v>
      </c>
      <c r="I101" s="13" t="n">
        <v>0</v>
      </c>
      <c r="J101" s="13" t="s">
        <v>386</v>
      </c>
      <c r="K101" s="15" t="s">
        <v>34</v>
      </c>
      <c r="L101" s="13" t="s">
        <v>111</v>
      </c>
      <c r="M101" s="16" t="b">
        <f aca="false">FALSE()</f>
        <v>0</v>
      </c>
      <c r="N101" s="13" t="s">
        <v>206</v>
      </c>
      <c r="O101" s="13" t="s">
        <v>128</v>
      </c>
      <c r="P101" s="13" t="s">
        <v>368</v>
      </c>
      <c r="Q101" s="13" t="s">
        <v>221</v>
      </c>
      <c r="R101" s="13" t="s">
        <v>222</v>
      </c>
    </row>
    <row r="102" customFormat="false" ht="23.85" hidden="false" customHeight="false" outlineLevel="0" collapsed="false">
      <c r="A102" s="13" t="s">
        <v>382</v>
      </c>
      <c r="B102" s="13" t="s">
        <v>383</v>
      </c>
      <c r="C102" s="13" t="s">
        <v>387</v>
      </c>
      <c r="D102" s="13" t="s">
        <v>224</v>
      </c>
      <c r="E102" s="13" t="s">
        <v>167</v>
      </c>
      <c r="F102" s="13"/>
      <c r="G102" s="13" t="n">
        <v>1</v>
      </c>
      <c r="H102" s="13" t="n">
        <v>1.1429</v>
      </c>
      <c r="I102" s="13" t="n">
        <v>0.0005</v>
      </c>
      <c r="J102" s="13" t="s">
        <v>363</v>
      </c>
      <c r="K102" s="15" t="s">
        <v>34</v>
      </c>
      <c r="L102" s="13" t="s">
        <v>111</v>
      </c>
      <c r="M102" s="16" t="b">
        <f aca="false">FALSE()</f>
        <v>0</v>
      </c>
      <c r="N102" s="13" t="s">
        <v>206</v>
      </c>
      <c r="O102" s="13" t="s">
        <v>226</v>
      </c>
      <c r="P102" s="13" t="s">
        <v>227</v>
      </c>
      <c r="Q102" s="13" t="s">
        <v>228</v>
      </c>
      <c r="R102" s="13" t="s">
        <v>229</v>
      </c>
    </row>
    <row r="103" customFormat="false" ht="15" hidden="false" customHeight="false" outlineLevel="0" collapsed="false">
      <c r="A103" s="13" t="s">
        <v>388</v>
      </c>
      <c r="B103" s="13" t="s">
        <v>389</v>
      </c>
      <c r="C103" s="13" t="s">
        <v>390</v>
      </c>
      <c r="D103" s="13" t="s">
        <v>152</v>
      </c>
      <c r="E103" s="13" t="s">
        <v>153</v>
      </c>
      <c r="F103" s="13"/>
      <c r="G103" s="13" t="n">
        <v>7</v>
      </c>
      <c r="H103" s="13" t="n">
        <v>8</v>
      </c>
      <c r="I103" s="13" t="n">
        <v>0</v>
      </c>
      <c r="J103" s="13" t="s">
        <v>359</v>
      </c>
      <c r="K103" s="15" t="s">
        <v>34</v>
      </c>
      <c r="L103" s="13" t="s">
        <v>111</v>
      </c>
      <c r="M103" s="16" t="b">
        <f aca="false">FALSE()</f>
        <v>0</v>
      </c>
      <c r="N103" s="13" t="s">
        <v>206</v>
      </c>
      <c r="O103" s="13" t="s">
        <v>128</v>
      </c>
      <c r="P103" s="13" t="s">
        <v>216</v>
      </c>
      <c r="Q103" s="13" t="s">
        <v>217</v>
      </c>
      <c r="R103" s="13" t="s">
        <v>63</v>
      </c>
    </row>
    <row r="104" customFormat="false" ht="23.85" hidden="false" customHeight="false" outlineLevel="0" collapsed="false">
      <c r="A104" s="13" t="s">
        <v>388</v>
      </c>
      <c r="B104" s="13" t="s">
        <v>389</v>
      </c>
      <c r="C104" s="13" t="s">
        <v>391</v>
      </c>
      <c r="D104" s="13" t="s">
        <v>175</v>
      </c>
      <c r="E104" s="13" t="s">
        <v>153</v>
      </c>
      <c r="F104" s="13"/>
      <c r="G104" s="13" t="n">
        <v>1100</v>
      </c>
      <c r="H104" s="13" t="n">
        <v>1280</v>
      </c>
      <c r="I104" s="13" t="n">
        <v>0</v>
      </c>
      <c r="J104" s="13" t="s">
        <v>392</v>
      </c>
      <c r="K104" s="15" t="s">
        <v>34</v>
      </c>
      <c r="L104" s="13" t="s">
        <v>111</v>
      </c>
      <c r="M104" s="16" t="b">
        <f aca="false">FALSE()</f>
        <v>0</v>
      </c>
      <c r="N104" s="13" t="s">
        <v>206</v>
      </c>
      <c r="O104" s="13" t="s">
        <v>128</v>
      </c>
      <c r="P104" s="13" t="s">
        <v>368</v>
      </c>
      <c r="Q104" s="13" t="s">
        <v>221</v>
      </c>
      <c r="R104" s="13" t="s">
        <v>222</v>
      </c>
    </row>
    <row r="105" customFormat="false" ht="23.85" hidden="false" customHeight="false" outlineLevel="0" collapsed="false">
      <c r="A105" s="13" t="s">
        <v>388</v>
      </c>
      <c r="B105" s="13" t="s">
        <v>389</v>
      </c>
      <c r="C105" s="13" t="s">
        <v>393</v>
      </c>
      <c r="D105" s="13" t="s">
        <v>224</v>
      </c>
      <c r="E105" s="13" t="s">
        <v>167</v>
      </c>
      <c r="F105" s="13"/>
      <c r="G105" s="13" t="n">
        <v>1</v>
      </c>
      <c r="H105" s="13" t="n">
        <v>1.1429</v>
      </c>
      <c r="I105" s="13" t="n">
        <v>0.0005</v>
      </c>
      <c r="J105" s="13" t="s">
        <v>363</v>
      </c>
      <c r="K105" s="15" t="s">
        <v>34</v>
      </c>
      <c r="L105" s="13" t="s">
        <v>111</v>
      </c>
      <c r="M105" s="16" t="b">
        <f aca="false">FALSE()</f>
        <v>0</v>
      </c>
      <c r="N105" s="13" t="s">
        <v>206</v>
      </c>
      <c r="O105" s="13" t="s">
        <v>226</v>
      </c>
      <c r="P105" s="13" t="s">
        <v>227</v>
      </c>
      <c r="Q105" s="13" t="s">
        <v>228</v>
      </c>
      <c r="R105" s="13" t="s">
        <v>229</v>
      </c>
    </row>
    <row r="106" customFormat="false" ht="23.85" hidden="false" customHeight="false" outlineLevel="0" collapsed="false">
      <c r="A106" s="13" t="s">
        <v>394</v>
      </c>
      <c r="B106" s="13" t="s">
        <v>395</v>
      </c>
      <c r="C106" s="13" t="s">
        <v>396</v>
      </c>
      <c r="D106" s="13" t="s">
        <v>152</v>
      </c>
      <c r="E106" s="13" t="s">
        <v>153</v>
      </c>
      <c r="F106" s="13"/>
      <c r="G106" s="13" t="n">
        <v>7</v>
      </c>
      <c r="H106" s="13" t="n">
        <v>8</v>
      </c>
      <c r="I106" s="13" t="n">
        <v>0</v>
      </c>
      <c r="J106" s="13" t="s">
        <v>359</v>
      </c>
      <c r="K106" s="15" t="s">
        <v>34</v>
      </c>
      <c r="L106" s="13" t="s">
        <v>111</v>
      </c>
      <c r="M106" s="16" t="b">
        <f aca="false">FALSE()</f>
        <v>0</v>
      </c>
      <c r="N106" s="13" t="s">
        <v>206</v>
      </c>
      <c r="O106" s="13" t="s">
        <v>128</v>
      </c>
      <c r="P106" s="13" t="s">
        <v>216</v>
      </c>
      <c r="Q106" s="13" t="s">
        <v>217</v>
      </c>
      <c r="R106" s="13" t="s">
        <v>63</v>
      </c>
    </row>
    <row r="107" customFormat="false" ht="23.85" hidden="false" customHeight="false" outlineLevel="0" collapsed="false">
      <c r="A107" s="13" t="s">
        <v>394</v>
      </c>
      <c r="B107" s="13" t="s">
        <v>395</v>
      </c>
      <c r="C107" s="13" t="s">
        <v>397</v>
      </c>
      <c r="D107" s="13" t="s">
        <v>175</v>
      </c>
      <c r="E107" s="13" t="s">
        <v>153</v>
      </c>
      <c r="F107" s="13"/>
      <c r="G107" s="13" t="n">
        <v>900</v>
      </c>
      <c r="H107" s="13" t="n">
        <v>1050</v>
      </c>
      <c r="I107" s="13" t="n">
        <v>0</v>
      </c>
      <c r="J107" s="13" t="s">
        <v>398</v>
      </c>
      <c r="K107" s="15" t="s">
        <v>34</v>
      </c>
      <c r="L107" s="13" t="s">
        <v>111</v>
      </c>
      <c r="M107" s="16" t="b">
        <f aca="false">FALSE()</f>
        <v>0</v>
      </c>
      <c r="N107" s="13" t="s">
        <v>206</v>
      </c>
      <c r="O107" s="13" t="s">
        <v>128</v>
      </c>
      <c r="P107" s="13" t="s">
        <v>368</v>
      </c>
      <c r="Q107" s="13" t="s">
        <v>221</v>
      </c>
      <c r="R107" s="13" t="s">
        <v>222</v>
      </c>
    </row>
    <row r="108" customFormat="false" ht="23.85" hidden="false" customHeight="false" outlineLevel="0" collapsed="false">
      <c r="A108" s="13" t="s">
        <v>394</v>
      </c>
      <c r="B108" s="13" t="s">
        <v>395</v>
      </c>
      <c r="C108" s="13" t="s">
        <v>399</v>
      </c>
      <c r="D108" s="13" t="s">
        <v>224</v>
      </c>
      <c r="E108" s="13" t="s">
        <v>167</v>
      </c>
      <c r="F108" s="13"/>
      <c r="G108" s="13" t="n">
        <v>1</v>
      </c>
      <c r="H108" s="13" t="n">
        <v>1.1429</v>
      </c>
      <c r="I108" s="13" t="n">
        <v>0.0005</v>
      </c>
      <c r="J108" s="13" t="s">
        <v>363</v>
      </c>
      <c r="K108" s="15" t="s">
        <v>34</v>
      </c>
      <c r="L108" s="13" t="s">
        <v>111</v>
      </c>
      <c r="M108" s="16" t="b">
        <f aca="false">FALSE()</f>
        <v>0</v>
      </c>
      <c r="N108" s="13" t="s">
        <v>206</v>
      </c>
      <c r="O108" s="13" t="s">
        <v>226</v>
      </c>
      <c r="P108" s="13" t="s">
        <v>227</v>
      </c>
      <c r="Q108" s="13" t="s">
        <v>228</v>
      </c>
      <c r="R108" s="13" t="s">
        <v>229</v>
      </c>
    </row>
    <row r="109" customFormat="false" ht="15" hidden="false" customHeight="false" outlineLevel="0" collapsed="false">
      <c r="A109" s="13" t="s">
        <v>400</v>
      </c>
      <c r="B109" s="13" t="s">
        <v>401</v>
      </c>
      <c r="C109" s="13" t="s">
        <v>402</v>
      </c>
      <c r="D109" s="13" t="s">
        <v>152</v>
      </c>
      <c r="E109" s="13" t="s">
        <v>153</v>
      </c>
      <c r="F109" s="13"/>
      <c r="G109" s="13" t="n">
        <v>8</v>
      </c>
      <c r="H109" s="13" t="n">
        <v>9</v>
      </c>
      <c r="I109" s="13" t="n">
        <v>0</v>
      </c>
      <c r="J109" s="13" t="s">
        <v>253</v>
      </c>
      <c r="K109" s="15" t="s">
        <v>34</v>
      </c>
      <c r="L109" s="13" t="s">
        <v>111</v>
      </c>
      <c r="M109" s="16" t="b">
        <f aca="false">FALSE()</f>
        <v>0</v>
      </c>
      <c r="N109" s="13" t="s">
        <v>206</v>
      </c>
      <c r="O109" s="13" t="s">
        <v>128</v>
      </c>
      <c r="P109" s="13" t="s">
        <v>216</v>
      </c>
      <c r="Q109" s="13" t="s">
        <v>217</v>
      </c>
      <c r="R109" s="13" t="s">
        <v>63</v>
      </c>
    </row>
    <row r="110" customFormat="false" ht="23.85" hidden="false" customHeight="false" outlineLevel="0" collapsed="false">
      <c r="A110" s="13" t="s">
        <v>400</v>
      </c>
      <c r="B110" s="13" t="s">
        <v>401</v>
      </c>
      <c r="C110" s="13" t="s">
        <v>403</v>
      </c>
      <c r="D110" s="13" t="s">
        <v>175</v>
      </c>
      <c r="E110" s="13" t="s">
        <v>153</v>
      </c>
      <c r="F110" s="13"/>
      <c r="G110" s="13" t="n">
        <v>2499</v>
      </c>
      <c r="H110" s="13" t="n">
        <v>2860</v>
      </c>
      <c r="I110" s="13" t="n">
        <v>0</v>
      </c>
      <c r="J110" s="13" t="s">
        <v>404</v>
      </c>
      <c r="K110" s="15" t="s">
        <v>34</v>
      </c>
      <c r="L110" s="13" t="s">
        <v>111</v>
      </c>
      <c r="M110" s="16" t="b">
        <f aca="false">FALSE()</f>
        <v>0</v>
      </c>
      <c r="N110" s="13" t="s">
        <v>206</v>
      </c>
      <c r="O110" s="13" t="s">
        <v>128</v>
      </c>
      <c r="P110" s="13" t="s">
        <v>368</v>
      </c>
      <c r="Q110" s="13" t="s">
        <v>221</v>
      </c>
      <c r="R110" s="13" t="s">
        <v>222</v>
      </c>
    </row>
    <row r="111" customFormat="false" ht="15" hidden="false" customHeight="false" outlineLevel="0" collapsed="false">
      <c r="A111" s="13" t="s">
        <v>400</v>
      </c>
      <c r="B111" s="13" t="s">
        <v>401</v>
      </c>
      <c r="C111" s="13" t="s">
        <v>405</v>
      </c>
      <c r="D111" s="13" t="s">
        <v>224</v>
      </c>
      <c r="E111" s="13" t="s">
        <v>167</v>
      </c>
      <c r="F111" s="13"/>
      <c r="G111" s="13" t="n">
        <v>1</v>
      </c>
      <c r="H111" s="13" t="n">
        <v>1.1391</v>
      </c>
      <c r="I111" s="13" t="n">
        <v>0.0005</v>
      </c>
      <c r="J111" s="13" t="s">
        <v>260</v>
      </c>
      <c r="K111" s="15" t="s">
        <v>34</v>
      </c>
      <c r="L111" s="13" t="s">
        <v>111</v>
      </c>
      <c r="M111" s="16" t="b">
        <f aca="false">FALSE()</f>
        <v>0</v>
      </c>
      <c r="N111" s="13" t="s">
        <v>206</v>
      </c>
      <c r="O111" s="13" t="s">
        <v>226</v>
      </c>
      <c r="P111" s="13" t="s">
        <v>227</v>
      </c>
      <c r="Q111" s="13" t="s">
        <v>228</v>
      </c>
      <c r="R111" s="13" t="s">
        <v>229</v>
      </c>
    </row>
    <row r="112" customFormat="false" ht="15" hidden="false" customHeight="false" outlineLevel="0" collapsed="false">
      <c r="A112" s="13" t="s">
        <v>406</v>
      </c>
      <c r="B112" s="13" t="s">
        <v>407</v>
      </c>
      <c r="C112" s="13" t="s">
        <v>408</v>
      </c>
      <c r="D112" s="13" t="s">
        <v>152</v>
      </c>
      <c r="E112" s="13" t="s">
        <v>153</v>
      </c>
      <c r="F112" s="13"/>
      <c r="G112" s="13" t="n">
        <v>8</v>
      </c>
      <c r="H112" s="13" t="n">
        <v>9</v>
      </c>
      <c r="I112" s="13" t="n">
        <v>0</v>
      </c>
      <c r="J112" s="13" t="s">
        <v>253</v>
      </c>
      <c r="K112" s="15" t="s">
        <v>34</v>
      </c>
      <c r="L112" s="13" t="s">
        <v>111</v>
      </c>
      <c r="M112" s="16" t="b">
        <f aca="false">FALSE()</f>
        <v>0</v>
      </c>
      <c r="N112" s="13" t="s">
        <v>206</v>
      </c>
      <c r="O112" s="13" t="s">
        <v>128</v>
      </c>
      <c r="P112" s="13" t="s">
        <v>216</v>
      </c>
      <c r="Q112" s="13" t="s">
        <v>217</v>
      </c>
      <c r="R112" s="13" t="s">
        <v>63</v>
      </c>
    </row>
    <row r="113" customFormat="false" ht="23.85" hidden="false" customHeight="false" outlineLevel="0" collapsed="false">
      <c r="A113" s="13" t="s">
        <v>406</v>
      </c>
      <c r="B113" s="13" t="s">
        <v>407</v>
      </c>
      <c r="C113" s="13" t="s">
        <v>409</v>
      </c>
      <c r="D113" s="13" t="s">
        <v>175</v>
      </c>
      <c r="E113" s="13" t="s">
        <v>153</v>
      </c>
      <c r="F113" s="13"/>
      <c r="G113" s="13" t="n">
        <v>801</v>
      </c>
      <c r="H113" s="13" t="n">
        <v>920</v>
      </c>
      <c r="I113" s="13" t="n">
        <v>0</v>
      </c>
      <c r="J113" s="13" t="s">
        <v>410</v>
      </c>
      <c r="K113" s="15" t="s">
        <v>34</v>
      </c>
      <c r="L113" s="13" t="s">
        <v>111</v>
      </c>
      <c r="M113" s="16" t="b">
        <f aca="false">FALSE()</f>
        <v>0</v>
      </c>
      <c r="N113" s="13" t="s">
        <v>206</v>
      </c>
      <c r="O113" s="13" t="s">
        <v>128</v>
      </c>
      <c r="P113" s="13" t="s">
        <v>368</v>
      </c>
      <c r="Q113" s="13" t="s">
        <v>221</v>
      </c>
      <c r="R113" s="13" t="s">
        <v>222</v>
      </c>
    </row>
    <row r="114" customFormat="false" ht="15" hidden="false" customHeight="false" outlineLevel="0" collapsed="false">
      <c r="A114" s="13" t="s">
        <v>406</v>
      </c>
      <c r="B114" s="13" t="s">
        <v>407</v>
      </c>
      <c r="C114" s="13" t="s">
        <v>411</v>
      </c>
      <c r="D114" s="13" t="s">
        <v>224</v>
      </c>
      <c r="E114" s="13" t="s">
        <v>167</v>
      </c>
      <c r="F114" s="13"/>
      <c r="G114" s="13" t="n">
        <v>1</v>
      </c>
      <c r="H114" s="13" t="n">
        <v>1.1391</v>
      </c>
      <c r="I114" s="13" t="n">
        <v>0.0005</v>
      </c>
      <c r="J114" s="13" t="s">
        <v>260</v>
      </c>
      <c r="K114" s="15" t="s">
        <v>34</v>
      </c>
      <c r="L114" s="13" t="s">
        <v>111</v>
      </c>
      <c r="M114" s="16" t="b">
        <f aca="false">FALSE()</f>
        <v>0</v>
      </c>
      <c r="N114" s="13" t="s">
        <v>206</v>
      </c>
      <c r="O114" s="13" t="s">
        <v>226</v>
      </c>
      <c r="P114" s="13" t="s">
        <v>227</v>
      </c>
      <c r="Q114" s="13" t="s">
        <v>228</v>
      </c>
      <c r="R114" s="13" t="s">
        <v>229</v>
      </c>
    </row>
    <row r="115" customFormat="false" ht="15" hidden="false" customHeight="false" outlineLevel="0" collapsed="false">
      <c r="A115" s="13" t="s">
        <v>412</v>
      </c>
      <c r="B115" s="13" t="s">
        <v>413</v>
      </c>
      <c r="C115" s="13" t="s">
        <v>414</v>
      </c>
      <c r="D115" s="13" t="s">
        <v>152</v>
      </c>
      <c r="E115" s="13" t="s">
        <v>153</v>
      </c>
      <c r="F115" s="13"/>
      <c r="G115" s="13" t="n">
        <v>9</v>
      </c>
      <c r="H115" s="13" t="n">
        <v>11</v>
      </c>
      <c r="I115" s="13" t="n">
        <v>0</v>
      </c>
      <c r="J115" s="13" t="s">
        <v>266</v>
      </c>
      <c r="K115" s="15" t="s">
        <v>34</v>
      </c>
      <c r="L115" s="13" t="s">
        <v>111</v>
      </c>
      <c r="M115" s="16" t="b">
        <f aca="false">FALSE()</f>
        <v>0</v>
      </c>
      <c r="N115" s="13" t="s">
        <v>206</v>
      </c>
      <c r="O115" s="13" t="s">
        <v>128</v>
      </c>
      <c r="P115" s="13" t="s">
        <v>216</v>
      </c>
      <c r="Q115" s="13" t="s">
        <v>217</v>
      </c>
      <c r="R115" s="13" t="s">
        <v>63</v>
      </c>
    </row>
    <row r="116" customFormat="false" ht="23.85" hidden="false" customHeight="false" outlineLevel="0" collapsed="false">
      <c r="A116" s="13" t="s">
        <v>412</v>
      </c>
      <c r="B116" s="13" t="s">
        <v>413</v>
      </c>
      <c r="C116" s="13" t="s">
        <v>415</v>
      </c>
      <c r="D116" s="13" t="s">
        <v>175</v>
      </c>
      <c r="E116" s="13" t="s">
        <v>153</v>
      </c>
      <c r="F116" s="13"/>
      <c r="G116" s="13" t="n">
        <v>1760</v>
      </c>
      <c r="H116" s="13" t="n">
        <v>2220</v>
      </c>
      <c r="I116" s="13" t="n">
        <v>0</v>
      </c>
      <c r="J116" s="13" t="s">
        <v>416</v>
      </c>
      <c r="K116" s="15" t="s">
        <v>34</v>
      </c>
      <c r="L116" s="13" t="s">
        <v>111</v>
      </c>
      <c r="M116" s="16" t="b">
        <f aca="false">FALSE()</f>
        <v>0</v>
      </c>
      <c r="N116" s="13" t="s">
        <v>206</v>
      </c>
      <c r="O116" s="13" t="s">
        <v>128</v>
      </c>
      <c r="P116" s="13" t="s">
        <v>368</v>
      </c>
      <c r="Q116" s="13" t="s">
        <v>221</v>
      </c>
      <c r="R116" s="13" t="s">
        <v>222</v>
      </c>
    </row>
    <row r="117" customFormat="false" ht="23.85" hidden="false" customHeight="false" outlineLevel="0" collapsed="false">
      <c r="A117" s="13" t="s">
        <v>412</v>
      </c>
      <c r="B117" s="13" t="s">
        <v>413</v>
      </c>
      <c r="C117" s="13" t="s">
        <v>417</v>
      </c>
      <c r="D117" s="13" t="s">
        <v>224</v>
      </c>
      <c r="E117" s="13" t="s">
        <v>167</v>
      </c>
      <c r="F117" s="13"/>
      <c r="G117" s="13" t="n">
        <v>1</v>
      </c>
      <c r="H117" s="13" t="n">
        <v>1.2681</v>
      </c>
      <c r="I117" s="13" t="n">
        <v>0.0005</v>
      </c>
      <c r="J117" s="13" t="s">
        <v>270</v>
      </c>
      <c r="K117" s="15" t="s">
        <v>34</v>
      </c>
      <c r="L117" s="13" t="s">
        <v>111</v>
      </c>
      <c r="M117" s="16" t="b">
        <f aca="false">FALSE()</f>
        <v>0</v>
      </c>
      <c r="N117" s="13" t="s">
        <v>206</v>
      </c>
      <c r="O117" s="13" t="s">
        <v>226</v>
      </c>
      <c r="P117" s="13" t="s">
        <v>227</v>
      </c>
      <c r="Q117" s="13" t="s">
        <v>228</v>
      </c>
      <c r="R117" s="13" t="s">
        <v>229</v>
      </c>
    </row>
    <row r="118" customFormat="false" ht="15" hidden="false" customHeight="false" outlineLevel="0" collapsed="false">
      <c r="A118" s="13" t="s">
        <v>418</v>
      </c>
      <c r="B118" s="13" t="s">
        <v>419</v>
      </c>
      <c r="C118" s="13" t="s">
        <v>420</v>
      </c>
      <c r="D118" s="13" t="s">
        <v>152</v>
      </c>
      <c r="E118" s="13" t="s">
        <v>153</v>
      </c>
      <c r="F118" s="13"/>
      <c r="G118" s="13" t="n">
        <v>9</v>
      </c>
      <c r="H118" s="13" t="n">
        <v>11</v>
      </c>
      <c r="I118" s="13" t="n">
        <v>0</v>
      </c>
      <c r="J118" s="13" t="s">
        <v>266</v>
      </c>
      <c r="K118" s="15" t="s">
        <v>34</v>
      </c>
      <c r="L118" s="13" t="s">
        <v>111</v>
      </c>
      <c r="M118" s="16" t="b">
        <f aca="false">FALSE()</f>
        <v>0</v>
      </c>
      <c r="N118" s="13" t="s">
        <v>206</v>
      </c>
      <c r="O118" s="13" t="s">
        <v>128</v>
      </c>
      <c r="P118" s="13" t="s">
        <v>216</v>
      </c>
      <c r="Q118" s="13" t="s">
        <v>217</v>
      </c>
      <c r="R118" s="13" t="s">
        <v>63</v>
      </c>
    </row>
    <row r="119" customFormat="false" ht="23.85" hidden="false" customHeight="false" outlineLevel="0" collapsed="false">
      <c r="A119" s="13" t="s">
        <v>418</v>
      </c>
      <c r="B119" s="13" t="s">
        <v>419</v>
      </c>
      <c r="C119" s="13" t="s">
        <v>421</v>
      </c>
      <c r="D119" s="13" t="s">
        <v>175</v>
      </c>
      <c r="E119" s="13" t="s">
        <v>153</v>
      </c>
      <c r="F119" s="13"/>
      <c r="G119" s="13" t="n">
        <v>1056</v>
      </c>
      <c r="H119" s="13" t="n">
        <v>1330</v>
      </c>
      <c r="I119" s="13" t="n">
        <v>0</v>
      </c>
      <c r="J119" s="13" t="s">
        <v>422</v>
      </c>
      <c r="K119" s="15" t="s">
        <v>34</v>
      </c>
      <c r="L119" s="13" t="s">
        <v>111</v>
      </c>
      <c r="M119" s="16" t="b">
        <f aca="false">FALSE()</f>
        <v>0</v>
      </c>
      <c r="N119" s="13" t="s">
        <v>206</v>
      </c>
      <c r="O119" s="13" t="s">
        <v>128</v>
      </c>
      <c r="P119" s="13" t="s">
        <v>368</v>
      </c>
      <c r="Q119" s="13" t="s">
        <v>221</v>
      </c>
      <c r="R119" s="13" t="s">
        <v>222</v>
      </c>
    </row>
    <row r="120" customFormat="false" ht="15" hidden="false" customHeight="false" outlineLevel="0" collapsed="false">
      <c r="A120" s="13" t="s">
        <v>418</v>
      </c>
      <c r="B120" s="13" t="s">
        <v>419</v>
      </c>
      <c r="C120" s="13" t="s">
        <v>423</v>
      </c>
      <c r="D120" s="13" t="s">
        <v>224</v>
      </c>
      <c r="E120" s="13" t="s">
        <v>167</v>
      </c>
      <c r="F120" s="13"/>
      <c r="G120" s="13" t="n">
        <v>1</v>
      </c>
      <c r="H120" s="13" t="n">
        <v>1.2681</v>
      </c>
      <c r="I120" s="13" t="n">
        <v>0.0005</v>
      </c>
      <c r="J120" s="13" t="s">
        <v>270</v>
      </c>
      <c r="K120" s="15" t="s">
        <v>34</v>
      </c>
      <c r="L120" s="13" t="s">
        <v>111</v>
      </c>
      <c r="M120" s="16" t="b">
        <f aca="false">FALSE()</f>
        <v>0</v>
      </c>
      <c r="N120" s="13" t="s">
        <v>206</v>
      </c>
      <c r="O120" s="13" t="s">
        <v>226</v>
      </c>
      <c r="P120" s="13" t="s">
        <v>227</v>
      </c>
      <c r="Q120" s="13" t="s">
        <v>228</v>
      </c>
      <c r="R120" s="13" t="s">
        <v>229</v>
      </c>
    </row>
    <row r="121" customFormat="false" ht="15" hidden="false" customHeight="false" outlineLevel="0" collapsed="false">
      <c r="A121" s="13" t="s">
        <v>424</v>
      </c>
      <c r="B121" s="13" t="s">
        <v>425</v>
      </c>
      <c r="C121" s="13" t="s">
        <v>426</v>
      </c>
      <c r="D121" s="13" t="s">
        <v>152</v>
      </c>
      <c r="E121" s="13" t="s">
        <v>153</v>
      </c>
      <c r="F121" s="13"/>
      <c r="G121" s="13" t="n">
        <v>12</v>
      </c>
      <c r="H121" s="13" t="n">
        <v>15</v>
      </c>
      <c r="I121" s="13" t="n">
        <v>0</v>
      </c>
      <c r="J121" s="13" t="s">
        <v>284</v>
      </c>
      <c r="K121" s="15" t="s">
        <v>34</v>
      </c>
      <c r="L121" s="13" t="s">
        <v>111</v>
      </c>
      <c r="M121" s="16" t="b">
        <f aca="false">FALSE()</f>
        <v>0</v>
      </c>
      <c r="N121" s="13" t="s">
        <v>206</v>
      </c>
      <c r="O121" s="13" t="s">
        <v>128</v>
      </c>
      <c r="P121" s="13" t="s">
        <v>216</v>
      </c>
      <c r="Q121" s="13" t="s">
        <v>217</v>
      </c>
      <c r="R121" s="13" t="s">
        <v>63</v>
      </c>
    </row>
    <row r="122" customFormat="false" ht="23.85" hidden="false" customHeight="false" outlineLevel="0" collapsed="false">
      <c r="A122" s="13" t="s">
        <v>424</v>
      </c>
      <c r="B122" s="13" t="s">
        <v>425</v>
      </c>
      <c r="C122" s="13" t="s">
        <v>427</v>
      </c>
      <c r="D122" s="13" t="s">
        <v>175</v>
      </c>
      <c r="E122" s="13" t="s">
        <v>153</v>
      </c>
      <c r="F122" s="13"/>
      <c r="G122" s="13" t="n">
        <v>1144</v>
      </c>
      <c r="H122" s="13" t="n">
        <v>1480</v>
      </c>
      <c r="I122" s="13" t="n">
        <v>0</v>
      </c>
      <c r="J122" s="13" t="s">
        <v>428</v>
      </c>
      <c r="K122" s="15" t="s">
        <v>34</v>
      </c>
      <c r="L122" s="13" t="s">
        <v>111</v>
      </c>
      <c r="M122" s="16" t="b">
        <f aca="false">FALSE()</f>
        <v>0</v>
      </c>
      <c r="N122" s="13" t="s">
        <v>206</v>
      </c>
      <c r="O122" s="13" t="s">
        <v>128</v>
      </c>
      <c r="P122" s="13" t="s">
        <v>368</v>
      </c>
      <c r="Q122" s="13" t="s">
        <v>221</v>
      </c>
      <c r="R122" s="13" t="s">
        <v>222</v>
      </c>
    </row>
    <row r="123" customFormat="false" ht="15" hidden="false" customHeight="false" outlineLevel="0" collapsed="false">
      <c r="A123" s="13" t="s">
        <v>424</v>
      </c>
      <c r="B123" s="13" t="s">
        <v>425</v>
      </c>
      <c r="C123" s="13" t="s">
        <v>429</v>
      </c>
      <c r="D123" s="13" t="s">
        <v>224</v>
      </c>
      <c r="E123" s="13" t="s">
        <v>167</v>
      </c>
      <c r="F123" s="13"/>
      <c r="G123" s="13" t="n">
        <v>1</v>
      </c>
      <c r="H123" s="13" t="n">
        <v>1.3594</v>
      </c>
      <c r="I123" s="13" t="n">
        <v>0.0005</v>
      </c>
      <c r="J123" s="13" t="s">
        <v>290</v>
      </c>
      <c r="K123" s="15" t="s">
        <v>34</v>
      </c>
      <c r="L123" s="13" t="s">
        <v>111</v>
      </c>
      <c r="M123" s="16" t="b">
        <f aca="false">FALSE()</f>
        <v>0</v>
      </c>
      <c r="N123" s="13" t="s">
        <v>206</v>
      </c>
      <c r="O123" s="13" t="s">
        <v>226</v>
      </c>
      <c r="P123" s="13" t="s">
        <v>227</v>
      </c>
      <c r="Q123" s="13" t="s">
        <v>228</v>
      </c>
      <c r="R123" s="13" t="s">
        <v>229</v>
      </c>
    </row>
    <row r="124" customFormat="false" ht="23.85" hidden="false" customHeight="false" outlineLevel="0" collapsed="false">
      <c r="A124" s="13" t="s">
        <v>424</v>
      </c>
      <c r="B124" s="13" t="s">
        <v>425</v>
      </c>
      <c r="C124" s="13" t="s">
        <v>430</v>
      </c>
      <c r="D124" s="13" t="s">
        <v>204</v>
      </c>
      <c r="E124" s="13" t="s">
        <v>167</v>
      </c>
      <c r="F124" s="13"/>
      <c r="G124" s="13" t="n">
        <v>3.5</v>
      </c>
      <c r="H124" s="13" t="n">
        <v>5</v>
      </c>
      <c r="I124" s="13" t="n">
        <v>0.001</v>
      </c>
      <c r="J124" s="13" t="s">
        <v>205</v>
      </c>
      <c r="K124" s="15" t="s">
        <v>34</v>
      </c>
      <c r="L124" s="13" t="s">
        <v>111</v>
      </c>
      <c r="M124" s="16" t="b">
        <f aca="false">FALSE()</f>
        <v>0</v>
      </c>
      <c r="N124" s="13" t="s">
        <v>206</v>
      </c>
      <c r="O124" s="13" t="s">
        <v>128</v>
      </c>
      <c r="P124" s="13" t="s">
        <v>207</v>
      </c>
      <c r="Q124" s="13" t="s">
        <v>208</v>
      </c>
      <c r="R124" s="13" t="s">
        <v>63</v>
      </c>
    </row>
    <row r="125" customFormat="false" ht="15" hidden="false" customHeight="false" outlineLevel="0" collapsed="false">
      <c r="A125" s="13" t="s">
        <v>431</v>
      </c>
      <c r="B125" s="13" t="s">
        <v>432</v>
      </c>
      <c r="C125" s="13" t="s">
        <v>433</v>
      </c>
      <c r="D125" s="13" t="s">
        <v>152</v>
      </c>
      <c r="E125" s="13" t="s">
        <v>153</v>
      </c>
      <c r="F125" s="13"/>
      <c r="G125" s="13" t="n">
        <v>13</v>
      </c>
      <c r="H125" s="13" t="n">
        <v>16</v>
      </c>
      <c r="I125" s="13" t="n">
        <v>0</v>
      </c>
      <c r="J125" s="13" t="s">
        <v>434</v>
      </c>
      <c r="K125" s="15" t="s">
        <v>34</v>
      </c>
      <c r="L125" s="13" t="s">
        <v>111</v>
      </c>
      <c r="M125" s="16" t="b">
        <f aca="false">FALSE()</f>
        <v>0</v>
      </c>
      <c r="N125" s="13" t="s">
        <v>206</v>
      </c>
      <c r="O125" s="13" t="s">
        <v>128</v>
      </c>
      <c r="P125" s="13" t="s">
        <v>216</v>
      </c>
      <c r="Q125" s="13" t="s">
        <v>217</v>
      </c>
      <c r="R125" s="13" t="s">
        <v>63</v>
      </c>
    </row>
    <row r="126" customFormat="false" ht="23.85" hidden="false" customHeight="false" outlineLevel="0" collapsed="false">
      <c r="A126" s="13" t="s">
        <v>431</v>
      </c>
      <c r="B126" s="13" t="s">
        <v>432</v>
      </c>
      <c r="C126" s="13" t="s">
        <v>435</v>
      </c>
      <c r="D126" s="13" t="s">
        <v>175</v>
      </c>
      <c r="E126" s="13" t="s">
        <v>153</v>
      </c>
      <c r="F126" s="13"/>
      <c r="G126" s="13" t="n">
        <v>1300</v>
      </c>
      <c r="H126" s="13" t="n">
        <v>1650</v>
      </c>
      <c r="I126" s="13" t="n">
        <v>0</v>
      </c>
      <c r="J126" s="13" t="s">
        <v>436</v>
      </c>
      <c r="K126" s="15" t="s">
        <v>34</v>
      </c>
      <c r="L126" s="13" t="s">
        <v>111</v>
      </c>
      <c r="M126" s="16" t="b">
        <f aca="false">FALSE()</f>
        <v>0</v>
      </c>
      <c r="N126" s="13" t="s">
        <v>206</v>
      </c>
      <c r="O126" s="13" t="s">
        <v>128</v>
      </c>
      <c r="P126" s="13" t="s">
        <v>368</v>
      </c>
      <c r="Q126" s="13" t="s">
        <v>221</v>
      </c>
      <c r="R126" s="13" t="s">
        <v>222</v>
      </c>
    </row>
    <row r="127" customFormat="false" ht="15" hidden="false" customHeight="false" outlineLevel="0" collapsed="false">
      <c r="A127" s="13" t="s">
        <v>431</v>
      </c>
      <c r="B127" s="13" t="s">
        <v>432</v>
      </c>
      <c r="C127" s="13" t="s">
        <v>437</v>
      </c>
      <c r="D127" s="13" t="s">
        <v>224</v>
      </c>
      <c r="E127" s="13" t="s">
        <v>167</v>
      </c>
      <c r="F127" s="13"/>
      <c r="G127" s="13" t="n">
        <v>1</v>
      </c>
      <c r="H127" s="13" t="n">
        <v>1.3538</v>
      </c>
      <c r="I127" s="13" t="n">
        <v>0.0005</v>
      </c>
      <c r="J127" s="13" t="s">
        <v>438</v>
      </c>
      <c r="K127" s="15" t="s">
        <v>34</v>
      </c>
      <c r="L127" s="13" t="s">
        <v>111</v>
      </c>
      <c r="M127" s="16" t="b">
        <f aca="false">FALSE()</f>
        <v>0</v>
      </c>
      <c r="N127" s="13" t="s">
        <v>206</v>
      </c>
      <c r="O127" s="13" t="s">
        <v>226</v>
      </c>
      <c r="P127" s="13" t="s">
        <v>227</v>
      </c>
      <c r="Q127" s="13" t="s">
        <v>228</v>
      </c>
      <c r="R127" s="13" t="s">
        <v>229</v>
      </c>
    </row>
    <row r="128" customFormat="false" ht="23.85" hidden="false" customHeight="false" outlineLevel="0" collapsed="false">
      <c r="A128" s="13" t="s">
        <v>431</v>
      </c>
      <c r="B128" s="13" t="s">
        <v>432</v>
      </c>
      <c r="C128" s="13" t="s">
        <v>439</v>
      </c>
      <c r="D128" s="13" t="s">
        <v>204</v>
      </c>
      <c r="E128" s="13" t="s">
        <v>167</v>
      </c>
      <c r="F128" s="13"/>
      <c r="G128" s="13" t="n">
        <v>3.5</v>
      </c>
      <c r="H128" s="13" t="n">
        <v>5</v>
      </c>
      <c r="I128" s="13" t="n">
        <v>0.001</v>
      </c>
      <c r="J128" s="13" t="s">
        <v>205</v>
      </c>
      <c r="K128" s="15" t="s">
        <v>34</v>
      </c>
      <c r="L128" s="13" t="s">
        <v>111</v>
      </c>
      <c r="M128" s="16" t="b">
        <f aca="false">FALSE()</f>
        <v>0</v>
      </c>
      <c r="N128" s="13" t="s">
        <v>206</v>
      </c>
      <c r="O128" s="13" t="s">
        <v>128</v>
      </c>
      <c r="P128" s="13" t="s">
        <v>207</v>
      </c>
      <c r="Q128" s="13" t="s">
        <v>208</v>
      </c>
      <c r="R128" s="13" t="s">
        <v>63</v>
      </c>
    </row>
    <row r="129" customFormat="false" ht="15" hidden="false" customHeight="false" outlineLevel="0" collapsed="false">
      <c r="A129" s="13" t="s">
        <v>440</v>
      </c>
      <c r="B129" s="13" t="s">
        <v>441</v>
      </c>
      <c r="C129" s="13" t="s">
        <v>442</v>
      </c>
      <c r="D129" s="13" t="s">
        <v>152</v>
      </c>
      <c r="E129" s="13" t="s">
        <v>153</v>
      </c>
      <c r="F129" s="13"/>
      <c r="G129" s="13" t="n">
        <v>13</v>
      </c>
      <c r="H129" s="13" t="n">
        <v>16</v>
      </c>
      <c r="I129" s="13" t="n">
        <v>0</v>
      </c>
      <c r="J129" s="13" t="s">
        <v>434</v>
      </c>
      <c r="K129" s="15" t="s">
        <v>34</v>
      </c>
      <c r="L129" s="13" t="s">
        <v>111</v>
      </c>
      <c r="M129" s="16" t="b">
        <f aca="false">FALSE()</f>
        <v>0</v>
      </c>
      <c r="N129" s="13" t="s">
        <v>206</v>
      </c>
      <c r="O129" s="13" t="s">
        <v>128</v>
      </c>
      <c r="P129" s="13" t="s">
        <v>216</v>
      </c>
      <c r="Q129" s="13" t="s">
        <v>217</v>
      </c>
      <c r="R129" s="13" t="s">
        <v>63</v>
      </c>
    </row>
    <row r="130" customFormat="false" ht="23.85" hidden="false" customHeight="false" outlineLevel="0" collapsed="false">
      <c r="A130" s="13" t="s">
        <v>440</v>
      </c>
      <c r="B130" s="13" t="s">
        <v>441</v>
      </c>
      <c r="C130" s="13" t="s">
        <v>443</v>
      </c>
      <c r="D130" s="13" t="s">
        <v>175</v>
      </c>
      <c r="E130" s="13" t="s">
        <v>153</v>
      </c>
      <c r="F130" s="13"/>
      <c r="G130" s="13" t="n">
        <v>1056</v>
      </c>
      <c r="H130" s="13" t="n">
        <v>1340</v>
      </c>
      <c r="I130" s="13" t="n">
        <v>0</v>
      </c>
      <c r="J130" s="13" t="s">
        <v>444</v>
      </c>
      <c r="K130" s="15" t="s">
        <v>34</v>
      </c>
      <c r="L130" s="13" t="s">
        <v>111</v>
      </c>
      <c r="M130" s="16" t="b">
        <f aca="false">FALSE()</f>
        <v>0</v>
      </c>
      <c r="N130" s="13" t="s">
        <v>206</v>
      </c>
      <c r="O130" s="13" t="s">
        <v>128</v>
      </c>
      <c r="P130" s="13" t="s">
        <v>368</v>
      </c>
      <c r="Q130" s="13" t="s">
        <v>221</v>
      </c>
      <c r="R130" s="13" t="s">
        <v>222</v>
      </c>
    </row>
    <row r="131" customFormat="false" ht="15" hidden="false" customHeight="false" outlineLevel="0" collapsed="false">
      <c r="A131" s="13" t="s">
        <v>440</v>
      </c>
      <c r="B131" s="13" t="s">
        <v>441</v>
      </c>
      <c r="C131" s="13" t="s">
        <v>445</v>
      </c>
      <c r="D131" s="13" t="s">
        <v>224</v>
      </c>
      <c r="E131" s="13" t="s">
        <v>167</v>
      </c>
      <c r="F131" s="13"/>
      <c r="G131" s="13" t="n">
        <v>1</v>
      </c>
      <c r="H131" s="13" t="n">
        <v>1.3538</v>
      </c>
      <c r="I131" s="13" t="n">
        <v>0.0005</v>
      </c>
      <c r="J131" s="13" t="s">
        <v>438</v>
      </c>
      <c r="K131" s="15" t="s">
        <v>34</v>
      </c>
      <c r="L131" s="13" t="s">
        <v>111</v>
      </c>
      <c r="M131" s="16" t="b">
        <f aca="false">FALSE()</f>
        <v>0</v>
      </c>
      <c r="N131" s="13" t="s">
        <v>206</v>
      </c>
      <c r="O131" s="13" t="s">
        <v>226</v>
      </c>
      <c r="P131" s="13" t="s">
        <v>227</v>
      </c>
      <c r="Q131" s="13" t="s">
        <v>228</v>
      </c>
      <c r="R131" s="13" t="s">
        <v>229</v>
      </c>
    </row>
    <row r="132" customFormat="false" ht="23.85" hidden="false" customHeight="false" outlineLevel="0" collapsed="false">
      <c r="A132" s="13" t="s">
        <v>440</v>
      </c>
      <c r="B132" s="13" t="s">
        <v>441</v>
      </c>
      <c r="C132" s="13" t="s">
        <v>446</v>
      </c>
      <c r="D132" s="13" t="s">
        <v>204</v>
      </c>
      <c r="E132" s="13" t="s">
        <v>167</v>
      </c>
      <c r="F132" s="13"/>
      <c r="G132" s="13" t="n">
        <v>3.5</v>
      </c>
      <c r="H132" s="13" t="n">
        <v>5</v>
      </c>
      <c r="I132" s="13" t="n">
        <v>0.001</v>
      </c>
      <c r="J132" s="13" t="s">
        <v>205</v>
      </c>
      <c r="K132" s="15" t="s">
        <v>34</v>
      </c>
      <c r="L132" s="13" t="s">
        <v>111</v>
      </c>
      <c r="M132" s="16" t="b">
        <f aca="false">FALSE()</f>
        <v>0</v>
      </c>
      <c r="N132" s="13" t="s">
        <v>206</v>
      </c>
      <c r="O132" s="13" t="s">
        <v>128</v>
      </c>
      <c r="P132" s="13" t="s">
        <v>207</v>
      </c>
      <c r="Q132" s="13" t="s">
        <v>208</v>
      </c>
      <c r="R132" s="13" t="s">
        <v>63</v>
      </c>
    </row>
    <row r="133" customFormat="false" ht="15" hidden="false" customHeight="false" outlineLevel="0" collapsed="false">
      <c r="A133" s="13" t="s">
        <v>447</v>
      </c>
      <c r="B133" s="13" t="s">
        <v>448</v>
      </c>
      <c r="C133" s="13" t="s">
        <v>449</v>
      </c>
      <c r="D133" s="13" t="s">
        <v>152</v>
      </c>
      <c r="E133" s="13" t="s">
        <v>153</v>
      </c>
      <c r="F133" s="13"/>
      <c r="G133" s="13" t="n">
        <v>13</v>
      </c>
      <c r="H133" s="13" t="n">
        <v>16</v>
      </c>
      <c r="I133" s="13" t="n">
        <v>0</v>
      </c>
      <c r="J133" s="13" t="s">
        <v>434</v>
      </c>
      <c r="K133" s="15" t="s">
        <v>34</v>
      </c>
      <c r="L133" s="13" t="s">
        <v>111</v>
      </c>
      <c r="M133" s="16" t="b">
        <f aca="false">FALSE()</f>
        <v>0</v>
      </c>
      <c r="N133" s="13" t="s">
        <v>206</v>
      </c>
      <c r="O133" s="13" t="s">
        <v>128</v>
      </c>
      <c r="P133" s="13" t="s">
        <v>216</v>
      </c>
      <c r="Q133" s="13" t="s">
        <v>217</v>
      </c>
      <c r="R133" s="13" t="s">
        <v>63</v>
      </c>
    </row>
    <row r="134" customFormat="false" ht="23.85" hidden="false" customHeight="false" outlineLevel="0" collapsed="false">
      <c r="A134" s="13" t="s">
        <v>447</v>
      </c>
      <c r="B134" s="13" t="s">
        <v>448</v>
      </c>
      <c r="C134" s="13" t="s">
        <v>450</v>
      </c>
      <c r="D134" s="13" t="s">
        <v>175</v>
      </c>
      <c r="E134" s="13" t="s">
        <v>153</v>
      </c>
      <c r="F134" s="13"/>
      <c r="G134" s="13" t="n">
        <v>1390</v>
      </c>
      <c r="H134" s="13" t="n">
        <v>2400</v>
      </c>
      <c r="I134" s="13" t="n">
        <v>0</v>
      </c>
      <c r="J134" s="13" t="s">
        <v>451</v>
      </c>
      <c r="K134" s="15" t="s">
        <v>34</v>
      </c>
      <c r="L134" s="13" t="s">
        <v>111</v>
      </c>
      <c r="M134" s="16" t="b">
        <f aca="false">FALSE()</f>
        <v>0</v>
      </c>
      <c r="N134" s="13" t="s">
        <v>206</v>
      </c>
      <c r="O134" s="13" t="s">
        <v>97</v>
      </c>
      <c r="P134" s="13" t="s">
        <v>368</v>
      </c>
      <c r="Q134" s="13" t="s">
        <v>221</v>
      </c>
      <c r="R134" s="13" t="s">
        <v>222</v>
      </c>
    </row>
    <row r="135" customFormat="false" ht="15" hidden="false" customHeight="false" outlineLevel="0" collapsed="false">
      <c r="A135" s="13" t="s">
        <v>447</v>
      </c>
      <c r="B135" s="13" t="s">
        <v>448</v>
      </c>
      <c r="C135" s="13" t="s">
        <v>452</v>
      </c>
      <c r="D135" s="13" t="s">
        <v>224</v>
      </c>
      <c r="E135" s="13" t="s">
        <v>167</v>
      </c>
      <c r="F135" s="13"/>
      <c r="G135" s="13" t="n">
        <v>1</v>
      </c>
      <c r="H135" s="13" t="n">
        <v>1.2308</v>
      </c>
      <c r="I135" s="13" t="n">
        <v>0.0005</v>
      </c>
      <c r="J135" s="13" t="s">
        <v>453</v>
      </c>
      <c r="K135" s="15" t="s">
        <v>34</v>
      </c>
      <c r="L135" s="13" t="s">
        <v>111</v>
      </c>
      <c r="M135" s="16" t="b">
        <f aca="false">FALSE()</f>
        <v>0</v>
      </c>
      <c r="N135" s="13" t="s">
        <v>206</v>
      </c>
      <c r="O135" s="13" t="s">
        <v>226</v>
      </c>
      <c r="P135" s="13" t="s">
        <v>227</v>
      </c>
      <c r="Q135" s="13" t="s">
        <v>258</v>
      </c>
      <c r="R135" s="13" t="s">
        <v>229</v>
      </c>
    </row>
    <row r="136" customFormat="false" ht="15" hidden="false" customHeight="false" outlineLevel="0" collapsed="false">
      <c r="A136" s="13" t="s">
        <v>454</v>
      </c>
      <c r="B136" s="13" t="s">
        <v>448</v>
      </c>
      <c r="C136" s="13" t="s">
        <v>452</v>
      </c>
      <c r="D136" s="13" t="s">
        <v>224</v>
      </c>
      <c r="E136" s="13" t="s">
        <v>167</v>
      </c>
      <c r="F136" s="13"/>
      <c r="G136" s="13" t="n">
        <v>1.2308</v>
      </c>
      <c r="H136" s="13" t="n">
        <v>1.3538</v>
      </c>
      <c r="I136" s="13" t="n">
        <v>0.0005</v>
      </c>
      <c r="J136" s="13" t="s">
        <v>438</v>
      </c>
      <c r="K136" s="17" t="s">
        <v>36</v>
      </c>
      <c r="L136" s="13" t="s">
        <v>111</v>
      </c>
      <c r="M136" s="16" t="b">
        <f aca="false">FALSE()</f>
        <v>0</v>
      </c>
      <c r="N136" s="13" t="s">
        <v>447</v>
      </c>
      <c r="O136" s="13" t="s">
        <v>74</v>
      </c>
      <c r="P136" s="13" t="s">
        <v>128</v>
      </c>
      <c r="Q136" s="13" t="s">
        <v>261</v>
      </c>
      <c r="R136" s="13" t="s">
        <v>262</v>
      </c>
    </row>
    <row r="137" customFormat="false" ht="23.85" hidden="false" customHeight="false" outlineLevel="0" collapsed="false">
      <c r="A137" s="13" t="s">
        <v>447</v>
      </c>
      <c r="B137" s="13" t="s">
        <v>448</v>
      </c>
      <c r="C137" s="13" t="s">
        <v>455</v>
      </c>
      <c r="D137" s="13" t="s">
        <v>204</v>
      </c>
      <c r="E137" s="13" t="s">
        <v>167</v>
      </c>
      <c r="F137" s="13"/>
      <c r="G137" s="13" t="n">
        <v>3.5</v>
      </c>
      <c r="H137" s="13" t="n">
        <v>5</v>
      </c>
      <c r="I137" s="13" t="n">
        <v>0.001</v>
      </c>
      <c r="J137" s="13" t="s">
        <v>205</v>
      </c>
      <c r="K137" s="15" t="s">
        <v>34</v>
      </c>
      <c r="L137" s="13" t="s">
        <v>111</v>
      </c>
      <c r="M137" s="16" t="b">
        <f aca="false">FALSE()</f>
        <v>0</v>
      </c>
      <c r="N137" s="13" t="s">
        <v>206</v>
      </c>
      <c r="O137" s="13" t="s">
        <v>128</v>
      </c>
      <c r="P137" s="13" t="s">
        <v>207</v>
      </c>
      <c r="Q137" s="13" t="s">
        <v>208</v>
      </c>
      <c r="R137" s="13" t="s">
        <v>63</v>
      </c>
    </row>
    <row r="138" customFormat="false" ht="23.85" hidden="false" customHeight="false" outlineLevel="0" collapsed="false">
      <c r="A138" s="13" t="s">
        <v>456</v>
      </c>
      <c r="B138" s="13" t="s">
        <v>457</v>
      </c>
      <c r="C138" s="13" t="s">
        <v>458</v>
      </c>
      <c r="D138" s="13" t="s">
        <v>152</v>
      </c>
      <c r="E138" s="13" t="s">
        <v>153</v>
      </c>
      <c r="F138" s="13"/>
      <c r="G138" s="13" t="n">
        <v>14</v>
      </c>
      <c r="H138" s="13" t="n">
        <v>18</v>
      </c>
      <c r="I138" s="13" t="n">
        <v>0</v>
      </c>
      <c r="J138" s="13" t="s">
        <v>459</v>
      </c>
      <c r="K138" s="15" t="s">
        <v>34</v>
      </c>
      <c r="L138" s="13" t="s">
        <v>111</v>
      </c>
      <c r="M138" s="16" t="b">
        <f aca="false">FALSE()</f>
        <v>0</v>
      </c>
      <c r="N138" s="13" t="s">
        <v>206</v>
      </c>
      <c r="O138" s="13" t="s">
        <v>128</v>
      </c>
      <c r="P138" s="13" t="s">
        <v>216</v>
      </c>
      <c r="Q138" s="13" t="s">
        <v>217</v>
      </c>
      <c r="R138" s="13" t="s">
        <v>63</v>
      </c>
    </row>
    <row r="139" customFormat="false" ht="23.85" hidden="false" customHeight="false" outlineLevel="0" collapsed="false">
      <c r="A139" s="13" t="s">
        <v>456</v>
      </c>
      <c r="B139" s="13" t="s">
        <v>457</v>
      </c>
      <c r="C139" s="13" t="s">
        <v>460</v>
      </c>
      <c r="D139" s="13" t="s">
        <v>175</v>
      </c>
      <c r="E139" s="13" t="s">
        <v>153</v>
      </c>
      <c r="F139" s="13"/>
      <c r="G139" s="13" t="n">
        <v>3500</v>
      </c>
      <c r="H139" s="13" t="n">
        <v>4670</v>
      </c>
      <c r="I139" s="13" t="n">
        <v>0</v>
      </c>
      <c r="J139" s="13" t="s">
        <v>461</v>
      </c>
      <c r="K139" s="15" t="s">
        <v>34</v>
      </c>
      <c r="L139" s="13" t="s">
        <v>111</v>
      </c>
      <c r="M139" s="16" t="b">
        <f aca="false">FALSE()</f>
        <v>0</v>
      </c>
      <c r="N139" s="13" t="s">
        <v>206</v>
      </c>
      <c r="O139" s="13" t="s">
        <v>128</v>
      </c>
      <c r="P139" s="13" t="s">
        <v>368</v>
      </c>
      <c r="Q139" s="13" t="s">
        <v>221</v>
      </c>
      <c r="R139" s="13" t="s">
        <v>222</v>
      </c>
    </row>
    <row r="140" customFormat="false" ht="23.85" hidden="false" customHeight="false" outlineLevel="0" collapsed="false">
      <c r="A140" s="13" t="s">
        <v>456</v>
      </c>
      <c r="B140" s="13" t="s">
        <v>457</v>
      </c>
      <c r="C140" s="13" t="s">
        <v>462</v>
      </c>
      <c r="D140" s="13" t="s">
        <v>224</v>
      </c>
      <c r="E140" s="13" t="s">
        <v>167</v>
      </c>
      <c r="F140" s="13"/>
      <c r="G140" s="13" t="n">
        <v>1</v>
      </c>
      <c r="H140" s="13" t="n">
        <v>1.4464</v>
      </c>
      <c r="I140" s="13" t="n">
        <v>0.0005</v>
      </c>
      <c r="J140" s="13" t="s">
        <v>463</v>
      </c>
      <c r="K140" s="15" t="s">
        <v>34</v>
      </c>
      <c r="L140" s="13" t="s">
        <v>111</v>
      </c>
      <c r="M140" s="16" t="b">
        <f aca="false">FALSE()</f>
        <v>0</v>
      </c>
      <c r="N140" s="13" t="s">
        <v>206</v>
      </c>
      <c r="O140" s="13" t="s">
        <v>226</v>
      </c>
      <c r="P140" s="13" t="s">
        <v>227</v>
      </c>
      <c r="Q140" s="13" t="s">
        <v>228</v>
      </c>
      <c r="R140" s="13" t="s">
        <v>229</v>
      </c>
    </row>
    <row r="141" customFormat="false" ht="23.85" hidden="false" customHeight="false" outlineLevel="0" collapsed="false">
      <c r="A141" s="13" t="s">
        <v>456</v>
      </c>
      <c r="B141" s="13" t="s">
        <v>457</v>
      </c>
      <c r="C141" s="13" t="s">
        <v>464</v>
      </c>
      <c r="D141" s="13" t="s">
        <v>204</v>
      </c>
      <c r="E141" s="13" t="s">
        <v>167</v>
      </c>
      <c r="F141" s="13"/>
      <c r="G141" s="13" t="n">
        <v>3.5</v>
      </c>
      <c r="H141" s="13" t="n">
        <v>5</v>
      </c>
      <c r="I141" s="13" t="n">
        <v>0.001</v>
      </c>
      <c r="J141" s="13" t="s">
        <v>205</v>
      </c>
      <c r="K141" s="15" t="s">
        <v>34</v>
      </c>
      <c r="L141" s="13" t="s">
        <v>111</v>
      </c>
      <c r="M141" s="16" t="b">
        <f aca="false">FALSE()</f>
        <v>0</v>
      </c>
      <c r="N141" s="13" t="s">
        <v>206</v>
      </c>
      <c r="O141" s="13" t="s">
        <v>128</v>
      </c>
      <c r="P141" s="13" t="s">
        <v>207</v>
      </c>
      <c r="Q141" s="13" t="s">
        <v>208</v>
      </c>
      <c r="R141" s="13" t="s">
        <v>63</v>
      </c>
    </row>
    <row r="142" customFormat="false" ht="15" hidden="false" customHeight="false" outlineLevel="0" collapsed="false">
      <c r="A142" s="13" t="s">
        <v>465</v>
      </c>
      <c r="B142" s="13" t="s">
        <v>466</v>
      </c>
      <c r="C142" s="13" t="s">
        <v>467</v>
      </c>
      <c r="D142" s="13" t="s">
        <v>152</v>
      </c>
      <c r="E142" s="13" t="s">
        <v>153</v>
      </c>
      <c r="F142" s="13"/>
      <c r="G142" s="13" t="n">
        <v>15</v>
      </c>
      <c r="H142" s="13" t="n">
        <v>20</v>
      </c>
      <c r="I142" s="13" t="n">
        <v>0</v>
      </c>
      <c r="J142" s="13" t="s">
        <v>468</v>
      </c>
      <c r="K142" s="15" t="s">
        <v>34</v>
      </c>
      <c r="L142" s="13" t="s">
        <v>111</v>
      </c>
      <c r="M142" s="16" t="b">
        <f aca="false">FALSE()</f>
        <v>0</v>
      </c>
      <c r="N142" s="13" t="s">
        <v>206</v>
      </c>
      <c r="O142" s="13" t="s">
        <v>128</v>
      </c>
      <c r="P142" s="13" t="s">
        <v>216</v>
      </c>
      <c r="Q142" s="13" t="s">
        <v>217</v>
      </c>
      <c r="R142" s="13" t="s">
        <v>63</v>
      </c>
    </row>
    <row r="143" customFormat="false" ht="23.85" hidden="false" customHeight="false" outlineLevel="0" collapsed="false">
      <c r="A143" s="13" t="s">
        <v>465</v>
      </c>
      <c r="B143" s="13" t="s">
        <v>466</v>
      </c>
      <c r="C143" s="13" t="s">
        <v>469</v>
      </c>
      <c r="D143" s="13" t="s">
        <v>175</v>
      </c>
      <c r="E143" s="13" t="s">
        <v>153</v>
      </c>
      <c r="F143" s="13"/>
      <c r="G143" s="13" t="n">
        <v>2600</v>
      </c>
      <c r="H143" s="13" t="n">
        <v>3620</v>
      </c>
      <c r="I143" s="13" t="n">
        <v>0</v>
      </c>
      <c r="J143" s="13" t="s">
        <v>470</v>
      </c>
      <c r="K143" s="15" t="s">
        <v>34</v>
      </c>
      <c r="L143" s="13" t="s">
        <v>111</v>
      </c>
      <c r="M143" s="16" t="b">
        <f aca="false">FALSE()</f>
        <v>0</v>
      </c>
      <c r="N143" s="13" t="s">
        <v>206</v>
      </c>
      <c r="O143" s="13" t="s">
        <v>128</v>
      </c>
      <c r="P143" s="13" t="s">
        <v>368</v>
      </c>
      <c r="Q143" s="13" t="s">
        <v>221</v>
      </c>
      <c r="R143" s="13" t="s">
        <v>222</v>
      </c>
    </row>
    <row r="144" customFormat="false" ht="15" hidden="false" customHeight="false" outlineLevel="0" collapsed="false">
      <c r="A144" s="13" t="s">
        <v>465</v>
      </c>
      <c r="B144" s="13" t="s">
        <v>466</v>
      </c>
      <c r="C144" s="13" t="s">
        <v>471</v>
      </c>
      <c r="D144" s="13" t="s">
        <v>224</v>
      </c>
      <c r="E144" s="13" t="s">
        <v>167</v>
      </c>
      <c r="F144" s="13"/>
      <c r="G144" s="13" t="n">
        <v>1</v>
      </c>
      <c r="H144" s="13" t="n">
        <v>1.5333</v>
      </c>
      <c r="I144" s="13" t="n">
        <v>0.0005</v>
      </c>
      <c r="J144" s="13" t="s">
        <v>472</v>
      </c>
      <c r="K144" s="15" t="s">
        <v>34</v>
      </c>
      <c r="L144" s="13" t="s">
        <v>111</v>
      </c>
      <c r="M144" s="16" t="b">
        <f aca="false">FALSE()</f>
        <v>0</v>
      </c>
      <c r="N144" s="13" t="s">
        <v>206</v>
      </c>
      <c r="O144" s="13" t="s">
        <v>226</v>
      </c>
      <c r="P144" s="13" t="s">
        <v>227</v>
      </c>
      <c r="Q144" s="13" t="s">
        <v>228</v>
      </c>
      <c r="R144" s="13" t="s">
        <v>229</v>
      </c>
    </row>
    <row r="145" customFormat="false" ht="23.85" hidden="false" customHeight="false" outlineLevel="0" collapsed="false">
      <c r="A145" s="13" t="s">
        <v>465</v>
      </c>
      <c r="B145" s="13" t="s">
        <v>466</v>
      </c>
      <c r="C145" s="13" t="s">
        <v>473</v>
      </c>
      <c r="D145" s="13" t="s">
        <v>204</v>
      </c>
      <c r="E145" s="13" t="s">
        <v>167</v>
      </c>
      <c r="F145" s="13"/>
      <c r="G145" s="13" t="n">
        <v>3.5</v>
      </c>
      <c r="H145" s="13" t="n">
        <v>5</v>
      </c>
      <c r="I145" s="13" t="n">
        <v>0.001</v>
      </c>
      <c r="J145" s="13" t="s">
        <v>205</v>
      </c>
      <c r="K145" s="15" t="s">
        <v>34</v>
      </c>
      <c r="L145" s="13" t="s">
        <v>111</v>
      </c>
      <c r="M145" s="16" t="b">
        <f aca="false">FALSE()</f>
        <v>0</v>
      </c>
      <c r="N145" s="13" t="s">
        <v>206</v>
      </c>
      <c r="O145" s="13" t="s">
        <v>128</v>
      </c>
      <c r="P145" s="13" t="s">
        <v>207</v>
      </c>
      <c r="Q145" s="13" t="s">
        <v>208</v>
      </c>
      <c r="R145" s="13" t="s">
        <v>63</v>
      </c>
    </row>
    <row r="146" customFormat="false" ht="15" hidden="false" customHeight="false" outlineLevel="0" collapsed="false">
      <c r="A146" s="13" t="s">
        <v>474</v>
      </c>
      <c r="B146" s="13" t="s">
        <v>475</v>
      </c>
      <c r="C146" s="13" t="s">
        <v>476</v>
      </c>
      <c r="D146" s="13" t="s">
        <v>152</v>
      </c>
      <c r="E146" s="13" t="s">
        <v>153</v>
      </c>
      <c r="F146" s="13"/>
      <c r="G146" s="13" t="n">
        <v>16</v>
      </c>
      <c r="H146" s="13" t="n">
        <v>21</v>
      </c>
      <c r="I146" s="13" t="n">
        <v>0</v>
      </c>
      <c r="J146" s="13" t="s">
        <v>477</v>
      </c>
      <c r="K146" s="15" t="s">
        <v>34</v>
      </c>
      <c r="L146" s="13" t="s">
        <v>111</v>
      </c>
      <c r="M146" s="16" t="b">
        <f aca="false">FALSE()</f>
        <v>0</v>
      </c>
      <c r="N146" s="13" t="s">
        <v>206</v>
      </c>
      <c r="O146" s="13" t="s">
        <v>128</v>
      </c>
      <c r="P146" s="13" t="s">
        <v>216</v>
      </c>
      <c r="Q146" s="13" t="s">
        <v>217</v>
      </c>
      <c r="R146" s="13" t="s">
        <v>63</v>
      </c>
    </row>
    <row r="147" customFormat="false" ht="23.85" hidden="false" customHeight="false" outlineLevel="0" collapsed="false">
      <c r="A147" s="13" t="s">
        <v>474</v>
      </c>
      <c r="B147" s="13" t="s">
        <v>475</v>
      </c>
      <c r="C147" s="13" t="s">
        <v>478</v>
      </c>
      <c r="D147" s="13" t="s">
        <v>175</v>
      </c>
      <c r="E147" s="13" t="s">
        <v>153</v>
      </c>
      <c r="F147" s="13"/>
      <c r="G147" s="13" t="n">
        <v>2200</v>
      </c>
      <c r="H147" s="13" t="n">
        <v>3010</v>
      </c>
      <c r="I147" s="13" t="n">
        <v>0</v>
      </c>
      <c r="J147" s="13" t="s">
        <v>479</v>
      </c>
      <c r="K147" s="15" t="s">
        <v>34</v>
      </c>
      <c r="L147" s="13" t="s">
        <v>111</v>
      </c>
      <c r="M147" s="16" t="b">
        <f aca="false">FALSE()</f>
        <v>0</v>
      </c>
      <c r="N147" s="13" t="s">
        <v>206</v>
      </c>
      <c r="O147" s="13" t="s">
        <v>128</v>
      </c>
      <c r="P147" s="13" t="s">
        <v>368</v>
      </c>
      <c r="Q147" s="13" t="s">
        <v>221</v>
      </c>
      <c r="R147" s="13" t="s">
        <v>222</v>
      </c>
    </row>
    <row r="148" customFormat="false" ht="15" hidden="false" customHeight="false" outlineLevel="0" collapsed="false">
      <c r="A148" s="13" t="s">
        <v>474</v>
      </c>
      <c r="B148" s="13" t="s">
        <v>475</v>
      </c>
      <c r="C148" s="13" t="s">
        <v>480</v>
      </c>
      <c r="D148" s="13" t="s">
        <v>224</v>
      </c>
      <c r="E148" s="13" t="s">
        <v>167</v>
      </c>
      <c r="F148" s="13"/>
      <c r="G148" s="13" t="n">
        <v>1</v>
      </c>
      <c r="H148" s="13" t="n">
        <v>1.3125</v>
      </c>
      <c r="I148" s="13" t="n">
        <v>0.0005</v>
      </c>
      <c r="J148" s="13" t="s">
        <v>481</v>
      </c>
      <c r="K148" s="15" t="s">
        <v>34</v>
      </c>
      <c r="L148" s="13" t="s">
        <v>111</v>
      </c>
      <c r="M148" s="16" t="b">
        <f aca="false">FALSE()</f>
        <v>0</v>
      </c>
      <c r="N148" s="13" t="s">
        <v>206</v>
      </c>
      <c r="O148" s="13" t="s">
        <v>226</v>
      </c>
      <c r="P148" s="13" t="s">
        <v>227</v>
      </c>
      <c r="Q148" s="13" t="s">
        <v>258</v>
      </c>
      <c r="R148" s="13" t="s">
        <v>229</v>
      </c>
    </row>
    <row r="149" customFormat="false" ht="15" hidden="false" customHeight="false" outlineLevel="0" collapsed="false">
      <c r="A149" s="13" t="s">
        <v>482</v>
      </c>
      <c r="B149" s="13" t="s">
        <v>475</v>
      </c>
      <c r="C149" s="13" t="s">
        <v>480</v>
      </c>
      <c r="D149" s="13" t="s">
        <v>224</v>
      </c>
      <c r="E149" s="13" t="s">
        <v>167</v>
      </c>
      <c r="F149" s="13"/>
      <c r="G149" s="13" t="n">
        <v>1.3125</v>
      </c>
      <c r="H149" s="13" t="n">
        <v>1.5094</v>
      </c>
      <c r="I149" s="13" t="n">
        <v>0.0005</v>
      </c>
      <c r="J149" s="13" t="s">
        <v>483</v>
      </c>
      <c r="K149" s="17" t="s">
        <v>36</v>
      </c>
      <c r="L149" s="13" t="s">
        <v>111</v>
      </c>
      <c r="M149" s="16" t="b">
        <f aca="false">FALSE()</f>
        <v>0</v>
      </c>
      <c r="N149" s="13" t="s">
        <v>474</v>
      </c>
      <c r="O149" s="13" t="s">
        <v>74</v>
      </c>
      <c r="P149" s="13" t="s">
        <v>128</v>
      </c>
      <c r="Q149" s="13" t="s">
        <v>261</v>
      </c>
      <c r="R149" s="13" t="s">
        <v>262</v>
      </c>
    </row>
    <row r="150" customFormat="false" ht="23.85" hidden="false" customHeight="false" outlineLevel="0" collapsed="false">
      <c r="A150" s="13" t="s">
        <v>474</v>
      </c>
      <c r="B150" s="13" t="s">
        <v>475</v>
      </c>
      <c r="C150" s="13" t="s">
        <v>484</v>
      </c>
      <c r="D150" s="13" t="s">
        <v>204</v>
      </c>
      <c r="E150" s="13" t="s">
        <v>167</v>
      </c>
      <c r="F150" s="13"/>
      <c r="G150" s="13" t="n">
        <v>3.5</v>
      </c>
      <c r="H150" s="13" t="n">
        <v>5</v>
      </c>
      <c r="I150" s="13" t="n">
        <v>0.001</v>
      </c>
      <c r="J150" s="13" t="s">
        <v>205</v>
      </c>
      <c r="K150" s="15" t="s">
        <v>34</v>
      </c>
      <c r="L150" s="13" t="s">
        <v>111</v>
      </c>
      <c r="M150" s="16" t="b">
        <f aca="false">FALSE()</f>
        <v>0</v>
      </c>
      <c r="N150" s="13" t="s">
        <v>206</v>
      </c>
      <c r="O150" s="13" t="s">
        <v>128</v>
      </c>
      <c r="P150" s="13" t="s">
        <v>207</v>
      </c>
      <c r="Q150" s="13" t="s">
        <v>208</v>
      </c>
      <c r="R150" s="13" t="s">
        <v>63</v>
      </c>
    </row>
    <row r="151" customFormat="false" ht="23.85" hidden="false" customHeight="false" outlineLevel="0" collapsed="false">
      <c r="A151" s="13" t="s">
        <v>485</v>
      </c>
      <c r="B151" s="13" t="s">
        <v>486</v>
      </c>
      <c r="C151" s="13" t="s">
        <v>487</v>
      </c>
      <c r="D151" s="13" t="s">
        <v>152</v>
      </c>
      <c r="E151" s="13" t="s">
        <v>153</v>
      </c>
      <c r="F151" s="13"/>
      <c r="G151" s="13" t="n">
        <v>17</v>
      </c>
      <c r="H151" s="13" t="n">
        <v>22</v>
      </c>
      <c r="I151" s="13" t="n">
        <v>0</v>
      </c>
      <c r="J151" s="13" t="s">
        <v>488</v>
      </c>
      <c r="K151" s="15" t="s">
        <v>34</v>
      </c>
      <c r="L151" s="13" t="s">
        <v>111</v>
      </c>
      <c r="M151" s="16" t="b">
        <f aca="false">FALSE()</f>
        <v>0</v>
      </c>
      <c r="N151" s="13" t="s">
        <v>206</v>
      </c>
      <c r="O151" s="13" t="s">
        <v>128</v>
      </c>
      <c r="P151" s="13" t="s">
        <v>216</v>
      </c>
      <c r="Q151" s="13" t="s">
        <v>217</v>
      </c>
      <c r="R151" s="13" t="s">
        <v>63</v>
      </c>
    </row>
    <row r="152" customFormat="false" ht="23.85" hidden="false" customHeight="false" outlineLevel="0" collapsed="false">
      <c r="A152" s="13" t="s">
        <v>485</v>
      </c>
      <c r="B152" s="13" t="s">
        <v>486</v>
      </c>
      <c r="C152" s="13" t="s">
        <v>489</v>
      </c>
      <c r="D152" s="13" t="s">
        <v>175</v>
      </c>
      <c r="E152" s="13" t="s">
        <v>153</v>
      </c>
      <c r="F152" s="13"/>
      <c r="G152" s="13" t="n">
        <v>1500</v>
      </c>
      <c r="H152" s="13" t="n">
        <v>2020</v>
      </c>
      <c r="I152" s="13" t="n">
        <v>0</v>
      </c>
      <c r="J152" s="13" t="s">
        <v>490</v>
      </c>
      <c r="K152" s="15" t="s">
        <v>34</v>
      </c>
      <c r="L152" s="13" t="s">
        <v>111</v>
      </c>
      <c r="M152" s="16" t="b">
        <f aca="false">FALSE()</f>
        <v>0</v>
      </c>
      <c r="N152" s="13" t="s">
        <v>206</v>
      </c>
      <c r="O152" s="13" t="s">
        <v>128</v>
      </c>
      <c r="P152" s="13" t="s">
        <v>368</v>
      </c>
      <c r="Q152" s="13" t="s">
        <v>221</v>
      </c>
      <c r="R152" s="13" t="s">
        <v>222</v>
      </c>
    </row>
    <row r="153" customFormat="false" ht="23.85" hidden="false" customHeight="false" outlineLevel="0" collapsed="false">
      <c r="A153" s="13" t="s">
        <v>485</v>
      </c>
      <c r="B153" s="13" t="s">
        <v>486</v>
      </c>
      <c r="C153" s="13" t="s">
        <v>491</v>
      </c>
      <c r="D153" s="13" t="s">
        <v>224</v>
      </c>
      <c r="E153" s="13" t="s">
        <v>167</v>
      </c>
      <c r="F153" s="13"/>
      <c r="G153" s="13" t="n">
        <v>1</v>
      </c>
      <c r="H153" s="13" t="n">
        <v>1.4882</v>
      </c>
      <c r="I153" s="13" t="n">
        <v>0.0005</v>
      </c>
      <c r="J153" s="13" t="s">
        <v>492</v>
      </c>
      <c r="K153" s="15" t="s">
        <v>34</v>
      </c>
      <c r="L153" s="13" t="s">
        <v>111</v>
      </c>
      <c r="M153" s="16" t="b">
        <f aca="false">FALSE()</f>
        <v>0</v>
      </c>
      <c r="N153" s="13" t="s">
        <v>206</v>
      </c>
      <c r="O153" s="13" t="s">
        <v>226</v>
      </c>
      <c r="P153" s="13" t="s">
        <v>227</v>
      </c>
      <c r="Q153" s="13" t="s">
        <v>228</v>
      </c>
      <c r="R153" s="13" t="s">
        <v>229</v>
      </c>
    </row>
    <row r="154" customFormat="false" ht="23.85" hidden="false" customHeight="false" outlineLevel="0" collapsed="false">
      <c r="A154" s="13" t="s">
        <v>485</v>
      </c>
      <c r="B154" s="13" t="s">
        <v>486</v>
      </c>
      <c r="C154" s="13" t="s">
        <v>493</v>
      </c>
      <c r="D154" s="13" t="s">
        <v>204</v>
      </c>
      <c r="E154" s="13" t="s">
        <v>167</v>
      </c>
      <c r="F154" s="13"/>
      <c r="G154" s="13" t="n">
        <v>3.5</v>
      </c>
      <c r="H154" s="13" t="n">
        <v>5</v>
      </c>
      <c r="I154" s="13" t="n">
        <v>0.001</v>
      </c>
      <c r="J154" s="13" t="s">
        <v>205</v>
      </c>
      <c r="K154" s="15" t="s">
        <v>34</v>
      </c>
      <c r="L154" s="13" t="s">
        <v>111</v>
      </c>
      <c r="M154" s="16" t="b">
        <f aca="false">FALSE()</f>
        <v>0</v>
      </c>
      <c r="N154" s="13" t="s">
        <v>206</v>
      </c>
      <c r="O154" s="13" t="s">
        <v>128</v>
      </c>
      <c r="P154" s="13" t="s">
        <v>207</v>
      </c>
      <c r="Q154" s="13" t="s">
        <v>208</v>
      </c>
      <c r="R154" s="13" t="s">
        <v>63</v>
      </c>
    </row>
    <row r="155" customFormat="false" ht="15" hidden="false" customHeight="false" outlineLevel="0" collapsed="false">
      <c r="A155" s="13" t="s">
        <v>494</v>
      </c>
      <c r="B155" s="13" t="s">
        <v>495</v>
      </c>
      <c r="C155" s="13" t="s">
        <v>496</v>
      </c>
      <c r="D155" s="13" t="s">
        <v>152</v>
      </c>
      <c r="E155" s="13" t="s">
        <v>153</v>
      </c>
      <c r="F155" s="13"/>
      <c r="G155" s="13" t="n">
        <v>18</v>
      </c>
      <c r="H155" s="13" t="n">
        <v>23</v>
      </c>
      <c r="I155" s="13" t="n">
        <v>0</v>
      </c>
      <c r="J155" s="13" t="s">
        <v>497</v>
      </c>
      <c r="K155" s="15" t="s">
        <v>34</v>
      </c>
      <c r="L155" s="13" t="s">
        <v>111</v>
      </c>
      <c r="M155" s="16" t="b">
        <f aca="false">FALSE()</f>
        <v>0</v>
      </c>
      <c r="N155" s="13" t="s">
        <v>206</v>
      </c>
      <c r="O155" s="13" t="s">
        <v>128</v>
      </c>
      <c r="P155" s="13" t="s">
        <v>216</v>
      </c>
      <c r="Q155" s="13" t="s">
        <v>217</v>
      </c>
      <c r="R155" s="13" t="s">
        <v>63</v>
      </c>
    </row>
    <row r="156" customFormat="false" ht="23.85" hidden="false" customHeight="false" outlineLevel="0" collapsed="false">
      <c r="A156" s="13" t="s">
        <v>494</v>
      </c>
      <c r="B156" s="13" t="s">
        <v>495</v>
      </c>
      <c r="C156" s="13" t="s">
        <v>498</v>
      </c>
      <c r="D156" s="13" t="s">
        <v>175</v>
      </c>
      <c r="E156" s="13" t="s">
        <v>153</v>
      </c>
      <c r="F156" s="13"/>
      <c r="G156" s="13" t="n">
        <v>1870</v>
      </c>
      <c r="H156" s="13" t="n">
        <v>2480</v>
      </c>
      <c r="I156" s="13" t="n">
        <v>0</v>
      </c>
      <c r="J156" s="13" t="s">
        <v>499</v>
      </c>
      <c r="K156" s="15" t="s">
        <v>34</v>
      </c>
      <c r="L156" s="13" t="s">
        <v>111</v>
      </c>
      <c r="M156" s="16" t="b">
        <f aca="false">FALSE()</f>
        <v>0</v>
      </c>
      <c r="N156" s="13" t="s">
        <v>206</v>
      </c>
      <c r="O156" s="13" t="s">
        <v>128</v>
      </c>
      <c r="P156" s="13" t="s">
        <v>368</v>
      </c>
      <c r="Q156" s="13" t="s">
        <v>221</v>
      </c>
      <c r="R156" s="13" t="s">
        <v>222</v>
      </c>
    </row>
    <row r="157" customFormat="false" ht="15" hidden="false" customHeight="false" outlineLevel="0" collapsed="false">
      <c r="A157" s="13" t="s">
        <v>494</v>
      </c>
      <c r="B157" s="13" t="s">
        <v>495</v>
      </c>
      <c r="C157" s="13" t="s">
        <v>500</v>
      </c>
      <c r="D157" s="13" t="s">
        <v>224</v>
      </c>
      <c r="E157" s="13" t="s">
        <v>167</v>
      </c>
      <c r="F157" s="13"/>
      <c r="G157" s="13" t="n">
        <v>1</v>
      </c>
      <c r="H157" s="13" t="n">
        <v>1.4694</v>
      </c>
      <c r="I157" s="13" t="n">
        <v>0.0005</v>
      </c>
      <c r="J157" s="13" t="s">
        <v>501</v>
      </c>
      <c r="K157" s="15" t="s">
        <v>34</v>
      </c>
      <c r="L157" s="13" t="s">
        <v>111</v>
      </c>
      <c r="M157" s="16" t="b">
        <f aca="false">FALSE()</f>
        <v>0</v>
      </c>
      <c r="N157" s="13" t="s">
        <v>206</v>
      </c>
      <c r="O157" s="13" t="s">
        <v>226</v>
      </c>
      <c r="P157" s="13" t="s">
        <v>227</v>
      </c>
      <c r="Q157" s="13" t="s">
        <v>228</v>
      </c>
      <c r="R157" s="13" t="s">
        <v>229</v>
      </c>
    </row>
    <row r="158" customFormat="false" ht="23.85" hidden="false" customHeight="false" outlineLevel="0" collapsed="false">
      <c r="A158" s="13" t="s">
        <v>494</v>
      </c>
      <c r="B158" s="13" t="s">
        <v>495</v>
      </c>
      <c r="C158" s="13" t="s">
        <v>502</v>
      </c>
      <c r="D158" s="13" t="s">
        <v>204</v>
      </c>
      <c r="E158" s="13" t="s">
        <v>167</v>
      </c>
      <c r="F158" s="13"/>
      <c r="G158" s="13" t="n">
        <v>3.5</v>
      </c>
      <c r="H158" s="13" t="n">
        <v>5</v>
      </c>
      <c r="I158" s="13" t="n">
        <v>0.001</v>
      </c>
      <c r="J158" s="13" t="s">
        <v>205</v>
      </c>
      <c r="K158" s="15" t="s">
        <v>34</v>
      </c>
      <c r="L158" s="13" t="s">
        <v>111</v>
      </c>
      <c r="M158" s="16" t="b">
        <f aca="false">FALSE()</f>
        <v>0</v>
      </c>
      <c r="N158" s="13" t="s">
        <v>206</v>
      </c>
      <c r="O158" s="13" t="s">
        <v>128</v>
      </c>
      <c r="P158" s="13" t="s">
        <v>207</v>
      </c>
      <c r="Q158" s="13" t="s">
        <v>208</v>
      </c>
      <c r="R158" s="13" t="s">
        <v>63</v>
      </c>
    </row>
    <row r="159" customFormat="false" ht="15" hidden="false" customHeight="false" outlineLevel="0" collapsed="false">
      <c r="A159" s="13" t="s">
        <v>503</v>
      </c>
      <c r="B159" s="13" t="s">
        <v>504</v>
      </c>
      <c r="C159" s="13" t="s">
        <v>505</v>
      </c>
      <c r="D159" s="13" t="s">
        <v>152</v>
      </c>
      <c r="E159" s="13" t="s">
        <v>153</v>
      </c>
      <c r="F159" s="13"/>
      <c r="G159" s="13" t="n">
        <v>21</v>
      </c>
      <c r="H159" s="13" t="n">
        <v>27</v>
      </c>
      <c r="I159" s="13" t="n">
        <v>0</v>
      </c>
      <c r="J159" s="13" t="s">
        <v>506</v>
      </c>
      <c r="K159" s="15" t="s">
        <v>34</v>
      </c>
      <c r="L159" s="13" t="s">
        <v>111</v>
      </c>
      <c r="M159" s="16" t="b">
        <f aca="false">FALSE()</f>
        <v>0</v>
      </c>
      <c r="N159" s="13" t="s">
        <v>206</v>
      </c>
      <c r="O159" s="13" t="s">
        <v>128</v>
      </c>
      <c r="P159" s="13" t="s">
        <v>216</v>
      </c>
      <c r="Q159" s="13" t="s">
        <v>217</v>
      </c>
      <c r="R159" s="13" t="s">
        <v>63</v>
      </c>
    </row>
    <row r="160" customFormat="false" ht="23.85" hidden="false" customHeight="false" outlineLevel="0" collapsed="false">
      <c r="A160" s="13" t="s">
        <v>503</v>
      </c>
      <c r="B160" s="13" t="s">
        <v>504</v>
      </c>
      <c r="C160" s="13" t="s">
        <v>507</v>
      </c>
      <c r="D160" s="13" t="s">
        <v>175</v>
      </c>
      <c r="E160" s="13" t="s">
        <v>153</v>
      </c>
      <c r="F160" s="13"/>
      <c r="G160" s="13" t="n">
        <v>1980</v>
      </c>
      <c r="H160" s="13" t="n">
        <v>2640</v>
      </c>
      <c r="I160" s="13" t="n">
        <v>0</v>
      </c>
      <c r="J160" s="13" t="s">
        <v>508</v>
      </c>
      <c r="K160" s="15" t="s">
        <v>34</v>
      </c>
      <c r="L160" s="13" t="s">
        <v>111</v>
      </c>
      <c r="M160" s="16" t="b">
        <f aca="false">FALSE()</f>
        <v>0</v>
      </c>
      <c r="N160" s="13" t="s">
        <v>206</v>
      </c>
      <c r="O160" s="13" t="s">
        <v>128</v>
      </c>
      <c r="P160" s="13" t="s">
        <v>368</v>
      </c>
      <c r="Q160" s="13" t="s">
        <v>221</v>
      </c>
      <c r="R160" s="13" t="s">
        <v>222</v>
      </c>
    </row>
    <row r="161" customFormat="false" ht="23.85" hidden="false" customHeight="false" outlineLevel="0" collapsed="false">
      <c r="A161" s="13" t="s">
        <v>503</v>
      </c>
      <c r="B161" s="13" t="s">
        <v>504</v>
      </c>
      <c r="C161" s="13" t="s">
        <v>509</v>
      </c>
      <c r="D161" s="13" t="s">
        <v>224</v>
      </c>
      <c r="E161" s="13" t="s">
        <v>167</v>
      </c>
      <c r="F161" s="13"/>
      <c r="G161" s="13" t="n">
        <v>1</v>
      </c>
      <c r="H161" s="13" t="n">
        <v>1.2857</v>
      </c>
      <c r="I161" s="13" t="n">
        <v>0.0005</v>
      </c>
      <c r="J161" s="13" t="s">
        <v>510</v>
      </c>
      <c r="K161" s="15" t="s">
        <v>34</v>
      </c>
      <c r="L161" s="13" t="s">
        <v>111</v>
      </c>
      <c r="M161" s="16" t="b">
        <f aca="false">FALSE()</f>
        <v>0</v>
      </c>
      <c r="N161" s="13" t="s">
        <v>206</v>
      </c>
      <c r="O161" s="13" t="s">
        <v>226</v>
      </c>
      <c r="P161" s="13" t="s">
        <v>227</v>
      </c>
      <c r="Q161" s="13" t="s">
        <v>258</v>
      </c>
      <c r="R161" s="13" t="s">
        <v>229</v>
      </c>
    </row>
    <row r="162" customFormat="false" ht="23.85" hidden="false" customHeight="false" outlineLevel="0" collapsed="false">
      <c r="A162" s="13" t="s">
        <v>511</v>
      </c>
      <c r="B162" s="13" t="s">
        <v>504</v>
      </c>
      <c r="C162" s="13" t="s">
        <v>509</v>
      </c>
      <c r="D162" s="13" t="s">
        <v>224</v>
      </c>
      <c r="E162" s="13" t="s">
        <v>167</v>
      </c>
      <c r="F162" s="13"/>
      <c r="G162" s="13" t="n">
        <v>1.2857</v>
      </c>
      <c r="H162" s="13" t="n">
        <v>1.4786</v>
      </c>
      <c r="I162" s="13" t="n">
        <v>0.0005</v>
      </c>
      <c r="J162" s="13" t="s">
        <v>512</v>
      </c>
      <c r="K162" s="17" t="s">
        <v>36</v>
      </c>
      <c r="L162" s="13" t="s">
        <v>111</v>
      </c>
      <c r="M162" s="16" t="b">
        <f aca="false">FALSE()</f>
        <v>0</v>
      </c>
      <c r="N162" s="13" t="s">
        <v>503</v>
      </c>
      <c r="O162" s="13" t="s">
        <v>74</v>
      </c>
      <c r="P162" s="13" t="s">
        <v>128</v>
      </c>
      <c r="Q162" s="13" t="s">
        <v>261</v>
      </c>
      <c r="R162" s="13" t="s">
        <v>262</v>
      </c>
    </row>
    <row r="163" customFormat="false" ht="23.85" hidden="false" customHeight="false" outlineLevel="0" collapsed="false">
      <c r="A163" s="13" t="s">
        <v>503</v>
      </c>
      <c r="B163" s="13" t="s">
        <v>504</v>
      </c>
      <c r="C163" s="13" t="s">
        <v>513</v>
      </c>
      <c r="D163" s="13" t="s">
        <v>204</v>
      </c>
      <c r="E163" s="13" t="s">
        <v>167</v>
      </c>
      <c r="F163" s="13"/>
      <c r="G163" s="13" t="n">
        <v>3.5</v>
      </c>
      <c r="H163" s="13" t="n">
        <v>5</v>
      </c>
      <c r="I163" s="13" t="n">
        <v>0.001</v>
      </c>
      <c r="J163" s="13" t="s">
        <v>205</v>
      </c>
      <c r="K163" s="15" t="s">
        <v>34</v>
      </c>
      <c r="L163" s="13" t="s">
        <v>111</v>
      </c>
      <c r="M163" s="16" t="b">
        <f aca="false">FALSE()</f>
        <v>0</v>
      </c>
      <c r="N163" s="13" t="s">
        <v>206</v>
      </c>
      <c r="O163" s="13" t="s">
        <v>128</v>
      </c>
      <c r="P163" s="13" t="s">
        <v>207</v>
      </c>
      <c r="Q163" s="13" t="s">
        <v>208</v>
      </c>
      <c r="R163" s="13" t="s">
        <v>63</v>
      </c>
    </row>
    <row r="164" customFormat="false" ht="15" hidden="false" customHeight="false" outlineLevel="0" collapsed="false">
      <c r="A164" s="13" t="s">
        <v>514</v>
      </c>
      <c r="B164" s="13" t="s">
        <v>515</v>
      </c>
      <c r="C164" s="13" t="s">
        <v>516</v>
      </c>
      <c r="D164" s="13" t="s">
        <v>152</v>
      </c>
      <c r="E164" s="13" t="s">
        <v>153</v>
      </c>
      <c r="F164" s="13"/>
      <c r="G164" s="13" t="n">
        <v>22</v>
      </c>
      <c r="H164" s="13" t="n">
        <v>29</v>
      </c>
      <c r="I164" s="13" t="n">
        <v>0</v>
      </c>
      <c r="J164" s="13" t="s">
        <v>517</v>
      </c>
      <c r="K164" s="15" t="s">
        <v>34</v>
      </c>
      <c r="L164" s="13" t="s">
        <v>111</v>
      </c>
      <c r="M164" s="16" t="b">
        <f aca="false">FALSE()</f>
        <v>0</v>
      </c>
      <c r="N164" s="13" t="s">
        <v>206</v>
      </c>
      <c r="O164" s="13" t="s">
        <v>128</v>
      </c>
      <c r="P164" s="13" t="s">
        <v>216</v>
      </c>
      <c r="Q164" s="13" t="s">
        <v>217</v>
      </c>
      <c r="R164" s="13" t="s">
        <v>63</v>
      </c>
    </row>
    <row r="165" customFormat="false" ht="23.85" hidden="false" customHeight="false" outlineLevel="0" collapsed="false">
      <c r="A165" s="13" t="s">
        <v>514</v>
      </c>
      <c r="B165" s="13" t="s">
        <v>515</v>
      </c>
      <c r="C165" s="13" t="s">
        <v>518</v>
      </c>
      <c r="D165" s="13" t="s">
        <v>175</v>
      </c>
      <c r="E165" s="13" t="s">
        <v>153</v>
      </c>
      <c r="F165" s="13"/>
      <c r="G165" s="13" t="n">
        <v>3300</v>
      </c>
      <c r="H165" s="13" t="n">
        <v>4530</v>
      </c>
      <c r="I165" s="13" t="n">
        <v>0</v>
      </c>
      <c r="J165" s="13" t="s">
        <v>519</v>
      </c>
      <c r="K165" s="15" t="s">
        <v>34</v>
      </c>
      <c r="L165" s="13" t="s">
        <v>111</v>
      </c>
      <c r="M165" s="16" t="b">
        <f aca="false">FALSE()</f>
        <v>0</v>
      </c>
      <c r="N165" s="13" t="s">
        <v>206</v>
      </c>
      <c r="O165" s="13" t="s">
        <v>128</v>
      </c>
      <c r="P165" s="13" t="s">
        <v>368</v>
      </c>
      <c r="Q165" s="13" t="s">
        <v>221</v>
      </c>
      <c r="R165" s="13" t="s">
        <v>222</v>
      </c>
    </row>
    <row r="166" customFormat="false" ht="23.85" hidden="false" customHeight="false" outlineLevel="0" collapsed="false">
      <c r="A166" s="13" t="s">
        <v>514</v>
      </c>
      <c r="B166" s="13" t="s">
        <v>515</v>
      </c>
      <c r="C166" s="13" t="s">
        <v>520</v>
      </c>
      <c r="D166" s="13" t="s">
        <v>224</v>
      </c>
      <c r="E166" s="13" t="s">
        <v>167</v>
      </c>
      <c r="F166" s="13"/>
      <c r="G166" s="13" t="n">
        <v>1</v>
      </c>
      <c r="H166" s="13" t="n">
        <v>1.3182</v>
      </c>
      <c r="I166" s="13" t="n">
        <v>0.0005</v>
      </c>
      <c r="J166" s="13" t="s">
        <v>521</v>
      </c>
      <c r="K166" s="15" t="s">
        <v>34</v>
      </c>
      <c r="L166" s="13" t="s">
        <v>111</v>
      </c>
      <c r="M166" s="16" t="b">
        <f aca="false">FALSE()</f>
        <v>0</v>
      </c>
      <c r="N166" s="13" t="s">
        <v>206</v>
      </c>
      <c r="O166" s="13" t="s">
        <v>226</v>
      </c>
      <c r="P166" s="13" t="s">
        <v>227</v>
      </c>
      <c r="Q166" s="13" t="s">
        <v>258</v>
      </c>
      <c r="R166" s="13" t="s">
        <v>229</v>
      </c>
    </row>
    <row r="167" customFormat="false" ht="23.85" hidden="false" customHeight="false" outlineLevel="0" collapsed="false">
      <c r="A167" s="13" t="s">
        <v>522</v>
      </c>
      <c r="B167" s="13" t="s">
        <v>515</v>
      </c>
      <c r="C167" s="13" t="s">
        <v>520</v>
      </c>
      <c r="D167" s="13" t="s">
        <v>224</v>
      </c>
      <c r="E167" s="13" t="s">
        <v>167</v>
      </c>
      <c r="F167" s="13"/>
      <c r="G167" s="13" t="n">
        <v>1.3182</v>
      </c>
      <c r="H167" s="13" t="n">
        <v>1.5159</v>
      </c>
      <c r="I167" s="13" t="n">
        <v>0.0005</v>
      </c>
      <c r="J167" s="13" t="s">
        <v>523</v>
      </c>
      <c r="K167" s="17" t="s">
        <v>36</v>
      </c>
      <c r="L167" s="13" t="s">
        <v>111</v>
      </c>
      <c r="M167" s="16" t="b">
        <f aca="false">FALSE()</f>
        <v>0</v>
      </c>
      <c r="N167" s="13" t="s">
        <v>514</v>
      </c>
      <c r="O167" s="13" t="s">
        <v>74</v>
      </c>
      <c r="P167" s="13" t="s">
        <v>128</v>
      </c>
      <c r="Q167" s="13" t="s">
        <v>261</v>
      </c>
      <c r="R167" s="13" t="s">
        <v>262</v>
      </c>
    </row>
    <row r="168" customFormat="false" ht="23.85" hidden="false" customHeight="false" outlineLevel="0" collapsed="false">
      <c r="A168" s="13" t="s">
        <v>514</v>
      </c>
      <c r="B168" s="13" t="s">
        <v>515</v>
      </c>
      <c r="C168" s="13" t="s">
        <v>524</v>
      </c>
      <c r="D168" s="13" t="s">
        <v>204</v>
      </c>
      <c r="E168" s="13" t="s">
        <v>167</v>
      </c>
      <c r="F168" s="13"/>
      <c r="G168" s="13" t="n">
        <v>3.5</v>
      </c>
      <c r="H168" s="13" t="n">
        <v>5</v>
      </c>
      <c r="I168" s="13" t="n">
        <v>0.001</v>
      </c>
      <c r="J168" s="13" t="s">
        <v>205</v>
      </c>
      <c r="K168" s="15" t="s">
        <v>34</v>
      </c>
      <c r="L168" s="13" t="s">
        <v>111</v>
      </c>
      <c r="M168" s="16" t="b">
        <f aca="false">FALSE()</f>
        <v>0</v>
      </c>
      <c r="N168" s="13" t="s">
        <v>206</v>
      </c>
      <c r="O168" s="13" t="s">
        <v>128</v>
      </c>
      <c r="P168" s="13" t="s">
        <v>207</v>
      </c>
      <c r="Q168" s="13" t="s">
        <v>208</v>
      </c>
      <c r="R168" s="13" t="s">
        <v>63</v>
      </c>
    </row>
    <row r="169" customFormat="false" ht="23.85" hidden="false" customHeight="false" outlineLevel="0" collapsed="false">
      <c r="A169" s="13" t="s">
        <v>525</v>
      </c>
      <c r="B169" s="13" t="s">
        <v>173</v>
      </c>
      <c r="C169" s="13" t="s">
        <v>526</v>
      </c>
      <c r="D169" s="13" t="s">
        <v>152</v>
      </c>
      <c r="E169" s="13" t="s">
        <v>153</v>
      </c>
      <c r="F169" s="13"/>
      <c r="G169" s="13" t="n">
        <v>22</v>
      </c>
      <c r="H169" s="13" t="n">
        <v>29</v>
      </c>
      <c r="I169" s="13" t="n">
        <v>0</v>
      </c>
      <c r="J169" s="13" t="s">
        <v>517</v>
      </c>
      <c r="K169" s="15" t="s">
        <v>34</v>
      </c>
      <c r="L169" s="13" t="s">
        <v>111</v>
      </c>
      <c r="M169" s="16" t="b">
        <f aca="false">FALSE()</f>
        <v>0</v>
      </c>
      <c r="N169" s="13" t="s">
        <v>527</v>
      </c>
      <c r="O169" s="13" t="s">
        <v>128</v>
      </c>
      <c r="P169" s="13" t="s">
        <v>216</v>
      </c>
      <c r="Q169" s="13" t="s">
        <v>217</v>
      </c>
      <c r="R169" s="13" t="s">
        <v>63</v>
      </c>
    </row>
    <row r="170" customFormat="false" ht="35.05" hidden="false" customHeight="false" outlineLevel="0" collapsed="false">
      <c r="A170" s="13" t="s">
        <v>525</v>
      </c>
      <c r="B170" s="13" t="s">
        <v>173</v>
      </c>
      <c r="C170" s="13" t="s">
        <v>174</v>
      </c>
      <c r="D170" s="13" t="s">
        <v>175</v>
      </c>
      <c r="E170" s="13" t="s">
        <v>153</v>
      </c>
      <c r="F170" s="13" t="n">
        <v>4400</v>
      </c>
      <c r="G170" s="13" t="n">
        <v>4400</v>
      </c>
      <c r="H170" s="13" t="n">
        <v>4900</v>
      </c>
      <c r="I170" s="13" t="n">
        <v>0</v>
      </c>
      <c r="J170" s="13" t="s">
        <v>528</v>
      </c>
      <c r="K170" s="15" t="s">
        <v>34</v>
      </c>
      <c r="L170" s="13" t="s">
        <v>111</v>
      </c>
      <c r="M170" s="16" t="b">
        <f aca="false">FALSE()</f>
        <v>0</v>
      </c>
      <c r="N170" s="13" t="s">
        <v>527</v>
      </c>
      <c r="O170" s="13" t="s">
        <v>529</v>
      </c>
      <c r="P170" s="13" t="s">
        <v>368</v>
      </c>
      <c r="Q170" s="13" t="s">
        <v>221</v>
      </c>
      <c r="R170" s="13" t="s">
        <v>222</v>
      </c>
    </row>
    <row r="171" customFormat="false" ht="23.85" hidden="false" customHeight="false" outlineLevel="0" collapsed="false">
      <c r="A171" s="13" t="s">
        <v>525</v>
      </c>
      <c r="B171" s="13" t="s">
        <v>173</v>
      </c>
      <c r="C171" s="13" t="s">
        <v>530</v>
      </c>
      <c r="D171" s="13" t="s">
        <v>224</v>
      </c>
      <c r="E171" s="13" t="s">
        <v>167</v>
      </c>
      <c r="F171" s="13"/>
      <c r="G171" s="13" t="n">
        <v>1</v>
      </c>
      <c r="H171" s="13" t="n">
        <v>1.5159</v>
      </c>
      <c r="I171" s="13" t="n">
        <v>0.0005</v>
      </c>
      <c r="J171" s="13" t="s">
        <v>523</v>
      </c>
      <c r="K171" s="15" t="s">
        <v>34</v>
      </c>
      <c r="L171" s="13" t="s">
        <v>111</v>
      </c>
      <c r="M171" s="16" t="b">
        <f aca="false">FALSE()</f>
        <v>0</v>
      </c>
      <c r="N171" s="13" t="s">
        <v>527</v>
      </c>
      <c r="O171" s="13" t="s">
        <v>226</v>
      </c>
      <c r="P171" s="13" t="s">
        <v>227</v>
      </c>
      <c r="Q171" s="13" t="s">
        <v>228</v>
      </c>
      <c r="R171" s="13" t="s">
        <v>229</v>
      </c>
    </row>
    <row r="172" customFormat="false" ht="23.85" hidden="false" customHeight="false" outlineLevel="0" collapsed="false">
      <c r="A172" s="13" t="s">
        <v>525</v>
      </c>
      <c r="B172" s="13" t="s">
        <v>173</v>
      </c>
      <c r="C172" s="13" t="s">
        <v>531</v>
      </c>
      <c r="D172" s="13" t="s">
        <v>204</v>
      </c>
      <c r="E172" s="13" t="s">
        <v>167</v>
      </c>
      <c r="F172" s="13"/>
      <c r="G172" s="13" t="n">
        <v>3.5</v>
      </c>
      <c r="H172" s="13" t="n">
        <v>5</v>
      </c>
      <c r="I172" s="13" t="n">
        <v>0.001</v>
      </c>
      <c r="J172" s="13" t="s">
        <v>205</v>
      </c>
      <c r="K172" s="15" t="s">
        <v>34</v>
      </c>
      <c r="L172" s="13" t="s">
        <v>111</v>
      </c>
      <c r="M172" s="16" t="b">
        <f aca="false">FALSE()</f>
        <v>0</v>
      </c>
      <c r="N172" s="13" t="s">
        <v>527</v>
      </c>
      <c r="O172" s="13" t="s">
        <v>128</v>
      </c>
      <c r="P172" s="13" t="s">
        <v>207</v>
      </c>
      <c r="Q172" s="13" t="s">
        <v>208</v>
      </c>
      <c r="R172" s="13" t="s">
        <v>63</v>
      </c>
    </row>
    <row r="173" customFormat="false" ht="23.85" hidden="false" customHeight="false" outlineLevel="0" collapsed="false">
      <c r="A173" s="13" t="s">
        <v>532</v>
      </c>
      <c r="B173" s="13" t="s">
        <v>533</v>
      </c>
      <c r="C173" s="13" t="s">
        <v>534</v>
      </c>
      <c r="D173" s="13" t="s">
        <v>204</v>
      </c>
      <c r="E173" s="13" t="s">
        <v>167</v>
      </c>
      <c r="F173" s="13"/>
      <c r="G173" s="13" t="n">
        <v>3.5</v>
      </c>
      <c r="H173" s="13" t="n">
        <v>2.5</v>
      </c>
      <c r="I173" s="13" t="n">
        <v>0.001</v>
      </c>
      <c r="J173" s="13" t="s">
        <v>205</v>
      </c>
      <c r="K173" s="15" t="s">
        <v>34</v>
      </c>
      <c r="L173" s="13" t="s">
        <v>111</v>
      </c>
      <c r="M173" s="16" t="b">
        <f aca="false">FALSE()</f>
        <v>0</v>
      </c>
      <c r="N173" s="13" t="s">
        <v>206</v>
      </c>
      <c r="O173" s="13" t="s">
        <v>128</v>
      </c>
      <c r="P173" s="13" t="s">
        <v>207</v>
      </c>
      <c r="Q173" s="13" t="s">
        <v>208</v>
      </c>
      <c r="R173" s="13" t="s">
        <v>63</v>
      </c>
    </row>
    <row r="174" customFormat="false" ht="23.85" hidden="false" customHeight="false" outlineLevel="0" collapsed="false">
      <c r="A174" s="13" t="s">
        <v>535</v>
      </c>
      <c r="B174" s="13" t="s">
        <v>193</v>
      </c>
      <c r="C174" s="13" t="s">
        <v>536</v>
      </c>
      <c r="D174" s="13" t="s">
        <v>204</v>
      </c>
      <c r="E174" s="13" t="s">
        <v>167</v>
      </c>
      <c r="F174" s="13"/>
      <c r="G174" s="13" t="n">
        <v>3.5</v>
      </c>
      <c r="H174" s="13" t="n">
        <v>2.5</v>
      </c>
      <c r="I174" s="13" t="n">
        <v>0.001</v>
      </c>
      <c r="J174" s="13" t="s">
        <v>205</v>
      </c>
      <c r="K174" s="15" t="s">
        <v>34</v>
      </c>
      <c r="L174" s="13" t="s">
        <v>111</v>
      </c>
      <c r="M174" s="16" t="b">
        <f aca="false">FALSE()</f>
        <v>0</v>
      </c>
      <c r="N174" s="13" t="s">
        <v>537</v>
      </c>
      <c r="O174" s="13" t="s">
        <v>128</v>
      </c>
      <c r="P174" s="13" t="s">
        <v>207</v>
      </c>
      <c r="Q174" s="13" t="s">
        <v>208</v>
      </c>
      <c r="R174" s="13" t="s">
        <v>63</v>
      </c>
    </row>
    <row r="175" customFormat="false" ht="23.85" hidden="false" customHeight="false" outlineLevel="0" collapsed="false">
      <c r="A175" s="13" t="s">
        <v>538</v>
      </c>
      <c r="B175" s="13" t="s">
        <v>539</v>
      </c>
      <c r="C175" s="13" t="s">
        <v>540</v>
      </c>
      <c r="D175" s="13" t="s">
        <v>204</v>
      </c>
      <c r="E175" s="13" t="s">
        <v>167</v>
      </c>
      <c r="F175" s="13"/>
      <c r="G175" s="13" t="n">
        <v>3.5</v>
      </c>
      <c r="H175" s="13" t="n">
        <v>2.5</v>
      </c>
      <c r="I175" s="13" t="n">
        <v>0.001</v>
      </c>
      <c r="J175" s="13" t="s">
        <v>205</v>
      </c>
      <c r="K175" s="15" t="s">
        <v>34</v>
      </c>
      <c r="L175" s="13" t="s">
        <v>111</v>
      </c>
      <c r="M175" s="16" t="b">
        <f aca="false">FALSE()</f>
        <v>0</v>
      </c>
      <c r="N175" s="13" t="s">
        <v>206</v>
      </c>
      <c r="O175" s="13" t="s">
        <v>128</v>
      </c>
      <c r="P175" s="13" t="s">
        <v>207</v>
      </c>
      <c r="Q175" s="13" t="s">
        <v>208</v>
      </c>
      <c r="R175" s="13" t="s">
        <v>63</v>
      </c>
    </row>
    <row r="176" customFormat="false" ht="35.05" hidden="false" customHeight="false" outlineLevel="0" collapsed="false">
      <c r="A176" s="13" t="s">
        <v>541</v>
      </c>
      <c r="B176" s="13" t="s">
        <v>542</v>
      </c>
      <c r="C176" s="13" t="s">
        <v>543</v>
      </c>
      <c r="D176" s="13" t="s">
        <v>152</v>
      </c>
      <c r="E176" s="13" t="s">
        <v>153</v>
      </c>
      <c r="F176" s="13"/>
      <c r="G176" s="13" t="n">
        <v>5</v>
      </c>
      <c r="H176" s="13" t="n">
        <v>6</v>
      </c>
      <c r="I176" s="13" t="n">
        <v>0</v>
      </c>
      <c r="J176" s="13" t="s">
        <v>215</v>
      </c>
      <c r="K176" s="15" t="s">
        <v>34</v>
      </c>
      <c r="L176" s="13" t="s">
        <v>111</v>
      </c>
      <c r="M176" s="16" t="b">
        <f aca="false">FALSE()</f>
        <v>0</v>
      </c>
      <c r="N176" s="13" t="s">
        <v>206</v>
      </c>
      <c r="O176" s="13" t="s">
        <v>128</v>
      </c>
      <c r="P176" s="13" t="s">
        <v>216</v>
      </c>
      <c r="Q176" s="13" t="s">
        <v>217</v>
      </c>
      <c r="R176" s="13" t="s">
        <v>63</v>
      </c>
    </row>
    <row r="177" customFormat="false" ht="35.05" hidden="false" customHeight="false" outlineLevel="0" collapsed="false">
      <c r="A177" s="13" t="s">
        <v>541</v>
      </c>
      <c r="B177" s="13" t="s">
        <v>542</v>
      </c>
      <c r="C177" s="13" t="s">
        <v>544</v>
      </c>
      <c r="D177" s="13" t="s">
        <v>175</v>
      </c>
      <c r="E177" s="13" t="s">
        <v>153</v>
      </c>
      <c r="F177" s="13"/>
      <c r="G177" s="13" t="n">
        <v>900</v>
      </c>
      <c r="H177" s="13" t="n">
        <v>1110</v>
      </c>
      <c r="I177" s="13" t="n">
        <v>0</v>
      </c>
      <c r="J177" s="13" t="s">
        <v>320</v>
      </c>
      <c r="K177" s="15" t="s">
        <v>34</v>
      </c>
      <c r="L177" s="13" t="s">
        <v>111</v>
      </c>
      <c r="M177" s="16" t="b">
        <f aca="false">FALSE()</f>
        <v>0</v>
      </c>
      <c r="N177" s="13" t="s">
        <v>206</v>
      </c>
      <c r="O177" s="13" t="s">
        <v>128</v>
      </c>
      <c r="P177" s="13" t="s">
        <v>220</v>
      </c>
      <c r="Q177" s="13" t="s">
        <v>221</v>
      </c>
      <c r="R177" s="13" t="s">
        <v>222</v>
      </c>
    </row>
    <row r="178" customFormat="false" ht="35.05" hidden="false" customHeight="false" outlineLevel="0" collapsed="false">
      <c r="A178" s="13" t="s">
        <v>541</v>
      </c>
      <c r="B178" s="13" t="s">
        <v>542</v>
      </c>
      <c r="C178" s="13" t="s">
        <v>545</v>
      </c>
      <c r="D178" s="13" t="s">
        <v>224</v>
      </c>
      <c r="E178" s="13" t="s">
        <v>167</v>
      </c>
      <c r="F178" s="13"/>
      <c r="G178" s="13" t="n">
        <v>1</v>
      </c>
      <c r="H178" s="13" t="n">
        <v>1.2</v>
      </c>
      <c r="I178" s="13" t="n">
        <v>0.0005</v>
      </c>
      <c r="J178" s="13" t="s">
        <v>225</v>
      </c>
      <c r="K178" s="15" t="s">
        <v>34</v>
      </c>
      <c r="L178" s="13" t="s">
        <v>111</v>
      </c>
      <c r="M178" s="16" t="b">
        <f aca="false">FALSE()</f>
        <v>0</v>
      </c>
      <c r="N178" s="13" t="s">
        <v>206</v>
      </c>
      <c r="O178" s="13" t="s">
        <v>226</v>
      </c>
      <c r="P178" s="13" t="s">
        <v>227</v>
      </c>
      <c r="Q178" s="13" t="s">
        <v>228</v>
      </c>
      <c r="R178" s="13" t="s">
        <v>229</v>
      </c>
    </row>
    <row r="179" customFormat="false" ht="23.85" hidden="false" customHeight="false" outlineLevel="0" collapsed="false">
      <c r="A179" s="13" t="s">
        <v>546</v>
      </c>
      <c r="B179" s="13" t="s">
        <v>187</v>
      </c>
      <c r="C179" s="13" t="s">
        <v>547</v>
      </c>
      <c r="D179" s="13" t="s">
        <v>204</v>
      </c>
      <c r="E179" s="13" t="s">
        <v>167</v>
      </c>
      <c r="F179" s="13"/>
      <c r="G179" s="13" t="n">
        <v>3.5</v>
      </c>
      <c r="H179" s="13" t="n">
        <v>2.5</v>
      </c>
      <c r="I179" s="13" t="n">
        <v>0.001</v>
      </c>
      <c r="J179" s="13" t="s">
        <v>205</v>
      </c>
      <c r="K179" s="15" t="s">
        <v>34</v>
      </c>
      <c r="L179" s="13" t="s">
        <v>111</v>
      </c>
      <c r="M179" s="16" t="b">
        <f aca="false">FALSE()</f>
        <v>0</v>
      </c>
      <c r="N179" s="13" t="s">
        <v>548</v>
      </c>
      <c r="O179" s="13" t="s">
        <v>128</v>
      </c>
      <c r="P179" s="13" t="s">
        <v>207</v>
      </c>
      <c r="Q179" s="13" t="s">
        <v>208</v>
      </c>
      <c r="R179" s="13" t="s">
        <v>63</v>
      </c>
    </row>
    <row r="180" customFormat="false" ht="23.85" hidden="false" customHeight="false" outlineLevel="0" collapsed="false">
      <c r="A180" s="13" t="s">
        <v>549</v>
      </c>
      <c r="B180" s="13" t="s">
        <v>550</v>
      </c>
      <c r="C180" s="13" t="s">
        <v>551</v>
      </c>
      <c r="D180" s="13" t="s">
        <v>152</v>
      </c>
      <c r="E180" s="13" t="s">
        <v>153</v>
      </c>
      <c r="F180" s="13"/>
      <c r="G180" s="13" t="n">
        <v>5</v>
      </c>
      <c r="H180" s="13" t="n">
        <v>6</v>
      </c>
      <c r="I180" s="13" t="n">
        <v>0</v>
      </c>
      <c r="J180" s="13" t="s">
        <v>215</v>
      </c>
      <c r="K180" s="15" t="s">
        <v>34</v>
      </c>
      <c r="L180" s="13" t="s">
        <v>111</v>
      </c>
      <c r="M180" s="16" t="b">
        <f aca="false">FALSE()</f>
        <v>0</v>
      </c>
      <c r="N180" s="13" t="s">
        <v>206</v>
      </c>
      <c r="O180" s="13" t="s">
        <v>128</v>
      </c>
      <c r="P180" s="13" t="s">
        <v>216</v>
      </c>
      <c r="Q180" s="13" t="s">
        <v>217</v>
      </c>
      <c r="R180" s="13" t="s">
        <v>63</v>
      </c>
    </row>
    <row r="181" customFormat="false" ht="23.85" hidden="false" customHeight="false" outlineLevel="0" collapsed="false">
      <c r="A181" s="13" t="s">
        <v>549</v>
      </c>
      <c r="B181" s="13" t="s">
        <v>550</v>
      </c>
      <c r="C181" s="13" t="s">
        <v>552</v>
      </c>
      <c r="D181" s="13" t="s">
        <v>175</v>
      </c>
      <c r="E181" s="13" t="s">
        <v>153</v>
      </c>
      <c r="F181" s="13"/>
      <c r="G181" s="13" t="n">
        <v>1300</v>
      </c>
      <c r="H181" s="13" t="n">
        <v>1600</v>
      </c>
      <c r="I181" s="13" t="n">
        <v>0</v>
      </c>
      <c r="J181" s="13" t="s">
        <v>553</v>
      </c>
      <c r="K181" s="15" t="s">
        <v>34</v>
      </c>
      <c r="L181" s="13" t="s">
        <v>111</v>
      </c>
      <c r="M181" s="16" t="b">
        <f aca="false">FALSE()</f>
        <v>0</v>
      </c>
      <c r="N181" s="13" t="s">
        <v>206</v>
      </c>
      <c r="O181" s="13" t="s">
        <v>128</v>
      </c>
      <c r="P181" s="13" t="s">
        <v>220</v>
      </c>
      <c r="Q181" s="13" t="s">
        <v>221</v>
      </c>
      <c r="R181" s="13" t="s">
        <v>222</v>
      </c>
    </row>
    <row r="182" customFormat="false" ht="23.85" hidden="false" customHeight="false" outlineLevel="0" collapsed="false">
      <c r="A182" s="13" t="s">
        <v>549</v>
      </c>
      <c r="B182" s="13" t="s">
        <v>550</v>
      </c>
      <c r="C182" s="13" t="s">
        <v>554</v>
      </c>
      <c r="D182" s="13" t="s">
        <v>224</v>
      </c>
      <c r="E182" s="13" t="s">
        <v>167</v>
      </c>
      <c r="F182" s="13"/>
      <c r="G182" s="13" t="n">
        <v>1</v>
      </c>
      <c r="H182" s="13" t="n">
        <v>1.2</v>
      </c>
      <c r="I182" s="13" t="n">
        <v>0.0005</v>
      </c>
      <c r="J182" s="13" t="s">
        <v>225</v>
      </c>
      <c r="K182" s="15" t="s">
        <v>34</v>
      </c>
      <c r="L182" s="13" t="s">
        <v>111</v>
      </c>
      <c r="M182" s="16" t="b">
        <f aca="false">FALSE()</f>
        <v>0</v>
      </c>
      <c r="N182" s="13" t="s">
        <v>206</v>
      </c>
      <c r="O182" s="13" t="s">
        <v>226</v>
      </c>
      <c r="P182" s="13" t="s">
        <v>227</v>
      </c>
      <c r="Q182" s="13" t="s">
        <v>228</v>
      </c>
      <c r="R182" s="13" t="s">
        <v>229</v>
      </c>
    </row>
    <row r="183" customFormat="false" ht="15" hidden="false" customHeight="false" outlineLevel="0" collapsed="false">
      <c r="A183" s="13" t="s">
        <v>555</v>
      </c>
      <c r="B183" s="13" t="s">
        <v>196</v>
      </c>
      <c r="C183" s="13" t="s">
        <v>556</v>
      </c>
      <c r="D183" s="13" t="s">
        <v>152</v>
      </c>
      <c r="E183" s="13" t="s">
        <v>153</v>
      </c>
      <c r="F183" s="13"/>
      <c r="G183" s="13" t="n">
        <v>5</v>
      </c>
      <c r="H183" s="13" t="n">
        <v>6</v>
      </c>
      <c r="I183" s="13" t="n">
        <v>0</v>
      </c>
      <c r="J183" s="13" t="s">
        <v>215</v>
      </c>
      <c r="K183" s="15" t="s">
        <v>34</v>
      </c>
      <c r="L183" s="13" t="s">
        <v>111</v>
      </c>
      <c r="M183" s="16" t="b">
        <f aca="false">FALSE()</f>
        <v>0</v>
      </c>
      <c r="N183" s="13" t="s">
        <v>557</v>
      </c>
      <c r="O183" s="13" t="s">
        <v>128</v>
      </c>
      <c r="P183" s="13" t="s">
        <v>216</v>
      </c>
      <c r="Q183" s="13" t="s">
        <v>217</v>
      </c>
      <c r="R183" s="13" t="s">
        <v>63</v>
      </c>
    </row>
    <row r="184" customFormat="false" ht="15" hidden="false" customHeight="false" outlineLevel="0" collapsed="false">
      <c r="A184" s="13" t="s">
        <v>555</v>
      </c>
      <c r="B184" s="13" t="s">
        <v>196</v>
      </c>
      <c r="C184" s="13" t="s">
        <v>558</v>
      </c>
      <c r="D184" s="13" t="s">
        <v>175</v>
      </c>
      <c r="E184" s="13" t="s">
        <v>153</v>
      </c>
      <c r="F184" s="13"/>
      <c r="G184" s="13" t="n">
        <v>1320</v>
      </c>
      <c r="H184" s="13" t="n">
        <v>1630</v>
      </c>
      <c r="I184" s="13" t="n">
        <v>0</v>
      </c>
      <c r="J184" s="13" t="s">
        <v>559</v>
      </c>
      <c r="K184" s="15" t="s">
        <v>34</v>
      </c>
      <c r="L184" s="13" t="s">
        <v>111</v>
      </c>
      <c r="M184" s="16" t="b">
        <f aca="false">FALSE()</f>
        <v>0</v>
      </c>
      <c r="N184" s="13" t="s">
        <v>557</v>
      </c>
      <c r="O184" s="13" t="s">
        <v>128</v>
      </c>
      <c r="P184" s="13" t="s">
        <v>220</v>
      </c>
      <c r="Q184" s="13" t="s">
        <v>221</v>
      </c>
      <c r="R184" s="13" t="s">
        <v>222</v>
      </c>
    </row>
    <row r="185" customFormat="false" ht="15" hidden="false" customHeight="false" outlineLevel="0" collapsed="false">
      <c r="A185" s="13" t="s">
        <v>555</v>
      </c>
      <c r="B185" s="13" t="s">
        <v>196</v>
      </c>
      <c r="C185" s="13" t="s">
        <v>560</v>
      </c>
      <c r="D185" s="13" t="s">
        <v>224</v>
      </c>
      <c r="E185" s="13" t="s">
        <v>167</v>
      </c>
      <c r="F185" s="13"/>
      <c r="G185" s="13" t="n">
        <v>1</v>
      </c>
      <c r="H185" s="13" t="n">
        <v>1.2</v>
      </c>
      <c r="I185" s="13" t="n">
        <v>0.0005</v>
      </c>
      <c r="J185" s="13" t="s">
        <v>225</v>
      </c>
      <c r="K185" s="15" t="s">
        <v>34</v>
      </c>
      <c r="L185" s="13" t="s">
        <v>111</v>
      </c>
      <c r="M185" s="16" t="b">
        <f aca="false">FALSE()</f>
        <v>0</v>
      </c>
      <c r="N185" s="13" t="s">
        <v>557</v>
      </c>
      <c r="O185" s="13" t="s">
        <v>226</v>
      </c>
      <c r="P185" s="13" t="s">
        <v>227</v>
      </c>
      <c r="Q185" s="13" t="s">
        <v>228</v>
      </c>
      <c r="R185" s="13" t="s">
        <v>229</v>
      </c>
    </row>
    <row r="186" customFormat="false" ht="15" hidden="false" customHeight="false" outlineLevel="0" collapsed="false">
      <c r="A186" s="13" t="s">
        <v>561</v>
      </c>
      <c r="B186" s="13" t="s">
        <v>562</v>
      </c>
      <c r="C186" s="13" t="s">
        <v>563</v>
      </c>
      <c r="D186" s="13" t="s">
        <v>152</v>
      </c>
      <c r="E186" s="13" t="s">
        <v>153</v>
      </c>
      <c r="F186" s="13"/>
      <c r="G186" s="13" t="n">
        <v>7</v>
      </c>
      <c r="H186" s="13" t="n">
        <v>8</v>
      </c>
      <c r="I186" s="13" t="n">
        <v>0</v>
      </c>
      <c r="J186" s="13" t="s">
        <v>359</v>
      </c>
      <c r="K186" s="15" t="s">
        <v>34</v>
      </c>
      <c r="L186" s="13" t="s">
        <v>111</v>
      </c>
      <c r="M186" s="16" t="b">
        <f aca="false">FALSE()</f>
        <v>0</v>
      </c>
      <c r="N186" s="13" t="s">
        <v>206</v>
      </c>
      <c r="O186" s="13" t="s">
        <v>128</v>
      </c>
      <c r="P186" s="13" t="s">
        <v>216</v>
      </c>
      <c r="Q186" s="13" t="s">
        <v>217</v>
      </c>
      <c r="R186" s="13" t="s">
        <v>63</v>
      </c>
    </row>
    <row r="187" customFormat="false" ht="15" hidden="false" customHeight="false" outlineLevel="0" collapsed="false">
      <c r="A187" s="13" t="s">
        <v>561</v>
      </c>
      <c r="B187" s="13" t="s">
        <v>562</v>
      </c>
      <c r="C187" s="13" t="s">
        <v>564</v>
      </c>
      <c r="D187" s="13" t="s">
        <v>175</v>
      </c>
      <c r="E187" s="13" t="s">
        <v>153</v>
      </c>
      <c r="F187" s="13"/>
      <c r="G187" s="13" t="n">
        <v>2860</v>
      </c>
      <c r="H187" s="13" t="n">
        <v>3330</v>
      </c>
      <c r="I187" s="13" t="n">
        <v>0</v>
      </c>
      <c r="J187" s="13" t="s">
        <v>565</v>
      </c>
      <c r="K187" s="15" t="s">
        <v>34</v>
      </c>
      <c r="L187" s="13" t="s">
        <v>111</v>
      </c>
      <c r="M187" s="16" t="b">
        <f aca="false">FALSE()</f>
        <v>0</v>
      </c>
      <c r="N187" s="13" t="s">
        <v>206</v>
      </c>
      <c r="O187" s="13" t="s">
        <v>128</v>
      </c>
      <c r="P187" s="13" t="s">
        <v>220</v>
      </c>
      <c r="Q187" s="13" t="s">
        <v>221</v>
      </c>
      <c r="R187" s="13" t="s">
        <v>222</v>
      </c>
    </row>
    <row r="188" customFormat="false" ht="15" hidden="false" customHeight="false" outlineLevel="0" collapsed="false">
      <c r="A188" s="13" t="s">
        <v>561</v>
      </c>
      <c r="B188" s="13" t="s">
        <v>562</v>
      </c>
      <c r="C188" s="13" t="s">
        <v>566</v>
      </c>
      <c r="D188" s="13" t="s">
        <v>224</v>
      </c>
      <c r="E188" s="13" t="s">
        <v>167</v>
      </c>
      <c r="F188" s="13"/>
      <c r="G188" s="13" t="n">
        <v>1</v>
      </c>
      <c r="H188" s="13" t="n">
        <v>1.1429</v>
      </c>
      <c r="I188" s="13" t="n">
        <v>0.0005</v>
      </c>
      <c r="J188" s="13" t="s">
        <v>363</v>
      </c>
      <c r="K188" s="15" t="s">
        <v>34</v>
      </c>
      <c r="L188" s="13" t="s">
        <v>111</v>
      </c>
      <c r="M188" s="16" t="b">
        <f aca="false">FALSE()</f>
        <v>0</v>
      </c>
      <c r="N188" s="13" t="s">
        <v>206</v>
      </c>
      <c r="O188" s="13" t="s">
        <v>226</v>
      </c>
      <c r="P188" s="13" t="s">
        <v>227</v>
      </c>
      <c r="Q188" s="13" t="s">
        <v>228</v>
      </c>
      <c r="R188" s="13" t="s">
        <v>229</v>
      </c>
    </row>
    <row r="189" customFormat="false" ht="15" hidden="false" customHeight="false" outlineLevel="0" collapsed="false">
      <c r="A189" s="13" t="s">
        <v>567</v>
      </c>
      <c r="B189" s="13" t="s">
        <v>568</v>
      </c>
      <c r="C189" s="13" t="s">
        <v>569</v>
      </c>
      <c r="D189" s="13" t="s">
        <v>152</v>
      </c>
      <c r="E189" s="13" t="s">
        <v>153</v>
      </c>
      <c r="F189" s="13"/>
      <c r="G189" s="13" t="n">
        <v>9</v>
      </c>
      <c r="H189" s="13" t="n">
        <v>11</v>
      </c>
      <c r="I189" s="13" t="n">
        <v>0</v>
      </c>
      <c r="J189" s="13" t="s">
        <v>266</v>
      </c>
      <c r="K189" s="15" t="s">
        <v>34</v>
      </c>
      <c r="L189" s="13" t="s">
        <v>111</v>
      </c>
      <c r="M189" s="16" t="b">
        <f aca="false">FALSE()</f>
        <v>0</v>
      </c>
      <c r="N189" s="13" t="s">
        <v>206</v>
      </c>
      <c r="O189" s="13" t="s">
        <v>128</v>
      </c>
      <c r="P189" s="13" t="s">
        <v>216</v>
      </c>
      <c r="Q189" s="13" t="s">
        <v>217</v>
      </c>
      <c r="R189" s="13" t="s">
        <v>63</v>
      </c>
    </row>
    <row r="190" customFormat="false" ht="15" hidden="false" customHeight="false" outlineLevel="0" collapsed="false">
      <c r="A190" s="13" t="s">
        <v>567</v>
      </c>
      <c r="B190" s="13" t="s">
        <v>568</v>
      </c>
      <c r="C190" s="13" t="s">
        <v>570</v>
      </c>
      <c r="D190" s="13" t="s">
        <v>175</v>
      </c>
      <c r="E190" s="13" t="s">
        <v>153</v>
      </c>
      <c r="F190" s="13"/>
      <c r="G190" s="13" t="n">
        <v>2530</v>
      </c>
      <c r="H190" s="13" t="n">
        <v>3190</v>
      </c>
      <c r="I190" s="13" t="n">
        <v>0</v>
      </c>
      <c r="J190" s="13" t="s">
        <v>571</v>
      </c>
      <c r="K190" s="15" t="s">
        <v>34</v>
      </c>
      <c r="L190" s="13" t="s">
        <v>111</v>
      </c>
      <c r="M190" s="16" t="b">
        <f aca="false">FALSE()</f>
        <v>0</v>
      </c>
      <c r="N190" s="13" t="s">
        <v>206</v>
      </c>
      <c r="O190" s="13" t="s">
        <v>128</v>
      </c>
      <c r="P190" s="13" t="s">
        <v>220</v>
      </c>
      <c r="Q190" s="13" t="s">
        <v>221</v>
      </c>
      <c r="R190" s="13" t="s">
        <v>222</v>
      </c>
    </row>
    <row r="191" customFormat="false" ht="15" hidden="false" customHeight="false" outlineLevel="0" collapsed="false">
      <c r="A191" s="13" t="s">
        <v>567</v>
      </c>
      <c r="B191" s="13" t="s">
        <v>568</v>
      </c>
      <c r="C191" s="13" t="s">
        <v>572</v>
      </c>
      <c r="D191" s="13" t="s">
        <v>224</v>
      </c>
      <c r="E191" s="13" t="s">
        <v>167</v>
      </c>
      <c r="F191" s="13"/>
      <c r="G191" s="13" t="n">
        <v>1</v>
      </c>
      <c r="H191" s="13" t="n">
        <v>1.2681</v>
      </c>
      <c r="I191" s="13" t="n">
        <v>0.0005</v>
      </c>
      <c r="J191" s="13" t="s">
        <v>270</v>
      </c>
      <c r="K191" s="15" t="s">
        <v>34</v>
      </c>
      <c r="L191" s="13" t="s">
        <v>111</v>
      </c>
      <c r="M191" s="16" t="b">
        <f aca="false">FALSE()</f>
        <v>0</v>
      </c>
      <c r="N191" s="13" t="s">
        <v>206</v>
      </c>
      <c r="O191" s="13" t="s">
        <v>226</v>
      </c>
      <c r="P191" s="13" t="s">
        <v>227</v>
      </c>
      <c r="Q191" s="13" t="s">
        <v>228</v>
      </c>
      <c r="R191" s="13" t="s">
        <v>229</v>
      </c>
    </row>
    <row r="192" customFormat="false" ht="23.85" hidden="false" customHeight="false" outlineLevel="0" collapsed="false">
      <c r="A192" s="13" t="s">
        <v>573</v>
      </c>
      <c r="B192" s="13" t="s">
        <v>574</v>
      </c>
      <c r="C192" s="13" t="s">
        <v>575</v>
      </c>
      <c r="D192" s="13" t="s">
        <v>204</v>
      </c>
      <c r="E192" s="13" t="s">
        <v>167</v>
      </c>
      <c r="F192" s="13"/>
      <c r="G192" s="13" t="n">
        <v>3.5</v>
      </c>
      <c r="H192" s="13" t="n">
        <v>2.5</v>
      </c>
      <c r="I192" s="13" t="n">
        <v>0.001</v>
      </c>
      <c r="J192" s="13" t="s">
        <v>205</v>
      </c>
      <c r="K192" s="15" t="s">
        <v>34</v>
      </c>
      <c r="L192" s="13" t="s">
        <v>111</v>
      </c>
      <c r="M192" s="16" t="b">
        <f aca="false">FALSE()</f>
        <v>0</v>
      </c>
      <c r="N192" s="13" t="s">
        <v>206</v>
      </c>
      <c r="O192" s="13" t="s">
        <v>128</v>
      </c>
      <c r="P192" s="13" t="s">
        <v>207</v>
      </c>
      <c r="Q192" s="13" t="s">
        <v>208</v>
      </c>
      <c r="R192" s="13" t="s">
        <v>63</v>
      </c>
    </row>
    <row r="193" customFormat="false" ht="23.85" hidden="false" customHeight="false" outlineLevel="0" collapsed="false">
      <c r="A193" s="13" t="s">
        <v>576</v>
      </c>
      <c r="B193" s="13" t="s">
        <v>577</v>
      </c>
      <c r="C193" s="13" t="s">
        <v>578</v>
      </c>
      <c r="D193" s="13" t="s">
        <v>204</v>
      </c>
      <c r="E193" s="13" t="s">
        <v>167</v>
      </c>
      <c r="F193" s="13"/>
      <c r="G193" s="13" t="n">
        <v>3.5</v>
      </c>
      <c r="H193" s="13" t="n">
        <v>2.5</v>
      </c>
      <c r="I193" s="13" t="n">
        <v>0.001</v>
      </c>
      <c r="J193" s="13" t="s">
        <v>205</v>
      </c>
      <c r="K193" s="15" t="s">
        <v>34</v>
      </c>
      <c r="L193" s="13" t="s">
        <v>111</v>
      </c>
      <c r="M193" s="16" t="b">
        <f aca="false">FALSE()</f>
        <v>0</v>
      </c>
      <c r="N193" s="13" t="s">
        <v>206</v>
      </c>
      <c r="O193" s="13" t="s">
        <v>128</v>
      </c>
      <c r="P193" s="13" t="s">
        <v>207</v>
      </c>
      <c r="Q193" s="13" t="s">
        <v>208</v>
      </c>
      <c r="R193" s="13" t="s">
        <v>63</v>
      </c>
    </row>
    <row r="194" customFormat="false" ht="15" hidden="false" customHeight="false" outlineLevel="0" collapsed="false">
      <c r="A194" s="13" t="s">
        <v>579</v>
      </c>
      <c r="B194" s="13" t="s">
        <v>580</v>
      </c>
      <c r="C194" s="13" t="s">
        <v>581</v>
      </c>
      <c r="D194" s="13" t="s">
        <v>152</v>
      </c>
      <c r="E194" s="13" t="s">
        <v>153</v>
      </c>
      <c r="F194" s="13"/>
      <c r="G194" s="13" t="n">
        <v>6</v>
      </c>
      <c r="H194" s="13" t="n">
        <v>7</v>
      </c>
      <c r="I194" s="13" t="n">
        <v>0</v>
      </c>
      <c r="J194" s="13" t="s">
        <v>233</v>
      </c>
      <c r="K194" s="15" t="s">
        <v>34</v>
      </c>
      <c r="L194" s="13" t="s">
        <v>111</v>
      </c>
      <c r="M194" s="16" t="b">
        <f aca="false">FALSE()</f>
        <v>0</v>
      </c>
      <c r="N194" s="13" t="s">
        <v>206</v>
      </c>
      <c r="O194" s="13" t="s">
        <v>128</v>
      </c>
      <c r="P194" s="13" t="s">
        <v>216</v>
      </c>
      <c r="Q194" s="13" t="s">
        <v>217</v>
      </c>
      <c r="R194" s="13" t="s">
        <v>63</v>
      </c>
    </row>
    <row r="195" customFormat="false" ht="15" hidden="false" customHeight="false" outlineLevel="0" collapsed="false">
      <c r="A195" s="13" t="s">
        <v>579</v>
      </c>
      <c r="B195" s="13" t="s">
        <v>580</v>
      </c>
      <c r="C195" s="13" t="s">
        <v>582</v>
      </c>
      <c r="D195" s="13" t="s">
        <v>175</v>
      </c>
      <c r="E195" s="13" t="s">
        <v>153</v>
      </c>
      <c r="F195" s="13"/>
      <c r="G195" s="13" t="n">
        <v>924</v>
      </c>
      <c r="H195" s="13" t="n">
        <v>1100</v>
      </c>
      <c r="I195" s="13" t="n">
        <v>0</v>
      </c>
      <c r="J195" s="13" t="s">
        <v>583</v>
      </c>
      <c r="K195" s="15" t="s">
        <v>34</v>
      </c>
      <c r="L195" s="13" t="s">
        <v>111</v>
      </c>
      <c r="M195" s="16" t="b">
        <f aca="false">FALSE()</f>
        <v>0</v>
      </c>
      <c r="N195" s="13" t="s">
        <v>206</v>
      </c>
      <c r="O195" s="13" t="s">
        <v>128</v>
      </c>
      <c r="P195" s="13" t="s">
        <v>220</v>
      </c>
      <c r="Q195" s="13" t="s">
        <v>221</v>
      </c>
      <c r="R195" s="13" t="s">
        <v>222</v>
      </c>
    </row>
    <row r="196" customFormat="false" ht="15" hidden="false" customHeight="false" outlineLevel="0" collapsed="false">
      <c r="A196" s="13" t="s">
        <v>579</v>
      </c>
      <c r="B196" s="13" t="s">
        <v>580</v>
      </c>
      <c r="C196" s="13" t="s">
        <v>584</v>
      </c>
      <c r="D196" s="13" t="s">
        <v>224</v>
      </c>
      <c r="E196" s="13" t="s">
        <v>167</v>
      </c>
      <c r="F196" s="13"/>
      <c r="G196" s="13" t="n">
        <v>1</v>
      </c>
      <c r="H196" s="13" t="n">
        <v>1.1667</v>
      </c>
      <c r="I196" s="13" t="n">
        <v>0.0005</v>
      </c>
      <c r="J196" s="13" t="s">
        <v>237</v>
      </c>
      <c r="K196" s="15" t="s">
        <v>34</v>
      </c>
      <c r="L196" s="13" t="s">
        <v>111</v>
      </c>
      <c r="M196" s="16" t="b">
        <f aca="false">FALSE()</f>
        <v>0</v>
      </c>
      <c r="N196" s="13" t="s">
        <v>206</v>
      </c>
      <c r="O196" s="13" t="s">
        <v>226</v>
      </c>
      <c r="P196" s="13" t="s">
        <v>227</v>
      </c>
      <c r="Q196" s="13" t="s">
        <v>228</v>
      </c>
      <c r="R196" s="13" t="s">
        <v>229</v>
      </c>
    </row>
    <row r="197" customFormat="false" ht="15" hidden="false" customHeight="false" outlineLevel="0" collapsed="false">
      <c r="A197" s="13" t="s">
        <v>585</v>
      </c>
      <c r="B197" s="13" t="s">
        <v>586</v>
      </c>
      <c r="C197" s="13" t="s">
        <v>587</v>
      </c>
      <c r="D197" s="13" t="s">
        <v>152</v>
      </c>
      <c r="E197" s="13" t="s">
        <v>153</v>
      </c>
      <c r="F197" s="13"/>
      <c r="G197" s="13" t="n">
        <v>6</v>
      </c>
      <c r="H197" s="13" t="n">
        <v>7</v>
      </c>
      <c r="I197" s="13" t="n">
        <v>0</v>
      </c>
      <c r="J197" s="13" t="s">
        <v>233</v>
      </c>
      <c r="K197" s="15" t="s">
        <v>34</v>
      </c>
      <c r="L197" s="13" t="s">
        <v>111</v>
      </c>
      <c r="M197" s="16" t="b">
        <f aca="false">FALSE()</f>
        <v>0</v>
      </c>
      <c r="N197" s="13" t="s">
        <v>206</v>
      </c>
      <c r="O197" s="13" t="s">
        <v>128</v>
      </c>
      <c r="P197" s="13" t="s">
        <v>216</v>
      </c>
      <c r="Q197" s="13" t="s">
        <v>217</v>
      </c>
      <c r="R197" s="13" t="s">
        <v>63</v>
      </c>
    </row>
    <row r="198" customFormat="false" ht="15" hidden="false" customHeight="false" outlineLevel="0" collapsed="false">
      <c r="A198" s="13" t="s">
        <v>585</v>
      </c>
      <c r="B198" s="13" t="s">
        <v>586</v>
      </c>
      <c r="C198" s="13" t="s">
        <v>588</v>
      </c>
      <c r="D198" s="13" t="s">
        <v>175</v>
      </c>
      <c r="E198" s="13" t="s">
        <v>153</v>
      </c>
      <c r="F198" s="13"/>
      <c r="G198" s="13" t="n">
        <v>836</v>
      </c>
      <c r="H198" s="13" t="n">
        <v>1000</v>
      </c>
      <c r="I198" s="13" t="n">
        <v>0</v>
      </c>
      <c r="J198" s="13" t="s">
        <v>589</v>
      </c>
      <c r="K198" s="15" t="s">
        <v>34</v>
      </c>
      <c r="L198" s="13" t="s">
        <v>111</v>
      </c>
      <c r="M198" s="16" t="b">
        <f aca="false">FALSE()</f>
        <v>0</v>
      </c>
      <c r="N198" s="13" t="s">
        <v>206</v>
      </c>
      <c r="O198" s="13" t="s">
        <v>128</v>
      </c>
      <c r="P198" s="13" t="s">
        <v>220</v>
      </c>
      <c r="Q198" s="13" t="s">
        <v>221</v>
      </c>
      <c r="R198" s="13" t="s">
        <v>222</v>
      </c>
    </row>
    <row r="199" customFormat="false" ht="15" hidden="false" customHeight="false" outlineLevel="0" collapsed="false">
      <c r="A199" s="13" t="s">
        <v>585</v>
      </c>
      <c r="B199" s="13" t="s">
        <v>586</v>
      </c>
      <c r="C199" s="13" t="s">
        <v>590</v>
      </c>
      <c r="D199" s="13" t="s">
        <v>224</v>
      </c>
      <c r="E199" s="13" t="s">
        <v>167</v>
      </c>
      <c r="F199" s="13"/>
      <c r="G199" s="13" t="n">
        <v>1</v>
      </c>
      <c r="H199" s="13" t="n">
        <v>1.1667</v>
      </c>
      <c r="I199" s="13" t="n">
        <v>0.0005</v>
      </c>
      <c r="J199" s="13" t="s">
        <v>237</v>
      </c>
      <c r="K199" s="15" t="s">
        <v>34</v>
      </c>
      <c r="L199" s="13" t="s">
        <v>111</v>
      </c>
      <c r="M199" s="16" t="b">
        <f aca="false">FALSE()</f>
        <v>0</v>
      </c>
      <c r="N199" s="13" t="s">
        <v>206</v>
      </c>
      <c r="O199" s="13" t="s">
        <v>226</v>
      </c>
      <c r="P199" s="13" t="s">
        <v>227</v>
      </c>
      <c r="Q199" s="13" t="s">
        <v>228</v>
      </c>
      <c r="R199" s="13" t="s">
        <v>229</v>
      </c>
    </row>
    <row r="200" customFormat="false" ht="15" hidden="false" customHeight="false" outlineLevel="0" collapsed="false">
      <c r="A200" s="13" t="s">
        <v>591</v>
      </c>
      <c r="B200" s="13" t="s">
        <v>592</v>
      </c>
      <c r="C200" s="13" t="s">
        <v>593</v>
      </c>
      <c r="D200" s="13" t="s">
        <v>152</v>
      </c>
      <c r="E200" s="13" t="s">
        <v>153</v>
      </c>
      <c r="F200" s="13"/>
      <c r="G200" s="13" t="n">
        <v>6</v>
      </c>
      <c r="H200" s="13" t="n">
        <v>7</v>
      </c>
      <c r="I200" s="13" t="n">
        <v>0</v>
      </c>
      <c r="J200" s="13" t="s">
        <v>233</v>
      </c>
      <c r="K200" s="15" t="s">
        <v>34</v>
      </c>
      <c r="L200" s="13" t="s">
        <v>111</v>
      </c>
      <c r="M200" s="16" t="b">
        <f aca="false">FALSE()</f>
        <v>0</v>
      </c>
      <c r="N200" s="13" t="s">
        <v>206</v>
      </c>
      <c r="O200" s="13" t="s">
        <v>128</v>
      </c>
      <c r="P200" s="13" t="s">
        <v>216</v>
      </c>
      <c r="Q200" s="13" t="s">
        <v>217</v>
      </c>
      <c r="R200" s="13" t="s">
        <v>63</v>
      </c>
    </row>
    <row r="201" customFormat="false" ht="15" hidden="false" customHeight="false" outlineLevel="0" collapsed="false">
      <c r="A201" s="13" t="s">
        <v>591</v>
      </c>
      <c r="B201" s="13" t="s">
        <v>592</v>
      </c>
      <c r="C201" s="13" t="s">
        <v>594</v>
      </c>
      <c r="D201" s="13" t="s">
        <v>175</v>
      </c>
      <c r="E201" s="13" t="s">
        <v>153</v>
      </c>
      <c r="F201" s="13"/>
      <c r="G201" s="13" t="n">
        <v>1364</v>
      </c>
      <c r="H201" s="13" t="n">
        <v>1630</v>
      </c>
      <c r="I201" s="13" t="n">
        <v>0</v>
      </c>
      <c r="J201" s="13" t="s">
        <v>595</v>
      </c>
      <c r="K201" s="15" t="s">
        <v>34</v>
      </c>
      <c r="L201" s="13" t="s">
        <v>111</v>
      </c>
      <c r="M201" s="16" t="b">
        <f aca="false">FALSE()</f>
        <v>0</v>
      </c>
      <c r="N201" s="13" t="s">
        <v>206</v>
      </c>
      <c r="O201" s="13" t="s">
        <v>128</v>
      </c>
      <c r="P201" s="13" t="s">
        <v>220</v>
      </c>
      <c r="Q201" s="13" t="s">
        <v>221</v>
      </c>
      <c r="R201" s="13" t="s">
        <v>222</v>
      </c>
    </row>
    <row r="202" customFormat="false" ht="23.85" hidden="false" customHeight="false" outlineLevel="0" collapsed="false">
      <c r="A202" s="13" t="s">
        <v>591</v>
      </c>
      <c r="B202" s="13" t="s">
        <v>592</v>
      </c>
      <c r="C202" s="13" t="s">
        <v>596</v>
      </c>
      <c r="D202" s="13" t="s">
        <v>224</v>
      </c>
      <c r="E202" s="13" t="s">
        <v>167</v>
      </c>
      <c r="F202" s="13"/>
      <c r="G202" s="13" t="n">
        <v>1</v>
      </c>
      <c r="H202" s="13" t="n">
        <v>1.1667</v>
      </c>
      <c r="I202" s="13" t="n">
        <v>0.0005</v>
      </c>
      <c r="J202" s="13" t="s">
        <v>237</v>
      </c>
      <c r="K202" s="15" t="s">
        <v>34</v>
      </c>
      <c r="L202" s="13" t="s">
        <v>111</v>
      </c>
      <c r="M202" s="16" t="b">
        <f aca="false">FALSE()</f>
        <v>0</v>
      </c>
      <c r="N202" s="13" t="s">
        <v>206</v>
      </c>
      <c r="O202" s="13" t="s">
        <v>226</v>
      </c>
      <c r="P202" s="13" t="s">
        <v>227</v>
      </c>
      <c r="Q202" s="13" t="s">
        <v>228</v>
      </c>
      <c r="R202" s="13" t="s">
        <v>229</v>
      </c>
    </row>
    <row r="203" customFormat="false" ht="15" hidden="false" customHeight="false" outlineLevel="0" collapsed="false">
      <c r="A203" s="13" t="s">
        <v>597</v>
      </c>
      <c r="B203" s="13" t="s">
        <v>598</v>
      </c>
      <c r="C203" s="13" t="s">
        <v>599</v>
      </c>
      <c r="D203" s="13" t="s">
        <v>152</v>
      </c>
      <c r="E203" s="13" t="s">
        <v>153</v>
      </c>
      <c r="F203" s="13"/>
      <c r="G203" s="13" t="n">
        <v>6</v>
      </c>
      <c r="H203" s="13" t="n">
        <v>7</v>
      </c>
      <c r="I203" s="13" t="n">
        <v>0</v>
      </c>
      <c r="J203" s="13" t="s">
        <v>233</v>
      </c>
      <c r="K203" s="15" t="s">
        <v>34</v>
      </c>
      <c r="L203" s="13" t="s">
        <v>111</v>
      </c>
      <c r="M203" s="16" t="b">
        <f aca="false">FALSE()</f>
        <v>0</v>
      </c>
      <c r="N203" s="13" t="s">
        <v>206</v>
      </c>
      <c r="O203" s="13" t="s">
        <v>128</v>
      </c>
      <c r="P203" s="13" t="s">
        <v>216</v>
      </c>
      <c r="Q203" s="13" t="s">
        <v>217</v>
      </c>
      <c r="R203" s="13" t="s">
        <v>63</v>
      </c>
    </row>
    <row r="204" customFormat="false" ht="15" hidden="false" customHeight="false" outlineLevel="0" collapsed="false">
      <c r="A204" s="13" t="s">
        <v>597</v>
      </c>
      <c r="B204" s="13" t="s">
        <v>598</v>
      </c>
      <c r="C204" s="13" t="s">
        <v>600</v>
      </c>
      <c r="D204" s="13" t="s">
        <v>175</v>
      </c>
      <c r="E204" s="13" t="s">
        <v>153</v>
      </c>
      <c r="F204" s="13"/>
      <c r="G204" s="13" t="n">
        <v>1500</v>
      </c>
      <c r="H204" s="13" t="n">
        <v>1790</v>
      </c>
      <c r="I204" s="13" t="n">
        <v>0</v>
      </c>
      <c r="J204" s="13" t="s">
        <v>601</v>
      </c>
      <c r="K204" s="15" t="s">
        <v>34</v>
      </c>
      <c r="L204" s="13" t="s">
        <v>111</v>
      </c>
      <c r="M204" s="16" t="b">
        <f aca="false">FALSE()</f>
        <v>0</v>
      </c>
      <c r="N204" s="13" t="s">
        <v>206</v>
      </c>
      <c r="O204" s="13" t="s">
        <v>128</v>
      </c>
      <c r="P204" s="13" t="s">
        <v>220</v>
      </c>
      <c r="Q204" s="13" t="s">
        <v>221</v>
      </c>
      <c r="R204" s="13" t="s">
        <v>222</v>
      </c>
    </row>
    <row r="205" customFormat="false" ht="15" hidden="false" customHeight="false" outlineLevel="0" collapsed="false">
      <c r="A205" s="13" t="s">
        <v>597</v>
      </c>
      <c r="B205" s="13" t="s">
        <v>598</v>
      </c>
      <c r="C205" s="13" t="s">
        <v>602</v>
      </c>
      <c r="D205" s="13" t="s">
        <v>224</v>
      </c>
      <c r="E205" s="13" t="s">
        <v>167</v>
      </c>
      <c r="F205" s="13"/>
      <c r="G205" s="13" t="n">
        <v>1</v>
      </c>
      <c r="H205" s="13" t="n">
        <v>1.1667</v>
      </c>
      <c r="I205" s="13" t="n">
        <v>0.0005</v>
      </c>
      <c r="J205" s="13" t="s">
        <v>237</v>
      </c>
      <c r="K205" s="15" t="s">
        <v>34</v>
      </c>
      <c r="L205" s="13" t="s">
        <v>111</v>
      </c>
      <c r="M205" s="16" t="b">
        <f aca="false">FALSE()</f>
        <v>0</v>
      </c>
      <c r="N205" s="13" t="s">
        <v>206</v>
      </c>
      <c r="O205" s="13" t="s">
        <v>226</v>
      </c>
      <c r="P205" s="13" t="s">
        <v>227</v>
      </c>
      <c r="Q205" s="13" t="s">
        <v>228</v>
      </c>
      <c r="R205" s="13" t="s">
        <v>229</v>
      </c>
    </row>
    <row r="206" customFormat="false" ht="15" hidden="false" customHeight="false" outlineLevel="0" collapsed="false">
      <c r="A206" s="13" t="s">
        <v>603</v>
      </c>
      <c r="B206" s="13" t="s">
        <v>604</v>
      </c>
      <c r="C206" s="13" t="s">
        <v>605</v>
      </c>
      <c r="D206" s="13" t="s">
        <v>152</v>
      </c>
      <c r="E206" s="13" t="s">
        <v>153</v>
      </c>
      <c r="F206" s="13"/>
      <c r="G206" s="13" t="n">
        <v>7</v>
      </c>
      <c r="H206" s="13" t="n">
        <v>8</v>
      </c>
      <c r="I206" s="13" t="n">
        <v>0</v>
      </c>
      <c r="J206" s="13" t="s">
        <v>359</v>
      </c>
      <c r="K206" s="15" t="s">
        <v>34</v>
      </c>
      <c r="L206" s="13" t="s">
        <v>111</v>
      </c>
      <c r="M206" s="16" t="b">
        <f aca="false">FALSE()</f>
        <v>0</v>
      </c>
      <c r="N206" s="13" t="s">
        <v>206</v>
      </c>
      <c r="O206" s="13" t="s">
        <v>128</v>
      </c>
      <c r="P206" s="13" t="s">
        <v>216</v>
      </c>
      <c r="Q206" s="13" t="s">
        <v>217</v>
      </c>
      <c r="R206" s="13" t="s">
        <v>63</v>
      </c>
    </row>
    <row r="207" customFormat="false" ht="15" hidden="false" customHeight="false" outlineLevel="0" collapsed="false">
      <c r="A207" s="13" t="s">
        <v>603</v>
      </c>
      <c r="B207" s="13" t="s">
        <v>604</v>
      </c>
      <c r="C207" s="13" t="s">
        <v>606</v>
      </c>
      <c r="D207" s="13" t="s">
        <v>175</v>
      </c>
      <c r="E207" s="13" t="s">
        <v>153</v>
      </c>
      <c r="F207" s="13"/>
      <c r="G207" s="13" t="n">
        <v>950</v>
      </c>
      <c r="H207" s="13" t="n">
        <v>1110</v>
      </c>
      <c r="I207" s="13" t="n">
        <v>0</v>
      </c>
      <c r="J207" s="13" t="s">
        <v>607</v>
      </c>
      <c r="K207" s="15" t="s">
        <v>34</v>
      </c>
      <c r="L207" s="13" t="s">
        <v>111</v>
      </c>
      <c r="M207" s="16" t="b">
        <f aca="false">FALSE()</f>
        <v>0</v>
      </c>
      <c r="N207" s="13" t="s">
        <v>206</v>
      </c>
      <c r="O207" s="13" t="s">
        <v>128</v>
      </c>
      <c r="P207" s="13" t="s">
        <v>220</v>
      </c>
      <c r="Q207" s="13" t="s">
        <v>221</v>
      </c>
      <c r="R207" s="13" t="s">
        <v>222</v>
      </c>
    </row>
    <row r="208" customFormat="false" ht="23.85" hidden="false" customHeight="false" outlineLevel="0" collapsed="false">
      <c r="A208" s="13" t="s">
        <v>603</v>
      </c>
      <c r="B208" s="13" t="s">
        <v>604</v>
      </c>
      <c r="C208" s="13" t="s">
        <v>608</v>
      </c>
      <c r="D208" s="13" t="s">
        <v>224</v>
      </c>
      <c r="E208" s="13" t="s">
        <v>167</v>
      </c>
      <c r="F208" s="13"/>
      <c r="G208" s="13" t="n">
        <v>1</v>
      </c>
      <c r="H208" s="13" t="n">
        <v>1.1429</v>
      </c>
      <c r="I208" s="13" t="n">
        <v>0.0005</v>
      </c>
      <c r="J208" s="13" t="s">
        <v>363</v>
      </c>
      <c r="K208" s="15" t="s">
        <v>34</v>
      </c>
      <c r="L208" s="13" t="s">
        <v>111</v>
      </c>
      <c r="M208" s="16" t="b">
        <f aca="false">FALSE()</f>
        <v>0</v>
      </c>
      <c r="N208" s="13" t="s">
        <v>206</v>
      </c>
      <c r="O208" s="13" t="s">
        <v>226</v>
      </c>
      <c r="P208" s="13" t="s">
        <v>227</v>
      </c>
      <c r="Q208" s="13" t="s">
        <v>228</v>
      </c>
      <c r="R208" s="13" t="s">
        <v>229</v>
      </c>
    </row>
    <row r="209" customFormat="false" ht="23.85" hidden="false" customHeight="false" outlineLevel="0" collapsed="false">
      <c r="A209" s="13" t="s">
        <v>609</v>
      </c>
      <c r="B209" s="13" t="s">
        <v>610</v>
      </c>
      <c r="C209" s="13" t="s">
        <v>611</v>
      </c>
      <c r="D209" s="13" t="s">
        <v>152</v>
      </c>
      <c r="E209" s="13" t="s">
        <v>153</v>
      </c>
      <c r="F209" s="13"/>
      <c r="G209" s="13" t="n">
        <v>7</v>
      </c>
      <c r="H209" s="13" t="n">
        <v>8</v>
      </c>
      <c r="I209" s="13" t="n">
        <v>0</v>
      </c>
      <c r="J209" s="13" t="s">
        <v>359</v>
      </c>
      <c r="K209" s="15" t="s">
        <v>34</v>
      </c>
      <c r="L209" s="13" t="s">
        <v>111</v>
      </c>
      <c r="M209" s="16" t="b">
        <f aca="false">FALSE()</f>
        <v>0</v>
      </c>
      <c r="N209" s="13" t="s">
        <v>206</v>
      </c>
      <c r="O209" s="13" t="s">
        <v>128</v>
      </c>
      <c r="P209" s="13" t="s">
        <v>216</v>
      </c>
      <c r="Q209" s="13" t="s">
        <v>217</v>
      </c>
      <c r="R209" s="13" t="s">
        <v>63</v>
      </c>
    </row>
    <row r="210" customFormat="false" ht="23.85" hidden="false" customHeight="false" outlineLevel="0" collapsed="false">
      <c r="A210" s="13" t="s">
        <v>609</v>
      </c>
      <c r="B210" s="13" t="s">
        <v>610</v>
      </c>
      <c r="C210" s="13" t="s">
        <v>612</v>
      </c>
      <c r="D210" s="13" t="s">
        <v>175</v>
      </c>
      <c r="E210" s="13" t="s">
        <v>153</v>
      </c>
      <c r="F210" s="13"/>
      <c r="G210" s="13" t="n">
        <v>1300</v>
      </c>
      <c r="H210" s="13" t="n">
        <v>1520</v>
      </c>
      <c r="I210" s="13" t="n">
        <v>0</v>
      </c>
      <c r="J210" s="13" t="s">
        <v>613</v>
      </c>
      <c r="K210" s="15" t="s">
        <v>34</v>
      </c>
      <c r="L210" s="13" t="s">
        <v>111</v>
      </c>
      <c r="M210" s="16" t="b">
        <f aca="false">FALSE()</f>
        <v>0</v>
      </c>
      <c r="N210" s="13" t="s">
        <v>206</v>
      </c>
      <c r="O210" s="13" t="s">
        <v>128</v>
      </c>
      <c r="P210" s="13" t="s">
        <v>220</v>
      </c>
      <c r="Q210" s="13" t="s">
        <v>221</v>
      </c>
      <c r="R210" s="13" t="s">
        <v>222</v>
      </c>
    </row>
    <row r="211" customFormat="false" ht="23.85" hidden="false" customHeight="false" outlineLevel="0" collapsed="false">
      <c r="A211" s="13" t="s">
        <v>609</v>
      </c>
      <c r="B211" s="13" t="s">
        <v>610</v>
      </c>
      <c r="C211" s="13" t="s">
        <v>614</v>
      </c>
      <c r="D211" s="13" t="s">
        <v>224</v>
      </c>
      <c r="E211" s="13" t="s">
        <v>167</v>
      </c>
      <c r="F211" s="13"/>
      <c r="G211" s="13" t="n">
        <v>1</v>
      </c>
      <c r="H211" s="13" t="n">
        <v>1.1429</v>
      </c>
      <c r="I211" s="13" t="n">
        <v>0.0005</v>
      </c>
      <c r="J211" s="13" t="s">
        <v>363</v>
      </c>
      <c r="K211" s="15" t="s">
        <v>34</v>
      </c>
      <c r="L211" s="13" t="s">
        <v>111</v>
      </c>
      <c r="M211" s="16" t="b">
        <f aca="false">FALSE()</f>
        <v>0</v>
      </c>
      <c r="N211" s="13" t="s">
        <v>206</v>
      </c>
      <c r="O211" s="13" t="s">
        <v>226</v>
      </c>
      <c r="P211" s="13" t="s">
        <v>227</v>
      </c>
      <c r="Q211" s="13" t="s">
        <v>228</v>
      </c>
      <c r="R211" s="13" t="s">
        <v>229</v>
      </c>
    </row>
    <row r="212" customFormat="false" ht="23.85" hidden="false" customHeight="false" outlineLevel="0" collapsed="false">
      <c r="A212" s="13" t="s">
        <v>615</v>
      </c>
      <c r="B212" s="13" t="s">
        <v>616</v>
      </c>
      <c r="C212" s="13" t="s">
        <v>617</v>
      </c>
      <c r="D212" s="13" t="s">
        <v>152</v>
      </c>
      <c r="E212" s="13" t="s">
        <v>153</v>
      </c>
      <c r="F212" s="13"/>
      <c r="G212" s="13" t="n">
        <v>8</v>
      </c>
      <c r="H212" s="13" t="n">
        <v>9</v>
      </c>
      <c r="I212" s="13" t="n">
        <v>0</v>
      </c>
      <c r="J212" s="13" t="s">
        <v>253</v>
      </c>
      <c r="K212" s="15" t="s">
        <v>34</v>
      </c>
      <c r="L212" s="13" t="s">
        <v>111</v>
      </c>
      <c r="M212" s="16" t="b">
        <f aca="false">FALSE()</f>
        <v>0</v>
      </c>
      <c r="N212" s="13" t="s">
        <v>206</v>
      </c>
      <c r="O212" s="13" t="s">
        <v>128</v>
      </c>
      <c r="P212" s="13" t="s">
        <v>216</v>
      </c>
      <c r="Q212" s="13" t="s">
        <v>217</v>
      </c>
      <c r="R212" s="13" t="s">
        <v>63</v>
      </c>
    </row>
    <row r="213" customFormat="false" ht="23.85" hidden="false" customHeight="false" outlineLevel="0" collapsed="false">
      <c r="A213" s="13" t="s">
        <v>615</v>
      </c>
      <c r="B213" s="13" t="s">
        <v>616</v>
      </c>
      <c r="C213" s="13" t="s">
        <v>618</v>
      </c>
      <c r="D213" s="13" t="s">
        <v>175</v>
      </c>
      <c r="E213" s="13" t="s">
        <v>153</v>
      </c>
      <c r="F213" s="13"/>
      <c r="G213" s="13" t="n">
        <v>900</v>
      </c>
      <c r="H213" s="13" t="n">
        <v>1030</v>
      </c>
      <c r="I213" s="13" t="n">
        <v>0</v>
      </c>
      <c r="J213" s="13" t="s">
        <v>619</v>
      </c>
      <c r="K213" s="15" t="s">
        <v>34</v>
      </c>
      <c r="L213" s="13" t="s">
        <v>111</v>
      </c>
      <c r="M213" s="16" t="b">
        <f aca="false">FALSE()</f>
        <v>0</v>
      </c>
      <c r="N213" s="13" t="s">
        <v>206</v>
      </c>
      <c r="O213" s="13" t="s">
        <v>128</v>
      </c>
      <c r="P213" s="13" t="s">
        <v>220</v>
      </c>
      <c r="Q213" s="13" t="s">
        <v>221</v>
      </c>
      <c r="R213" s="13" t="s">
        <v>222</v>
      </c>
    </row>
    <row r="214" customFormat="false" ht="23.85" hidden="false" customHeight="false" outlineLevel="0" collapsed="false">
      <c r="A214" s="13" t="s">
        <v>615</v>
      </c>
      <c r="B214" s="13" t="s">
        <v>616</v>
      </c>
      <c r="C214" s="13" t="s">
        <v>620</v>
      </c>
      <c r="D214" s="13" t="s">
        <v>224</v>
      </c>
      <c r="E214" s="13" t="s">
        <v>167</v>
      </c>
      <c r="F214" s="13"/>
      <c r="G214" s="13" t="n">
        <v>1</v>
      </c>
      <c r="H214" s="13" t="n">
        <v>1.1391</v>
      </c>
      <c r="I214" s="13" t="n">
        <v>0.0005</v>
      </c>
      <c r="J214" s="13" t="s">
        <v>260</v>
      </c>
      <c r="K214" s="15" t="s">
        <v>34</v>
      </c>
      <c r="L214" s="13" t="s">
        <v>111</v>
      </c>
      <c r="M214" s="16" t="b">
        <f aca="false">FALSE()</f>
        <v>0</v>
      </c>
      <c r="N214" s="13" t="s">
        <v>206</v>
      </c>
      <c r="O214" s="13" t="s">
        <v>226</v>
      </c>
      <c r="P214" s="13" t="s">
        <v>227</v>
      </c>
      <c r="Q214" s="13" t="s">
        <v>228</v>
      </c>
      <c r="R214" s="13" t="s">
        <v>229</v>
      </c>
    </row>
    <row r="215" customFormat="false" ht="15" hidden="false" customHeight="false" outlineLevel="0" collapsed="false">
      <c r="A215" s="13" t="s">
        <v>621</v>
      </c>
      <c r="B215" s="13" t="s">
        <v>622</v>
      </c>
      <c r="C215" s="13" t="s">
        <v>623</v>
      </c>
      <c r="D215" s="13" t="s">
        <v>152</v>
      </c>
      <c r="E215" s="13" t="s">
        <v>153</v>
      </c>
      <c r="F215" s="13"/>
      <c r="G215" s="13" t="n">
        <v>9</v>
      </c>
      <c r="H215" s="13" t="n">
        <v>11</v>
      </c>
      <c r="I215" s="13" t="n">
        <v>0</v>
      </c>
      <c r="J215" s="13" t="s">
        <v>266</v>
      </c>
      <c r="K215" s="15" t="s">
        <v>34</v>
      </c>
      <c r="L215" s="13" t="s">
        <v>111</v>
      </c>
      <c r="M215" s="16" t="b">
        <f aca="false">FALSE()</f>
        <v>0</v>
      </c>
      <c r="N215" s="13" t="s">
        <v>206</v>
      </c>
      <c r="O215" s="13" t="s">
        <v>128</v>
      </c>
      <c r="P215" s="13" t="s">
        <v>216</v>
      </c>
      <c r="Q215" s="13" t="s">
        <v>217</v>
      </c>
      <c r="R215" s="13" t="s">
        <v>63</v>
      </c>
    </row>
    <row r="216" customFormat="false" ht="15" hidden="false" customHeight="false" outlineLevel="0" collapsed="false">
      <c r="A216" s="13" t="s">
        <v>621</v>
      </c>
      <c r="B216" s="13" t="s">
        <v>622</v>
      </c>
      <c r="C216" s="13" t="s">
        <v>624</v>
      </c>
      <c r="D216" s="13" t="s">
        <v>175</v>
      </c>
      <c r="E216" s="13" t="s">
        <v>153</v>
      </c>
      <c r="F216" s="13"/>
      <c r="G216" s="13" t="n">
        <v>1540</v>
      </c>
      <c r="H216" s="13" t="n">
        <v>1940</v>
      </c>
      <c r="I216" s="13" t="n">
        <v>0</v>
      </c>
      <c r="J216" s="13" t="s">
        <v>625</v>
      </c>
      <c r="K216" s="15" t="s">
        <v>34</v>
      </c>
      <c r="L216" s="13" t="s">
        <v>111</v>
      </c>
      <c r="M216" s="16" t="b">
        <f aca="false">FALSE()</f>
        <v>0</v>
      </c>
      <c r="N216" s="13" t="s">
        <v>206</v>
      </c>
      <c r="O216" s="13" t="s">
        <v>128</v>
      </c>
      <c r="P216" s="13" t="s">
        <v>220</v>
      </c>
      <c r="Q216" s="13" t="s">
        <v>221</v>
      </c>
      <c r="R216" s="13" t="s">
        <v>222</v>
      </c>
    </row>
    <row r="217" customFormat="false" ht="15" hidden="false" customHeight="false" outlineLevel="0" collapsed="false">
      <c r="A217" s="13" t="s">
        <v>621</v>
      </c>
      <c r="B217" s="13" t="s">
        <v>622</v>
      </c>
      <c r="C217" s="13" t="s">
        <v>626</v>
      </c>
      <c r="D217" s="13" t="s">
        <v>224</v>
      </c>
      <c r="E217" s="13" t="s">
        <v>167</v>
      </c>
      <c r="F217" s="13"/>
      <c r="G217" s="13" t="n">
        <v>1</v>
      </c>
      <c r="H217" s="13" t="n">
        <v>1.2681</v>
      </c>
      <c r="I217" s="13" t="n">
        <v>0.0005</v>
      </c>
      <c r="J217" s="13" t="s">
        <v>270</v>
      </c>
      <c r="K217" s="15" t="s">
        <v>34</v>
      </c>
      <c r="L217" s="13" t="s">
        <v>111</v>
      </c>
      <c r="M217" s="16" t="b">
        <f aca="false">FALSE()</f>
        <v>0</v>
      </c>
      <c r="N217" s="13" t="s">
        <v>206</v>
      </c>
      <c r="O217" s="13" t="s">
        <v>226</v>
      </c>
      <c r="P217" s="13" t="s">
        <v>227</v>
      </c>
      <c r="Q217" s="13" t="s">
        <v>228</v>
      </c>
      <c r="R217" s="13" t="s">
        <v>229</v>
      </c>
    </row>
    <row r="218" customFormat="false" ht="15" hidden="false" customHeight="false" outlineLevel="0" collapsed="false">
      <c r="A218" s="13" t="s">
        <v>627</v>
      </c>
      <c r="B218" s="13" t="s">
        <v>628</v>
      </c>
      <c r="C218" s="13" t="s">
        <v>629</v>
      </c>
      <c r="D218" s="13" t="s">
        <v>152</v>
      </c>
      <c r="E218" s="13" t="s">
        <v>153</v>
      </c>
      <c r="F218" s="13"/>
      <c r="G218" s="13" t="n">
        <v>10</v>
      </c>
      <c r="H218" s="13" t="n">
        <v>13</v>
      </c>
      <c r="I218" s="13" t="n">
        <v>0</v>
      </c>
      <c r="J218" s="13" t="s">
        <v>274</v>
      </c>
      <c r="K218" s="15" t="s">
        <v>34</v>
      </c>
      <c r="L218" s="13" t="s">
        <v>111</v>
      </c>
      <c r="M218" s="16" t="b">
        <f aca="false">FALSE()</f>
        <v>0</v>
      </c>
      <c r="N218" s="13" t="s">
        <v>206</v>
      </c>
      <c r="O218" s="13" t="s">
        <v>128</v>
      </c>
      <c r="P218" s="13" t="s">
        <v>216</v>
      </c>
      <c r="Q218" s="13" t="s">
        <v>217</v>
      </c>
      <c r="R218" s="13" t="s">
        <v>63</v>
      </c>
    </row>
    <row r="219" customFormat="false" ht="15" hidden="false" customHeight="false" outlineLevel="0" collapsed="false">
      <c r="A219" s="13" t="s">
        <v>627</v>
      </c>
      <c r="B219" s="13" t="s">
        <v>628</v>
      </c>
      <c r="C219" s="13" t="s">
        <v>630</v>
      </c>
      <c r="D219" s="13" t="s">
        <v>175</v>
      </c>
      <c r="E219" s="13" t="s">
        <v>153</v>
      </c>
      <c r="F219" s="13"/>
      <c r="G219" s="13" t="n">
        <v>924</v>
      </c>
      <c r="H219" s="13" t="n">
        <v>1250</v>
      </c>
      <c r="I219" s="13" t="n">
        <v>0</v>
      </c>
      <c r="J219" s="13" t="s">
        <v>631</v>
      </c>
      <c r="K219" s="15" t="s">
        <v>34</v>
      </c>
      <c r="L219" s="13" t="s">
        <v>111</v>
      </c>
      <c r="M219" s="16" t="b">
        <f aca="false">FALSE()</f>
        <v>0</v>
      </c>
      <c r="N219" s="13" t="s">
        <v>206</v>
      </c>
      <c r="O219" s="13" t="s">
        <v>128</v>
      </c>
      <c r="P219" s="13" t="s">
        <v>220</v>
      </c>
      <c r="Q219" s="13" t="s">
        <v>221</v>
      </c>
      <c r="R219" s="13" t="s">
        <v>222</v>
      </c>
    </row>
    <row r="220" customFormat="false" ht="15" hidden="false" customHeight="false" outlineLevel="0" collapsed="false">
      <c r="A220" s="13" t="s">
        <v>627</v>
      </c>
      <c r="B220" s="13" t="s">
        <v>628</v>
      </c>
      <c r="C220" s="13" t="s">
        <v>632</v>
      </c>
      <c r="D220" s="13" t="s">
        <v>224</v>
      </c>
      <c r="E220" s="13" t="s">
        <v>167</v>
      </c>
      <c r="F220" s="13"/>
      <c r="G220" s="13" t="n">
        <v>1</v>
      </c>
      <c r="H220" s="13" t="n">
        <v>1.3813</v>
      </c>
      <c r="I220" s="13" t="n">
        <v>0.0005</v>
      </c>
      <c r="J220" s="13" t="s">
        <v>280</v>
      </c>
      <c r="K220" s="15" t="s">
        <v>34</v>
      </c>
      <c r="L220" s="13" t="s">
        <v>111</v>
      </c>
      <c r="M220" s="16" t="b">
        <f aca="false">FALSE()</f>
        <v>0</v>
      </c>
      <c r="N220" s="13" t="s">
        <v>206</v>
      </c>
      <c r="O220" s="13" t="s">
        <v>226</v>
      </c>
      <c r="P220" s="13" t="s">
        <v>227</v>
      </c>
      <c r="Q220" s="13" t="s">
        <v>228</v>
      </c>
      <c r="R220" s="13" t="s">
        <v>229</v>
      </c>
    </row>
    <row r="221" customFormat="false" ht="23.85" hidden="false" customHeight="false" outlineLevel="0" collapsed="false">
      <c r="A221" s="13" t="s">
        <v>633</v>
      </c>
      <c r="B221" s="13" t="s">
        <v>634</v>
      </c>
      <c r="C221" s="13" t="s">
        <v>635</v>
      </c>
      <c r="D221" s="13" t="s">
        <v>204</v>
      </c>
      <c r="E221" s="13" t="s">
        <v>167</v>
      </c>
      <c r="F221" s="13"/>
      <c r="G221" s="13" t="n">
        <v>3.5</v>
      </c>
      <c r="H221" s="13" t="n">
        <v>2.5</v>
      </c>
      <c r="I221" s="13" t="n">
        <v>0.001</v>
      </c>
      <c r="J221" s="13" t="s">
        <v>205</v>
      </c>
      <c r="K221" s="15" t="s">
        <v>34</v>
      </c>
      <c r="L221" s="13" t="s">
        <v>111</v>
      </c>
      <c r="M221" s="16" t="b">
        <f aca="false">FALSE()</f>
        <v>0</v>
      </c>
      <c r="N221" s="13" t="s">
        <v>206</v>
      </c>
      <c r="O221" s="13" t="s">
        <v>128</v>
      </c>
      <c r="P221" s="13" t="s">
        <v>207</v>
      </c>
      <c r="Q221" s="13" t="s">
        <v>208</v>
      </c>
      <c r="R221" s="13" t="s">
        <v>63</v>
      </c>
    </row>
    <row r="222" customFormat="false" ht="23.85" hidden="false" customHeight="false" outlineLevel="0" collapsed="false">
      <c r="A222" s="13" t="s">
        <v>636</v>
      </c>
      <c r="B222" s="13" t="s">
        <v>637</v>
      </c>
      <c r="C222" s="13" t="s">
        <v>638</v>
      </c>
      <c r="D222" s="13" t="s">
        <v>204</v>
      </c>
      <c r="E222" s="13" t="s">
        <v>167</v>
      </c>
      <c r="F222" s="13"/>
      <c r="G222" s="13" t="n">
        <v>3.5</v>
      </c>
      <c r="H222" s="13" t="n">
        <v>2.5</v>
      </c>
      <c r="I222" s="13" t="n">
        <v>0.001</v>
      </c>
      <c r="J222" s="13" t="s">
        <v>205</v>
      </c>
      <c r="K222" s="15" t="s">
        <v>34</v>
      </c>
      <c r="L222" s="13" t="s">
        <v>111</v>
      </c>
      <c r="M222" s="16" t="b">
        <f aca="false">FALSE()</f>
        <v>0</v>
      </c>
      <c r="N222" s="13" t="s">
        <v>206</v>
      </c>
      <c r="O222" s="13" t="s">
        <v>128</v>
      </c>
      <c r="P222" s="13" t="s">
        <v>207</v>
      </c>
      <c r="Q222" s="13" t="s">
        <v>208</v>
      </c>
      <c r="R222" s="13" t="s">
        <v>63</v>
      </c>
    </row>
    <row r="223" customFormat="false" ht="15" hidden="false" customHeight="false" outlineLevel="0" collapsed="false">
      <c r="A223" s="13" t="s">
        <v>639</v>
      </c>
      <c r="B223" s="13" t="s">
        <v>640</v>
      </c>
      <c r="C223" s="13" t="s">
        <v>641</v>
      </c>
      <c r="D223" s="13" t="s">
        <v>152</v>
      </c>
      <c r="E223" s="13" t="s">
        <v>153</v>
      </c>
      <c r="F223" s="13"/>
      <c r="G223" s="13" t="n">
        <v>5</v>
      </c>
      <c r="H223" s="13" t="n">
        <v>6</v>
      </c>
      <c r="I223" s="13" t="n">
        <v>0</v>
      </c>
      <c r="J223" s="13" t="s">
        <v>215</v>
      </c>
      <c r="K223" s="15" t="s">
        <v>34</v>
      </c>
      <c r="L223" s="13" t="s">
        <v>111</v>
      </c>
      <c r="M223" s="16" t="b">
        <f aca="false">FALSE()</f>
        <v>0</v>
      </c>
      <c r="N223" s="13" t="s">
        <v>206</v>
      </c>
      <c r="O223" s="13" t="s">
        <v>128</v>
      </c>
      <c r="P223" s="13" t="s">
        <v>216</v>
      </c>
      <c r="Q223" s="13" t="s">
        <v>217</v>
      </c>
      <c r="R223" s="13" t="s">
        <v>63</v>
      </c>
    </row>
    <row r="224" customFormat="false" ht="15" hidden="false" customHeight="false" outlineLevel="0" collapsed="false">
      <c r="A224" s="13" t="s">
        <v>639</v>
      </c>
      <c r="B224" s="13" t="s">
        <v>640</v>
      </c>
      <c r="C224" s="13" t="s">
        <v>642</v>
      </c>
      <c r="D224" s="13" t="s">
        <v>175</v>
      </c>
      <c r="E224" s="13" t="s">
        <v>153</v>
      </c>
      <c r="F224" s="13"/>
      <c r="G224" s="13" t="n">
        <v>1199</v>
      </c>
      <c r="H224" s="13" t="n">
        <v>1480</v>
      </c>
      <c r="I224" s="13" t="n">
        <v>0</v>
      </c>
      <c r="J224" s="13" t="s">
        <v>643</v>
      </c>
      <c r="K224" s="15" t="s">
        <v>34</v>
      </c>
      <c r="L224" s="13" t="s">
        <v>111</v>
      </c>
      <c r="M224" s="16" t="b">
        <f aca="false">FALSE()</f>
        <v>0</v>
      </c>
      <c r="N224" s="13" t="s">
        <v>206</v>
      </c>
      <c r="O224" s="13" t="s">
        <v>128</v>
      </c>
      <c r="P224" s="13" t="s">
        <v>220</v>
      </c>
      <c r="Q224" s="13" t="s">
        <v>221</v>
      </c>
      <c r="R224" s="13" t="s">
        <v>222</v>
      </c>
    </row>
    <row r="225" customFormat="false" ht="15" hidden="false" customHeight="false" outlineLevel="0" collapsed="false">
      <c r="A225" s="13" t="s">
        <v>639</v>
      </c>
      <c r="B225" s="13" t="s">
        <v>640</v>
      </c>
      <c r="C225" s="13" t="s">
        <v>644</v>
      </c>
      <c r="D225" s="13" t="s">
        <v>224</v>
      </c>
      <c r="E225" s="13" t="s">
        <v>167</v>
      </c>
      <c r="F225" s="13"/>
      <c r="G225" s="13" t="n">
        <v>1</v>
      </c>
      <c r="H225" s="13" t="n">
        <v>1.2</v>
      </c>
      <c r="I225" s="13" t="n">
        <v>0.0005</v>
      </c>
      <c r="J225" s="13" t="s">
        <v>645</v>
      </c>
      <c r="K225" s="15" t="s">
        <v>34</v>
      </c>
      <c r="L225" s="13" t="s">
        <v>111</v>
      </c>
      <c r="M225" s="16" t="b">
        <f aca="false">FALSE()</f>
        <v>0</v>
      </c>
      <c r="N225" s="13" t="s">
        <v>206</v>
      </c>
      <c r="O225" s="13" t="s">
        <v>226</v>
      </c>
      <c r="P225" s="13" t="s">
        <v>227</v>
      </c>
      <c r="Q225" s="13" t="s">
        <v>258</v>
      </c>
      <c r="R225" s="13" t="s">
        <v>229</v>
      </c>
    </row>
    <row r="226" customFormat="false" ht="15" hidden="false" customHeight="false" outlineLevel="0" collapsed="false">
      <c r="A226" s="13" t="s">
        <v>646</v>
      </c>
      <c r="B226" s="13" t="s">
        <v>647</v>
      </c>
      <c r="C226" s="13" t="s">
        <v>648</v>
      </c>
      <c r="D226" s="13" t="s">
        <v>152</v>
      </c>
      <c r="E226" s="13" t="s">
        <v>153</v>
      </c>
      <c r="F226" s="13"/>
      <c r="G226" s="13" t="n">
        <v>6</v>
      </c>
      <c r="H226" s="13" t="n">
        <v>7</v>
      </c>
      <c r="I226" s="13" t="n">
        <v>0</v>
      </c>
      <c r="J226" s="13" t="s">
        <v>233</v>
      </c>
      <c r="K226" s="15" t="s">
        <v>34</v>
      </c>
      <c r="L226" s="13" t="s">
        <v>111</v>
      </c>
      <c r="M226" s="16" t="b">
        <f aca="false">FALSE()</f>
        <v>0</v>
      </c>
      <c r="N226" s="13" t="s">
        <v>206</v>
      </c>
      <c r="O226" s="13" t="s">
        <v>128</v>
      </c>
      <c r="P226" s="13" t="s">
        <v>216</v>
      </c>
      <c r="Q226" s="13" t="s">
        <v>217</v>
      </c>
      <c r="R226" s="13" t="s">
        <v>63</v>
      </c>
    </row>
    <row r="227" customFormat="false" ht="15" hidden="false" customHeight="false" outlineLevel="0" collapsed="false">
      <c r="A227" s="13" t="s">
        <v>646</v>
      </c>
      <c r="B227" s="13" t="s">
        <v>647</v>
      </c>
      <c r="C227" s="13" t="s">
        <v>649</v>
      </c>
      <c r="D227" s="13" t="s">
        <v>175</v>
      </c>
      <c r="E227" s="13" t="s">
        <v>153</v>
      </c>
      <c r="F227" s="13"/>
      <c r="G227" s="13" t="n">
        <v>660</v>
      </c>
      <c r="H227" s="13" t="n">
        <v>790</v>
      </c>
      <c r="I227" s="13" t="n">
        <v>0</v>
      </c>
      <c r="J227" s="13" t="s">
        <v>380</v>
      </c>
      <c r="K227" s="15" t="s">
        <v>34</v>
      </c>
      <c r="L227" s="13" t="s">
        <v>111</v>
      </c>
      <c r="M227" s="16" t="b">
        <f aca="false">FALSE()</f>
        <v>0</v>
      </c>
      <c r="N227" s="13" t="s">
        <v>206</v>
      </c>
      <c r="O227" s="13" t="s">
        <v>128</v>
      </c>
      <c r="P227" s="13" t="s">
        <v>220</v>
      </c>
      <c r="Q227" s="13" t="s">
        <v>221</v>
      </c>
      <c r="R227" s="13" t="s">
        <v>222</v>
      </c>
    </row>
    <row r="228" customFormat="false" ht="15" hidden="false" customHeight="false" outlineLevel="0" collapsed="false">
      <c r="A228" s="13" t="s">
        <v>646</v>
      </c>
      <c r="B228" s="13" t="s">
        <v>647</v>
      </c>
      <c r="C228" s="13" t="s">
        <v>650</v>
      </c>
      <c r="D228" s="13" t="s">
        <v>224</v>
      </c>
      <c r="E228" s="13" t="s">
        <v>167</v>
      </c>
      <c r="F228" s="13"/>
      <c r="G228" s="13" t="n">
        <v>1</v>
      </c>
      <c r="H228" s="13" t="n">
        <v>1.1667</v>
      </c>
      <c r="I228" s="13" t="n">
        <v>0.0005</v>
      </c>
      <c r="J228" s="13" t="s">
        <v>651</v>
      </c>
      <c r="K228" s="15" t="s">
        <v>34</v>
      </c>
      <c r="L228" s="13" t="s">
        <v>111</v>
      </c>
      <c r="M228" s="16" t="b">
        <f aca="false">FALSE()</f>
        <v>0</v>
      </c>
      <c r="N228" s="13" t="s">
        <v>206</v>
      </c>
      <c r="O228" s="13" t="s">
        <v>226</v>
      </c>
      <c r="P228" s="13" t="s">
        <v>227</v>
      </c>
      <c r="Q228" s="13" t="s">
        <v>258</v>
      </c>
      <c r="R228" s="13" t="s">
        <v>229</v>
      </c>
    </row>
    <row r="229" customFormat="false" ht="15" hidden="false" customHeight="false" outlineLevel="0" collapsed="false">
      <c r="A229" s="13" t="s">
        <v>652</v>
      </c>
      <c r="B229" s="13" t="s">
        <v>653</v>
      </c>
      <c r="C229" s="13" t="s">
        <v>654</v>
      </c>
      <c r="D229" s="13" t="s">
        <v>152</v>
      </c>
      <c r="E229" s="13" t="s">
        <v>153</v>
      </c>
      <c r="F229" s="13"/>
      <c r="G229" s="13" t="n">
        <v>6</v>
      </c>
      <c r="H229" s="13" t="n">
        <v>7</v>
      </c>
      <c r="I229" s="13" t="n">
        <v>0</v>
      </c>
      <c r="J229" s="13" t="s">
        <v>233</v>
      </c>
      <c r="K229" s="15" t="s">
        <v>34</v>
      </c>
      <c r="L229" s="13" t="s">
        <v>111</v>
      </c>
      <c r="M229" s="16" t="b">
        <f aca="false">FALSE()</f>
        <v>0</v>
      </c>
      <c r="N229" s="13" t="s">
        <v>206</v>
      </c>
      <c r="O229" s="13" t="s">
        <v>128</v>
      </c>
      <c r="P229" s="13" t="s">
        <v>216</v>
      </c>
      <c r="Q229" s="13" t="s">
        <v>217</v>
      </c>
      <c r="R229" s="13" t="s">
        <v>63</v>
      </c>
    </row>
    <row r="230" customFormat="false" ht="15" hidden="false" customHeight="false" outlineLevel="0" collapsed="false">
      <c r="A230" s="13" t="s">
        <v>652</v>
      </c>
      <c r="B230" s="13" t="s">
        <v>653</v>
      </c>
      <c r="C230" s="13" t="s">
        <v>655</v>
      </c>
      <c r="D230" s="13" t="s">
        <v>175</v>
      </c>
      <c r="E230" s="13" t="s">
        <v>153</v>
      </c>
      <c r="F230" s="13"/>
      <c r="G230" s="13" t="n">
        <v>700</v>
      </c>
      <c r="H230" s="13" t="n">
        <v>840</v>
      </c>
      <c r="I230" s="13" t="n">
        <v>0</v>
      </c>
      <c r="J230" s="13" t="s">
        <v>656</v>
      </c>
      <c r="K230" s="15" t="s">
        <v>34</v>
      </c>
      <c r="L230" s="13" t="s">
        <v>111</v>
      </c>
      <c r="M230" s="16" t="b">
        <f aca="false">FALSE()</f>
        <v>0</v>
      </c>
      <c r="N230" s="13" t="s">
        <v>206</v>
      </c>
      <c r="O230" s="13" t="s">
        <v>128</v>
      </c>
      <c r="P230" s="13" t="s">
        <v>220</v>
      </c>
      <c r="Q230" s="13" t="s">
        <v>221</v>
      </c>
      <c r="R230" s="13" t="s">
        <v>222</v>
      </c>
    </row>
    <row r="231" customFormat="false" ht="23.85" hidden="false" customHeight="false" outlineLevel="0" collapsed="false">
      <c r="A231" s="13" t="s">
        <v>652</v>
      </c>
      <c r="B231" s="13" t="s">
        <v>653</v>
      </c>
      <c r="C231" s="13" t="s">
        <v>657</v>
      </c>
      <c r="D231" s="13" t="s">
        <v>224</v>
      </c>
      <c r="E231" s="13" t="s">
        <v>167</v>
      </c>
      <c r="F231" s="13"/>
      <c r="G231" s="13" t="n">
        <v>1</v>
      </c>
      <c r="H231" s="13" t="n">
        <v>1.1667</v>
      </c>
      <c r="I231" s="13" t="n">
        <v>0.0005</v>
      </c>
      <c r="J231" s="13" t="s">
        <v>651</v>
      </c>
      <c r="K231" s="15" t="s">
        <v>34</v>
      </c>
      <c r="L231" s="13" t="s">
        <v>111</v>
      </c>
      <c r="M231" s="16" t="b">
        <f aca="false">FALSE()</f>
        <v>0</v>
      </c>
      <c r="N231" s="13" t="s">
        <v>206</v>
      </c>
      <c r="O231" s="13" t="s">
        <v>226</v>
      </c>
      <c r="P231" s="13" t="s">
        <v>227</v>
      </c>
      <c r="Q231" s="13" t="s">
        <v>258</v>
      </c>
      <c r="R231" s="13" t="s">
        <v>229</v>
      </c>
    </row>
    <row r="232" customFormat="false" ht="23.85" hidden="false" customHeight="false" outlineLevel="0" collapsed="false">
      <c r="A232" s="13" t="s">
        <v>658</v>
      </c>
      <c r="B232" s="13" t="s">
        <v>659</v>
      </c>
      <c r="C232" s="13" t="s">
        <v>660</v>
      </c>
      <c r="D232" s="13" t="s">
        <v>152</v>
      </c>
      <c r="E232" s="13" t="s">
        <v>153</v>
      </c>
      <c r="F232" s="13"/>
      <c r="G232" s="13" t="n">
        <v>7</v>
      </c>
      <c r="H232" s="13" t="n">
        <v>8</v>
      </c>
      <c r="I232" s="13" t="n">
        <v>0</v>
      </c>
      <c r="J232" s="13" t="s">
        <v>359</v>
      </c>
      <c r="K232" s="15" t="s">
        <v>34</v>
      </c>
      <c r="L232" s="13" t="s">
        <v>111</v>
      </c>
      <c r="M232" s="16" t="b">
        <f aca="false">FALSE()</f>
        <v>0</v>
      </c>
      <c r="N232" s="13" t="s">
        <v>206</v>
      </c>
      <c r="O232" s="13" t="s">
        <v>128</v>
      </c>
      <c r="P232" s="13" t="s">
        <v>216</v>
      </c>
      <c r="Q232" s="13" t="s">
        <v>217</v>
      </c>
      <c r="R232" s="13" t="s">
        <v>63</v>
      </c>
    </row>
    <row r="233" customFormat="false" ht="23.85" hidden="false" customHeight="false" outlineLevel="0" collapsed="false">
      <c r="A233" s="13" t="s">
        <v>658</v>
      </c>
      <c r="B233" s="13" t="s">
        <v>659</v>
      </c>
      <c r="C233" s="13" t="s">
        <v>661</v>
      </c>
      <c r="D233" s="13" t="s">
        <v>175</v>
      </c>
      <c r="E233" s="13" t="s">
        <v>153</v>
      </c>
      <c r="F233" s="13"/>
      <c r="G233" s="13" t="n">
        <v>801</v>
      </c>
      <c r="H233" s="13" t="n">
        <v>930</v>
      </c>
      <c r="I233" s="13" t="n">
        <v>0</v>
      </c>
      <c r="J233" s="13" t="s">
        <v>662</v>
      </c>
      <c r="K233" s="15" t="s">
        <v>34</v>
      </c>
      <c r="L233" s="13" t="s">
        <v>111</v>
      </c>
      <c r="M233" s="16" t="b">
        <f aca="false">FALSE()</f>
        <v>0</v>
      </c>
      <c r="N233" s="13" t="s">
        <v>206</v>
      </c>
      <c r="O233" s="13" t="s">
        <v>128</v>
      </c>
      <c r="P233" s="13" t="s">
        <v>220</v>
      </c>
      <c r="Q233" s="13" t="s">
        <v>221</v>
      </c>
      <c r="R233" s="13" t="s">
        <v>222</v>
      </c>
    </row>
    <row r="234" customFormat="false" ht="23.85" hidden="false" customHeight="false" outlineLevel="0" collapsed="false">
      <c r="A234" s="13" t="s">
        <v>658</v>
      </c>
      <c r="B234" s="13" t="s">
        <v>659</v>
      </c>
      <c r="C234" s="13" t="s">
        <v>663</v>
      </c>
      <c r="D234" s="13" t="s">
        <v>224</v>
      </c>
      <c r="E234" s="13" t="s">
        <v>167</v>
      </c>
      <c r="F234" s="13"/>
      <c r="G234" s="13" t="n">
        <v>1</v>
      </c>
      <c r="H234" s="13" t="n">
        <v>1.1429</v>
      </c>
      <c r="I234" s="13" t="n">
        <v>0.0005</v>
      </c>
      <c r="J234" s="13" t="s">
        <v>664</v>
      </c>
      <c r="K234" s="15" t="s">
        <v>34</v>
      </c>
      <c r="L234" s="13" t="s">
        <v>111</v>
      </c>
      <c r="M234" s="16" t="b">
        <f aca="false">FALSE()</f>
        <v>0</v>
      </c>
      <c r="N234" s="13" t="s">
        <v>206</v>
      </c>
      <c r="O234" s="13" t="s">
        <v>226</v>
      </c>
      <c r="P234" s="13" t="s">
        <v>227</v>
      </c>
      <c r="Q234" s="13" t="s">
        <v>258</v>
      </c>
      <c r="R234" s="13" t="s">
        <v>229</v>
      </c>
    </row>
    <row r="235" customFormat="false" ht="15" hidden="false" customHeight="false" outlineLevel="0" collapsed="false">
      <c r="A235" s="13" t="s">
        <v>665</v>
      </c>
      <c r="B235" s="13" t="s">
        <v>666</v>
      </c>
      <c r="C235" s="13" t="s">
        <v>667</v>
      </c>
      <c r="D235" s="13" t="s">
        <v>152</v>
      </c>
      <c r="E235" s="13" t="s">
        <v>153</v>
      </c>
      <c r="F235" s="13"/>
      <c r="G235" s="13" t="n">
        <v>7</v>
      </c>
      <c r="H235" s="13" t="n">
        <v>8</v>
      </c>
      <c r="I235" s="13" t="n">
        <v>0</v>
      </c>
      <c r="J235" s="13" t="s">
        <v>359</v>
      </c>
      <c r="K235" s="15" t="s">
        <v>34</v>
      </c>
      <c r="L235" s="13" t="s">
        <v>111</v>
      </c>
      <c r="M235" s="16" t="b">
        <f aca="false">FALSE()</f>
        <v>0</v>
      </c>
      <c r="N235" s="13" t="s">
        <v>206</v>
      </c>
      <c r="O235" s="13" t="s">
        <v>128</v>
      </c>
      <c r="P235" s="13" t="s">
        <v>216</v>
      </c>
      <c r="Q235" s="13" t="s">
        <v>217</v>
      </c>
      <c r="R235" s="13" t="s">
        <v>63</v>
      </c>
    </row>
    <row r="236" customFormat="false" ht="15" hidden="false" customHeight="false" outlineLevel="0" collapsed="false">
      <c r="A236" s="13" t="s">
        <v>665</v>
      </c>
      <c r="B236" s="13" t="s">
        <v>666</v>
      </c>
      <c r="C236" s="13" t="s">
        <v>668</v>
      </c>
      <c r="D236" s="13" t="s">
        <v>175</v>
      </c>
      <c r="E236" s="13" t="s">
        <v>153</v>
      </c>
      <c r="F236" s="13"/>
      <c r="G236" s="13" t="n">
        <v>704</v>
      </c>
      <c r="H236" s="13" t="n">
        <v>820</v>
      </c>
      <c r="I236" s="13" t="n">
        <v>0</v>
      </c>
      <c r="J236" s="13" t="s">
        <v>669</v>
      </c>
      <c r="K236" s="15" t="s">
        <v>34</v>
      </c>
      <c r="L236" s="13" t="s">
        <v>111</v>
      </c>
      <c r="M236" s="16" t="b">
        <f aca="false">FALSE()</f>
        <v>0</v>
      </c>
      <c r="N236" s="13" t="s">
        <v>206</v>
      </c>
      <c r="O236" s="13" t="s">
        <v>128</v>
      </c>
      <c r="P236" s="13" t="s">
        <v>220</v>
      </c>
      <c r="Q236" s="13" t="s">
        <v>221</v>
      </c>
      <c r="R236" s="13" t="s">
        <v>222</v>
      </c>
    </row>
    <row r="237" customFormat="false" ht="15" hidden="false" customHeight="false" outlineLevel="0" collapsed="false">
      <c r="A237" s="13" t="s">
        <v>665</v>
      </c>
      <c r="B237" s="13" t="s">
        <v>666</v>
      </c>
      <c r="C237" s="13" t="s">
        <v>670</v>
      </c>
      <c r="D237" s="13" t="s">
        <v>224</v>
      </c>
      <c r="E237" s="13" t="s">
        <v>167</v>
      </c>
      <c r="F237" s="13"/>
      <c r="G237" s="13" t="n">
        <v>1</v>
      </c>
      <c r="H237" s="13" t="n">
        <v>1.1429</v>
      </c>
      <c r="I237" s="13" t="n">
        <v>0.0005</v>
      </c>
      <c r="J237" s="13" t="s">
        <v>664</v>
      </c>
      <c r="K237" s="15" t="s">
        <v>34</v>
      </c>
      <c r="L237" s="13" t="s">
        <v>111</v>
      </c>
      <c r="M237" s="16" t="b">
        <f aca="false">FALSE()</f>
        <v>0</v>
      </c>
      <c r="N237" s="13" t="s">
        <v>206</v>
      </c>
      <c r="O237" s="13" t="s">
        <v>226</v>
      </c>
      <c r="P237" s="13" t="s">
        <v>227</v>
      </c>
      <c r="Q237" s="13" t="s">
        <v>258</v>
      </c>
      <c r="R237" s="13" t="s">
        <v>229</v>
      </c>
    </row>
    <row r="238" customFormat="false" ht="15" hidden="false" customHeight="false" outlineLevel="0" collapsed="false">
      <c r="A238" s="13" t="s">
        <v>671</v>
      </c>
      <c r="B238" s="13" t="s">
        <v>672</v>
      </c>
      <c r="C238" s="13" t="s">
        <v>673</v>
      </c>
      <c r="D238" s="13" t="s">
        <v>152</v>
      </c>
      <c r="E238" s="13" t="s">
        <v>153</v>
      </c>
      <c r="F238" s="13"/>
      <c r="G238" s="13" t="n">
        <v>8</v>
      </c>
      <c r="H238" s="13" t="n">
        <v>9</v>
      </c>
      <c r="I238" s="13" t="n">
        <v>0</v>
      </c>
      <c r="J238" s="13" t="s">
        <v>253</v>
      </c>
      <c r="K238" s="15" t="s">
        <v>34</v>
      </c>
      <c r="L238" s="13" t="s">
        <v>111</v>
      </c>
      <c r="M238" s="16" t="b">
        <f aca="false">FALSE()</f>
        <v>0</v>
      </c>
      <c r="N238" s="13" t="s">
        <v>206</v>
      </c>
      <c r="O238" s="13" t="s">
        <v>128</v>
      </c>
      <c r="P238" s="13" t="s">
        <v>216</v>
      </c>
      <c r="Q238" s="13" t="s">
        <v>217</v>
      </c>
      <c r="R238" s="13" t="s">
        <v>63</v>
      </c>
    </row>
    <row r="239" customFormat="false" ht="15" hidden="false" customHeight="false" outlineLevel="0" collapsed="false">
      <c r="A239" s="13" t="s">
        <v>671</v>
      </c>
      <c r="B239" s="13" t="s">
        <v>672</v>
      </c>
      <c r="C239" s="13" t="s">
        <v>674</v>
      </c>
      <c r="D239" s="13" t="s">
        <v>175</v>
      </c>
      <c r="E239" s="13" t="s">
        <v>153</v>
      </c>
      <c r="F239" s="13"/>
      <c r="G239" s="13" t="n">
        <v>880</v>
      </c>
      <c r="H239" s="13" t="n">
        <v>1010</v>
      </c>
      <c r="I239" s="13" t="n">
        <v>0</v>
      </c>
      <c r="J239" s="13" t="s">
        <v>675</v>
      </c>
      <c r="K239" s="15" t="s">
        <v>34</v>
      </c>
      <c r="L239" s="13" t="s">
        <v>111</v>
      </c>
      <c r="M239" s="16" t="b">
        <f aca="false">FALSE()</f>
        <v>0</v>
      </c>
      <c r="N239" s="13" t="s">
        <v>206</v>
      </c>
      <c r="O239" s="13" t="s">
        <v>128</v>
      </c>
      <c r="P239" s="13" t="s">
        <v>220</v>
      </c>
      <c r="Q239" s="13" t="s">
        <v>221</v>
      </c>
      <c r="R239" s="13" t="s">
        <v>222</v>
      </c>
    </row>
    <row r="240" customFormat="false" ht="15" hidden="false" customHeight="false" outlineLevel="0" collapsed="false">
      <c r="A240" s="13" t="s">
        <v>671</v>
      </c>
      <c r="B240" s="13" t="s">
        <v>672</v>
      </c>
      <c r="C240" s="13" t="s">
        <v>676</v>
      </c>
      <c r="D240" s="13" t="s">
        <v>224</v>
      </c>
      <c r="E240" s="13" t="s">
        <v>167</v>
      </c>
      <c r="F240" s="13"/>
      <c r="G240" s="13" t="n">
        <v>1</v>
      </c>
      <c r="H240" s="13" t="n">
        <v>1.125</v>
      </c>
      <c r="I240" s="13" t="n">
        <v>0.0005</v>
      </c>
      <c r="J240" s="13" t="s">
        <v>257</v>
      </c>
      <c r="K240" s="15" t="s">
        <v>34</v>
      </c>
      <c r="L240" s="13" t="s">
        <v>111</v>
      </c>
      <c r="M240" s="16" t="b">
        <f aca="false">FALSE()</f>
        <v>0</v>
      </c>
      <c r="N240" s="13" t="s">
        <v>206</v>
      </c>
      <c r="O240" s="13" t="s">
        <v>226</v>
      </c>
      <c r="P240" s="13" t="s">
        <v>227</v>
      </c>
      <c r="Q240" s="13" t="s">
        <v>258</v>
      </c>
      <c r="R240" s="13" t="s">
        <v>229</v>
      </c>
    </row>
    <row r="241" customFormat="false" ht="15" hidden="false" customHeight="false" outlineLevel="0" collapsed="false">
      <c r="A241" s="13" t="s">
        <v>677</v>
      </c>
      <c r="B241" s="13" t="s">
        <v>672</v>
      </c>
      <c r="C241" s="13" t="s">
        <v>676</v>
      </c>
      <c r="D241" s="13" t="s">
        <v>224</v>
      </c>
      <c r="E241" s="13" t="s">
        <v>167</v>
      </c>
      <c r="F241" s="13"/>
      <c r="G241" s="13" t="n">
        <v>1.125</v>
      </c>
      <c r="H241" s="13" t="n">
        <v>1.1391</v>
      </c>
      <c r="I241" s="13" t="n">
        <v>0.0005</v>
      </c>
      <c r="J241" s="13" t="s">
        <v>260</v>
      </c>
      <c r="K241" s="17" t="s">
        <v>36</v>
      </c>
      <c r="L241" s="13" t="s">
        <v>111</v>
      </c>
      <c r="M241" s="16" t="b">
        <f aca="false">FALSE()</f>
        <v>0</v>
      </c>
      <c r="N241" s="13" t="s">
        <v>671</v>
      </c>
      <c r="O241" s="13" t="s">
        <v>74</v>
      </c>
      <c r="P241" s="13" t="s">
        <v>128</v>
      </c>
      <c r="Q241" s="13" t="s">
        <v>261</v>
      </c>
      <c r="R241" s="13" t="s">
        <v>262</v>
      </c>
    </row>
    <row r="242" customFormat="false" ht="23.85" hidden="false" customHeight="false" outlineLevel="0" collapsed="false">
      <c r="A242" s="13" t="s">
        <v>678</v>
      </c>
      <c r="B242" s="13" t="s">
        <v>181</v>
      </c>
      <c r="C242" s="13" t="s">
        <v>679</v>
      </c>
      <c r="D242" s="13" t="s">
        <v>152</v>
      </c>
      <c r="E242" s="13" t="s">
        <v>153</v>
      </c>
      <c r="F242" s="13"/>
      <c r="G242" s="13" t="n">
        <v>9</v>
      </c>
      <c r="H242" s="13" t="n">
        <v>11</v>
      </c>
      <c r="I242" s="13" t="n">
        <v>0</v>
      </c>
      <c r="J242" s="13" t="s">
        <v>266</v>
      </c>
      <c r="K242" s="15" t="s">
        <v>34</v>
      </c>
      <c r="L242" s="13" t="s">
        <v>111</v>
      </c>
      <c r="M242" s="16" t="b">
        <f aca="false">FALSE()</f>
        <v>0</v>
      </c>
      <c r="N242" s="13" t="s">
        <v>680</v>
      </c>
      <c r="O242" s="13" t="s">
        <v>128</v>
      </c>
      <c r="P242" s="13" t="s">
        <v>216</v>
      </c>
      <c r="Q242" s="13" t="s">
        <v>217</v>
      </c>
      <c r="R242" s="13" t="s">
        <v>63</v>
      </c>
    </row>
    <row r="243" customFormat="false" ht="23.85" hidden="false" customHeight="false" outlineLevel="0" collapsed="false">
      <c r="A243" s="13" t="s">
        <v>678</v>
      </c>
      <c r="B243" s="13" t="s">
        <v>181</v>
      </c>
      <c r="C243" s="13" t="s">
        <v>182</v>
      </c>
      <c r="D243" s="13" t="s">
        <v>175</v>
      </c>
      <c r="E243" s="13" t="s">
        <v>153</v>
      </c>
      <c r="F243" s="13" t="n">
        <v>1980</v>
      </c>
      <c r="G243" s="13" t="n">
        <v>1980</v>
      </c>
      <c r="H243" s="13" t="n">
        <v>2490</v>
      </c>
      <c r="I243" s="13" t="n">
        <v>0</v>
      </c>
      <c r="J243" s="13" t="s">
        <v>681</v>
      </c>
      <c r="K243" s="15" t="s">
        <v>34</v>
      </c>
      <c r="L243" s="13" t="s">
        <v>111</v>
      </c>
      <c r="M243" s="16" t="b">
        <f aca="false">FALSE()</f>
        <v>0</v>
      </c>
      <c r="N243" s="13" t="s">
        <v>680</v>
      </c>
      <c r="O243" s="13" t="s">
        <v>79</v>
      </c>
      <c r="P243" s="13" t="s">
        <v>220</v>
      </c>
      <c r="Q243" s="13" t="s">
        <v>221</v>
      </c>
      <c r="R243" s="13" t="s">
        <v>222</v>
      </c>
    </row>
    <row r="244" customFormat="false" ht="23.85" hidden="false" customHeight="false" outlineLevel="0" collapsed="false">
      <c r="A244" s="13" t="s">
        <v>678</v>
      </c>
      <c r="B244" s="13" t="s">
        <v>181</v>
      </c>
      <c r="C244" s="13" t="s">
        <v>682</v>
      </c>
      <c r="D244" s="13" t="s">
        <v>224</v>
      </c>
      <c r="E244" s="13" t="s">
        <v>167</v>
      </c>
      <c r="F244" s="13"/>
      <c r="G244" s="13" t="n">
        <v>1</v>
      </c>
      <c r="H244" s="13" t="n">
        <v>1.2222</v>
      </c>
      <c r="I244" s="13" t="n">
        <v>0.0005</v>
      </c>
      <c r="J244" s="13" t="s">
        <v>683</v>
      </c>
      <c r="K244" s="15" t="s">
        <v>34</v>
      </c>
      <c r="L244" s="13" t="s">
        <v>111</v>
      </c>
      <c r="M244" s="16" t="b">
        <f aca="false">FALSE()</f>
        <v>0</v>
      </c>
      <c r="N244" s="13" t="s">
        <v>680</v>
      </c>
      <c r="O244" s="13" t="s">
        <v>226</v>
      </c>
      <c r="P244" s="13" t="s">
        <v>227</v>
      </c>
      <c r="Q244" s="13" t="s">
        <v>258</v>
      </c>
      <c r="R244" s="13" t="s">
        <v>229</v>
      </c>
    </row>
    <row r="245" customFormat="false" ht="23.85" hidden="false" customHeight="false" outlineLevel="0" collapsed="false">
      <c r="A245" s="13" t="s">
        <v>684</v>
      </c>
      <c r="B245" s="13" t="s">
        <v>181</v>
      </c>
      <c r="C245" s="13" t="s">
        <v>682</v>
      </c>
      <c r="D245" s="13" t="s">
        <v>224</v>
      </c>
      <c r="E245" s="13" t="s">
        <v>167</v>
      </c>
      <c r="F245" s="13"/>
      <c r="G245" s="13" t="n">
        <v>1.2222</v>
      </c>
      <c r="H245" s="13" t="n">
        <v>1.2681</v>
      </c>
      <c r="I245" s="13" t="n">
        <v>0.0005</v>
      </c>
      <c r="J245" s="13" t="s">
        <v>270</v>
      </c>
      <c r="K245" s="17" t="s">
        <v>36</v>
      </c>
      <c r="L245" s="13" t="s">
        <v>111</v>
      </c>
      <c r="M245" s="16" t="b">
        <f aca="false">FALSE()</f>
        <v>0</v>
      </c>
      <c r="N245" s="13" t="s">
        <v>678</v>
      </c>
      <c r="O245" s="13" t="s">
        <v>74</v>
      </c>
      <c r="P245" s="13" t="s">
        <v>128</v>
      </c>
      <c r="Q245" s="13" t="s">
        <v>261</v>
      </c>
      <c r="R245" s="13" t="s">
        <v>262</v>
      </c>
    </row>
    <row r="246" customFormat="false" ht="15" hidden="false" customHeight="false" outlineLevel="0" collapsed="false">
      <c r="A246" s="13" t="s">
        <v>685</v>
      </c>
      <c r="B246" s="13" t="s">
        <v>686</v>
      </c>
      <c r="C246" s="13" t="s">
        <v>687</v>
      </c>
      <c r="D246" s="13" t="s">
        <v>152</v>
      </c>
      <c r="E246" s="13" t="s">
        <v>153</v>
      </c>
      <c r="F246" s="13"/>
      <c r="G246" s="13" t="n">
        <v>11</v>
      </c>
      <c r="H246" s="13" t="n">
        <v>14</v>
      </c>
      <c r="I246" s="13" t="n">
        <v>0</v>
      </c>
      <c r="J246" s="13" t="s">
        <v>688</v>
      </c>
      <c r="K246" s="15" t="s">
        <v>34</v>
      </c>
      <c r="L246" s="13" t="s">
        <v>111</v>
      </c>
      <c r="M246" s="16" t="b">
        <f aca="false">FALSE()</f>
        <v>0</v>
      </c>
      <c r="N246" s="13" t="s">
        <v>206</v>
      </c>
      <c r="O246" s="13" t="s">
        <v>128</v>
      </c>
      <c r="P246" s="13" t="s">
        <v>216</v>
      </c>
      <c r="Q246" s="13" t="s">
        <v>217</v>
      </c>
      <c r="R246" s="13" t="s">
        <v>63</v>
      </c>
    </row>
    <row r="247" customFormat="false" ht="15" hidden="false" customHeight="false" outlineLevel="0" collapsed="false">
      <c r="A247" s="13" t="s">
        <v>685</v>
      </c>
      <c r="B247" s="13" t="s">
        <v>686</v>
      </c>
      <c r="C247" s="13" t="s">
        <v>689</v>
      </c>
      <c r="D247" s="13" t="s">
        <v>175</v>
      </c>
      <c r="E247" s="13" t="s">
        <v>153</v>
      </c>
      <c r="F247" s="13"/>
      <c r="G247" s="13" t="n">
        <v>990</v>
      </c>
      <c r="H247" s="13" t="n">
        <v>1310</v>
      </c>
      <c r="I247" s="13" t="n">
        <v>0</v>
      </c>
      <c r="J247" s="13" t="s">
        <v>690</v>
      </c>
      <c r="K247" s="15" t="s">
        <v>34</v>
      </c>
      <c r="L247" s="13" t="s">
        <v>111</v>
      </c>
      <c r="M247" s="16" t="b">
        <f aca="false">FALSE()</f>
        <v>0</v>
      </c>
      <c r="N247" s="13" t="s">
        <v>206</v>
      </c>
      <c r="O247" s="13" t="s">
        <v>128</v>
      </c>
      <c r="P247" s="13" t="s">
        <v>220</v>
      </c>
      <c r="Q247" s="13" t="s">
        <v>221</v>
      </c>
      <c r="R247" s="13" t="s">
        <v>222</v>
      </c>
    </row>
    <row r="248" customFormat="false" ht="23.85" hidden="false" customHeight="false" outlineLevel="0" collapsed="false">
      <c r="A248" s="13" t="s">
        <v>685</v>
      </c>
      <c r="B248" s="13" t="s">
        <v>686</v>
      </c>
      <c r="C248" s="13" t="s">
        <v>691</v>
      </c>
      <c r="D248" s="13" t="s">
        <v>224</v>
      </c>
      <c r="E248" s="13" t="s">
        <v>167</v>
      </c>
      <c r="F248" s="13"/>
      <c r="G248" s="13" t="n">
        <v>1</v>
      </c>
      <c r="H248" s="13" t="n">
        <v>1.2727</v>
      </c>
      <c r="I248" s="13" t="n">
        <v>0.0005</v>
      </c>
      <c r="J248" s="13" t="s">
        <v>692</v>
      </c>
      <c r="K248" s="15" t="s">
        <v>34</v>
      </c>
      <c r="L248" s="13" t="s">
        <v>111</v>
      </c>
      <c r="M248" s="16" t="b">
        <f aca="false">FALSE()</f>
        <v>0</v>
      </c>
      <c r="N248" s="13" t="s">
        <v>206</v>
      </c>
      <c r="O248" s="13" t="s">
        <v>226</v>
      </c>
      <c r="P248" s="13" t="s">
        <v>227</v>
      </c>
      <c r="Q248" s="13" t="s">
        <v>258</v>
      </c>
      <c r="R248" s="13" t="s">
        <v>229</v>
      </c>
    </row>
    <row r="249" customFormat="false" ht="23.85" hidden="false" customHeight="false" outlineLevel="0" collapsed="false">
      <c r="A249" s="13" t="s">
        <v>693</v>
      </c>
      <c r="B249" s="13" t="s">
        <v>686</v>
      </c>
      <c r="C249" s="13" t="s">
        <v>691</v>
      </c>
      <c r="D249" s="13" t="s">
        <v>224</v>
      </c>
      <c r="E249" s="13" t="s">
        <v>167</v>
      </c>
      <c r="F249" s="13"/>
      <c r="G249" s="13" t="n">
        <v>1.2727</v>
      </c>
      <c r="H249" s="13" t="n">
        <v>1.3682</v>
      </c>
      <c r="I249" s="13" t="n">
        <v>0.0005</v>
      </c>
      <c r="J249" s="13" t="s">
        <v>694</v>
      </c>
      <c r="K249" s="17" t="s">
        <v>36</v>
      </c>
      <c r="L249" s="13" t="s">
        <v>111</v>
      </c>
      <c r="M249" s="16" t="b">
        <f aca="false">FALSE()</f>
        <v>0</v>
      </c>
      <c r="N249" s="13" t="s">
        <v>685</v>
      </c>
      <c r="O249" s="13" t="s">
        <v>74</v>
      </c>
      <c r="P249" s="13" t="s">
        <v>128</v>
      </c>
      <c r="Q249" s="13" t="s">
        <v>261</v>
      </c>
      <c r="R249" s="13" t="s">
        <v>262</v>
      </c>
    </row>
    <row r="250" customFormat="false" ht="35.05" hidden="false" customHeight="false" outlineLevel="0" collapsed="false">
      <c r="A250" s="13" t="s">
        <v>695</v>
      </c>
      <c r="B250" s="13" t="s">
        <v>696</v>
      </c>
      <c r="C250" s="13" t="s">
        <v>697</v>
      </c>
      <c r="D250" s="13" t="s">
        <v>152</v>
      </c>
      <c r="E250" s="13" t="s">
        <v>153</v>
      </c>
      <c r="F250" s="13"/>
      <c r="G250" s="13" t="n">
        <v>12</v>
      </c>
      <c r="H250" s="13" t="n">
        <v>15</v>
      </c>
      <c r="I250" s="13" t="n">
        <v>0</v>
      </c>
      <c r="J250" s="13" t="s">
        <v>284</v>
      </c>
      <c r="K250" s="15" t="s">
        <v>34</v>
      </c>
      <c r="L250" s="13" t="s">
        <v>111</v>
      </c>
      <c r="M250" s="16" t="b">
        <f aca="false">FALSE()</f>
        <v>0</v>
      </c>
      <c r="N250" s="13" t="s">
        <v>206</v>
      </c>
      <c r="O250" s="13" t="s">
        <v>128</v>
      </c>
      <c r="P250" s="13" t="s">
        <v>216</v>
      </c>
      <c r="Q250" s="13" t="s">
        <v>217</v>
      </c>
      <c r="R250" s="13" t="s">
        <v>63</v>
      </c>
    </row>
    <row r="251" customFormat="false" ht="35.05" hidden="false" customHeight="false" outlineLevel="0" collapsed="false">
      <c r="A251" s="13" t="s">
        <v>695</v>
      </c>
      <c r="B251" s="13" t="s">
        <v>696</v>
      </c>
      <c r="C251" s="13" t="s">
        <v>698</v>
      </c>
      <c r="D251" s="13" t="s">
        <v>175</v>
      </c>
      <c r="E251" s="13" t="s">
        <v>153</v>
      </c>
      <c r="F251" s="13"/>
      <c r="G251" s="13" t="n">
        <v>924</v>
      </c>
      <c r="H251" s="13" t="n">
        <v>1190</v>
      </c>
      <c r="I251" s="13" t="n">
        <v>0</v>
      </c>
      <c r="J251" s="13" t="s">
        <v>699</v>
      </c>
      <c r="K251" s="15" t="s">
        <v>34</v>
      </c>
      <c r="L251" s="13" t="s">
        <v>111</v>
      </c>
      <c r="M251" s="16" t="b">
        <f aca="false">FALSE()</f>
        <v>0</v>
      </c>
      <c r="N251" s="13" t="s">
        <v>206</v>
      </c>
      <c r="O251" s="13" t="s">
        <v>128</v>
      </c>
      <c r="P251" s="13" t="s">
        <v>220</v>
      </c>
      <c r="Q251" s="13" t="s">
        <v>221</v>
      </c>
      <c r="R251" s="13" t="s">
        <v>222</v>
      </c>
    </row>
    <row r="252" customFormat="false" ht="35.05" hidden="false" customHeight="false" outlineLevel="0" collapsed="false">
      <c r="A252" s="13" t="s">
        <v>695</v>
      </c>
      <c r="B252" s="13" t="s">
        <v>696</v>
      </c>
      <c r="C252" s="13" t="s">
        <v>700</v>
      </c>
      <c r="D252" s="13" t="s">
        <v>224</v>
      </c>
      <c r="E252" s="13" t="s">
        <v>167</v>
      </c>
      <c r="F252" s="13"/>
      <c r="G252" s="13" t="n">
        <v>1</v>
      </c>
      <c r="H252" s="13" t="n">
        <v>1.25</v>
      </c>
      <c r="I252" s="13" t="n">
        <v>0.0005</v>
      </c>
      <c r="J252" s="13" t="s">
        <v>288</v>
      </c>
      <c r="K252" s="15" t="s">
        <v>34</v>
      </c>
      <c r="L252" s="13" t="s">
        <v>111</v>
      </c>
      <c r="M252" s="16" t="b">
        <f aca="false">FALSE()</f>
        <v>0</v>
      </c>
      <c r="N252" s="13" t="s">
        <v>206</v>
      </c>
      <c r="O252" s="13" t="s">
        <v>226</v>
      </c>
      <c r="P252" s="13" t="s">
        <v>227</v>
      </c>
      <c r="Q252" s="13" t="s">
        <v>258</v>
      </c>
      <c r="R252" s="13" t="s">
        <v>229</v>
      </c>
    </row>
    <row r="253" customFormat="false" ht="35.05" hidden="false" customHeight="false" outlineLevel="0" collapsed="false">
      <c r="A253" s="13" t="s">
        <v>701</v>
      </c>
      <c r="B253" s="13" t="s">
        <v>696</v>
      </c>
      <c r="C253" s="13" t="s">
        <v>700</v>
      </c>
      <c r="D253" s="13" t="s">
        <v>224</v>
      </c>
      <c r="E253" s="13" t="s">
        <v>167</v>
      </c>
      <c r="F253" s="13"/>
      <c r="G253" s="13" t="n">
        <v>1.25</v>
      </c>
      <c r="H253" s="13" t="n">
        <v>1.3594</v>
      </c>
      <c r="I253" s="13" t="n">
        <v>0.0005</v>
      </c>
      <c r="J253" s="13" t="s">
        <v>290</v>
      </c>
      <c r="K253" s="17" t="s">
        <v>36</v>
      </c>
      <c r="L253" s="13" t="s">
        <v>111</v>
      </c>
      <c r="M253" s="16" t="b">
        <f aca="false">FALSE()</f>
        <v>0</v>
      </c>
      <c r="N253" s="13" t="s">
        <v>695</v>
      </c>
      <c r="O253" s="13" t="s">
        <v>74</v>
      </c>
      <c r="P253" s="13" t="s">
        <v>128</v>
      </c>
      <c r="Q253" s="13" t="s">
        <v>261</v>
      </c>
      <c r="R253" s="13" t="s">
        <v>262</v>
      </c>
    </row>
    <row r="254" customFormat="false" ht="35.05" hidden="false" customHeight="false" outlineLevel="0" collapsed="false">
      <c r="A254" s="13" t="s">
        <v>695</v>
      </c>
      <c r="B254" s="13" t="s">
        <v>696</v>
      </c>
      <c r="C254" s="13" t="s">
        <v>702</v>
      </c>
      <c r="D254" s="13" t="s">
        <v>204</v>
      </c>
      <c r="E254" s="13" t="s">
        <v>167</v>
      </c>
      <c r="F254" s="13"/>
      <c r="G254" s="13" t="n">
        <v>3.5</v>
      </c>
      <c r="H254" s="13" t="n">
        <v>5</v>
      </c>
      <c r="I254" s="13" t="n">
        <v>0.001</v>
      </c>
      <c r="J254" s="13" t="s">
        <v>205</v>
      </c>
      <c r="K254" s="15" t="s">
        <v>34</v>
      </c>
      <c r="L254" s="13" t="s">
        <v>111</v>
      </c>
      <c r="M254" s="16" t="b">
        <f aca="false">FALSE()</f>
        <v>0</v>
      </c>
      <c r="N254" s="13" t="s">
        <v>206</v>
      </c>
      <c r="O254" s="13" t="s">
        <v>128</v>
      </c>
      <c r="P254" s="13" t="s">
        <v>207</v>
      </c>
      <c r="Q254" s="13" t="s">
        <v>208</v>
      </c>
      <c r="R254" s="13" t="s">
        <v>63</v>
      </c>
    </row>
    <row r="255" customFormat="false" ht="15" hidden="false" customHeight="false" outlineLevel="0" collapsed="false">
      <c r="A255" s="13" t="s">
        <v>703</v>
      </c>
      <c r="B255" s="13" t="s">
        <v>184</v>
      </c>
      <c r="C255" s="13" t="s">
        <v>704</v>
      </c>
      <c r="D255" s="13" t="s">
        <v>152</v>
      </c>
      <c r="E255" s="13" t="s">
        <v>153</v>
      </c>
      <c r="F255" s="13"/>
      <c r="G255" s="13" t="n">
        <v>12</v>
      </c>
      <c r="H255" s="13" t="n">
        <v>15</v>
      </c>
      <c r="I255" s="13" t="n">
        <v>0</v>
      </c>
      <c r="J255" s="13" t="s">
        <v>284</v>
      </c>
      <c r="K255" s="15" t="s">
        <v>34</v>
      </c>
      <c r="L255" s="13" t="s">
        <v>111</v>
      </c>
      <c r="M255" s="16" t="b">
        <f aca="false">FALSE()</f>
        <v>0</v>
      </c>
      <c r="N255" s="13" t="s">
        <v>705</v>
      </c>
      <c r="O255" s="13" t="s">
        <v>128</v>
      </c>
      <c r="P255" s="13" t="s">
        <v>216</v>
      </c>
      <c r="Q255" s="13" t="s">
        <v>217</v>
      </c>
      <c r="R255" s="13" t="s">
        <v>63</v>
      </c>
    </row>
    <row r="256" customFormat="false" ht="15" hidden="false" customHeight="false" outlineLevel="0" collapsed="false">
      <c r="A256" s="13" t="s">
        <v>703</v>
      </c>
      <c r="B256" s="13" t="s">
        <v>184</v>
      </c>
      <c r="C256" s="13" t="s">
        <v>185</v>
      </c>
      <c r="D256" s="13" t="s">
        <v>175</v>
      </c>
      <c r="E256" s="13" t="s">
        <v>153</v>
      </c>
      <c r="F256" s="13" t="n">
        <v>3300</v>
      </c>
      <c r="G256" s="13" t="n">
        <v>3300</v>
      </c>
      <c r="H256" s="13" t="n">
        <v>4270</v>
      </c>
      <c r="I256" s="13" t="n">
        <v>0</v>
      </c>
      <c r="J256" s="13" t="s">
        <v>706</v>
      </c>
      <c r="K256" s="15" t="s">
        <v>34</v>
      </c>
      <c r="L256" s="13" t="s">
        <v>111</v>
      </c>
      <c r="M256" s="16" t="b">
        <f aca="false">FALSE()</f>
        <v>0</v>
      </c>
      <c r="N256" s="13" t="s">
        <v>705</v>
      </c>
      <c r="O256" s="13" t="s">
        <v>79</v>
      </c>
      <c r="P256" s="13" t="s">
        <v>220</v>
      </c>
      <c r="Q256" s="13" t="s">
        <v>221</v>
      </c>
      <c r="R256" s="13" t="s">
        <v>222</v>
      </c>
    </row>
    <row r="257" customFormat="false" ht="15" hidden="false" customHeight="false" outlineLevel="0" collapsed="false">
      <c r="A257" s="13" t="s">
        <v>703</v>
      </c>
      <c r="B257" s="13" t="s">
        <v>184</v>
      </c>
      <c r="C257" s="13" t="s">
        <v>707</v>
      </c>
      <c r="D257" s="13" t="s">
        <v>224</v>
      </c>
      <c r="E257" s="13" t="s">
        <v>167</v>
      </c>
      <c r="F257" s="13"/>
      <c r="G257" s="13" t="n">
        <v>1</v>
      </c>
      <c r="H257" s="13" t="n">
        <v>1.25</v>
      </c>
      <c r="I257" s="13" t="n">
        <v>0.0005</v>
      </c>
      <c r="J257" s="13" t="s">
        <v>288</v>
      </c>
      <c r="K257" s="15" t="s">
        <v>34</v>
      </c>
      <c r="L257" s="13" t="s">
        <v>111</v>
      </c>
      <c r="M257" s="16" t="b">
        <f aca="false">FALSE()</f>
        <v>0</v>
      </c>
      <c r="N257" s="13" t="s">
        <v>705</v>
      </c>
      <c r="O257" s="13" t="s">
        <v>226</v>
      </c>
      <c r="P257" s="13" t="s">
        <v>227</v>
      </c>
      <c r="Q257" s="13" t="s">
        <v>258</v>
      </c>
      <c r="R257" s="13" t="s">
        <v>229</v>
      </c>
    </row>
    <row r="258" customFormat="false" ht="15" hidden="false" customHeight="false" outlineLevel="0" collapsed="false">
      <c r="A258" s="13" t="s">
        <v>708</v>
      </c>
      <c r="B258" s="13" t="s">
        <v>184</v>
      </c>
      <c r="C258" s="13" t="s">
        <v>707</v>
      </c>
      <c r="D258" s="13" t="s">
        <v>224</v>
      </c>
      <c r="E258" s="13" t="s">
        <v>167</v>
      </c>
      <c r="F258" s="13"/>
      <c r="G258" s="13" t="n">
        <v>1.25</v>
      </c>
      <c r="H258" s="13" t="n">
        <v>1.3594</v>
      </c>
      <c r="I258" s="13" t="n">
        <v>0.0005</v>
      </c>
      <c r="J258" s="13" t="s">
        <v>290</v>
      </c>
      <c r="K258" s="17" t="s">
        <v>36</v>
      </c>
      <c r="L258" s="13" t="s">
        <v>111</v>
      </c>
      <c r="M258" s="16" t="b">
        <f aca="false">FALSE()</f>
        <v>0</v>
      </c>
      <c r="N258" s="13" t="s">
        <v>703</v>
      </c>
      <c r="O258" s="13" t="s">
        <v>74</v>
      </c>
      <c r="P258" s="13" t="s">
        <v>128</v>
      </c>
      <c r="Q258" s="13" t="s">
        <v>261</v>
      </c>
      <c r="R258" s="13" t="s">
        <v>262</v>
      </c>
    </row>
    <row r="259" customFormat="false" ht="23.85" hidden="false" customHeight="false" outlineLevel="0" collapsed="false">
      <c r="A259" s="13" t="s">
        <v>703</v>
      </c>
      <c r="B259" s="13" t="s">
        <v>184</v>
      </c>
      <c r="C259" s="13" t="s">
        <v>709</v>
      </c>
      <c r="D259" s="13" t="s">
        <v>204</v>
      </c>
      <c r="E259" s="13" t="s">
        <v>167</v>
      </c>
      <c r="F259" s="13"/>
      <c r="G259" s="13" t="n">
        <v>3.5</v>
      </c>
      <c r="H259" s="13" t="n">
        <v>5</v>
      </c>
      <c r="I259" s="13" t="n">
        <v>0.001</v>
      </c>
      <c r="J259" s="13" t="s">
        <v>205</v>
      </c>
      <c r="K259" s="15" t="s">
        <v>34</v>
      </c>
      <c r="L259" s="13" t="s">
        <v>111</v>
      </c>
      <c r="M259" s="16" t="b">
        <f aca="false">FALSE()</f>
        <v>0</v>
      </c>
      <c r="N259" s="13" t="s">
        <v>705</v>
      </c>
      <c r="O259" s="13" t="s">
        <v>128</v>
      </c>
      <c r="P259" s="13" t="s">
        <v>207</v>
      </c>
      <c r="Q259" s="13" t="s">
        <v>208</v>
      </c>
      <c r="R259" s="13" t="s">
        <v>63</v>
      </c>
    </row>
    <row r="260" customFormat="false" ht="23.85" hidden="false" customHeight="false" outlineLevel="0" collapsed="false">
      <c r="A260" s="13" t="s">
        <v>710</v>
      </c>
      <c r="B260" s="13" t="s">
        <v>711</v>
      </c>
      <c r="C260" s="13" t="s">
        <v>712</v>
      </c>
      <c r="D260" s="13" t="s">
        <v>204</v>
      </c>
      <c r="E260" s="13" t="s">
        <v>167</v>
      </c>
      <c r="F260" s="13"/>
      <c r="G260" s="13" t="n">
        <v>3.5</v>
      </c>
      <c r="H260" s="13" t="n">
        <v>2.5</v>
      </c>
      <c r="I260" s="13" t="n">
        <v>0.001</v>
      </c>
      <c r="J260" s="13" t="s">
        <v>205</v>
      </c>
      <c r="K260" s="15" t="s">
        <v>34</v>
      </c>
      <c r="L260" s="13" t="s">
        <v>111</v>
      </c>
      <c r="M260" s="16" t="b">
        <f aca="false">FALSE()</f>
        <v>0</v>
      </c>
      <c r="N260" s="13" t="s">
        <v>206</v>
      </c>
      <c r="O260" s="13" t="s">
        <v>128</v>
      </c>
      <c r="P260" s="13" t="s">
        <v>207</v>
      </c>
      <c r="Q260" s="13" t="s">
        <v>208</v>
      </c>
      <c r="R260" s="13" t="s">
        <v>63</v>
      </c>
    </row>
    <row r="261" customFormat="false" ht="23.85" hidden="false" customHeight="false" outlineLevel="0" collapsed="false">
      <c r="A261" s="13" t="s">
        <v>713</v>
      </c>
      <c r="B261" s="13" t="s">
        <v>714</v>
      </c>
      <c r="C261" s="13" t="s">
        <v>715</v>
      </c>
      <c r="D261" s="13" t="s">
        <v>204</v>
      </c>
      <c r="E261" s="13" t="s">
        <v>167</v>
      </c>
      <c r="F261" s="13"/>
      <c r="G261" s="13" t="n">
        <v>3.5</v>
      </c>
      <c r="H261" s="13" t="n">
        <v>2.5</v>
      </c>
      <c r="I261" s="13" t="n">
        <v>0.001</v>
      </c>
      <c r="J261" s="13" t="s">
        <v>205</v>
      </c>
      <c r="K261" s="15" t="s">
        <v>34</v>
      </c>
      <c r="L261" s="13" t="s">
        <v>111</v>
      </c>
      <c r="M261" s="16" t="b">
        <f aca="false">FALSE()</f>
        <v>0</v>
      </c>
      <c r="N261" s="13" t="s">
        <v>206</v>
      </c>
      <c r="O261" s="13" t="s">
        <v>128</v>
      </c>
      <c r="P261" s="13" t="s">
        <v>207</v>
      </c>
      <c r="Q261" s="13" t="s">
        <v>208</v>
      </c>
      <c r="R261" s="13" t="s">
        <v>63</v>
      </c>
    </row>
    <row r="262" customFormat="false" ht="23.85" hidden="false" customHeight="false" outlineLevel="0" collapsed="false">
      <c r="A262" s="13" t="s">
        <v>716</v>
      </c>
      <c r="B262" s="13" t="s">
        <v>717</v>
      </c>
      <c r="C262" s="13" t="s">
        <v>718</v>
      </c>
      <c r="D262" s="13" t="s">
        <v>204</v>
      </c>
      <c r="E262" s="13" t="s">
        <v>167</v>
      </c>
      <c r="F262" s="13"/>
      <c r="G262" s="13" t="n">
        <v>3.5</v>
      </c>
      <c r="H262" s="13" t="n">
        <v>2.5</v>
      </c>
      <c r="I262" s="13" t="n">
        <v>0.001</v>
      </c>
      <c r="J262" s="13" t="s">
        <v>205</v>
      </c>
      <c r="K262" s="15" t="s">
        <v>34</v>
      </c>
      <c r="L262" s="13" t="s">
        <v>111</v>
      </c>
      <c r="M262" s="16" t="b">
        <f aca="false">FALSE()</f>
        <v>0</v>
      </c>
      <c r="N262" s="13" t="s">
        <v>206</v>
      </c>
      <c r="O262" s="13" t="s">
        <v>128</v>
      </c>
      <c r="P262" s="13" t="s">
        <v>207</v>
      </c>
      <c r="Q262" s="13" t="s">
        <v>208</v>
      </c>
      <c r="R262" s="13" t="s">
        <v>63</v>
      </c>
    </row>
    <row r="263" customFormat="false" ht="15" hidden="false" customHeight="false" outlineLevel="0" collapsed="false">
      <c r="A263" s="13" t="s">
        <v>719</v>
      </c>
      <c r="B263" s="13" t="s">
        <v>720</v>
      </c>
      <c r="C263" s="13" t="s">
        <v>721</v>
      </c>
      <c r="D263" s="13" t="s">
        <v>152</v>
      </c>
      <c r="E263" s="13" t="s">
        <v>153</v>
      </c>
      <c r="F263" s="13"/>
      <c r="G263" s="13" t="n">
        <v>5</v>
      </c>
      <c r="H263" s="13" t="n">
        <v>6</v>
      </c>
      <c r="I263" s="13" t="n">
        <v>0</v>
      </c>
      <c r="J263" s="13" t="s">
        <v>215</v>
      </c>
      <c r="K263" s="15" t="s">
        <v>34</v>
      </c>
      <c r="L263" s="13" t="s">
        <v>111</v>
      </c>
      <c r="M263" s="16" t="b">
        <f aca="false">FALSE()</f>
        <v>0</v>
      </c>
      <c r="N263" s="13" t="s">
        <v>206</v>
      </c>
      <c r="O263" s="13" t="s">
        <v>128</v>
      </c>
      <c r="P263" s="13" t="s">
        <v>216</v>
      </c>
      <c r="Q263" s="13" t="s">
        <v>217</v>
      </c>
      <c r="R263" s="13" t="s">
        <v>63</v>
      </c>
    </row>
    <row r="264" customFormat="false" ht="15" hidden="false" customHeight="false" outlineLevel="0" collapsed="false">
      <c r="A264" s="13" t="s">
        <v>719</v>
      </c>
      <c r="B264" s="13" t="s">
        <v>720</v>
      </c>
      <c r="C264" s="13" t="s">
        <v>722</v>
      </c>
      <c r="D264" s="13" t="s">
        <v>175</v>
      </c>
      <c r="E264" s="13" t="s">
        <v>153</v>
      </c>
      <c r="F264" s="13"/>
      <c r="G264" s="13" t="n">
        <v>1001</v>
      </c>
      <c r="H264" s="13" t="n">
        <v>1230</v>
      </c>
      <c r="I264" s="13" t="n">
        <v>0</v>
      </c>
      <c r="J264" s="13" t="s">
        <v>723</v>
      </c>
      <c r="K264" s="15" t="s">
        <v>34</v>
      </c>
      <c r="L264" s="13" t="s">
        <v>111</v>
      </c>
      <c r="M264" s="16" t="b">
        <f aca="false">FALSE()</f>
        <v>0</v>
      </c>
      <c r="N264" s="13" t="s">
        <v>206</v>
      </c>
      <c r="O264" s="13" t="s">
        <v>128</v>
      </c>
      <c r="P264" s="13" t="s">
        <v>220</v>
      </c>
      <c r="Q264" s="13" t="s">
        <v>221</v>
      </c>
      <c r="R264" s="13" t="s">
        <v>222</v>
      </c>
    </row>
    <row r="265" customFormat="false" ht="23.85" hidden="false" customHeight="false" outlineLevel="0" collapsed="false">
      <c r="A265" s="13" t="s">
        <v>719</v>
      </c>
      <c r="B265" s="13" t="s">
        <v>720</v>
      </c>
      <c r="C265" s="13" t="s">
        <v>724</v>
      </c>
      <c r="D265" s="13" t="s">
        <v>224</v>
      </c>
      <c r="E265" s="13" t="s">
        <v>167</v>
      </c>
      <c r="F265" s="13"/>
      <c r="G265" s="13" t="n">
        <v>1</v>
      </c>
      <c r="H265" s="13" t="n">
        <v>1.2</v>
      </c>
      <c r="I265" s="13" t="n">
        <v>0.0005</v>
      </c>
      <c r="J265" s="13" t="s">
        <v>225</v>
      </c>
      <c r="K265" s="15" t="s">
        <v>34</v>
      </c>
      <c r="L265" s="13" t="s">
        <v>111</v>
      </c>
      <c r="M265" s="16" t="b">
        <f aca="false">FALSE()</f>
        <v>0</v>
      </c>
      <c r="N265" s="13" t="s">
        <v>206</v>
      </c>
      <c r="O265" s="13" t="s">
        <v>226</v>
      </c>
      <c r="P265" s="13" t="s">
        <v>227</v>
      </c>
      <c r="Q265" s="13" t="s">
        <v>228</v>
      </c>
      <c r="R265" s="13" t="s">
        <v>229</v>
      </c>
    </row>
    <row r="266" customFormat="false" ht="35.05" hidden="false" customHeight="false" outlineLevel="0" collapsed="false">
      <c r="A266" s="13" t="s">
        <v>725</v>
      </c>
      <c r="B266" s="13" t="s">
        <v>726</v>
      </c>
      <c r="C266" s="13" t="s">
        <v>727</v>
      </c>
      <c r="D266" s="13" t="s">
        <v>152</v>
      </c>
      <c r="E266" s="13" t="s">
        <v>153</v>
      </c>
      <c r="F266" s="13"/>
      <c r="G266" s="13" t="n">
        <v>5</v>
      </c>
      <c r="H266" s="13" t="n">
        <v>6</v>
      </c>
      <c r="I266" s="13" t="n">
        <v>0</v>
      </c>
      <c r="J266" s="13" t="s">
        <v>215</v>
      </c>
      <c r="K266" s="15" t="s">
        <v>34</v>
      </c>
      <c r="L266" s="13" t="s">
        <v>111</v>
      </c>
      <c r="M266" s="16" t="b">
        <f aca="false">FALSE()</f>
        <v>0</v>
      </c>
      <c r="N266" s="13" t="s">
        <v>206</v>
      </c>
      <c r="O266" s="13" t="s">
        <v>128</v>
      </c>
      <c r="P266" s="13" t="s">
        <v>216</v>
      </c>
      <c r="Q266" s="13" t="s">
        <v>217</v>
      </c>
      <c r="R266" s="13" t="s">
        <v>63</v>
      </c>
    </row>
    <row r="267" customFormat="false" ht="35.05" hidden="false" customHeight="false" outlineLevel="0" collapsed="false">
      <c r="A267" s="13" t="s">
        <v>725</v>
      </c>
      <c r="B267" s="13" t="s">
        <v>726</v>
      </c>
      <c r="C267" s="13" t="s">
        <v>728</v>
      </c>
      <c r="D267" s="13" t="s">
        <v>175</v>
      </c>
      <c r="E267" s="13" t="s">
        <v>153</v>
      </c>
      <c r="F267" s="13"/>
      <c r="G267" s="13" t="n">
        <v>900</v>
      </c>
      <c r="H267" s="13" t="n">
        <v>1110</v>
      </c>
      <c r="I267" s="13" t="n">
        <v>0</v>
      </c>
      <c r="J267" s="13" t="s">
        <v>320</v>
      </c>
      <c r="K267" s="15" t="s">
        <v>34</v>
      </c>
      <c r="L267" s="13" t="s">
        <v>111</v>
      </c>
      <c r="M267" s="16" t="b">
        <f aca="false">FALSE()</f>
        <v>0</v>
      </c>
      <c r="N267" s="13" t="s">
        <v>206</v>
      </c>
      <c r="O267" s="13" t="s">
        <v>128</v>
      </c>
      <c r="P267" s="13" t="s">
        <v>220</v>
      </c>
      <c r="Q267" s="13" t="s">
        <v>221</v>
      </c>
      <c r="R267" s="13" t="s">
        <v>222</v>
      </c>
    </row>
    <row r="268" customFormat="false" ht="35.05" hidden="false" customHeight="false" outlineLevel="0" collapsed="false">
      <c r="A268" s="13" t="s">
        <v>725</v>
      </c>
      <c r="B268" s="13" t="s">
        <v>726</v>
      </c>
      <c r="C268" s="13" t="s">
        <v>729</v>
      </c>
      <c r="D268" s="13" t="s">
        <v>224</v>
      </c>
      <c r="E268" s="13" t="s">
        <v>167</v>
      </c>
      <c r="F268" s="13"/>
      <c r="G268" s="13" t="n">
        <v>1</v>
      </c>
      <c r="H268" s="13" t="n">
        <v>1.2</v>
      </c>
      <c r="I268" s="13" t="n">
        <v>0.0005</v>
      </c>
      <c r="J268" s="13" t="s">
        <v>225</v>
      </c>
      <c r="K268" s="15" t="s">
        <v>34</v>
      </c>
      <c r="L268" s="13" t="s">
        <v>111</v>
      </c>
      <c r="M268" s="16" t="b">
        <f aca="false">FALSE()</f>
        <v>0</v>
      </c>
      <c r="N268" s="13" t="s">
        <v>206</v>
      </c>
      <c r="O268" s="13" t="s">
        <v>226</v>
      </c>
      <c r="P268" s="13" t="s">
        <v>227</v>
      </c>
      <c r="Q268" s="13" t="s">
        <v>228</v>
      </c>
      <c r="R268" s="13" t="s">
        <v>229</v>
      </c>
    </row>
    <row r="269" customFormat="false" ht="15" hidden="false" customHeight="false" outlineLevel="0" collapsed="false">
      <c r="A269" s="13" t="s">
        <v>730</v>
      </c>
      <c r="B269" s="13" t="s">
        <v>731</v>
      </c>
      <c r="C269" s="13" t="s">
        <v>732</v>
      </c>
      <c r="D269" s="13" t="s">
        <v>152</v>
      </c>
      <c r="E269" s="13" t="s">
        <v>153</v>
      </c>
      <c r="F269" s="13"/>
      <c r="G269" s="13" t="n">
        <v>6</v>
      </c>
      <c r="H269" s="13" t="n">
        <v>7</v>
      </c>
      <c r="I269" s="13" t="n">
        <v>0</v>
      </c>
      <c r="J269" s="13" t="s">
        <v>233</v>
      </c>
      <c r="K269" s="15" t="s">
        <v>34</v>
      </c>
      <c r="L269" s="13" t="s">
        <v>111</v>
      </c>
      <c r="M269" s="16" t="b">
        <f aca="false">FALSE()</f>
        <v>0</v>
      </c>
      <c r="N269" s="13" t="s">
        <v>206</v>
      </c>
      <c r="O269" s="13" t="s">
        <v>128</v>
      </c>
      <c r="P269" s="13" t="s">
        <v>216</v>
      </c>
      <c r="Q269" s="13" t="s">
        <v>217</v>
      </c>
      <c r="R269" s="13" t="s">
        <v>63</v>
      </c>
    </row>
    <row r="270" customFormat="false" ht="15" hidden="false" customHeight="false" outlineLevel="0" collapsed="false">
      <c r="A270" s="13" t="s">
        <v>730</v>
      </c>
      <c r="B270" s="13" t="s">
        <v>731</v>
      </c>
      <c r="C270" s="13" t="s">
        <v>733</v>
      </c>
      <c r="D270" s="13" t="s">
        <v>175</v>
      </c>
      <c r="E270" s="13" t="s">
        <v>153</v>
      </c>
      <c r="F270" s="13"/>
      <c r="G270" s="13" t="n">
        <v>1399</v>
      </c>
      <c r="H270" s="13" t="n">
        <v>1670</v>
      </c>
      <c r="I270" s="13" t="n">
        <v>0</v>
      </c>
      <c r="J270" s="13" t="s">
        <v>734</v>
      </c>
      <c r="K270" s="15" t="s">
        <v>34</v>
      </c>
      <c r="L270" s="13" t="s">
        <v>111</v>
      </c>
      <c r="M270" s="16" t="b">
        <f aca="false">FALSE()</f>
        <v>0</v>
      </c>
      <c r="N270" s="13" t="s">
        <v>206</v>
      </c>
      <c r="O270" s="13" t="s">
        <v>128</v>
      </c>
      <c r="P270" s="13" t="s">
        <v>220</v>
      </c>
      <c r="Q270" s="13" t="s">
        <v>221</v>
      </c>
      <c r="R270" s="13" t="s">
        <v>222</v>
      </c>
    </row>
    <row r="271" customFormat="false" ht="23.85" hidden="false" customHeight="false" outlineLevel="0" collapsed="false">
      <c r="A271" s="13" t="s">
        <v>730</v>
      </c>
      <c r="B271" s="13" t="s">
        <v>731</v>
      </c>
      <c r="C271" s="13" t="s">
        <v>735</v>
      </c>
      <c r="D271" s="13" t="s">
        <v>224</v>
      </c>
      <c r="E271" s="13" t="s">
        <v>167</v>
      </c>
      <c r="F271" s="13"/>
      <c r="G271" s="13" t="n">
        <v>1</v>
      </c>
      <c r="H271" s="13" t="n">
        <v>1.1667</v>
      </c>
      <c r="I271" s="13" t="n">
        <v>0.0005</v>
      </c>
      <c r="J271" s="13" t="s">
        <v>237</v>
      </c>
      <c r="K271" s="15" t="s">
        <v>34</v>
      </c>
      <c r="L271" s="13" t="s">
        <v>111</v>
      </c>
      <c r="M271" s="16" t="b">
        <f aca="false">FALSE()</f>
        <v>0</v>
      </c>
      <c r="N271" s="13" t="s">
        <v>206</v>
      </c>
      <c r="O271" s="13" t="s">
        <v>226</v>
      </c>
      <c r="P271" s="13" t="s">
        <v>227</v>
      </c>
      <c r="Q271" s="13" t="s">
        <v>228</v>
      </c>
      <c r="R271" s="13" t="s">
        <v>229</v>
      </c>
    </row>
    <row r="272" customFormat="false" ht="15" hidden="false" customHeight="false" outlineLevel="0" collapsed="false">
      <c r="A272" s="13" t="s">
        <v>736</v>
      </c>
      <c r="B272" s="13" t="s">
        <v>737</v>
      </c>
      <c r="C272" s="13" t="s">
        <v>738</v>
      </c>
      <c r="D272" s="13" t="s">
        <v>152</v>
      </c>
      <c r="E272" s="13" t="s">
        <v>153</v>
      </c>
      <c r="F272" s="13"/>
      <c r="G272" s="13" t="n">
        <v>6</v>
      </c>
      <c r="H272" s="13" t="n">
        <v>7</v>
      </c>
      <c r="I272" s="13" t="n">
        <v>0</v>
      </c>
      <c r="J272" s="13" t="s">
        <v>233</v>
      </c>
      <c r="K272" s="15" t="s">
        <v>34</v>
      </c>
      <c r="L272" s="13" t="s">
        <v>111</v>
      </c>
      <c r="M272" s="16" t="b">
        <f aca="false">FALSE()</f>
        <v>0</v>
      </c>
      <c r="N272" s="13" t="s">
        <v>206</v>
      </c>
      <c r="O272" s="13" t="s">
        <v>128</v>
      </c>
      <c r="P272" s="13" t="s">
        <v>216</v>
      </c>
      <c r="Q272" s="13" t="s">
        <v>217</v>
      </c>
      <c r="R272" s="13" t="s">
        <v>63</v>
      </c>
    </row>
    <row r="273" customFormat="false" ht="15" hidden="false" customHeight="false" outlineLevel="0" collapsed="false">
      <c r="A273" s="13" t="s">
        <v>736</v>
      </c>
      <c r="B273" s="13" t="s">
        <v>737</v>
      </c>
      <c r="C273" s="13" t="s">
        <v>739</v>
      </c>
      <c r="D273" s="13" t="s">
        <v>175</v>
      </c>
      <c r="E273" s="13" t="s">
        <v>153</v>
      </c>
      <c r="F273" s="13"/>
      <c r="G273" s="13" t="n">
        <v>990</v>
      </c>
      <c r="H273" s="13" t="n">
        <v>1180</v>
      </c>
      <c r="I273" s="13" t="n">
        <v>0</v>
      </c>
      <c r="J273" s="13" t="s">
        <v>740</v>
      </c>
      <c r="K273" s="15" t="s">
        <v>34</v>
      </c>
      <c r="L273" s="13" t="s">
        <v>111</v>
      </c>
      <c r="M273" s="16" t="b">
        <f aca="false">FALSE()</f>
        <v>0</v>
      </c>
      <c r="N273" s="13" t="s">
        <v>206</v>
      </c>
      <c r="O273" s="13" t="s">
        <v>128</v>
      </c>
      <c r="P273" s="13" t="s">
        <v>220</v>
      </c>
      <c r="Q273" s="13" t="s">
        <v>221</v>
      </c>
      <c r="R273" s="13" t="s">
        <v>222</v>
      </c>
    </row>
    <row r="274" customFormat="false" ht="15" hidden="false" customHeight="false" outlineLevel="0" collapsed="false">
      <c r="A274" s="13" t="s">
        <v>736</v>
      </c>
      <c r="B274" s="13" t="s">
        <v>737</v>
      </c>
      <c r="C274" s="13" t="s">
        <v>741</v>
      </c>
      <c r="D274" s="13" t="s">
        <v>224</v>
      </c>
      <c r="E274" s="13" t="s">
        <v>167</v>
      </c>
      <c r="F274" s="13"/>
      <c r="G274" s="13" t="n">
        <v>1</v>
      </c>
      <c r="H274" s="13" t="n">
        <v>1.1667</v>
      </c>
      <c r="I274" s="13" t="n">
        <v>0.0005</v>
      </c>
      <c r="J274" s="13" t="s">
        <v>237</v>
      </c>
      <c r="K274" s="15" t="s">
        <v>34</v>
      </c>
      <c r="L274" s="13" t="s">
        <v>111</v>
      </c>
      <c r="M274" s="16" t="b">
        <f aca="false">FALSE()</f>
        <v>0</v>
      </c>
      <c r="N274" s="13" t="s">
        <v>206</v>
      </c>
      <c r="O274" s="13" t="s">
        <v>226</v>
      </c>
      <c r="P274" s="13" t="s">
        <v>227</v>
      </c>
      <c r="Q274" s="13" t="s">
        <v>228</v>
      </c>
      <c r="R274" s="13" t="s">
        <v>229</v>
      </c>
    </row>
    <row r="275" customFormat="false" ht="23.85" hidden="false" customHeight="false" outlineLevel="0" collapsed="false">
      <c r="A275" s="13" t="s">
        <v>742</v>
      </c>
      <c r="B275" s="13" t="s">
        <v>743</v>
      </c>
      <c r="C275" s="13" t="s">
        <v>744</v>
      </c>
      <c r="D275" s="13" t="s">
        <v>152</v>
      </c>
      <c r="E275" s="13" t="s">
        <v>153</v>
      </c>
      <c r="F275" s="13"/>
      <c r="G275" s="13" t="n">
        <v>6</v>
      </c>
      <c r="H275" s="13" t="n">
        <v>7</v>
      </c>
      <c r="I275" s="13" t="n">
        <v>0</v>
      </c>
      <c r="J275" s="13" t="s">
        <v>233</v>
      </c>
      <c r="K275" s="15" t="s">
        <v>34</v>
      </c>
      <c r="L275" s="13" t="s">
        <v>111</v>
      </c>
      <c r="M275" s="16" t="b">
        <f aca="false">FALSE()</f>
        <v>0</v>
      </c>
      <c r="N275" s="13" t="s">
        <v>206</v>
      </c>
      <c r="O275" s="13" t="s">
        <v>128</v>
      </c>
      <c r="P275" s="13" t="s">
        <v>216</v>
      </c>
      <c r="Q275" s="13" t="s">
        <v>217</v>
      </c>
      <c r="R275" s="13" t="s">
        <v>63</v>
      </c>
    </row>
    <row r="276" customFormat="false" ht="23.85" hidden="false" customHeight="false" outlineLevel="0" collapsed="false">
      <c r="A276" s="13" t="s">
        <v>742</v>
      </c>
      <c r="B276" s="13" t="s">
        <v>743</v>
      </c>
      <c r="C276" s="13" t="s">
        <v>745</v>
      </c>
      <c r="D276" s="13" t="s">
        <v>175</v>
      </c>
      <c r="E276" s="13" t="s">
        <v>153</v>
      </c>
      <c r="F276" s="13"/>
      <c r="G276" s="13" t="n">
        <v>900</v>
      </c>
      <c r="H276" s="13" t="n">
        <v>1070</v>
      </c>
      <c r="I276" s="13" t="n">
        <v>0</v>
      </c>
      <c r="J276" s="13" t="s">
        <v>354</v>
      </c>
      <c r="K276" s="15" t="s">
        <v>34</v>
      </c>
      <c r="L276" s="13" t="s">
        <v>111</v>
      </c>
      <c r="M276" s="16" t="b">
        <f aca="false">FALSE()</f>
        <v>0</v>
      </c>
      <c r="N276" s="13" t="s">
        <v>206</v>
      </c>
      <c r="O276" s="13" t="s">
        <v>128</v>
      </c>
      <c r="P276" s="13" t="s">
        <v>220</v>
      </c>
      <c r="Q276" s="13" t="s">
        <v>221</v>
      </c>
      <c r="R276" s="13" t="s">
        <v>222</v>
      </c>
    </row>
    <row r="277" customFormat="false" ht="23.85" hidden="false" customHeight="false" outlineLevel="0" collapsed="false">
      <c r="A277" s="13" t="s">
        <v>742</v>
      </c>
      <c r="B277" s="13" t="s">
        <v>743</v>
      </c>
      <c r="C277" s="13" t="s">
        <v>746</v>
      </c>
      <c r="D277" s="13" t="s">
        <v>224</v>
      </c>
      <c r="E277" s="13" t="s">
        <v>167</v>
      </c>
      <c r="F277" s="13"/>
      <c r="G277" s="13" t="n">
        <v>1</v>
      </c>
      <c r="H277" s="13" t="n">
        <v>1.1667</v>
      </c>
      <c r="I277" s="13" t="n">
        <v>0.0005</v>
      </c>
      <c r="J277" s="13" t="s">
        <v>237</v>
      </c>
      <c r="K277" s="15" t="s">
        <v>34</v>
      </c>
      <c r="L277" s="13" t="s">
        <v>111</v>
      </c>
      <c r="M277" s="16" t="b">
        <f aca="false">FALSE()</f>
        <v>0</v>
      </c>
      <c r="N277" s="13" t="s">
        <v>206</v>
      </c>
      <c r="O277" s="13" t="s">
        <v>226</v>
      </c>
      <c r="P277" s="13" t="s">
        <v>227</v>
      </c>
      <c r="Q277" s="13" t="s">
        <v>228</v>
      </c>
      <c r="R277" s="13" t="s">
        <v>229</v>
      </c>
    </row>
    <row r="278" customFormat="false" ht="15" hidden="false" customHeight="false" outlineLevel="0" collapsed="false">
      <c r="A278" s="13" t="s">
        <v>747</v>
      </c>
      <c r="B278" s="13" t="s">
        <v>748</v>
      </c>
      <c r="C278" s="13" t="s">
        <v>749</v>
      </c>
      <c r="D278" s="13" t="s">
        <v>152</v>
      </c>
      <c r="E278" s="13" t="s">
        <v>153</v>
      </c>
      <c r="F278" s="13"/>
      <c r="G278" s="13" t="n">
        <v>7</v>
      </c>
      <c r="H278" s="13" t="n">
        <v>8</v>
      </c>
      <c r="I278" s="13" t="n">
        <v>0</v>
      </c>
      <c r="J278" s="13" t="s">
        <v>359</v>
      </c>
      <c r="K278" s="15" t="s">
        <v>34</v>
      </c>
      <c r="L278" s="13" t="s">
        <v>111</v>
      </c>
      <c r="M278" s="16" t="b">
        <f aca="false">FALSE()</f>
        <v>0</v>
      </c>
      <c r="N278" s="13" t="s">
        <v>206</v>
      </c>
      <c r="O278" s="13" t="s">
        <v>128</v>
      </c>
      <c r="P278" s="13" t="s">
        <v>216</v>
      </c>
      <c r="Q278" s="13" t="s">
        <v>217</v>
      </c>
      <c r="R278" s="13" t="s">
        <v>63</v>
      </c>
    </row>
    <row r="279" customFormat="false" ht="15" hidden="false" customHeight="false" outlineLevel="0" collapsed="false">
      <c r="A279" s="13" t="s">
        <v>747</v>
      </c>
      <c r="B279" s="13" t="s">
        <v>748</v>
      </c>
      <c r="C279" s="13" t="s">
        <v>750</v>
      </c>
      <c r="D279" s="13" t="s">
        <v>175</v>
      </c>
      <c r="E279" s="13" t="s">
        <v>153</v>
      </c>
      <c r="F279" s="13"/>
      <c r="G279" s="13" t="n">
        <v>1188</v>
      </c>
      <c r="H279" s="13" t="n">
        <v>1390</v>
      </c>
      <c r="I279" s="13" t="n">
        <v>0</v>
      </c>
      <c r="J279" s="13" t="s">
        <v>751</v>
      </c>
      <c r="K279" s="15" t="s">
        <v>34</v>
      </c>
      <c r="L279" s="13" t="s">
        <v>111</v>
      </c>
      <c r="M279" s="16" t="b">
        <f aca="false">FALSE()</f>
        <v>0</v>
      </c>
      <c r="N279" s="13" t="s">
        <v>206</v>
      </c>
      <c r="O279" s="13" t="s">
        <v>128</v>
      </c>
      <c r="P279" s="13" t="s">
        <v>220</v>
      </c>
      <c r="Q279" s="13" t="s">
        <v>221</v>
      </c>
      <c r="R279" s="13" t="s">
        <v>222</v>
      </c>
    </row>
    <row r="280" customFormat="false" ht="15" hidden="false" customHeight="false" outlineLevel="0" collapsed="false">
      <c r="A280" s="13" t="s">
        <v>747</v>
      </c>
      <c r="B280" s="13" t="s">
        <v>748</v>
      </c>
      <c r="C280" s="13" t="s">
        <v>752</v>
      </c>
      <c r="D280" s="13" t="s">
        <v>224</v>
      </c>
      <c r="E280" s="13" t="s">
        <v>167</v>
      </c>
      <c r="F280" s="13"/>
      <c r="G280" s="13" t="n">
        <v>1</v>
      </c>
      <c r="H280" s="13" t="n">
        <v>1.1429</v>
      </c>
      <c r="I280" s="13" t="n">
        <v>0.0005</v>
      </c>
      <c r="J280" s="13" t="s">
        <v>363</v>
      </c>
      <c r="K280" s="15" t="s">
        <v>34</v>
      </c>
      <c r="L280" s="13" t="s">
        <v>111</v>
      </c>
      <c r="M280" s="16" t="b">
        <f aca="false">FALSE()</f>
        <v>0</v>
      </c>
      <c r="N280" s="13" t="s">
        <v>206</v>
      </c>
      <c r="O280" s="13" t="s">
        <v>226</v>
      </c>
      <c r="P280" s="13" t="s">
        <v>227</v>
      </c>
      <c r="Q280" s="13" t="s">
        <v>228</v>
      </c>
      <c r="R280" s="13" t="s">
        <v>229</v>
      </c>
    </row>
    <row r="281" customFormat="false" ht="15" hidden="false" customHeight="false" outlineLevel="0" collapsed="false">
      <c r="A281" s="13" t="s">
        <v>753</v>
      </c>
      <c r="B281" s="13" t="s">
        <v>754</v>
      </c>
      <c r="C281" s="13" t="s">
        <v>755</v>
      </c>
      <c r="D281" s="13" t="s">
        <v>152</v>
      </c>
      <c r="E281" s="13" t="s">
        <v>153</v>
      </c>
      <c r="F281" s="13"/>
      <c r="G281" s="13" t="n">
        <v>7</v>
      </c>
      <c r="H281" s="13" t="n">
        <v>8</v>
      </c>
      <c r="I281" s="13" t="n">
        <v>0</v>
      </c>
      <c r="J281" s="13" t="s">
        <v>359</v>
      </c>
      <c r="K281" s="15" t="s">
        <v>34</v>
      </c>
      <c r="L281" s="13" t="s">
        <v>111</v>
      </c>
      <c r="M281" s="16" t="b">
        <f aca="false">FALSE()</f>
        <v>0</v>
      </c>
      <c r="N281" s="13" t="s">
        <v>206</v>
      </c>
      <c r="O281" s="13" t="s">
        <v>128</v>
      </c>
      <c r="P281" s="13" t="s">
        <v>216</v>
      </c>
      <c r="Q281" s="13" t="s">
        <v>217</v>
      </c>
      <c r="R281" s="13" t="s">
        <v>63</v>
      </c>
    </row>
    <row r="282" customFormat="false" ht="15" hidden="false" customHeight="false" outlineLevel="0" collapsed="false">
      <c r="A282" s="13" t="s">
        <v>753</v>
      </c>
      <c r="B282" s="13" t="s">
        <v>754</v>
      </c>
      <c r="C282" s="13" t="s">
        <v>756</v>
      </c>
      <c r="D282" s="13" t="s">
        <v>175</v>
      </c>
      <c r="E282" s="13" t="s">
        <v>153</v>
      </c>
      <c r="F282" s="13"/>
      <c r="G282" s="13" t="n">
        <v>1300</v>
      </c>
      <c r="H282" s="13" t="n">
        <v>1520</v>
      </c>
      <c r="I282" s="13" t="n">
        <v>0</v>
      </c>
      <c r="J282" s="13" t="s">
        <v>613</v>
      </c>
      <c r="K282" s="15" t="s">
        <v>34</v>
      </c>
      <c r="L282" s="13" t="s">
        <v>111</v>
      </c>
      <c r="M282" s="16" t="b">
        <f aca="false">FALSE()</f>
        <v>0</v>
      </c>
      <c r="N282" s="13" t="s">
        <v>206</v>
      </c>
      <c r="O282" s="13" t="s">
        <v>128</v>
      </c>
      <c r="P282" s="13" t="s">
        <v>220</v>
      </c>
      <c r="Q282" s="13" t="s">
        <v>221</v>
      </c>
      <c r="R282" s="13" t="s">
        <v>222</v>
      </c>
    </row>
    <row r="283" customFormat="false" ht="15" hidden="false" customHeight="false" outlineLevel="0" collapsed="false">
      <c r="A283" s="13" t="s">
        <v>753</v>
      </c>
      <c r="B283" s="13" t="s">
        <v>754</v>
      </c>
      <c r="C283" s="13" t="s">
        <v>757</v>
      </c>
      <c r="D283" s="13" t="s">
        <v>224</v>
      </c>
      <c r="E283" s="13" t="s">
        <v>167</v>
      </c>
      <c r="F283" s="13"/>
      <c r="G283" s="13" t="n">
        <v>1</v>
      </c>
      <c r="H283" s="13" t="n">
        <v>1.1429</v>
      </c>
      <c r="I283" s="13" t="n">
        <v>0.0005</v>
      </c>
      <c r="J283" s="13" t="s">
        <v>363</v>
      </c>
      <c r="K283" s="15" t="s">
        <v>34</v>
      </c>
      <c r="L283" s="13" t="s">
        <v>111</v>
      </c>
      <c r="M283" s="16" t="b">
        <f aca="false">FALSE()</f>
        <v>0</v>
      </c>
      <c r="N283" s="13" t="s">
        <v>206</v>
      </c>
      <c r="O283" s="13" t="s">
        <v>226</v>
      </c>
      <c r="P283" s="13" t="s">
        <v>227</v>
      </c>
      <c r="Q283" s="13" t="s">
        <v>228</v>
      </c>
      <c r="R283" s="13" t="s">
        <v>229</v>
      </c>
    </row>
    <row r="284" customFormat="false" ht="15" hidden="false" customHeight="false" outlineLevel="0" collapsed="false">
      <c r="A284" s="13" t="s">
        <v>758</v>
      </c>
      <c r="B284" s="13" t="s">
        <v>759</v>
      </c>
      <c r="C284" s="13" t="s">
        <v>760</v>
      </c>
      <c r="D284" s="13" t="s">
        <v>152</v>
      </c>
      <c r="E284" s="13" t="s">
        <v>153</v>
      </c>
      <c r="F284" s="13"/>
      <c r="G284" s="13" t="n">
        <v>14</v>
      </c>
      <c r="H284" s="13" t="n">
        <v>18</v>
      </c>
      <c r="I284" s="13" t="n">
        <v>0</v>
      </c>
      <c r="J284" s="13" t="s">
        <v>459</v>
      </c>
      <c r="K284" s="15" t="s">
        <v>34</v>
      </c>
      <c r="L284" s="13" t="s">
        <v>111</v>
      </c>
      <c r="M284" s="16" t="b">
        <f aca="false">FALSE()</f>
        <v>0</v>
      </c>
      <c r="N284" s="13" t="s">
        <v>206</v>
      </c>
      <c r="O284" s="13" t="s">
        <v>128</v>
      </c>
      <c r="P284" s="13" t="s">
        <v>216</v>
      </c>
      <c r="Q284" s="13" t="s">
        <v>217</v>
      </c>
      <c r="R284" s="13" t="s">
        <v>63</v>
      </c>
    </row>
    <row r="285" customFormat="false" ht="15" hidden="false" customHeight="false" outlineLevel="0" collapsed="false">
      <c r="A285" s="13" t="s">
        <v>758</v>
      </c>
      <c r="B285" s="13" t="s">
        <v>759</v>
      </c>
      <c r="C285" s="13" t="s">
        <v>761</v>
      </c>
      <c r="D285" s="13" t="s">
        <v>175</v>
      </c>
      <c r="E285" s="13" t="s">
        <v>153</v>
      </c>
      <c r="F285" s="13"/>
      <c r="G285" s="13" t="n">
        <v>968</v>
      </c>
      <c r="H285" s="13" t="n">
        <v>1290</v>
      </c>
      <c r="I285" s="13" t="n">
        <v>0</v>
      </c>
      <c r="J285" s="13" t="s">
        <v>762</v>
      </c>
      <c r="K285" s="15" t="s">
        <v>34</v>
      </c>
      <c r="L285" s="13" t="s">
        <v>111</v>
      </c>
      <c r="M285" s="16" t="b">
        <f aca="false">FALSE()</f>
        <v>0</v>
      </c>
      <c r="N285" s="13" t="s">
        <v>206</v>
      </c>
      <c r="O285" s="13" t="s">
        <v>128</v>
      </c>
      <c r="P285" s="13" t="s">
        <v>220</v>
      </c>
      <c r="Q285" s="13" t="s">
        <v>221</v>
      </c>
      <c r="R285" s="13" t="s">
        <v>222</v>
      </c>
    </row>
    <row r="286" customFormat="false" ht="15" hidden="false" customHeight="false" outlineLevel="0" collapsed="false">
      <c r="A286" s="13" t="s">
        <v>758</v>
      </c>
      <c r="B286" s="13" t="s">
        <v>759</v>
      </c>
      <c r="C286" s="13" t="s">
        <v>763</v>
      </c>
      <c r="D286" s="13" t="s">
        <v>224</v>
      </c>
      <c r="E286" s="13" t="s">
        <v>167</v>
      </c>
      <c r="F286" s="13"/>
      <c r="G286" s="13" t="n">
        <v>1</v>
      </c>
      <c r="H286" s="13" t="n">
        <v>1.4464</v>
      </c>
      <c r="I286" s="13" t="n">
        <v>0.0005</v>
      </c>
      <c r="J286" s="13" t="s">
        <v>463</v>
      </c>
      <c r="K286" s="15" t="s">
        <v>34</v>
      </c>
      <c r="L286" s="13" t="s">
        <v>111</v>
      </c>
      <c r="M286" s="16" t="b">
        <f aca="false">FALSE()</f>
        <v>0</v>
      </c>
      <c r="N286" s="13" t="s">
        <v>206</v>
      </c>
      <c r="O286" s="13" t="s">
        <v>226</v>
      </c>
      <c r="P286" s="13" t="s">
        <v>227</v>
      </c>
      <c r="Q286" s="13" t="s">
        <v>228</v>
      </c>
      <c r="R286" s="13" t="s">
        <v>229</v>
      </c>
    </row>
    <row r="287" customFormat="false" ht="23.85" hidden="false" customHeight="false" outlineLevel="0" collapsed="false">
      <c r="A287" s="13" t="s">
        <v>758</v>
      </c>
      <c r="B287" s="13" t="s">
        <v>759</v>
      </c>
      <c r="C287" s="13" t="s">
        <v>764</v>
      </c>
      <c r="D287" s="13" t="s">
        <v>204</v>
      </c>
      <c r="E287" s="13" t="s">
        <v>167</v>
      </c>
      <c r="F287" s="13"/>
      <c r="G287" s="13" t="n">
        <v>3.5</v>
      </c>
      <c r="H287" s="13" t="n">
        <v>5</v>
      </c>
      <c r="I287" s="13" t="n">
        <v>0.001</v>
      </c>
      <c r="J287" s="13" t="s">
        <v>205</v>
      </c>
      <c r="K287" s="15" t="s">
        <v>34</v>
      </c>
      <c r="L287" s="13" t="s">
        <v>111</v>
      </c>
      <c r="M287" s="16" t="b">
        <f aca="false">FALSE()</f>
        <v>0</v>
      </c>
      <c r="N287" s="13" t="s">
        <v>206</v>
      </c>
      <c r="O287" s="13" t="s">
        <v>128</v>
      </c>
      <c r="P287" s="13" t="s">
        <v>207</v>
      </c>
      <c r="Q287" s="13" t="s">
        <v>208</v>
      </c>
      <c r="R287" s="13" t="s">
        <v>63</v>
      </c>
    </row>
    <row r="288" customFormat="false" ht="15" hidden="false" customHeight="false" outlineLevel="0" collapsed="false">
      <c r="A288" s="13" t="s">
        <v>765</v>
      </c>
      <c r="B288" s="13" t="s">
        <v>766</v>
      </c>
      <c r="C288" s="13" t="s">
        <v>767</v>
      </c>
      <c r="D288" s="13" t="s">
        <v>152</v>
      </c>
      <c r="E288" s="13" t="s">
        <v>153</v>
      </c>
      <c r="F288" s="13"/>
      <c r="G288" s="13" t="n">
        <v>6</v>
      </c>
      <c r="H288" s="13" t="n">
        <v>7</v>
      </c>
      <c r="I288" s="13" t="n">
        <v>0</v>
      </c>
      <c r="J288" s="13" t="s">
        <v>233</v>
      </c>
      <c r="K288" s="15" t="s">
        <v>34</v>
      </c>
      <c r="L288" s="13" t="s">
        <v>111</v>
      </c>
      <c r="M288" s="16" t="b">
        <f aca="false">FALSE()</f>
        <v>0</v>
      </c>
      <c r="N288" s="13" t="s">
        <v>206</v>
      </c>
      <c r="O288" s="13" t="s">
        <v>128</v>
      </c>
      <c r="P288" s="13" t="s">
        <v>216</v>
      </c>
      <c r="Q288" s="13" t="s">
        <v>217</v>
      </c>
      <c r="R288" s="13" t="s">
        <v>63</v>
      </c>
    </row>
    <row r="289" customFormat="false" ht="15" hidden="false" customHeight="false" outlineLevel="0" collapsed="false">
      <c r="A289" s="13" t="s">
        <v>765</v>
      </c>
      <c r="B289" s="13" t="s">
        <v>766</v>
      </c>
      <c r="C289" s="13" t="s">
        <v>768</v>
      </c>
      <c r="D289" s="13" t="s">
        <v>175</v>
      </c>
      <c r="E289" s="13" t="s">
        <v>153</v>
      </c>
      <c r="F289" s="13"/>
      <c r="G289" s="13" t="n">
        <v>2860</v>
      </c>
      <c r="H289" s="13" t="n">
        <v>3410</v>
      </c>
      <c r="I289" s="13" t="n">
        <v>0</v>
      </c>
      <c r="J289" s="13" t="s">
        <v>769</v>
      </c>
      <c r="K289" s="15" t="s">
        <v>34</v>
      </c>
      <c r="L289" s="13" t="s">
        <v>111</v>
      </c>
      <c r="M289" s="16" t="b">
        <f aca="false">FALSE()</f>
        <v>0</v>
      </c>
      <c r="N289" s="13" t="s">
        <v>206</v>
      </c>
      <c r="O289" s="13" t="s">
        <v>128</v>
      </c>
      <c r="P289" s="13" t="s">
        <v>220</v>
      </c>
      <c r="Q289" s="13" t="s">
        <v>221</v>
      </c>
      <c r="R289" s="13" t="s">
        <v>222</v>
      </c>
    </row>
    <row r="290" customFormat="false" ht="23.85" hidden="false" customHeight="false" outlineLevel="0" collapsed="false">
      <c r="A290" s="13" t="s">
        <v>765</v>
      </c>
      <c r="B290" s="13" t="s">
        <v>766</v>
      </c>
      <c r="C290" s="13" t="s">
        <v>770</v>
      </c>
      <c r="D290" s="13" t="s">
        <v>224</v>
      </c>
      <c r="E290" s="13" t="s">
        <v>167</v>
      </c>
      <c r="F290" s="13"/>
      <c r="G290" s="13" t="n">
        <v>1</v>
      </c>
      <c r="H290" s="13" t="n">
        <v>1.1667</v>
      </c>
      <c r="I290" s="13" t="n">
        <v>0.0005</v>
      </c>
      <c r="J290" s="13" t="s">
        <v>237</v>
      </c>
      <c r="K290" s="15" t="s">
        <v>34</v>
      </c>
      <c r="L290" s="13" t="s">
        <v>111</v>
      </c>
      <c r="M290" s="16" t="b">
        <f aca="false">FALSE()</f>
        <v>0</v>
      </c>
      <c r="N290" s="13" t="s">
        <v>206</v>
      </c>
      <c r="O290" s="13" t="s">
        <v>226</v>
      </c>
      <c r="P290" s="13" t="s">
        <v>227</v>
      </c>
      <c r="Q290" s="13" t="s">
        <v>228</v>
      </c>
      <c r="R290" s="13" t="s">
        <v>229</v>
      </c>
    </row>
    <row r="291" customFormat="false" ht="23.85" hidden="false" customHeight="false" outlineLevel="0" collapsed="false">
      <c r="A291" s="13" t="s">
        <v>771</v>
      </c>
      <c r="B291" s="13" t="s">
        <v>772</v>
      </c>
      <c r="C291" s="13" t="s">
        <v>773</v>
      </c>
      <c r="D291" s="13" t="s">
        <v>152</v>
      </c>
      <c r="E291" s="13" t="s">
        <v>153</v>
      </c>
      <c r="F291" s="13"/>
      <c r="G291" s="13" t="n">
        <v>7</v>
      </c>
      <c r="H291" s="13" t="n">
        <v>8</v>
      </c>
      <c r="I291" s="13" t="n">
        <v>0</v>
      </c>
      <c r="J291" s="13" t="s">
        <v>359</v>
      </c>
      <c r="K291" s="15" t="s">
        <v>34</v>
      </c>
      <c r="L291" s="13" t="s">
        <v>111</v>
      </c>
      <c r="M291" s="16" t="b">
        <f aca="false">FALSE()</f>
        <v>0</v>
      </c>
      <c r="N291" s="13" t="s">
        <v>206</v>
      </c>
      <c r="O291" s="13" t="s">
        <v>128</v>
      </c>
      <c r="P291" s="13" t="s">
        <v>216</v>
      </c>
      <c r="Q291" s="13" t="s">
        <v>217</v>
      </c>
      <c r="R291" s="13" t="s">
        <v>63</v>
      </c>
    </row>
    <row r="292" customFormat="false" ht="23.85" hidden="false" customHeight="false" outlineLevel="0" collapsed="false">
      <c r="A292" s="13" t="s">
        <v>771</v>
      </c>
      <c r="B292" s="13" t="s">
        <v>772</v>
      </c>
      <c r="C292" s="13" t="s">
        <v>774</v>
      </c>
      <c r="D292" s="13" t="s">
        <v>175</v>
      </c>
      <c r="E292" s="13" t="s">
        <v>153</v>
      </c>
      <c r="F292" s="13"/>
      <c r="G292" s="13" t="n">
        <v>2860</v>
      </c>
      <c r="H292" s="13" t="n">
        <v>3330</v>
      </c>
      <c r="I292" s="13" t="n">
        <v>0</v>
      </c>
      <c r="J292" s="13" t="s">
        <v>565</v>
      </c>
      <c r="K292" s="15" t="s">
        <v>34</v>
      </c>
      <c r="L292" s="13" t="s">
        <v>111</v>
      </c>
      <c r="M292" s="16" t="b">
        <f aca="false">FALSE()</f>
        <v>0</v>
      </c>
      <c r="N292" s="13" t="s">
        <v>206</v>
      </c>
      <c r="O292" s="13" t="s">
        <v>128</v>
      </c>
      <c r="P292" s="13" t="s">
        <v>220</v>
      </c>
      <c r="Q292" s="13" t="s">
        <v>221</v>
      </c>
      <c r="R292" s="13" t="s">
        <v>222</v>
      </c>
    </row>
    <row r="293" customFormat="false" ht="23.85" hidden="false" customHeight="false" outlineLevel="0" collapsed="false">
      <c r="A293" s="13" t="s">
        <v>771</v>
      </c>
      <c r="B293" s="13" t="s">
        <v>772</v>
      </c>
      <c r="C293" s="13" t="s">
        <v>775</v>
      </c>
      <c r="D293" s="13" t="s">
        <v>224</v>
      </c>
      <c r="E293" s="13" t="s">
        <v>167</v>
      </c>
      <c r="F293" s="13"/>
      <c r="G293" s="13" t="n">
        <v>1</v>
      </c>
      <c r="H293" s="13" t="n">
        <v>1.1429</v>
      </c>
      <c r="I293" s="13" t="n">
        <v>0.0005</v>
      </c>
      <c r="J293" s="13" t="s">
        <v>363</v>
      </c>
      <c r="K293" s="15" t="s">
        <v>34</v>
      </c>
      <c r="L293" s="13" t="s">
        <v>111</v>
      </c>
      <c r="M293" s="16" t="b">
        <f aca="false">FALSE()</f>
        <v>0</v>
      </c>
      <c r="N293" s="13" t="s">
        <v>206</v>
      </c>
      <c r="O293" s="13" t="s">
        <v>226</v>
      </c>
      <c r="P293" s="13" t="s">
        <v>227</v>
      </c>
      <c r="Q293" s="13" t="s">
        <v>228</v>
      </c>
      <c r="R293" s="13" t="s">
        <v>229</v>
      </c>
    </row>
    <row r="294" customFormat="false" ht="15" hidden="false" customHeight="false" outlineLevel="0" collapsed="false">
      <c r="A294" s="13" t="s">
        <v>776</v>
      </c>
      <c r="B294" s="13" t="s">
        <v>777</v>
      </c>
      <c r="C294" s="13" t="s">
        <v>778</v>
      </c>
      <c r="D294" s="13" t="s">
        <v>152</v>
      </c>
      <c r="E294" s="13" t="s">
        <v>153</v>
      </c>
      <c r="F294" s="13"/>
      <c r="G294" s="13" t="n">
        <v>7</v>
      </c>
      <c r="H294" s="13" t="n">
        <v>8</v>
      </c>
      <c r="I294" s="13" t="n">
        <v>0</v>
      </c>
      <c r="J294" s="13" t="s">
        <v>359</v>
      </c>
      <c r="K294" s="15" t="s">
        <v>34</v>
      </c>
      <c r="L294" s="13" t="s">
        <v>111</v>
      </c>
      <c r="M294" s="16" t="b">
        <f aca="false">FALSE()</f>
        <v>0</v>
      </c>
      <c r="N294" s="13" t="s">
        <v>206</v>
      </c>
      <c r="O294" s="13" t="s">
        <v>128</v>
      </c>
      <c r="P294" s="13" t="s">
        <v>216</v>
      </c>
      <c r="Q294" s="13" t="s">
        <v>217</v>
      </c>
      <c r="R294" s="13" t="s">
        <v>63</v>
      </c>
    </row>
    <row r="295" customFormat="false" ht="15" hidden="false" customHeight="false" outlineLevel="0" collapsed="false">
      <c r="A295" s="13" t="s">
        <v>776</v>
      </c>
      <c r="B295" s="13" t="s">
        <v>777</v>
      </c>
      <c r="C295" s="13" t="s">
        <v>779</v>
      </c>
      <c r="D295" s="13" t="s">
        <v>175</v>
      </c>
      <c r="E295" s="13" t="s">
        <v>153</v>
      </c>
      <c r="F295" s="13"/>
      <c r="G295" s="13" t="n">
        <v>1980</v>
      </c>
      <c r="H295" s="13" t="n">
        <v>2310</v>
      </c>
      <c r="I295" s="13" t="n">
        <v>0</v>
      </c>
      <c r="J295" s="13" t="s">
        <v>780</v>
      </c>
      <c r="K295" s="15" t="s">
        <v>34</v>
      </c>
      <c r="L295" s="13" t="s">
        <v>111</v>
      </c>
      <c r="M295" s="16" t="b">
        <f aca="false">FALSE()</f>
        <v>0</v>
      </c>
      <c r="N295" s="13" t="s">
        <v>206</v>
      </c>
      <c r="O295" s="13" t="s">
        <v>128</v>
      </c>
      <c r="P295" s="13" t="s">
        <v>220</v>
      </c>
      <c r="Q295" s="13" t="s">
        <v>221</v>
      </c>
      <c r="R295" s="13" t="s">
        <v>222</v>
      </c>
    </row>
    <row r="296" customFormat="false" ht="23.85" hidden="false" customHeight="false" outlineLevel="0" collapsed="false">
      <c r="A296" s="13" t="s">
        <v>776</v>
      </c>
      <c r="B296" s="13" t="s">
        <v>777</v>
      </c>
      <c r="C296" s="13" t="s">
        <v>781</v>
      </c>
      <c r="D296" s="13" t="s">
        <v>224</v>
      </c>
      <c r="E296" s="13" t="s">
        <v>167</v>
      </c>
      <c r="F296" s="13"/>
      <c r="G296" s="13" t="n">
        <v>1</v>
      </c>
      <c r="H296" s="13" t="n">
        <v>1.1429</v>
      </c>
      <c r="I296" s="13" t="n">
        <v>0.0005</v>
      </c>
      <c r="J296" s="13" t="s">
        <v>363</v>
      </c>
      <c r="K296" s="15" t="s">
        <v>34</v>
      </c>
      <c r="L296" s="13" t="s">
        <v>111</v>
      </c>
      <c r="M296" s="16" t="b">
        <f aca="false">FALSE()</f>
        <v>0</v>
      </c>
      <c r="N296" s="13" t="s">
        <v>206</v>
      </c>
      <c r="O296" s="13" t="s">
        <v>226</v>
      </c>
      <c r="P296" s="13" t="s">
        <v>227</v>
      </c>
      <c r="Q296" s="13" t="s">
        <v>228</v>
      </c>
      <c r="R296" s="13" t="s">
        <v>229</v>
      </c>
    </row>
    <row r="297" customFormat="false" ht="15" hidden="false" customHeight="false" outlineLevel="0" collapsed="false">
      <c r="A297" s="13" t="s">
        <v>782</v>
      </c>
      <c r="B297" s="13" t="s">
        <v>783</v>
      </c>
      <c r="C297" s="13" t="s">
        <v>784</v>
      </c>
      <c r="D297" s="13" t="s">
        <v>152</v>
      </c>
      <c r="E297" s="13" t="s">
        <v>153</v>
      </c>
      <c r="F297" s="13"/>
      <c r="G297" s="13" t="n">
        <v>9</v>
      </c>
      <c r="H297" s="13" t="n">
        <v>11</v>
      </c>
      <c r="I297" s="13" t="n">
        <v>0</v>
      </c>
      <c r="J297" s="13" t="s">
        <v>266</v>
      </c>
      <c r="K297" s="15" t="s">
        <v>34</v>
      </c>
      <c r="L297" s="13" t="s">
        <v>111</v>
      </c>
      <c r="M297" s="16" t="b">
        <f aca="false">FALSE()</f>
        <v>0</v>
      </c>
      <c r="N297" s="13" t="s">
        <v>206</v>
      </c>
      <c r="O297" s="13" t="s">
        <v>128</v>
      </c>
      <c r="P297" s="13" t="s">
        <v>216</v>
      </c>
      <c r="Q297" s="13" t="s">
        <v>217</v>
      </c>
      <c r="R297" s="13" t="s">
        <v>63</v>
      </c>
    </row>
    <row r="298" customFormat="false" ht="15" hidden="false" customHeight="false" outlineLevel="0" collapsed="false">
      <c r="A298" s="13" t="s">
        <v>782</v>
      </c>
      <c r="B298" s="13" t="s">
        <v>783</v>
      </c>
      <c r="C298" s="13" t="s">
        <v>785</v>
      </c>
      <c r="D298" s="13" t="s">
        <v>175</v>
      </c>
      <c r="E298" s="13" t="s">
        <v>153</v>
      </c>
      <c r="F298" s="13"/>
      <c r="G298" s="13" t="n">
        <v>2299</v>
      </c>
      <c r="H298" s="13" t="n">
        <v>2900</v>
      </c>
      <c r="I298" s="13" t="n">
        <v>0</v>
      </c>
      <c r="J298" s="13" t="s">
        <v>786</v>
      </c>
      <c r="K298" s="15" t="s">
        <v>34</v>
      </c>
      <c r="L298" s="13" t="s">
        <v>111</v>
      </c>
      <c r="M298" s="16" t="b">
        <f aca="false">FALSE()</f>
        <v>0</v>
      </c>
      <c r="N298" s="13" t="s">
        <v>206</v>
      </c>
      <c r="O298" s="13" t="s">
        <v>128</v>
      </c>
      <c r="P298" s="13" t="s">
        <v>220</v>
      </c>
      <c r="Q298" s="13" t="s">
        <v>221</v>
      </c>
      <c r="R298" s="13" t="s">
        <v>222</v>
      </c>
    </row>
    <row r="299" customFormat="false" ht="23.85" hidden="false" customHeight="false" outlineLevel="0" collapsed="false">
      <c r="A299" s="13" t="s">
        <v>782</v>
      </c>
      <c r="B299" s="13" t="s">
        <v>783</v>
      </c>
      <c r="C299" s="13" t="s">
        <v>787</v>
      </c>
      <c r="D299" s="13" t="s">
        <v>224</v>
      </c>
      <c r="E299" s="13" t="s">
        <v>167</v>
      </c>
      <c r="F299" s="13"/>
      <c r="G299" s="13" t="n">
        <v>1</v>
      </c>
      <c r="H299" s="13" t="n">
        <v>1.2681</v>
      </c>
      <c r="I299" s="13" t="n">
        <v>0.0005</v>
      </c>
      <c r="J299" s="13" t="s">
        <v>270</v>
      </c>
      <c r="K299" s="15" t="s">
        <v>34</v>
      </c>
      <c r="L299" s="13" t="s">
        <v>111</v>
      </c>
      <c r="M299" s="16" t="b">
        <f aca="false">FALSE()</f>
        <v>0</v>
      </c>
      <c r="N299" s="13" t="s">
        <v>206</v>
      </c>
      <c r="O299" s="13" t="s">
        <v>226</v>
      </c>
      <c r="P299" s="13" t="s">
        <v>227</v>
      </c>
      <c r="Q299" s="13" t="s">
        <v>228</v>
      </c>
      <c r="R299" s="13" t="s">
        <v>229</v>
      </c>
    </row>
    <row r="300" customFormat="false" ht="15" hidden="false" customHeight="false" outlineLevel="0" collapsed="false">
      <c r="A300" s="13" t="s">
        <v>788</v>
      </c>
      <c r="B300" s="13" t="s">
        <v>789</v>
      </c>
      <c r="C300" s="13" t="s">
        <v>790</v>
      </c>
      <c r="D300" s="13" t="s">
        <v>152</v>
      </c>
      <c r="E300" s="13" t="s">
        <v>153</v>
      </c>
      <c r="F300" s="13"/>
      <c r="G300" s="13" t="n">
        <v>9</v>
      </c>
      <c r="H300" s="13" t="n">
        <v>11</v>
      </c>
      <c r="I300" s="13" t="n">
        <v>0</v>
      </c>
      <c r="J300" s="13" t="s">
        <v>266</v>
      </c>
      <c r="K300" s="15" t="s">
        <v>34</v>
      </c>
      <c r="L300" s="13" t="s">
        <v>111</v>
      </c>
      <c r="M300" s="16" t="b">
        <f aca="false">FALSE()</f>
        <v>0</v>
      </c>
      <c r="N300" s="13" t="s">
        <v>206</v>
      </c>
      <c r="O300" s="13" t="s">
        <v>128</v>
      </c>
      <c r="P300" s="13" t="s">
        <v>216</v>
      </c>
      <c r="Q300" s="13" t="s">
        <v>217</v>
      </c>
      <c r="R300" s="13" t="s">
        <v>63</v>
      </c>
    </row>
    <row r="301" customFormat="false" ht="15" hidden="false" customHeight="false" outlineLevel="0" collapsed="false">
      <c r="A301" s="13" t="s">
        <v>788</v>
      </c>
      <c r="B301" s="13" t="s">
        <v>789</v>
      </c>
      <c r="C301" s="13" t="s">
        <v>791</v>
      </c>
      <c r="D301" s="13" t="s">
        <v>175</v>
      </c>
      <c r="E301" s="13" t="s">
        <v>153</v>
      </c>
      <c r="F301" s="13"/>
      <c r="G301" s="13" t="n">
        <v>2530</v>
      </c>
      <c r="H301" s="13" t="n">
        <v>3190</v>
      </c>
      <c r="I301" s="13" t="n">
        <v>0</v>
      </c>
      <c r="J301" s="13" t="s">
        <v>571</v>
      </c>
      <c r="K301" s="15" t="s">
        <v>34</v>
      </c>
      <c r="L301" s="13" t="s">
        <v>111</v>
      </c>
      <c r="M301" s="16" t="b">
        <f aca="false">FALSE()</f>
        <v>0</v>
      </c>
      <c r="N301" s="13" t="s">
        <v>206</v>
      </c>
      <c r="O301" s="13" t="s">
        <v>128</v>
      </c>
      <c r="P301" s="13" t="s">
        <v>220</v>
      </c>
      <c r="Q301" s="13" t="s">
        <v>221</v>
      </c>
      <c r="R301" s="13" t="s">
        <v>222</v>
      </c>
    </row>
    <row r="302" customFormat="false" ht="15" hidden="false" customHeight="false" outlineLevel="0" collapsed="false">
      <c r="A302" s="13" t="s">
        <v>788</v>
      </c>
      <c r="B302" s="13" t="s">
        <v>789</v>
      </c>
      <c r="C302" s="13" t="s">
        <v>792</v>
      </c>
      <c r="D302" s="13" t="s">
        <v>224</v>
      </c>
      <c r="E302" s="13" t="s">
        <v>167</v>
      </c>
      <c r="F302" s="13"/>
      <c r="G302" s="13" t="n">
        <v>1</v>
      </c>
      <c r="H302" s="13" t="n">
        <v>1.2681</v>
      </c>
      <c r="I302" s="13" t="n">
        <v>0.0005</v>
      </c>
      <c r="J302" s="13" t="s">
        <v>270</v>
      </c>
      <c r="K302" s="15" t="s">
        <v>34</v>
      </c>
      <c r="L302" s="13" t="s">
        <v>111</v>
      </c>
      <c r="M302" s="16" t="b">
        <f aca="false">FALSE()</f>
        <v>0</v>
      </c>
      <c r="N302" s="13" t="s">
        <v>206</v>
      </c>
      <c r="O302" s="13" t="s">
        <v>226</v>
      </c>
      <c r="P302" s="13" t="s">
        <v>227</v>
      </c>
      <c r="Q302" s="13" t="s">
        <v>228</v>
      </c>
      <c r="R302" s="13" t="s">
        <v>229</v>
      </c>
    </row>
    <row r="303" customFormat="false" ht="15" hidden="false" customHeight="false" outlineLevel="0" collapsed="false">
      <c r="A303" s="13" t="s">
        <v>793</v>
      </c>
      <c r="B303" s="13" t="s">
        <v>794</v>
      </c>
      <c r="C303" s="13" t="s">
        <v>795</v>
      </c>
      <c r="D303" s="13" t="s">
        <v>152</v>
      </c>
      <c r="E303" s="13" t="s">
        <v>153</v>
      </c>
      <c r="F303" s="13"/>
      <c r="G303" s="13" t="n">
        <v>13</v>
      </c>
      <c r="H303" s="13" t="n">
        <v>16</v>
      </c>
      <c r="I303" s="13" t="n">
        <v>0</v>
      </c>
      <c r="J303" s="13" t="s">
        <v>434</v>
      </c>
      <c r="K303" s="15" t="s">
        <v>34</v>
      </c>
      <c r="L303" s="13" t="s">
        <v>111</v>
      </c>
      <c r="M303" s="16" t="b">
        <f aca="false">FALSE()</f>
        <v>0</v>
      </c>
      <c r="N303" s="13" t="s">
        <v>206</v>
      </c>
      <c r="O303" s="13" t="s">
        <v>128</v>
      </c>
      <c r="P303" s="13" t="s">
        <v>216</v>
      </c>
      <c r="Q303" s="13" t="s">
        <v>217</v>
      </c>
      <c r="R303" s="13" t="s">
        <v>63</v>
      </c>
    </row>
    <row r="304" customFormat="false" ht="15" hidden="false" customHeight="false" outlineLevel="0" collapsed="false">
      <c r="A304" s="13" t="s">
        <v>793</v>
      </c>
      <c r="B304" s="13" t="s">
        <v>794</v>
      </c>
      <c r="C304" s="13" t="s">
        <v>796</v>
      </c>
      <c r="D304" s="13" t="s">
        <v>175</v>
      </c>
      <c r="E304" s="13" t="s">
        <v>153</v>
      </c>
      <c r="F304" s="13"/>
      <c r="G304" s="13" t="n">
        <v>3520</v>
      </c>
      <c r="H304" s="13" t="n">
        <v>4470</v>
      </c>
      <c r="I304" s="13" t="n">
        <v>0</v>
      </c>
      <c r="J304" s="13" t="s">
        <v>797</v>
      </c>
      <c r="K304" s="15" t="s">
        <v>34</v>
      </c>
      <c r="L304" s="13" t="s">
        <v>111</v>
      </c>
      <c r="M304" s="16" t="b">
        <f aca="false">FALSE()</f>
        <v>0</v>
      </c>
      <c r="N304" s="13" t="s">
        <v>206</v>
      </c>
      <c r="O304" s="13" t="s">
        <v>128</v>
      </c>
      <c r="P304" s="13" t="s">
        <v>220</v>
      </c>
      <c r="Q304" s="13" t="s">
        <v>221</v>
      </c>
      <c r="R304" s="13" t="s">
        <v>222</v>
      </c>
    </row>
    <row r="305" customFormat="false" ht="15" hidden="false" customHeight="false" outlineLevel="0" collapsed="false">
      <c r="A305" s="13" t="s">
        <v>793</v>
      </c>
      <c r="B305" s="13" t="s">
        <v>794</v>
      </c>
      <c r="C305" s="13" t="s">
        <v>798</v>
      </c>
      <c r="D305" s="13" t="s">
        <v>224</v>
      </c>
      <c r="E305" s="13" t="s">
        <v>167</v>
      </c>
      <c r="F305" s="13"/>
      <c r="G305" s="13" t="n">
        <v>1</v>
      </c>
      <c r="H305" s="13" t="n">
        <v>1.3538</v>
      </c>
      <c r="I305" s="13" t="n">
        <v>0.0005</v>
      </c>
      <c r="J305" s="13" t="s">
        <v>438</v>
      </c>
      <c r="K305" s="15" t="s">
        <v>34</v>
      </c>
      <c r="L305" s="13" t="s">
        <v>111</v>
      </c>
      <c r="M305" s="16" t="b">
        <f aca="false">FALSE()</f>
        <v>0</v>
      </c>
      <c r="N305" s="13" t="s">
        <v>206</v>
      </c>
      <c r="O305" s="13" t="s">
        <v>226</v>
      </c>
      <c r="P305" s="13" t="s">
        <v>227</v>
      </c>
      <c r="Q305" s="13" t="s">
        <v>228</v>
      </c>
      <c r="R305" s="13" t="s">
        <v>229</v>
      </c>
    </row>
    <row r="306" customFormat="false" ht="23.85" hidden="false" customHeight="false" outlineLevel="0" collapsed="false">
      <c r="A306" s="13" t="s">
        <v>793</v>
      </c>
      <c r="B306" s="13" t="s">
        <v>794</v>
      </c>
      <c r="C306" s="13" t="s">
        <v>799</v>
      </c>
      <c r="D306" s="13" t="s">
        <v>204</v>
      </c>
      <c r="E306" s="13" t="s">
        <v>167</v>
      </c>
      <c r="F306" s="13"/>
      <c r="G306" s="13" t="n">
        <v>3.5</v>
      </c>
      <c r="H306" s="13" t="n">
        <v>5</v>
      </c>
      <c r="I306" s="13" t="n">
        <v>0.001</v>
      </c>
      <c r="J306" s="13" t="s">
        <v>205</v>
      </c>
      <c r="K306" s="15" t="s">
        <v>34</v>
      </c>
      <c r="L306" s="13" t="s">
        <v>111</v>
      </c>
      <c r="M306" s="16" t="b">
        <f aca="false">FALSE()</f>
        <v>0</v>
      </c>
      <c r="N306" s="13" t="s">
        <v>206</v>
      </c>
      <c r="O306" s="13" t="s">
        <v>128</v>
      </c>
      <c r="P306" s="13" t="s">
        <v>207</v>
      </c>
      <c r="Q306" s="13" t="s">
        <v>208</v>
      </c>
      <c r="R306" s="13" t="s">
        <v>63</v>
      </c>
    </row>
    <row r="307" customFormat="false" ht="15" hidden="false" customHeight="false" outlineLevel="0" collapsed="false">
      <c r="A307" s="13" t="s">
        <v>800</v>
      </c>
      <c r="B307" s="13" t="s">
        <v>801</v>
      </c>
      <c r="C307" s="13" t="s">
        <v>802</v>
      </c>
      <c r="D307" s="13" t="s">
        <v>152</v>
      </c>
      <c r="E307" s="13" t="s">
        <v>153</v>
      </c>
      <c r="F307" s="13"/>
      <c r="G307" s="13" t="n">
        <v>18</v>
      </c>
      <c r="H307" s="13" t="n">
        <v>23</v>
      </c>
      <c r="I307" s="13" t="n">
        <v>0</v>
      </c>
      <c r="J307" s="13" t="s">
        <v>497</v>
      </c>
      <c r="K307" s="15" t="s">
        <v>34</v>
      </c>
      <c r="L307" s="13" t="s">
        <v>111</v>
      </c>
      <c r="M307" s="16" t="b">
        <f aca="false">FALSE()</f>
        <v>0</v>
      </c>
      <c r="N307" s="13" t="s">
        <v>206</v>
      </c>
      <c r="O307" s="13" t="s">
        <v>128</v>
      </c>
      <c r="P307" s="13" t="s">
        <v>216</v>
      </c>
      <c r="Q307" s="13" t="s">
        <v>217</v>
      </c>
      <c r="R307" s="13" t="s">
        <v>63</v>
      </c>
    </row>
    <row r="308" customFormat="false" ht="15" hidden="false" customHeight="false" outlineLevel="0" collapsed="false">
      <c r="A308" s="13" t="s">
        <v>800</v>
      </c>
      <c r="B308" s="13" t="s">
        <v>801</v>
      </c>
      <c r="C308" s="13" t="s">
        <v>803</v>
      </c>
      <c r="D308" s="13" t="s">
        <v>175</v>
      </c>
      <c r="E308" s="13" t="s">
        <v>153</v>
      </c>
      <c r="F308" s="13"/>
      <c r="G308" s="13" t="n">
        <v>5720</v>
      </c>
      <c r="H308" s="13" t="n">
        <v>7580</v>
      </c>
      <c r="I308" s="13" t="n">
        <v>0</v>
      </c>
      <c r="J308" s="13" t="s">
        <v>804</v>
      </c>
      <c r="K308" s="15" t="s">
        <v>34</v>
      </c>
      <c r="L308" s="13" t="s">
        <v>111</v>
      </c>
      <c r="M308" s="16" t="b">
        <f aca="false">FALSE()</f>
        <v>0</v>
      </c>
      <c r="N308" s="13" t="s">
        <v>206</v>
      </c>
      <c r="O308" s="13" t="s">
        <v>128</v>
      </c>
      <c r="P308" s="13" t="s">
        <v>220</v>
      </c>
      <c r="Q308" s="13" t="s">
        <v>221</v>
      </c>
      <c r="R308" s="13" t="s">
        <v>222</v>
      </c>
    </row>
    <row r="309" customFormat="false" ht="15" hidden="false" customHeight="false" outlineLevel="0" collapsed="false">
      <c r="A309" s="13" t="s">
        <v>800</v>
      </c>
      <c r="B309" s="13" t="s">
        <v>801</v>
      </c>
      <c r="C309" s="13" t="s">
        <v>805</v>
      </c>
      <c r="D309" s="13" t="s">
        <v>224</v>
      </c>
      <c r="E309" s="13" t="s">
        <v>167</v>
      </c>
      <c r="F309" s="13"/>
      <c r="G309" s="13" t="n">
        <v>1</v>
      </c>
      <c r="H309" s="13" t="n">
        <v>1.4694</v>
      </c>
      <c r="I309" s="13" t="n">
        <v>0.0005</v>
      </c>
      <c r="J309" s="13" t="s">
        <v>501</v>
      </c>
      <c r="K309" s="15" t="s">
        <v>34</v>
      </c>
      <c r="L309" s="13" t="s">
        <v>111</v>
      </c>
      <c r="M309" s="16" t="b">
        <f aca="false">FALSE()</f>
        <v>0</v>
      </c>
      <c r="N309" s="13" t="s">
        <v>206</v>
      </c>
      <c r="O309" s="13" t="s">
        <v>226</v>
      </c>
      <c r="P309" s="13" t="s">
        <v>227</v>
      </c>
      <c r="Q309" s="13" t="s">
        <v>228</v>
      </c>
      <c r="R309" s="13" t="s">
        <v>229</v>
      </c>
    </row>
    <row r="310" customFormat="false" ht="23.85" hidden="false" customHeight="false" outlineLevel="0" collapsed="false">
      <c r="A310" s="13" t="s">
        <v>800</v>
      </c>
      <c r="B310" s="13" t="s">
        <v>801</v>
      </c>
      <c r="C310" s="13" t="s">
        <v>806</v>
      </c>
      <c r="D310" s="13" t="s">
        <v>204</v>
      </c>
      <c r="E310" s="13" t="s">
        <v>167</v>
      </c>
      <c r="F310" s="13"/>
      <c r="G310" s="13" t="n">
        <v>3.5</v>
      </c>
      <c r="H310" s="13" t="n">
        <v>5</v>
      </c>
      <c r="I310" s="13" t="n">
        <v>0.001</v>
      </c>
      <c r="J310" s="13" t="s">
        <v>205</v>
      </c>
      <c r="K310" s="15" t="s">
        <v>34</v>
      </c>
      <c r="L310" s="13" t="s">
        <v>111</v>
      </c>
      <c r="M310" s="16" t="b">
        <f aca="false">FALSE()</f>
        <v>0</v>
      </c>
      <c r="N310" s="13" t="s">
        <v>206</v>
      </c>
      <c r="O310" s="13" t="s">
        <v>128</v>
      </c>
      <c r="P310" s="13" t="s">
        <v>207</v>
      </c>
      <c r="Q310" s="13" t="s">
        <v>208</v>
      </c>
      <c r="R310" s="13" t="s">
        <v>63</v>
      </c>
    </row>
    <row r="311" customFormat="false" ht="23.85" hidden="false" customHeight="false" outlineLevel="0" collapsed="false">
      <c r="A311" s="13" t="s">
        <v>807</v>
      </c>
      <c r="B311" s="13" t="s">
        <v>365</v>
      </c>
      <c r="C311" s="13" t="s">
        <v>808</v>
      </c>
      <c r="D311" s="13" t="s">
        <v>809</v>
      </c>
      <c r="E311" s="13" t="s">
        <v>153</v>
      </c>
      <c r="F311" s="13"/>
      <c r="G311" s="13" t="n">
        <v>0</v>
      </c>
      <c r="H311" s="13" t="n">
        <v>2</v>
      </c>
      <c r="I311" s="13" t="n">
        <v>0</v>
      </c>
      <c r="J311" s="13" t="s">
        <v>810</v>
      </c>
      <c r="K311" s="15" t="s">
        <v>34</v>
      </c>
      <c r="L311" s="13" t="s">
        <v>111</v>
      </c>
      <c r="M311" s="16" t="b">
        <f aca="false">TRUE()</f>
        <v>1</v>
      </c>
      <c r="N311" s="13" t="s">
        <v>811</v>
      </c>
      <c r="O311" s="13" t="s">
        <v>89</v>
      </c>
      <c r="P311" s="13" t="s">
        <v>812</v>
      </c>
      <c r="Q311" s="13" t="s">
        <v>813</v>
      </c>
      <c r="R311" s="13" t="s">
        <v>814</v>
      </c>
    </row>
    <row r="312" customFormat="false" ht="15" hidden="false" customHeight="false" outlineLevel="0" collapsed="false">
      <c r="A312" s="13" t="s">
        <v>807</v>
      </c>
      <c r="B312" s="13" t="s">
        <v>365</v>
      </c>
      <c r="C312" s="13" t="s">
        <v>815</v>
      </c>
      <c r="D312" s="13" t="s">
        <v>204</v>
      </c>
      <c r="E312" s="13" t="s">
        <v>167</v>
      </c>
      <c r="F312" s="13"/>
      <c r="G312" s="13"/>
      <c r="H312" s="13" t="n">
        <v>20</v>
      </c>
      <c r="I312" s="13" t="n">
        <v>0.001</v>
      </c>
      <c r="J312" s="13" t="s">
        <v>816</v>
      </c>
      <c r="K312" s="15" t="s">
        <v>34</v>
      </c>
      <c r="L312" s="13" t="s">
        <v>111</v>
      </c>
      <c r="M312" s="16" t="b">
        <f aca="false">TRUE()</f>
        <v>1</v>
      </c>
      <c r="N312" s="13" t="s">
        <v>811</v>
      </c>
      <c r="O312" s="13" t="s">
        <v>89</v>
      </c>
      <c r="P312" s="13" t="s">
        <v>128</v>
      </c>
      <c r="Q312" s="13" t="s">
        <v>813</v>
      </c>
      <c r="R312" s="13" t="s">
        <v>817</v>
      </c>
    </row>
    <row r="313" customFormat="false" ht="23.85" hidden="false" customHeight="false" outlineLevel="0" collapsed="false">
      <c r="A313" s="13" t="s">
        <v>818</v>
      </c>
      <c r="B313" s="13" t="s">
        <v>383</v>
      </c>
      <c r="C313" s="13" t="s">
        <v>819</v>
      </c>
      <c r="D313" s="13" t="s">
        <v>809</v>
      </c>
      <c r="E313" s="13" t="s">
        <v>153</v>
      </c>
      <c r="F313" s="13"/>
      <c r="G313" s="13" t="n">
        <v>0</v>
      </c>
      <c r="H313" s="13" t="n">
        <v>3</v>
      </c>
      <c r="I313" s="13" t="n">
        <v>0</v>
      </c>
      <c r="J313" s="13" t="s">
        <v>810</v>
      </c>
      <c r="K313" s="15" t="s">
        <v>34</v>
      </c>
      <c r="L313" s="13" t="s">
        <v>111</v>
      </c>
      <c r="M313" s="16" t="b">
        <f aca="false">TRUE()</f>
        <v>1</v>
      </c>
      <c r="N313" s="13" t="s">
        <v>811</v>
      </c>
      <c r="O313" s="13" t="s">
        <v>89</v>
      </c>
      <c r="P313" s="13" t="s">
        <v>812</v>
      </c>
      <c r="Q313" s="13" t="s">
        <v>813</v>
      </c>
      <c r="R313" s="13" t="s">
        <v>814</v>
      </c>
    </row>
    <row r="314" customFormat="false" ht="23.85" hidden="false" customHeight="false" outlineLevel="0" collapsed="false">
      <c r="A314" s="13" t="s">
        <v>818</v>
      </c>
      <c r="B314" s="13" t="s">
        <v>383</v>
      </c>
      <c r="C314" s="13" t="s">
        <v>820</v>
      </c>
      <c r="D314" s="13" t="s">
        <v>204</v>
      </c>
      <c r="E314" s="13" t="s">
        <v>167</v>
      </c>
      <c r="F314" s="13"/>
      <c r="G314" s="13"/>
      <c r="H314" s="13" t="n">
        <v>20</v>
      </c>
      <c r="I314" s="13" t="n">
        <v>0.001</v>
      </c>
      <c r="J314" s="13" t="s">
        <v>816</v>
      </c>
      <c r="K314" s="15" t="s">
        <v>34</v>
      </c>
      <c r="L314" s="13" t="s">
        <v>111</v>
      </c>
      <c r="M314" s="16" t="b">
        <f aca="false">TRUE()</f>
        <v>1</v>
      </c>
      <c r="N314" s="13" t="s">
        <v>811</v>
      </c>
      <c r="O314" s="13" t="s">
        <v>89</v>
      </c>
      <c r="P314" s="13" t="s">
        <v>128</v>
      </c>
      <c r="Q314" s="13" t="s">
        <v>813</v>
      </c>
      <c r="R314" s="13" t="s">
        <v>817</v>
      </c>
    </row>
    <row r="315" customFormat="false" ht="23.85" hidden="false" customHeight="false" outlineLevel="0" collapsed="false">
      <c r="A315" s="13" t="s">
        <v>821</v>
      </c>
      <c r="B315" s="13" t="s">
        <v>389</v>
      </c>
      <c r="C315" s="13" t="s">
        <v>822</v>
      </c>
      <c r="D315" s="13" t="s">
        <v>809</v>
      </c>
      <c r="E315" s="13" t="s">
        <v>153</v>
      </c>
      <c r="F315" s="13"/>
      <c r="G315" s="13" t="n">
        <v>0</v>
      </c>
      <c r="H315" s="13" t="n">
        <v>2</v>
      </c>
      <c r="I315" s="13" t="n">
        <v>0</v>
      </c>
      <c r="J315" s="13" t="s">
        <v>810</v>
      </c>
      <c r="K315" s="15" t="s">
        <v>34</v>
      </c>
      <c r="L315" s="13" t="s">
        <v>111</v>
      </c>
      <c r="M315" s="16" t="b">
        <f aca="false">TRUE()</f>
        <v>1</v>
      </c>
      <c r="N315" s="13" t="s">
        <v>811</v>
      </c>
      <c r="O315" s="13" t="s">
        <v>89</v>
      </c>
      <c r="P315" s="13" t="s">
        <v>812</v>
      </c>
      <c r="Q315" s="13" t="s">
        <v>813</v>
      </c>
      <c r="R315" s="13" t="s">
        <v>814</v>
      </c>
    </row>
    <row r="316" customFormat="false" ht="23.85" hidden="false" customHeight="false" outlineLevel="0" collapsed="false">
      <c r="A316" s="13" t="s">
        <v>821</v>
      </c>
      <c r="B316" s="13" t="s">
        <v>389</v>
      </c>
      <c r="C316" s="13" t="s">
        <v>823</v>
      </c>
      <c r="D316" s="13" t="s">
        <v>204</v>
      </c>
      <c r="E316" s="13" t="s">
        <v>167</v>
      </c>
      <c r="F316" s="13"/>
      <c r="G316" s="13"/>
      <c r="H316" s="13" t="n">
        <v>20</v>
      </c>
      <c r="I316" s="13" t="n">
        <v>0.001</v>
      </c>
      <c r="J316" s="13" t="s">
        <v>816</v>
      </c>
      <c r="K316" s="15" t="s">
        <v>34</v>
      </c>
      <c r="L316" s="13" t="s">
        <v>111</v>
      </c>
      <c r="M316" s="16" t="b">
        <f aca="false">TRUE()</f>
        <v>1</v>
      </c>
      <c r="N316" s="13" t="s">
        <v>811</v>
      </c>
      <c r="O316" s="13" t="s">
        <v>89</v>
      </c>
      <c r="P316" s="13" t="s">
        <v>128</v>
      </c>
      <c r="Q316" s="13" t="s">
        <v>813</v>
      </c>
      <c r="R316" s="13" t="s">
        <v>817</v>
      </c>
    </row>
    <row r="317" customFormat="false" ht="23.85" hidden="false" customHeight="false" outlineLevel="0" collapsed="false">
      <c r="A317" s="13" t="s">
        <v>824</v>
      </c>
      <c r="B317" s="13" t="s">
        <v>395</v>
      </c>
      <c r="C317" s="13" t="s">
        <v>825</v>
      </c>
      <c r="D317" s="13" t="s">
        <v>809</v>
      </c>
      <c r="E317" s="13" t="s">
        <v>153</v>
      </c>
      <c r="F317" s="13"/>
      <c r="G317" s="13" t="n">
        <v>0</v>
      </c>
      <c r="H317" s="13" t="n">
        <v>2</v>
      </c>
      <c r="I317" s="13" t="n">
        <v>0</v>
      </c>
      <c r="J317" s="13" t="s">
        <v>810</v>
      </c>
      <c r="K317" s="15" t="s">
        <v>34</v>
      </c>
      <c r="L317" s="13" t="s">
        <v>111</v>
      </c>
      <c r="M317" s="16" t="b">
        <f aca="false">TRUE()</f>
        <v>1</v>
      </c>
      <c r="N317" s="13" t="s">
        <v>811</v>
      </c>
      <c r="O317" s="13" t="s">
        <v>89</v>
      </c>
      <c r="P317" s="13" t="s">
        <v>812</v>
      </c>
      <c r="Q317" s="13" t="s">
        <v>813</v>
      </c>
      <c r="R317" s="13" t="s">
        <v>814</v>
      </c>
    </row>
    <row r="318" customFormat="false" ht="23.85" hidden="false" customHeight="false" outlineLevel="0" collapsed="false">
      <c r="A318" s="13" t="s">
        <v>824</v>
      </c>
      <c r="B318" s="13" t="s">
        <v>395</v>
      </c>
      <c r="C318" s="13" t="s">
        <v>826</v>
      </c>
      <c r="D318" s="13" t="s">
        <v>204</v>
      </c>
      <c r="E318" s="13" t="s">
        <v>167</v>
      </c>
      <c r="F318" s="13"/>
      <c r="G318" s="13"/>
      <c r="H318" s="13" t="n">
        <v>20</v>
      </c>
      <c r="I318" s="13" t="n">
        <v>0.001</v>
      </c>
      <c r="J318" s="13" t="s">
        <v>816</v>
      </c>
      <c r="K318" s="15" t="s">
        <v>34</v>
      </c>
      <c r="L318" s="13" t="s">
        <v>111</v>
      </c>
      <c r="M318" s="16" t="b">
        <f aca="false">TRUE()</f>
        <v>1</v>
      </c>
      <c r="N318" s="13" t="s">
        <v>811</v>
      </c>
      <c r="O318" s="13" t="s">
        <v>89</v>
      </c>
      <c r="P318" s="13" t="s">
        <v>128</v>
      </c>
      <c r="Q318" s="13" t="s">
        <v>813</v>
      </c>
      <c r="R318" s="13" t="s">
        <v>817</v>
      </c>
    </row>
    <row r="319" customFormat="false" ht="23.85" hidden="false" customHeight="false" outlineLevel="0" collapsed="false">
      <c r="A319" s="13" t="s">
        <v>827</v>
      </c>
      <c r="B319" s="13" t="s">
        <v>401</v>
      </c>
      <c r="C319" s="13" t="s">
        <v>828</v>
      </c>
      <c r="D319" s="13" t="s">
        <v>809</v>
      </c>
      <c r="E319" s="13" t="s">
        <v>153</v>
      </c>
      <c r="F319" s="13"/>
      <c r="G319" s="13" t="n">
        <v>0</v>
      </c>
      <c r="H319" s="13" t="n">
        <v>3</v>
      </c>
      <c r="I319" s="13" t="n">
        <v>0</v>
      </c>
      <c r="J319" s="13" t="s">
        <v>810</v>
      </c>
      <c r="K319" s="15" t="s">
        <v>34</v>
      </c>
      <c r="L319" s="13" t="s">
        <v>111</v>
      </c>
      <c r="M319" s="16" t="b">
        <f aca="false">TRUE()</f>
        <v>1</v>
      </c>
      <c r="N319" s="13" t="s">
        <v>811</v>
      </c>
      <c r="O319" s="13" t="s">
        <v>89</v>
      </c>
      <c r="P319" s="13" t="s">
        <v>812</v>
      </c>
      <c r="Q319" s="13" t="s">
        <v>813</v>
      </c>
      <c r="R319" s="13" t="s">
        <v>814</v>
      </c>
    </row>
    <row r="320" customFormat="false" ht="15" hidden="false" customHeight="false" outlineLevel="0" collapsed="false">
      <c r="A320" s="13" t="s">
        <v>827</v>
      </c>
      <c r="B320" s="13" t="s">
        <v>401</v>
      </c>
      <c r="C320" s="13" t="s">
        <v>829</v>
      </c>
      <c r="D320" s="13" t="s">
        <v>204</v>
      </c>
      <c r="E320" s="13" t="s">
        <v>167</v>
      </c>
      <c r="F320" s="13"/>
      <c r="G320" s="13"/>
      <c r="H320" s="13" t="n">
        <v>20</v>
      </c>
      <c r="I320" s="13" t="n">
        <v>0.001</v>
      </c>
      <c r="J320" s="13" t="s">
        <v>816</v>
      </c>
      <c r="K320" s="15" t="s">
        <v>34</v>
      </c>
      <c r="L320" s="13" t="s">
        <v>111</v>
      </c>
      <c r="M320" s="16" t="b">
        <f aca="false">TRUE()</f>
        <v>1</v>
      </c>
      <c r="N320" s="13" t="s">
        <v>811</v>
      </c>
      <c r="O320" s="13" t="s">
        <v>89</v>
      </c>
      <c r="P320" s="13" t="s">
        <v>128</v>
      </c>
      <c r="Q320" s="13" t="s">
        <v>813</v>
      </c>
      <c r="R320" s="13" t="s">
        <v>817</v>
      </c>
    </row>
    <row r="321" customFormat="false" ht="23.85" hidden="false" customHeight="false" outlineLevel="0" collapsed="false">
      <c r="A321" s="13" t="s">
        <v>830</v>
      </c>
      <c r="B321" s="13" t="s">
        <v>413</v>
      </c>
      <c r="C321" s="13" t="s">
        <v>831</v>
      </c>
      <c r="D321" s="13" t="s">
        <v>809</v>
      </c>
      <c r="E321" s="13" t="s">
        <v>153</v>
      </c>
      <c r="F321" s="13"/>
      <c r="G321" s="13" t="n">
        <v>0</v>
      </c>
      <c r="H321" s="13" t="n">
        <v>2</v>
      </c>
      <c r="I321" s="13" t="n">
        <v>0</v>
      </c>
      <c r="J321" s="13" t="s">
        <v>832</v>
      </c>
      <c r="K321" s="15" t="s">
        <v>34</v>
      </c>
      <c r="L321" s="13" t="s">
        <v>111</v>
      </c>
      <c r="M321" s="16" t="b">
        <f aca="false">TRUE()</f>
        <v>1</v>
      </c>
      <c r="N321" s="13" t="s">
        <v>811</v>
      </c>
      <c r="O321" s="13" t="s">
        <v>89</v>
      </c>
      <c r="P321" s="13" t="s">
        <v>812</v>
      </c>
      <c r="Q321" s="13" t="s">
        <v>833</v>
      </c>
      <c r="R321" s="13" t="s">
        <v>814</v>
      </c>
    </row>
    <row r="322" customFormat="false" ht="23.85" hidden="false" customHeight="false" outlineLevel="0" collapsed="false">
      <c r="A322" s="13" t="s">
        <v>830</v>
      </c>
      <c r="B322" s="13" t="s">
        <v>413</v>
      </c>
      <c r="C322" s="13" t="s">
        <v>834</v>
      </c>
      <c r="D322" s="13" t="s">
        <v>204</v>
      </c>
      <c r="E322" s="13" t="s">
        <v>167</v>
      </c>
      <c r="F322" s="13"/>
      <c r="G322" s="13" t="n">
        <v>20</v>
      </c>
      <c r="H322" s="13" t="n">
        <v>20</v>
      </c>
      <c r="I322" s="13" t="n">
        <v>0.001</v>
      </c>
      <c r="J322" s="13" t="s">
        <v>835</v>
      </c>
      <c r="K322" s="15" t="s">
        <v>34</v>
      </c>
      <c r="L322" s="13" t="s">
        <v>111</v>
      </c>
      <c r="M322" s="16" t="b">
        <f aca="false">TRUE()</f>
        <v>1</v>
      </c>
      <c r="N322" s="13" t="s">
        <v>811</v>
      </c>
      <c r="O322" s="13" t="s">
        <v>89</v>
      </c>
      <c r="P322" s="13" t="s">
        <v>128</v>
      </c>
      <c r="Q322" s="13" t="s">
        <v>833</v>
      </c>
      <c r="R322" s="13" t="s">
        <v>817</v>
      </c>
    </row>
    <row r="323" customFormat="false" ht="23.85" hidden="false" customHeight="false" outlineLevel="0" collapsed="false">
      <c r="A323" s="13" t="s">
        <v>836</v>
      </c>
      <c r="B323" s="13" t="s">
        <v>425</v>
      </c>
      <c r="C323" s="13" t="s">
        <v>837</v>
      </c>
      <c r="D323" s="13" t="s">
        <v>809</v>
      </c>
      <c r="E323" s="13" t="s">
        <v>153</v>
      </c>
      <c r="F323" s="13"/>
      <c r="G323" s="13" t="n">
        <v>0</v>
      </c>
      <c r="H323" s="13" t="n">
        <v>2</v>
      </c>
      <c r="I323" s="13" t="n">
        <v>0</v>
      </c>
      <c r="J323" s="13" t="s">
        <v>832</v>
      </c>
      <c r="K323" s="15" t="s">
        <v>34</v>
      </c>
      <c r="L323" s="13" t="s">
        <v>111</v>
      </c>
      <c r="M323" s="16" t="b">
        <f aca="false">TRUE()</f>
        <v>1</v>
      </c>
      <c r="N323" s="13" t="s">
        <v>811</v>
      </c>
      <c r="O323" s="13" t="s">
        <v>89</v>
      </c>
      <c r="P323" s="13" t="s">
        <v>812</v>
      </c>
      <c r="Q323" s="13" t="s">
        <v>833</v>
      </c>
      <c r="R323" s="13" t="s">
        <v>814</v>
      </c>
    </row>
    <row r="324" customFormat="false" ht="15" hidden="false" customHeight="false" outlineLevel="0" collapsed="false">
      <c r="A324" s="13" t="s">
        <v>836</v>
      </c>
      <c r="B324" s="13" t="s">
        <v>425</v>
      </c>
      <c r="C324" s="13" t="s">
        <v>838</v>
      </c>
      <c r="D324" s="13" t="s">
        <v>204</v>
      </c>
      <c r="E324" s="13" t="s">
        <v>167</v>
      </c>
      <c r="F324" s="13"/>
      <c r="G324" s="13" t="n">
        <v>16</v>
      </c>
      <c r="H324" s="13" t="n">
        <v>16</v>
      </c>
      <c r="I324" s="13" t="n">
        <v>0.001</v>
      </c>
      <c r="J324" s="13" t="s">
        <v>835</v>
      </c>
      <c r="K324" s="15" t="s">
        <v>34</v>
      </c>
      <c r="L324" s="13" t="s">
        <v>111</v>
      </c>
      <c r="M324" s="16" t="b">
        <f aca="false">TRUE()</f>
        <v>1</v>
      </c>
      <c r="N324" s="13" t="s">
        <v>811</v>
      </c>
      <c r="O324" s="13" t="s">
        <v>89</v>
      </c>
      <c r="P324" s="13" t="s">
        <v>128</v>
      </c>
      <c r="Q324" s="13" t="s">
        <v>833</v>
      </c>
      <c r="R324" s="13" t="s">
        <v>817</v>
      </c>
    </row>
    <row r="325" customFormat="false" ht="23.85" hidden="false" customHeight="false" outlineLevel="0" collapsed="false">
      <c r="A325" s="13" t="s">
        <v>839</v>
      </c>
      <c r="B325" s="13" t="s">
        <v>432</v>
      </c>
      <c r="C325" s="13" t="s">
        <v>840</v>
      </c>
      <c r="D325" s="13" t="s">
        <v>809</v>
      </c>
      <c r="E325" s="13" t="s">
        <v>153</v>
      </c>
      <c r="F325" s="13"/>
      <c r="G325" s="13" t="n">
        <v>0</v>
      </c>
      <c r="H325" s="13" t="n">
        <v>2</v>
      </c>
      <c r="I325" s="13" t="n">
        <v>0</v>
      </c>
      <c r="J325" s="13" t="s">
        <v>832</v>
      </c>
      <c r="K325" s="15" t="s">
        <v>34</v>
      </c>
      <c r="L325" s="13" t="s">
        <v>111</v>
      </c>
      <c r="M325" s="16" t="b">
        <f aca="false">TRUE()</f>
        <v>1</v>
      </c>
      <c r="N325" s="13" t="s">
        <v>811</v>
      </c>
      <c r="O325" s="13" t="s">
        <v>89</v>
      </c>
      <c r="P325" s="13" t="s">
        <v>812</v>
      </c>
      <c r="Q325" s="13" t="s">
        <v>833</v>
      </c>
      <c r="R325" s="13" t="s">
        <v>814</v>
      </c>
    </row>
    <row r="326" customFormat="false" ht="23.85" hidden="false" customHeight="false" outlineLevel="0" collapsed="false">
      <c r="A326" s="13" t="s">
        <v>839</v>
      </c>
      <c r="B326" s="13" t="s">
        <v>432</v>
      </c>
      <c r="C326" s="13" t="s">
        <v>841</v>
      </c>
      <c r="D326" s="13" t="s">
        <v>204</v>
      </c>
      <c r="E326" s="13" t="s">
        <v>167</v>
      </c>
      <c r="F326" s="13"/>
      <c r="G326" s="13" t="n">
        <v>16</v>
      </c>
      <c r="H326" s="13" t="n">
        <v>16</v>
      </c>
      <c r="I326" s="13" t="n">
        <v>0.001</v>
      </c>
      <c r="J326" s="13" t="s">
        <v>835</v>
      </c>
      <c r="K326" s="15" t="s">
        <v>34</v>
      </c>
      <c r="L326" s="13" t="s">
        <v>111</v>
      </c>
      <c r="M326" s="16" t="b">
        <f aca="false">TRUE()</f>
        <v>1</v>
      </c>
      <c r="N326" s="13" t="s">
        <v>811</v>
      </c>
      <c r="O326" s="13" t="s">
        <v>89</v>
      </c>
      <c r="P326" s="13" t="s">
        <v>128</v>
      </c>
      <c r="Q326" s="13" t="s">
        <v>833</v>
      </c>
      <c r="R326" s="13" t="s">
        <v>817</v>
      </c>
    </row>
    <row r="327" customFormat="false" ht="23.85" hidden="false" customHeight="false" outlineLevel="0" collapsed="false">
      <c r="A327" s="13" t="s">
        <v>842</v>
      </c>
      <c r="B327" s="13" t="s">
        <v>441</v>
      </c>
      <c r="C327" s="13" t="s">
        <v>843</v>
      </c>
      <c r="D327" s="13" t="s">
        <v>809</v>
      </c>
      <c r="E327" s="13" t="s">
        <v>153</v>
      </c>
      <c r="F327" s="13"/>
      <c r="G327" s="13" t="n">
        <v>0</v>
      </c>
      <c r="H327" s="13" t="n">
        <v>2</v>
      </c>
      <c r="I327" s="13" t="n">
        <v>0</v>
      </c>
      <c r="J327" s="13" t="s">
        <v>832</v>
      </c>
      <c r="K327" s="15" t="s">
        <v>34</v>
      </c>
      <c r="L327" s="13" t="s">
        <v>111</v>
      </c>
      <c r="M327" s="16" t="b">
        <f aca="false">TRUE()</f>
        <v>1</v>
      </c>
      <c r="N327" s="13" t="s">
        <v>811</v>
      </c>
      <c r="O327" s="13" t="s">
        <v>89</v>
      </c>
      <c r="P327" s="13" t="s">
        <v>812</v>
      </c>
      <c r="Q327" s="13" t="s">
        <v>833</v>
      </c>
      <c r="R327" s="13" t="s">
        <v>814</v>
      </c>
    </row>
    <row r="328" customFormat="false" ht="23.85" hidden="false" customHeight="false" outlineLevel="0" collapsed="false">
      <c r="A328" s="13" t="s">
        <v>842</v>
      </c>
      <c r="B328" s="13" t="s">
        <v>441</v>
      </c>
      <c r="C328" s="13" t="s">
        <v>844</v>
      </c>
      <c r="D328" s="13" t="s">
        <v>204</v>
      </c>
      <c r="E328" s="13" t="s">
        <v>167</v>
      </c>
      <c r="F328" s="13"/>
      <c r="G328" s="13" t="n">
        <v>16</v>
      </c>
      <c r="H328" s="13" t="n">
        <v>16</v>
      </c>
      <c r="I328" s="13" t="n">
        <v>0.001</v>
      </c>
      <c r="J328" s="13" t="s">
        <v>835</v>
      </c>
      <c r="K328" s="15" t="s">
        <v>34</v>
      </c>
      <c r="L328" s="13" t="s">
        <v>111</v>
      </c>
      <c r="M328" s="16" t="b">
        <f aca="false">TRUE()</f>
        <v>1</v>
      </c>
      <c r="N328" s="13" t="s">
        <v>811</v>
      </c>
      <c r="O328" s="13" t="s">
        <v>89</v>
      </c>
      <c r="P328" s="13" t="s">
        <v>128</v>
      </c>
      <c r="Q328" s="13" t="s">
        <v>833</v>
      </c>
      <c r="R328" s="13" t="s">
        <v>817</v>
      </c>
    </row>
    <row r="329" customFormat="false" ht="23.85" hidden="false" customHeight="false" outlineLevel="0" collapsed="false">
      <c r="A329" s="13" t="s">
        <v>845</v>
      </c>
      <c r="B329" s="13" t="s">
        <v>448</v>
      </c>
      <c r="C329" s="13" t="s">
        <v>846</v>
      </c>
      <c r="D329" s="13" t="s">
        <v>809</v>
      </c>
      <c r="E329" s="13" t="s">
        <v>153</v>
      </c>
      <c r="F329" s="13"/>
      <c r="G329" s="13" t="n">
        <v>0</v>
      </c>
      <c r="H329" s="13" t="n">
        <v>3</v>
      </c>
      <c r="I329" s="13" t="n">
        <v>0</v>
      </c>
      <c r="J329" s="13" t="s">
        <v>832</v>
      </c>
      <c r="K329" s="15" t="s">
        <v>34</v>
      </c>
      <c r="L329" s="13" t="s">
        <v>111</v>
      </c>
      <c r="M329" s="16" t="b">
        <f aca="false">TRUE()</f>
        <v>1</v>
      </c>
      <c r="N329" s="13" t="s">
        <v>811</v>
      </c>
      <c r="O329" s="13" t="s">
        <v>89</v>
      </c>
      <c r="P329" s="13" t="s">
        <v>812</v>
      </c>
      <c r="Q329" s="13" t="s">
        <v>833</v>
      </c>
      <c r="R329" s="13" t="s">
        <v>814</v>
      </c>
    </row>
    <row r="330" customFormat="false" ht="23.85" hidden="false" customHeight="false" outlineLevel="0" collapsed="false">
      <c r="A330" s="13" t="s">
        <v>845</v>
      </c>
      <c r="B330" s="13" t="s">
        <v>448</v>
      </c>
      <c r="C330" s="13" t="s">
        <v>847</v>
      </c>
      <c r="D330" s="13" t="s">
        <v>204</v>
      </c>
      <c r="E330" s="13" t="s">
        <v>167</v>
      </c>
      <c r="F330" s="13"/>
      <c r="G330" s="13" t="n">
        <v>11</v>
      </c>
      <c r="H330" s="13" t="n">
        <v>11</v>
      </c>
      <c r="I330" s="13" t="n">
        <v>0.001</v>
      </c>
      <c r="J330" s="13" t="s">
        <v>835</v>
      </c>
      <c r="K330" s="15" t="s">
        <v>34</v>
      </c>
      <c r="L330" s="13" t="s">
        <v>111</v>
      </c>
      <c r="M330" s="16" t="b">
        <f aca="false">TRUE()</f>
        <v>1</v>
      </c>
      <c r="N330" s="13" t="s">
        <v>811</v>
      </c>
      <c r="O330" s="13" t="s">
        <v>89</v>
      </c>
      <c r="P330" s="13" t="s">
        <v>128</v>
      </c>
      <c r="Q330" s="13" t="s">
        <v>833</v>
      </c>
      <c r="R330" s="13" t="s">
        <v>817</v>
      </c>
    </row>
    <row r="331" customFormat="false" ht="23.85" hidden="false" customHeight="false" outlineLevel="0" collapsed="false">
      <c r="A331" s="13" t="s">
        <v>848</v>
      </c>
      <c r="B331" s="13" t="s">
        <v>457</v>
      </c>
      <c r="C331" s="13" t="s">
        <v>849</v>
      </c>
      <c r="D331" s="13" t="s">
        <v>809</v>
      </c>
      <c r="E331" s="13" t="s">
        <v>153</v>
      </c>
      <c r="F331" s="13"/>
      <c r="G331" s="13" t="n">
        <v>0</v>
      </c>
      <c r="H331" s="13" t="n">
        <v>3</v>
      </c>
      <c r="I331" s="13" t="n">
        <v>0</v>
      </c>
      <c r="J331" s="13" t="s">
        <v>810</v>
      </c>
      <c r="K331" s="15" t="s">
        <v>34</v>
      </c>
      <c r="L331" s="13" t="s">
        <v>111</v>
      </c>
      <c r="M331" s="16" t="b">
        <f aca="false">TRUE()</f>
        <v>1</v>
      </c>
      <c r="N331" s="13" t="s">
        <v>811</v>
      </c>
      <c r="O331" s="13" t="s">
        <v>89</v>
      </c>
      <c r="P331" s="13" t="s">
        <v>812</v>
      </c>
      <c r="Q331" s="13" t="s">
        <v>813</v>
      </c>
      <c r="R331" s="13" t="s">
        <v>814</v>
      </c>
    </row>
    <row r="332" customFormat="false" ht="23.85" hidden="false" customHeight="false" outlineLevel="0" collapsed="false">
      <c r="A332" s="13" t="s">
        <v>848</v>
      </c>
      <c r="B332" s="13" t="s">
        <v>457</v>
      </c>
      <c r="C332" s="13" t="s">
        <v>850</v>
      </c>
      <c r="D332" s="13" t="s">
        <v>204</v>
      </c>
      <c r="E332" s="13" t="s">
        <v>167</v>
      </c>
      <c r="F332" s="13"/>
      <c r="G332" s="13"/>
      <c r="H332" s="13" t="n">
        <v>20</v>
      </c>
      <c r="I332" s="13" t="n">
        <v>0.001</v>
      </c>
      <c r="J332" s="13" t="s">
        <v>816</v>
      </c>
      <c r="K332" s="15" t="s">
        <v>34</v>
      </c>
      <c r="L332" s="13" t="s">
        <v>111</v>
      </c>
      <c r="M332" s="16" t="b">
        <f aca="false">TRUE()</f>
        <v>1</v>
      </c>
      <c r="N332" s="13" t="s">
        <v>811</v>
      </c>
      <c r="O332" s="13" t="s">
        <v>89</v>
      </c>
      <c r="P332" s="13" t="s">
        <v>128</v>
      </c>
      <c r="Q332" s="13" t="s">
        <v>813</v>
      </c>
      <c r="R332" s="13" t="s">
        <v>817</v>
      </c>
    </row>
    <row r="333" customFormat="false" ht="23.85" hidden="false" customHeight="false" outlineLevel="0" collapsed="false">
      <c r="A333" s="13" t="s">
        <v>851</v>
      </c>
      <c r="B333" s="13" t="s">
        <v>466</v>
      </c>
      <c r="C333" s="13" t="s">
        <v>852</v>
      </c>
      <c r="D333" s="13" t="s">
        <v>809</v>
      </c>
      <c r="E333" s="13" t="s">
        <v>153</v>
      </c>
      <c r="F333" s="13"/>
      <c r="G333" s="13" t="n">
        <v>0</v>
      </c>
      <c r="H333" s="13" t="n">
        <v>2</v>
      </c>
      <c r="I333" s="13" t="n">
        <v>0</v>
      </c>
      <c r="J333" s="13" t="s">
        <v>832</v>
      </c>
      <c r="K333" s="15" t="s">
        <v>34</v>
      </c>
      <c r="L333" s="13" t="s">
        <v>111</v>
      </c>
      <c r="M333" s="16" t="b">
        <f aca="false">TRUE()</f>
        <v>1</v>
      </c>
      <c r="N333" s="13" t="s">
        <v>811</v>
      </c>
      <c r="O333" s="13" t="s">
        <v>89</v>
      </c>
      <c r="P333" s="13" t="s">
        <v>812</v>
      </c>
      <c r="Q333" s="13" t="s">
        <v>833</v>
      </c>
      <c r="R333" s="13" t="s">
        <v>814</v>
      </c>
    </row>
    <row r="334" customFormat="false" ht="15" hidden="false" customHeight="false" outlineLevel="0" collapsed="false">
      <c r="A334" s="13" t="s">
        <v>851</v>
      </c>
      <c r="B334" s="13" t="s">
        <v>466</v>
      </c>
      <c r="C334" s="13" t="s">
        <v>853</v>
      </c>
      <c r="D334" s="13" t="s">
        <v>204</v>
      </c>
      <c r="E334" s="13" t="s">
        <v>167</v>
      </c>
      <c r="F334" s="13"/>
      <c r="G334" s="13" t="n">
        <v>20</v>
      </c>
      <c r="H334" s="13" t="n">
        <v>20</v>
      </c>
      <c r="I334" s="13" t="n">
        <v>0.001</v>
      </c>
      <c r="J334" s="13" t="s">
        <v>835</v>
      </c>
      <c r="K334" s="15" t="s">
        <v>34</v>
      </c>
      <c r="L334" s="13" t="s">
        <v>111</v>
      </c>
      <c r="M334" s="16" t="b">
        <f aca="false">TRUE()</f>
        <v>1</v>
      </c>
      <c r="N334" s="13" t="s">
        <v>811</v>
      </c>
      <c r="O334" s="13" t="s">
        <v>89</v>
      </c>
      <c r="P334" s="13" t="s">
        <v>128</v>
      </c>
      <c r="Q334" s="13" t="s">
        <v>833</v>
      </c>
      <c r="R334" s="13" t="s">
        <v>817</v>
      </c>
    </row>
    <row r="335" customFormat="false" ht="23.85" hidden="false" customHeight="false" outlineLevel="0" collapsed="false">
      <c r="A335" s="13" t="s">
        <v>854</v>
      </c>
      <c r="B335" s="13" t="s">
        <v>475</v>
      </c>
      <c r="C335" s="13" t="s">
        <v>855</v>
      </c>
      <c r="D335" s="13" t="s">
        <v>809</v>
      </c>
      <c r="E335" s="13" t="s">
        <v>153</v>
      </c>
      <c r="F335" s="13"/>
      <c r="G335" s="13" t="n">
        <v>0</v>
      </c>
      <c r="H335" s="13" t="n">
        <v>2</v>
      </c>
      <c r="I335" s="13" t="n">
        <v>0</v>
      </c>
      <c r="J335" s="13" t="s">
        <v>832</v>
      </c>
      <c r="K335" s="15" t="s">
        <v>34</v>
      </c>
      <c r="L335" s="13" t="s">
        <v>111</v>
      </c>
      <c r="M335" s="16" t="b">
        <f aca="false">TRUE()</f>
        <v>1</v>
      </c>
      <c r="N335" s="13" t="s">
        <v>811</v>
      </c>
      <c r="O335" s="13" t="s">
        <v>89</v>
      </c>
      <c r="P335" s="13" t="s">
        <v>812</v>
      </c>
      <c r="Q335" s="13" t="s">
        <v>833</v>
      </c>
      <c r="R335" s="13" t="s">
        <v>814</v>
      </c>
    </row>
    <row r="336" customFormat="false" ht="23.85" hidden="false" customHeight="false" outlineLevel="0" collapsed="false">
      <c r="A336" s="13" t="s">
        <v>854</v>
      </c>
      <c r="B336" s="13" t="s">
        <v>475</v>
      </c>
      <c r="C336" s="13" t="s">
        <v>856</v>
      </c>
      <c r="D336" s="13" t="s">
        <v>204</v>
      </c>
      <c r="E336" s="13" t="s">
        <v>167</v>
      </c>
      <c r="F336" s="13"/>
      <c r="G336" s="13" t="n">
        <v>11</v>
      </c>
      <c r="H336" s="13" t="n">
        <v>11</v>
      </c>
      <c r="I336" s="13" t="n">
        <v>0.001</v>
      </c>
      <c r="J336" s="13" t="s">
        <v>835</v>
      </c>
      <c r="K336" s="15" t="s">
        <v>34</v>
      </c>
      <c r="L336" s="13" t="s">
        <v>111</v>
      </c>
      <c r="M336" s="16" t="b">
        <f aca="false">TRUE()</f>
        <v>1</v>
      </c>
      <c r="N336" s="13" t="s">
        <v>811</v>
      </c>
      <c r="O336" s="13" t="s">
        <v>89</v>
      </c>
      <c r="P336" s="13" t="s">
        <v>128</v>
      </c>
      <c r="Q336" s="13" t="s">
        <v>833</v>
      </c>
      <c r="R336" s="13" t="s">
        <v>817</v>
      </c>
    </row>
    <row r="337" customFormat="false" ht="23.85" hidden="false" customHeight="false" outlineLevel="0" collapsed="false">
      <c r="A337" s="13" t="s">
        <v>857</v>
      </c>
      <c r="B337" s="13" t="s">
        <v>495</v>
      </c>
      <c r="C337" s="13" t="s">
        <v>858</v>
      </c>
      <c r="D337" s="13" t="s">
        <v>809</v>
      </c>
      <c r="E337" s="13" t="s">
        <v>153</v>
      </c>
      <c r="F337" s="13"/>
      <c r="G337" s="13" t="n">
        <v>0</v>
      </c>
      <c r="H337" s="13" t="n">
        <v>2</v>
      </c>
      <c r="I337" s="13" t="n">
        <v>0</v>
      </c>
      <c r="J337" s="13" t="s">
        <v>832</v>
      </c>
      <c r="K337" s="15" t="s">
        <v>34</v>
      </c>
      <c r="L337" s="13" t="s">
        <v>111</v>
      </c>
      <c r="M337" s="16" t="b">
        <f aca="false">TRUE()</f>
        <v>1</v>
      </c>
      <c r="N337" s="13" t="s">
        <v>811</v>
      </c>
      <c r="O337" s="13" t="s">
        <v>89</v>
      </c>
      <c r="P337" s="13" t="s">
        <v>812</v>
      </c>
      <c r="Q337" s="13" t="s">
        <v>833</v>
      </c>
      <c r="R337" s="13" t="s">
        <v>814</v>
      </c>
    </row>
    <row r="338" customFormat="false" ht="15" hidden="false" customHeight="false" outlineLevel="0" collapsed="false">
      <c r="A338" s="13" t="s">
        <v>857</v>
      </c>
      <c r="B338" s="13" t="s">
        <v>495</v>
      </c>
      <c r="C338" s="13" t="s">
        <v>859</v>
      </c>
      <c r="D338" s="13" t="s">
        <v>204</v>
      </c>
      <c r="E338" s="13" t="s">
        <v>167</v>
      </c>
      <c r="F338" s="13"/>
      <c r="G338" s="13" t="n">
        <v>16</v>
      </c>
      <c r="H338" s="13" t="n">
        <v>16</v>
      </c>
      <c r="I338" s="13" t="n">
        <v>0.001</v>
      </c>
      <c r="J338" s="13" t="s">
        <v>835</v>
      </c>
      <c r="K338" s="15" t="s">
        <v>34</v>
      </c>
      <c r="L338" s="13" t="s">
        <v>111</v>
      </c>
      <c r="M338" s="16" t="b">
        <f aca="false">TRUE()</f>
        <v>1</v>
      </c>
      <c r="N338" s="13" t="s">
        <v>811</v>
      </c>
      <c r="O338" s="13" t="s">
        <v>89</v>
      </c>
      <c r="P338" s="13" t="s">
        <v>128</v>
      </c>
      <c r="Q338" s="13" t="s">
        <v>833</v>
      </c>
      <c r="R338" s="13" t="s">
        <v>817</v>
      </c>
    </row>
    <row r="339" customFormat="false" ht="23.85" hidden="false" customHeight="false" outlineLevel="0" collapsed="false">
      <c r="A339" s="13" t="s">
        <v>860</v>
      </c>
      <c r="B339" s="13" t="s">
        <v>504</v>
      </c>
      <c r="C339" s="13" t="s">
        <v>861</v>
      </c>
      <c r="D339" s="13" t="s">
        <v>809</v>
      </c>
      <c r="E339" s="13" t="s">
        <v>153</v>
      </c>
      <c r="F339" s="13"/>
      <c r="G339" s="13" t="n">
        <v>0</v>
      </c>
      <c r="H339" s="13" t="n">
        <v>0</v>
      </c>
      <c r="I339" s="13" t="n">
        <v>0</v>
      </c>
      <c r="J339" s="13" t="s">
        <v>832</v>
      </c>
      <c r="K339" s="15" t="s">
        <v>34</v>
      </c>
      <c r="L339" s="13" t="s">
        <v>111</v>
      </c>
      <c r="M339" s="16" t="b">
        <f aca="false">TRUE()</f>
        <v>1</v>
      </c>
      <c r="N339" s="13" t="s">
        <v>811</v>
      </c>
      <c r="O339" s="13" t="s">
        <v>89</v>
      </c>
      <c r="P339" s="13" t="s">
        <v>812</v>
      </c>
      <c r="Q339" s="13" t="s">
        <v>862</v>
      </c>
      <c r="R339" s="13" t="s">
        <v>814</v>
      </c>
    </row>
    <row r="340" customFormat="false" ht="23.85" hidden="false" customHeight="false" outlineLevel="0" collapsed="false">
      <c r="A340" s="13" t="s">
        <v>860</v>
      </c>
      <c r="B340" s="13" t="s">
        <v>504</v>
      </c>
      <c r="C340" s="13" t="s">
        <v>863</v>
      </c>
      <c r="D340" s="13" t="s">
        <v>204</v>
      </c>
      <c r="E340" s="13" t="s">
        <v>167</v>
      </c>
      <c r="F340" s="13"/>
      <c r="G340" s="13" t="n">
        <v>11</v>
      </c>
      <c r="H340" s="13"/>
      <c r="I340" s="13" t="n">
        <v>0.001</v>
      </c>
      <c r="J340" s="13" t="s">
        <v>864</v>
      </c>
      <c r="K340" s="15" t="s">
        <v>34</v>
      </c>
      <c r="L340" s="13" t="s">
        <v>111</v>
      </c>
      <c r="M340" s="16" t="b">
        <f aca="false">TRUE()</f>
        <v>1</v>
      </c>
      <c r="N340" s="13" t="s">
        <v>811</v>
      </c>
      <c r="O340" s="13" t="s">
        <v>89</v>
      </c>
      <c r="P340" s="13" t="s">
        <v>128</v>
      </c>
      <c r="Q340" s="13" t="s">
        <v>862</v>
      </c>
      <c r="R340" s="13" t="s">
        <v>817</v>
      </c>
    </row>
    <row r="341" customFormat="false" ht="23.85" hidden="false" customHeight="false" outlineLevel="0" collapsed="false">
      <c r="A341" s="13" t="s">
        <v>865</v>
      </c>
      <c r="B341" s="13" t="s">
        <v>515</v>
      </c>
      <c r="C341" s="13" t="s">
        <v>866</v>
      </c>
      <c r="D341" s="13" t="s">
        <v>809</v>
      </c>
      <c r="E341" s="13" t="s">
        <v>153</v>
      </c>
      <c r="F341" s="13"/>
      <c r="G341" s="13" t="n">
        <v>0</v>
      </c>
      <c r="H341" s="13" t="n">
        <v>3</v>
      </c>
      <c r="I341" s="13" t="n">
        <v>0</v>
      </c>
      <c r="J341" s="13" t="s">
        <v>832</v>
      </c>
      <c r="K341" s="15" t="s">
        <v>34</v>
      </c>
      <c r="L341" s="13" t="s">
        <v>111</v>
      </c>
      <c r="M341" s="16" t="b">
        <f aca="false">TRUE()</f>
        <v>1</v>
      </c>
      <c r="N341" s="13" t="s">
        <v>811</v>
      </c>
      <c r="O341" s="13" t="s">
        <v>89</v>
      </c>
      <c r="P341" s="13" t="s">
        <v>812</v>
      </c>
      <c r="Q341" s="13" t="s">
        <v>833</v>
      </c>
      <c r="R341" s="13" t="s">
        <v>814</v>
      </c>
    </row>
    <row r="342" customFormat="false" ht="23.85" hidden="false" customHeight="false" outlineLevel="0" collapsed="false">
      <c r="A342" s="13" t="s">
        <v>865</v>
      </c>
      <c r="B342" s="13" t="s">
        <v>515</v>
      </c>
      <c r="C342" s="13" t="s">
        <v>867</v>
      </c>
      <c r="D342" s="13" t="s">
        <v>204</v>
      </c>
      <c r="E342" s="13" t="s">
        <v>167</v>
      </c>
      <c r="F342" s="13"/>
      <c r="G342" s="13" t="n">
        <v>11</v>
      </c>
      <c r="H342" s="13" t="n">
        <v>11</v>
      </c>
      <c r="I342" s="13" t="n">
        <v>0.001</v>
      </c>
      <c r="J342" s="13" t="s">
        <v>835</v>
      </c>
      <c r="K342" s="15" t="s">
        <v>34</v>
      </c>
      <c r="L342" s="13" t="s">
        <v>111</v>
      </c>
      <c r="M342" s="16" t="b">
        <f aca="false">TRUE()</f>
        <v>1</v>
      </c>
      <c r="N342" s="13" t="s">
        <v>811</v>
      </c>
      <c r="O342" s="13" t="s">
        <v>89</v>
      </c>
      <c r="P342" s="13" t="s">
        <v>128</v>
      </c>
      <c r="Q342" s="13" t="s">
        <v>833</v>
      </c>
      <c r="R342" s="13" t="s">
        <v>817</v>
      </c>
    </row>
    <row r="343" customFormat="false" ht="23.85" hidden="false" customHeight="false" outlineLevel="0" collapsed="false">
      <c r="A343" s="13" t="s">
        <v>868</v>
      </c>
      <c r="B343" s="13" t="s">
        <v>173</v>
      </c>
      <c r="C343" s="13" t="s">
        <v>869</v>
      </c>
      <c r="D343" s="13" t="s">
        <v>809</v>
      </c>
      <c r="E343" s="13" t="s">
        <v>153</v>
      </c>
      <c r="F343" s="13"/>
      <c r="G343" s="13" t="n">
        <v>0</v>
      </c>
      <c r="H343" s="13" t="n">
        <v>3</v>
      </c>
      <c r="I343" s="13" t="n">
        <v>0</v>
      </c>
      <c r="J343" s="13" t="s">
        <v>832</v>
      </c>
      <c r="K343" s="15" t="s">
        <v>34</v>
      </c>
      <c r="L343" s="13" t="s">
        <v>111</v>
      </c>
      <c r="M343" s="16" t="b">
        <f aca="false">TRUE()</f>
        <v>1</v>
      </c>
      <c r="N343" s="13" t="s">
        <v>811</v>
      </c>
      <c r="O343" s="13" t="s">
        <v>89</v>
      </c>
      <c r="P343" s="13" t="s">
        <v>812</v>
      </c>
      <c r="Q343" s="13" t="s">
        <v>833</v>
      </c>
      <c r="R343" s="13" t="s">
        <v>814</v>
      </c>
    </row>
    <row r="344" customFormat="false" ht="15" hidden="false" customHeight="false" outlineLevel="0" collapsed="false">
      <c r="A344" s="13" t="s">
        <v>868</v>
      </c>
      <c r="B344" s="13" t="s">
        <v>173</v>
      </c>
      <c r="C344" s="13" t="s">
        <v>870</v>
      </c>
      <c r="D344" s="13" t="s">
        <v>204</v>
      </c>
      <c r="E344" s="13" t="s">
        <v>167</v>
      </c>
      <c r="F344" s="13"/>
      <c r="G344" s="13" t="n">
        <v>11</v>
      </c>
      <c r="H344" s="13" t="n">
        <v>11</v>
      </c>
      <c r="I344" s="13" t="n">
        <v>0.001</v>
      </c>
      <c r="J344" s="13" t="s">
        <v>835</v>
      </c>
      <c r="K344" s="15" t="s">
        <v>34</v>
      </c>
      <c r="L344" s="13" t="s">
        <v>111</v>
      </c>
      <c r="M344" s="16" t="b">
        <f aca="false">TRUE()</f>
        <v>1</v>
      </c>
      <c r="N344" s="13" t="s">
        <v>811</v>
      </c>
      <c r="O344" s="13" t="s">
        <v>89</v>
      </c>
      <c r="P344" s="13" t="s">
        <v>128</v>
      </c>
      <c r="Q344" s="13" t="s">
        <v>833</v>
      </c>
      <c r="R344" s="13" t="s">
        <v>817</v>
      </c>
    </row>
    <row r="345" customFormat="false" ht="23.85" hidden="false" customHeight="false" outlineLevel="0" collapsed="false">
      <c r="A345" s="13" t="s">
        <v>871</v>
      </c>
      <c r="B345" s="13" t="s">
        <v>872</v>
      </c>
      <c r="C345" s="13" t="s">
        <v>873</v>
      </c>
      <c r="D345" s="13" t="s">
        <v>128</v>
      </c>
      <c r="E345" s="13" t="s">
        <v>874</v>
      </c>
      <c r="F345" s="13"/>
      <c r="G345" s="16" t="b">
        <f aca="false">TRUE()</f>
        <v>1</v>
      </c>
      <c r="H345" s="16" t="b">
        <f aca="false">FALSE()</f>
        <v>0</v>
      </c>
      <c r="I345" s="13"/>
      <c r="J345" s="13" t="s">
        <v>875</v>
      </c>
      <c r="K345" s="15" t="s">
        <v>34</v>
      </c>
      <c r="L345" s="13" t="s">
        <v>131</v>
      </c>
      <c r="M345" s="16" t="b">
        <f aca="false">TRUE()</f>
        <v>1</v>
      </c>
      <c r="N345" s="13" t="s">
        <v>876</v>
      </c>
      <c r="O345" s="13" t="s">
        <v>128</v>
      </c>
      <c r="P345" s="13" t="s">
        <v>877</v>
      </c>
      <c r="Q345" s="13" t="s">
        <v>878</v>
      </c>
      <c r="R345" s="13" t="s">
        <v>879</v>
      </c>
    </row>
    <row r="346" customFormat="false" ht="23.85" hidden="false" customHeight="false" outlineLevel="0" collapsed="false">
      <c r="A346" s="13" t="s">
        <v>880</v>
      </c>
      <c r="B346" s="13" t="s">
        <v>783</v>
      </c>
      <c r="C346" s="13" t="s">
        <v>881</v>
      </c>
      <c r="D346" s="13" t="s">
        <v>128</v>
      </c>
      <c r="E346" s="13" t="s">
        <v>882</v>
      </c>
      <c r="F346" s="13"/>
      <c r="G346" s="13" t="s">
        <v>128</v>
      </c>
      <c r="H346" s="13" t="s">
        <v>883</v>
      </c>
      <c r="I346" s="13" t="n">
        <v>0</v>
      </c>
      <c r="J346" s="13" t="s">
        <v>93</v>
      </c>
      <c r="K346" s="15" t="s">
        <v>34</v>
      </c>
      <c r="L346" s="13" t="s">
        <v>111</v>
      </c>
      <c r="M346" s="16" t="b">
        <f aca="false">TRUE()</f>
        <v>1</v>
      </c>
      <c r="N346" s="13" t="s">
        <v>884</v>
      </c>
      <c r="O346" s="13" t="s">
        <v>93</v>
      </c>
      <c r="P346" s="13" t="s">
        <v>885</v>
      </c>
      <c r="Q346" s="13" t="s">
        <v>886</v>
      </c>
      <c r="R346" s="13" t="s">
        <v>887</v>
      </c>
    </row>
    <row r="347" customFormat="false" ht="23.85" hidden="false" customHeight="false" outlineLevel="0" collapsed="false">
      <c r="A347" s="13" t="s">
        <v>880</v>
      </c>
      <c r="B347" s="13" t="s">
        <v>783</v>
      </c>
      <c r="C347" s="13" t="s">
        <v>888</v>
      </c>
      <c r="D347" s="13" t="s">
        <v>128</v>
      </c>
      <c r="E347" s="13" t="s">
        <v>153</v>
      </c>
      <c r="F347" s="13"/>
      <c r="G347" s="13" t="n">
        <v>1.2</v>
      </c>
      <c r="H347" s="13" t="n">
        <v>10</v>
      </c>
      <c r="I347" s="13" t="n">
        <v>0</v>
      </c>
      <c r="J347" s="13" t="s">
        <v>93</v>
      </c>
      <c r="K347" s="15" t="s">
        <v>34</v>
      </c>
      <c r="L347" s="13" t="s">
        <v>111</v>
      </c>
      <c r="M347" s="16" t="b">
        <f aca="false">TRUE()</f>
        <v>1</v>
      </c>
      <c r="N347" s="13" t="s">
        <v>884</v>
      </c>
      <c r="O347" s="13" t="s">
        <v>93</v>
      </c>
      <c r="P347" s="13" t="s">
        <v>885</v>
      </c>
      <c r="Q347" s="13" t="s">
        <v>886</v>
      </c>
      <c r="R347" s="13" t="s">
        <v>887</v>
      </c>
    </row>
    <row r="348" customFormat="false" ht="23.85" hidden="false" customHeight="false" outlineLevel="0" collapsed="false">
      <c r="A348" s="13" t="s">
        <v>880</v>
      </c>
      <c r="B348" s="13" t="s">
        <v>783</v>
      </c>
      <c r="C348" s="13" t="s">
        <v>889</v>
      </c>
      <c r="D348" s="13" t="s">
        <v>128</v>
      </c>
      <c r="E348" s="13" t="s">
        <v>874</v>
      </c>
      <c r="F348" s="13"/>
      <c r="G348" s="16" t="b">
        <f aca="false">TRUE()</f>
        <v>1</v>
      </c>
      <c r="H348" s="16" t="b">
        <f aca="false">FALSE()</f>
        <v>0</v>
      </c>
      <c r="I348" s="13" t="n">
        <v>0</v>
      </c>
      <c r="J348" s="13" t="s">
        <v>93</v>
      </c>
      <c r="K348" s="15" t="s">
        <v>34</v>
      </c>
      <c r="L348" s="13" t="s">
        <v>111</v>
      </c>
      <c r="M348" s="16" t="b">
        <f aca="false">TRUE()</f>
        <v>1</v>
      </c>
      <c r="N348" s="13" t="s">
        <v>884</v>
      </c>
      <c r="O348" s="13" t="s">
        <v>93</v>
      </c>
      <c r="P348" s="13" t="s">
        <v>885</v>
      </c>
      <c r="Q348" s="13" t="s">
        <v>886</v>
      </c>
      <c r="R348" s="13" t="s">
        <v>887</v>
      </c>
    </row>
    <row r="349" customFormat="false" ht="23.85" hidden="false" customHeight="false" outlineLevel="0" collapsed="false">
      <c r="A349" s="13" t="s">
        <v>880</v>
      </c>
      <c r="B349" s="13" t="s">
        <v>783</v>
      </c>
      <c r="C349" s="13" t="s">
        <v>890</v>
      </c>
      <c r="D349" s="13" t="s">
        <v>128</v>
      </c>
      <c r="E349" s="13" t="s">
        <v>153</v>
      </c>
      <c r="F349" s="13"/>
      <c r="G349" s="13" t="n">
        <v>0.5</v>
      </c>
      <c r="H349" s="13" t="n">
        <v>0</v>
      </c>
      <c r="I349" s="13" t="n">
        <v>0</v>
      </c>
      <c r="J349" s="13" t="s">
        <v>93</v>
      </c>
      <c r="K349" s="15" t="s">
        <v>34</v>
      </c>
      <c r="L349" s="13" t="s">
        <v>111</v>
      </c>
      <c r="M349" s="16" t="b">
        <f aca="false">TRUE()</f>
        <v>1</v>
      </c>
      <c r="N349" s="13" t="s">
        <v>884</v>
      </c>
      <c r="O349" s="13" t="s">
        <v>93</v>
      </c>
      <c r="P349" s="13" t="s">
        <v>885</v>
      </c>
      <c r="Q349" s="13" t="s">
        <v>886</v>
      </c>
      <c r="R349" s="13" t="s">
        <v>887</v>
      </c>
    </row>
    <row r="350" customFormat="false" ht="23.85" hidden="false" customHeight="false" outlineLevel="0" collapsed="false">
      <c r="A350" s="13" t="s">
        <v>891</v>
      </c>
      <c r="B350" s="13" t="s">
        <v>801</v>
      </c>
      <c r="C350" s="13" t="s">
        <v>892</v>
      </c>
      <c r="D350" s="13" t="s">
        <v>128</v>
      </c>
      <c r="E350" s="13" t="s">
        <v>882</v>
      </c>
      <c r="F350" s="13"/>
      <c r="G350" s="13" t="s">
        <v>893</v>
      </c>
      <c r="H350" s="13" t="s">
        <v>883</v>
      </c>
      <c r="I350" s="13" t="n">
        <v>0</v>
      </c>
      <c r="J350" s="13" t="s">
        <v>93</v>
      </c>
      <c r="K350" s="15" t="s">
        <v>34</v>
      </c>
      <c r="L350" s="13" t="s">
        <v>111</v>
      </c>
      <c r="M350" s="16" t="b">
        <f aca="false">TRUE()</f>
        <v>1</v>
      </c>
      <c r="N350" s="13" t="s">
        <v>894</v>
      </c>
      <c r="O350" s="13" t="s">
        <v>93</v>
      </c>
      <c r="P350" s="13" t="s">
        <v>885</v>
      </c>
      <c r="Q350" s="13" t="s">
        <v>886</v>
      </c>
      <c r="R350" s="13" t="s">
        <v>887</v>
      </c>
    </row>
    <row r="351" customFormat="false" ht="23.85" hidden="false" customHeight="false" outlineLevel="0" collapsed="false">
      <c r="A351" s="13" t="s">
        <v>891</v>
      </c>
      <c r="B351" s="13" t="s">
        <v>801</v>
      </c>
      <c r="C351" s="13" t="s">
        <v>895</v>
      </c>
      <c r="D351" s="13" t="s">
        <v>128</v>
      </c>
      <c r="E351" s="13" t="s">
        <v>153</v>
      </c>
      <c r="F351" s="13"/>
      <c r="G351" s="13" t="n">
        <v>0</v>
      </c>
      <c r="H351" s="13" t="n">
        <v>3</v>
      </c>
      <c r="I351" s="13" t="n">
        <v>0</v>
      </c>
      <c r="J351" s="13" t="s">
        <v>93</v>
      </c>
      <c r="K351" s="15" t="s">
        <v>34</v>
      </c>
      <c r="L351" s="13" t="s">
        <v>111</v>
      </c>
      <c r="M351" s="16" t="b">
        <f aca="false">TRUE()</f>
        <v>1</v>
      </c>
      <c r="N351" s="13" t="s">
        <v>894</v>
      </c>
      <c r="O351" s="13" t="s">
        <v>93</v>
      </c>
      <c r="P351" s="13" t="s">
        <v>885</v>
      </c>
      <c r="Q351" s="13" t="s">
        <v>886</v>
      </c>
      <c r="R351" s="13" t="s">
        <v>887</v>
      </c>
    </row>
    <row r="352" customFormat="false" ht="23.85" hidden="false" customHeight="false" outlineLevel="0" collapsed="false">
      <c r="A352" s="13" t="s">
        <v>891</v>
      </c>
      <c r="B352" s="13" t="s">
        <v>801</v>
      </c>
      <c r="C352" s="13" t="s">
        <v>896</v>
      </c>
      <c r="D352" s="13" t="s">
        <v>128</v>
      </c>
      <c r="E352" s="13" t="s">
        <v>153</v>
      </c>
      <c r="F352" s="13"/>
      <c r="G352" s="13"/>
      <c r="H352" s="13" t="n">
        <v>10</v>
      </c>
      <c r="I352" s="13" t="n">
        <v>0</v>
      </c>
      <c r="J352" s="13" t="s">
        <v>93</v>
      </c>
      <c r="K352" s="15" t="s">
        <v>34</v>
      </c>
      <c r="L352" s="13" t="s">
        <v>111</v>
      </c>
      <c r="M352" s="16" t="b">
        <f aca="false">TRUE()</f>
        <v>1</v>
      </c>
      <c r="N352" s="13" t="s">
        <v>894</v>
      </c>
      <c r="O352" s="13" t="s">
        <v>93</v>
      </c>
      <c r="P352" s="13" t="s">
        <v>885</v>
      </c>
      <c r="Q352" s="13" t="s">
        <v>886</v>
      </c>
      <c r="R352" s="13" t="s">
        <v>887</v>
      </c>
    </row>
    <row r="353" customFormat="false" ht="23.85" hidden="false" customHeight="false" outlineLevel="0" collapsed="false">
      <c r="A353" s="13" t="s">
        <v>897</v>
      </c>
      <c r="B353" s="13" t="s">
        <v>777</v>
      </c>
      <c r="C353" s="13" t="s">
        <v>898</v>
      </c>
      <c r="D353" s="13" t="s">
        <v>128</v>
      </c>
      <c r="E353" s="13" t="s">
        <v>882</v>
      </c>
      <c r="F353" s="13"/>
      <c r="G353" s="13" t="s">
        <v>893</v>
      </c>
      <c r="H353" s="13" t="s">
        <v>899</v>
      </c>
      <c r="I353" s="13" t="n">
        <v>0</v>
      </c>
      <c r="J353" s="13" t="s">
        <v>93</v>
      </c>
      <c r="K353" s="15" t="s">
        <v>34</v>
      </c>
      <c r="L353" s="13" t="s">
        <v>111</v>
      </c>
      <c r="M353" s="16" t="b">
        <f aca="false">TRUE()</f>
        <v>1</v>
      </c>
      <c r="N353" s="13" t="s">
        <v>884</v>
      </c>
      <c r="O353" s="13" t="s">
        <v>93</v>
      </c>
      <c r="P353" s="13" t="s">
        <v>885</v>
      </c>
      <c r="Q353" s="13" t="s">
        <v>886</v>
      </c>
      <c r="R353" s="13" t="s">
        <v>887</v>
      </c>
    </row>
    <row r="354" customFormat="false" ht="57.45" hidden="false" customHeight="false" outlineLevel="0" collapsed="false">
      <c r="A354" s="13" t="s">
        <v>900</v>
      </c>
      <c r="B354" s="13" t="s">
        <v>901</v>
      </c>
      <c r="C354" s="13" t="s">
        <v>902</v>
      </c>
      <c r="D354" s="13" t="s">
        <v>128</v>
      </c>
      <c r="E354" s="13" t="s">
        <v>882</v>
      </c>
      <c r="F354" s="13"/>
      <c r="G354" s="13" t="s">
        <v>903</v>
      </c>
      <c r="H354" s="13" t="s">
        <v>904</v>
      </c>
      <c r="I354" s="13"/>
      <c r="J354" s="13" t="s">
        <v>93</v>
      </c>
      <c r="K354" s="15" t="s">
        <v>34</v>
      </c>
      <c r="L354" s="13" t="s">
        <v>131</v>
      </c>
      <c r="M354" s="16" t="b">
        <f aca="false">TRUE()</f>
        <v>1</v>
      </c>
      <c r="N354" s="13" t="s">
        <v>905</v>
      </c>
      <c r="O354" s="13" t="s">
        <v>93</v>
      </c>
      <c r="P354" s="13" t="s">
        <v>906</v>
      </c>
      <c r="Q354" s="13" t="s">
        <v>907</v>
      </c>
      <c r="R354" s="13" t="s">
        <v>908</v>
      </c>
    </row>
    <row r="355" customFormat="false" ht="35.05" hidden="false" customHeight="false" outlineLevel="0" collapsed="false">
      <c r="A355" s="13" t="s">
        <v>68</v>
      </c>
      <c r="B355" s="13" t="s">
        <v>909</v>
      </c>
      <c r="C355" s="13" t="s">
        <v>910</v>
      </c>
      <c r="D355" s="13" t="s">
        <v>128</v>
      </c>
      <c r="E355" s="13" t="s">
        <v>882</v>
      </c>
      <c r="F355" s="13"/>
      <c r="G355" s="13" t="s">
        <v>911</v>
      </c>
      <c r="H355" s="13" t="s">
        <v>912</v>
      </c>
      <c r="I355" s="13"/>
      <c r="J355" s="13" t="s">
        <v>65</v>
      </c>
      <c r="K355" s="15" t="s">
        <v>34</v>
      </c>
      <c r="L355" s="13" t="s">
        <v>111</v>
      </c>
      <c r="M355" s="16" t="b">
        <f aca="false">TRUE()</f>
        <v>1</v>
      </c>
      <c r="N355" s="13" t="s">
        <v>913</v>
      </c>
      <c r="O355" s="13" t="s">
        <v>65</v>
      </c>
      <c r="P355" s="13" t="s">
        <v>914</v>
      </c>
      <c r="Q355" s="13" t="s">
        <v>915</v>
      </c>
      <c r="R355" s="13" t="s">
        <v>916</v>
      </c>
    </row>
    <row r="356" customFormat="false" ht="35.05" hidden="false" customHeight="false" outlineLevel="0" collapsed="false">
      <c r="A356" s="13" t="s">
        <v>68</v>
      </c>
      <c r="B356" s="13" t="s">
        <v>909</v>
      </c>
      <c r="C356" s="13" t="s">
        <v>917</v>
      </c>
      <c r="D356" s="13" t="s">
        <v>128</v>
      </c>
      <c r="E356" s="13" t="s">
        <v>167</v>
      </c>
      <c r="F356" s="13"/>
      <c r="G356" s="13" t="n">
        <v>25</v>
      </c>
      <c r="H356" s="13" t="n">
        <v>45</v>
      </c>
      <c r="I356" s="13"/>
      <c r="J356" s="13" t="s">
        <v>65</v>
      </c>
      <c r="K356" s="15" t="s">
        <v>34</v>
      </c>
      <c r="L356" s="13" t="s">
        <v>111</v>
      </c>
      <c r="M356" s="16" t="b">
        <f aca="false">TRUE()</f>
        <v>1</v>
      </c>
      <c r="N356" s="13" t="s">
        <v>913</v>
      </c>
      <c r="O356" s="13" t="s">
        <v>65</v>
      </c>
      <c r="P356" s="13" t="s">
        <v>914</v>
      </c>
      <c r="Q356" s="13" t="s">
        <v>915</v>
      </c>
      <c r="R356" s="13" t="s">
        <v>916</v>
      </c>
    </row>
    <row r="357" customFormat="false" ht="35.05" hidden="false" customHeight="false" outlineLevel="0" collapsed="false">
      <c r="A357" s="13" t="s">
        <v>68</v>
      </c>
      <c r="B357" s="13" t="s">
        <v>909</v>
      </c>
      <c r="C357" s="13" t="s">
        <v>918</v>
      </c>
      <c r="D357" s="13" t="s">
        <v>128</v>
      </c>
      <c r="E357" s="13" t="s">
        <v>882</v>
      </c>
      <c r="F357" s="13"/>
      <c r="G357" s="13" t="s">
        <v>919</v>
      </c>
      <c r="H357" s="13" t="s">
        <v>920</v>
      </c>
      <c r="I357" s="13"/>
      <c r="J357" s="13" t="s">
        <v>65</v>
      </c>
      <c r="K357" s="15" t="s">
        <v>34</v>
      </c>
      <c r="L357" s="13" t="s">
        <v>111</v>
      </c>
      <c r="M357" s="16" t="b">
        <f aca="false">TRUE()</f>
        <v>1</v>
      </c>
      <c r="N357" s="13" t="s">
        <v>913</v>
      </c>
      <c r="O357" s="13" t="s">
        <v>65</v>
      </c>
      <c r="P357" s="13" t="s">
        <v>914</v>
      </c>
      <c r="Q357" s="13" t="s">
        <v>915</v>
      </c>
      <c r="R357" s="13" t="s">
        <v>916</v>
      </c>
    </row>
    <row r="358" customFormat="false" ht="46.25" hidden="false" customHeight="false" outlineLevel="0" collapsed="false">
      <c r="A358" s="13" t="s">
        <v>68</v>
      </c>
      <c r="B358" s="13" t="s">
        <v>909</v>
      </c>
      <c r="C358" s="13" t="s">
        <v>921</v>
      </c>
      <c r="D358" s="13" t="s">
        <v>128</v>
      </c>
      <c r="E358" s="13" t="s">
        <v>882</v>
      </c>
      <c r="F358" s="13"/>
      <c r="G358" s="13" t="s">
        <v>922</v>
      </c>
      <c r="H358" s="13" t="s">
        <v>923</v>
      </c>
      <c r="I358" s="13"/>
      <c r="J358" s="13" t="s">
        <v>65</v>
      </c>
      <c r="K358" s="15" t="s">
        <v>34</v>
      </c>
      <c r="L358" s="13" t="s">
        <v>111</v>
      </c>
      <c r="M358" s="16" t="b">
        <f aca="false">TRUE()</f>
        <v>1</v>
      </c>
      <c r="N358" s="13" t="s">
        <v>913</v>
      </c>
      <c r="O358" s="13" t="s">
        <v>65</v>
      </c>
      <c r="P358" s="13" t="s">
        <v>914</v>
      </c>
      <c r="Q358" s="13" t="s">
        <v>915</v>
      </c>
      <c r="R358" s="13" t="s">
        <v>916</v>
      </c>
    </row>
    <row r="359" customFormat="false" ht="57.45" hidden="false" customHeight="false" outlineLevel="0" collapsed="false">
      <c r="A359" s="13" t="s">
        <v>68</v>
      </c>
      <c r="B359" s="13" t="s">
        <v>909</v>
      </c>
      <c r="C359" s="13" t="s">
        <v>924</v>
      </c>
      <c r="D359" s="13" t="s">
        <v>128</v>
      </c>
      <c r="E359" s="13" t="s">
        <v>153</v>
      </c>
      <c r="F359" s="13"/>
      <c r="G359" s="13" t="n">
        <v>50654</v>
      </c>
      <c r="H359" s="13" t="s">
        <v>925</v>
      </c>
      <c r="I359" s="13"/>
      <c r="J359" s="13" t="s">
        <v>65</v>
      </c>
      <c r="K359" s="15" t="s">
        <v>34</v>
      </c>
      <c r="L359" s="13" t="s">
        <v>111</v>
      </c>
      <c r="M359" s="16" t="b">
        <f aca="false">TRUE()</f>
        <v>1</v>
      </c>
      <c r="N359" s="13" t="s">
        <v>913</v>
      </c>
      <c r="O359" s="13" t="s">
        <v>65</v>
      </c>
      <c r="P359" s="13" t="s">
        <v>914</v>
      </c>
      <c r="Q359" s="13" t="s">
        <v>915</v>
      </c>
      <c r="R359" s="13" t="s">
        <v>916</v>
      </c>
    </row>
    <row r="360" customFormat="false" ht="35.05" hidden="false" customHeight="false" outlineLevel="0" collapsed="false">
      <c r="A360" s="13" t="s">
        <v>926</v>
      </c>
      <c r="B360" s="13" t="s">
        <v>927</v>
      </c>
      <c r="C360" s="13" t="s">
        <v>928</v>
      </c>
      <c r="D360" s="13" t="s">
        <v>929</v>
      </c>
      <c r="E360" s="13" t="s">
        <v>128</v>
      </c>
      <c r="F360" s="13"/>
      <c r="G360" s="13" t="n">
        <v>400</v>
      </c>
      <c r="H360" s="13" t="n">
        <v>180</v>
      </c>
      <c r="I360" s="13"/>
      <c r="J360" s="13" t="s">
        <v>930</v>
      </c>
      <c r="K360" s="19" t="s">
        <v>37</v>
      </c>
      <c r="L360" s="13" t="s">
        <v>111</v>
      </c>
      <c r="M360" s="16" t="b">
        <f aca="false">FALSE()</f>
        <v>0</v>
      </c>
      <c r="N360" s="13"/>
      <c r="O360" s="13" t="s">
        <v>128</v>
      </c>
      <c r="P360" s="13" t="s">
        <v>128</v>
      </c>
      <c r="Q360" s="13" t="s">
        <v>930</v>
      </c>
      <c r="R360" s="13" t="s">
        <v>931</v>
      </c>
    </row>
    <row r="361" customFormat="false" ht="23.85" hidden="false" customHeight="false" outlineLevel="0" collapsed="false">
      <c r="A361" s="13" t="s">
        <v>932</v>
      </c>
      <c r="B361" s="13" t="s">
        <v>539</v>
      </c>
      <c r="C361" s="13" t="s">
        <v>933</v>
      </c>
      <c r="D361" s="13" t="s">
        <v>224</v>
      </c>
      <c r="E361" s="13" t="s">
        <v>128</v>
      </c>
      <c r="F361" s="13"/>
      <c r="G361" s="13" t="n">
        <v>1</v>
      </c>
      <c r="H361" s="13" t="n">
        <v>1.175</v>
      </c>
      <c r="I361" s="13"/>
      <c r="J361" s="13" t="s">
        <v>934</v>
      </c>
      <c r="K361" s="19" t="s">
        <v>37</v>
      </c>
      <c r="L361" s="13" t="s">
        <v>111</v>
      </c>
      <c r="M361" s="16" t="b">
        <f aca="false">FALSE()</f>
        <v>0</v>
      </c>
      <c r="N361" s="13"/>
      <c r="O361" s="13" t="s">
        <v>128</v>
      </c>
      <c r="P361" s="13" t="s">
        <v>128</v>
      </c>
      <c r="Q361" s="13" t="s">
        <v>934</v>
      </c>
      <c r="R361" s="13" t="s">
        <v>931</v>
      </c>
    </row>
    <row r="362" customFormat="false" ht="23.85" hidden="false" customHeight="false" outlineLevel="0" collapsed="false">
      <c r="A362" s="13" t="s">
        <v>935</v>
      </c>
      <c r="B362" s="13" t="s">
        <v>936</v>
      </c>
      <c r="C362" s="13" t="s">
        <v>937</v>
      </c>
      <c r="D362" s="13" t="s">
        <v>128</v>
      </c>
      <c r="E362" s="13" t="s">
        <v>128</v>
      </c>
      <c r="F362" s="13"/>
      <c r="G362" s="13"/>
      <c r="H362" s="13" t="n">
        <v>0.85</v>
      </c>
      <c r="I362" s="13"/>
      <c r="J362" s="13" t="s">
        <v>938</v>
      </c>
      <c r="K362" s="19" t="s">
        <v>37</v>
      </c>
      <c r="L362" s="13" t="s">
        <v>111</v>
      </c>
      <c r="M362" s="16" t="b">
        <f aca="false">FALSE()</f>
        <v>0</v>
      </c>
      <c r="N362" s="13"/>
      <c r="O362" s="13" t="s">
        <v>128</v>
      </c>
      <c r="P362" s="13" t="s">
        <v>128</v>
      </c>
      <c r="Q362" s="13" t="s">
        <v>938</v>
      </c>
      <c r="R362" s="13" t="s">
        <v>931</v>
      </c>
    </row>
    <row r="363" customFormat="false" ht="23.85" hidden="false" customHeight="false" outlineLevel="0" collapsed="false">
      <c r="A363" s="13" t="s">
        <v>939</v>
      </c>
      <c r="B363" s="13" t="s">
        <v>940</v>
      </c>
      <c r="C363" s="13" t="s">
        <v>941</v>
      </c>
      <c r="D363" s="13" t="s">
        <v>128</v>
      </c>
      <c r="E363" s="13" t="s">
        <v>128</v>
      </c>
      <c r="F363" s="13"/>
      <c r="G363" s="13"/>
      <c r="H363" s="13"/>
      <c r="I363" s="13"/>
      <c r="J363" s="13" t="s">
        <v>942</v>
      </c>
      <c r="K363" s="19" t="s">
        <v>37</v>
      </c>
      <c r="L363" s="13" t="s">
        <v>111</v>
      </c>
      <c r="M363" s="16" t="b">
        <f aca="false">FALSE()</f>
        <v>0</v>
      </c>
      <c r="N363" s="13"/>
      <c r="O363" s="13" t="s">
        <v>128</v>
      </c>
      <c r="P363" s="13" t="s">
        <v>128</v>
      </c>
      <c r="Q363" s="13" t="s">
        <v>942</v>
      </c>
      <c r="R363" s="13" t="s">
        <v>931</v>
      </c>
    </row>
    <row r="364" customFormat="false" ht="23.85" hidden="false" customHeight="false" outlineLevel="0" collapsed="false">
      <c r="A364" s="13" t="s">
        <v>943</v>
      </c>
      <c r="B364" s="13" t="s">
        <v>940</v>
      </c>
      <c r="C364" s="13" t="s">
        <v>944</v>
      </c>
      <c r="D364" s="13" t="s">
        <v>128</v>
      </c>
      <c r="E364" s="13" t="s">
        <v>128</v>
      </c>
      <c r="F364" s="13"/>
      <c r="G364" s="13"/>
      <c r="H364" s="13"/>
      <c r="I364" s="13"/>
      <c r="J364" s="13" t="s">
        <v>945</v>
      </c>
      <c r="K364" s="19" t="s">
        <v>37</v>
      </c>
      <c r="L364" s="13" t="s">
        <v>111</v>
      </c>
      <c r="M364" s="16" t="b">
        <f aca="false">FALSE()</f>
        <v>0</v>
      </c>
      <c r="N364" s="13"/>
      <c r="O364" s="13" t="s">
        <v>128</v>
      </c>
      <c r="P364" s="13" t="s">
        <v>128</v>
      </c>
      <c r="Q364" s="13" t="s">
        <v>945</v>
      </c>
      <c r="R364" s="13" t="s">
        <v>931</v>
      </c>
    </row>
    <row r="365" customFormat="false" ht="15" hidden="false" customHeight="false" outlineLevel="0" collapsed="false">
      <c r="A365" s="13" t="s">
        <v>946</v>
      </c>
      <c r="B365" s="13" t="s">
        <v>947</v>
      </c>
      <c r="C365" s="13" t="s">
        <v>948</v>
      </c>
      <c r="D365" s="13" t="s">
        <v>175</v>
      </c>
      <c r="E365" s="13" t="s">
        <v>128</v>
      </c>
      <c r="F365" s="13"/>
      <c r="G365" s="13" t="n">
        <v>1144</v>
      </c>
      <c r="H365" s="13" t="n">
        <v>1140</v>
      </c>
      <c r="I365" s="13"/>
      <c r="J365" s="13" t="s">
        <v>949</v>
      </c>
      <c r="K365" s="19" t="s">
        <v>37</v>
      </c>
      <c r="L365" s="13" t="s">
        <v>111</v>
      </c>
      <c r="M365" s="16" t="b">
        <f aca="false">FALSE()</f>
        <v>0</v>
      </c>
      <c r="N365" s="13"/>
      <c r="O365" s="13" t="s">
        <v>128</v>
      </c>
      <c r="P365" s="13" t="s">
        <v>128</v>
      </c>
      <c r="Q365" s="13" t="s">
        <v>949</v>
      </c>
      <c r="R365" s="13" t="s">
        <v>931</v>
      </c>
    </row>
    <row r="366" customFormat="false" ht="15" hidden="false" customHeight="false" outlineLevel="0" collapsed="false">
      <c r="A366" s="13" t="s">
        <v>950</v>
      </c>
      <c r="B366" s="13" t="s">
        <v>951</v>
      </c>
      <c r="C366" s="13" t="s">
        <v>952</v>
      </c>
      <c r="D366" s="13" t="s">
        <v>189</v>
      </c>
      <c r="E366" s="13" t="s">
        <v>128</v>
      </c>
      <c r="F366" s="13"/>
      <c r="G366" s="13"/>
      <c r="H366" s="13" t="s">
        <v>953</v>
      </c>
      <c r="I366" s="13"/>
      <c r="J366" s="13" t="s">
        <v>954</v>
      </c>
      <c r="K366" s="19" t="s">
        <v>37</v>
      </c>
      <c r="L366" s="13" t="s">
        <v>111</v>
      </c>
      <c r="M366" s="16" t="b">
        <f aca="false">FALSE()</f>
        <v>0</v>
      </c>
      <c r="N366" s="13"/>
      <c r="O366" s="13" t="s">
        <v>128</v>
      </c>
      <c r="P366" s="13" t="s">
        <v>128</v>
      </c>
      <c r="Q366" s="13" t="s">
        <v>954</v>
      </c>
      <c r="R366" s="13" t="s">
        <v>931</v>
      </c>
    </row>
  </sheetData>
  <autoFilter ref="A3:R366"/>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9"/>
    <col collapsed="false" customWidth="true" hidden="false" outlineLevel="0" max="5" min="4" style="0" width="12"/>
    <col collapsed="false" customWidth="true" hidden="false" outlineLevel="0" max="6" min="6" style="0" width="70"/>
  </cols>
  <sheetData>
    <row r="1" customFormat="false" ht="23.85" hidden="false" customHeight="false" outlineLevel="0" collapsed="false">
      <c r="A1" s="12" t="s">
        <v>108</v>
      </c>
      <c r="B1" s="12" t="s">
        <v>955</v>
      </c>
      <c r="C1" s="12" t="s">
        <v>956</v>
      </c>
      <c r="D1" s="12" t="s">
        <v>957</v>
      </c>
      <c r="E1" s="12" t="s">
        <v>958</v>
      </c>
      <c r="F1" s="12" t="s">
        <v>121</v>
      </c>
    </row>
    <row r="2" customFormat="false" ht="15" hidden="false" customHeight="false" outlineLevel="0" collapsed="false">
      <c r="A2" s="13" t="s">
        <v>126</v>
      </c>
      <c r="B2" s="13" t="s">
        <v>127</v>
      </c>
      <c r="C2" s="13" t="n">
        <v>1</v>
      </c>
      <c r="D2" s="15" t="s">
        <v>34</v>
      </c>
      <c r="E2" s="13" t="s">
        <v>959</v>
      </c>
      <c r="F2" s="13"/>
    </row>
    <row r="3" customFormat="false" ht="15" hidden="false" customHeight="false" outlineLevel="0" collapsed="false">
      <c r="A3" s="13" t="s">
        <v>134</v>
      </c>
      <c r="B3" s="13" t="s">
        <v>127</v>
      </c>
      <c r="C3" s="13" t="n">
        <v>1</v>
      </c>
      <c r="D3" s="15" t="s">
        <v>34</v>
      </c>
      <c r="E3" s="13" t="s">
        <v>959</v>
      </c>
      <c r="F3" s="13" t="s">
        <v>126</v>
      </c>
    </row>
    <row r="4" customFormat="false" ht="15" hidden="false" customHeight="false" outlineLevel="0" collapsed="false">
      <c r="A4" s="13" t="s">
        <v>136</v>
      </c>
      <c r="B4" s="13" t="s">
        <v>127</v>
      </c>
      <c r="C4" s="13" t="n">
        <v>1</v>
      </c>
      <c r="D4" s="15" t="s">
        <v>34</v>
      </c>
      <c r="E4" s="13" t="s">
        <v>959</v>
      </c>
      <c r="F4" s="13" t="s">
        <v>126</v>
      </c>
    </row>
    <row r="5" customFormat="false" ht="15" hidden="false" customHeight="false" outlineLevel="0" collapsed="false">
      <c r="A5" s="13" t="s">
        <v>138</v>
      </c>
      <c r="B5" s="13" t="s">
        <v>127</v>
      </c>
      <c r="C5" s="13" t="n">
        <v>1</v>
      </c>
      <c r="D5" s="15" t="s">
        <v>34</v>
      </c>
      <c r="E5" s="13" t="s">
        <v>959</v>
      </c>
      <c r="F5" s="13" t="s">
        <v>126</v>
      </c>
    </row>
    <row r="6" customFormat="false" ht="15" hidden="false" customHeight="false" outlineLevel="0" collapsed="false">
      <c r="A6" s="13" t="s">
        <v>140</v>
      </c>
      <c r="B6" s="13" t="s">
        <v>127</v>
      </c>
      <c r="C6" s="13" t="n">
        <v>1</v>
      </c>
      <c r="D6" s="15" t="s">
        <v>34</v>
      </c>
      <c r="E6" s="13" t="s">
        <v>959</v>
      </c>
      <c r="F6" s="13" t="s">
        <v>126</v>
      </c>
    </row>
    <row r="7" customFormat="false" ht="15" hidden="false" customHeight="false" outlineLevel="0" collapsed="false">
      <c r="A7" s="13" t="s">
        <v>142</v>
      </c>
      <c r="B7" s="13" t="s">
        <v>127</v>
      </c>
      <c r="C7" s="13" t="n">
        <v>1</v>
      </c>
      <c r="D7" s="15" t="s">
        <v>34</v>
      </c>
      <c r="E7" s="13" t="s">
        <v>959</v>
      </c>
      <c r="F7" s="13" t="s">
        <v>126</v>
      </c>
    </row>
    <row r="8" customFormat="false" ht="15" hidden="false" customHeight="false" outlineLevel="0" collapsed="false">
      <c r="A8" s="13" t="s">
        <v>144</v>
      </c>
      <c r="B8" s="13" t="s">
        <v>127</v>
      </c>
      <c r="C8" s="13" t="n">
        <v>1</v>
      </c>
      <c r="D8" s="15" t="s">
        <v>34</v>
      </c>
      <c r="E8" s="13" t="s">
        <v>959</v>
      </c>
      <c r="F8" s="13" t="s">
        <v>126</v>
      </c>
    </row>
    <row r="9" customFormat="false" ht="15" hidden="false" customHeight="false" outlineLevel="0" collapsed="false">
      <c r="A9" s="13" t="s">
        <v>146</v>
      </c>
      <c r="B9" s="13" t="s">
        <v>127</v>
      </c>
      <c r="C9" s="13" t="n">
        <v>1</v>
      </c>
      <c r="D9" s="15" t="s">
        <v>34</v>
      </c>
      <c r="E9" s="13" t="s">
        <v>959</v>
      </c>
      <c r="F9" s="13" t="s">
        <v>126</v>
      </c>
    </row>
    <row r="10" customFormat="false" ht="15" hidden="false" customHeight="false" outlineLevel="0" collapsed="false">
      <c r="A10" s="13" t="s">
        <v>148</v>
      </c>
      <c r="B10" s="13" t="s">
        <v>127</v>
      </c>
      <c r="C10" s="13" t="n">
        <v>1</v>
      </c>
      <c r="D10" s="15" t="s">
        <v>34</v>
      </c>
      <c r="E10" s="13" t="s">
        <v>959</v>
      </c>
      <c r="F10" s="13" t="s">
        <v>126</v>
      </c>
    </row>
    <row r="11" customFormat="false" ht="23.85" hidden="false" customHeight="false" outlineLevel="0" collapsed="false">
      <c r="A11" s="13" t="s">
        <v>106</v>
      </c>
      <c r="B11" s="13" t="s">
        <v>150</v>
      </c>
      <c r="C11" s="13" t="n">
        <v>7</v>
      </c>
      <c r="D11" s="15" t="s">
        <v>34</v>
      </c>
      <c r="E11" s="13" t="s">
        <v>960</v>
      </c>
      <c r="F11" s="13" t="s">
        <v>126</v>
      </c>
    </row>
    <row r="12" customFormat="false" ht="15" hidden="false" customHeight="false" outlineLevel="0" collapsed="false">
      <c r="A12" s="13" t="s">
        <v>164</v>
      </c>
      <c r="B12" s="13" t="s">
        <v>165</v>
      </c>
      <c r="C12" s="13" t="n">
        <v>1</v>
      </c>
      <c r="D12" s="17" t="s">
        <v>36</v>
      </c>
      <c r="E12" s="13" t="s">
        <v>960</v>
      </c>
      <c r="F12" s="13" t="s">
        <v>169</v>
      </c>
    </row>
    <row r="13" customFormat="false" ht="15" hidden="false" customHeight="false" outlineLevel="0" collapsed="false">
      <c r="A13" s="13" t="s">
        <v>172</v>
      </c>
      <c r="B13" s="13" t="s">
        <v>173</v>
      </c>
      <c r="C13" s="13" t="n">
        <v>1</v>
      </c>
      <c r="D13" s="18" t="s">
        <v>33</v>
      </c>
      <c r="E13" s="13" t="s">
        <v>960</v>
      </c>
      <c r="F13" s="13" t="s">
        <v>126</v>
      </c>
    </row>
    <row r="14" customFormat="false" ht="15" hidden="false" customHeight="false" outlineLevel="0" collapsed="false">
      <c r="A14" s="13" t="s">
        <v>180</v>
      </c>
      <c r="B14" s="13" t="s">
        <v>181</v>
      </c>
      <c r="C14" s="13" t="n">
        <v>1</v>
      </c>
      <c r="D14" s="18" t="s">
        <v>33</v>
      </c>
      <c r="E14" s="13" t="s">
        <v>960</v>
      </c>
      <c r="F14" s="13" t="s">
        <v>126</v>
      </c>
    </row>
    <row r="15" customFormat="false" ht="15" hidden="false" customHeight="false" outlineLevel="0" collapsed="false">
      <c r="A15" s="13" t="s">
        <v>183</v>
      </c>
      <c r="B15" s="13" t="s">
        <v>184</v>
      </c>
      <c r="C15" s="13" t="n">
        <v>1</v>
      </c>
      <c r="D15" s="18" t="s">
        <v>33</v>
      </c>
      <c r="E15" s="13" t="s">
        <v>960</v>
      </c>
      <c r="F15" s="13" t="s">
        <v>126</v>
      </c>
    </row>
    <row r="16" customFormat="false" ht="15" hidden="false" customHeight="false" outlineLevel="0" collapsed="false">
      <c r="A16" s="13" t="s">
        <v>186</v>
      </c>
      <c r="B16" s="13" t="s">
        <v>187</v>
      </c>
      <c r="C16" s="13" t="n">
        <v>1</v>
      </c>
      <c r="D16" s="18" t="s">
        <v>33</v>
      </c>
      <c r="E16" s="13" t="s">
        <v>960</v>
      </c>
      <c r="F16" s="13" t="s">
        <v>126</v>
      </c>
    </row>
    <row r="17" customFormat="false" ht="15" hidden="false" customHeight="false" outlineLevel="0" collapsed="false">
      <c r="A17" s="13" t="s">
        <v>192</v>
      </c>
      <c r="B17" s="13" t="s">
        <v>193</v>
      </c>
      <c r="C17" s="13" t="n">
        <v>1</v>
      </c>
      <c r="D17" s="18" t="s">
        <v>33</v>
      </c>
      <c r="E17" s="13" t="s">
        <v>960</v>
      </c>
      <c r="F17" s="13" t="s">
        <v>126</v>
      </c>
    </row>
    <row r="18" customFormat="false" ht="15" hidden="false" customHeight="false" outlineLevel="0" collapsed="false">
      <c r="A18" s="13" t="s">
        <v>195</v>
      </c>
      <c r="B18" s="13" t="s">
        <v>196</v>
      </c>
      <c r="C18" s="13" t="n">
        <v>1</v>
      </c>
      <c r="D18" s="18" t="s">
        <v>33</v>
      </c>
      <c r="E18" s="13" t="s">
        <v>960</v>
      </c>
      <c r="F18" s="13" t="s">
        <v>126</v>
      </c>
    </row>
    <row r="19" customFormat="false" ht="15" hidden="false" customHeight="false" outlineLevel="0" collapsed="false">
      <c r="A19" s="13" t="s">
        <v>198</v>
      </c>
      <c r="B19" s="13" t="s">
        <v>199</v>
      </c>
      <c r="C19" s="13" t="n">
        <v>1</v>
      </c>
      <c r="D19" s="18" t="s">
        <v>33</v>
      </c>
      <c r="E19" s="13" t="s">
        <v>960</v>
      </c>
      <c r="F19" s="13" t="s">
        <v>126</v>
      </c>
    </row>
    <row r="20" customFormat="false" ht="15" hidden="false" customHeight="false" outlineLevel="0" collapsed="false">
      <c r="A20" s="13" t="s">
        <v>201</v>
      </c>
      <c r="B20" s="13" t="s">
        <v>202</v>
      </c>
      <c r="C20" s="13" t="n">
        <v>1</v>
      </c>
      <c r="D20" s="15" t="s">
        <v>34</v>
      </c>
      <c r="E20" s="13" t="s">
        <v>960</v>
      </c>
      <c r="F20" s="13" t="s">
        <v>961</v>
      </c>
    </row>
    <row r="21" customFormat="false" ht="15" hidden="false" customHeight="false" outlineLevel="0" collapsed="false">
      <c r="A21" s="13" t="s">
        <v>209</v>
      </c>
      <c r="B21" s="13" t="s">
        <v>210</v>
      </c>
      <c r="C21" s="13" t="n">
        <v>1</v>
      </c>
      <c r="D21" s="15" t="s">
        <v>34</v>
      </c>
      <c r="E21" s="13" t="s">
        <v>960</v>
      </c>
      <c r="F21" s="13" t="s">
        <v>961</v>
      </c>
    </row>
    <row r="22" customFormat="false" ht="15" hidden="false" customHeight="false" outlineLevel="0" collapsed="false">
      <c r="A22" s="13" t="s">
        <v>212</v>
      </c>
      <c r="B22" s="13" t="s">
        <v>213</v>
      </c>
      <c r="C22" s="13" t="n">
        <v>3</v>
      </c>
      <c r="D22" s="15" t="s">
        <v>34</v>
      </c>
      <c r="E22" s="13" t="s">
        <v>960</v>
      </c>
      <c r="F22" s="13" t="s">
        <v>961</v>
      </c>
    </row>
    <row r="23" customFormat="false" ht="15" hidden="false" customHeight="false" outlineLevel="0" collapsed="false">
      <c r="A23" s="13" t="s">
        <v>230</v>
      </c>
      <c r="B23" s="13" t="s">
        <v>231</v>
      </c>
      <c r="C23" s="13" t="n">
        <v>3</v>
      </c>
      <c r="D23" s="15" t="s">
        <v>34</v>
      </c>
      <c r="E23" s="13" t="s">
        <v>960</v>
      </c>
      <c r="F23" s="13" t="s">
        <v>961</v>
      </c>
    </row>
    <row r="24" customFormat="false" ht="15" hidden="false" customHeight="false" outlineLevel="0" collapsed="false">
      <c r="A24" s="13" t="s">
        <v>238</v>
      </c>
      <c r="B24" s="13" t="s">
        <v>239</v>
      </c>
      <c r="C24" s="13" t="n">
        <v>3</v>
      </c>
      <c r="D24" s="15" t="s">
        <v>34</v>
      </c>
      <c r="E24" s="13" t="s">
        <v>960</v>
      </c>
      <c r="F24" s="13" t="s">
        <v>961</v>
      </c>
    </row>
    <row r="25" customFormat="false" ht="15" hidden="false" customHeight="false" outlineLevel="0" collapsed="false">
      <c r="A25" s="13" t="s">
        <v>244</v>
      </c>
      <c r="B25" s="13" t="s">
        <v>245</v>
      </c>
      <c r="C25" s="13" t="n">
        <v>3</v>
      </c>
      <c r="D25" s="15" t="s">
        <v>34</v>
      </c>
      <c r="E25" s="13" t="s">
        <v>960</v>
      </c>
      <c r="F25" s="13" t="s">
        <v>961</v>
      </c>
    </row>
    <row r="26" customFormat="false" ht="15" hidden="false" customHeight="false" outlineLevel="0" collapsed="false">
      <c r="A26" s="13" t="s">
        <v>250</v>
      </c>
      <c r="B26" s="13" t="s">
        <v>251</v>
      </c>
      <c r="C26" s="13" t="n">
        <v>3</v>
      </c>
      <c r="D26" s="15" t="s">
        <v>34</v>
      </c>
      <c r="E26" s="13" t="s">
        <v>960</v>
      </c>
      <c r="F26" s="13" t="s">
        <v>961</v>
      </c>
    </row>
    <row r="27" customFormat="false" ht="15" hidden="false" customHeight="false" outlineLevel="0" collapsed="false">
      <c r="A27" s="13" t="s">
        <v>259</v>
      </c>
      <c r="B27" s="13" t="s">
        <v>251</v>
      </c>
      <c r="C27" s="13" t="n">
        <v>1</v>
      </c>
      <c r="D27" s="17" t="s">
        <v>36</v>
      </c>
      <c r="E27" s="13" t="s">
        <v>960</v>
      </c>
      <c r="F27" s="13" t="s">
        <v>250</v>
      </c>
    </row>
    <row r="28" customFormat="false" ht="15" hidden="false" customHeight="false" outlineLevel="0" collapsed="false">
      <c r="A28" s="13" t="s">
        <v>263</v>
      </c>
      <c r="B28" s="13" t="s">
        <v>264</v>
      </c>
      <c r="C28" s="13" t="n">
        <v>3</v>
      </c>
      <c r="D28" s="15" t="s">
        <v>34</v>
      </c>
      <c r="E28" s="13" t="s">
        <v>960</v>
      </c>
      <c r="F28" s="13" t="s">
        <v>961</v>
      </c>
    </row>
    <row r="29" customFormat="false" ht="15" hidden="false" customHeight="false" outlineLevel="0" collapsed="false">
      <c r="A29" s="13" t="s">
        <v>271</v>
      </c>
      <c r="B29" s="13" t="s">
        <v>272</v>
      </c>
      <c r="C29" s="13" t="n">
        <v>3</v>
      </c>
      <c r="D29" s="15" t="s">
        <v>34</v>
      </c>
      <c r="E29" s="13" t="s">
        <v>960</v>
      </c>
      <c r="F29" s="13" t="s">
        <v>961</v>
      </c>
    </row>
    <row r="30" customFormat="false" ht="15" hidden="false" customHeight="false" outlineLevel="0" collapsed="false">
      <c r="A30" s="13" t="s">
        <v>279</v>
      </c>
      <c r="B30" s="13" t="s">
        <v>272</v>
      </c>
      <c r="C30" s="13" t="n">
        <v>1</v>
      </c>
      <c r="D30" s="17" t="s">
        <v>36</v>
      </c>
      <c r="E30" s="13" t="s">
        <v>960</v>
      </c>
      <c r="F30" s="13" t="s">
        <v>271</v>
      </c>
    </row>
    <row r="31" customFormat="false" ht="35.05" hidden="false" customHeight="false" outlineLevel="0" collapsed="false">
      <c r="A31" s="13" t="s">
        <v>281</v>
      </c>
      <c r="B31" s="13" t="s">
        <v>282</v>
      </c>
      <c r="C31" s="13" t="n">
        <v>4</v>
      </c>
      <c r="D31" s="15" t="s">
        <v>34</v>
      </c>
      <c r="E31" s="13" t="s">
        <v>960</v>
      </c>
      <c r="F31" s="13" t="s">
        <v>961</v>
      </c>
    </row>
    <row r="32" customFormat="false" ht="35.05" hidden="false" customHeight="false" outlineLevel="0" collapsed="false">
      <c r="A32" s="13" t="s">
        <v>289</v>
      </c>
      <c r="B32" s="13" t="s">
        <v>282</v>
      </c>
      <c r="C32" s="13" t="n">
        <v>1</v>
      </c>
      <c r="D32" s="17" t="s">
        <v>36</v>
      </c>
      <c r="E32" s="13" t="s">
        <v>960</v>
      </c>
      <c r="F32" s="13" t="s">
        <v>281</v>
      </c>
    </row>
    <row r="33" customFormat="false" ht="15" hidden="false" customHeight="false" outlineLevel="0" collapsed="false">
      <c r="A33" s="13" t="s">
        <v>292</v>
      </c>
      <c r="B33" s="13" t="s">
        <v>199</v>
      </c>
      <c r="C33" s="13" t="n">
        <v>1</v>
      </c>
      <c r="D33" s="15" t="s">
        <v>34</v>
      </c>
      <c r="E33" s="13" t="s">
        <v>960</v>
      </c>
      <c r="F33" s="13" t="s">
        <v>962</v>
      </c>
    </row>
    <row r="34" customFormat="false" ht="15" hidden="false" customHeight="false" outlineLevel="0" collapsed="false">
      <c r="A34" s="13" t="s">
        <v>295</v>
      </c>
      <c r="B34" s="13" t="s">
        <v>296</v>
      </c>
      <c r="C34" s="13" t="n">
        <v>1</v>
      </c>
      <c r="D34" s="15" t="s">
        <v>34</v>
      </c>
      <c r="E34" s="13" t="s">
        <v>960</v>
      </c>
      <c r="F34" s="13" t="s">
        <v>961</v>
      </c>
    </row>
    <row r="35" customFormat="false" ht="15" hidden="false" customHeight="false" outlineLevel="0" collapsed="false">
      <c r="A35" s="13" t="s">
        <v>298</v>
      </c>
      <c r="B35" s="13" t="s">
        <v>299</v>
      </c>
      <c r="C35" s="13" t="n">
        <v>1</v>
      </c>
      <c r="D35" s="15" t="s">
        <v>34</v>
      </c>
      <c r="E35" s="13" t="s">
        <v>960</v>
      </c>
      <c r="F35" s="13" t="s">
        <v>961</v>
      </c>
    </row>
    <row r="36" customFormat="false" ht="15" hidden="false" customHeight="false" outlineLevel="0" collapsed="false">
      <c r="A36" s="13" t="s">
        <v>301</v>
      </c>
      <c r="B36" s="13" t="s">
        <v>302</v>
      </c>
      <c r="C36" s="13" t="n">
        <v>1</v>
      </c>
      <c r="D36" s="15" t="s">
        <v>34</v>
      </c>
      <c r="E36" s="13" t="s">
        <v>960</v>
      </c>
      <c r="F36" s="13" t="s">
        <v>961</v>
      </c>
    </row>
    <row r="37" customFormat="false" ht="15" hidden="false" customHeight="false" outlineLevel="0" collapsed="false">
      <c r="A37" s="13" t="s">
        <v>304</v>
      </c>
      <c r="B37" s="13" t="s">
        <v>305</v>
      </c>
      <c r="C37" s="13" t="n">
        <v>1</v>
      </c>
      <c r="D37" s="15" t="s">
        <v>34</v>
      </c>
      <c r="E37" s="13" t="s">
        <v>960</v>
      </c>
      <c r="F37" s="13" t="s">
        <v>961</v>
      </c>
    </row>
    <row r="38" customFormat="false" ht="15" hidden="false" customHeight="false" outlineLevel="0" collapsed="false">
      <c r="A38" s="13" t="s">
        <v>307</v>
      </c>
      <c r="B38" s="13" t="s">
        <v>308</v>
      </c>
      <c r="C38" s="13" t="n">
        <v>1</v>
      </c>
      <c r="D38" s="15" t="s">
        <v>34</v>
      </c>
      <c r="E38" s="13" t="s">
        <v>960</v>
      </c>
      <c r="F38" s="13" t="s">
        <v>961</v>
      </c>
    </row>
    <row r="39" customFormat="false" ht="15" hidden="false" customHeight="false" outlineLevel="0" collapsed="false">
      <c r="A39" s="13" t="s">
        <v>310</v>
      </c>
      <c r="B39" s="13" t="s">
        <v>311</v>
      </c>
      <c r="C39" s="13" t="n">
        <v>3</v>
      </c>
      <c r="D39" s="15" t="s">
        <v>34</v>
      </c>
      <c r="E39" s="13" t="s">
        <v>960</v>
      </c>
      <c r="F39" s="13" t="s">
        <v>961</v>
      </c>
    </row>
    <row r="40" customFormat="false" ht="15" hidden="false" customHeight="false" outlineLevel="0" collapsed="false">
      <c r="A40" s="13" t="s">
        <v>316</v>
      </c>
      <c r="B40" s="13" t="s">
        <v>317</v>
      </c>
      <c r="C40" s="13" t="n">
        <v>3</v>
      </c>
      <c r="D40" s="15" t="s">
        <v>34</v>
      </c>
      <c r="E40" s="13" t="s">
        <v>960</v>
      </c>
      <c r="F40" s="13" t="s">
        <v>961</v>
      </c>
    </row>
    <row r="41" customFormat="false" ht="15" hidden="false" customHeight="false" outlineLevel="0" collapsed="false">
      <c r="A41" s="13" t="s">
        <v>322</v>
      </c>
      <c r="B41" s="13" t="s">
        <v>323</v>
      </c>
      <c r="C41" s="13" t="n">
        <v>3</v>
      </c>
      <c r="D41" s="15" t="s">
        <v>34</v>
      </c>
      <c r="E41" s="13" t="s">
        <v>960</v>
      </c>
      <c r="F41" s="13" t="s">
        <v>961</v>
      </c>
    </row>
    <row r="42" customFormat="false" ht="15" hidden="false" customHeight="false" outlineLevel="0" collapsed="false">
      <c r="A42" s="13" t="s">
        <v>328</v>
      </c>
      <c r="B42" s="13" t="s">
        <v>329</v>
      </c>
      <c r="C42" s="13" t="n">
        <v>3</v>
      </c>
      <c r="D42" s="15" t="s">
        <v>34</v>
      </c>
      <c r="E42" s="13" t="s">
        <v>960</v>
      </c>
      <c r="F42" s="13" t="s">
        <v>961</v>
      </c>
    </row>
    <row r="43" customFormat="false" ht="15" hidden="false" customHeight="false" outlineLevel="0" collapsed="false">
      <c r="A43" s="13" t="s">
        <v>333</v>
      </c>
      <c r="B43" s="13" t="s">
        <v>334</v>
      </c>
      <c r="C43" s="13" t="n">
        <v>3</v>
      </c>
      <c r="D43" s="15" t="s">
        <v>34</v>
      </c>
      <c r="E43" s="13" t="s">
        <v>960</v>
      </c>
      <c r="F43" s="13" t="s">
        <v>961</v>
      </c>
    </row>
    <row r="44" customFormat="false" ht="15" hidden="false" customHeight="false" outlineLevel="0" collapsed="false">
      <c r="A44" s="13" t="s">
        <v>338</v>
      </c>
      <c r="B44" s="13" t="s">
        <v>339</v>
      </c>
      <c r="C44" s="13" t="n">
        <v>3</v>
      </c>
      <c r="D44" s="15" t="s">
        <v>34</v>
      </c>
      <c r="E44" s="13" t="s">
        <v>960</v>
      </c>
      <c r="F44" s="13" t="s">
        <v>961</v>
      </c>
    </row>
    <row r="45" customFormat="false" ht="15" hidden="false" customHeight="false" outlineLevel="0" collapsed="false">
      <c r="A45" s="13" t="s">
        <v>344</v>
      </c>
      <c r="B45" s="13" t="s">
        <v>345</v>
      </c>
      <c r="C45" s="13" t="n">
        <v>3</v>
      </c>
      <c r="D45" s="15" t="s">
        <v>34</v>
      </c>
      <c r="E45" s="13" t="s">
        <v>960</v>
      </c>
      <c r="F45" s="13" t="s">
        <v>961</v>
      </c>
    </row>
    <row r="46" customFormat="false" ht="15" hidden="false" customHeight="false" outlineLevel="0" collapsed="false">
      <c r="A46" s="13" t="s">
        <v>350</v>
      </c>
      <c r="B46" s="13" t="s">
        <v>351</v>
      </c>
      <c r="C46" s="13" t="n">
        <v>3</v>
      </c>
      <c r="D46" s="15" t="s">
        <v>34</v>
      </c>
      <c r="E46" s="13" t="s">
        <v>960</v>
      </c>
      <c r="F46" s="13" t="s">
        <v>961</v>
      </c>
    </row>
    <row r="47" customFormat="false" ht="15" hidden="false" customHeight="false" outlineLevel="0" collapsed="false">
      <c r="A47" s="13" t="s">
        <v>356</v>
      </c>
      <c r="B47" s="13" t="s">
        <v>357</v>
      </c>
      <c r="C47" s="13" t="n">
        <v>3</v>
      </c>
      <c r="D47" s="15" t="s">
        <v>34</v>
      </c>
      <c r="E47" s="13" t="s">
        <v>960</v>
      </c>
      <c r="F47" s="13" t="s">
        <v>961</v>
      </c>
    </row>
    <row r="48" customFormat="false" ht="15" hidden="false" customHeight="false" outlineLevel="0" collapsed="false">
      <c r="A48" s="13" t="s">
        <v>364</v>
      </c>
      <c r="B48" s="13" t="s">
        <v>365</v>
      </c>
      <c r="C48" s="13" t="n">
        <v>3</v>
      </c>
      <c r="D48" s="15" t="s">
        <v>34</v>
      </c>
      <c r="E48" s="13" t="s">
        <v>960</v>
      </c>
      <c r="F48" s="13" t="s">
        <v>961</v>
      </c>
    </row>
    <row r="49" customFormat="false" ht="15" hidden="false" customHeight="false" outlineLevel="0" collapsed="false">
      <c r="A49" s="13" t="s">
        <v>370</v>
      </c>
      <c r="B49" s="13" t="s">
        <v>371</v>
      </c>
      <c r="C49" s="13" t="n">
        <v>3</v>
      </c>
      <c r="D49" s="15" t="s">
        <v>34</v>
      </c>
      <c r="E49" s="13" t="s">
        <v>960</v>
      </c>
      <c r="F49" s="13" t="s">
        <v>961</v>
      </c>
    </row>
    <row r="50" customFormat="false" ht="15" hidden="false" customHeight="false" outlineLevel="0" collapsed="false">
      <c r="A50" s="13" t="s">
        <v>376</v>
      </c>
      <c r="B50" s="13" t="s">
        <v>377</v>
      </c>
      <c r="C50" s="13" t="n">
        <v>3</v>
      </c>
      <c r="D50" s="15" t="s">
        <v>34</v>
      </c>
      <c r="E50" s="13" t="s">
        <v>960</v>
      </c>
      <c r="F50" s="13" t="s">
        <v>961</v>
      </c>
    </row>
    <row r="51" customFormat="false" ht="15" hidden="false" customHeight="false" outlineLevel="0" collapsed="false">
      <c r="A51" s="13" t="s">
        <v>382</v>
      </c>
      <c r="B51" s="13" t="s">
        <v>383</v>
      </c>
      <c r="C51" s="13" t="n">
        <v>3</v>
      </c>
      <c r="D51" s="15" t="s">
        <v>34</v>
      </c>
      <c r="E51" s="13" t="s">
        <v>960</v>
      </c>
      <c r="F51" s="13" t="s">
        <v>961</v>
      </c>
    </row>
    <row r="52" customFormat="false" ht="15" hidden="false" customHeight="false" outlineLevel="0" collapsed="false">
      <c r="A52" s="13" t="s">
        <v>388</v>
      </c>
      <c r="B52" s="13" t="s">
        <v>389</v>
      </c>
      <c r="C52" s="13" t="n">
        <v>3</v>
      </c>
      <c r="D52" s="15" t="s">
        <v>34</v>
      </c>
      <c r="E52" s="13" t="s">
        <v>960</v>
      </c>
      <c r="F52" s="13" t="s">
        <v>961</v>
      </c>
    </row>
    <row r="53" customFormat="false" ht="15" hidden="false" customHeight="false" outlineLevel="0" collapsed="false">
      <c r="A53" s="13" t="s">
        <v>394</v>
      </c>
      <c r="B53" s="13" t="s">
        <v>395</v>
      </c>
      <c r="C53" s="13" t="n">
        <v>3</v>
      </c>
      <c r="D53" s="15" t="s">
        <v>34</v>
      </c>
      <c r="E53" s="13" t="s">
        <v>960</v>
      </c>
      <c r="F53" s="13" t="s">
        <v>961</v>
      </c>
    </row>
    <row r="54" customFormat="false" ht="15" hidden="false" customHeight="false" outlineLevel="0" collapsed="false">
      <c r="A54" s="13" t="s">
        <v>400</v>
      </c>
      <c r="B54" s="13" t="s">
        <v>401</v>
      </c>
      <c r="C54" s="13" t="n">
        <v>3</v>
      </c>
      <c r="D54" s="15" t="s">
        <v>34</v>
      </c>
      <c r="E54" s="13" t="s">
        <v>960</v>
      </c>
      <c r="F54" s="13" t="s">
        <v>961</v>
      </c>
    </row>
    <row r="55" customFormat="false" ht="15" hidden="false" customHeight="false" outlineLevel="0" collapsed="false">
      <c r="A55" s="13" t="s">
        <v>406</v>
      </c>
      <c r="B55" s="13" t="s">
        <v>407</v>
      </c>
      <c r="C55" s="13" t="n">
        <v>3</v>
      </c>
      <c r="D55" s="15" t="s">
        <v>34</v>
      </c>
      <c r="E55" s="13" t="s">
        <v>960</v>
      </c>
      <c r="F55" s="13" t="s">
        <v>961</v>
      </c>
    </row>
    <row r="56" customFormat="false" ht="15" hidden="false" customHeight="false" outlineLevel="0" collapsed="false">
      <c r="A56" s="13" t="s">
        <v>412</v>
      </c>
      <c r="B56" s="13" t="s">
        <v>413</v>
      </c>
      <c r="C56" s="13" t="n">
        <v>3</v>
      </c>
      <c r="D56" s="15" t="s">
        <v>34</v>
      </c>
      <c r="E56" s="13" t="s">
        <v>960</v>
      </c>
      <c r="F56" s="13" t="s">
        <v>961</v>
      </c>
    </row>
    <row r="57" customFormat="false" ht="15" hidden="false" customHeight="false" outlineLevel="0" collapsed="false">
      <c r="A57" s="13" t="s">
        <v>418</v>
      </c>
      <c r="B57" s="13" t="s">
        <v>419</v>
      </c>
      <c r="C57" s="13" t="n">
        <v>3</v>
      </c>
      <c r="D57" s="15" t="s">
        <v>34</v>
      </c>
      <c r="E57" s="13" t="s">
        <v>960</v>
      </c>
      <c r="F57" s="13" t="s">
        <v>961</v>
      </c>
    </row>
    <row r="58" customFormat="false" ht="15" hidden="false" customHeight="false" outlineLevel="0" collapsed="false">
      <c r="A58" s="13" t="s">
        <v>424</v>
      </c>
      <c r="B58" s="13" t="s">
        <v>425</v>
      </c>
      <c r="C58" s="13" t="n">
        <v>4</v>
      </c>
      <c r="D58" s="15" t="s">
        <v>34</v>
      </c>
      <c r="E58" s="13" t="s">
        <v>960</v>
      </c>
      <c r="F58" s="13" t="s">
        <v>961</v>
      </c>
    </row>
    <row r="59" customFormat="false" ht="15" hidden="false" customHeight="false" outlineLevel="0" collapsed="false">
      <c r="A59" s="13" t="s">
        <v>431</v>
      </c>
      <c r="B59" s="13" t="s">
        <v>432</v>
      </c>
      <c r="C59" s="13" t="n">
        <v>4</v>
      </c>
      <c r="D59" s="15" t="s">
        <v>34</v>
      </c>
      <c r="E59" s="13" t="s">
        <v>960</v>
      </c>
      <c r="F59" s="13" t="s">
        <v>961</v>
      </c>
    </row>
    <row r="60" customFormat="false" ht="15" hidden="false" customHeight="false" outlineLevel="0" collapsed="false">
      <c r="A60" s="13" t="s">
        <v>440</v>
      </c>
      <c r="B60" s="13" t="s">
        <v>441</v>
      </c>
      <c r="C60" s="13" t="n">
        <v>4</v>
      </c>
      <c r="D60" s="15" t="s">
        <v>34</v>
      </c>
      <c r="E60" s="13" t="s">
        <v>960</v>
      </c>
      <c r="F60" s="13" t="s">
        <v>961</v>
      </c>
    </row>
    <row r="61" customFormat="false" ht="15" hidden="false" customHeight="false" outlineLevel="0" collapsed="false">
      <c r="A61" s="13" t="s">
        <v>447</v>
      </c>
      <c r="B61" s="13" t="s">
        <v>448</v>
      </c>
      <c r="C61" s="13" t="n">
        <v>4</v>
      </c>
      <c r="D61" s="15" t="s">
        <v>34</v>
      </c>
      <c r="E61" s="13" t="s">
        <v>960</v>
      </c>
      <c r="F61" s="13" t="s">
        <v>961</v>
      </c>
    </row>
    <row r="62" customFormat="false" ht="15" hidden="false" customHeight="false" outlineLevel="0" collapsed="false">
      <c r="A62" s="13" t="s">
        <v>454</v>
      </c>
      <c r="B62" s="13" t="s">
        <v>448</v>
      </c>
      <c r="C62" s="13" t="n">
        <v>1</v>
      </c>
      <c r="D62" s="17" t="s">
        <v>36</v>
      </c>
      <c r="E62" s="13" t="s">
        <v>960</v>
      </c>
      <c r="F62" s="13" t="s">
        <v>447</v>
      </c>
    </row>
    <row r="63" customFormat="false" ht="15" hidden="false" customHeight="false" outlineLevel="0" collapsed="false">
      <c r="A63" s="13" t="s">
        <v>456</v>
      </c>
      <c r="B63" s="13" t="s">
        <v>457</v>
      </c>
      <c r="C63" s="13" t="n">
        <v>4</v>
      </c>
      <c r="D63" s="15" t="s">
        <v>34</v>
      </c>
      <c r="E63" s="13" t="s">
        <v>960</v>
      </c>
      <c r="F63" s="13" t="s">
        <v>961</v>
      </c>
    </row>
    <row r="64" customFormat="false" ht="15" hidden="false" customHeight="false" outlineLevel="0" collapsed="false">
      <c r="A64" s="13" t="s">
        <v>465</v>
      </c>
      <c r="B64" s="13" t="s">
        <v>466</v>
      </c>
      <c r="C64" s="13" t="n">
        <v>4</v>
      </c>
      <c r="D64" s="15" t="s">
        <v>34</v>
      </c>
      <c r="E64" s="13" t="s">
        <v>960</v>
      </c>
      <c r="F64" s="13" t="s">
        <v>961</v>
      </c>
    </row>
    <row r="65" customFormat="false" ht="15" hidden="false" customHeight="false" outlineLevel="0" collapsed="false">
      <c r="A65" s="13" t="s">
        <v>474</v>
      </c>
      <c r="B65" s="13" t="s">
        <v>475</v>
      </c>
      <c r="C65" s="13" t="n">
        <v>4</v>
      </c>
      <c r="D65" s="15" t="s">
        <v>34</v>
      </c>
      <c r="E65" s="13" t="s">
        <v>960</v>
      </c>
      <c r="F65" s="13" t="s">
        <v>961</v>
      </c>
    </row>
    <row r="66" customFormat="false" ht="15" hidden="false" customHeight="false" outlineLevel="0" collapsed="false">
      <c r="A66" s="13" t="s">
        <v>482</v>
      </c>
      <c r="B66" s="13" t="s">
        <v>475</v>
      </c>
      <c r="C66" s="13" t="n">
        <v>1</v>
      </c>
      <c r="D66" s="17" t="s">
        <v>36</v>
      </c>
      <c r="E66" s="13" t="s">
        <v>960</v>
      </c>
      <c r="F66" s="13" t="s">
        <v>474</v>
      </c>
    </row>
    <row r="67" customFormat="false" ht="15" hidden="false" customHeight="false" outlineLevel="0" collapsed="false">
      <c r="A67" s="13" t="s">
        <v>485</v>
      </c>
      <c r="B67" s="13" t="s">
        <v>486</v>
      </c>
      <c r="C67" s="13" t="n">
        <v>4</v>
      </c>
      <c r="D67" s="15" t="s">
        <v>34</v>
      </c>
      <c r="E67" s="13" t="s">
        <v>960</v>
      </c>
      <c r="F67" s="13" t="s">
        <v>961</v>
      </c>
    </row>
    <row r="68" customFormat="false" ht="15" hidden="false" customHeight="false" outlineLevel="0" collapsed="false">
      <c r="A68" s="13" t="s">
        <v>494</v>
      </c>
      <c r="B68" s="13" t="s">
        <v>495</v>
      </c>
      <c r="C68" s="13" t="n">
        <v>4</v>
      </c>
      <c r="D68" s="15" t="s">
        <v>34</v>
      </c>
      <c r="E68" s="13" t="s">
        <v>960</v>
      </c>
      <c r="F68" s="13" t="s">
        <v>961</v>
      </c>
    </row>
    <row r="69" customFormat="false" ht="15" hidden="false" customHeight="false" outlineLevel="0" collapsed="false">
      <c r="A69" s="13" t="s">
        <v>503</v>
      </c>
      <c r="B69" s="13" t="s">
        <v>504</v>
      </c>
      <c r="C69" s="13" t="n">
        <v>4</v>
      </c>
      <c r="D69" s="15" t="s">
        <v>34</v>
      </c>
      <c r="E69" s="13" t="s">
        <v>960</v>
      </c>
      <c r="F69" s="13" t="s">
        <v>961</v>
      </c>
    </row>
    <row r="70" customFormat="false" ht="15" hidden="false" customHeight="false" outlineLevel="0" collapsed="false">
      <c r="A70" s="13" t="s">
        <v>511</v>
      </c>
      <c r="B70" s="13" t="s">
        <v>504</v>
      </c>
      <c r="C70" s="13" t="n">
        <v>1</v>
      </c>
      <c r="D70" s="17" t="s">
        <v>36</v>
      </c>
      <c r="E70" s="13" t="s">
        <v>960</v>
      </c>
      <c r="F70" s="13" t="s">
        <v>503</v>
      </c>
    </row>
    <row r="71" customFormat="false" ht="15" hidden="false" customHeight="false" outlineLevel="0" collapsed="false">
      <c r="A71" s="13" t="s">
        <v>514</v>
      </c>
      <c r="B71" s="13" t="s">
        <v>515</v>
      </c>
      <c r="C71" s="13" t="n">
        <v>4</v>
      </c>
      <c r="D71" s="15" t="s">
        <v>34</v>
      </c>
      <c r="E71" s="13" t="s">
        <v>960</v>
      </c>
      <c r="F71" s="13" t="s">
        <v>961</v>
      </c>
    </row>
    <row r="72" customFormat="false" ht="15" hidden="false" customHeight="false" outlineLevel="0" collapsed="false">
      <c r="A72" s="13" t="s">
        <v>522</v>
      </c>
      <c r="B72" s="13" t="s">
        <v>515</v>
      </c>
      <c r="C72" s="13" t="n">
        <v>1</v>
      </c>
      <c r="D72" s="17" t="s">
        <v>36</v>
      </c>
      <c r="E72" s="13" t="s">
        <v>960</v>
      </c>
      <c r="F72" s="13" t="s">
        <v>514</v>
      </c>
    </row>
    <row r="73" customFormat="false" ht="15" hidden="false" customHeight="false" outlineLevel="0" collapsed="false">
      <c r="A73" s="13" t="s">
        <v>525</v>
      </c>
      <c r="B73" s="13" t="s">
        <v>173</v>
      </c>
      <c r="C73" s="13" t="n">
        <v>4</v>
      </c>
      <c r="D73" s="15" t="s">
        <v>34</v>
      </c>
      <c r="E73" s="13" t="s">
        <v>960</v>
      </c>
      <c r="F73" s="13" t="s">
        <v>963</v>
      </c>
    </row>
    <row r="74" customFormat="false" ht="15" hidden="false" customHeight="false" outlineLevel="0" collapsed="false">
      <c r="A74" s="13" t="s">
        <v>532</v>
      </c>
      <c r="B74" s="13" t="s">
        <v>533</v>
      </c>
      <c r="C74" s="13" t="n">
        <v>1</v>
      </c>
      <c r="D74" s="15" t="s">
        <v>34</v>
      </c>
      <c r="E74" s="13" t="s">
        <v>960</v>
      </c>
      <c r="F74" s="13" t="s">
        <v>961</v>
      </c>
    </row>
    <row r="75" customFormat="false" ht="15" hidden="false" customHeight="false" outlineLevel="0" collapsed="false">
      <c r="A75" s="13" t="s">
        <v>535</v>
      </c>
      <c r="B75" s="13" t="s">
        <v>193</v>
      </c>
      <c r="C75" s="13" t="n">
        <v>1</v>
      </c>
      <c r="D75" s="15" t="s">
        <v>34</v>
      </c>
      <c r="E75" s="13" t="s">
        <v>960</v>
      </c>
      <c r="F75" s="13" t="s">
        <v>964</v>
      </c>
    </row>
    <row r="76" customFormat="false" ht="15" hidden="false" customHeight="false" outlineLevel="0" collapsed="false">
      <c r="A76" s="13" t="s">
        <v>538</v>
      </c>
      <c r="B76" s="13" t="s">
        <v>539</v>
      </c>
      <c r="C76" s="13" t="n">
        <v>1</v>
      </c>
      <c r="D76" s="15" t="s">
        <v>34</v>
      </c>
      <c r="E76" s="13" t="s">
        <v>960</v>
      </c>
      <c r="F76" s="13" t="s">
        <v>961</v>
      </c>
    </row>
    <row r="77" customFormat="false" ht="15" hidden="false" customHeight="false" outlineLevel="0" collapsed="false">
      <c r="A77" s="13" t="s">
        <v>541</v>
      </c>
      <c r="B77" s="13" t="s">
        <v>542</v>
      </c>
      <c r="C77" s="13" t="n">
        <v>3</v>
      </c>
      <c r="D77" s="15" t="s">
        <v>34</v>
      </c>
      <c r="E77" s="13" t="s">
        <v>960</v>
      </c>
      <c r="F77" s="13" t="s">
        <v>961</v>
      </c>
    </row>
    <row r="78" customFormat="false" ht="15" hidden="false" customHeight="false" outlineLevel="0" collapsed="false">
      <c r="A78" s="13" t="s">
        <v>546</v>
      </c>
      <c r="B78" s="13" t="s">
        <v>187</v>
      </c>
      <c r="C78" s="13" t="n">
        <v>1</v>
      </c>
      <c r="D78" s="15" t="s">
        <v>34</v>
      </c>
      <c r="E78" s="13" t="s">
        <v>960</v>
      </c>
      <c r="F78" s="13" t="s">
        <v>965</v>
      </c>
    </row>
    <row r="79" customFormat="false" ht="15" hidden="false" customHeight="false" outlineLevel="0" collapsed="false">
      <c r="A79" s="13" t="s">
        <v>549</v>
      </c>
      <c r="B79" s="13" t="s">
        <v>550</v>
      </c>
      <c r="C79" s="13" t="n">
        <v>3</v>
      </c>
      <c r="D79" s="15" t="s">
        <v>34</v>
      </c>
      <c r="E79" s="13" t="s">
        <v>960</v>
      </c>
      <c r="F79" s="13" t="s">
        <v>961</v>
      </c>
    </row>
    <row r="80" customFormat="false" ht="15" hidden="false" customHeight="false" outlineLevel="0" collapsed="false">
      <c r="A80" s="13" t="s">
        <v>555</v>
      </c>
      <c r="B80" s="13" t="s">
        <v>196</v>
      </c>
      <c r="C80" s="13" t="n">
        <v>3</v>
      </c>
      <c r="D80" s="15" t="s">
        <v>34</v>
      </c>
      <c r="E80" s="13" t="s">
        <v>960</v>
      </c>
      <c r="F80" s="13" t="s">
        <v>966</v>
      </c>
    </row>
    <row r="81" customFormat="false" ht="15" hidden="false" customHeight="false" outlineLevel="0" collapsed="false">
      <c r="A81" s="13" t="s">
        <v>561</v>
      </c>
      <c r="B81" s="13" t="s">
        <v>562</v>
      </c>
      <c r="C81" s="13" t="n">
        <v>3</v>
      </c>
      <c r="D81" s="15" t="s">
        <v>34</v>
      </c>
      <c r="E81" s="13" t="s">
        <v>960</v>
      </c>
      <c r="F81" s="13" t="s">
        <v>961</v>
      </c>
    </row>
    <row r="82" customFormat="false" ht="15" hidden="false" customHeight="false" outlineLevel="0" collapsed="false">
      <c r="A82" s="13" t="s">
        <v>567</v>
      </c>
      <c r="B82" s="13" t="s">
        <v>568</v>
      </c>
      <c r="C82" s="13" t="n">
        <v>3</v>
      </c>
      <c r="D82" s="15" t="s">
        <v>34</v>
      </c>
      <c r="E82" s="13" t="s">
        <v>960</v>
      </c>
      <c r="F82" s="13" t="s">
        <v>961</v>
      </c>
    </row>
    <row r="83" customFormat="false" ht="15" hidden="false" customHeight="false" outlineLevel="0" collapsed="false">
      <c r="A83" s="13" t="s">
        <v>573</v>
      </c>
      <c r="B83" s="13" t="s">
        <v>574</v>
      </c>
      <c r="C83" s="13" t="n">
        <v>1</v>
      </c>
      <c r="D83" s="15" t="s">
        <v>34</v>
      </c>
      <c r="E83" s="13" t="s">
        <v>960</v>
      </c>
      <c r="F83" s="13" t="s">
        <v>961</v>
      </c>
    </row>
    <row r="84" customFormat="false" ht="15" hidden="false" customHeight="false" outlineLevel="0" collapsed="false">
      <c r="A84" s="13" t="s">
        <v>576</v>
      </c>
      <c r="B84" s="13" t="s">
        <v>577</v>
      </c>
      <c r="C84" s="13" t="n">
        <v>1</v>
      </c>
      <c r="D84" s="15" t="s">
        <v>34</v>
      </c>
      <c r="E84" s="13" t="s">
        <v>960</v>
      </c>
      <c r="F84" s="13" t="s">
        <v>961</v>
      </c>
    </row>
    <row r="85" customFormat="false" ht="15" hidden="false" customHeight="false" outlineLevel="0" collapsed="false">
      <c r="A85" s="13" t="s">
        <v>579</v>
      </c>
      <c r="B85" s="13" t="s">
        <v>580</v>
      </c>
      <c r="C85" s="13" t="n">
        <v>3</v>
      </c>
      <c r="D85" s="15" t="s">
        <v>34</v>
      </c>
      <c r="E85" s="13" t="s">
        <v>960</v>
      </c>
      <c r="F85" s="13" t="s">
        <v>961</v>
      </c>
    </row>
    <row r="86" customFormat="false" ht="15" hidden="false" customHeight="false" outlineLevel="0" collapsed="false">
      <c r="A86" s="13" t="s">
        <v>585</v>
      </c>
      <c r="B86" s="13" t="s">
        <v>586</v>
      </c>
      <c r="C86" s="13" t="n">
        <v>3</v>
      </c>
      <c r="D86" s="15" t="s">
        <v>34</v>
      </c>
      <c r="E86" s="13" t="s">
        <v>960</v>
      </c>
      <c r="F86" s="13" t="s">
        <v>961</v>
      </c>
    </row>
    <row r="87" customFormat="false" ht="15" hidden="false" customHeight="false" outlineLevel="0" collapsed="false">
      <c r="A87" s="13" t="s">
        <v>591</v>
      </c>
      <c r="B87" s="13" t="s">
        <v>592</v>
      </c>
      <c r="C87" s="13" t="n">
        <v>3</v>
      </c>
      <c r="D87" s="15" t="s">
        <v>34</v>
      </c>
      <c r="E87" s="13" t="s">
        <v>960</v>
      </c>
      <c r="F87" s="13" t="s">
        <v>961</v>
      </c>
    </row>
    <row r="88" customFormat="false" ht="15" hidden="false" customHeight="false" outlineLevel="0" collapsed="false">
      <c r="A88" s="13" t="s">
        <v>597</v>
      </c>
      <c r="B88" s="13" t="s">
        <v>598</v>
      </c>
      <c r="C88" s="13" t="n">
        <v>3</v>
      </c>
      <c r="D88" s="15" t="s">
        <v>34</v>
      </c>
      <c r="E88" s="13" t="s">
        <v>960</v>
      </c>
      <c r="F88" s="13" t="s">
        <v>961</v>
      </c>
    </row>
    <row r="89" customFormat="false" ht="15" hidden="false" customHeight="false" outlineLevel="0" collapsed="false">
      <c r="A89" s="13" t="s">
        <v>603</v>
      </c>
      <c r="B89" s="13" t="s">
        <v>604</v>
      </c>
      <c r="C89" s="13" t="n">
        <v>3</v>
      </c>
      <c r="D89" s="15" t="s">
        <v>34</v>
      </c>
      <c r="E89" s="13" t="s">
        <v>960</v>
      </c>
      <c r="F89" s="13" t="s">
        <v>961</v>
      </c>
    </row>
    <row r="90" customFormat="false" ht="15" hidden="false" customHeight="false" outlineLevel="0" collapsed="false">
      <c r="A90" s="13" t="s">
        <v>609</v>
      </c>
      <c r="B90" s="13" t="s">
        <v>610</v>
      </c>
      <c r="C90" s="13" t="n">
        <v>3</v>
      </c>
      <c r="D90" s="15" t="s">
        <v>34</v>
      </c>
      <c r="E90" s="13" t="s">
        <v>960</v>
      </c>
      <c r="F90" s="13" t="s">
        <v>961</v>
      </c>
    </row>
    <row r="91" customFormat="false" ht="15" hidden="false" customHeight="false" outlineLevel="0" collapsed="false">
      <c r="A91" s="13" t="s">
        <v>615</v>
      </c>
      <c r="B91" s="13" t="s">
        <v>616</v>
      </c>
      <c r="C91" s="13" t="n">
        <v>3</v>
      </c>
      <c r="D91" s="15" t="s">
        <v>34</v>
      </c>
      <c r="E91" s="13" t="s">
        <v>960</v>
      </c>
      <c r="F91" s="13" t="s">
        <v>961</v>
      </c>
    </row>
    <row r="92" customFormat="false" ht="15" hidden="false" customHeight="false" outlineLevel="0" collapsed="false">
      <c r="A92" s="13" t="s">
        <v>621</v>
      </c>
      <c r="B92" s="13" t="s">
        <v>622</v>
      </c>
      <c r="C92" s="13" t="n">
        <v>3</v>
      </c>
      <c r="D92" s="15" t="s">
        <v>34</v>
      </c>
      <c r="E92" s="13" t="s">
        <v>960</v>
      </c>
      <c r="F92" s="13" t="s">
        <v>961</v>
      </c>
    </row>
    <row r="93" customFormat="false" ht="15" hidden="false" customHeight="false" outlineLevel="0" collapsed="false">
      <c r="A93" s="13" t="s">
        <v>627</v>
      </c>
      <c r="B93" s="13" t="s">
        <v>628</v>
      </c>
      <c r="C93" s="13" t="n">
        <v>3</v>
      </c>
      <c r="D93" s="15" t="s">
        <v>34</v>
      </c>
      <c r="E93" s="13" t="s">
        <v>960</v>
      </c>
      <c r="F93" s="13" t="s">
        <v>961</v>
      </c>
    </row>
    <row r="94" customFormat="false" ht="15" hidden="false" customHeight="false" outlineLevel="0" collapsed="false">
      <c r="A94" s="13" t="s">
        <v>633</v>
      </c>
      <c r="B94" s="13" t="s">
        <v>634</v>
      </c>
      <c r="C94" s="13" t="n">
        <v>1</v>
      </c>
      <c r="D94" s="15" t="s">
        <v>34</v>
      </c>
      <c r="E94" s="13" t="s">
        <v>960</v>
      </c>
      <c r="F94" s="13" t="s">
        <v>961</v>
      </c>
    </row>
    <row r="95" customFormat="false" ht="15" hidden="false" customHeight="false" outlineLevel="0" collapsed="false">
      <c r="A95" s="13" t="s">
        <v>636</v>
      </c>
      <c r="B95" s="13" t="s">
        <v>637</v>
      </c>
      <c r="C95" s="13" t="n">
        <v>1</v>
      </c>
      <c r="D95" s="15" t="s">
        <v>34</v>
      </c>
      <c r="E95" s="13" t="s">
        <v>960</v>
      </c>
      <c r="F95" s="13" t="s">
        <v>961</v>
      </c>
    </row>
    <row r="96" customFormat="false" ht="15" hidden="false" customHeight="false" outlineLevel="0" collapsed="false">
      <c r="A96" s="13" t="s">
        <v>639</v>
      </c>
      <c r="B96" s="13" t="s">
        <v>640</v>
      </c>
      <c r="C96" s="13" t="n">
        <v>3</v>
      </c>
      <c r="D96" s="15" t="s">
        <v>34</v>
      </c>
      <c r="E96" s="13" t="s">
        <v>960</v>
      </c>
      <c r="F96" s="13" t="s">
        <v>961</v>
      </c>
    </row>
    <row r="97" customFormat="false" ht="15" hidden="false" customHeight="false" outlineLevel="0" collapsed="false">
      <c r="A97" s="13" t="s">
        <v>646</v>
      </c>
      <c r="B97" s="13" t="s">
        <v>647</v>
      </c>
      <c r="C97" s="13" t="n">
        <v>3</v>
      </c>
      <c r="D97" s="15" t="s">
        <v>34</v>
      </c>
      <c r="E97" s="13" t="s">
        <v>960</v>
      </c>
      <c r="F97" s="13" t="s">
        <v>961</v>
      </c>
    </row>
    <row r="98" customFormat="false" ht="15" hidden="false" customHeight="false" outlineLevel="0" collapsed="false">
      <c r="A98" s="13" t="s">
        <v>652</v>
      </c>
      <c r="B98" s="13" t="s">
        <v>653</v>
      </c>
      <c r="C98" s="13" t="n">
        <v>3</v>
      </c>
      <c r="D98" s="15" t="s">
        <v>34</v>
      </c>
      <c r="E98" s="13" t="s">
        <v>960</v>
      </c>
      <c r="F98" s="13" t="s">
        <v>961</v>
      </c>
    </row>
    <row r="99" customFormat="false" ht="15" hidden="false" customHeight="false" outlineLevel="0" collapsed="false">
      <c r="A99" s="13" t="s">
        <v>658</v>
      </c>
      <c r="B99" s="13" t="s">
        <v>659</v>
      </c>
      <c r="C99" s="13" t="n">
        <v>3</v>
      </c>
      <c r="D99" s="15" t="s">
        <v>34</v>
      </c>
      <c r="E99" s="13" t="s">
        <v>960</v>
      </c>
      <c r="F99" s="13" t="s">
        <v>961</v>
      </c>
    </row>
    <row r="100" customFormat="false" ht="15" hidden="false" customHeight="false" outlineLevel="0" collapsed="false">
      <c r="A100" s="13" t="s">
        <v>665</v>
      </c>
      <c r="B100" s="13" t="s">
        <v>666</v>
      </c>
      <c r="C100" s="13" t="n">
        <v>3</v>
      </c>
      <c r="D100" s="15" t="s">
        <v>34</v>
      </c>
      <c r="E100" s="13" t="s">
        <v>960</v>
      </c>
      <c r="F100" s="13" t="s">
        <v>961</v>
      </c>
    </row>
    <row r="101" customFormat="false" ht="15" hidden="false" customHeight="false" outlineLevel="0" collapsed="false">
      <c r="A101" s="13" t="s">
        <v>671</v>
      </c>
      <c r="B101" s="13" t="s">
        <v>672</v>
      </c>
      <c r="C101" s="13" t="n">
        <v>3</v>
      </c>
      <c r="D101" s="15" t="s">
        <v>34</v>
      </c>
      <c r="E101" s="13" t="s">
        <v>960</v>
      </c>
      <c r="F101" s="13" t="s">
        <v>961</v>
      </c>
    </row>
    <row r="102" customFormat="false" ht="15" hidden="false" customHeight="false" outlineLevel="0" collapsed="false">
      <c r="A102" s="13" t="s">
        <v>677</v>
      </c>
      <c r="B102" s="13" t="s">
        <v>672</v>
      </c>
      <c r="C102" s="13" t="n">
        <v>1</v>
      </c>
      <c r="D102" s="17" t="s">
        <v>36</v>
      </c>
      <c r="E102" s="13" t="s">
        <v>960</v>
      </c>
      <c r="F102" s="13" t="s">
        <v>671</v>
      </c>
    </row>
    <row r="103" customFormat="false" ht="15" hidden="false" customHeight="false" outlineLevel="0" collapsed="false">
      <c r="A103" s="13" t="s">
        <v>678</v>
      </c>
      <c r="B103" s="13" t="s">
        <v>181</v>
      </c>
      <c r="C103" s="13" t="n">
        <v>3</v>
      </c>
      <c r="D103" s="15" t="s">
        <v>34</v>
      </c>
      <c r="E103" s="13" t="s">
        <v>960</v>
      </c>
      <c r="F103" s="13" t="s">
        <v>967</v>
      </c>
    </row>
    <row r="104" customFormat="false" ht="15" hidden="false" customHeight="false" outlineLevel="0" collapsed="false">
      <c r="A104" s="13" t="s">
        <v>684</v>
      </c>
      <c r="B104" s="13" t="s">
        <v>181</v>
      </c>
      <c r="C104" s="13" t="n">
        <v>1</v>
      </c>
      <c r="D104" s="17" t="s">
        <v>36</v>
      </c>
      <c r="E104" s="13" t="s">
        <v>960</v>
      </c>
      <c r="F104" s="13" t="s">
        <v>678</v>
      </c>
    </row>
    <row r="105" customFormat="false" ht="15" hidden="false" customHeight="false" outlineLevel="0" collapsed="false">
      <c r="A105" s="13" t="s">
        <v>685</v>
      </c>
      <c r="B105" s="13" t="s">
        <v>686</v>
      </c>
      <c r="C105" s="13" t="n">
        <v>3</v>
      </c>
      <c r="D105" s="15" t="s">
        <v>34</v>
      </c>
      <c r="E105" s="13" t="s">
        <v>960</v>
      </c>
      <c r="F105" s="13" t="s">
        <v>961</v>
      </c>
    </row>
    <row r="106" customFormat="false" ht="15" hidden="false" customHeight="false" outlineLevel="0" collapsed="false">
      <c r="A106" s="13" t="s">
        <v>693</v>
      </c>
      <c r="B106" s="13" t="s">
        <v>686</v>
      </c>
      <c r="C106" s="13" t="n">
        <v>1</v>
      </c>
      <c r="D106" s="17" t="s">
        <v>36</v>
      </c>
      <c r="E106" s="13" t="s">
        <v>960</v>
      </c>
      <c r="F106" s="13" t="s">
        <v>685</v>
      </c>
    </row>
    <row r="107" customFormat="false" ht="15" hidden="false" customHeight="false" outlineLevel="0" collapsed="false">
      <c r="A107" s="13" t="s">
        <v>695</v>
      </c>
      <c r="B107" s="13" t="s">
        <v>696</v>
      </c>
      <c r="C107" s="13" t="n">
        <v>4</v>
      </c>
      <c r="D107" s="15" t="s">
        <v>34</v>
      </c>
      <c r="E107" s="13" t="s">
        <v>960</v>
      </c>
      <c r="F107" s="13" t="s">
        <v>961</v>
      </c>
    </row>
    <row r="108" customFormat="false" ht="15" hidden="false" customHeight="false" outlineLevel="0" collapsed="false">
      <c r="A108" s="13" t="s">
        <v>701</v>
      </c>
      <c r="B108" s="13" t="s">
        <v>696</v>
      </c>
      <c r="C108" s="13" t="n">
        <v>1</v>
      </c>
      <c r="D108" s="17" t="s">
        <v>36</v>
      </c>
      <c r="E108" s="13" t="s">
        <v>960</v>
      </c>
      <c r="F108" s="13" t="s">
        <v>695</v>
      </c>
    </row>
    <row r="109" customFormat="false" ht="15" hidden="false" customHeight="false" outlineLevel="0" collapsed="false">
      <c r="A109" s="13" t="s">
        <v>703</v>
      </c>
      <c r="B109" s="13" t="s">
        <v>184</v>
      </c>
      <c r="C109" s="13" t="n">
        <v>4</v>
      </c>
      <c r="D109" s="15" t="s">
        <v>34</v>
      </c>
      <c r="E109" s="13" t="s">
        <v>960</v>
      </c>
      <c r="F109" s="13" t="s">
        <v>968</v>
      </c>
    </row>
    <row r="110" customFormat="false" ht="15" hidden="false" customHeight="false" outlineLevel="0" collapsed="false">
      <c r="A110" s="13" t="s">
        <v>708</v>
      </c>
      <c r="B110" s="13" t="s">
        <v>184</v>
      </c>
      <c r="C110" s="13" t="n">
        <v>1</v>
      </c>
      <c r="D110" s="17" t="s">
        <v>36</v>
      </c>
      <c r="E110" s="13" t="s">
        <v>960</v>
      </c>
      <c r="F110" s="13" t="s">
        <v>703</v>
      </c>
    </row>
    <row r="111" customFormat="false" ht="15" hidden="false" customHeight="false" outlineLevel="0" collapsed="false">
      <c r="A111" s="13" t="s">
        <v>710</v>
      </c>
      <c r="B111" s="13" t="s">
        <v>711</v>
      </c>
      <c r="C111" s="13" t="n">
        <v>1</v>
      </c>
      <c r="D111" s="15" t="s">
        <v>34</v>
      </c>
      <c r="E111" s="13" t="s">
        <v>960</v>
      </c>
      <c r="F111" s="13" t="s">
        <v>961</v>
      </c>
    </row>
    <row r="112" customFormat="false" ht="15" hidden="false" customHeight="false" outlineLevel="0" collapsed="false">
      <c r="A112" s="13" t="s">
        <v>713</v>
      </c>
      <c r="B112" s="13" t="s">
        <v>714</v>
      </c>
      <c r="C112" s="13" t="n">
        <v>1</v>
      </c>
      <c r="D112" s="15" t="s">
        <v>34</v>
      </c>
      <c r="E112" s="13" t="s">
        <v>960</v>
      </c>
      <c r="F112" s="13" t="s">
        <v>961</v>
      </c>
    </row>
    <row r="113" customFormat="false" ht="15" hidden="false" customHeight="false" outlineLevel="0" collapsed="false">
      <c r="A113" s="13" t="s">
        <v>716</v>
      </c>
      <c r="B113" s="13" t="s">
        <v>717</v>
      </c>
      <c r="C113" s="13" t="n">
        <v>1</v>
      </c>
      <c r="D113" s="15" t="s">
        <v>34</v>
      </c>
      <c r="E113" s="13" t="s">
        <v>960</v>
      </c>
      <c r="F113" s="13" t="s">
        <v>961</v>
      </c>
    </row>
    <row r="114" customFormat="false" ht="15" hidden="false" customHeight="false" outlineLevel="0" collapsed="false">
      <c r="A114" s="13" t="s">
        <v>719</v>
      </c>
      <c r="B114" s="13" t="s">
        <v>720</v>
      </c>
      <c r="C114" s="13" t="n">
        <v>3</v>
      </c>
      <c r="D114" s="15" t="s">
        <v>34</v>
      </c>
      <c r="E114" s="13" t="s">
        <v>960</v>
      </c>
      <c r="F114" s="13" t="s">
        <v>961</v>
      </c>
    </row>
    <row r="115" customFormat="false" ht="23.85" hidden="false" customHeight="false" outlineLevel="0" collapsed="false">
      <c r="A115" s="13" t="s">
        <v>725</v>
      </c>
      <c r="B115" s="13" t="s">
        <v>726</v>
      </c>
      <c r="C115" s="13" t="n">
        <v>3</v>
      </c>
      <c r="D115" s="15" t="s">
        <v>34</v>
      </c>
      <c r="E115" s="13" t="s">
        <v>960</v>
      </c>
      <c r="F115" s="13" t="s">
        <v>961</v>
      </c>
    </row>
    <row r="116" customFormat="false" ht="15" hidden="false" customHeight="false" outlineLevel="0" collapsed="false">
      <c r="A116" s="13" t="s">
        <v>730</v>
      </c>
      <c r="B116" s="13" t="s">
        <v>731</v>
      </c>
      <c r="C116" s="13" t="n">
        <v>3</v>
      </c>
      <c r="D116" s="15" t="s">
        <v>34</v>
      </c>
      <c r="E116" s="13" t="s">
        <v>960</v>
      </c>
      <c r="F116" s="13" t="s">
        <v>961</v>
      </c>
    </row>
    <row r="117" customFormat="false" ht="15" hidden="false" customHeight="false" outlineLevel="0" collapsed="false">
      <c r="A117" s="13" t="s">
        <v>736</v>
      </c>
      <c r="B117" s="13" t="s">
        <v>737</v>
      </c>
      <c r="C117" s="13" t="n">
        <v>3</v>
      </c>
      <c r="D117" s="15" t="s">
        <v>34</v>
      </c>
      <c r="E117" s="13" t="s">
        <v>960</v>
      </c>
      <c r="F117" s="13" t="s">
        <v>961</v>
      </c>
    </row>
    <row r="118" customFormat="false" ht="15" hidden="false" customHeight="false" outlineLevel="0" collapsed="false">
      <c r="A118" s="13" t="s">
        <v>742</v>
      </c>
      <c r="B118" s="13" t="s">
        <v>743</v>
      </c>
      <c r="C118" s="13" t="n">
        <v>3</v>
      </c>
      <c r="D118" s="15" t="s">
        <v>34</v>
      </c>
      <c r="E118" s="13" t="s">
        <v>960</v>
      </c>
      <c r="F118" s="13" t="s">
        <v>961</v>
      </c>
    </row>
    <row r="119" customFormat="false" ht="15" hidden="false" customHeight="false" outlineLevel="0" collapsed="false">
      <c r="A119" s="13" t="s">
        <v>747</v>
      </c>
      <c r="B119" s="13" t="s">
        <v>748</v>
      </c>
      <c r="C119" s="13" t="n">
        <v>3</v>
      </c>
      <c r="D119" s="15" t="s">
        <v>34</v>
      </c>
      <c r="E119" s="13" t="s">
        <v>960</v>
      </c>
      <c r="F119" s="13" t="s">
        <v>961</v>
      </c>
    </row>
    <row r="120" customFormat="false" ht="15" hidden="false" customHeight="false" outlineLevel="0" collapsed="false">
      <c r="A120" s="13" t="s">
        <v>753</v>
      </c>
      <c r="B120" s="13" t="s">
        <v>754</v>
      </c>
      <c r="C120" s="13" t="n">
        <v>3</v>
      </c>
      <c r="D120" s="15" t="s">
        <v>34</v>
      </c>
      <c r="E120" s="13" t="s">
        <v>960</v>
      </c>
      <c r="F120" s="13" t="s">
        <v>961</v>
      </c>
    </row>
    <row r="121" customFormat="false" ht="15" hidden="false" customHeight="false" outlineLevel="0" collapsed="false">
      <c r="A121" s="13" t="s">
        <v>758</v>
      </c>
      <c r="B121" s="13" t="s">
        <v>759</v>
      </c>
      <c r="C121" s="13" t="n">
        <v>4</v>
      </c>
      <c r="D121" s="15" t="s">
        <v>34</v>
      </c>
      <c r="E121" s="13" t="s">
        <v>960</v>
      </c>
      <c r="F121" s="13" t="s">
        <v>961</v>
      </c>
    </row>
    <row r="122" customFormat="false" ht="15" hidden="false" customHeight="false" outlineLevel="0" collapsed="false">
      <c r="A122" s="13" t="s">
        <v>765</v>
      </c>
      <c r="B122" s="13" t="s">
        <v>766</v>
      </c>
      <c r="C122" s="13" t="n">
        <v>3</v>
      </c>
      <c r="D122" s="15" t="s">
        <v>34</v>
      </c>
      <c r="E122" s="13" t="s">
        <v>960</v>
      </c>
      <c r="F122" s="13" t="s">
        <v>961</v>
      </c>
    </row>
    <row r="123" customFormat="false" ht="15" hidden="false" customHeight="false" outlineLevel="0" collapsed="false">
      <c r="A123" s="13" t="s">
        <v>771</v>
      </c>
      <c r="B123" s="13" t="s">
        <v>772</v>
      </c>
      <c r="C123" s="13" t="n">
        <v>3</v>
      </c>
      <c r="D123" s="15" t="s">
        <v>34</v>
      </c>
      <c r="E123" s="13" t="s">
        <v>960</v>
      </c>
      <c r="F123" s="13" t="s">
        <v>961</v>
      </c>
    </row>
    <row r="124" customFormat="false" ht="15" hidden="false" customHeight="false" outlineLevel="0" collapsed="false">
      <c r="A124" s="13" t="s">
        <v>776</v>
      </c>
      <c r="B124" s="13" t="s">
        <v>777</v>
      </c>
      <c r="C124" s="13" t="n">
        <v>3</v>
      </c>
      <c r="D124" s="15" t="s">
        <v>34</v>
      </c>
      <c r="E124" s="13" t="s">
        <v>960</v>
      </c>
      <c r="F124" s="13" t="s">
        <v>961</v>
      </c>
    </row>
    <row r="125" customFormat="false" ht="15" hidden="false" customHeight="false" outlineLevel="0" collapsed="false">
      <c r="A125" s="13" t="s">
        <v>782</v>
      </c>
      <c r="B125" s="13" t="s">
        <v>783</v>
      </c>
      <c r="C125" s="13" t="n">
        <v>3</v>
      </c>
      <c r="D125" s="15" t="s">
        <v>34</v>
      </c>
      <c r="E125" s="13" t="s">
        <v>960</v>
      </c>
      <c r="F125" s="13" t="s">
        <v>961</v>
      </c>
    </row>
    <row r="126" customFormat="false" ht="15" hidden="false" customHeight="false" outlineLevel="0" collapsed="false">
      <c r="A126" s="13" t="s">
        <v>788</v>
      </c>
      <c r="B126" s="13" t="s">
        <v>789</v>
      </c>
      <c r="C126" s="13" t="n">
        <v>3</v>
      </c>
      <c r="D126" s="15" t="s">
        <v>34</v>
      </c>
      <c r="E126" s="13" t="s">
        <v>960</v>
      </c>
      <c r="F126" s="13" t="s">
        <v>961</v>
      </c>
    </row>
    <row r="127" customFormat="false" ht="15" hidden="false" customHeight="false" outlineLevel="0" collapsed="false">
      <c r="A127" s="13" t="s">
        <v>793</v>
      </c>
      <c r="B127" s="13" t="s">
        <v>794</v>
      </c>
      <c r="C127" s="13" t="n">
        <v>4</v>
      </c>
      <c r="D127" s="15" t="s">
        <v>34</v>
      </c>
      <c r="E127" s="13" t="s">
        <v>960</v>
      </c>
      <c r="F127" s="13" t="s">
        <v>961</v>
      </c>
    </row>
    <row r="128" customFormat="false" ht="15" hidden="false" customHeight="false" outlineLevel="0" collapsed="false">
      <c r="A128" s="13" t="s">
        <v>800</v>
      </c>
      <c r="B128" s="13" t="s">
        <v>801</v>
      </c>
      <c r="C128" s="13" t="n">
        <v>4</v>
      </c>
      <c r="D128" s="15" t="s">
        <v>34</v>
      </c>
      <c r="E128" s="13" t="s">
        <v>960</v>
      </c>
      <c r="F128" s="13" t="s">
        <v>961</v>
      </c>
    </row>
    <row r="129" customFormat="false" ht="15" hidden="false" customHeight="false" outlineLevel="0" collapsed="false">
      <c r="A129" s="13" t="s">
        <v>807</v>
      </c>
      <c r="B129" s="13" t="s">
        <v>365</v>
      </c>
      <c r="C129" s="13" t="n">
        <v>2</v>
      </c>
      <c r="D129" s="15" t="s">
        <v>34</v>
      </c>
      <c r="E129" s="13" t="s">
        <v>959</v>
      </c>
      <c r="F129" s="13" t="s">
        <v>811</v>
      </c>
    </row>
    <row r="130" customFormat="false" ht="15" hidden="false" customHeight="false" outlineLevel="0" collapsed="false">
      <c r="A130" s="13" t="s">
        <v>818</v>
      </c>
      <c r="B130" s="13" t="s">
        <v>383</v>
      </c>
      <c r="C130" s="13" t="n">
        <v>2</v>
      </c>
      <c r="D130" s="15" t="s">
        <v>34</v>
      </c>
      <c r="E130" s="13" t="s">
        <v>959</v>
      </c>
      <c r="F130" s="13" t="s">
        <v>811</v>
      </c>
    </row>
    <row r="131" customFormat="false" ht="15" hidden="false" customHeight="false" outlineLevel="0" collapsed="false">
      <c r="A131" s="13" t="s">
        <v>821</v>
      </c>
      <c r="B131" s="13" t="s">
        <v>389</v>
      </c>
      <c r="C131" s="13" t="n">
        <v>2</v>
      </c>
      <c r="D131" s="15" t="s">
        <v>34</v>
      </c>
      <c r="E131" s="13" t="s">
        <v>959</v>
      </c>
      <c r="F131" s="13" t="s">
        <v>811</v>
      </c>
    </row>
    <row r="132" customFormat="false" ht="15" hidden="false" customHeight="false" outlineLevel="0" collapsed="false">
      <c r="A132" s="13" t="s">
        <v>824</v>
      </c>
      <c r="B132" s="13" t="s">
        <v>395</v>
      </c>
      <c r="C132" s="13" t="n">
        <v>2</v>
      </c>
      <c r="D132" s="15" t="s">
        <v>34</v>
      </c>
      <c r="E132" s="13" t="s">
        <v>959</v>
      </c>
      <c r="F132" s="13" t="s">
        <v>811</v>
      </c>
    </row>
    <row r="133" customFormat="false" ht="15" hidden="false" customHeight="false" outlineLevel="0" collapsed="false">
      <c r="A133" s="13" t="s">
        <v>827</v>
      </c>
      <c r="B133" s="13" t="s">
        <v>401</v>
      </c>
      <c r="C133" s="13" t="n">
        <v>2</v>
      </c>
      <c r="D133" s="15" t="s">
        <v>34</v>
      </c>
      <c r="E133" s="13" t="s">
        <v>959</v>
      </c>
      <c r="F133" s="13" t="s">
        <v>811</v>
      </c>
    </row>
    <row r="134" customFormat="false" ht="15" hidden="false" customHeight="false" outlineLevel="0" collapsed="false">
      <c r="A134" s="13" t="s">
        <v>830</v>
      </c>
      <c r="B134" s="13" t="s">
        <v>413</v>
      </c>
      <c r="C134" s="13" t="n">
        <v>2</v>
      </c>
      <c r="D134" s="15" t="s">
        <v>34</v>
      </c>
      <c r="E134" s="13" t="s">
        <v>959</v>
      </c>
      <c r="F134" s="13" t="s">
        <v>811</v>
      </c>
    </row>
    <row r="135" customFormat="false" ht="15" hidden="false" customHeight="false" outlineLevel="0" collapsed="false">
      <c r="A135" s="13" t="s">
        <v>836</v>
      </c>
      <c r="B135" s="13" t="s">
        <v>425</v>
      </c>
      <c r="C135" s="13" t="n">
        <v>2</v>
      </c>
      <c r="D135" s="15" t="s">
        <v>34</v>
      </c>
      <c r="E135" s="13" t="s">
        <v>959</v>
      </c>
      <c r="F135" s="13" t="s">
        <v>811</v>
      </c>
    </row>
    <row r="136" customFormat="false" ht="15" hidden="false" customHeight="false" outlineLevel="0" collapsed="false">
      <c r="A136" s="13" t="s">
        <v>839</v>
      </c>
      <c r="B136" s="13" t="s">
        <v>432</v>
      </c>
      <c r="C136" s="13" t="n">
        <v>2</v>
      </c>
      <c r="D136" s="15" t="s">
        <v>34</v>
      </c>
      <c r="E136" s="13" t="s">
        <v>959</v>
      </c>
      <c r="F136" s="13" t="s">
        <v>811</v>
      </c>
    </row>
    <row r="137" customFormat="false" ht="15" hidden="false" customHeight="false" outlineLevel="0" collapsed="false">
      <c r="A137" s="13" t="s">
        <v>842</v>
      </c>
      <c r="B137" s="13" t="s">
        <v>441</v>
      </c>
      <c r="C137" s="13" t="n">
        <v>2</v>
      </c>
      <c r="D137" s="15" t="s">
        <v>34</v>
      </c>
      <c r="E137" s="13" t="s">
        <v>959</v>
      </c>
      <c r="F137" s="13" t="s">
        <v>811</v>
      </c>
    </row>
    <row r="138" customFormat="false" ht="15" hidden="false" customHeight="false" outlineLevel="0" collapsed="false">
      <c r="A138" s="13" t="s">
        <v>845</v>
      </c>
      <c r="B138" s="13" t="s">
        <v>448</v>
      </c>
      <c r="C138" s="13" t="n">
        <v>2</v>
      </c>
      <c r="D138" s="15" t="s">
        <v>34</v>
      </c>
      <c r="E138" s="13" t="s">
        <v>959</v>
      </c>
      <c r="F138" s="13" t="s">
        <v>811</v>
      </c>
    </row>
    <row r="139" customFormat="false" ht="15" hidden="false" customHeight="false" outlineLevel="0" collapsed="false">
      <c r="A139" s="13" t="s">
        <v>848</v>
      </c>
      <c r="B139" s="13" t="s">
        <v>457</v>
      </c>
      <c r="C139" s="13" t="n">
        <v>2</v>
      </c>
      <c r="D139" s="15" t="s">
        <v>34</v>
      </c>
      <c r="E139" s="13" t="s">
        <v>959</v>
      </c>
      <c r="F139" s="13" t="s">
        <v>811</v>
      </c>
    </row>
    <row r="140" customFormat="false" ht="15" hidden="false" customHeight="false" outlineLevel="0" collapsed="false">
      <c r="A140" s="13" t="s">
        <v>851</v>
      </c>
      <c r="B140" s="13" t="s">
        <v>466</v>
      </c>
      <c r="C140" s="13" t="n">
        <v>2</v>
      </c>
      <c r="D140" s="15" t="s">
        <v>34</v>
      </c>
      <c r="E140" s="13" t="s">
        <v>959</v>
      </c>
      <c r="F140" s="13" t="s">
        <v>811</v>
      </c>
    </row>
    <row r="141" customFormat="false" ht="15" hidden="false" customHeight="false" outlineLevel="0" collapsed="false">
      <c r="A141" s="13" t="s">
        <v>854</v>
      </c>
      <c r="B141" s="13" t="s">
        <v>475</v>
      </c>
      <c r="C141" s="13" t="n">
        <v>2</v>
      </c>
      <c r="D141" s="15" t="s">
        <v>34</v>
      </c>
      <c r="E141" s="13" t="s">
        <v>959</v>
      </c>
      <c r="F141" s="13" t="s">
        <v>811</v>
      </c>
    </row>
    <row r="142" customFormat="false" ht="15" hidden="false" customHeight="false" outlineLevel="0" collapsed="false">
      <c r="A142" s="13" t="s">
        <v>857</v>
      </c>
      <c r="B142" s="13" t="s">
        <v>495</v>
      </c>
      <c r="C142" s="13" t="n">
        <v>2</v>
      </c>
      <c r="D142" s="15" t="s">
        <v>34</v>
      </c>
      <c r="E142" s="13" t="s">
        <v>959</v>
      </c>
      <c r="F142" s="13" t="s">
        <v>811</v>
      </c>
    </row>
    <row r="143" customFormat="false" ht="15" hidden="false" customHeight="false" outlineLevel="0" collapsed="false">
      <c r="A143" s="13" t="s">
        <v>860</v>
      </c>
      <c r="B143" s="13" t="s">
        <v>504</v>
      </c>
      <c r="C143" s="13" t="n">
        <v>2</v>
      </c>
      <c r="D143" s="15" t="s">
        <v>34</v>
      </c>
      <c r="E143" s="13" t="s">
        <v>959</v>
      </c>
      <c r="F143" s="13" t="s">
        <v>811</v>
      </c>
    </row>
    <row r="144" customFormat="false" ht="15" hidden="false" customHeight="false" outlineLevel="0" collapsed="false">
      <c r="A144" s="13" t="s">
        <v>865</v>
      </c>
      <c r="B144" s="13" t="s">
        <v>515</v>
      </c>
      <c r="C144" s="13" t="n">
        <v>2</v>
      </c>
      <c r="D144" s="15" t="s">
        <v>34</v>
      </c>
      <c r="E144" s="13" t="s">
        <v>959</v>
      </c>
      <c r="F144" s="13" t="s">
        <v>811</v>
      </c>
    </row>
    <row r="145" customFormat="false" ht="15" hidden="false" customHeight="false" outlineLevel="0" collapsed="false">
      <c r="A145" s="13" t="s">
        <v>868</v>
      </c>
      <c r="B145" s="13" t="s">
        <v>173</v>
      </c>
      <c r="C145" s="13" t="n">
        <v>2</v>
      </c>
      <c r="D145" s="15" t="s">
        <v>34</v>
      </c>
      <c r="E145" s="13" t="s">
        <v>959</v>
      </c>
      <c r="F145" s="13" t="s">
        <v>811</v>
      </c>
    </row>
    <row r="146" customFormat="false" ht="15" hidden="false" customHeight="false" outlineLevel="0" collapsed="false">
      <c r="A146" s="13" t="s">
        <v>871</v>
      </c>
      <c r="B146" s="13" t="s">
        <v>872</v>
      </c>
      <c r="C146" s="13" t="n">
        <v>1</v>
      </c>
      <c r="D146" s="15" t="s">
        <v>34</v>
      </c>
      <c r="E146" s="13" t="s">
        <v>959</v>
      </c>
      <c r="F146" s="13" t="s">
        <v>969</v>
      </c>
    </row>
    <row r="147" customFormat="false" ht="15" hidden="false" customHeight="false" outlineLevel="0" collapsed="false">
      <c r="A147" s="13" t="s">
        <v>880</v>
      </c>
      <c r="B147" s="13" t="s">
        <v>783</v>
      </c>
      <c r="C147" s="13" t="n">
        <v>4</v>
      </c>
      <c r="D147" s="15" t="s">
        <v>34</v>
      </c>
      <c r="E147" s="13" t="s">
        <v>959</v>
      </c>
      <c r="F147" s="13" t="s">
        <v>970</v>
      </c>
    </row>
    <row r="148" customFormat="false" ht="15" hidden="false" customHeight="false" outlineLevel="0" collapsed="false">
      <c r="A148" s="13" t="s">
        <v>891</v>
      </c>
      <c r="B148" s="13" t="s">
        <v>801</v>
      </c>
      <c r="C148" s="13" t="n">
        <v>3</v>
      </c>
      <c r="D148" s="15" t="s">
        <v>34</v>
      </c>
      <c r="E148" s="13" t="s">
        <v>959</v>
      </c>
      <c r="F148" s="13" t="s">
        <v>971</v>
      </c>
    </row>
    <row r="149" customFormat="false" ht="15" hidden="false" customHeight="false" outlineLevel="0" collapsed="false">
      <c r="A149" s="13" t="s">
        <v>897</v>
      </c>
      <c r="B149" s="13" t="s">
        <v>777</v>
      </c>
      <c r="C149" s="13" t="n">
        <v>1</v>
      </c>
      <c r="D149" s="15" t="s">
        <v>34</v>
      </c>
      <c r="E149" s="13" t="s">
        <v>959</v>
      </c>
      <c r="F149" s="13" t="s">
        <v>970</v>
      </c>
    </row>
    <row r="150" customFormat="false" ht="15" hidden="false" customHeight="false" outlineLevel="0" collapsed="false">
      <c r="A150" s="13" t="s">
        <v>900</v>
      </c>
      <c r="B150" s="13" t="s">
        <v>901</v>
      </c>
      <c r="C150" s="13" t="n">
        <v>1</v>
      </c>
      <c r="D150" s="15" t="s">
        <v>34</v>
      </c>
      <c r="E150" s="13" t="s">
        <v>959</v>
      </c>
      <c r="F150" s="13" t="s">
        <v>905</v>
      </c>
    </row>
    <row r="151" customFormat="false" ht="15" hidden="false" customHeight="false" outlineLevel="0" collapsed="false">
      <c r="A151" s="13" t="s">
        <v>68</v>
      </c>
      <c r="B151" s="13" t="s">
        <v>909</v>
      </c>
      <c r="C151" s="13" t="n">
        <v>5</v>
      </c>
      <c r="D151" s="15" t="s">
        <v>34</v>
      </c>
      <c r="E151" s="13" t="s">
        <v>959</v>
      </c>
      <c r="F151" s="13" t="s">
        <v>972</v>
      </c>
    </row>
    <row r="152" customFormat="false" ht="15" hidden="false" customHeight="false" outlineLevel="0" collapsed="false">
      <c r="A152" s="13" t="s">
        <v>926</v>
      </c>
      <c r="B152" s="13" t="s">
        <v>927</v>
      </c>
      <c r="C152" s="13" t="n">
        <v>1</v>
      </c>
      <c r="D152" s="19" t="s">
        <v>37</v>
      </c>
      <c r="E152" s="13" t="s">
        <v>960</v>
      </c>
      <c r="F152" s="13"/>
    </row>
    <row r="153" customFormat="false" ht="15" hidden="false" customHeight="false" outlineLevel="0" collapsed="false">
      <c r="A153" s="13" t="s">
        <v>932</v>
      </c>
      <c r="B153" s="13" t="s">
        <v>539</v>
      </c>
      <c r="C153" s="13" t="n">
        <v>1</v>
      </c>
      <c r="D153" s="19" t="s">
        <v>37</v>
      </c>
      <c r="E153" s="13" t="s">
        <v>960</v>
      </c>
      <c r="F153" s="13"/>
    </row>
    <row r="154" customFormat="false" ht="15" hidden="false" customHeight="false" outlineLevel="0" collapsed="false">
      <c r="A154" s="13" t="s">
        <v>935</v>
      </c>
      <c r="B154" s="13" t="s">
        <v>936</v>
      </c>
      <c r="C154" s="13" t="n">
        <v>1</v>
      </c>
      <c r="D154" s="19" t="s">
        <v>37</v>
      </c>
      <c r="E154" s="13" t="s">
        <v>960</v>
      </c>
      <c r="F154" s="13"/>
    </row>
    <row r="155" customFormat="false" ht="15" hidden="false" customHeight="false" outlineLevel="0" collapsed="false">
      <c r="A155" s="13" t="s">
        <v>939</v>
      </c>
      <c r="B155" s="13" t="s">
        <v>940</v>
      </c>
      <c r="C155" s="13" t="n">
        <v>1</v>
      </c>
      <c r="D155" s="19" t="s">
        <v>37</v>
      </c>
      <c r="E155" s="13" t="s">
        <v>960</v>
      </c>
      <c r="F155" s="13"/>
    </row>
    <row r="156" customFormat="false" ht="15" hidden="false" customHeight="false" outlineLevel="0" collapsed="false">
      <c r="A156" s="13" t="s">
        <v>943</v>
      </c>
      <c r="B156" s="13" t="s">
        <v>940</v>
      </c>
      <c r="C156" s="13" t="n">
        <v>1</v>
      </c>
      <c r="D156" s="19" t="s">
        <v>37</v>
      </c>
      <c r="E156" s="13" t="s">
        <v>960</v>
      </c>
      <c r="F156" s="13"/>
    </row>
    <row r="157" customFormat="false" ht="15" hidden="false" customHeight="false" outlineLevel="0" collapsed="false">
      <c r="A157" s="13" t="s">
        <v>946</v>
      </c>
      <c r="B157" s="13" t="s">
        <v>947</v>
      </c>
      <c r="C157" s="13" t="n">
        <v>1</v>
      </c>
      <c r="D157" s="19" t="s">
        <v>37</v>
      </c>
      <c r="E157" s="13" t="s">
        <v>960</v>
      </c>
      <c r="F157" s="13"/>
    </row>
    <row r="158" customFormat="false" ht="15" hidden="false" customHeight="false" outlineLevel="0" collapsed="false">
      <c r="A158" s="13" t="s">
        <v>950</v>
      </c>
      <c r="B158" s="13" t="s">
        <v>951</v>
      </c>
      <c r="C158" s="13" t="n">
        <v>1</v>
      </c>
      <c r="D158" s="19" t="s">
        <v>37</v>
      </c>
      <c r="E158" s="13" t="s">
        <v>960</v>
      </c>
      <c r="F158" s="13"/>
    </row>
  </sheetData>
  <autoFilter ref="A1:F1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40"/>
  </cols>
  <sheetData>
    <row r="1" customFormat="false" ht="15" hidden="false" customHeight="false" outlineLevel="0" collapsed="false">
      <c r="A1" s="4" t="s">
        <v>973</v>
      </c>
    </row>
    <row r="3" customFormat="false" ht="15" hidden="false" customHeight="false" outlineLevel="0" collapsed="false">
      <c r="A3" s="3" t="s">
        <v>974</v>
      </c>
      <c r="B3" s="3" t="s">
        <v>975</v>
      </c>
      <c r="C3" s="3" t="s">
        <v>976</v>
      </c>
    </row>
    <row r="4" customFormat="false" ht="15" hidden="false" customHeight="false" outlineLevel="0" collapsed="false">
      <c r="A4" s="20" t="s">
        <v>977</v>
      </c>
      <c r="B4" s="21" t="n">
        <v>1.15</v>
      </c>
      <c r="C4" s="20" t="s">
        <v>63</v>
      </c>
    </row>
    <row r="5" customFormat="false" ht="15" hidden="false" customHeight="false" outlineLevel="0" collapsed="false">
      <c r="A5" s="20" t="s">
        <v>978</v>
      </c>
      <c r="B5" s="21" t="n">
        <v>0.0125</v>
      </c>
      <c r="C5" s="20" t="s">
        <v>74</v>
      </c>
    </row>
    <row r="6" customFormat="false" ht="15" hidden="false" customHeight="false" outlineLevel="0" collapsed="false">
      <c r="A6" s="20" t="s">
        <v>979</v>
      </c>
      <c r="B6" s="21" t="n">
        <v>0.15</v>
      </c>
      <c r="C6" s="20" t="s">
        <v>74</v>
      </c>
    </row>
    <row r="7" customFormat="false" ht="15" hidden="false" customHeight="false" outlineLevel="0" collapsed="false">
      <c r="A7" s="20" t="s">
        <v>980</v>
      </c>
      <c r="B7" s="21" t="n">
        <v>8</v>
      </c>
      <c r="C7" s="20" t="s">
        <v>74</v>
      </c>
    </row>
    <row r="8" customFormat="false" ht="15" hidden="false" customHeight="false" outlineLevel="0" collapsed="false">
      <c r="A8" s="20" t="s">
        <v>981</v>
      </c>
      <c r="B8" s="21" t="n">
        <v>1</v>
      </c>
      <c r="C8" s="20" t="s">
        <v>63</v>
      </c>
    </row>
    <row r="9" customFormat="false" ht="15" hidden="false" customHeight="false" outlineLevel="0" collapsed="false">
      <c r="A9" s="20" t="s">
        <v>982</v>
      </c>
      <c r="B9" s="21" t="n">
        <v>1.15</v>
      </c>
      <c r="C9" s="20" t="s">
        <v>63</v>
      </c>
    </row>
    <row r="10" customFormat="false" ht="15" hidden="false" customHeight="false" outlineLevel="0" collapsed="false">
      <c r="A10" s="20" t="s">
        <v>983</v>
      </c>
      <c r="B10" s="21" t="n">
        <v>1.25</v>
      </c>
      <c r="C10" s="20" t="s">
        <v>63</v>
      </c>
    </row>
    <row r="11" customFormat="false" ht="15" hidden="false" customHeight="false" outlineLevel="0" collapsed="false">
      <c r="A11" s="20" t="s">
        <v>984</v>
      </c>
      <c r="B11" s="21" t="n">
        <v>1.3</v>
      </c>
      <c r="C11" s="20" t="s">
        <v>63</v>
      </c>
    </row>
    <row r="12" customFormat="false" ht="15" hidden="false" customHeight="false" outlineLevel="0" collapsed="false">
      <c r="A12" s="20" t="s">
        <v>985</v>
      </c>
      <c r="B12" s="21" t="n">
        <v>4</v>
      </c>
      <c r="C12" s="20" t="s">
        <v>63</v>
      </c>
    </row>
    <row r="13" customFormat="false" ht="15" hidden="false" customHeight="false" outlineLevel="0" collapsed="false">
      <c r="A13" s="20" t="s">
        <v>986</v>
      </c>
      <c r="B13" s="21" t="n">
        <v>15</v>
      </c>
      <c r="C13" s="20" t="s">
        <v>63</v>
      </c>
    </row>
    <row r="14" customFormat="false" ht="15" hidden="false" customHeight="false" outlineLevel="0" collapsed="false">
      <c r="A14" s="20" t="s">
        <v>987</v>
      </c>
      <c r="B14" s="21" t="n">
        <v>320</v>
      </c>
      <c r="C14" s="20" t="s">
        <v>988</v>
      </c>
    </row>
    <row r="15" customFormat="false" ht="15" hidden="false" customHeight="false" outlineLevel="0" collapsed="false">
      <c r="A15" s="20" t="s">
        <v>989</v>
      </c>
      <c r="B15" s="21" t="n">
        <v>1.3</v>
      </c>
      <c r="C15" s="20" t="s">
        <v>990</v>
      </c>
    </row>
    <row r="16" customFormat="false" ht="15" hidden="false" customHeight="false" outlineLevel="0" collapsed="false">
      <c r="A16" s="20" t="s">
        <v>991</v>
      </c>
      <c r="B16" s="21" t="n">
        <v>175</v>
      </c>
      <c r="C16" s="20" t="s">
        <v>992</v>
      </c>
    </row>
    <row r="17" customFormat="false" ht="15" hidden="false" customHeight="false" outlineLevel="0" collapsed="false">
      <c r="A17" s="20" t="s">
        <v>993</v>
      </c>
      <c r="B17" s="21" t="n">
        <v>294</v>
      </c>
      <c r="C17" s="20" t="s">
        <v>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2"/>
    <col collapsed="false" customWidth="true" hidden="false" outlineLevel="0" max="4" min="4" style="0" width="10"/>
    <col collapsed="false" customWidth="true" hidden="false" outlineLevel="0" max="6" min="5" style="0" width="9"/>
    <col collapsed="false" customWidth="true" hidden="false" outlineLevel="0" max="7" min="7" style="0" width="8"/>
    <col collapsed="false" customWidth="true" hidden="false" outlineLevel="0" max="8" min="8" style="0" width="10"/>
    <col collapsed="false" customWidth="true" hidden="false" outlineLevel="0" max="11" min="9" style="0" width="12"/>
    <col collapsed="false" customWidth="true" hidden="false" outlineLevel="0" max="12" min="12" style="0" width="10"/>
    <col collapsed="false" customWidth="true" hidden="false" outlineLevel="0" max="14" min="13" style="0" width="9"/>
    <col collapsed="false" customWidth="true" hidden="false" outlineLevel="0" max="16" min="15" style="0" width="12"/>
    <col collapsed="false" customWidth="true" hidden="false" outlineLevel="0" max="17" min="17" style="0" width="9"/>
  </cols>
  <sheetData>
    <row r="1" customFormat="false" ht="46.25" hidden="false" customHeight="false" outlineLevel="0" collapsed="false">
      <c r="A1" s="22" t="s">
        <v>995</v>
      </c>
      <c r="B1" s="22" t="s">
        <v>996</v>
      </c>
      <c r="C1" s="22" t="s">
        <v>997</v>
      </c>
      <c r="D1" s="22" t="s">
        <v>998</v>
      </c>
      <c r="E1" s="22" t="s">
        <v>999</v>
      </c>
      <c r="F1" s="22" t="s">
        <v>1000</v>
      </c>
      <c r="G1" s="22" t="s">
        <v>1001</v>
      </c>
      <c r="H1" s="22" t="s">
        <v>1002</v>
      </c>
      <c r="I1" s="22" t="s">
        <v>1003</v>
      </c>
      <c r="J1" s="22" t="s">
        <v>1004</v>
      </c>
      <c r="K1" s="22" t="s">
        <v>1005</v>
      </c>
      <c r="L1" s="22" t="s">
        <v>1006</v>
      </c>
      <c r="M1" s="22" t="s">
        <v>1007</v>
      </c>
      <c r="N1" s="22" t="s">
        <v>1008</v>
      </c>
      <c r="O1" s="22" t="s">
        <v>1009</v>
      </c>
      <c r="P1" s="22" t="s">
        <v>1010</v>
      </c>
      <c r="Q1" s="22" t="s">
        <v>1011</v>
      </c>
    </row>
    <row r="2" customFormat="false" ht="15" hidden="false" customHeight="false" outlineLevel="0" collapsed="false">
      <c r="A2" s="23" t="s">
        <v>947</v>
      </c>
      <c r="B2" s="23" t="s">
        <v>1012</v>
      </c>
      <c r="C2" s="23" t="s">
        <v>1013</v>
      </c>
      <c r="D2" s="24" t="n">
        <v>0</v>
      </c>
      <c r="E2" s="23" t="n">
        <v>0</v>
      </c>
      <c r="F2" s="23" t="n">
        <f aca="false">IF(E2&lt;=4,'Hệ số'!$B$8,IF(E2&lt;=8,'Hệ số'!$B$9,IF(E2&lt;=13,'Hệ số'!$B$10,'Hệ số'!$B$11)))</f>
        <v>1</v>
      </c>
      <c r="G2" s="23" t="n">
        <f aca="false">ROUND(E2*F2,0)</f>
        <v>0</v>
      </c>
      <c r="H2" s="23" t="n">
        <v>1144</v>
      </c>
      <c r="I2" s="24" t="n">
        <v>1144</v>
      </c>
      <c r="J2" s="23" t="n">
        <f aca="false">IF(OR(E2=0,G2=E2),I2,ROUND(I2*(G2/E2)^'Hệ số'!$B$4,-1))</f>
        <v>1144</v>
      </c>
      <c r="K2" s="23"/>
      <c r="L2" s="23" t="n">
        <f aca="false">IF(K2="",J2,K2)</f>
        <v>1144</v>
      </c>
      <c r="M2" s="25" t="n">
        <f aca="false">IF(E2=0,1,G2/E2)</f>
        <v>1</v>
      </c>
      <c r="N2" s="26" t="n">
        <f aca="false">IF(E2=0,0,MIN('Hệ số'!$B$6,MAX(0,'Hệ số'!$B$5*(G2-'Hệ số'!$B$7))))</f>
        <v>0</v>
      </c>
      <c r="O2" s="25" t="n">
        <f aca="false">ROUND(IF(D2=1,M2,M2*(1+N2)),4)</f>
        <v>1</v>
      </c>
      <c r="P2" s="25" t="n">
        <f aca="false">ROUND(M2*(1+N2),4)</f>
        <v>1</v>
      </c>
      <c r="Q2" s="23" t="str">
        <f aca="false">IF(E2=0,"",IF(G2&lt;='Hệ số'!$B$12,2.5,IF(G2&gt;='Hệ số'!$B$13,5,3.5)))</f>
        <v/>
      </c>
    </row>
    <row r="3" customFormat="false" ht="15" hidden="false" customHeight="false" outlineLevel="0" collapsed="false">
      <c r="A3" s="23" t="s">
        <v>202</v>
      </c>
      <c r="B3" s="23" t="s">
        <v>1014</v>
      </c>
      <c r="C3" s="23" t="s">
        <v>1013</v>
      </c>
      <c r="D3" s="24" t="n">
        <v>0</v>
      </c>
      <c r="E3" s="23" t="n">
        <v>3</v>
      </c>
      <c r="F3" s="23" t="n">
        <f aca="false">IF(E3&lt;=4,'Hệ số'!$B$8,IF(E3&lt;=8,'Hệ số'!$B$9,IF(E3&lt;=13,'Hệ số'!$B$10,'Hệ số'!$B$11)))</f>
        <v>1</v>
      </c>
      <c r="G3" s="23" t="n">
        <f aca="false">ROUND(E3*F3,0)</f>
        <v>3</v>
      </c>
      <c r="H3" s="23" t="n">
        <v>660</v>
      </c>
      <c r="I3" s="24" t="n">
        <v>660</v>
      </c>
      <c r="J3" s="23" t="n">
        <f aca="false">IF(OR(E3=0,G3=E3),I3,ROUND(I3*(G3/E3)^'Hệ số'!$B$4,-1))</f>
        <v>660</v>
      </c>
      <c r="K3" s="23"/>
      <c r="L3" s="23" t="n">
        <f aca="false">IF(K3="",J3,K3)</f>
        <v>660</v>
      </c>
      <c r="M3" s="25" t="n">
        <f aca="false">IF(E3=0,1,G3/E3)</f>
        <v>1</v>
      </c>
      <c r="N3" s="26" t="n">
        <f aca="false">IF(E3=0,0,MIN('Hệ số'!$B$6,MAX(0,'Hệ số'!$B$5*(G3-'Hệ số'!$B$7))))</f>
        <v>0</v>
      </c>
      <c r="O3" s="25" t="n">
        <f aca="false">ROUND(IF(D3=1,M3,M3*(1+N3)),4)</f>
        <v>1</v>
      </c>
      <c r="P3" s="25" t="n">
        <f aca="false">ROUND(M3*(1+N3),4)</f>
        <v>1</v>
      </c>
      <c r="Q3" s="23" t="n">
        <f aca="false">IF(E3=0,"",IF(G3&lt;='Hệ số'!$B$12,2.5,IF(G3&gt;='Hệ số'!$B$13,5,3.5)))</f>
        <v>2.5</v>
      </c>
    </row>
    <row r="4" customFormat="false" ht="15" hidden="false" customHeight="false" outlineLevel="0" collapsed="false">
      <c r="A4" s="23" t="s">
        <v>210</v>
      </c>
      <c r="B4" s="23" t="s">
        <v>1015</v>
      </c>
      <c r="C4" s="23" t="s">
        <v>1013</v>
      </c>
      <c r="D4" s="24" t="n">
        <v>0</v>
      </c>
      <c r="E4" s="23" t="n">
        <v>4</v>
      </c>
      <c r="F4" s="23" t="n">
        <f aca="false">IF(E4&lt;=4,'Hệ số'!$B$8,IF(E4&lt;=8,'Hệ số'!$B$9,IF(E4&lt;=13,'Hệ số'!$B$10,'Hệ số'!$B$11)))</f>
        <v>1</v>
      </c>
      <c r="G4" s="23" t="n">
        <f aca="false">ROUND(E4*F4,0)</f>
        <v>4</v>
      </c>
      <c r="H4" s="23" t="n">
        <v>900</v>
      </c>
      <c r="I4" s="24" t="n">
        <v>900</v>
      </c>
      <c r="J4" s="23" t="n">
        <f aca="false">IF(OR(E4=0,G4=E4),I4,ROUND(I4*(G4/E4)^'Hệ số'!$B$4,-1))</f>
        <v>900</v>
      </c>
      <c r="K4" s="23"/>
      <c r="L4" s="23" t="n">
        <f aca="false">IF(K4="",J4,K4)</f>
        <v>900</v>
      </c>
      <c r="M4" s="25" t="n">
        <f aca="false">IF(E4=0,1,G4/E4)</f>
        <v>1</v>
      </c>
      <c r="N4" s="26" t="n">
        <f aca="false">IF(E4=0,0,MIN('Hệ số'!$B$6,MAX(0,'Hệ số'!$B$5*(G4-'Hệ số'!$B$7))))</f>
        <v>0</v>
      </c>
      <c r="O4" s="25" t="n">
        <f aca="false">ROUND(IF(D4=1,M4,M4*(1+N4)),4)</f>
        <v>1</v>
      </c>
      <c r="P4" s="25" t="n">
        <f aca="false">ROUND(M4*(1+N4),4)</f>
        <v>1</v>
      </c>
      <c r="Q4" s="23" t="n">
        <f aca="false">IF(E4=0,"",IF(G4&lt;='Hệ số'!$B$12,2.5,IF(G4&gt;='Hệ số'!$B$13,5,3.5)))</f>
        <v>2.5</v>
      </c>
    </row>
    <row r="5" customFormat="false" ht="15" hidden="false" customHeight="false" outlineLevel="0" collapsed="false">
      <c r="A5" s="23" t="s">
        <v>213</v>
      </c>
      <c r="B5" s="23" t="s">
        <v>1016</v>
      </c>
      <c r="C5" s="23" t="s">
        <v>1013</v>
      </c>
      <c r="D5" s="24" t="n">
        <v>0</v>
      </c>
      <c r="E5" s="23" t="n">
        <v>5</v>
      </c>
      <c r="F5" s="23" t="n">
        <f aca="false">IF(E5&lt;=4,'Hệ số'!$B$8,IF(E5&lt;=8,'Hệ số'!$B$9,IF(E5&lt;=13,'Hệ số'!$B$10,'Hệ số'!$B$11)))</f>
        <v>1.15</v>
      </c>
      <c r="G5" s="23" t="n">
        <f aca="false">ROUND(E5*F5,0)</f>
        <v>6</v>
      </c>
      <c r="H5" s="23" t="n">
        <v>801</v>
      </c>
      <c r="I5" s="24" t="n">
        <v>801</v>
      </c>
      <c r="J5" s="23" t="n">
        <f aca="false">IF(OR(E5=0,G5=E5),I5,ROUND(I5*(G5/E5)^'Hệ số'!$B$4,-1))</f>
        <v>990</v>
      </c>
      <c r="K5" s="23"/>
      <c r="L5" s="23" t="n">
        <f aca="false">IF(K5="",J5,K5)</f>
        <v>990</v>
      </c>
      <c r="M5" s="25" t="n">
        <f aca="false">IF(E5=0,1,G5/E5)</f>
        <v>1.2</v>
      </c>
      <c r="N5" s="26" t="n">
        <f aca="false">IF(E5=0,0,MIN('Hệ số'!$B$6,MAX(0,'Hệ số'!$B$5*(G5-'Hệ số'!$B$7))))</f>
        <v>0</v>
      </c>
      <c r="O5" s="25" t="n">
        <f aca="false">ROUND(IF(D5=1,M5,M5*(1+N5)),4)</f>
        <v>1.2</v>
      </c>
      <c r="P5" s="25" t="n">
        <f aca="false">ROUND(M5*(1+N5),4)</f>
        <v>1.2</v>
      </c>
      <c r="Q5" s="23" t="n">
        <f aca="false">IF(E5=0,"",IF(G5&lt;='Hệ số'!$B$12,2.5,IF(G5&gt;='Hệ số'!$B$13,5,3.5)))</f>
        <v>3.5</v>
      </c>
    </row>
    <row r="6" customFormat="false" ht="15" hidden="false" customHeight="false" outlineLevel="0" collapsed="false">
      <c r="A6" s="23" t="s">
        <v>231</v>
      </c>
      <c r="B6" s="23" t="s">
        <v>1017</v>
      </c>
      <c r="C6" s="23" t="s">
        <v>1013</v>
      </c>
      <c r="D6" s="24" t="n">
        <v>0</v>
      </c>
      <c r="E6" s="23" t="n">
        <v>6</v>
      </c>
      <c r="F6" s="23" t="n">
        <f aca="false">IF(E6&lt;=4,'Hệ số'!$B$8,IF(E6&lt;=8,'Hệ số'!$B$9,IF(E6&lt;=13,'Hệ số'!$B$10,'Hệ số'!$B$11)))</f>
        <v>1.15</v>
      </c>
      <c r="G6" s="23" t="n">
        <f aca="false">ROUND(E6*F6,0)</f>
        <v>7</v>
      </c>
      <c r="H6" s="23" t="n">
        <v>1100</v>
      </c>
      <c r="I6" s="24" t="n">
        <v>1100</v>
      </c>
      <c r="J6" s="23" t="n">
        <f aca="false">IF(OR(E6=0,G6=E6),I6,ROUND(I6*(G6/E6)^'Hệ số'!$B$4,-1))</f>
        <v>1310</v>
      </c>
      <c r="K6" s="23"/>
      <c r="L6" s="23" t="n">
        <f aca="false">IF(K6="",J6,K6)</f>
        <v>1310</v>
      </c>
      <c r="M6" s="25" t="n">
        <f aca="false">IF(E6=0,1,G6/E6)</f>
        <v>1.16666666666667</v>
      </c>
      <c r="N6" s="26" t="n">
        <f aca="false">IF(E6=0,0,MIN('Hệ số'!$B$6,MAX(0,'Hệ số'!$B$5*(G6-'Hệ số'!$B$7))))</f>
        <v>0</v>
      </c>
      <c r="O6" s="25" t="n">
        <f aca="false">ROUND(IF(D6=1,M6,M6*(1+N6)),4)</f>
        <v>1.1667</v>
      </c>
      <c r="P6" s="25" t="n">
        <f aca="false">ROUND(M6*(1+N6),4)</f>
        <v>1.1667</v>
      </c>
      <c r="Q6" s="23" t="n">
        <f aca="false">IF(E6=0,"",IF(G6&lt;='Hệ số'!$B$12,2.5,IF(G6&gt;='Hệ số'!$B$13,5,3.5)))</f>
        <v>3.5</v>
      </c>
    </row>
    <row r="7" customFormat="false" ht="15" hidden="false" customHeight="false" outlineLevel="0" collapsed="false">
      <c r="A7" s="23" t="s">
        <v>239</v>
      </c>
      <c r="B7" s="23" t="s">
        <v>1018</v>
      </c>
      <c r="C7" s="23" t="s">
        <v>1013</v>
      </c>
      <c r="D7" s="24" t="n">
        <v>0</v>
      </c>
      <c r="E7" s="23" t="n">
        <v>6</v>
      </c>
      <c r="F7" s="23" t="n">
        <f aca="false">IF(E7&lt;=4,'Hệ số'!$B$8,IF(E7&lt;=8,'Hệ số'!$B$9,IF(E7&lt;=13,'Hệ số'!$B$10,'Hệ số'!$B$11)))</f>
        <v>1.15</v>
      </c>
      <c r="G7" s="23" t="n">
        <f aca="false">ROUND(E7*F7,0)</f>
        <v>7</v>
      </c>
      <c r="H7" s="23" t="n">
        <v>1199</v>
      </c>
      <c r="I7" s="24" t="n">
        <v>1199</v>
      </c>
      <c r="J7" s="23" t="n">
        <f aca="false">IF(OR(E7=0,G7=E7),I7,ROUND(I7*(G7/E7)^'Hệ số'!$B$4,-1))</f>
        <v>1430</v>
      </c>
      <c r="K7" s="23"/>
      <c r="L7" s="23" t="n">
        <f aca="false">IF(K7="",J7,K7)</f>
        <v>1430</v>
      </c>
      <c r="M7" s="25" t="n">
        <f aca="false">IF(E7=0,1,G7/E7)</f>
        <v>1.16666666666667</v>
      </c>
      <c r="N7" s="26" t="n">
        <f aca="false">IF(E7=0,0,MIN('Hệ số'!$B$6,MAX(0,'Hệ số'!$B$5*(G7-'Hệ số'!$B$7))))</f>
        <v>0</v>
      </c>
      <c r="O7" s="25" t="n">
        <f aca="false">ROUND(IF(D7=1,M7,M7*(1+N7)),4)</f>
        <v>1.1667</v>
      </c>
      <c r="P7" s="25" t="n">
        <f aca="false">ROUND(M7*(1+N7),4)</f>
        <v>1.1667</v>
      </c>
      <c r="Q7" s="23" t="n">
        <f aca="false">IF(E7=0,"",IF(G7&lt;='Hệ số'!$B$12,2.5,IF(G7&gt;='Hệ số'!$B$13,5,3.5)))</f>
        <v>3.5</v>
      </c>
    </row>
    <row r="8" customFormat="false" ht="15" hidden="false" customHeight="false" outlineLevel="0" collapsed="false">
      <c r="A8" s="23" t="s">
        <v>245</v>
      </c>
      <c r="B8" s="23" t="s">
        <v>1019</v>
      </c>
      <c r="C8" s="23" t="s">
        <v>1013</v>
      </c>
      <c r="D8" s="24" t="n">
        <v>0</v>
      </c>
      <c r="E8" s="23" t="n">
        <v>6</v>
      </c>
      <c r="F8" s="23" t="n">
        <f aca="false">IF(E8&lt;=4,'Hệ số'!$B$8,IF(E8&lt;=8,'Hệ số'!$B$9,IF(E8&lt;=13,'Hệ số'!$B$10,'Hệ số'!$B$11)))</f>
        <v>1.15</v>
      </c>
      <c r="G8" s="23" t="n">
        <f aca="false">ROUND(E8*F8,0)</f>
        <v>7</v>
      </c>
      <c r="H8" s="23" t="n">
        <v>1144</v>
      </c>
      <c r="I8" s="24" t="n">
        <v>1144</v>
      </c>
      <c r="J8" s="23" t="n">
        <f aca="false">IF(OR(E8=0,G8=E8),I8,ROUND(I8*(G8/E8)^'Hệ số'!$B$4,-1))</f>
        <v>1370</v>
      </c>
      <c r="K8" s="23"/>
      <c r="L8" s="23" t="n">
        <f aca="false">IF(K8="",J8,K8)</f>
        <v>1370</v>
      </c>
      <c r="M8" s="25" t="n">
        <f aca="false">IF(E8=0,1,G8/E8)</f>
        <v>1.16666666666667</v>
      </c>
      <c r="N8" s="26" t="n">
        <f aca="false">IF(E8=0,0,MIN('Hệ số'!$B$6,MAX(0,'Hệ số'!$B$5*(G8-'Hệ số'!$B$7))))</f>
        <v>0</v>
      </c>
      <c r="O8" s="25" t="n">
        <f aca="false">ROUND(IF(D8=1,M8,M8*(1+N8)),4)</f>
        <v>1.1667</v>
      </c>
      <c r="P8" s="25" t="n">
        <f aca="false">ROUND(M8*(1+N8),4)</f>
        <v>1.1667</v>
      </c>
      <c r="Q8" s="23" t="n">
        <f aca="false">IF(E8=0,"",IF(G8&lt;='Hệ số'!$B$12,2.5,IF(G8&gt;='Hệ số'!$B$13,5,3.5)))</f>
        <v>3.5</v>
      </c>
    </row>
    <row r="9" customFormat="false" ht="15" hidden="false" customHeight="false" outlineLevel="0" collapsed="false">
      <c r="A9" s="23" t="s">
        <v>251</v>
      </c>
      <c r="B9" s="23" t="s">
        <v>1020</v>
      </c>
      <c r="C9" s="23" t="s">
        <v>1013</v>
      </c>
      <c r="D9" s="24" t="n">
        <v>1</v>
      </c>
      <c r="E9" s="23" t="n">
        <v>8</v>
      </c>
      <c r="F9" s="23" t="n">
        <f aca="false">IF(E9&lt;=4,'Hệ số'!$B$8,IF(E9&lt;=8,'Hệ số'!$B$9,IF(E9&lt;=13,'Hệ số'!$B$10,'Hệ số'!$B$11)))</f>
        <v>1.15</v>
      </c>
      <c r="G9" s="23" t="n">
        <f aca="false">ROUND(E9*F9,0)</f>
        <v>9</v>
      </c>
      <c r="H9" s="23" t="n">
        <v>1599</v>
      </c>
      <c r="I9" s="24" t="n">
        <v>1599</v>
      </c>
      <c r="J9" s="23" t="n">
        <f aca="false">IF(OR(E9=0,G9=E9),I9,ROUND(I9*(G9/E9)^'Hệ số'!$B$4,-1))</f>
        <v>1830</v>
      </c>
      <c r="K9" s="23"/>
      <c r="L9" s="23" t="n">
        <f aca="false">IF(K9="",J9,K9)</f>
        <v>1830</v>
      </c>
      <c r="M9" s="25" t="n">
        <f aca="false">IF(E9=0,1,G9/E9)</f>
        <v>1.125</v>
      </c>
      <c r="N9" s="26" t="n">
        <f aca="false">IF(E9=0,0,MIN('Hệ số'!$B$6,MAX(0,'Hệ số'!$B$5*(G9-'Hệ số'!$B$7))))</f>
        <v>0.0125</v>
      </c>
      <c r="O9" s="25" t="n">
        <f aca="false">ROUND(IF(D9=1,M9,M9*(1+N9)),4)</f>
        <v>1.125</v>
      </c>
      <c r="P9" s="25" t="n">
        <f aca="false">ROUND(M9*(1+N9),4)</f>
        <v>1.1391</v>
      </c>
      <c r="Q9" s="23" t="n">
        <f aca="false">IF(E9=0,"",IF(G9&lt;='Hệ số'!$B$12,2.5,IF(G9&gt;='Hệ số'!$B$13,5,3.5)))</f>
        <v>3.5</v>
      </c>
    </row>
    <row r="10" customFormat="false" ht="15" hidden="false" customHeight="false" outlineLevel="0" collapsed="false">
      <c r="A10" s="23" t="s">
        <v>264</v>
      </c>
      <c r="B10" s="23" t="s">
        <v>1021</v>
      </c>
      <c r="C10" s="23" t="s">
        <v>1013</v>
      </c>
      <c r="D10" s="24" t="n">
        <v>0</v>
      </c>
      <c r="E10" s="23" t="n">
        <v>9</v>
      </c>
      <c r="F10" s="23" t="n">
        <f aca="false">IF(E10&lt;=4,'Hệ số'!$B$8,IF(E10&lt;=8,'Hệ số'!$B$9,IF(E10&lt;=13,'Hệ số'!$B$10,'Hệ số'!$B$11)))</f>
        <v>1.25</v>
      </c>
      <c r="G10" s="23" t="n">
        <f aca="false">ROUND(E10*F10,0)</f>
        <v>11</v>
      </c>
      <c r="H10" s="23" t="n">
        <v>2499</v>
      </c>
      <c r="I10" s="24" t="n">
        <v>2499</v>
      </c>
      <c r="J10" s="23" t="n">
        <f aca="false">IF(OR(E10=0,G10=E10),I10,ROUND(I10*(G10/E10)^'Hệ số'!$B$4,-1))</f>
        <v>3150</v>
      </c>
      <c r="K10" s="23"/>
      <c r="L10" s="23" t="n">
        <f aca="false">IF(K10="",J10,K10)</f>
        <v>3150</v>
      </c>
      <c r="M10" s="25" t="n">
        <f aca="false">IF(E10=0,1,G10/E10)</f>
        <v>1.22222222222222</v>
      </c>
      <c r="N10" s="26" t="n">
        <f aca="false">IF(E10=0,0,MIN('Hệ số'!$B$6,MAX(0,'Hệ số'!$B$5*(G10-'Hệ số'!$B$7))))</f>
        <v>0.0375</v>
      </c>
      <c r="O10" s="25" t="n">
        <f aca="false">ROUND(IF(D10=1,M10,M10*(1+N10)),4)</f>
        <v>1.2681</v>
      </c>
      <c r="P10" s="25" t="n">
        <f aca="false">ROUND(M10*(1+N10),4)</f>
        <v>1.2681</v>
      </c>
      <c r="Q10" s="23" t="n">
        <f aca="false">IF(E10=0,"",IF(G10&lt;='Hệ số'!$B$12,2.5,IF(G10&gt;='Hệ số'!$B$13,5,3.5)))</f>
        <v>3.5</v>
      </c>
    </row>
    <row r="11" customFormat="false" ht="15" hidden="false" customHeight="false" outlineLevel="0" collapsed="false">
      <c r="A11" s="23" t="s">
        <v>272</v>
      </c>
      <c r="B11" s="23" t="s">
        <v>1022</v>
      </c>
      <c r="C11" s="23" t="s">
        <v>1013</v>
      </c>
      <c r="D11" s="24" t="n">
        <v>1</v>
      </c>
      <c r="E11" s="23" t="n">
        <v>10</v>
      </c>
      <c r="F11" s="23" t="n">
        <f aca="false">IF(E11&lt;=4,'Hệ số'!$B$8,IF(E11&lt;=8,'Hệ số'!$B$9,IF(E11&lt;=13,'Hệ số'!$B$10,'Hệ số'!$B$11)))</f>
        <v>1.25</v>
      </c>
      <c r="G11" s="23" t="n">
        <f aca="false">ROUND(E11*F11,0)</f>
        <v>13</v>
      </c>
      <c r="H11" s="23" t="n">
        <v>900</v>
      </c>
      <c r="I11" s="24" t="n">
        <v>900</v>
      </c>
      <c r="J11" s="23" t="n">
        <f aca="false">IF(OR(E11=0,G11=E11),I11,ROUND(I11*(G11/E11)^'Hệ số'!$B$4,-1))</f>
        <v>1220</v>
      </c>
      <c r="K11" s="23"/>
      <c r="L11" s="23" t="n">
        <f aca="false">IF(K11="",J11,K11)</f>
        <v>1220</v>
      </c>
      <c r="M11" s="25" t="n">
        <f aca="false">IF(E11=0,1,G11/E11)</f>
        <v>1.3</v>
      </c>
      <c r="N11" s="26" t="n">
        <f aca="false">IF(E11=0,0,MIN('Hệ số'!$B$6,MAX(0,'Hệ số'!$B$5*(G11-'Hệ số'!$B$7))))</f>
        <v>0.0625</v>
      </c>
      <c r="O11" s="25" t="n">
        <f aca="false">ROUND(IF(D11=1,M11,M11*(1+N11)),4)</f>
        <v>1.3</v>
      </c>
      <c r="P11" s="25" t="n">
        <f aca="false">ROUND(M11*(1+N11),4)</f>
        <v>1.3813</v>
      </c>
      <c r="Q11" s="23" t="n">
        <f aca="false">IF(E11=0,"",IF(G11&lt;='Hệ số'!$B$12,2.5,IF(G11&gt;='Hệ số'!$B$13,5,3.5)))</f>
        <v>3.5</v>
      </c>
    </row>
    <row r="12" customFormat="false" ht="15" hidden="false" customHeight="false" outlineLevel="0" collapsed="false">
      <c r="A12" s="23" t="s">
        <v>282</v>
      </c>
      <c r="B12" s="23" t="s">
        <v>1023</v>
      </c>
      <c r="C12" s="23" t="s">
        <v>1013</v>
      </c>
      <c r="D12" s="24" t="n">
        <v>1</v>
      </c>
      <c r="E12" s="23" t="n">
        <v>12</v>
      </c>
      <c r="F12" s="23" t="n">
        <f aca="false">IF(E12&lt;=4,'Hệ số'!$B$8,IF(E12&lt;=8,'Hệ số'!$B$9,IF(E12&lt;=13,'Hệ số'!$B$10,'Hệ số'!$B$11)))</f>
        <v>1.25</v>
      </c>
      <c r="G12" s="23" t="n">
        <f aca="false">ROUND(E12*F12,0)</f>
        <v>15</v>
      </c>
      <c r="H12" s="23" t="n">
        <v>1001</v>
      </c>
      <c r="I12" s="24" t="n">
        <v>1001</v>
      </c>
      <c r="J12" s="23" t="n">
        <f aca="false">IF(OR(E12=0,G12=E12),I12,ROUND(I12*(G12/E12)^'Hệ số'!$B$4,-1))</f>
        <v>1290</v>
      </c>
      <c r="K12" s="23"/>
      <c r="L12" s="23" t="n">
        <f aca="false">IF(K12="",J12,K12)</f>
        <v>1290</v>
      </c>
      <c r="M12" s="25" t="n">
        <f aca="false">IF(E12=0,1,G12/E12)</f>
        <v>1.25</v>
      </c>
      <c r="N12" s="26" t="n">
        <f aca="false">IF(E12=0,0,MIN('Hệ số'!$B$6,MAX(0,'Hệ số'!$B$5*(G12-'Hệ số'!$B$7))))</f>
        <v>0.0875</v>
      </c>
      <c r="O12" s="25" t="n">
        <f aca="false">ROUND(IF(D12=1,M12,M12*(1+N12)),4)</f>
        <v>1.25</v>
      </c>
      <c r="P12" s="25" t="n">
        <f aca="false">ROUND(M12*(1+N12),4)</f>
        <v>1.3594</v>
      </c>
      <c r="Q12" s="23" t="n">
        <f aca="false">IF(E12=0,"",IF(G12&lt;='Hệ số'!$B$12,2.5,IF(G12&gt;='Hệ số'!$B$13,5,3.5)))</f>
        <v>5</v>
      </c>
    </row>
    <row r="13" customFormat="false" ht="15" hidden="false" customHeight="false" outlineLevel="0" collapsed="false">
      <c r="A13" s="23" t="s">
        <v>1024</v>
      </c>
      <c r="B13" s="23" t="s">
        <v>1025</v>
      </c>
      <c r="C13" s="23" t="s">
        <v>1026</v>
      </c>
      <c r="D13" s="24" t="n">
        <v>0</v>
      </c>
      <c r="E13" s="23" t="n">
        <v>0</v>
      </c>
      <c r="F13" s="23" t="n">
        <f aca="false">IF(E13&lt;=4,'Hệ số'!$B$8,IF(E13&lt;=8,'Hệ số'!$B$9,IF(E13&lt;=13,'Hệ số'!$B$10,'Hệ số'!$B$11)))</f>
        <v>1</v>
      </c>
      <c r="G13" s="23" t="n">
        <f aca="false">ROUND(E13*F13,0)</f>
        <v>0</v>
      </c>
      <c r="H13" s="23" t="n">
        <v>1540</v>
      </c>
      <c r="I13" s="24" t="n">
        <v>1540</v>
      </c>
      <c r="J13" s="23" t="n">
        <f aca="false">IF(OR(E13=0,G13=E13),I13,ROUND(I13*(G13/E13)^'Hệ số'!$B$4,-1))</f>
        <v>1540</v>
      </c>
      <c r="K13" s="23"/>
      <c r="L13" s="23" t="n">
        <f aca="false">IF(K13="",J13,K13)</f>
        <v>1540</v>
      </c>
      <c r="M13" s="25" t="n">
        <f aca="false">IF(E13=0,1,G13/E13)</f>
        <v>1</v>
      </c>
      <c r="N13" s="26" t="n">
        <f aca="false">IF(E13=0,0,MIN('Hệ số'!$B$6,MAX(0,'Hệ số'!$B$5*(G13-'Hệ số'!$B$7))))</f>
        <v>0</v>
      </c>
      <c r="O13" s="25" t="n">
        <f aca="false">ROUND(IF(D13=1,M13,M13*(1+N13)),4)</f>
        <v>1</v>
      </c>
      <c r="P13" s="25" t="n">
        <f aca="false">ROUND(M13*(1+N13),4)</f>
        <v>1</v>
      </c>
      <c r="Q13" s="23" t="str">
        <f aca="false">IF(E13=0,"",IF(G13&lt;='Hệ số'!$B$12,2.5,IF(G13&gt;='Hệ số'!$B$13,5,3.5)))</f>
        <v/>
      </c>
    </row>
    <row r="14" customFormat="false" ht="15" hidden="false" customHeight="false" outlineLevel="0" collapsed="false">
      <c r="A14" s="23" t="s">
        <v>199</v>
      </c>
      <c r="B14" s="23" t="s">
        <v>1027</v>
      </c>
      <c r="C14" s="23" t="s">
        <v>1026</v>
      </c>
      <c r="D14" s="24" t="n">
        <v>0</v>
      </c>
      <c r="E14" s="23" t="n">
        <v>3</v>
      </c>
      <c r="F14" s="23" t="n">
        <f aca="false">IF(E14&lt;=4,'Hệ số'!$B$8,IF(E14&lt;=8,'Hệ số'!$B$9,IF(E14&lt;=13,'Hệ số'!$B$10,'Hệ số'!$B$11)))</f>
        <v>1</v>
      </c>
      <c r="G14" s="23" t="n">
        <f aca="false">ROUND(E14*F14,0)</f>
        <v>3</v>
      </c>
      <c r="H14" s="23" t="n">
        <v>1760</v>
      </c>
      <c r="I14" s="24" t="n">
        <v>1760</v>
      </c>
      <c r="J14" s="23" t="n">
        <f aca="false">IF(OR(E14=0,G14=E14),I14,ROUND(I14*(G14/E14)^'Hệ số'!$B$4,-1))</f>
        <v>1760</v>
      </c>
      <c r="K14" s="23"/>
      <c r="L14" s="23" t="n">
        <f aca="false">IF(K14="",J14,K14)</f>
        <v>1760</v>
      </c>
      <c r="M14" s="25" t="n">
        <f aca="false">IF(E14=0,1,G14/E14)</f>
        <v>1</v>
      </c>
      <c r="N14" s="26" t="n">
        <f aca="false">IF(E14=0,0,MIN('Hệ số'!$B$6,MAX(0,'Hệ số'!$B$5*(G14-'Hệ số'!$B$7))))</f>
        <v>0</v>
      </c>
      <c r="O14" s="25" t="n">
        <f aca="false">ROUND(IF(D14=1,M14,M14*(1+N14)),4)</f>
        <v>1</v>
      </c>
      <c r="P14" s="25" t="n">
        <f aca="false">ROUND(M14*(1+N14),4)</f>
        <v>1</v>
      </c>
      <c r="Q14" s="23" t="n">
        <f aca="false">IF(E14=0,"",IF(G14&lt;='Hệ số'!$B$12,2.5,IF(G14&gt;='Hệ số'!$B$13,5,3.5)))</f>
        <v>2.5</v>
      </c>
    </row>
    <row r="15" customFormat="false" ht="15" hidden="false" customHeight="false" outlineLevel="0" collapsed="false">
      <c r="A15" s="23" t="s">
        <v>296</v>
      </c>
      <c r="B15" s="23" t="s">
        <v>1028</v>
      </c>
      <c r="C15" s="23" t="s">
        <v>1026</v>
      </c>
      <c r="D15" s="24" t="n">
        <v>0</v>
      </c>
      <c r="E15" s="23" t="n">
        <v>3</v>
      </c>
      <c r="F15" s="23" t="n">
        <f aca="false">IF(E15&lt;=4,'Hệ số'!$B$8,IF(E15&lt;=8,'Hệ số'!$B$9,IF(E15&lt;=13,'Hệ số'!$B$10,'Hệ số'!$B$11)))</f>
        <v>1</v>
      </c>
      <c r="G15" s="23" t="n">
        <f aca="false">ROUND(E15*F15,0)</f>
        <v>3</v>
      </c>
      <c r="H15" s="23" t="n">
        <v>880</v>
      </c>
      <c r="I15" s="24" t="n">
        <v>880</v>
      </c>
      <c r="J15" s="23" t="n">
        <f aca="false">IF(OR(E15=0,G15=E15),I15,ROUND(I15*(G15/E15)^'Hệ số'!$B$4,-1))</f>
        <v>880</v>
      </c>
      <c r="K15" s="23"/>
      <c r="L15" s="23" t="n">
        <f aca="false">IF(K15="",J15,K15)</f>
        <v>880</v>
      </c>
      <c r="M15" s="25" t="n">
        <f aca="false">IF(E15=0,1,G15/E15)</f>
        <v>1</v>
      </c>
      <c r="N15" s="26" t="n">
        <f aca="false">IF(E15=0,0,MIN('Hệ số'!$B$6,MAX(0,'Hệ số'!$B$5*(G15-'Hệ số'!$B$7))))</f>
        <v>0</v>
      </c>
      <c r="O15" s="25" t="n">
        <f aca="false">ROUND(IF(D15=1,M15,M15*(1+N15)),4)</f>
        <v>1</v>
      </c>
      <c r="P15" s="25" t="n">
        <f aca="false">ROUND(M15*(1+N15),4)</f>
        <v>1</v>
      </c>
      <c r="Q15" s="23" t="n">
        <f aca="false">IF(E15=0,"",IF(G15&lt;='Hệ số'!$B$12,2.5,IF(G15&gt;='Hệ số'!$B$13,5,3.5)))</f>
        <v>2.5</v>
      </c>
    </row>
    <row r="16" customFormat="false" ht="15" hidden="false" customHeight="false" outlineLevel="0" collapsed="false">
      <c r="A16" s="23" t="s">
        <v>299</v>
      </c>
      <c r="B16" s="23" t="s">
        <v>1029</v>
      </c>
      <c r="C16" s="23" t="s">
        <v>1026</v>
      </c>
      <c r="D16" s="24" t="n">
        <v>0</v>
      </c>
      <c r="E16" s="23" t="n">
        <v>4</v>
      </c>
      <c r="F16" s="23" t="n">
        <f aca="false">IF(E16&lt;=4,'Hệ số'!$B$8,IF(E16&lt;=8,'Hệ số'!$B$9,IF(E16&lt;=13,'Hệ số'!$B$10,'Hệ số'!$B$11)))</f>
        <v>1</v>
      </c>
      <c r="G16" s="23" t="n">
        <f aca="false">ROUND(E16*F16,0)</f>
        <v>4</v>
      </c>
      <c r="H16" s="23" t="n">
        <v>1144</v>
      </c>
      <c r="I16" s="24" t="n">
        <v>1144</v>
      </c>
      <c r="J16" s="23" t="n">
        <f aca="false">IF(OR(E16=0,G16=E16),I16,ROUND(I16*(G16/E16)^'Hệ số'!$B$4,-1))</f>
        <v>1144</v>
      </c>
      <c r="K16" s="23"/>
      <c r="L16" s="23" t="n">
        <f aca="false">IF(K16="",J16,K16)</f>
        <v>1144</v>
      </c>
      <c r="M16" s="25" t="n">
        <f aca="false">IF(E16=0,1,G16/E16)</f>
        <v>1</v>
      </c>
      <c r="N16" s="26" t="n">
        <f aca="false">IF(E16=0,0,MIN('Hệ số'!$B$6,MAX(0,'Hệ số'!$B$5*(G16-'Hệ số'!$B$7))))</f>
        <v>0</v>
      </c>
      <c r="O16" s="25" t="n">
        <f aca="false">ROUND(IF(D16=1,M16,M16*(1+N16)),4)</f>
        <v>1</v>
      </c>
      <c r="P16" s="25" t="n">
        <f aca="false">ROUND(M16*(1+N16),4)</f>
        <v>1</v>
      </c>
      <c r="Q16" s="23" t="n">
        <f aca="false">IF(E16=0,"",IF(G16&lt;='Hệ số'!$B$12,2.5,IF(G16&gt;='Hệ số'!$B$13,5,3.5)))</f>
        <v>2.5</v>
      </c>
    </row>
    <row r="17" customFormat="false" ht="15" hidden="false" customHeight="false" outlineLevel="0" collapsed="false">
      <c r="A17" s="23" t="s">
        <v>302</v>
      </c>
      <c r="B17" s="23" t="s">
        <v>1030</v>
      </c>
      <c r="C17" s="23" t="s">
        <v>1026</v>
      </c>
      <c r="D17" s="24" t="n">
        <v>0</v>
      </c>
      <c r="E17" s="23" t="n">
        <v>4</v>
      </c>
      <c r="F17" s="23" t="n">
        <f aca="false">IF(E17&lt;=4,'Hệ số'!$B$8,IF(E17&lt;=8,'Hệ số'!$B$9,IF(E17&lt;=13,'Hệ số'!$B$10,'Hệ số'!$B$11)))</f>
        <v>1</v>
      </c>
      <c r="G17" s="23" t="n">
        <f aca="false">ROUND(E17*F17,0)</f>
        <v>4</v>
      </c>
      <c r="H17" s="23" t="n">
        <v>1500</v>
      </c>
      <c r="I17" s="24" t="n">
        <v>1500</v>
      </c>
      <c r="J17" s="23" t="n">
        <f aca="false">IF(OR(E17=0,G17=E17),I17,ROUND(I17*(G17/E17)^'Hệ số'!$B$4,-1))</f>
        <v>1500</v>
      </c>
      <c r="K17" s="23"/>
      <c r="L17" s="23" t="n">
        <f aca="false">IF(K17="",J17,K17)</f>
        <v>1500</v>
      </c>
      <c r="M17" s="25" t="n">
        <f aca="false">IF(E17=0,1,G17/E17)</f>
        <v>1</v>
      </c>
      <c r="N17" s="26" t="n">
        <f aca="false">IF(E17=0,0,MIN('Hệ số'!$B$6,MAX(0,'Hệ số'!$B$5*(G17-'Hệ số'!$B$7))))</f>
        <v>0</v>
      </c>
      <c r="O17" s="25" t="n">
        <f aca="false">ROUND(IF(D17=1,M17,M17*(1+N17)),4)</f>
        <v>1</v>
      </c>
      <c r="P17" s="25" t="n">
        <f aca="false">ROUND(M17*(1+N17),4)</f>
        <v>1</v>
      </c>
      <c r="Q17" s="23" t="n">
        <f aca="false">IF(E17=0,"",IF(G17&lt;='Hệ số'!$B$12,2.5,IF(G17&gt;='Hệ số'!$B$13,5,3.5)))</f>
        <v>2.5</v>
      </c>
    </row>
    <row r="18" customFormat="false" ht="15" hidden="false" customHeight="false" outlineLevel="0" collapsed="false">
      <c r="A18" s="23" t="s">
        <v>305</v>
      </c>
      <c r="B18" s="23" t="s">
        <v>1031</v>
      </c>
      <c r="C18" s="23" t="s">
        <v>1026</v>
      </c>
      <c r="D18" s="24" t="n">
        <v>0</v>
      </c>
      <c r="E18" s="23" t="n">
        <v>4</v>
      </c>
      <c r="F18" s="23" t="n">
        <f aca="false">IF(E18&lt;=4,'Hệ số'!$B$8,IF(E18&lt;=8,'Hệ số'!$B$9,IF(E18&lt;=13,'Hệ số'!$B$10,'Hệ số'!$B$11)))</f>
        <v>1</v>
      </c>
      <c r="G18" s="23" t="n">
        <f aca="false">ROUND(E18*F18,0)</f>
        <v>4</v>
      </c>
      <c r="H18" s="23" t="n">
        <v>1199</v>
      </c>
      <c r="I18" s="24" t="n">
        <v>1199</v>
      </c>
      <c r="J18" s="23" t="n">
        <f aca="false">IF(OR(E18=0,G18=E18),I18,ROUND(I18*(G18/E18)^'Hệ số'!$B$4,-1))</f>
        <v>1199</v>
      </c>
      <c r="K18" s="23"/>
      <c r="L18" s="23" t="n">
        <f aca="false">IF(K18="",J18,K18)</f>
        <v>1199</v>
      </c>
      <c r="M18" s="25" t="n">
        <f aca="false">IF(E18=0,1,G18/E18)</f>
        <v>1</v>
      </c>
      <c r="N18" s="26" t="n">
        <f aca="false">IF(E18=0,0,MIN('Hệ số'!$B$6,MAX(0,'Hệ số'!$B$5*(G18-'Hệ số'!$B$7))))</f>
        <v>0</v>
      </c>
      <c r="O18" s="25" t="n">
        <f aca="false">ROUND(IF(D18=1,M18,M18*(1+N18)),4)</f>
        <v>1</v>
      </c>
      <c r="P18" s="25" t="n">
        <f aca="false">ROUND(M18*(1+N18),4)</f>
        <v>1</v>
      </c>
      <c r="Q18" s="23" t="n">
        <f aca="false">IF(E18=0,"",IF(G18&lt;='Hệ số'!$B$12,2.5,IF(G18&gt;='Hệ số'!$B$13,5,3.5)))</f>
        <v>2.5</v>
      </c>
    </row>
    <row r="19" customFormat="false" ht="15" hidden="false" customHeight="false" outlineLevel="0" collapsed="false">
      <c r="A19" s="23" t="s">
        <v>308</v>
      </c>
      <c r="B19" s="23" t="s">
        <v>1032</v>
      </c>
      <c r="C19" s="23" t="s">
        <v>1026</v>
      </c>
      <c r="D19" s="24" t="n">
        <v>0</v>
      </c>
      <c r="E19" s="23" t="n">
        <v>4</v>
      </c>
      <c r="F19" s="23" t="n">
        <f aca="false">IF(E19&lt;=4,'Hệ số'!$B$8,IF(E19&lt;=8,'Hệ số'!$B$9,IF(E19&lt;=13,'Hệ số'!$B$10,'Hệ số'!$B$11)))</f>
        <v>1</v>
      </c>
      <c r="G19" s="23" t="n">
        <f aca="false">ROUND(E19*F19,0)</f>
        <v>4</v>
      </c>
      <c r="H19" s="23" t="n">
        <v>1300</v>
      </c>
      <c r="I19" s="24" t="n">
        <v>1300</v>
      </c>
      <c r="J19" s="23" t="n">
        <f aca="false">IF(OR(E19=0,G19=E19),I19,ROUND(I19*(G19/E19)^'Hệ số'!$B$4,-1))</f>
        <v>1300</v>
      </c>
      <c r="K19" s="23"/>
      <c r="L19" s="23" t="n">
        <f aca="false">IF(K19="",J19,K19)</f>
        <v>1300</v>
      </c>
      <c r="M19" s="25" t="n">
        <f aca="false">IF(E19=0,1,G19/E19)</f>
        <v>1</v>
      </c>
      <c r="N19" s="26" t="n">
        <f aca="false">IF(E19=0,0,MIN('Hệ số'!$B$6,MAX(0,'Hệ số'!$B$5*(G19-'Hệ số'!$B$7))))</f>
        <v>0</v>
      </c>
      <c r="O19" s="25" t="n">
        <f aca="false">ROUND(IF(D19=1,M19,M19*(1+N19)),4)</f>
        <v>1</v>
      </c>
      <c r="P19" s="25" t="n">
        <f aca="false">ROUND(M19*(1+N19),4)</f>
        <v>1</v>
      </c>
      <c r="Q19" s="23" t="n">
        <f aca="false">IF(E19=0,"",IF(G19&lt;='Hệ số'!$B$12,2.5,IF(G19&gt;='Hệ số'!$B$13,5,3.5)))</f>
        <v>2.5</v>
      </c>
    </row>
    <row r="20" customFormat="false" ht="15" hidden="false" customHeight="false" outlineLevel="0" collapsed="false">
      <c r="A20" s="23" t="s">
        <v>311</v>
      </c>
      <c r="B20" s="23" t="s">
        <v>1033</v>
      </c>
      <c r="C20" s="23" t="s">
        <v>1026</v>
      </c>
      <c r="D20" s="24" t="n">
        <v>0</v>
      </c>
      <c r="E20" s="23" t="n">
        <v>5</v>
      </c>
      <c r="F20" s="23" t="n">
        <f aca="false">IF(E20&lt;=4,'Hệ số'!$B$8,IF(E20&lt;=8,'Hệ số'!$B$9,IF(E20&lt;=13,'Hệ số'!$B$10,'Hệ số'!$B$11)))</f>
        <v>1.15</v>
      </c>
      <c r="G20" s="23" t="n">
        <f aca="false">ROUND(E20*F20,0)</f>
        <v>6</v>
      </c>
      <c r="H20" s="23" t="n">
        <v>792</v>
      </c>
      <c r="I20" s="24" t="n">
        <v>792</v>
      </c>
      <c r="J20" s="23" t="n">
        <f aca="false">IF(OR(E20=0,G20=E20),I20,ROUND(I20*(G20/E20)^'Hệ số'!$B$4,-1))</f>
        <v>980</v>
      </c>
      <c r="K20" s="23"/>
      <c r="L20" s="23" t="n">
        <f aca="false">IF(K20="",J20,K20)</f>
        <v>980</v>
      </c>
      <c r="M20" s="25" t="n">
        <f aca="false">IF(E20=0,1,G20/E20)</f>
        <v>1.2</v>
      </c>
      <c r="N20" s="26" t="n">
        <f aca="false">IF(E20=0,0,MIN('Hệ số'!$B$6,MAX(0,'Hệ số'!$B$5*(G20-'Hệ số'!$B$7))))</f>
        <v>0</v>
      </c>
      <c r="O20" s="25" t="n">
        <f aca="false">ROUND(IF(D20=1,M20,M20*(1+N20)),4)</f>
        <v>1.2</v>
      </c>
      <c r="P20" s="25" t="n">
        <f aca="false">ROUND(M20*(1+N20),4)</f>
        <v>1.2</v>
      </c>
      <c r="Q20" s="23" t="n">
        <f aca="false">IF(E20=0,"",IF(G20&lt;='Hệ số'!$B$12,2.5,IF(G20&gt;='Hệ số'!$B$13,5,3.5)))</f>
        <v>3.5</v>
      </c>
    </row>
    <row r="21" customFormat="false" ht="15" hidden="false" customHeight="false" outlineLevel="0" collapsed="false">
      <c r="A21" s="23" t="s">
        <v>317</v>
      </c>
      <c r="B21" s="23" t="s">
        <v>1034</v>
      </c>
      <c r="C21" s="23" t="s">
        <v>1026</v>
      </c>
      <c r="D21" s="24" t="n">
        <v>0</v>
      </c>
      <c r="E21" s="23" t="n">
        <v>5</v>
      </c>
      <c r="F21" s="23" t="n">
        <f aca="false">IF(E21&lt;=4,'Hệ số'!$B$8,IF(E21&lt;=8,'Hệ số'!$B$9,IF(E21&lt;=13,'Hệ số'!$B$10,'Hệ số'!$B$11)))</f>
        <v>1.15</v>
      </c>
      <c r="G21" s="23" t="n">
        <f aca="false">ROUND(E21*F21,0)</f>
        <v>6</v>
      </c>
      <c r="H21" s="23" t="n">
        <v>900</v>
      </c>
      <c r="I21" s="24" t="n">
        <v>900</v>
      </c>
      <c r="J21" s="23" t="n">
        <f aca="false">IF(OR(E21=0,G21=E21),I21,ROUND(I21*(G21/E21)^'Hệ số'!$B$4,-1))</f>
        <v>1110</v>
      </c>
      <c r="K21" s="23"/>
      <c r="L21" s="23" t="n">
        <f aca="false">IF(K21="",J21,K21)</f>
        <v>1110</v>
      </c>
      <c r="M21" s="25" t="n">
        <f aca="false">IF(E21=0,1,G21/E21)</f>
        <v>1.2</v>
      </c>
      <c r="N21" s="26" t="n">
        <f aca="false">IF(E21=0,0,MIN('Hệ số'!$B$6,MAX(0,'Hệ số'!$B$5*(G21-'Hệ số'!$B$7))))</f>
        <v>0</v>
      </c>
      <c r="O21" s="25" t="n">
        <f aca="false">ROUND(IF(D21=1,M21,M21*(1+N21)),4)</f>
        <v>1.2</v>
      </c>
      <c r="P21" s="25" t="n">
        <f aca="false">ROUND(M21*(1+N21),4)</f>
        <v>1.2</v>
      </c>
      <c r="Q21" s="23" t="n">
        <f aca="false">IF(E21=0,"",IF(G21&lt;='Hệ số'!$B$12,2.5,IF(G21&gt;='Hệ số'!$B$13,5,3.5)))</f>
        <v>3.5</v>
      </c>
    </row>
    <row r="22" customFormat="false" ht="15" hidden="false" customHeight="false" outlineLevel="0" collapsed="false">
      <c r="A22" s="23" t="s">
        <v>323</v>
      </c>
      <c r="B22" s="23" t="s">
        <v>1035</v>
      </c>
      <c r="C22" s="23" t="s">
        <v>1026</v>
      </c>
      <c r="D22" s="24" t="n">
        <v>0</v>
      </c>
      <c r="E22" s="23" t="n">
        <v>5</v>
      </c>
      <c r="F22" s="23" t="n">
        <f aca="false">IF(E22&lt;=4,'Hệ số'!$B$8,IF(E22&lt;=8,'Hệ số'!$B$9,IF(E22&lt;=13,'Hệ số'!$B$10,'Hệ số'!$B$11)))</f>
        <v>1.15</v>
      </c>
      <c r="G22" s="23" t="n">
        <f aca="false">ROUND(E22*F22,0)</f>
        <v>6</v>
      </c>
      <c r="H22" s="23" t="n">
        <v>836</v>
      </c>
      <c r="I22" s="24" t="n">
        <v>836</v>
      </c>
      <c r="J22" s="23" t="n">
        <f aca="false">IF(OR(E22=0,G22=E22),I22,ROUND(I22*(G22/E22)^'Hệ số'!$B$4,-1))</f>
        <v>1030</v>
      </c>
      <c r="K22" s="23"/>
      <c r="L22" s="23" t="n">
        <f aca="false">IF(K22="",J22,K22)</f>
        <v>1030</v>
      </c>
      <c r="M22" s="25" t="n">
        <f aca="false">IF(E22=0,1,G22/E22)</f>
        <v>1.2</v>
      </c>
      <c r="N22" s="26" t="n">
        <f aca="false">IF(E22=0,0,MIN('Hệ số'!$B$6,MAX(0,'Hệ số'!$B$5*(G22-'Hệ số'!$B$7))))</f>
        <v>0</v>
      </c>
      <c r="O22" s="25" t="n">
        <f aca="false">ROUND(IF(D22=1,M22,M22*(1+N22)),4)</f>
        <v>1.2</v>
      </c>
      <c r="P22" s="25" t="n">
        <f aca="false">ROUND(M22*(1+N22),4)</f>
        <v>1.2</v>
      </c>
      <c r="Q22" s="23" t="n">
        <f aca="false">IF(E22=0,"",IF(G22&lt;='Hệ số'!$B$12,2.5,IF(G22&gt;='Hệ số'!$B$13,5,3.5)))</f>
        <v>3.5</v>
      </c>
    </row>
    <row r="23" customFormat="false" ht="15" hidden="false" customHeight="false" outlineLevel="0" collapsed="false">
      <c r="A23" s="23" t="s">
        <v>329</v>
      </c>
      <c r="B23" s="23" t="s">
        <v>1036</v>
      </c>
      <c r="C23" s="23" t="s">
        <v>1026</v>
      </c>
      <c r="D23" s="24" t="n">
        <v>0</v>
      </c>
      <c r="E23" s="23" t="n">
        <v>5</v>
      </c>
      <c r="F23" s="23" t="n">
        <f aca="false">IF(E23&lt;=4,'Hệ số'!$B$8,IF(E23&lt;=8,'Hệ số'!$B$9,IF(E23&lt;=13,'Hệ số'!$B$10,'Hệ số'!$B$11)))</f>
        <v>1.15</v>
      </c>
      <c r="G23" s="23" t="n">
        <f aca="false">ROUND(E23*F23,0)</f>
        <v>6</v>
      </c>
      <c r="H23" s="23" t="n">
        <v>801</v>
      </c>
      <c r="I23" s="24" t="n">
        <v>801</v>
      </c>
      <c r="J23" s="23" t="n">
        <f aca="false">IF(OR(E23=0,G23=E23),I23,ROUND(I23*(G23/E23)^'Hệ số'!$B$4,-1))</f>
        <v>990</v>
      </c>
      <c r="K23" s="23"/>
      <c r="L23" s="23" t="n">
        <f aca="false">IF(K23="",J23,K23)</f>
        <v>990</v>
      </c>
      <c r="M23" s="25" t="n">
        <f aca="false">IF(E23=0,1,G23/E23)</f>
        <v>1.2</v>
      </c>
      <c r="N23" s="26" t="n">
        <f aca="false">IF(E23=0,0,MIN('Hệ số'!$B$6,MAX(0,'Hệ số'!$B$5*(G23-'Hệ số'!$B$7))))</f>
        <v>0</v>
      </c>
      <c r="O23" s="25" t="n">
        <f aca="false">ROUND(IF(D23=1,M23,M23*(1+N23)),4)</f>
        <v>1.2</v>
      </c>
      <c r="P23" s="25" t="n">
        <f aca="false">ROUND(M23*(1+N23),4)</f>
        <v>1.2</v>
      </c>
      <c r="Q23" s="23" t="n">
        <f aca="false">IF(E23=0,"",IF(G23&lt;='Hệ số'!$B$12,2.5,IF(G23&gt;='Hệ số'!$B$13,5,3.5)))</f>
        <v>3.5</v>
      </c>
    </row>
    <row r="24" customFormat="false" ht="15" hidden="false" customHeight="false" outlineLevel="0" collapsed="false">
      <c r="A24" s="23" t="s">
        <v>334</v>
      </c>
      <c r="B24" s="23" t="s">
        <v>1037</v>
      </c>
      <c r="C24" s="23" t="s">
        <v>1026</v>
      </c>
      <c r="D24" s="24" t="n">
        <v>0</v>
      </c>
      <c r="E24" s="23" t="n">
        <v>5</v>
      </c>
      <c r="F24" s="23" t="n">
        <f aca="false">IF(E24&lt;=4,'Hệ số'!$B$8,IF(E24&lt;=8,'Hệ số'!$B$9,IF(E24&lt;=13,'Hệ số'!$B$10,'Hệ số'!$B$11)))</f>
        <v>1.15</v>
      </c>
      <c r="G24" s="23" t="n">
        <f aca="false">ROUND(E24*F24,0)</f>
        <v>6</v>
      </c>
      <c r="H24" s="23" t="n">
        <v>900</v>
      </c>
      <c r="I24" s="24" t="n">
        <v>900</v>
      </c>
      <c r="J24" s="23" t="n">
        <f aca="false">IF(OR(E24=0,G24=E24),I24,ROUND(I24*(G24/E24)^'Hệ số'!$B$4,-1))</f>
        <v>1110</v>
      </c>
      <c r="K24" s="23"/>
      <c r="L24" s="23" t="n">
        <f aca="false">IF(K24="",J24,K24)</f>
        <v>1110</v>
      </c>
      <c r="M24" s="25" t="n">
        <f aca="false">IF(E24=0,1,G24/E24)</f>
        <v>1.2</v>
      </c>
      <c r="N24" s="26" t="n">
        <f aca="false">IF(E24=0,0,MIN('Hệ số'!$B$6,MAX(0,'Hệ số'!$B$5*(G24-'Hệ số'!$B$7))))</f>
        <v>0</v>
      </c>
      <c r="O24" s="25" t="n">
        <f aca="false">ROUND(IF(D24=1,M24,M24*(1+N24)),4)</f>
        <v>1.2</v>
      </c>
      <c r="P24" s="25" t="n">
        <f aca="false">ROUND(M24*(1+N24),4)</f>
        <v>1.2</v>
      </c>
      <c r="Q24" s="23" t="n">
        <f aca="false">IF(E24=0,"",IF(G24&lt;='Hệ số'!$B$12,2.5,IF(G24&gt;='Hệ số'!$B$13,5,3.5)))</f>
        <v>3.5</v>
      </c>
    </row>
    <row r="25" customFormat="false" ht="15" hidden="false" customHeight="false" outlineLevel="0" collapsed="false">
      <c r="A25" s="23" t="s">
        <v>339</v>
      </c>
      <c r="B25" s="23" t="s">
        <v>1038</v>
      </c>
      <c r="C25" s="23" t="s">
        <v>1026</v>
      </c>
      <c r="D25" s="24" t="n">
        <v>0</v>
      </c>
      <c r="E25" s="23" t="n">
        <v>5</v>
      </c>
      <c r="F25" s="23" t="n">
        <f aca="false">IF(E25&lt;=4,'Hệ số'!$B$8,IF(E25&lt;=8,'Hệ số'!$B$9,IF(E25&lt;=13,'Hệ số'!$B$10,'Hệ số'!$B$11)))</f>
        <v>1.15</v>
      </c>
      <c r="G25" s="23" t="n">
        <f aca="false">ROUND(E25*F25,0)</f>
        <v>6</v>
      </c>
      <c r="H25" s="23" t="n">
        <v>924</v>
      </c>
      <c r="I25" s="24" t="n">
        <v>924</v>
      </c>
      <c r="J25" s="23" t="n">
        <f aca="false">IF(OR(E25=0,G25=E25),I25,ROUND(I25*(G25/E25)^'Hệ số'!$B$4,-1))</f>
        <v>1140</v>
      </c>
      <c r="K25" s="23"/>
      <c r="L25" s="23" t="n">
        <f aca="false">IF(K25="",J25,K25)</f>
        <v>1140</v>
      </c>
      <c r="M25" s="25" t="n">
        <f aca="false">IF(E25=0,1,G25/E25)</f>
        <v>1.2</v>
      </c>
      <c r="N25" s="26" t="n">
        <f aca="false">IF(E25=0,0,MIN('Hệ số'!$B$6,MAX(0,'Hệ số'!$B$5*(G25-'Hệ số'!$B$7))))</f>
        <v>0</v>
      </c>
      <c r="O25" s="25" t="n">
        <f aca="false">ROUND(IF(D25=1,M25,M25*(1+N25)),4)</f>
        <v>1.2</v>
      </c>
      <c r="P25" s="25" t="n">
        <f aca="false">ROUND(M25*(1+N25),4)</f>
        <v>1.2</v>
      </c>
      <c r="Q25" s="23" t="n">
        <f aca="false">IF(E25=0,"",IF(G25&lt;='Hệ số'!$B$12,2.5,IF(G25&gt;='Hệ số'!$B$13,5,3.5)))</f>
        <v>3.5</v>
      </c>
    </row>
    <row r="26" customFormat="false" ht="15" hidden="false" customHeight="false" outlineLevel="0" collapsed="false">
      <c r="A26" s="23" t="s">
        <v>345</v>
      </c>
      <c r="B26" s="23" t="s">
        <v>1039</v>
      </c>
      <c r="C26" s="23" t="s">
        <v>1026</v>
      </c>
      <c r="D26" s="24" t="n">
        <v>0</v>
      </c>
      <c r="E26" s="23" t="n">
        <v>6</v>
      </c>
      <c r="F26" s="23" t="n">
        <f aca="false">IF(E26&lt;=4,'Hệ số'!$B$8,IF(E26&lt;=8,'Hệ số'!$B$9,IF(E26&lt;=13,'Hệ số'!$B$10,'Hệ số'!$B$11)))</f>
        <v>1.15</v>
      </c>
      <c r="G26" s="23" t="n">
        <f aca="false">ROUND(E26*F26,0)</f>
        <v>7</v>
      </c>
      <c r="H26" s="23" t="n">
        <v>1232</v>
      </c>
      <c r="I26" s="24" t="n">
        <v>1232</v>
      </c>
      <c r="J26" s="23" t="n">
        <f aca="false">IF(OR(E26=0,G26=E26),I26,ROUND(I26*(G26/E26)^'Hệ số'!$B$4,-1))</f>
        <v>1470</v>
      </c>
      <c r="K26" s="23"/>
      <c r="L26" s="23" t="n">
        <f aca="false">IF(K26="",J26,K26)</f>
        <v>1470</v>
      </c>
      <c r="M26" s="25" t="n">
        <f aca="false">IF(E26=0,1,G26/E26)</f>
        <v>1.16666666666667</v>
      </c>
      <c r="N26" s="26" t="n">
        <f aca="false">IF(E26=0,0,MIN('Hệ số'!$B$6,MAX(0,'Hệ số'!$B$5*(G26-'Hệ số'!$B$7))))</f>
        <v>0</v>
      </c>
      <c r="O26" s="25" t="n">
        <f aca="false">ROUND(IF(D26=1,M26,M26*(1+N26)),4)</f>
        <v>1.1667</v>
      </c>
      <c r="P26" s="25" t="n">
        <f aca="false">ROUND(M26*(1+N26),4)</f>
        <v>1.1667</v>
      </c>
      <c r="Q26" s="23" t="n">
        <f aca="false">IF(E26=0,"",IF(G26&lt;='Hệ số'!$B$12,2.5,IF(G26&gt;='Hệ số'!$B$13,5,3.5)))</f>
        <v>3.5</v>
      </c>
    </row>
    <row r="27" customFormat="false" ht="15" hidden="false" customHeight="false" outlineLevel="0" collapsed="false">
      <c r="A27" s="23" t="s">
        <v>351</v>
      </c>
      <c r="B27" s="23" t="s">
        <v>1040</v>
      </c>
      <c r="C27" s="23" t="s">
        <v>1026</v>
      </c>
      <c r="D27" s="24" t="n">
        <v>0</v>
      </c>
      <c r="E27" s="23" t="n">
        <v>6</v>
      </c>
      <c r="F27" s="23" t="n">
        <f aca="false">IF(E27&lt;=4,'Hệ số'!$B$8,IF(E27&lt;=8,'Hệ số'!$B$9,IF(E27&lt;=13,'Hệ số'!$B$10,'Hệ số'!$B$11)))</f>
        <v>1.15</v>
      </c>
      <c r="G27" s="23" t="n">
        <f aca="false">ROUND(E27*F27,0)</f>
        <v>7</v>
      </c>
      <c r="H27" s="23" t="n">
        <v>900</v>
      </c>
      <c r="I27" s="24" t="n">
        <v>900</v>
      </c>
      <c r="J27" s="23" t="n">
        <f aca="false">IF(OR(E27=0,G27=E27),I27,ROUND(I27*(G27/E27)^'Hệ số'!$B$4,-1))</f>
        <v>1070</v>
      </c>
      <c r="K27" s="23"/>
      <c r="L27" s="23" t="n">
        <f aca="false">IF(K27="",J27,K27)</f>
        <v>1070</v>
      </c>
      <c r="M27" s="25" t="n">
        <f aca="false">IF(E27=0,1,G27/E27)</f>
        <v>1.16666666666667</v>
      </c>
      <c r="N27" s="26" t="n">
        <f aca="false">IF(E27=0,0,MIN('Hệ số'!$B$6,MAX(0,'Hệ số'!$B$5*(G27-'Hệ số'!$B$7))))</f>
        <v>0</v>
      </c>
      <c r="O27" s="25" t="n">
        <f aca="false">ROUND(IF(D27=1,M27,M27*(1+N27)),4)</f>
        <v>1.1667</v>
      </c>
      <c r="P27" s="25" t="n">
        <f aca="false">ROUND(M27*(1+N27),4)</f>
        <v>1.1667</v>
      </c>
      <c r="Q27" s="23" t="n">
        <f aca="false">IF(E27=0,"",IF(G27&lt;='Hệ số'!$B$12,2.5,IF(G27&gt;='Hệ số'!$B$13,5,3.5)))</f>
        <v>3.5</v>
      </c>
    </row>
    <row r="28" customFormat="false" ht="15" hidden="false" customHeight="false" outlineLevel="0" collapsed="false">
      <c r="A28" s="23" t="s">
        <v>357</v>
      </c>
      <c r="B28" s="23" t="s">
        <v>1041</v>
      </c>
      <c r="C28" s="23" t="s">
        <v>1026</v>
      </c>
      <c r="D28" s="24" t="n">
        <v>0</v>
      </c>
      <c r="E28" s="23" t="n">
        <v>7</v>
      </c>
      <c r="F28" s="23" t="n">
        <f aca="false">IF(E28&lt;=4,'Hệ số'!$B$8,IF(E28&lt;=8,'Hệ số'!$B$9,IF(E28&lt;=13,'Hệ số'!$B$10,'Hệ số'!$B$11)))</f>
        <v>1.15</v>
      </c>
      <c r="G28" s="23" t="n">
        <f aca="false">ROUND(E28*F28,0)</f>
        <v>8</v>
      </c>
      <c r="H28" s="23" t="n">
        <v>1056</v>
      </c>
      <c r="I28" s="24" t="n">
        <v>1056</v>
      </c>
      <c r="J28" s="23" t="n">
        <f aca="false">IF(OR(E28=0,G28=E28),I28,ROUND(I28*(G28/E28)^'Hệ số'!$B$4,-1))</f>
        <v>1230</v>
      </c>
      <c r="K28" s="23"/>
      <c r="L28" s="23" t="n">
        <f aca="false">IF(K28="",J28,K28)</f>
        <v>1230</v>
      </c>
      <c r="M28" s="25" t="n">
        <f aca="false">IF(E28=0,1,G28/E28)</f>
        <v>1.14285714285714</v>
      </c>
      <c r="N28" s="26" t="n">
        <f aca="false">IF(E28=0,0,MIN('Hệ số'!$B$6,MAX(0,'Hệ số'!$B$5*(G28-'Hệ số'!$B$7))))</f>
        <v>0</v>
      </c>
      <c r="O28" s="25" t="n">
        <f aca="false">ROUND(IF(D28=1,M28,M28*(1+N28)),4)</f>
        <v>1.1429</v>
      </c>
      <c r="P28" s="25" t="n">
        <f aca="false">ROUND(M28*(1+N28),4)</f>
        <v>1.1429</v>
      </c>
      <c r="Q28" s="23" t="n">
        <f aca="false">IF(E28=0,"",IF(G28&lt;='Hệ số'!$B$12,2.5,IF(G28&gt;='Hệ số'!$B$13,5,3.5)))</f>
        <v>3.5</v>
      </c>
    </row>
    <row r="29" customFormat="false" ht="15" hidden="false" customHeight="false" outlineLevel="0" collapsed="false">
      <c r="A29" s="23" t="s">
        <v>1042</v>
      </c>
      <c r="B29" s="23" t="s">
        <v>1043</v>
      </c>
      <c r="C29" s="23" t="s">
        <v>1044</v>
      </c>
      <c r="D29" s="24" t="n">
        <v>0</v>
      </c>
      <c r="E29" s="23" t="n">
        <v>0</v>
      </c>
      <c r="F29" s="23" t="n">
        <f aca="false">IF(E29&lt;=4,'Hệ số'!$B$8,IF(E29&lt;=8,'Hệ số'!$B$9,IF(E29&lt;=13,'Hệ số'!$B$10,'Hệ số'!$B$11)))</f>
        <v>1</v>
      </c>
      <c r="G29" s="23" t="n">
        <f aca="false">ROUND(E29*F29,0)</f>
        <v>0</v>
      </c>
      <c r="H29" s="23" t="n">
        <v>550</v>
      </c>
      <c r="I29" s="24" t="n">
        <v>550</v>
      </c>
      <c r="J29" s="23" t="n">
        <f aca="false">IF(OR(E29=0,G29=E29),I29,ROUND(I29*(G29/E29)^'Hệ số'!$B$4,-1))</f>
        <v>550</v>
      </c>
      <c r="K29" s="23"/>
      <c r="L29" s="23" t="n">
        <f aca="false">IF(K29="",J29,K29)</f>
        <v>550</v>
      </c>
      <c r="M29" s="25" t="n">
        <f aca="false">IF(E29=0,1,G29/E29)</f>
        <v>1</v>
      </c>
      <c r="N29" s="26" t="n">
        <f aca="false">IF(E29=0,0,MIN('Hệ số'!$B$6,MAX(0,'Hệ số'!$B$5*(G29-'Hệ số'!$B$7))))</f>
        <v>0</v>
      </c>
      <c r="O29" s="25" t="n">
        <f aca="false">ROUND(IF(D29=1,M29,M29*(1+N29)),4)</f>
        <v>1</v>
      </c>
      <c r="P29" s="25" t="n">
        <f aca="false">ROUND(M29*(1+N29),4)</f>
        <v>1</v>
      </c>
      <c r="Q29" s="23" t="str">
        <f aca="false">IF(E29=0,"",IF(G29&lt;='Hệ số'!$B$12,2.5,IF(G29&gt;='Hệ số'!$B$13,5,3.5)))</f>
        <v/>
      </c>
    </row>
    <row r="30" customFormat="false" ht="15" hidden="false" customHeight="false" outlineLevel="0" collapsed="false">
      <c r="A30" s="23" t="s">
        <v>365</v>
      </c>
      <c r="B30" s="23" t="s">
        <v>1045</v>
      </c>
      <c r="C30" s="23" t="s">
        <v>1046</v>
      </c>
      <c r="D30" s="24" t="n">
        <v>0</v>
      </c>
      <c r="E30" s="23" t="n">
        <v>5</v>
      </c>
      <c r="F30" s="23" t="n">
        <f aca="false">IF(E30&lt;=4,'Hệ số'!$B$8,IF(E30&lt;=8,'Hệ số'!$B$9,IF(E30&lt;=13,'Hệ số'!$B$10,'Hệ số'!$B$11)))</f>
        <v>1.15</v>
      </c>
      <c r="G30" s="23" t="n">
        <f aca="false">ROUND(E30*F30,0)</f>
        <v>6</v>
      </c>
      <c r="H30" s="23" t="n">
        <v>924</v>
      </c>
      <c r="I30" s="24" t="n">
        <v>924</v>
      </c>
      <c r="J30" s="23" t="n">
        <f aca="false">IF(OR(E30=0,G30=E30),I30,ROUND(I30*(G30/E30)^'Hệ số'!$B$4,-1))</f>
        <v>1140</v>
      </c>
      <c r="K30" s="23"/>
      <c r="L30" s="23" t="n">
        <f aca="false">IF(K30="",J30,K30)</f>
        <v>1140</v>
      </c>
      <c r="M30" s="25" t="n">
        <f aca="false">IF(E30=0,1,G30/E30)</f>
        <v>1.2</v>
      </c>
      <c r="N30" s="26" t="n">
        <f aca="false">IF(E30=0,0,MIN('Hệ số'!$B$6,MAX(0,'Hệ số'!$B$5*(G30-'Hệ số'!$B$7))))</f>
        <v>0</v>
      </c>
      <c r="O30" s="25" t="n">
        <f aca="false">ROUND(IF(D30=1,M30,M30*(1+N30)),4)</f>
        <v>1.2</v>
      </c>
      <c r="P30" s="25" t="n">
        <f aca="false">ROUND(M30*(1+N30),4)</f>
        <v>1.2</v>
      </c>
      <c r="Q30" s="23" t="n">
        <f aca="false">IF(E30=0,"",IF(G30&lt;='Hệ số'!$B$12,2.5,IF(G30&gt;='Hệ số'!$B$13,5,3.5)))</f>
        <v>3.5</v>
      </c>
    </row>
    <row r="31" customFormat="false" ht="15" hidden="false" customHeight="false" outlineLevel="0" collapsed="false">
      <c r="A31" s="23" t="s">
        <v>371</v>
      </c>
      <c r="B31" s="23" t="s">
        <v>1047</v>
      </c>
      <c r="C31" s="23" t="s">
        <v>1044</v>
      </c>
      <c r="D31" s="24" t="n">
        <v>0</v>
      </c>
      <c r="E31" s="23" t="n">
        <v>6</v>
      </c>
      <c r="F31" s="23" t="n">
        <f aca="false">IF(E31&lt;=4,'Hệ số'!$B$8,IF(E31&lt;=8,'Hệ số'!$B$9,IF(E31&lt;=13,'Hệ số'!$B$10,'Hệ số'!$B$11)))</f>
        <v>1.15</v>
      </c>
      <c r="G31" s="23" t="n">
        <f aca="false">ROUND(E31*F31,0)</f>
        <v>7</v>
      </c>
      <c r="H31" s="23" t="n">
        <v>704</v>
      </c>
      <c r="I31" s="24" t="n">
        <v>704</v>
      </c>
      <c r="J31" s="23" t="n">
        <f aca="false">IF(OR(E31=0,G31=E31),I31,ROUND(I31*(G31/E31)^'Hệ số'!$B$4,-1))</f>
        <v>840</v>
      </c>
      <c r="K31" s="23"/>
      <c r="L31" s="23" t="n">
        <f aca="false">IF(K31="",J31,K31)</f>
        <v>840</v>
      </c>
      <c r="M31" s="25" t="n">
        <f aca="false">IF(E31=0,1,G31/E31)</f>
        <v>1.16666666666667</v>
      </c>
      <c r="N31" s="26" t="n">
        <f aca="false">IF(E31=0,0,MIN('Hệ số'!$B$6,MAX(0,'Hệ số'!$B$5*(G31-'Hệ số'!$B$7))))</f>
        <v>0</v>
      </c>
      <c r="O31" s="25" t="n">
        <f aca="false">ROUND(IF(D31=1,M31,M31*(1+N31)),4)</f>
        <v>1.1667</v>
      </c>
      <c r="P31" s="25" t="n">
        <f aca="false">ROUND(M31*(1+N31),4)</f>
        <v>1.1667</v>
      </c>
      <c r="Q31" s="23" t="n">
        <f aca="false">IF(E31=0,"",IF(G31&lt;='Hệ số'!$B$12,2.5,IF(G31&gt;='Hệ số'!$B$13,5,3.5)))</f>
        <v>3.5</v>
      </c>
    </row>
    <row r="32" customFormat="false" ht="15" hidden="false" customHeight="false" outlineLevel="0" collapsed="false">
      <c r="A32" s="23" t="s">
        <v>377</v>
      </c>
      <c r="B32" s="23" t="s">
        <v>1048</v>
      </c>
      <c r="C32" s="23" t="s">
        <v>1044</v>
      </c>
      <c r="D32" s="24" t="n">
        <v>0</v>
      </c>
      <c r="E32" s="23" t="n">
        <v>6</v>
      </c>
      <c r="F32" s="23" t="n">
        <f aca="false">IF(E32&lt;=4,'Hệ số'!$B$8,IF(E32&lt;=8,'Hệ số'!$B$9,IF(E32&lt;=13,'Hệ số'!$B$10,'Hệ số'!$B$11)))</f>
        <v>1.15</v>
      </c>
      <c r="G32" s="23" t="n">
        <f aca="false">ROUND(E32*F32,0)</f>
        <v>7</v>
      </c>
      <c r="H32" s="23" t="n">
        <v>660</v>
      </c>
      <c r="I32" s="24" t="n">
        <v>660</v>
      </c>
      <c r="J32" s="23" t="n">
        <f aca="false">IF(OR(E32=0,G32=E32),I32,ROUND(I32*(G32/E32)^'Hệ số'!$B$4,-1))</f>
        <v>790</v>
      </c>
      <c r="K32" s="23"/>
      <c r="L32" s="23" t="n">
        <f aca="false">IF(K32="",J32,K32)</f>
        <v>790</v>
      </c>
      <c r="M32" s="25" t="n">
        <f aca="false">IF(E32=0,1,G32/E32)</f>
        <v>1.16666666666667</v>
      </c>
      <c r="N32" s="26" t="n">
        <f aca="false">IF(E32=0,0,MIN('Hệ số'!$B$6,MAX(0,'Hệ số'!$B$5*(G32-'Hệ số'!$B$7))))</f>
        <v>0</v>
      </c>
      <c r="O32" s="25" t="n">
        <f aca="false">ROUND(IF(D32=1,M32,M32*(1+N32)),4)</f>
        <v>1.1667</v>
      </c>
      <c r="P32" s="25" t="n">
        <f aca="false">ROUND(M32*(1+N32),4)</f>
        <v>1.1667</v>
      </c>
      <c r="Q32" s="23" t="n">
        <f aca="false">IF(E32=0,"",IF(G32&lt;='Hệ số'!$B$12,2.5,IF(G32&gt;='Hệ số'!$B$13,5,3.5)))</f>
        <v>3.5</v>
      </c>
    </row>
    <row r="33" customFormat="false" ht="15" hidden="false" customHeight="false" outlineLevel="0" collapsed="false">
      <c r="A33" s="23" t="s">
        <v>383</v>
      </c>
      <c r="B33" s="23" t="s">
        <v>1049</v>
      </c>
      <c r="C33" s="23" t="s">
        <v>1046</v>
      </c>
      <c r="D33" s="24" t="n">
        <v>0</v>
      </c>
      <c r="E33" s="23" t="n">
        <v>7</v>
      </c>
      <c r="F33" s="23" t="n">
        <f aca="false">IF(E33&lt;=4,'Hệ số'!$B$8,IF(E33&lt;=8,'Hệ số'!$B$9,IF(E33&lt;=13,'Hệ số'!$B$10,'Hệ số'!$B$11)))</f>
        <v>1.15</v>
      </c>
      <c r="G33" s="23" t="n">
        <f aca="false">ROUND(E33*F33,0)</f>
        <v>8</v>
      </c>
      <c r="H33" s="23" t="n">
        <v>1800</v>
      </c>
      <c r="I33" s="24" t="n">
        <v>1800</v>
      </c>
      <c r="J33" s="23" t="n">
        <f aca="false">IF(OR(E33=0,G33=E33),I33,ROUND(I33*(G33/E33)^'Hệ số'!$B$4,-1))</f>
        <v>2100</v>
      </c>
      <c r="K33" s="23"/>
      <c r="L33" s="23" t="n">
        <f aca="false">IF(K33="",J33,K33)</f>
        <v>2100</v>
      </c>
      <c r="M33" s="25" t="n">
        <f aca="false">IF(E33=0,1,G33/E33)</f>
        <v>1.14285714285714</v>
      </c>
      <c r="N33" s="26" t="n">
        <f aca="false">IF(E33=0,0,MIN('Hệ số'!$B$6,MAX(0,'Hệ số'!$B$5*(G33-'Hệ số'!$B$7))))</f>
        <v>0</v>
      </c>
      <c r="O33" s="25" t="n">
        <f aca="false">ROUND(IF(D33=1,M33,M33*(1+N33)),4)</f>
        <v>1.1429</v>
      </c>
      <c r="P33" s="25" t="n">
        <f aca="false">ROUND(M33*(1+N33),4)</f>
        <v>1.1429</v>
      </c>
      <c r="Q33" s="23" t="n">
        <f aca="false">IF(E33=0,"",IF(G33&lt;='Hệ số'!$B$12,2.5,IF(G33&gt;='Hệ số'!$B$13,5,3.5)))</f>
        <v>3.5</v>
      </c>
    </row>
    <row r="34" customFormat="false" ht="15" hidden="false" customHeight="false" outlineLevel="0" collapsed="false">
      <c r="A34" s="23" t="s">
        <v>389</v>
      </c>
      <c r="B34" s="23" t="s">
        <v>1050</v>
      </c>
      <c r="C34" s="23" t="s">
        <v>1046</v>
      </c>
      <c r="D34" s="24" t="n">
        <v>0</v>
      </c>
      <c r="E34" s="23" t="n">
        <v>7</v>
      </c>
      <c r="F34" s="23" t="n">
        <f aca="false">IF(E34&lt;=4,'Hệ số'!$B$8,IF(E34&lt;=8,'Hệ số'!$B$9,IF(E34&lt;=13,'Hệ số'!$B$10,'Hệ số'!$B$11)))</f>
        <v>1.15</v>
      </c>
      <c r="G34" s="23" t="n">
        <f aca="false">ROUND(E34*F34,0)</f>
        <v>8</v>
      </c>
      <c r="H34" s="23" t="n">
        <v>1100</v>
      </c>
      <c r="I34" s="24" t="n">
        <v>1100</v>
      </c>
      <c r="J34" s="23" t="n">
        <f aca="false">IF(OR(E34=0,G34=E34),I34,ROUND(I34*(G34/E34)^'Hệ số'!$B$4,-1))</f>
        <v>1280</v>
      </c>
      <c r="K34" s="23"/>
      <c r="L34" s="23" t="n">
        <f aca="false">IF(K34="",J34,K34)</f>
        <v>1280</v>
      </c>
      <c r="M34" s="25" t="n">
        <f aca="false">IF(E34=0,1,G34/E34)</f>
        <v>1.14285714285714</v>
      </c>
      <c r="N34" s="26" t="n">
        <f aca="false">IF(E34=0,0,MIN('Hệ số'!$B$6,MAX(0,'Hệ số'!$B$5*(G34-'Hệ số'!$B$7))))</f>
        <v>0</v>
      </c>
      <c r="O34" s="25" t="n">
        <f aca="false">ROUND(IF(D34=1,M34,M34*(1+N34)),4)</f>
        <v>1.1429</v>
      </c>
      <c r="P34" s="25" t="n">
        <f aca="false">ROUND(M34*(1+N34),4)</f>
        <v>1.1429</v>
      </c>
      <c r="Q34" s="23" t="n">
        <f aca="false">IF(E34=0,"",IF(G34&lt;='Hệ số'!$B$12,2.5,IF(G34&gt;='Hệ số'!$B$13,5,3.5)))</f>
        <v>3.5</v>
      </c>
    </row>
    <row r="35" customFormat="false" ht="15" hidden="false" customHeight="false" outlineLevel="0" collapsed="false">
      <c r="A35" s="23" t="s">
        <v>395</v>
      </c>
      <c r="B35" s="23" t="s">
        <v>1051</v>
      </c>
      <c r="C35" s="23" t="s">
        <v>1044</v>
      </c>
      <c r="D35" s="24" t="n">
        <v>0</v>
      </c>
      <c r="E35" s="23" t="n">
        <v>7</v>
      </c>
      <c r="F35" s="23" t="n">
        <f aca="false">IF(E35&lt;=4,'Hệ số'!$B$8,IF(E35&lt;=8,'Hệ số'!$B$9,IF(E35&lt;=13,'Hệ số'!$B$10,'Hệ số'!$B$11)))</f>
        <v>1.15</v>
      </c>
      <c r="G35" s="23" t="n">
        <f aca="false">ROUND(E35*F35,0)</f>
        <v>8</v>
      </c>
      <c r="H35" s="23" t="n">
        <v>900</v>
      </c>
      <c r="I35" s="24" t="n">
        <v>900</v>
      </c>
      <c r="J35" s="23" t="n">
        <f aca="false">IF(OR(E35=0,G35=E35),I35,ROUND(I35*(G35/E35)^'Hệ số'!$B$4,-1))</f>
        <v>1050</v>
      </c>
      <c r="K35" s="23"/>
      <c r="L35" s="23" t="n">
        <f aca="false">IF(K35="",J35,K35)</f>
        <v>1050</v>
      </c>
      <c r="M35" s="25" t="n">
        <f aca="false">IF(E35=0,1,G35/E35)</f>
        <v>1.14285714285714</v>
      </c>
      <c r="N35" s="26" t="n">
        <f aca="false">IF(E35=0,0,MIN('Hệ số'!$B$6,MAX(0,'Hệ số'!$B$5*(G35-'Hệ số'!$B$7))))</f>
        <v>0</v>
      </c>
      <c r="O35" s="25" t="n">
        <f aca="false">ROUND(IF(D35=1,M35,M35*(1+N35)),4)</f>
        <v>1.1429</v>
      </c>
      <c r="P35" s="25" t="n">
        <f aca="false">ROUND(M35*(1+N35),4)</f>
        <v>1.1429</v>
      </c>
      <c r="Q35" s="23" t="n">
        <f aca="false">IF(E35=0,"",IF(G35&lt;='Hệ số'!$B$12,2.5,IF(G35&gt;='Hệ số'!$B$13,5,3.5)))</f>
        <v>3.5</v>
      </c>
    </row>
    <row r="36" customFormat="false" ht="15" hidden="false" customHeight="false" outlineLevel="0" collapsed="false">
      <c r="A36" s="23" t="s">
        <v>401</v>
      </c>
      <c r="B36" s="23" t="s">
        <v>1052</v>
      </c>
      <c r="C36" s="23" t="s">
        <v>1044</v>
      </c>
      <c r="D36" s="24" t="n">
        <v>0</v>
      </c>
      <c r="E36" s="23" t="n">
        <v>8</v>
      </c>
      <c r="F36" s="23" t="n">
        <f aca="false">IF(E36&lt;=4,'Hệ số'!$B$8,IF(E36&lt;=8,'Hệ số'!$B$9,IF(E36&lt;=13,'Hệ số'!$B$10,'Hệ số'!$B$11)))</f>
        <v>1.15</v>
      </c>
      <c r="G36" s="23" t="n">
        <f aca="false">ROUND(E36*F36,0)</f>
        <v>9</v>
      </c>
      <c r="H36" s="23" t="n">
        <v>2499</v>
      </c>
      <c r="I36" s="24" t="n">
        <v>2499</v>
      </c>
      <c r="J36" s="23" t="n">
        <f aca="false">IF(OR(E36=0,G36=E36),I36,ROUND(I36*(G36/E36)^'Hệ số'!$B$4,-1))</f>
        <v>2860</v>
      </c>
      <c r="K36" s="23"/>
      <c r="L36" s="23" t="n">
        <f aca="false">IF(K36="",J36,K36)</f>
        <v>2860</v>
      </c>
      <c r="M36" s="25" t="n">
        <f aca="false">IF(E36=0,1,G36/E36)</f>
        <v>1.125</v>
      </c>
      <c r="N36" s="26" t="n">
        <f aca="false">IF(E36=0,0,MIN('Hệ số'!$B$6,MAX(0,'Hệ số'!$B$5*(G36-'Hệ số'!$B$7))))</f>
        <v>0.0125</v>
      </c>
      <c r="O36" s="25" t="n">
        <f aca="false">ROUND(IF(D36=1,M36,M36*(1+N36)),4)</f>
        <v>1.1391</v>
      </c>
      <c r="P36" s="25" t="n">
        <f aca="false">ROUND(M36*(1+N36),4)</f>
        <v>1.1391</v>
      </c>
      <c r="Q36" s="23" t="n">
        <f aca="false">IF(E36=0,"",IF(G36&lt;='Hệ số'!$B$12,2.5,IF(G36&gt;='Hệ số'!$B$13,5,3.5)))</f>
        <v>3.5</v>
      </c>
    </row>
    <row r="37" customFormat="false" ht="15" hidden="false" customHeight="false" outlineLevel="0" collapsed="false">
      <c r="A37" s="23" t="s">
        <v>407</v>
      </c>
      <c r="B37" s="23" t="s">
        <v>1053</v>
      </c>
      <c r="C37" s="23" t="s">
        <v>1044</v>
      </c>
      <c r="D37" s="24" t="n">
        <v>0</v>
      </c>
      <c r="E37" s="23" t="n">
        <v>8</v>
      </c>
      <c r="F37" s="23" t="n">
        <f aca="false">IF(E37&lt;=4,'Hệ số'!$B$8,IF(E37&lt;=8,'Hệ số'!$B$9,IF(E37&lt;=13,'Hệ số'!$B$10,'Hệ số'!$B$11)))</f>
        <v>1.15</v>
      </c>
      <c r="G37" s="23" t="n">
        <f aca="false">ROUND(E37*F37,0)</f>
        <v>9</v>
      </c>
      <c r="H37" s="23" t="n">
        <v>801</v>
      </c>
      <c r="I37" s="24" t="n">
        <v>801</v>
      </c>
      <c r="J37" s="23" t="n">
        <f aca="false">IF(OR(E37=0,G37=E37),I37,ROUND(I37*(G37/E37)^'Hệ số'!$B$4,-1))</f>
        <v>920</v>
      </c>
      <c r="K37" s="23"/>
      <c r="L37" s="23" t="n">
        <f aca="false">IF(K37="",J37,K37)</f>
        <v>920</v>
      </c>
      <c r="M37" s="25" t="n">
        <f aca="false">IF(E37=0,1,G37/E37)</f>
        <v>1.125</v>
      </c>
      <c r="N37" s="26" t="n">
        <f aca="false">IF(E37=0,0,MIN('Hệ số'!$B$6,MAX(0,'Hệ số'!$B$5*(G37-'Hệ số'!$B$7))))</f>
        <v>0.0125</v>
      </c>
      <c r="O37" s="25" t="n">
        <f aca="false">ROUND(IF(D37=1,M37,M37*(1+N37)),4)</f>
        <v>1.1391</v>
      </c>
      <c r="P37" s="25" t="n">
        <f aca="false">ROUND(M37*(1+N37),4)</f>
        <v>1.1391</v>
      </c>
      <c r="Q37" s="23" t="n">
        <f aca="false">IF(E37=0,"",IF(G37&lt;='Hệ số'!$B$12,2.5,IF(G37&gt;='Hệ số'!$B$13,5,3.5)))</f>
        <v>3.5</v>
      </c>
    </row>
    <row r="38" customFormat="false" ht="15" hidden="false" customHeight="false" outlineLevel="0" collapsed="false">
      <c r="A38" s="23" t="s">
        <v>413</v>
      </c>
      <c r="B38" s="23" t="s">
        <v>1054</v>
      </c>
      <c r="C38" s="23" t="s">
        <v>1046</v>
      </c>
      <c r="D38" s="24" t="n">
        <v>0</v>
      </c>
      <c r="E38" s="23" t="n">
        <v>9</v>
      </c>
      <c r="F38" s="23" t="n">
        <f aca="false">IF(E38&lt;=4,'Hệ số'!$B$8,IF(E38&lt;=8,'Hệ số'!$B$9,IF(E38&lt;=13,'Hệ số'!$B$10,'Hệ số'!$B$11)))</f>
        <v>1.25</v>
      </c>
      <c r="G38" s="23" t="n">
        <f aca="false">ROUND(E38*F38,0)</f>
        <v>11</v>
      </c>
      <c r="H38" s="23" t="n">
        <v>1760</v>
      </c>
      <c r="I38" s="24" t="n">
        <v>1760</v>
      </c>
      <c r="J38" s="23" t="n">
        <f aca="false">IF(OR(E38=0,G38=E38),I38,ROUND(I38*(G38/E38)^'Hệ số'!$B$4,-1))</f>
        <v>2220</v>
      </c>
      <c r="K38" s="23"/>
      <c r="L38" s="23" t="n">
        <f aca="false">IF(K38="",J38,K38)</f>
        <v>2220</v>
      </c>
      <c r="M38" s="25" t="n">
        <f aca="false">IF(E38=0,1,G38/E38)</f>
        <v>1.22222222222222</v>
      </c>
      <c r="N38" s="26" t="n">
        <f aca="false">IF(E38=0,0,MIN('Hệ số'!$B$6,MAX(0,'Hệ số'!$B$5*(G38-'Hệ số'!$B$7))))</f>
        <v>0.0375</v>
      </c>
      <c r="O38" s="25" t="n">
        <f aca="false">ROUND(IF(D38=1,M38,M38*(1+N38)),4)</f>
        <v>1.2681</v>
      </c>
      <c r="P38" s="25" t="n">
        <f aca="false">ROUND(M38*(1+N38),4)</f>
        <v>1.2681</v>
      </c>
      <c r="Q38" s="23" t="n">
        <f aca="false">IF(E38=0,"",IF(G38&lt;='Hệ số'!$B$12,2.5,IF(G38&gt;='Hệ số'!$B$13,5,3.5)))</f>
        <v>3.5</v>
      </c>
    </row>
    <row r="39" customFormat="false" ht="15" hidden="false" customHeight="false" outlineLevel="0" collapsed="false">
      <c r="A39" s="23" t="s">
        <v>419</v>
      </c>
      <c r="B39" s="23" t="s">
        <v>1055</v>
      </c>
      <c r="C39" s="23" t="s">
        <v>1044</v>
      </c>
      <c r="D39" s="24" t="n">
        <v>0</v>
      </c>
      <c r="E39" s="23" t="n">
        <v>9</v>
      </c>
      <c r="F39" s="23" t="n">
        <f aca="false">IF(E39&lt;=4,'Hệ số'!$B$8,IF(E39&lt;=8,'Hệ số'!$B$9,IF(E39&lt;=13,'Hệ số'!$B$10,'Hệ số'!$B$11)))</f>
        <v>1.25</v>
      </c>
      <c r="G39" s="23" t="n">
        <f aca="false">ROUND(E39*F39,0)</f>
        <v>11</v>
      </c>
      <c r="H39" s="23" t="n">
        <v>1056</v>
      </c>
      <c r="I39" s="24" t="n">
        <v>1056</v>
      </c>
      <c r="J39" s="23" t="n">
        <f aca="false">IF(OR(E39=0,G39=E39),I39,ROUND(I39*(G39/E39)^'Hệ số'!$B$4,-1))</f>
        <v>1330</v>
      </c>
      <c r="K39" s="23"/>
      <c r="L39" s="23" t="n">
        <f aca="false">IF(K39="",J39,K39)</f>
        <v>1330</v>
      </c>
      <c r="M39" s="25" t="n">
        <f aca="false">IF(E39=0,1,G39/E39)</f>
        <v>1.22222222222222</v>
      </c>
      <c r="N39" s="26" t="n">
        <f aca="false">IF(E39=0,0,MIN('Hệ số'!$B$6,MAX(0,'Hệ số'!$B$5*(G39-'Hệ số'!$B$7))))</f>
        <v>0.0375</v>
      </c>
      <c r="O39" s="25" t="n">
        <f aca="false">ROUND(IF(D39=1,M39,M39*(1+N39)),4)</f>
        <v>1.2681</v>
      </c>
      <c r="P39" s="25" t="n">
        <f aca="false">ROUND(M39*(1+N39),4)</f>
        <v>1.2681</v>
      </c>
      <c r="Q39" s="23" t="n">
        <f aca="false">IF(E39=0,"",IF(G39&lt;='Hệ số'!$B$12,2.5,IF(G39&gt;='Hệ số'!$B$13,5,3.5)))</f>
        <v>3.5</v>
      </c>
    </row>
    <row r="40" customFormat="false" ht="15" hidden="false" customHeight="false" outlineLevel="0" collapsed="false">
      <c r="A40" s="23" t="s">
        <v>425</v>
      </c>
      <c r="B40" s="23" t="s">
        <v>1056</v>
      </c>
      <c r="C40" s="23" t="s">
        <v>1044</v>
      </c>
      <c r="D40" s="24" t="n">
        <v>0</v>
      </c>
      <c r="E40" s="23" t="n">
        <v>12</v>
      </c>
      <c r="F40" s="23" t="n">
        <f aca="false">IF(E40&lt;=4,'Hệ số'!$B$8,IF(E40&lt;=8,'Hệ số'!$B$9,IF(E40&lt;=13,'Hệ số'!$B$10,'Hệ số'!$B$11)))</f>
        <v>1.25</v>
      </c>
      <c r="G40" s="23" t="n">
        <f aca="false">ROUND(E40*F40,0)</f>
        <v>15</v>
      </c>
      <c r="H40" s="23" t="n">
        <v>1144</v>
      </c>
      <c r="I40" s="24" t="n">
        <v>1144</v>
      </c>
      <c r="J40" s="23" t="n">
        <f aca="false">IF(OR(E40=0,G40=E40),I40,ROUND(I40*(G40/E40)^'Hệ số'!$B$4,-1))</f>
        <v>1480</v>
      </c>
      <c r="K40" s="23"/>
      <c r="L40" s="23" t="n">
        <f aca="false">IF(K40="",J40,K40)</f>
        <v>1480</v>
      </c>
      <c r="M40" s="25" t="n">
        <f aca="false">IF(E40=0,1,G40/E40)</f>
        <v>1.25</v>
      </c>
      <c r="N40" s="26" t="n">
        <f aca="false">IF(E40=0,0,MIN('Hệ số'!$B$6,MAX(0,'Hệ số'!$B$5*(G40-'Hệ số'!$B$7))))</f>
        <v>0.0875</v>
      </c>
      <c r="O40" s="25" t="n">
        <f aca="false">ROUND(IF(D40=1,M40,M40*(1+N40)),4)</f>
        <v>1.3594</v>
      </c>
      <c r="P40" s="25" t="n">
        <f aca="false">ROUND(M40*(1+N40),4)</f>
        <v>1.3594</v>
      </c>
      <c r="Q40" s="23" t="n">
        <f aca="false">IF(E40=0,"",IF(G40&lt;='Hệ số'!$B$12,2.5,IF(G40&gt;='Hệ số'!$B$13,5,3.5)))</f>
        <v>5</v>
      </c>
    </row>
    <row r="41" customFormat="false" ht="15" hidden="false" customHeight="false" outlineLevel="0" collapsed="false">
      <c r="A41" s="23" t="s">
        <v>432</v>
      </c>
      <c r="B41" s="23" t="s">
        <v>1057</v>
      </c>
      <c r="C41" s="23" t="s">
        <v>1044</v>
      </c>
      <c r="D41" s="24" t="n">
        <v>0</v>
      </c>
      <c r="E41" s="23" t="n">
        <v>13</v>
      </c>
      <c r="F41" s="23" t="n">
        <f aca="false">IF(E41&lt;=4,'Hệ số'!$B$8,IF(E41&lt;=8,'Hệ số'!$B$9,IF(E41&lt;=13,'Hệ số'!$B$10,'Hệ số'!$B$11)))</f>
        <v>1.25</v>
      </c>
      <c r="G41" s="23" t="n">
        <f aca="false">ROUND(E41*F41,0)</f>
        <v>16</v>
      </c>
      <c r="H41" s="23" t="n">
        <v>1300</v>
      </c>
      <c r="I41" s="24" t="n">
        <v>1300</v>
      </c>
      <c r="J41" s="23" t="n">
        <f aca="false">IF(OR(E41=0,G41=E41),I41,ROUND(I41*(G41/E41)^'Hệ số'!$B$4,-1))</f>
        <v>1650</v>
      </c>
      <c r="K41" s="23"/>
      <c r="L41" s="23" t="n">
        <f aca="false">IF(K41="",J41,K41)</f>
        <v>1650</v>
      </c>
      <c r="M41" s="25" t="n">
        <f aca="false">IF(E41=0,1,G41/E41)</f>
        <v>1.23076923076923</v>
      </c>
      <c r="N41" s="26" t="n">
        <f aca="false">IF(E41=0,0,MIN('Hệ số'!$B$6,MAX(0,'Hệ số'!$B$5*(G41-'Hệ số'!$B$7))))</f>
        <v>0.1</v>
      </c>
      <c r="O41" s="25" t="n">
        <f aca="false">ROUND(IF(D41=1,M41,M41*(1+N41)),4)</f>
        <v>1.3538</v>
      </c>
      <c r="P41" s="25" t="n">
        <f aca="false">ROUND(M41*(1+N41),4)</f>
        <v>1.3538</v>
      </c>
      <c r="Q41" s="23" t="n">
        <f aca="false">IF(E41=0,"",IF(G41&lt;='Hệ số'!$B$12,2.5,IF(G41&gt;='Hệ số'!$B$13,5,3.5)))</f>
        <v>5</v>
      </c>
    </row>
    <row r="42" customFormat="false" ht="15" hidden="false" customHeight="false" outlineLevel="0" collapsed="false">
      <c r="A42" s="23" t="s">
        <v>441</v>
      </c>
      <c r="B42" s="23" t="s">
        <v>1058</v>
      </c>
      <c r="C42" s="23" t="s">
        <v>1044</v>
      </c>
      <c r="D42" s="24" t="n">
        <v>0</v>
      </c>
      <c r="E42" s="23" t="n">
        <v>13</v>
      </c>
      <c r="F42" s="23" t="n">
        <f aca="false">IF(E42&lt;=4,'Hệ số'!$B$8,IF(E42&lt;=8,'Hệ số'!$B$9,IF(E42&lt;=13,'Hệ số'!$B$10,'Hệ số'!$B$11)))</f>
        <v>1.25</v>
      </c>
      <c r="G42" s="23" t="n">
        <f aca="false">ROUND(E42*F42,0)</f>
        <v>16</v>
      </c>
      <c r="H42" s="23" t="n">
        <v>1056</v>
      </c>
      <c r="I42" s="24" t="n">
        <v>1056</v>
      </c>
      <c r="J42" s="23" t="n">
        <f aca="false">IF(OR(E42=0,G42=E42),I42,ROUND(I42*(G42/E42)^'Hệ số'!$B$4,-1))</f>
        <v>1340</v>
      </c>
      <c r="K42" s="23"/>
      <c r="L42" s="23" t="n">
        <f aca="false">IF(K42="",J42,K42)</f>
        <v>1340</v>
      </c>
      <c r="M42" s="25" t="n">
        <f aca="false">IF(E42=0,1,G42/E42)</f>
        <v>1.23076923076923</v>
      </c>
      <c r="N42" s="26" t="n">
        <f aca="false">IF(E42=0,0,MIN('Hệ số'!$B$6,MAX(0,'Hệ số'!$B$5*(G42-'Hệ số'!$B$7))))</f>
        <v>0.1</v>
      </c>
      <c r="O42" s="25" t="n">
        <f aca="false">ROUND(IF(D42=1,M42,M42*(1+N42)),4)</f>
        <v>1.3538</v>
      </c>
      <c r="P42" s="25" t="n">
        <f aca="false">ROUND(M42*(1+N42),4)</f>
        <v>1.3538</v>
      </c>
      <c r="Q42" s="23" t="n">
        <f aca="false">IF(E42=0,"",IF(G42&lt;='Hệ số'!$B$12,2.5,IF(G42&gt;='Hệ số'!$B$13,5,3.5)))</f>
        <v>5</v>
      </c>
    </row>
    <row r="43" customFormat="false" ht="15" hidden="false" customHeight="false" outlineLevel="0" collapsed="false">
      <c r="A43" s="23" t="s">
        <v>448</v>
      </c>
      <c r="B43" s="23" t="s">
        <v>1059</v>
      </c>
      <c r="C43" s="23" t="s">
        <v>1044</v>
      </c>
      <c r="D43" s="24" t="n">
        <v>1</v>
      </c>
      <c r="E43" s="23" t="n">
        <v>13</v>
      </c>
      <c r="F43" s="23" t="n">
        <f aca="false">IF(E43&lt;=4,'Hệ số'!$B$8,IF(E43&lt;=8,'Hệ số'!$B$9,IF(E43&lt;=13,'Hệ số'!$B$10,'Hệ số'!$B$11)))</f>
        <v>1.25</v>
      </c>
      <c r="G43" s="23" t="n">
        <f aca="false">ROUND(E43*F43,0)</f>
        <v>16</v>
      </c>
      <c r="H43" s="23" t="n">
        <v>1390</v>
      </c>
      <c r="I43" s="24" t="n">
        <v>1390</v>
      </c>
      <c r="J43" s="23" t="n">
        <f aca="false">IF(OR(E43=0,G43=E43),I43,ROUND(I43*(G43/E43)^'Hệ số'!$B$4,-1))</f>
        <v>1760</v>
      </c>
      <c r="K43" s="24" t="n">
        <v>2400</v>
      </c>
      <c r="L43" s="23" t="n">
        <f aca="false">IF(K43="",J43,K43)</f>
        <v>2400</v>
      </c>
      <c r="M43" s="25" t="n">
        <f aca="false">IF(E43=0,1,G43/E43)</f>
        <v>1.23076923076923</v>
      </c>
      <c r="N43" s="26" t="n">
        <f aca="false">IF(E43=0,0,MIN('Hệ số'!$B$6,MAX(0,'Hệ số'!$B$5*(G43-'Hệ số'!$B$7))))</f>
        <v>0.1</v>
      </c>
      <c r="O43" s="25" t="n">
        <f aca="false">ROUND(IF(D43=1,M43,M43*(1+N43)),4)</f>
        <v>1.2308</v>
      </c>
      <c r="P43" s="25" t="n">
        <f aca="false">ROUND(M43*(1+N43),4)</f>
        <v>1.3538</v>
      </c>
      <c r="Q43" s="23" t="n">
        <f aca="false">IF(E43=0,"",IF(G43&lt;='Hệ số'!$B$12,2.5,IF(G43&gt;='Hệ số'!$B$13,5,3.5)))</f>
        <v>5</v>
      </c>
    </row>
    <row r="44" customFormat="false" ht="15" hidden="false" customHeight="false" outlineLevel="0" collapsed="false">
      <c r="A44" s="23" t="s">
        <v>457</v>
      </c>
      <c r="B44" s="23" t="s">
        <v>1060</v>
      </c>
      <c r="C44" s="23" t="s">
        <v>1046</v>
      </c>
      <c r="D44" s="24" t="n">
        <v>0</v>
      </c>
      <c r="E44" s="23" t="n">
        <v>14</v>
      </c>
      <c r="F44" s="23" t="n">
        <f aca="false">IF(E44&lt;=4,'Hệ số'!$B$8,IF(E44&lt;=8,'Hệ số'!$B$9,IF(E44&lt;=13,'Hệ số'!$B$10,'Hệ số'!$B$11)))</f>
        <v>1.3</v>
      </c>
      <c r="G44" s="23" t="n">
        <f aca="false">ROUND(E44*F44,0)</f>
        <v>18</v>
      </c>
      <c r="H44" s="23" t="n">
        <v>3500</v>
      </c>
      <c r="I44" s="24" t="n">
        <v>3500</v>
      </c>
      <c r="J44" s="23" t="n">
        <f aca="false">IF(OR(E44=0,G44=E44),I44,ROUND(I44*(G44/E44)^'Hệ số'!$B$4,-1))</f>
        <v>4670</v>
      </c>
      <c r="K44" s="23"/>
      <c r="L44" s="23" t="n">
        <f aca="false">IF(K44="",J44,K44)</f>
        <v>4670</v>
      </c>
      <c r="M44" s="25" t="n">
        <f aca="false">IF(E44=0,1,G44/E44)</f>
        <v>1.28571428571429</v>
      </c>
      <c r="N44" s="26" t="n">
        <f aca="false">IF(E44=0,0,MIN('Hệ số'!$B$6,MAX(0,'Hệ số'!$B$5*(G44-'Hệ số'!$B$7))))</f>
        <v>0.125</v>
      </c>
      <c r="O44" s="25" t="n">
        <f aca="false">ROUND(IF(D44=1,M44,M44*(1+N44)),4)</f>
        <v>1.4464</v>
      </c>
      <c r="P44" s="25" t="n">
        <f aca="false">ROUND(M44*(1+N44),4)</f>
        <v>1.4464</v>
      </c>
      <c r="Q44" s="23" t="n">
        <f aca="false">IF(E44=0,"",IF(G44&lt;='Hệ số'!$B$12,2.5,IF(G44&gt;='Hệ số'!$B$13,5,3.5)))</f>
        <v>5</v>
      </c>
    </row>
    <row r="45" customFormat="false" ht="15" hidden="false" customHeight="false" outlineLevel="0" collapsed="false">
      <c r="A45" s="23" t="s">
        <v>466</v>
      </c>
      <c r="B45" s="23" t="s">
        <v>1061</v>
      </c>
      <c r="C45" s="23" t="s">
        <v>1046</v>
      </c>
      <c r="D45" s="24" t="n">
        <v>0</v>
      </c>
      <c r="E45" s="23" t="n">
        <v>15</v>
      </c>
      <c r="F45" s="23" t="n">
        <f aca="false">IF(E45&lt;=4,'Hệ số'!$B$8,IF(E45&lt;=8,'Hệ số'!$B$9,IF(E45&lt;=13,'Hệ số'!$B$10,'Hệ số'!$B$11)))</f>
        <v>1.3</v>
      </c>
      <c r="G45" s="23" t="n">
        <f aca="false">ROUND(E45*F45,0)</f>
        <v>20</v>
      </c>
      <c r="H45" s="23" t="n">
        <v>2600</v>
      </c>
      <c r="I45" s="24" t="n">
        <v>2600</v>
      </c>
      <c r="J45" s="23" t="n">
        <f aca="false">IF(OR(E45=0,G45=E45),I45,ROUND(I45*(G45/E45)^'Hệ số'!$B$4,-1))</f>
        <v>3620</v>
      </c>
      <c r="K45" s="23"/>
      <c r="L45" s="23" t="n">
        <f aca="false">IF(K45="",J45,K45)</f>
        <v>3620</v>
      </c>
      <c r="M45" s="25" t="n">
        <f aca="false">IF(E45=0,1,G45/E45)</f>
        <v>1.33333333333333</v>
      </c>
      <c r="N45" s="26" t="n">
        <f aca="false">IF(E45=0,0,MIN('Hệ số'!$B$6,MAX(0,'Hệ số'!$B$5*(G45-'Hệ số'!$B$7))))</f>
        <v>0.15</v>
      </c>
      <c r="O45" s="25" t="n">
        <f aca="false">ROUND(IF(D45=1,M45,M45*(1+N45)),4)</f>
        <v>1.5333</v>
      </c>
      <c r="P45" s="25" t="n">
        <f aca="false">ROUND(M45*(1+N45),4)</f>
        <v>1.5333</v>
      </c>
      <c r="Q45" s="23" t="n">
        <f aca="false">IF(E45=0,"",IF(G45&lt;='Hệ số'!$B$12,2.5,IF(G45&gt;='Hệ số'!$B$13,5,3.5)))</f>
        <v>5</v>
      </c>
    </row>
    <row r="46" customFormat="false" ht="15" hidden="false" customHeight="false" outlineLevel="0" collapsed="false">
      <c r="A46" s="23" t="s">
        <v>475</v>
      </c>
      <c r="B46" s="23" t="s">
        <v>1062</v>
      </c>
      <c r="C46" s="23" t="s">
        <v>1044</v>
      </c>
      <c r="D46" s="24" t="n">
        <v>1</v>
      </c>
      <c r="E46" s="23" t="n">
        <v>16</v>
      </c>
      <c r="F46" s="23" t="n">
        <f aca="false">IF(E46&lt;=4,'Hệ số'!$B$8,IF(E46&lt;=8,'Hệ số'!$B$9,IF(E46&lt;=13,'Hệ số'!$B$10,'Hệ số'!$B$11)))</f>
        <v>1.3</v>
      </c>
      <c r="G46" s="23" t="n">
        <f aca="false">ROUND(E46*F46,0)</f>
        <v>21</v>
      </c>
      <c r="H46" s="23" t="n">
        <v>2200</v>
      </c>
      <c r="I46" s="24" t="n">
        <v>2200</v>
      </c>
      <c r="J46" s="23" t="n">
        <f aca="false">IF(OR(E46=0,G46=E46),I46,ROUND(I46*(G46/E46)^'Hệ số'!$B$4,-1))</f>
        <v>3010</v>
      </c>
      <c r="K46" s="23"/>
      <c r="L46" s="23" t="n">
        <f aca="false">IF(K46="",J46,K46)</f>
        <v>3010</v>
      </c>
      <c r="M46" s="25" t="n">
        <f aca="false">IF(E46=0,1,G46/E46)</f>
        <v>1.3125</v>
      </c>
      <c r="N46" s="26" t="n">
        <f aca="false">IF(E46=0,0,MIN('Hệ số'!$B$6,MAX(0,'Hệ số'!$B$5*(G46-'Hệ số'!$B$7))))</f>
        <v>0.15</v>
      </c>
      <c r="O46" s="25" t="n">
        <f aca="false">ROUND(IF(D46=1,M46,M46*(1+N46)),4)</f>
        <v>1.3125</v>
      </c>
      <c r="P46" s="25" t="n">
        <f aca="false">ROUND(M46*(1+N46),4)</f>
        <v>1.5094</v>
      </c>
      <c r="Q46" s="23" t="n">
        <f aca="false">IF(E46=0,"",IF(G46&lt;='Hệ số'!$B$12,2.5,IF(G46&gt;='Hệ số'!$B$13,5,3.5)))</f>
        <v>5</v>
      </c>
    </row>
    <row r="47" customFormat="false" ht="15" hidden="false" customHeight="false" outlineLevel="0" collapsed="false">
      <c r="A47" s="23" t="s">
        <v>486</v>
      </c>
      <c r="B47" s="23" t="s">
        <v>1063</v>
      </c>
      <c r="C47" s="23" t="s">
        <v>1044</v>
      </c>
      <c r="D47" s="24" t="n">
        <v>0</v>
      </c>
      <c r="E47" s="23" t="n">
        <v>17</v>
      </c>
      <c r="F47" s="23" t="n">
        <f aca="false">IF(E47&lt;=4,'Hệ số'!$B$8,IF(E47&lt;=8,'Hệ số'!$B$9,IF(E47&lt;=13,'Hệ số'!$B$10,'Hệ số'!$B$11)))</f>
        <v>1.3</v>
      </c>
      <c r="G47" s="23" t="n">
        <f aca="false">ROUND(E47*F47,0)</f>
        <v>22</v>
      </c>
      <c r="H47" s="23" t="n">
        <v>1500</v>
      </c>
      <c r="I47" s="24" t="n">
        <v>1500</v>
      </c>
      <c r="J47" s="23" t="n">
        <f aca="false">IF(OR(E47=0,G47=E47),I47,ROUND(I47*(G47/E47)^'Hệ số'!$B$4,-1))</f>
        <v>2020</v>
      </c>
      <c r="K47" s="23"/>
      <c r="L47" s="23" t="n">
        <f aca="false">IF(K47="",J47,K47)</f>
        <v>2020</v>
      </c>
      <c r="M47" s="25" t="n">
        <f aca="false">IF(E47=0,1,G47/E47)</f>
        <v>1.29411764705882</v>
      </c>
      <c r="N47" s="26" t="n">
        <f aca="false">IF(E47=0,0,MIN('Hệ số'!$B$6,MAX(0,'Hệ số'!$B$5*(G47-'Hệ số'!$B$7))))</f>
        <v>0.15</v>
      </c>
      <c r="O47" s="25" t="n">
        <f aca="false">ROUND(IF(D47=1,M47,M47*(1+N47)),4)</f>
        <v>1.4882</v>
      </c>
      <c r="P47" s="25" t="n">
        <f aca="false">ROUND(M47*(1+N47),4)</f>
        <v>1.4882</v>
      </c>
      <c r="Q47" s="23" t="n">
        <f aca="false">IF(E47=0,"",IF(G47&lt;='Hệ số'!$B$12,2.5,IF(G47&gt;='Hệ số'!$B$13,5,3.5)))</f>
        <v>5</v>
      </c>
    </row>
    <row r="48" customFormat="false" ht="15" hidden="false" customHeight="false" outlineLevel="0" collapsed="false">
      <c r="A48" s="23" t="s">
        <v>495</v>
      </c>
      <c r="B48" s="23" t="s">
        <v>1064</v>
      </c>
      <c r="C48" s="23" t="s">
        <v>1044</v>
      </c>
      <c r="D48" s="24" t="n">
        <v>0</v>
      </c>
      <c r="E48" s="23" t="n">
        <v>18</v>
      </c>
      <c r="F48" s="23" t="n">
        <f aca="false">IF(E48&lt;=4,'Hệ số'!$B$8,IF(E48&lt;=8,'Hệ số'!$B$9,IF(E48&lt;=13,'Hệ số'!$B$10,'Hệ số'!$B$11)))</f>
        <v>1.3</v>
      </c>
      <c r="G48" s="23" t="n">
        <f aca="false">ROUND(E48*F48,0)</f>
        <v>23</v>
      </c>
      <c r="H48" s="23" t="n">
        <v>1870</v>
      </c>
      <c r="I48" s="24" t="n">
        <v>1870</v>
      </c>
      <c r="J48" s="23" t="n">
        <f aca="false">IF(OR(E48=0,G48=E48),I48,ROUND(I48*(G48/E48)^'Hệ số'!$B$4,-1))</f>
        <v>2480</v>
      </c>
      <c r="K48" s="23"/>
      <c r="L48" s="23" t="n">
        <f aca="false">IF(K48="",J48,K48)</f>
        <v>2480</v>
      </c>
      <c r="M48" s="25" t="n">
        <f aca="false">IF(E48=0,1,G48/E48)</f>
        <v>1.27777777777778</v>
      </c>
      <c r="N48" s="26" t="n">
        <f aca="false">IF(E48=0,0,MIN('Hệ số'!$B$6,MAX(0,'Hệ số'!$B$5*(G48-'Hệ số'!$B$7))))</f>
        <v>0.15</v>
      </c>
      <c r="O48" s="25" t="n">
        <f aca="false">ROUND(IF(D48=1,M48,M48*(1+N48)),4)</f>
        <v>1.4694</v>
      </c>
      <c r="P48" s="25" t="n">
        <f aca="false">ROUND(M48*(1+N48),4)</f>
        <v>1.4694</v>
      </c>
      <c r="Q48" s="23" t="n">
        <f aca="false">IF(E48=0,"",IF(G48&lt;='Hệ số'!$B$12,2.5,IF(G48&gt;='Hệ số'!$B$13,5,3.5)))</f>
        <v>5</v>
      </c>
    </row>
    <row r="49" customFormat="false" ht="15" hidden="false" customHeight="false" outlineLevel="0" collapsed="false">
      <c r="A49" s="23" t="s">
        <v>504</v>
      </c>
      <c r="B49" s="23" t="s">
        <v>1065</v>
      </c>
      <c r="C49" s="23" t="s">
        <v>1044</v>
      </c>
      <c r="D49" s="24" t="n">
        <v>1</v>
      </c>
      <c r="E49" s="23" t="n">
        <v>21</v>
      </c>
      <c r="F49" s="23" t="n">
        <f aca="false">IF(E49&lt;=4,'Hệ số'!$B$8,IF(E49&lt;=8,'Hệ số'!$B$9,IF(E49&lt;=13,'Hệ số'!$B$10,'Hệ số'!$B$11)))</f>
        <v>1.3</v>
      </c>
      <c r="G49" s="23" t="n">
        <f aca="false">ROUND(E49*F49,0)</f>
        <v>27</v>
      </c>
      <c r="H49" s="23" t="n">
        <v>1980</v>
      </c>
      <c r="I49" s="24" t="n">
        <v>1980</v>
      </c>
      <c r="J49" s="23" t="n">
        <f aca="false">IF(OR(E49=0,G49=E49),I49,ROUND(I49*(G49/E49)^'Hệ số'!$B$4,-1))</f>
        <v>2640</v>
      </c>
      <c r="K49" s="23"/>
      <c r="L49" s="23" t="n">
        <f aca="false">IF(K49="",J49,K49)</f>
        <v>2640</v>
      </c>
      <c r="M49" s="25" t="n">
        <f aca="false">IF(E49=0,1,G49/E49)</f>
        <v>1.28571428571429</v>
      </c>
      <c r="N49" s="26" t="n">
        <f aca="false">IF(E49=0,0,MIN('Hệ số'!$B$6,MAX(0,'Hệ số'!$B$5*(G49-'Hệ số'!$B$7))))</f>
        <v>0.15</v>
      </c>
      <c r="O49" s="25" t="n">
        <f aca="false">ROUND(IF(D49=1,M49,M49*(1+N49)),4)</f>
        <v>1.2857</v>
      </c>
      <c r="P49" s="25" t="n">
        <f aca="false">ROUND(M49*(1+N49),4)</f>
        <v>1.4786</v>
      </c>
      <c r="Q49" s="23" t="n">
        <f aca="false">IF(E49=0,"",IF(G49&lt;='Hệ số'!$B$12,2.5,IF(G49&gt;='Hệ số'!$B$13,5,3.5)))</f>
        <v>5</v>
      </c>
    </row>
    <row r="50" customFormat="false" ht="15" hidden="false" customHeight="false" outlineLevel="0" collapsed="false">
      <c r="A50" s="23" t="s">
        <v>515</v>
      </c>
      <c r="B50" s="23" t="s">
        <v>1066</v>
      </c>
      <c r="C50" s="23" t="s">
        <v>1044</v>
      </c>
      <c r="D50" s="24" t="n">
        <v>1</v>
      </c>
      <c r="E50" s="23" t="n">
        <v>22</v>
      </c>
      <c r="F50" s="23" t="n">
        <f aca="false">IF(E50&lt;=4,'Hệ số'!$B$8,IF(E50&lt;=8,'Hệ số'!$B$9,IF(E50&lt;=13,'Hệ số'!$B$10,'Hệ số'!$B$11)))</f>
        <v>1.3</v>
      </c>
      <c r="G50" s="23" t="n">
        <f aca="false">ROUND(E50*F50,0)</f>
        <v>29</v>
      </c>
      <c r="H50" s="23" t="n">
        <v>3300</v>
      </c>
      <c r="I50" s="24" t="n">
        <v>3300</v>
      </c>
      <c r="J50" s="23" t="n">
        <f aca="false">IF(OR(E50=0,G50=E50),I50,ROUND(I50*(G50/E50)^'Hệ số'!$B$4,-1))</f>
        <v>4530</v>
      </c>
      <c r="K50" s="23"/>
      <c r="L50" s="23" t="n">
        <f aca="false">IF(K50="",J50,K50)</f>
        <v>4530</v>
      </c>
      <c r="M50" s="25" t="n">
        <f aca="false">IF(E50=0,1,G50/E50)</f>
        <v>1.31818181818182</v>
      </c>
      <c r="N50" s="26" t="n">
        <f aca="false">IF(E50=0,0,MIN('Hệ số'!$B$6,MAX(0,'Hệ số'!$B$5*(G50-'Hệ số'!$B$7))))</f>
        <v>0.15</v>
      </c>
      <c r="O50" s="25" t="n">
        <f aca="false">ROUND(IF(D50=1,M50,M50*(1+N50)),4)</f>
        <v>1.3182</v>
      </c>
      <c r="P50" s="25" t="n">
        <f aca="false">ROUND(M50*(1+N50),4)</f>
        <v>1.5159</v>
      </c>
      <c r="Q50" s="23" t="n">
        <f aca="false">IF(E50=0,"",IF(G50&lt;='Hệ số'!$B$12,2.5,IF(G50&gt;='Hệ số'!$B$13,5,3.5)))</f>
        <v>5</v>
      </c>
    </row>
    <row r="51" customFormat="false" ht="15" hidden="false" customHeight="false" outlineLevel="0" collapsed="false">
      <c r="A51" s="23" t="s">
        <v>173</v>
      </c>
      <c r="B51" s="23" t="s">
        <v>1067</v>
      </c>
      <c r="C51" s="23" t="s">
        <v>1044</v>
      </c>
      <c r="D51" s="24" t="n">
        <v>0</v>
      </c>
      <c r="E51" s="23" t="n">
        <v>22</v>
      </c>
      <c r="F51" s="23" t="n">
        <f aca="false">IF(E51&lt;=4,'Hệ số'!$B$8,IF(E51&lt;=8,'Hệ số'!$B$9,IF(E51&lt;=13,'Hệ số'!$B$10,'Hệ số'!$B$11)))</f>
        <v>1.3</v>
      </c>
      <c r="G51" s="23" t="n">
        <f aca="false">ROUND(E51*F51,0)</f>
        <v>29</v>
      </c>
      <c r="H51" s="23" t="n">
        <v>2352</v>
      </c>
      <c r="I51" s="24" t="n">
        <v>4400</v>
      </c>
      <c r="J51" s="23" t="n">
        <f aca="false">IF(OR(E51=0,G51=E51),I51,ROUND(I51*(G51/E51)^'Hệ số'!$B$4,-1))</f>
        <v>6050</v>
      </c>
      <c r="K51" s="24" t="n">
        <v>4900</v>
      </c>
      <c r="L51" s="23" t="n">
        <f aca="false">IF(K51="",J51,K51)</f>
        <v>4900</v>
      </c>
      <c r="M51" s="25" t="n">
        <f aca="false">IF(E51=0,1,G51/E51)</f>
        <v>1.31818181818182</v>
      </c>
      <c r="N51" s="26" t="n">
        <f aca="false">IF(E51=0,0,MIN('Hệ số'!$B$6,MAX(0,'Hệ số'!$B$5*(G51-'Hệ số'!$B$7))))</f>
        <v>0.15</v>
      </c>
      <c r="O51" s="25" t="n">
        <f aca="false">ROUND(IF(D51=1,M51,M51*(1+N51)),4)</f>
        <v>1.5159</v>
      </c>
      <c r="P51" s="25" t="n">
        <f aca="false">ROUND(M51*(1+N51),4)</f>
        <v>1.5159</v>
      </c>
      <c r="Q51" s="23" t="n">
        <f aca="false">IF(E51=0,"",IF(G51&lt;='Hệ số'!$B$12,2.5,IF(G51&gt;='Hệ số'!$B$13,5,3.5)))</f>
        <v>5</v>
      </c>
    </row>
    <row r="52" customFormat="false" ht="15" hidden="false" customHeight="false" outlineLevel="0" collapsed="false">
      <c r="A52" s="23" t="s">
        <v>533</v>
      </c>
      <c r="B52" s="23" t="s">
        <v>1068</v>
      </c>
      <c r="C52" s="23" t="s">
        <v>1069</v>
      </c>
      <c r="D52" s="24" t="n">
        <v>0</v>
      </c>
      <c r="E52" s="23" t="n">
        <v>2</v>
      </c>
      <c r="F52" s="23" t="n">
        <f aca="false">IF(E52&lt;=4,'Hệ số'!$B$8,IF(E52&lt;=8,'Hệ số'!$B$9,IF(E52&lt;=13,'Hệ số'!$B$10,'Hệ số'!$B$11)))</f>
        <v>1</v>
      </c>
      <c r="G52" s="23" t="n">
        <f aca="false">ROUND(E52*F52,0)</f>
        <v>2</v>
      </c>
      <c r="H52" s="23" t="n">
        <v>264</v>
      </c>
      <c r="I52" s="24" t="n">
        <v>264</v>
      </c>
      <c r="J52" s="23" t="n">
        <f aca="false">IF(OR(E52=0,G52=E52),I52,ROUND(I52*(G52/E52)^'Hệ số'!$B$4,-1))</f>
        <v>264</v>
      </c>
      <c r="K52" s="23"/>
      <c r="L52" s="23" t="n">
        <f aca="false">IF(K52="",J52,K52)</f>
        <v>264</v>
      </c>
      <c r="M52" s="25" t="n">
        <f aca="false">IF(E52=0,1,G52/E52)</f>
        <v>1</v>
      </c>
      <c r="N52" s="26" t="n">
        <f aca="false">IF(E52=0,0,MIN('Hệ số'!$B$6,MAX(0,'Hệ số'!$B$5*(G52-'Hệ số'!$B$7))))</f>
        <v>0</v>
      </c>
      <c r="O52" s="25" t="n">
        <f aca="false">ROUND(IF(D52=1,M52,M52*(1+N52)),4)</f>
        <v>1</v>
      </c>
      <c r="P52" s="25" t="n">
        <f aca="false">ROUND(M52*(1+N52),4)</f>
        <v>1</v>
      </c>
      <c r="Q52" s="23" t="n">
        <f aca="false">IF(E52=0,"",IF(G52&lt;='Hệ số'!$B$12,2.5,IF(G52&gt;='Hệ số'!$B$13,5,3.5)))</f>
        <v>2.5</v>
      </c>
    </row>
    <row r="53" customFormat="false" ht="15" hidden="false" customHeight="false" outlineLevel="0" collapsed="false">
      <c r="A53" s="23" t="s">
        <v>193</v>
      </c>
      <c r="B53" s="23" t="s">
        <v>1070</v>
      </c>
      <c r="C53" s="23" t="s">
        <v>1069</v>
      </c>
      <c r="D53" s="24" t="n">
        <v>0</v>
      </c>
      <c r="E53" s="23" t="n">
        <v>3</v>
      </c>
      <c r="F53" s="23" t="n">
        <f aca="false">IF(E53&lt;=4,'Hệ số'!$B$8,IF(E53&lt;=8,'Hệ số'!$B$9,IF(E53&lt;=13,'Hệ số'!$B$10,'Hệ số'!$B$11)))</f>
        <v>1</v>
      </c>
      <c r="G53" s="23" t="n">
        <f aca="false">ROUND(E53*F53,0)</f>
        <v>3</v>
      </c>
      <c r="H53" s="23" t="n">
        <v>801</v>
      </c>
      <c r="I53" s="24" t="n">
        <v>801</v>
      </c>
      <c r="J53" s="23" t="n">
        <f aca="false">IF(OR(E53=0,G53=E53),I53,ROUND(I53*(G53/E53)^'Hệ số'!$B$4,-1))</f>
        <v>801</v>
      </c>
      <c r="K53" s="23"/>
      <c r="L53" s="23" t="n">
        <f aca="false">IF(K53="",J53,K53)</f>
        <v>801</v>
      </c>
      <c r="M53" s="25" t="n">
        <f aca="false">IF(E53=0,1,G53/E53)</f>
        <v>1</v>
      </c>
      <c r="N53" s="26" t="n">
        <f aca="false">IF(E53=0,0,MIN('Hệ số'!$B$6,MAX(0,'Hệ số'!$B$5*(G53-'Hệ số'!$B$7))))</f>
        <v>0</v>
      </c>
      <c r="O53" s="25" t="n">
        <f aca="false">ROUND(IF(D53=1,M53,M53*(1+N53)),4)</f>
        <v>1</v>
      </c>
      <c r="P53" s="25" t="n">
        <f aca="false">ROUND(M53*(1+N53),4)</f>
        <v>1</v>
      </c>
      <c r="Q53" s="23" t="n">
        <f aca="false">IF(E53=0,"",IF(G53&lt;='Hệ số'!$B$12,2.5,IF(G53&gt;='Hệ số'!$B$13,5,3.5)))</f>
        <v>2.5</v>
      </c>
    </row>
    <row r="54" customFormat="false" ht="15" hidden="false" customHeight="false" outlineLevel="0" collapsed="false">
      <c r="A54" s="23" t="s">
        <v>539</v>
      </c>
      <c r="B54" s="23" t="s">
        <v>1071</v>
      </c>
      <c r="C54" s="23" t="s">
        <v>1069</v>
      </c>
      <c r="D54" s="24" t="n">
        <v>0</v>
      </c>
      <c r="E54" s="23" t="n">
        <v>4</v>
      </c>
      <c r="F54" s="23" t="n">
        <f aca="false">IF(E54&lt;=4,'Hệ số'!$B$8,IF(E54&lt;=8,'Hệ số'!$B$9,IF(E54&lt;=13,'Hệ số'!$B$10,'Hệ số'!$B$11)))</f>
        <v>1</v>
      </c>
      <c r="G54" s="23" t="n">
        <f aca="false">ROUND(E54*F54,0)</f>
        <v>4</v>
      </c>
      <c r="H54" s="23" t="n">
        <v>700</v>
      </c>
      <c r="I54" s="24" t="n">
        <v>700</v>
      </c>
      <c r="J54" s="23" t="n">
        <f aca="false">IF(OR(E54=0,G54=E54),I54,ROUND(I54*(G54/E54)^'Hệ số'!$B$4,-1))</f>
        <v>700</v>
      </c>
      <c r="K54" s="23"/>
      <c r="L54" s="23" t="n">
        <f aca="false">IF(K54="",J54,K54)</f>
        <v>700</v>
      </c>
      <c r="M54" s="25" t="n">
        <f aca="false">IF(E54=0,1,G54/E54)</f>
        <v>1</v>
      </c>
      <c r="N54" s="26" t="n">
        <f aca="false">IF(E54=0,0,MIN('Hệ số'!$B$6,MAX(0,'Hệ số'!$B$5*(G54-'Hệ số'!$B$7))))</f>
        <v>0</v>
      </c>
      <c r="O54" s="25" t="n">
        <f aca="false">ROUND(IF(D54=1,M54,M54*(1+N54)),4)</f>
        <v>1</v>
      </c>
      <c r="P54" s="25" t="n">
        <f aca="false">ROUND(M54*(1+N54),4)</f>
        <v>1</v>
      </c>
      <c r="Q54" s="23" t="n">
        <f aca="false">IF(E54=0,"",IF(G54&lt;='Hệ số'!$B$12,2.5,IF(G54&gt;='Hệ số'!$B$13,5,3.5)))</f>
        <v>2.5</v>
      </c>
    </row>
    <row r="55" customFormat="false" ht="15" hidden="false" customHeight="false" outlineLevel="0" collapsed="false">
      <c r="A55" s="23" t="s">
        <v>542</v>
      </c>
      <c r="B55" s="23" t="s">
        <v>1072</v>
      </c>
      <c r="C55" s="23" t="s">
        <v>1069</v>
      </c>
      <c r="D55" s="24" t="n">
        <v>0</v>
      </c>
      <c r="E55" s="23" t="n">
        <v>5</v>
      </c>
      <c r="F55" s="23" t="n">
        <f aca="false">IF(E55&lt;=4,'Hệ số'!$B$8,IF(E55&lt;=8,'Hệ số'!$B$9,IF(E55&lt;=13,'Hệ số'!$B$10,'Hệ số'!$B$11)))</f>
        <v>1.15</v>
      </c>
      <c r="G55" s="23" t="n">
        <f aca="false">ROUND(E55*F55,0)</f>
        <v>6</v>
      </c>
      <c r="H55" s="23" t="n">
        <v>900</v>
      </c>
      <c r="I55" s="24" t="n">
        <v>900</v>
      </c>
      <c r="J55" s="23" t="n">
        <f aca="false">IF(OR(E55=0,G55=E55),I55,ROUND(I55*(G55/E55)^'Hệ số'!$B$4,-1))</f>
        <v>1110</v>
      </c>
      <c r="K55" s="23"/>
      <c r="L55" s="23" t="n">
        <f aca="false">IF(K55="",J55,K55)</f>
        <v>1110</v>
      </c>
      <c r="M55" s="25" t="n">
        <f aca="false">IF(E55=0,1,G55/E55)</f>
        <v>1.2</v>
      </c>
      <c r="N55" s="26" t="n">
        <f aca="false">IF(E55=0,0,MIN('Hệ số'!$B$6,MAX(0,'Hệ số'!$B$5*(G55-'Hệ số'!$B$7))))</f>
        <v>0</v>
      </c>
      <c r="O55" s="25" t="n">
        <f aca="false">ROUND(IF(D55=1,M55,M55*(1+N55)),4)</f>
        <v>1.2</v>
      </c>
      <c r="P55" s="25" t="n">
        <f aca="false">ROUND(M55*(1+N55),4)</f>
        <v>1.2</v>
      </c>
      <c r="Q55" s="23" t="n">
        <f aca="false">IF(E55=0,"",IF(G55&lt;='Hệ số'!$B$12,2.5,IF(G55&gt;='Hệ số'!$B$13,5,3.5)))</f>
        <v>3.5</v>
      </c>
    </row>
    <row r="56" customFormat="false" ht="15" hidden="false" customHeight="false" outlineLevel="0" collapsed="false">
      <c r="A56" s="23" t="s">
        <v>187</v>
      </c>
      <c r="B56" s="23" t="s">
        <v>1073</v>
      </c>
      <c r="C56" s="23" t="s">
        <v>1074</v>
      </c>
      <c r="D56" s="24" t="n">
        <v>0</v>
      </c>
      <c r="E56" s="23" t="n">
        <v>3</v>
      </c>
      <c r="F56" s="23" t="n">
        <f aca="false">IF(E56&lt;=4,'Hệ số'!$B$8,IF(E56&lt;=8,'Hệ số'!$B$9,IF(E56&lt;=13,'Hệ số'!$B$10,'Hệ số'!$B$11)))</f>
        <v>1</v>
      </c>
      <c r="G56" s="23" t="n">
        <f aca="false">ROUND(E56*F56,0)</f>
        <v>3</v>
      </c>
      <c r="H56" s="23" t="n">
        <v>1012</v>
      </c>
      <c r="I56" s="24" t="n">
        <v>1012</v>
      </c>
      <c r="J56" s="23" t="n">
        <f aca="false">IF(OR(E56=0,G56=E56),I56,ROUND(I56*(G56/E56)^'Hệ số'!$B$4,-1))</f>
        <v>1012</v>
      </c>
      <c r="K56" s="23"/>
      <c r="L56" s="23" t="n">
        <f aca="false">IF(K56="",J56,K56)</f>
        <v>1012</v>
      </c>
      <c r="M56" s="25" t="n">
        <f aca="false">IF(E56=0,1,G56/E56)</f>
        <v>1</v>
      </c>
      <c r="N56" s="26" t="n">
        <f aca="false">IF(E56=0,0,MIN('Hệ số'!$B$6,MAX(0,'Hệ số'!$B$5*(G56-'Hệ số'!$B$7))))</f>
        <v>0</v>
      </c>
      <c r="O56" s="25" t="n">
        <f aca="false">ROUND(IF(D56=1,M56,M56*(1+N56)),4)</f>
        <v>1</v>
      </c>
      <c r="P56" s="25" t="n">
        <f aca="false">ROUND(M56*(1+N56),4)</f>
        <v>1</v>
      </c>
      <c r="Q56" s="23" t="n">
        <f aca="false">IF(E56=0,"",IF(G56&lt;='Hệ số'!$B$12,2.5,IF(G56&gt;='Hệ số'!$B$13,5,3.5)))</f>
        <v>2.5</v>
      </c>
    </row>
    <row r="57" customFormat="false" ht="15" hidden="false" customHeight="false" outlineLevel="0" collapsed="false">
      <c r="A57" s="23" t="s">
        <v>550</v>
      </c>
      <c r="B57" s="23" t="s">
        <v>1075</v>
      </c>
      <c r="C57" s="23" t="s">
        <v>1074</v>
      </c>
      <c r="D57" s="24" t="n">
        <v>0</v>
      </c>
      <c r="E57" s="23" t="n">
        <v>5</v>
      </c>
      <c r="F57" s="23" t="n">
        <f aca="false">IF(E57&lt;=4,'Hệ số'!$B$8,IF(E57&lt;=8,'Hệ số'!$B$9,IF(E57&lt;=13,'Hệ số'!$B$10,'Hệ số'!$B$11)))</f>
        <v>1.15</v>
      </c>
      <c r="G57" s="23" t="n">
        <f aca="false">ROUND(E57*F57,0)</f>
        <v>6</v>
      </c>
      <c r="H57" s="23" t="n">
        <v>1300</v>
      </c>
      <c r="I57" s="24" t="n">
        <v>1300</v>
      </c>
      <c r="J57" s="23" t="n">
        <f aca="false">IF(OR(E57=0,G57=E57),I57,ROUND(I57*(G57/E57)^'Hệ số'!$B$4,-1))</f>
        <v>1600</v>
      </c>
      <c r="K57" s="23"/>
      <c r="L57" s="23" t="n">
        <f aca="false">IF(K57="",J57,K57)</f>
        <v>1600</v>
      </c>
      <c r="M57" s="25" t="n">
        <f aca="false">IF(E57=0,1,G57/E57)</f>
        <v>1.2</v>
      </c>
      <c r="N57" s="26" t="n">
        <f aca="false">IF(E57=0,0,MIN('Hệ số'!$B$6,MAX(0,'Hệ số'!$B$5*(G57-'Hệ số'!$B$7))))</f>
        <v>0</v>
      </c>
      <c r="O57" s="25" t="n">
        <f aca="false">ROUND(IF(D57=1,M57,M57*(1+N57)),4)</f>
        <v>1.2</v>
      </c>
      <c r="P57" s="25" t="n">
        <f aca="false">ROUND(M57*(1+N57),4)</f>
        <v>1.2</v>
      </c>
      <c r="Q57" s="23" t="n">
        <f aca="false">IF(E57=0,"",IF(G57&lt;='Hệ số'!$B$12,2.5,IF(G57&gt;='Hệ số'!$B$13,5,3.5)))</f>
        <v>3.5</v>
      </c>
    </row>
    <row r="58" customFormat="false" ht="15" hidden="false" customHeight="false" outlineLevel="0" collapsed="false">
      <c r="A58" s="23" t="s">
        <v>196</v>
      </c>
      <c r="B58" s="23" t="s">
        <v>1076</v>
      </c>
      <c r="C58" s="23" t="s">
        <v>1074</v>
      </c>
      <c r="D58" s="24" t="n">
        <v>0</v>
      </c>
      <c r="E58" s="23" t="n">
        <v>5</v>
      </c>
      <c r="F58" s="23" t="n">
        <f aca="false">IF(E58&lt;=4,'Hệ số'!$B$8,IF(E58&lt;=8,'Hệ số'!$B$9,IF(E58&lt;=13,'Hệ số'!$B$10,'Hệ số'!$B$11)))</f>
        <v>1.15</v>
      </c>
      <c r="G58" s="23" t="n">
        <f aca="false">ROUND(E58*F58,0)</f>
        <v>6</v>
      </c>
      <c r="H58" s="23" t="n">
        <v>1320</v>
      </c>
      <c r="I58" s="24" t="n">
        <v>1320</v>
      </c>
      <c r="J58" s="23" t="n">
        <f aca="false">IF(OR(E58=0,G58=E58),I58,ROUND(I58*(G58/E58)^'Hệ số'!$B$4,-1))</f>
        <v>1630</v>
      </c>
      <c r="K58" s="23"/>
      <c r="L58" s="23" t="n">
        <f aca="false">IF(K58="",J58,K58)</f>
        <v>1630</v>
      </c>
      <c r="M58" s="25" t="n">
        <f aca="false">IF(E58=0,1,G58/E58)</f>
        <v>1.2</v>
      </c>
      <c r="N58" s="26" t="n">
        <f aca="false">IF(E58=0,0,MIN('Hệ số'!$B$6,MAX(0,'Hệ số'!$B$5*(G58-'Hệ số'!$B$7))))</f>
        <v>0</v>
      </c>
      <c r="O58" s="25" t="n">
        <f aca="false">ROUND(IF(D58=1,M58,M58*(1+N58)),4)</f>
        <v>1.2</v>
      </c>
      <c r="P58" s="25" t="n">
        <f aca="false">ROUND(M58*(1+N58),4)</f>
        <v>1.2</v>
      </c>
      <c r="Q58" s="23" t="n">
        <f aca="false">IF(E58=0,"",IF(G58&lt;='Hệ số'!$B$12,2.5,IF(G58&gt;='Hệ số'!$B$13,5,3.5)))</f>
        <v>3.5</v>
      </c>
    </row>
    <row r="59" customFormat="false" ht="15" hidden="false" customHeight="false" outlineLevel="0" collapsed="false">
      <c r="A59" s="23" t="s">
        <v>562</v>
      </c>
      <c r="B59" s="23" t="s">
        <v>1077</v>
      </c>
      <c r="C59" s="23" t="s">
        <v>1074</v>
      </c>
      <c r="D59" s="24" t="n">
        <v>0</v>
      </c>
      <c r="E59" s="23" t="n">
        <v>7</v>
      </c>
      <c r="F59" s="23" t="n">
        <f aca="false">IF(E59&lt;=4,'Hệ số'!$B$8,IF(E59&lt;=8,'Hệ số'!$B$9,IF(E59&lt;=13,'Hệ số'!$B$10,'Hệ số'!$B$11)))</f>
        <v>1.15</v>
      </c>
      <c r="G59" s="23" t="n">
        <f aca="false">ROUND(E59*F59,0)</f>
        <v>8</v>
      </c>
      <c r="H59" s="23" t="n">
        <v>2860</v>
      </c>
      <c r="I59" s="24" t="n">
        <v>2860</v>
      </c>
      <c r="J59" s="23" t="n">
        <f aca="false">IF(OR(E59=0,G59=E59),I59,ROUND(I59*(G59/E59)^'Hệ số'!$B$4,-1))</f>
        <v>3330</v>
      </c>
      <c r="K59" s="23"/>
      <c r="L59" s="23" t="n">
        <f aca="false">IF(K59="",J59,K59)</f>
        <v>3330</v>
      </c>
      <c r="M59" s="25" t="n">
        <f aca="false">IF(E59=0,1,G59/E59)</f>
        <v>1.14285714285714</v>
      </c>
      <c r="N59" s="26" t="n">
        <f aca="false">IF(E59=0,0,MIN('Hệ số'!$B$6,MAX(0,'Hệ số'!$B$5*(G59-'Hệ số'!$B$7))))</f>
        <v>0</v>
      </c>
      <c r="O59" s="25" t="n">
        <f aca="false">ROUND(IF(D59=1,M59,M59*(1+N59)),4)</f>
        <v>1.1429</v>
      </c>
      <c r="P59" s="25" t="n">
        <f aca="false">ROUND(M59*(1+N59),4)</f>
        <v>1.1429</v>
      </c>
      <c r="Q59" s="23" t="n">
        <f aca="false">IF(E59=0,"",IF(G59&lt;='Hệ số'!$B$12,2.5,IF(G59&gt;='Hệ số'!$B$13,5,3.5)))</f>
        <v>3.5</v>
      </c>
    </row>
    <row r="60" customFormat="false" ht="15" hidden="false" customHeight="false" outlineLevel="0" collapsed="false">
      <c r="A60" s="23" t="s">
        <v>568</v>
      </c>
      <c r="B60" s="23" t="s">
        <v>1078</v>
      </c>
      <c r="C60" s="23" t="s">
        <v>1074</v>
      </c>
      <c r="D60" s="24" t="n">
        <v>0</v>
      </c>
      <c r="E60" s="23" t="n">
        <v>9</v>
      </c>
      <c r="F60" s="23" t="n">
        <f aca="false">IF(E60&lt;=4,'Hệ số'!$B$8,IF(E60&lt;=8,'Hệ số'!$B$9,IF(E60&lt;=13,'Hệ số'!$B$10,'Hệ số'!$B$11)))</f>
        <v>1.25</v>
      </c>
      <c r="G60" s="23" t="n">
        <f aca="false">ROUND(E60*F60,0)</f>
        <v>11</v>
      </c>
      <c r="H60" s="23" t="n">
        <v>2530</v>
      </c>
      <c r="I60" s="24" t="n">
        <v>2530</v>
      </c>
      <c r="J60" s="23" t="n">
        <f aca="false">IF(OR(E60=0,G60=E60),I60,ROUND(I60*(G60/E60)^'Hệ số'!$B$4,-1))</f>
        <v>3190</v>
      </c>
      <c r="K60" s="23"/>
      <c r="L60" s="23" t="n">
        <f aca="false">IF(K60="",J60,K60)</f>
        <v>3190</v>
      </c>
      <c r="M60" s="25" t="n">
        <f aca="false">IF(E60=0,1,G60/E60)</f>
        <v>1.22222222222222</v>
      </c>
      <c r="N60" s="26" t="n">
        <f aca="false">IF(E60=0,0,MIN('Hệ số'!$B$6,MAX(0,'Hệ số'!$B$5*(G60-'Hệ số'!$B$7))))</f>
        <v>0.0375</v>
      </c>
      <c r="O60" s="25" t="n">
        <f aca="false">ROUND(IF(D60=1,M60,M60*(1+N60)),4)</f>
        <v>1.2681</v>
      </c>
      <c r="P60" s="25" t="n">
        <f aca="false">ROUND(M60*(1+N60),4)</f>
        <v>1.2681</v>
      </c>
      <c r="Q60" s="23" t="n">
        <f aca="false">IF(E60=0,"",IF(G60&lt;='Hệ số'!$B$12,2.5,IF(G60&gt;='Hệ số'!$B$13,5,3.5)))</f>
        <v>3.5</v>
      </c>
    </row>
    <row r="61" customFormat="false" ht="15" hidden="false" customHeight="false" outlineLevel="0" collapsed="false">
      <c r="A61" s="23" t="s">
        <v>574</v>
      </c>
      <c r="B61" s="23" t="s">
        <v>1079</v>
      </c>
      <c r="C61" s="23" t="s">
        <v>1080</v>
      </c>
      <c r="D61" s="24" t="n">
        <v>0</v>
      </c>
      <c r="E61" s="23" t="n">
        <v>3</v>
      </c>
      <c r="F61" s="23" t="n">
        <f aca="false">IF(E61&lt;=4,'Hệ số'!$B$8,IF(E61&lt;=8,'Hệ số'!$B$9,IF(E61&lt;=13,'Hệ số'!$B$10,'Hệ số'!$B$11)))</f>
        <v>1</v>
      </c>
      <c r="G61" s="23" t="n">
        <f aca="false">ROUND(E61*F61,0)</f>
        <v>3</v>
      </c>
      <c r="H61" s="23" t="n">
        <v>350</v>
      </c>
      <c r="I61" s="24" t="n">
        <v>350</v>
      </c>
      <c r="J61" s="23" t="n">
        <f aca="false">IF(OR(E61=0,G61=E61),I61,ROUND(I61*(G61/E61)^'Hệ số'!$B$4,-1))</f>
        <v>350</v>
      </c>
      <c r="K61" s="23"/>
      <c r="L61" s="23" t="n">
        <f aca="false">IF(K61="",J61,K61)</f>
        <v>350</v>
      </c>
      <c r="M61" s="25" t="n">
        <f aca="false">IF(E61=0,1,G61/E61)</f>
        <v>1</v>
      </c>
      <c r="N61" s="26" t="n">
        <f aca="false">IF(E61=0,0,MIN('Hệ số'!$B$6,MAX(0,'Hệ số'!$B$5*(G61-'Hệ số'!$B$7))))</f>
        <v>0</v>
      </c>
      <c r="O61" s="25" t="n">
        <f aca="false">ROUND(IF(D61=1,M61,M61*(1+N61)),4)</f>
        <v>1</v>
      </c>
      <c r="P61" s="25" t="n">
        <f aca="false">ROUND(M61*(1+N61),4)</f>
        <v>1</v>
      </c>
      <c r="Q61" s="23" t="n">
        <f aca="false">IF(E61=0,"",IF(G61&lt;='Hệ số'!$B$12,2.5,IF(G61&gt;='Hệ số'!$B$13,5,3.5)))</f>
        <v>2.5</v>
      </c>
    </row>
    <row r="62" customFormat="false" ht="15" hidden="false" customHeight="false" outlineLevel="0" collapsed="false">
      <c r="A62" s="23" t="s">
        <v>577</v>
      </c>
      <c r="B62" s="23" t="s">
        <v>1081</v>
      </c>
      <c r="C62" s="23" t="s">
        <v>1080</v>
      </c>
      <c r="D62" s="24" t="n">
        <v>0</v>
      </c>
      <c r="E62" s="23" t="n">
        <v>4</v>
      </c>
      <c r="F62" s="23" t="n">
        <f aca="false">IF(E62&lt;=4,'Hệ số'!$B$8,IF(E62&lt;=8,'Hệ số'!$B$9,IF(E62&lt;=13,'Hệ số'!$B$10,'Hệ số'!$B$11)))</f>
        <v>1</v>
      </c>
      <c r="G62" s="23" t="n">
        <f aca="false">ROUND(E62*F62,0)</f>
        <v>4</v>
      </c>
      <c r="H62" s="23" t="n">
        <v>801</v>
      </c>
      <c r="I62" s="24" t="n">
        <v>801</v>
      </c>
      <c r="J62" s="23" t="n">
        <f aca="false">IF(OR(E62=0,G62=E62),I62,ROUND(I62*(G62/E62)^'Hệ số'!$B$4,-1))</f>
        <v>801</v>
      </c>
      <c r="K62" s="23"/>
      <c r="L62" s="23" t="n">
        <f aca="false">IF(K62="",J62,K62)</f>
        <v>801</v>
      </c>
      <c r="M62" s="25" t="n">
        <f aca="false">IF(E62=0,1,G62/E62)</f>
        <v>1</v>
      </c>
      <c r="N62" s="26" t="n">
        <f aca="false">IF(E62=0,0,MIN('Hệ số'!$B$6,MAX(0,'Hệ số'!$B$5*(G62-'Hệ số'!$B$7))))</f>
        <v>0</v>
      </c>
      <c r="O62" s="25" t="n">
        <f aca="false">ROUND(IF(D62=1,M62,M62*(1+N62)),4)</f>
        <v>1</v>
      </c>
      <c r="P62" s="25" t="n">
        <f aca="false">ROUND(M62*(1+N62),4)</f>
        <v>1</v>
      </c>
      <c r="Q62" s="23" t="n">
        <f aca="false">IF(E62=0,"",IF(G62&lt;='Hệ số'!$B$12,2.5,IF(G62&gt;='Hệ số'!$B$13,5,3.5)))</f>
        <v>2.5</v>
      </c>
    </row>
    <row r="63" customFormat="false" ht="15" hidden="false" customHeight="false" outlineLevel="0" collapsed="false">
      <c r="A63" s="23" t="s">
        <v>580</v>
      </c>
      <c r="B63" s="23" t="s">
        <v>1082</v>
      </c>
      <c r="C63" s="23" t="s">
        <v>1080</v>
      </c>
      <c r="D63" s="24" t="n">
        <v>0</v>
      </c>
      <c r="E63" s="23" t="n">
        <v>6</v>
      </c>
      <c r="F63" s="23" t="n">
        <f aca="false">IF(E63&lt;=4,'Hệ số'!$B$8,IF(E63&lt;=8,'Hệ số'!$B$9,IF(E63&lt;=13,'Hệ số'!$B$10,'Hệ số'!$B$11)))</f>
        <v>1.15</v>
      </c>
      <c r="G63" s="23" t="n">
        <f aca="false">ROUND(E63*F63,0)</f>
        <v>7</v>
      </c>
      <c r="H63" s="23" t="n">
        <v>924</v>
      </c>
      <c r="I63" s="24" t="n">
        <v>924</v>
      </c>
      <c r="J63" s="23" t="n">
        <f aca="false">IF(OR(E63=0,G63=E63),I63,ROUND(I63*(G63/E63)^'Hệ số'!$B$4,-1))</f>
        <v>1100</v>
      </c>
      <c r="K63" s="23"/>
      <c r="L63" s="23" t="n">
        <f aca="false">IF(K63="",J63,K63)</f>
        <v>1100</v>
      </c>
      <c r="M63" s="25" t="n">
        <f aca="false">IF(E63=0,1,G63/E63)</f>
        <v>1.16666666666667</v>
      </c>
      <c r="N63" s="26" t="n">
        <f aca="false">IF(E63=0,0,MIN('Hệ số'!$B$6,MAX(0,'Hệ số'!$B$5*(G63-'Hệ số'!$B$7))))</f>
        <v>0</v>
      </c>
      <c r="O63" s="25" t="n">
        <f aca="false">ROUND(IF(D63=1,M63,M63*(1+N63)),4)</f>
        <v>1.1667</v>
      </c>
      <c r="P63" s="25" t="n">
        <f aca="false">ROUND(M63*(1+N63),4)</f>
        <v>1.1667</v>
      </c>
      <c r="Q63" s="23" t="n">
        <f aca="false">IF(E63=0,"",IF(G63&lt;='Hệ số'!$B$12,2.5,IF(G63&gt;='Hệ số'!$B$13,5,3.5)))</f>
        <v>3.5</v>
      </c>
    </row>
    <row r="64" customFormat="false" ht="15" hidden="false" customHeight="false" outlineLevel="0" collapsed="false">
      <c r="A64" s="23" t="s">
        <v>586</v>
      </c>
      <c r="B64" s="23" t="s">
        <v>1083</v>
      </c>
      <c r="C64" s="23" t="s">
        <v>1080</v>
      </c>
      <c r="D64" s="24" t="n">
        <v>0</v>
      </c>
      <c r="E64" s="23" t="n">
        <v>6</v>
      </c>
      <c r="F64" s="23" t="n">
        <f aca="false">IF(E64&lt;=4,'Hệ số'!$B$8,IF(E64&lt;=8,'Hệ số'!$B$9,IF(E64&lt;=13,'Hệ số'!$B$10,'Hệ số'!$B$11)))</f>
        <v>1.15</v>
      </c>
      <c r="G64" s="23" t="n">
        <f aca="false">ROUND(E64*F64,0)</f>
        <v>7</v>
      </c>
      <c r="H64" s="23" t="n">
        <v>836</v>
      </c>
      <c r="I64" s="24" t="n">
        <v>836</v>
      </c>
      <c r="J64" s="23" t="n">
        <f aca="false">IF(OR(E64=0,G64=E64),I64,ROUND(I64*(G64/E64)^'Hệ số'!$B$4,-1))</f>
        <v>1000</v>
      </c>
      <c r="K64" s="23"/>
      <c r="L64" s="23" t="n">
        <f aca="false">IF(K64="",J64,K64)</f>
        <v>1000</v>
      </c>
      <c r="M64" s="25" t="n">
        <f aca="false">IF(E64=0,1,G64/E64)</f>
        <v>1.16666666666667</v>
      </c>
      <c r="N64" s="26" t="n">
        <f aca="false">IF(E64=0,0,MIN('Hệ số'!$B$6,MAX(0,'Hệ số'!$B$5*(G64-'Hệ số'!$B$7))))</f>
        <v>0</v>
      </c>
      <c r="O64" s="25" t="n">
        <f aca="false">ROUND(IF(D64=1,M64,M64*(1+N64)),4)</f>
        <v>1.1667</v>
      </c>
      <c r="P64" s="25" t="n">
        <f aca="false">ROUND(M64*(1+N64),4)</f>
        <v>1.1667</v>
      </c>
      <c r="Q64" s="23" t="n">
        <f aca="false">IF(E64=0,"",IF(G64&lt;='Hệ số'!$B$12,2.5,IF(G64&gt;='Hệ số'!$B$13,5,3.5)))</f>
        <v>3.5</v>
      </c>
    </row>
    <row r="65" customFormat="false" ht="15" hidden="false" customHeight="false" outlineLevel="0" collapsed="false">
      <c r="A65" s="23" t="s">
        <v>592</v>
      </c>
      <c r="B65" s="23" t="s">
        <v>1084</v>
      </c>
      <c r="C65" s="23" t="s">
        <v>1080</v>
      </c>
      <c r="D65" s="24" t="n">
        <v>0</v>
      </c>
      <c r="E65" s="23" t="n">
        <v>6</v>
      </c>
      <c r="F65" s="23" t="n">
        <f aca="false">IF(E65&lt;=4,'Hệ số'!$B$8,IF(E65&lt;=8,'Hệ số'!$B$9,IF(E65&lt;=13,'Hệ số'!$B$10,'Hệ số'!$B$11)))</f>
        <v>1.15</v>
      </c>
      <c r="G65" s="23" t="n">
        <f aca="false">ROUND(E65*F65,0)</f>
        <v>7</v>
      </c>
      <c r="H65" s="23" t="n">
        <v>1364</v>
      </c>
      <c r="I65" s="24" t="n">
        <v>1364</v>
      </c>
      <c r="J65" s="23" t="n">
        <f aca="false">IF(OR(E65=0,G65=E65),I65,ROUND(I65*(G65/E65)^'Hệ số'!$B$4,-1))</f>
        <v>1630</v>
      </c>
      <c r="K65" s="23"/>
      <c r="L65" s="23" t="n">
        <f aca="false">IF(K65="",J65,K65)</f>
        <v>1630</v>
      </c>
      <c r="M65" s="25" t="n">
        <f aca="false">IF(E65=0,1,G65/E65)</f>
        <v>1.16666666666667</v>
      </c>
      <c r="N65" s="26" t="n">
        <f aca="false">IF(E65=0,0,MIN('Hệ số'!$B$6,MAX(0,'Hệ số'!$B$5*(G65-'Hệ số'!$B$7))))</f>
        <v>0</v>
      </c>
      <c r="O65" s="25" t="n">
        <f aca="false">ROUND(IF(D65=1,M65,M65*(1+N65)),4)</f>
        <v>1.1667</v>
      </c>
      <c r="P65" s="25" t="n">
        <f aca="false">ROUND(M65*(1+N65),4)</f>
        <v>1.1667</v>
      </c>
      <c r="Q65" s="23" t="n">
        <f aca="false">IF(E65=0,"",IF(G65&lt;='Hệ số'!$B$12,2.5,IF(G65&gt;='Hệ số'!$B$13,5,3.5)))</f>
        <v>3.5</v>
      </c>
    </row>
    <row r="66" customFormat="false" ht="15" hidden="false" customHeight="false" outlineLevel="0" collapsed="false">
      <c r="A66" s="23" t="s">
        <v>598</v>
      </c>
      <c r="B66" s="23" t="s">
        <v>1085</v>
      </c>
      <c r="C66" s="23" t="s">
        <v>1080</v>
      </c>
      <c r="D66" s="24" t="n">
        <v>0</v>
      </c>
      <c r="E66" s="23" t="n">
        <v>6</v>
      </c>
      <c r="F66" s="23" t="n">
        <f aca="false">IF(E66&lt;=4,'Hệ số'!$B$8,IF(E66&lt;=8,'Hệ số'!$B$9,IF(E66&lt;=13,'Hệ số'!$B$10,'Hệ số'!$B$11)))</f>
        <v>1.15</v>
      </c>
      <c r="G66" s="23" t="n">
        <f aca="false">ROUND(E66*F66,0)</f>
        <v>7</v>
      </c>
      <c r="H66" s="23" t="n">
        <v>1500</v>
      </c>
      <c r="I66" s="24" t="n">
        <v>1500</v>
      </c>
      <c r="J66" s="23" t="n">
        <f aca="false">IF(OR(E66=0,G66=E66),I66,ROUND(I66*(G66/E66)^'Hệ số'!$B$4,-1))</f>
        <v>1790</v>
      </c>
      <c r="K66" s="23"/>
      <c r="L66" s="23" t="n">
        <f aca="false">IF(K66="",J66,K66)</f>
        <v>1790</v>
      </c>
      <c r="M66" s="25" t="n">
        <f aca="false">IF(E66=0,1,G66/E66)</f>
        <v>1.16666666666667</v>
      </c>
      <c r="N66" s="26" t="n">
        <f aca="false">IF(E66=0,0,MIN('Hệ số'!$B$6,MAX(0,'Hệ số'!$B$5*(G66-'Hệ số'!$B$7))))</f>
        <v>0</v>
      </c>
      <c r="O66" s="25" t="n">
        <f aca="false">ROUND(IF(D66=1,M66,M66*(1+N66)),4)</f>
        <v>1.1667</v>
      </c>
      <c r="P66" s="25" t="n">
        <f aca="false">ROUND(M66*(1+N66),4)</f>
        <v>1.1667</v>
      </c>
      <c r="Q66" s="23" t="n">
        <f aca="false">IF(E66=0,"",IF(G66&lt;='Hệ số'!$B$12,2.5,IF(G66&gt;='Hệ số'!$B$13,5,3.5)))</f>
        <v>3.5</v>
      </c>
    </row>
    <row r="67" customFormat="false" ht="15" hidden="false" customHeight="false" outlineLevel="0" collapsed="false">
      <c r="A67" s="23" t="s">
        <v>604</v>
      </c>
      <c r="B67" s="23" t="s">
        <v>1086</v>
      </c>
      <c r="C67" s="23" t="s">
        <v>1080</v>
      </c>
      <c r="D67" s="24" t="n">
        <v>0</v>
      </c>
      <c r="E67" s="23" t="n">
        <v>7</v>
      </c>
      <c r="F67" s="23" t="n">
        <f aca="false">IF(E67&lt;=4,'Hệ số'!$B$8,IF(E67&lt;=8,'Hệ số'!$B$9,IF(E67&lt;=13,'Hệ số'!$B$10,'Hệ số'!$B$11)))</f>
        <v>1.15</v>
      </c>
      <c r="G67" s="23" t="n">
        <f aca="false">ROUND(E67*F67,0)</f>
        <v>8</v>
      </c>
      <c r="H67" s="23" t="n">
        <v>950</v>
      </c>
      <c r="I67" s="24" t="n">
        <v>950</v>
      </c>
      <c r="J67" s="23" t="n">
        <f aca="false">IF(OR(E67=0,G67=E67),I67,ROUND(I67*(G67/E67)^'Hệ số'!$B$4,-1))</f>
        <v>1110</v>
      </c>
      <c r="K67" s="23"/>
      <c r="L67" s="23" t="n">
        <f aca="false">IF(K67="",J67,K67)</f>
        <v>1110</v>
      </c>
      <c r="M67" s="25" t="n">
        <f aca="false">IF(E67=0,1,G67/E67)</f>
        <v>1.14285714285714</v>
      </c>
      <c r="N67" s="26" t="n">
        <f aca="false">IF(E67=0,0,MIN('Hệ số'!$B$6,MAX(0,'Hệ số'!$B$5*(G67-'Hệ số'!$B$7))))</f>
        <v>0</v>
      </c>
      <c r="O67" s="25" t="n">
        <f aca="false">ROUND(IF(D67=1,M67,M67*(1+N67)),4)</f>
        <v>1.1429</v>
      </c>
      <c r="P67" s="25" t="n">
        <f aca="false">ROUND(M67*(1+N67),4)</f>
        <v>1.1429</v>
      </c>
      <c r="Q67" s="23" t="n">
        <f aca="false">IF(E67=0,"",IF(G67&lt;='Hệ số'!$B$12,2.5,IF(G67&gt;='Hệ số'!$B$13,5,3.5)))</f>
        <v>3.5</v>
      </c>
    </row>
    <row r="68" customFormat="false" ht="15" hidden="false" customHeight="false" outlineLevel="0" collapsed="false">
      <c r="A68" s="23" t="s">
        <v>610</v>
      </c>
      <c r="B68" s="23" t="s">
        <v>1087</v>
      </c>
      <c r="C68" s="23" t="s">
        <v>1080</v>
      </c>
      <c r="D68" s="24" t="n">
        <v>0</v>
      </c>
      <c r="E68" s="23" t="n">
        <v>7</v>
      </c>
      <c r="F68" s="23" t="n">
        <f aca="false">IF(E68&lt;=4,'Hệ số'!$B$8,IF(E68&lt;=8,'Hệ số'!$B$9,IF(E68&lt;=13,'Hệ số'!$B$10,'Hệ số'!$B$11)))</f>
        <v>1.15</v>
      </c>
      <c r="G68" s="23" t="n">
        <f aca="false">ROUND(E68*F68,0)</f>
        <v>8</v>
      </c>
      <c r="H68" s="23" t="n">
        <v>1300</v>
      </c>
      <c r="I68" s="24" t="n">
        <v>1300</v>
      </c>
      <c r="J68" s="23" t="n">
        <f aca="false">IF(OR(E68=0,G68=E68),I68,ROUND(I68*(G68/E68)^'Hệ số'!$B$4,-1))</f>
        <v>1520</v>
      </c>
      <c r="K68" s="23"/>
      <c r="L68" s="23" t="n">
        <f aca="false">IF(K68="",J68,K68)</f>
        <v>1520</v>
      </c>
      <c r="M68" s="25" t="n">
        <f aca="false">IF(E68=0,1,G68/E68)</f>
        <v>1.14285714285714</v>
      </c>
      <c r="N68" s="26" t="n">
        <f aca="false">IF(E68=0,0,MIN('Hệ số'!$B$6,MAX(0,'Hệ số'!$B$5*(G68-'Hệ số'!$B$7))))</f>
        <v>0</v>
      </c>
      <c r="O68" s="25" t="n">
        <f aca="false">ROUND(IF(D68=1,M68,M68*(1+N68)),4)</f>
        <v>1.1429</v>
      </c>
      <c r="P68" s="25" t="n">
        <f aca="false">ROUND(M68*(1+N68),4)</f>
        <v>1.1429</v>
      </c>
      <c r="Q68" s="23" t="n">
        <f aca="false">IF(E68=0,"",IF(G68&lt;='Hệ số'!$B$12,2.5,IF(G68&gt;='Hệ số'!$B$13,5,3.5)))</f>
        <v>3.5</v>
      </c>
    </row>
    <row r="69" customFormat="false" ht="15" hidden="false" customHeight="false" outlineLevel="0" collapsed="false">
      <c r="A69" s="23" t="s">
        <v>616</v>
      </c>
      <c r="B69" s="23" t="s">
        <v>1088</v>
      </c>
      <c r="C69" s="23" t="s">
        <v>1080</v>
      </c>
      <c r="D69" s="24" t="n">
        <v>0</v>
      </c>
      <c r="E69" s="23" t="n">
        <v>8</v>
      </c>
      <c r="F69" s="23" t="n">
        <f aca="false">IF(E69&lt;=4,'Hệ số'!$B$8,IF(E69&lt;=8,'Hệ số'!$B$9,IF(E69&lt;=13,'Hệ số'!$B$10,'Hệ số'!$B$11)))</f>
        <v>1.15</v>
      </c>
      <c r="G69" s="23" t="n">
        <f aca="false">ROUND(E69*F69,0)</f>
        <v>9</v>
      </c>
      <c r="H69" s="23" t="n">
        <v>900</v>
      </c>
      <c r="I69" s="24" t="n">
        <v>900</v>
      </c>
      <c r="J69" s="23" t="n">
        <f aca="false">IF(OR(E69=0,G69=E69),I69,ROUND(I69*(G69/E69)^'Hệ số'!$B$4,-1))</f>
        <v>1030</v>
      </c>
      <c r="K69" s="23"/>
      <c r="L69" s="23" t="n">
        <f aca="false">IF(K69="",J69,K69)</f>
        <v>1030</v>
      </c>
      <c r="M69" s="25" t="n">
        <f aca="false">IF(E69=0,1,G69/E69)</f>
        <v>1.125</v>
      </c>
      <c r="N69" s="26" t="n">
        <f aca="false">IF(E69=0,0,MIN('Hệ số'!$B$6,MAX(0,'Hệ số'!$B$5*(G69-'Hệ số'!$B$7))))</f>
        <v>0.0125</v>
      </c>
      <c r="O69" s="25" t="n">
        <f aca="false">ROUND(IF(D69=1,M69,M69*(1+N69)),4)</f>
        <v>1.1391</v>
      </c>
      <c r="P69" s="25" t="n">
        <f aca="false">ROUND(M69*(1+N69),4)</f>
        <v>1.1391</v>
      </c>
      <c r="Q69" s="23" t="n">
        <f aca="false">IF(E69=0,"",IF(G69&lt;='Hệ số'!$B$12,2.5,IF(G69&gt;='Hệ số'!$B$13,5,3.5)))</f>
        <v>3.5</v>
      </c>
    </row>
    <row r="70" customFormat="false" ht="15" hidden="false" customHeight="false" outlineLevel="0" collapsed="false">
      <c r="A70" s="23" t="s">
        <v>622</v>
      </c>
      <c r="B70" s="23" t="s">
        <v>1089</v>
      </c>
      <c r="C70" s="23" t="s">
        <v>1080</v>
      </c>
      <c r="D70" s="24" t="n">
        <v>0</v>
      </c>
      <c r="E70" s="23" t="n">
        <v>9</v>
      </c>
      <c r="F70" s="23" t="n">
        <f aca="false">IF(E70&lt;=4,'Hệ số'!$B$8,IF(E70&lt;=8,'Hệ số'!$B$9,IF(E70&lt;=13,'Hệ số'!$B$10,'Hệ số'!$B$11)))</f>
        <v>1.25</v>
      </c>
      <c r="G70" s="23" t="n">
        <f aca="false">ROUND(E70*F70,0)</f>
        <v>11</v>
      </c>
      <c r="H70" s="23" t="n">
        <v>1540</v>
      </c>
      <c r="I70" s="24" t="n">
        <v>1540</v>
      </c>
      <c r="J70" s="23" t="n">
        <f aca="false">IF(OR(E70=0,G70=E70),I70,ROUND(I70*(G70/E70)^'Hệ số'!$B$4,-1))</f>
        <v>1940</v>
      </c>
      <c r="K70" s="23"/>
      <c r="L70" s="23" t="n">
        <f aca="false">IF(K70="",J70,K70)</f>
        <v>1940</v>
      </c>
      <c r="M70" s="25" t="n">
        <f aca="false">IF(E70=0,1,G70/E70)</f>
        <v>1.22222222222222</v>
      </c>
      <c r="N70" s="26" t="n">
        <f aca="false">IF(E70=0,0,MIN('Hệ số'!$B$6,MAX(0,'Hệ số'!$B$5*(G70-'Hệ số'!$B$7))))</f>
        <v>0.0375</v>
      </c>
      <c r="O70" s="25" t="n">
        <f aca="false">ROUND(IF(D70=1,M70,M70*(1+N70)),4)</f>
        <v>1.2681</v>
      </c>
      <c r="P70" s="25" t="n">
        <f aca="false">ROUND(M70*(1+N70),4)</f>
        <v>1.2681</v>
      </c>
      <c r="Q70" s="23" t="n">
        <f aca="false">IF(E70=0,"",IF(G70&lt;='Hệ số'!$B$12,2.5,IF(G70&gt;='Hệ số'!$B$13,5,3.5)))</f>
        <v>3.5</v>
      </c>
    </row>
    <row r="71" customFormat="false" ht="15" hidden="false" customHeight="false" outlineLevel="0" collapsed="false">
      <c r="A71" s="23" t="s">
        <v>628</v>
      </c>
      <c r="B71" s="23" t="s">
        <v>1090</v>
      </c>
      <c r="C71" s="23" t="s">
        <v>1080</v>
      </c>
      <c r="D71" s="24" t="n">
        <v>0</v>
      </c>
      <c r="E71" s="23" t="n">
        <v>10</v>
      </c>
      <c r="F71" s="23" t="n">
        <f aca="false">IF(E71&lt;=4,'Hệ số'!$B$8,IF(E71&lt;=8,'Hệ số'!$B$9,IF(E71&lt;=13,'Hệ số'!$B$10,'Hệ số'!$B$11)))</f>
        <v>1.25</v>
      </c>
      <c r="G71" s="23" t="n">
        <f aca="false">ROUND(E71*F71,0)</f>
        <v>13</v>
      </c>
      <c r="H71" s="23" t="n">
        <v>924</v>
      </c>
      <c r="I71" s="24" t="n">
        <v>924</v>
      </c>
      <c r="J71" s="23" t="n">
        <f aca="false">IF(OR(E71=0,G71=E71),I71,ROUND(I71*(G71/E71)^'Hệ số'!$B$4,-1))</f>
        <v>1250</v>
      </c>
      <c r="K71" s="23"/>
      <c r="L71" s="23" t="n">
        <f aca="false">IF(K71="",J71,K71)</f>
        <v>1250</v>
      </c>
      <c r="M71" s="25" t="n">
        <f aca="false">IF(E71=0,1,G71/E71)</f>
        <v>1.3</v>
      </c>
      <c r="N71" s="26" t="n">
        <f aca="false">IF(E71=0,0,MIN('Hệ số'!$B$6,MAX(0,'Hệ số'!$B$5*(G71-'Hệ số'!$B$7))))</f>
        <v>0.0625</v>
      </c>
      <c r="O71" s="25" t="n">
        <f aca="false">ROUND(IF(D71=1,M71,M71*(1+N71)),4)</f>
        <v>1.3813</v>
      </c>
      <c r="P71" s="25" t="n">
        <f aca="false">ROUND(M71*(1+N71),4)</f>
        <v>1.3813</v>
      </c>
      <c r="Q71" s="23" t="n">
        <f aca="false">IF(E71=0,"",IF(G71&lt;='Hệ số'!$B$12,2.5,IF(G71&gt;='Hệ số'!$B$13,5,3.5)))</f>
        <v>3.5</v>
      </c>
    </row>
    <row r="72" customFormat="false" ht="15" hidden="false" customHeight="false" outlineLevel="0" collapsed="false">
      <c r="A72" s="23" t="s">
        <v>634</v>
      </c>
      <c r="B72" s="23" t="s">
        <v>1091</v>
      </c>
      <c r="C72" s="23" t="s">
        <v>1092</v>
      </c>
      <c r="D72" s="24" t="n">
        <v>1</v>
      </c>
      <c r="E72" s="23" t="n">
        <v>3</v>
      </c>
      <c r="F72" s="23" t="n">
        <f aca="false">IF(E72&lt;=4,'Hệ số'!$B$8,IF(E72&lt;=8,'Hệ số'!$B$9,IF(E72&lt;=13,'Hệ số'!$B$10,'Hệ số'!$B$11)))</f>
        <v>1</v>
      </c>
      <c r="G72" s="23" t="n">
        <f aca="false">ROUND(E72*F72,0)</f>
        <v>3</v>
      </c>
      <c r="H72" s="23" t="n">
        <v>506</v>
      </c>
      <c r="I72" s="24" t="n">
        <v>506</v>
      </c>
      <c r="J72" s="23" t="n">
        <f aca="false">IF(OR(E72=0,G72=E72),I72,ROUND(I72*(G72/E72)^'Hệ số'!$B$4,-1))</f>
        <v>506</v>
      </c>
      <c r="K72" s="23"/>
      <c r="L72" s="23" t="n">
        <f aca="false">IF(K72="",J72,K72)</f>
        <v>506</v>
      </c>
      <c r="M72" s="25" t="n">
        <f aca="false">IF(E72=0,1,G72/E72)</f>
        <v>1</v>
      </c>
      <c r="N72" s="26" t="n">
        <f aca="false">IF(E72=0,0,MIN('Hệ số'!$B$6,MAX(0,'Hệ số'!$B$5*(G72-'Hệ số'!$B$7))))</f>
        <v>0</v>
      </c>
      <c r="O72" s="25" t="n">
        <f aca="false">ROUND(IF(D72=1,M72,M72*(1+N72)),4)</f>
        <v>1</v>
      </c>
      <c r="P72" s="25" t="n">
        <f aca="false">ROUND(M72*(1+N72),4)</f>
        <v>1</v>
      </c>
      <c r="Q72" s="23" t="n">
        <f aca="false">IF(E72=0,"",IF(G72&lt;='Hệ số'!$B$12,2.5,IF(G72&gt;='Hệ số'!$B$13,5,3.5)))</f>
        <v>2.5</v>
      </c>
    </row>
    <row r="73" customFormat="false" ht="15" hidden="false" customHeight="false" outlineLevel="0" collapsed="false">
      <c r="A73" s="23" t="s">
        <v>637</v>
      </c>
      <c r="B73" s="23" t="s">
        <v>1093</v>
      </c>
      <c r="C73" s="23" t="s">
        <v>1092</v>
      </c>
      <c r="D73" s="24" t="n">
        <v>1</v>
      </c>
      <c r="E73" s="23" t="n">
        <v>4</v>
      </c>
      <c r="F73" s="23" t="n">
        <f aca="false">IF(E73&lt;=4,'Hệ số'!$B$8,IF(E73&lt;=8,'Hệ số'!$B$9,IF(E73&lt;=13,'Hệ số'!$B$10,'Hệ số'!$B$11)))</f>
        <v>1</v>
      </c>
      <c r="G73" s="23" t="n">
        <f aca="false">ROUND(E73*F73,0)</f>
        <v>4</v>
      </c>
      <c r="H73" s="23" t="n">
        <v>704</v>
      </c>
      <c r="I73" s="24" t="n">
        <v>704</v>
      </c>
      <c r="J73" s="23" t="n">
        <f aca="false">IF(OR(E73=0,G73=E73),I73,ROUND(I73*(G73/E73)^'Hệ số'!$B$4,-1))</f>
        <v>704</v>
      </c>
      <c r="K73" s="23"/>
      <c r="L73" s="23" t="n">
        <f aca="false">IF(K73="",J73,K73)</f>
        <v>704</v>
      </c>
      <c r="M73" s="25" t="n">
        <f aca="false">IF(E73=0,1,G73/E73)</f>
        <v>1</v>
      </c>
      <c r="N73" s="26" t="n">
        <f aca="false">IF(E73=0,0,MIN('Hệ số'!$B$6,MAX(0,'Hệ số'!$B$5*(G73-'Hệ số'!$B$7))))</f>
        <v>0</v>
      </c>
      <c r="O73" s="25" t="n">
        <f aca="false">ROUND(IF(D73=1,M73,M73*(1+N73)),4)</f>
        <v>1</v>
      </c>
      <c r="P73" s="25" t="n">
        <f aca="false">ROUND(M73*(1+N73),4)</f>
        <v>1</v>
      </c>
      <c r="Q73" s="23" t="n">
        <f aca="false">IF(E73=0,"",IF(G73&lt;='Hệ số'!$B$12,2.5,IF(G73&gt;='Hệ số'!$B$13,5,3.5)))</f>
        <v>2.5</v>
      </c>
    </row>
    <row r="74" customFormat="false" ht="15" hidden="false" customHeight="false" outlineLevel="0" collapsed="false">
      <c r="A74" s="23" t="s">
        <v>640</v>
      </c>
      <c r="B74" s="23" t="s">
        <v>1094</v>
      </c>
      <c r="C74" s="23" t="s">
        <v>1092</v>
      </c>
      <c r="D74" s="24" t="n">
        <v>1</v>
      </c>
      <c r="E74" s="23" t="n">
        <v>5</v>
      </c>
      <c r="F74" s="23" t="n">
        <f aca="false">IF(E74&lt;=4,'Hệ số'!$B$8,IF(E74&lt;=8,'Hệ số'!$B$9,IF(E74&lt;=13,'Hệ số'!$B$10,'Hệ số'!$B$11)))</f>
        <v>1.15</v>
      </c>
      <c r="G74" s="23" t="n">
        <f aca="false">ROUND(E74*F74,0)</f>
        <v>6</v>
      </c>
      <c r="H74" s="23" t="n">
        <v>1199</v>
      </c>
      <c r="I74" s="24" t="n">
        <v>1199</v>
      </c>
      <c r="J74" s="23" t="n">
        <f aca="false">IF(OR(E74=0,G74=E74),I74,ROUND(I74*(G74/E74)^'Hệ số'!$B$4,-1))</f>
        <v>1480</v>
      </c>
      <c r="K74" s="23"/>
      <c r="L74" s="23" t="n">
        <f aca="false">IF(K74="",J74,K74)</f>
        <v>1480</v>
      </c>
      <c r="M74" s="25" t="n">
        <f aca="false">IF(E74=0,1,G74/E74)</f>
        <v>1.2</v>
      </c>
      <c r="N74" s="26" t="n">
        <f aca="false">IF(E74=0,0,MIN('Hệ số'!$B$6,MAX(0,'Hệ số'!$B$5*(G74-'Hệ số'!$B$7))))</f>
        <v>0</v>
      </c>
      <c r="O74" s="25" t="n">
        <f aca="false">ROUND(IF(D74=1,M74,M74*(1+N74)),4)</f>
        <v>1.2</v>
      </c>
      <c r="P74" s="25" t="n">
        <f aca="false">ROUND(M74*(1+N74),4)</f>
        <v>1.2</v>
      </c>
      <c r="Q74" s="23" t="n">
        <f aca="false">IF(E74=0,"",IF(G74&lt;='Hệ số'!$B$12,2.5,IF(G74&gt;='Hệ số'!$B$13,5,3.5)))</f>
        <v>3.5</v>
      </c>
    </row>
    <row r="75" customFormat="false" ht="15" hidden="false" customHeight="false" outlineLevel="0" collapsed="false">
      <c r="A75" s="23" t="s">
        <v>647</v>
      </c>
      <c r="B75" s="23" t="s">
        <v>1095</v>
      </c>
      <c r="C75" s="23" t="s">
        <v>1092</v>
      </c>
      <c r="D75" s="24" t="n">
        <v>1</v>
      </c>
      <c r="E75" s="23" t="n">
        <v>6</v>
      </c>
      <c r="F75" s="23" t="n">
        <f aca="false">IF(E75&lt;=4,'Hệ số'!$B$8,IF(E75&lt;=8,'Hệ số'!$B$9,IF(E75&lt;=13,'Hệ số'!$B$10,'Hệ số'!$B$11)))</f>
        <v>1.15</v>
      </c>
      <c r="G75" s="23" t="n">
        <f aca="false">ROUND(E75*F75,0)</f>
        <v>7</v>
      </c>
      <c r="H75" s="23" t="n">
        <v>660</v>
      </c>
      <c r="I75" s="24" t="n">
        <v>660</v>
      </c>
      <c r="J75" s="23" t="n">
        <f aca="false">IF(OR(E75=0,G75=E75),I75,ROUND(I75*(G75/E75)^'Hệ số'!$B$4,-1))</f>
        <v>790</v>
      </c>
      <c r="K75" s="23"/>
      <c r="L75" s="23" t="n">
        <f aca="false">IF(K75="",J75,K75)</f>
        <v>790</v>
      </c>
      <c r="M75" s="25" t="n">
        <f aca="false">IF(E75=0,1,G75/E75)</f>
        <v>1.16666666666667</v>
      </c>
      <c r="N75" s="26" t="n">
        <f aca="false">IF(E75=0,0,MIN('Hệ số'!$B$6,MAX(0,'Hệ số'!$B$5*(G75-'Hệ số'!$B$7))))</f>
        <v>0</v>
      </c>
      <c r="O75" s="25" t="n">
        <f aca="false">ROUND(IF(D75=1,M75,M75*(1+N75)),4)</f>
        <v>1.1667</v>
      </c>
      <c r="P75" s="25" t="n">
        <f aca="false">ROUND(M75*(1+N75),4)</f>
        <v>1.1667</v>
      </c>
      <c r="Q75" s="23" t="n">
        <f aca="false">IF(E75=0,"",IF(G75&lt;='Hệ số'!$B$12,2.5,IF(G75&gt;='Hệ số'!$B$13,5,3.5)))</f>
        <v>3.5</v>
      </c>
    </row>
    <row r="76" customFormat="false" ht="15" hidden="false" customHeight="false" outlineLevel="0" collapsed="false">
      <c r="A76" s="23" t="s">
        <v>653</v>
      </c>
      <c r="B76" s="23" t="s">
        <v>1096</v>
      </c>
      <c r="C76" s="23" t="s">
        <v>1092</v>
      </c>
      <c r="D76" s="24" t="n">
        <v>1</v>
      </c>
      <c r="E76" s="23" t="n">
        <v>6</v>
      </c>
      <c r="F76" s="23" t="n">
        <f aca="false">IF(E76&lt;=4,'Hệ số'!$B$8,IF(E76&lt;=8,'Hệ số'!$B$9,IF(E76&lt;=13,'Hệ số'!$B$10,'Hệ số'!$B$11)))</f>
        <v>1.15</v>
      </c>
      <c r="G76" s="23" t="n">
        <f aca="false">ROUND(E76*F76,0)</f>
        <v>7</v>
      </c>
      <c r="H76" s="23" t="n">
        <v>700</v>
      </c>
      <c r="I76" s="24" t="n">
        <v>700</v>
      </c>
      <c r="J76" s="23" t="n">
        <f aca="false">IF(OR(E76=0,G76=E76),I76,ROUND(I76*(G76/E76)^'Hệ số'!$B$4,-1))</f>
        <v>840</v>
      </c>
      <c r="K76" s="23"/>
      <c r="L76" s="23" t="n">
        <f aca="false">IF(K76="",J76,K76)</f>
        <v>840</v>
      </c>
      <c r="M76" s="25" t="n">
        <f aca="false">IF(E76=0,1,G76/E76)</f>
        <v>1.16666666666667</v>
      </c>
      <c r="N76" s="26" t="n">
        <f aca="false">IF(E76=0,0,MIN('Hệ số'!$B$6,MAX(0,'Hệ số'!$B$5*(G76-'Hệ số'!$B$7))))</f>
        <v>0</v>
      </c>
      <c r="O76" s="25" t="n">
        <f aca="false">ROUND(IF(D76=1,M76,M76*(1+N76)),4)</f>
        <v>1.1667</v>
      </c>
      <c r="P76" s="25" t="n">
        <f aca="false">ROUND(M76*(1+N76),4)</f>
        <v>1.1667</v>
      </c>
      <c r="Q76" s="23" t="n">
        <f aca="false">IF(E76=0,"",IF(G76&lt;='Hệ số'!$B$12,2.5,IF(G76&gt;='Hệ số'!$B$13,5,3.5)))</f>
        <v>3.5</v>
      </c>
    </row>
    <row r="77" customFormat="false" ht="15" hidden="false" customHeight="false" outlineLevel="0" collapsed="false">
      <c r="A77" s="23" t="s">
        <v>659</v>
      </c>
      <c r="B77" s="23" t="s">
        <v>1097</v>
      </c>
      <c r="C77" s="23" t="s">
        <v>1092</v>
      </c>
      <c r="D77" s="24" t="n">
        <v>1</v>
      </c>
      <c r="E77" s="23" t="n">
        <v>7</v>
      </c>
      <c r="F77" s="23" t="n">
        <f aca="false">IF(E77&lt;=4,'Hệ số'!$B$8,IF(E77&lt;=8,'Hệ số'!$B$9,IF(E77&lt;=13,'Hệ số'!$B$10,'Hệ số'!$B$11)))</f>
        <v>1.15</v>
      </c>
      <c r="G77" s="23" t="n">
        <f aca="false">ROUND(E77*F77,0)</f>
        <v>8</v>
      </c>
      <c r="H77" s="23" t="n">
        <v>801</v>
      </c>
      <c r="I77" s="24" t="n">
        <v>801</v>
      </c>
      <c r="J77" s="23" t="n">
        <f aca="false">IF(OR(E77=0,G77=E77),I77,ROUND(I77*(G77/E77)^'Hệ số'!$B$4,-1))</f>
        <v>930</v>
      </c>
      <c r="K77" s="23"/>
      <c r="L77" s="23" t="n">
        <f aca="false">IF(K77="",J77,K77)</f>
        <v>930</v>
      </c>
      <c r="M77" s="25" t="n">
        <f aca="false">IF(E77=0,1,G77/E77)</f>
        <v>1.14285714285714</v>
      </c>
      <c r="N77" s="26" t="n">
        <f aca="false">IF(E77=0,0,MIN('Hệ số'!$B$6,MAX(0,'Hệ số'!$B$5*(G77-'Hệ số'!$B$7))))</f>
        <v>0</v>
      </c>
      <c r="O77" s="25" t="n">
        <f aca="false">ROUND(IF(D77=1,M77,M77*(1+N77)),4)</f>
        <v>1.1429</v>
      </c>
      <c r="P77" s="25" t="n">
        <f aca="false">ROUND(M77*(1+N77),4)</f>
        <v>1.1429</v>
      </c>
      <c r="Q77" s="23" t="n">
        <f aca="false">IF(E77=0,"",IF(G77&lt;='Hệ số'!$B$12,2.5,IF(G77&gt;='Hệ số'!$B$13,5,3.5)))</f>
        <v>3.5</v>
      </c>
    </row>
    <row r="78" customFormat="false" ht="15" hidden="false" customHeight="false" outlineLevel="0" collapsed="false">
      <c r="A78" s="23" t="s">
        <v>666</v>
      </c>
      <c r="B78" s="23" t="s">
        <v>1098</v>
      </c>
      <c r="C78" s="23" t="s">
        <v>1092</v>
      </c>
      <c r="D78" s="24" t="n">
        <v>1</v>
      </c>
      <c r="E78" s="23" t="n">
        <v>7</v>
      </c>
      <c r="F78" s="23" t="n">
        <f aca="false">IF(E78&lt;=4,'Hệ số'!$B$8,IF(E78&lt;=8,'Hệ số'!$B$9,IF(E78&lt;=13,'Hệ số'!$B$10,'Hệ số'!$B$11)))</f>
        <v>1.15</v>
      </c>
      <c r="G78" s="23" t="n">
        <f aca="false">ROUND(E78*F78,0)</f>
        <v>8</v>
      </c>
      <c r="H78" s="23" t="n">
        <v>704</v>
      </c>
      <c r="I78" s="24" t="n">
        <v>704</v>
      </c>
      <c r="J78" s="23" t="n">
        <f aca="false">IF(OR(E78=0,G78=E78),I78,ROUND(I78*(G78/E78)^'Hệ số'!$B$4,-1))</f>
        <v>820</v>
      </c>
      <c r="K78" s="23"/>
      <c r="L78" s="23" t="n">
        <f aca="false">IF(K78="",J78,K78)</f>
        <v>820</v>
      </c>
      <c r="M78" s="25" t="n">
        <f aca="false">IF(E78=0,1,G78/E78)</f>
        <v>1.14285714285714</v>
      </c>
      <c r="N78" s="26" t="n">
        <f aca="false">IF(E78=0,0,MIN('Hệ số'!$B$6,MAX(0,'Hệ số'!$B$5*(G78-'Hệ số'!$B$7))))</f>
        <v>0</v>
      </c>
      <c r="O78" s="25" t="n">
        <f aca="false">ROUND(IF(D78=1,M78,M78*(1+N78)),4)</f>
        <v>1.1429</v>
      </c>
      <c r="P78" s="25" t="n">
        <f aca="false">ROUND(M78*(1+N78),4)</f>
        <v>1.1429</v>
      </c>
      <c r="Q78" s="23" t="n">
        <f aca="false">IF(E78=0,"",IF(G78&lt;='Hệ số'!$B$12,2.5,IF(G78&gt;='Hệ số'!$B$13,5,3.5)))</f>
        <v>3.5</v>
      </c>
    </row>
    <row r="79" customFormat="false" ht="15" hidden="false" customHeight="false" outlineLevel="0" collapsed="false">
      <c r="A79" s="23" t="s">
        <v>672</v>
      </c>
      <c r="B79" s="23" t="s">
        <v>1099</v>
      </c>
      <c r="C79" s="23" t="s">
        <v>1092</v>
      </c>
      <c r="D79" s="24" t="n">
        <v>1</v>
      </c>
      <c r="E79" s="23" t="n">
        <v>8</v>
      </c>
      <c r="F79" s="23" t="n">
        <f aca="false">IF(E79&lt;=4,'Hệ số'!$B$8,IF(E79&lt;=8,'Hệ số'!$B$9,IF(E79&lt;=13,'Hệ số'!$B$10,'Hệ số'!$B$11)))</f>
        <v>1.15</v>
      </c>
      <c r="G79" s="23" t="n">
        <f aca="false">ROUND(E79*F79,0)</f>
        <v>9</v>
      </c>
      <c r="H79" s="23" t="n">
        <v>880</v>
      </c>
      <c r="I79" s="24" t="n">
        <v>880</v>
      </c>
      <c r="J79" s="23" t="n">
        <f aca="false">IF(OR(E79=0,G79=E79),I79,ROUND(I79*(G79/E79)^'Hệ số'!$B$4,-1))</f>
        <v>1010</v>
      </c>
      <c r="K79" s="23"/>
      <c r="L79" s="23" t="n">
        <f aca="false">IF(K79="",J79,K79)</f>
        <v>1010</v>
      </c>
      <c r="M79" s="25" t="n">
        <f aca="false">IF(E79=0,1,G79/E79)</f>
        <v>1.125</v>
      </c>
      <c r="N79" s="26" t="n">
        <f aca="false">IF(E79=0,0,MIN('Hệ số'!$B$6,MAX(0,'Hệ số'!$B$5*(G79-'Hệ số'!$B$7))))</f>
        <v>0.0125</v>
      </c>
      <c r="O79" s="25" t="n">
        <f aca="false">ROUND(IF(D79=1,M79,M79*(1+N79)),4)</f>
        <v>1.125</v>
      </c>
      <c r="P79" s="25" t="n">
        <f aca="false">ROUND(M79*(1+N79),4)</f>
        <v>1.1391</v>
      </c>
      <c r="Q79" s="23" t="n">
        <f aca="false">IF(E79=0,"",IF(G79&lt;='Hệ số'!$B$12,2.5,IF(G79&gt;='Hệ số'!$B$13,5,3.5)))</f>
        <v>3.5</v>
      </c>
    </row>
    <row r="80" customFormat="false" ht="15" hidden="false" customHeight="false" outlineLevel="0" collapsed="false">
      <c r="A80" s="23" t="s">
        <v>181</v>
      </c>
      <c r="B80" s="23" t="s">
        <v>1100</v>
      </c>
      <c r="C80" s="23" t="s">
        <v>1092</v>
      </c>
      <c r="D80" s="24" t="n">
        <v>1</v>
      </c>
      <c r="E80" s="23" t="n">
        <v>9</v>
      </c>
      <c r="F80" s="23" t="n">
        <f aca="false">IF(E80&lt;=4,'Hệ số'!$B$8,IF(E80&lt;=8,'Hệ số'!$B$9,IF(E80&lt;=13,'Hệ số'!$B$10,'Hệ số'!$B$11)))</f>
        <v>1.25</v>
      </c>
      <c r="G80" s="23" t="n">
        <f aca="false">ROUND(E80*F80,0)</f>
        <v>11</v>
      </c>
      <c r="H80" s="23" t="n">
        <v>990</v>
      </c>
      <c r="I80" s="24" t="n">
        <v>1980</v>
      </c>
      <c r="J80" s="23" t="n">
        <f aca="false">IF(OR(E80=0,G80=E80),I80,ROUND(I80*(G80/E80)^'Hệ số'!$B$4,-1))</f>
        <v>2490</v>
      </c>
      <c r="K80" s="23"/>
      <c r="L80" s="23" t="n">
        <f aca="false">IF(K80="",J80,K80)</f>
        <v>2490</v>
      </c>
      <c r="M80" s="25" t="n">
        <f aca="false">IF(E80=0,1,G80/E80)</f>
        <v>1.22222222222222</v>
      </c>
      <c r="N80" s="26" t="n">
        <f aca="false">IF(E80=0,0,MIN('Hệ số'!$B$6,MAX(0,'Hệ số'!$B$5*(G80-'Hệ số'!$B$7))))</f>
        <v>0.0375</v>
      </c>
      <c r="O80" s="25" t="n">
        <f aca="false">ROUND(IF(D80=1,M80,M80*(1+N80)),4)</f>
        <v>1.2222</v>
      </c>
      <c r="P80" s="25" t="n">
        <f aca="false">ROUND(M80*(1+N80),4)</f>
        <v>1.2681</v>
      </c>
      <c r="Q80" s="23" t="n">
        <f aca="false">IF(E80=0,"",IF(G80&lt;='Hệ số'!$B$12,2.5,IF(G80&gt;='Hệ số'!$B$13,5,3.5)))</f>
        <v>3.5</v>
      </c>
    </row>
    <row r="81" customFormat="false" ht="15" hidden="false" customHeight="false" outlineLevel="0" collapsed="false">
      <c r="A81" s="23" t="s">
        <v>686</v>
      </c>
      <c r="B81" s="23" t="s">
        <v>1101</v>
      </c>
      <c r="C81" s="23" t="s">
        <v>1092</v>
      </c>
      <c r="D81" s="24" t="n">
        <v>1</v>
      </c>
      <c r="E81" s="23" t="n">
        <v>11</v>
      </c>
      <c r="F81" s="23" t="n">
        <f aca="false">IF(E81&lt;=4,'Hệ số'!$B$8,IF(E81&lt;=8,'Hệ số'!$B$9,IF(E81&lt;=13,'Hệ số'!$B$10,'Hệ số'!$B$11)))</f>
        <v>1.25</v>
      </c>
      <c r="G81" s="23" t="n">
        <f aca="false">ROUND(E81*F81,0)</f>
        <v>14</v>
      </c>
      <c r="H81" s="23" t="n">
        <v>990</v>
      </c>
      <c r="I81" s="24" t="n">
        <v>990</v>
      </c>
      <c r="J81" s="23" t="n">
        <f aca="false">IF(OR(E81=0,G81=E81),I81,ROUND(I81*(G81/E81)^'Hệ số'!$B$4,-1))</f>
        <v>1310</v>
      </c>
      <c r="K81" s="23"/>
      <c r="L81" s="23" t="n">
        <f aca="false">IF(K81="",J81,K81)</f>
        <v>1310</v>
      </c>
      <c r="M81" s="25" t="n">
        <f aca="false">IF(E81=0,1,G81/E81)</f>
        <v>1.27272727272727</v>
      </c>
      <c r="N81" s="26" t="n">
        <f aca="false">IF(E81=0,0,MIN('Hệ số'!$B$6,MAX(0,'Hệ số'!$B$5*(G81-'Hệ số'!$B$7))))</f>
        <v>0.075</v>
      </c>
      <c r="O81" s="25" t="n">
        <f aca="false">ROUND(IF(D81=1,M81,M81*(1+N81)),4)</f>
        <v>1.2727</v>
      </c>
      <c r="P81" s="25" t="n">
        <f aca="false">ROUND(M81*(1+N81),4)</f>
        <v>1.3682</v>
      </c>
      <c r="Q81" s="23" t="n">
        <f aca="false">IF(E81=0,"",IF(G81&lt;='Hệ số'!$B$12,2.5,IF(G81&gt;='Hệ số'!$B$13,5,3.5)))</f>
        <v>3.5</v>
      </c>
    </row>
    <row r="82" customFormat="false" ht="15" hidden="false" customHeight="false" outlineLevel="0" collapsed="false">
      <c r="A82" s="23" t="s">
        <v>696</v>
      </c>
      <c r="B82" s="23" t="s">
        <v>1102</v>
      </c>
      <c r="C82" s="23" t="s">
        <v>1092</v>
      </c>
      <c r="D82" s="24" t="n">
        <v>1</v>
      </c>
      <c r="E82" s="23" t="n">
        <v>12</v>
      </c>
      <c r="F82" s="23" t="n">
        <f aca="false">IF(E82&lt;=4,'Hệ số'!$B$8,IF(E82&lt;=8,'Hệ số'!$B$9,IF(E82&lt;=13,'Hệ số'!$B$10,'Hệ số'!$B$11)))</f>
        <v>1.25</v>
      </c>
      <c r="G82" s="23" t="n">
        <f aca="false">ROUND(E82*F82,0)</f>
        <v>15</v>
      </c>
      <c r="H82" s="23" t="n">
        <v>924</v>
      </c>
      <c r="I82" s="24" t="n">
        <v>924</v>
      </c>
      <c r="J82" s="23" t="n">
        <f aca="false">IF(OR(E82=0,G82=E82),I82,ROUND(I82*(G82/E82)^'Hệ số'!$B$4,-1))</f>
        <v>1190</v>
      </c>
      <c r="K82" s="23"/>
      <c r="L82" s="23" t="n">
        <f aca="false">IF(K82="",J82,K82)</f>
        <v>1190</v>
      </c>
      <c r="M82" s="25" t="n">
        <f aca="false">IF(E82=0,1,G82/E82)</f>
        <v>1.25</v>
      </c>
      <c r="N82" s="26" t="n">
        <f aca="false">IF(E82=0,0,MIN('Hệ số'!$B$6,MAX(0,'Hệ số'!$B$5*(G82-'Hệ số'!$B$7))))</f>
        <v>0.0875</v>
      </c>
      <c r="O82" s="25" t="n">
        <f aca="false">ROUND(IF(D82=1,M82,M82*(1+N82)),4)</f>
        <v>1.25</v>
      </c>
      <c r="P82" s="25" t="n">
        <f aca="false">ROUND(M82*(1+N82),4)</f>
        <v>1.3594</v>
      </c>
      <c r="Q82" s="23" t="n">
        <f aca="false">IF(E82=0,"",IF(G82&lt;='Hệ số'!$B$12,2.5,IF(G82&gt;='Hệ số'!$B$13,5,3.5)))</f>
        <v>5</v>
      </c>
    </row>
    <row r="83" customFormat="false" ht="15" hidden="false" customHeight="false" outlineLevel="0" collapsed="false">
      <c r="A83" s="23" t="s">
        <v>184</v>
      </c>
      <c r="B83" s="23" t="s">
        <v>1103</v>
      </c>
      <c r="C83" s="23" t="s">
        <v>1092</v>
      </c>
      <c r="D83" s="24" t="n">
        <v>1</v>
      </c>
      <c r="E83" s="23" t="n">
        <v>12</v>
      </c>
      <c r="F83" s="23" t="n">
        <f aca="false">IF(E83&lt;=4,'Hệ số'!$B$8,IF(E83&lt;=8,'Hệ số'!$B$9,IF(E83&lt;=13,'Hệ số'!$B$10,'Hệ số'!$B$11)))</f>
        <v>1.25</v>
      </c>
      <c r="G83" s="23" t="n">
        <f aca="false">ROUND(E83*F83,0)</f>
        <v>15</v>
      </c>
      <c r="H83" s="23" t="n">
        <v>1320</v>
      </c>
      <c r="I83" s="24" t="n">
        <v>3300</v>
      </c>
      <c r="J83" s="23" t="n">
        <f aca="false">IF(OR(E83=0,G83=E83),I83,ROUND(I83*(G83/E83)^'Hệ số'!$B$4,-1))</f>
        <v>4270</v>
      </c>
      <c r="K83" s="23"/>
      <c r="L83" s="23" t="n">
        <f aca="false">IF(K83="",J83,K83)</f>
        <v>4270</v>
      </c>
      <c r="M83" s="25" t="n">
        <f aca="false">IF(E83=0,1,G83/E83)</f>
        <v>1.25</v>
      </c>
      <c r="N83" s="26" t="n">
        <f aca="false">IF(E83=0,0,MIN('Hệ số'!$B$6,MAX(0,'Hệ số'!$B$5*(G83-'Hệ số'!$B$7))))</f>
        <v>0.0875</v>
      </c>
      <c r="O83" s="25" t="n">
        <f aca="false">ROUND(IF(D83=1,M83,M83*(1+N83)),4)</f>
        <v>1.25</v>
      </c>
      <c r="P83" s="25" t="n">
        <f aca="false">ROUND(M83*(1+N83),4)</f>
        <v>1.3594</v>
      </c>
      <c r="Q83" s="23" t="n">
        <f aca="false">IF(E83=0,"",IF(G83&lt;='Hệ số'!$B$12,2.5,IF(G83&gt;='Hệ số'!$B$13,5,3.5)))</f>
        <v>5</v>
      </c>
    </row>
    <row r="84" customFormat="false" ht="15" hidden="false" customHeight="false" outlineLevel="0" collapsed="false">
      <c r="A84" s="23" t="s">
        <v>711</v>
      </c>
      <c r="B84" s="23" t="s">
        <v>1104</v>
      </c>
      <c r="C84" s="23" t="s">
        <v>1105</v>
      </c>
      <c r="D84" s="24" t="n">
        <v>0</v>
      </c>
      <c r="E84" s="23" t="n">
        <v>3</v>
      </c>
      <c r="F84" s="23" t="n">
        <f aca="false">IF(E84&lt;=4,'Hệ số'!$B$8,IF(E84&lt;=8,'Hệ số'!$B$9,IF(E84&lt;=13,'Hệ số'!$B$10,'Hệ số'!$B$11)))</f>
        <v>1</v>
      </c>
      <c r="G84" s="23" t="n">
        <f aca="false">ROUND(E84*F84,0)</f>
        <v>3</v>
      </c>
      <c r="H84" s="23" t="n">
        <v>462</v>
      </c>
      <c r="I84" s="24" t="n">
        <v>462</v>
      </c>
      <c r="J84" s="23" t="n">
        <f aca="false">IF(OR(E84=0,G84=E84),I84,ROUND(I84*(G84/E84)^'Hệ số'!$B$4,-1))</f>
        <v>462</v>
      </c>
      <c r="K84" s="23"/>
      <c r="L84" s="23" t="n">
        <f aca="false">IF(K84="",J84,K84)</f>
        <v>462</v>
      </c>
      <c r="M84" s="25" t="n">
        <f aca="false">IF(E84=0,1,G84/E84)</f>
        <v>1</v>
      </c>
      <c r="N84" s="26" t="n">
        <f aca="false">IF(E84=0,0,MIN('Hệ số'!$B$6,MAX(0,'Hệ số'!$B$5*(G84-'Hệ số'!$B$7))))</f>
        <v>0</v>
      </c>
      <c r="O84" s="25" t="n">
        <f aca="false">ROUND(IF(D84=1,M84,M84*(1+N84)),4)</f>
        <v>1</v>
      </c>
      <c r="P84" s="25" t="n">
        <f aca="false">ROUND(M84*(1+N84),4)</f>
        <v>1</v>
      </c>
      <c r="Q84" s="23" t="n">
        <f aca="false">IF(E84=0,"",IF(G84&lt;='Hệ số'!$B$12,2.5,IF(G84&gt;='Hệ số'!$B$13,5,3.5)))</f>
        <v>2.5</v>
      </c>
    </row>
    <row r="85" customFormat="false" ht="15" hidden="false" customHeight="false" outlineLevel="0" collapsed="false">
      <c r="A85" s="23" t="s">
        <v>714</v>
      </c>
      <c r="B85" s="23" t="s">
        <v>1106</v>
      </c>
      <c r="C85" s="23" t="s">
        <v>1105</v>
      </c>
      <c r="D85" s="24" t="n">
        <v>0</v>
      </c>
      <c r="E85" s="23" t="n">
        <v>4</v>
      </c>
      <c r="F85" s="23" t="n">
        <f aca="false">IF(E85&lt;=4,'Hệ số'!$B$8,IF(E85&lt;=8,'Hệ số'!$B$9,IF(E85&lt;=13,'Hệ số'!$B$10,'Hệ số'!$B$11)))</f>
        <v>1</v>
      </c>
      <c r="G85" s="23" t="n">
        <f aca="false">ROUND(E85*F85,0)</f>
        <v>4</v>
      </c>
      <c r="H85" s="23" t="n">
        <v>770</v>
      </c>
      <c r="I85" s="24" t="n">
        <v>770</v>
      </c>
      <c r="J85" s="23" t="n">
        <f aca="false">IF(OR(E85=0,G85=E85),I85,ROUND(I85*(G85/E85)^'Hệ số'!$B$4,-1))</f>
        <v>770</v>
      </c>
      <c r="K85" s="23"/>
      <c r="L85" s="23" t="n">
        <f aca="false">IF(K85="",J85,K85)</f>
        <v>770</v>
      </c>
      <c r="M85" s="25" t="n">
        <f aca="false">IF(E85=0,1,G85/E85)</f>
        <v>1</v>
      </c>
      <c r="N85" s="26" t="n">
        <f aca="false">IF(E85=0,0,MIN('Hệ số'!$B$6,MAX(0,'Hệ số'!$B$5*(G85-'Hệ số'!$B$7))))</f>
        <v>0</v>
      </c>
      <c r="O85" s="25" t="n">
        <f aca="false">ROUND(IF(D85=1,M85,M85*(1+N85)),4)</f>
        <v>1</v>
      </c>
      <c r="P85" s="25" t="n">
        <f aca="false">ROUND(M85*(1+N85),4)</f>
        <v>1</v>
      </c>
      <c r="Q85" s="23" t="n">
        <f aca="false">IF(E85=0,"",IF(G85&lt;='Hệ số'!$B$12,2.5,IF(G85&gt;='Hệ số'!$B$13,5,3.5)))</f>
        <v>2.5</v>
      </c>
    </row>
    <row r="86" customFormat="false" ht="15" hidden="false" customHeight="false" outlineLevel="0" collapsed="false">
      <c r="A86" s="23" t="s">
        <v>717</v>
      </c>
      <c r="B86" s="23" t="s">
        <v>1107</v>
      </c>
      <c r="C86" s="23" t="s">
        <v>1105</v>
      </c>
      <c r="D86" s="24" t="n">
        <v>0</v>
      </c>
      <c r="E86" s="23" t="n">
        <v>4</v>
      </c>
      <c r="F86" s="23" t="n">
        <f aca="false">IF(E86&lt;=4,'Hệ số'!$B$8,IF(E86&lt;=8,'Hệ số'!$B$9,IF(E86&lt;=13,'Hệ số'!$B$10,'Hệ số'!$B$11)))</f>
        <v>1</v>
      </c>
      <c r="G86" s="23" t="n">
        <f aca="false">ROUND(E86*F86,0)</f>
        <v>4</v>
      </c>
      <c r="H86" s="23" t="n">
        <v>700</v>
      </c>
      <c r="I86" s="24" t="n">
        <v>700</v>
      </c>
      <c r="J86" s="23" t="n">
        <f aca="false">IF(OR(E86=0,G86=E86),I86,ROUND(I86*(G86/E86)^'Hệ số'!$B$4,-1))</f>
        <v>700</v>
      </c>
      <c r="K86" s="23"/>
      <c r="L86" s="23" t="n">
        <f aca="false">IF(K86="",J86,K86)</f>
        <v>700</v>
      </c>
      <c r="M86" s="25" t="n">
        <f aca="false">IF(E86=0,1,G86/E86)</f>
        <v>1</v>
      </c>
      <c r="N86" s="26" t="n">
        <f aca="false">IF(E86=0,0,MIN('Hệ số'!$B$6,MAX(0,'Hệ số'!$B$5*(G86-'Hệ số'!$B$7))))</f>
        <v>0</v>
      </c>
      <c r="O86" s="25" t="n">
        <f aca="false">ROUND(IF(D86=1,M86,M86*(1+N86)),4)</f>
        <v>1</v>
      </c>
      <c r="P86" s="25" t="n">
        <f aca="false">ROUND(M86*(1+N86),4)</f>
        <v>1</v>
      </c>
      <c r="Q86" s="23" t="n">
        <f aca="false">IF(E86=0,"",IF(G86&lt;='Hệ số'!$B$12,2.5,IF(G86&gt;='Hệ số'!$B$13,5,3.5)))</f>
        <v>2.5</v>
      </c>
    </row>
    <row r="87" customFormat="false" ht="15" hidden="false" customHeight="false" outlineLevel="0" collapsed="false">
      <c r="A87" s="23" t="s">
        <v>720</v>
      </c>
      <c r="B87" s="23" t="s">
        <v>1108</v>
      </c>
      <c r="C87" s="23" t="s">
        <v>1105</v>
      </c>
      <c r="D87" s="24" t="n">
        <v>0</v>
      </c>
      <c r="E87" s="23" t="n">
        <v>5</v>
      </c>
      <c r="F87" s="23" t="n">
        <f aca="false">IF(E87&lt;=4,'Hệ số'!$B$8,IF(E87&lt;=8,'Hệ số'!$B$9,IF(E87&lt;=13,'Hệ số'!$B$10,'Hệ số'!$B$11)))</f>
        <v>1.15</v>
      </c>
      <c r="G87" s="23" t="n">
        <f aca="false">ROUND(E87*F87,0)</f>
        <v>6</v>
      </c>
      <c r="H87" s="23" t="n">
        <v>1001</v>
      </c>
      <c r="I87" s="24" t="n">
        <v>1001</v>
      </c>
      <c r="J87" s="23" t="n">
        <f aca="false">IF(OR(E87=0,G87=E87),I87,ROUND(I87*(G87/E87)^'Hệ số'!$B$4,-1))</f>
        <v>1230</v>
      </c>
      <c r="K87" s="23"/>
      <c r="L87" s="23" t="n">
        <f aca="false">IF(K87="",J87,K87)</f>
        <v>1230</v>
      </c>
      <c r="M87" s="25" t="n">
        <f aca="false">IF(E87=0,1,G87/E87)</f>
        <v>1.2</v>
      </c>
      <c r="N87" s="26" t="n">
        <f aca="false">IF(E87=0,0,MIN('Hệ số'!$B$6,MAX(0,'Hệ số'!$B$5*(G87-'Hệ số'!$B$7))))</f>
        <v>0</v>
      </c>
      <c r="O87" s="25" t="n">
        <f aca="false">ROUND(IF(D87=1,M87,M87*(1+N87)),4)</f>
        <v>1.2</v>
      </c>
      <c r="P87" s="25" t="n">
        <f aca="false">ROUND(M87*(1+N87),4)</f>
        <v>1.2</v>
      </c>
      <c r="Q87" s="23" t="n">
        <f aca="false">IF(E87=0,"",IF(G87&lt;='Hệ số'!$B$12,2.5,IF(G87&gt;='Hệ số'!$B$13,5,3.5)))</f>
        <v>3.5</v>
      </c>
    </row>
    <row r="88" customFormat="false" ht="15" hidden="false" customHeight="false" outlineLevel="0" collapsed="false">
      <c r="A88" s="23" t="s">
        <v>726</v>
      </c>
      <c r="B88" s="23" t="s">
        <v>1109</v>
      </c>
      <c r="C88" s="23" t="s">
        <v>1105</v>
      </c>
      <c r="D88" s="24" t="n">
        <v>0</v>
      </c>
      <c r="E88" s="23" t="n">
        <v>5</v>
      </c>
      <c r="F88" s="23" t="n">
        <f aca="false">IF(E88&lt;=4,'Hệ số'!$B$8,IF(E88&lt;=8,'Hệ số'!$B$9,IF(E88&lt;=13,'Hệ số'!$B$10,'Hệ số'!$B$11)))</f>
        <v>1.15</v>
      </c>
      <c r="G88" s="23" t="n">
        <f aca="false">ROUND(E88*F88,0)</f>
        <v>6</v>
      </c>
      <c r="H88" s="23" t="n">
        <v>900</v>
      </c>
      <c r="I88" s="24" t="n">
        <v>900</v>
      </c>
      <c r="J88" s="23" t="n">
        <f aca="false">IF(OR(E88=0,G88=E88),I88,ROUND(I88*(G88/E88)^'Hệ số'!$B$4,-1))</f>
        <v>1110</v>
      </c>
      <c r="K88" s="23"/>
      <c r="L88" s="23" t="n">
        <f aca="false">IF(K88="",J88,K88)</f>
        <v>1110</v>
      </c>
      <c r="M88" s="25" t="n">
        <f aca="false">IF(E88=0,1,G88/E88)</f>
        <v>1.2</v>
      </c>
      <c r="N88" s="26" t="n">
        <f aca="false">IF(E88=0,0,MIN('Hệ số'!$B$6,MAX(0,'Hệ số'!$B$5*(G88-'Hệ số'!$B$7))))</f>
        <v>0</v>
      </c>
      <c r="O88" s="25" t="n">
        <f aca="false">ROUND(IF(D88=1,M88,M88*(1+N88)),4)</f>
        <v>1.2</v>
      </c>
      <c r="P88" s="25" t="n">
        <f aca="false">ROUND(M88*(1+N88),4)</f>
        <v>1.2</v>
      </c>
      <c r="Q88" s="23" t="n">
        <f aca="false">IF(E88=0,"",IF(G88&lt;='Hệ số'!$B$12,2.5,IF(G88&gt;='Hệ số'!$B$13,5,3.5)))</f>
        <v>3.5</v>
      </c>
    </row>
    <row r="89" customFormat="false" ht="15" hidden="false" customHeight="false" outlineLevel="0" collapsed="false">
      <c r="A89" s="23" t="s">
        <v>731</v>
      </c>
      <c r="B89" s="23" t="s">
        <v>1110</v>
      </c>
      <c r="C89" s="23" t="s">
        <v>1105</v>
      </c>
      <c r="D89" s="24" t="n">
        <v>0</v>
      </c>
      <c r="E89" s="23" t="n">
        <v>6</v>
      </c>
      <c r="F89" s="23" t="n">
        <f aca="false">IF(E89&lt;=4,'Hệ số'!$B$8,IF(E89&lt;=8,'Hệ số'!$B$9,IF(E89&lt;=13,'Hệ số'!$B$10,'Hệ số'!$B$11)))</f>
        <v>1.15</v>
      </c>
      <c r="G89" s="23" t="n">
        <f aca="false">ROUND(E89*F89,0)</f>
        <v>7</v>
      </c>
      <c r="H89" s="23" t="n">
        <v>1399</v>
      </c>
      <c r="I89" s="24" t="n">
        <v>1399</v>
      </c>
      <c r="J89" s="23" t="n">
        <f aca="false">IF(OR(E89=0,G89=E89),I89,ROUND(I89*(G89/E89)^'Hệ số'!$B$4,-1))</f>
        <v>1670</v>
      </c>
      <c r="K89" s="23"/>
      <c r="L89" s="23" t="n">
        <f aca="false">IF(K89="",J89,K89)</f>
        <v>1670</v>
      </c>
      <c r="M89" s="25" t="n">
        <f aca="false">IF(E89=0,1,G89/E89)</f>
        <v>1.16666666666667</v>
      </c>
      <c r="N89" s="26" t="n">
        <f aca="false">IF(E89=0,0,MIN('Hệ số'!$B$6,MAX(0,'Hệ số'!$B$5*(G89-'Hệ số'!$B$7))))</f>
        <v>0</v>
      </c>
      <c r="O89" s="25" t="n">
        <f aca="false">ROUND(IF(D89=1,M89,M89*(1+N89)),4)</f>
        <v>1.1667</v>
      </c>
      <c r="P89" s="25" t="n">
        <f aca="false">ROUND(M89*(1+N89),4)</f>
        <v>1.1667</v>
      </c>
      <c r="Q89" s="23" t="n">
        <f aca="false">IF(E89=0,"",IF(G89&lt;='Hệ số'!$B$12,2.5,IF(G89&gt;='Hệ số'!$B$13,5,3.5)))</f>
        <v>3.5</v>
      </c>
    </row>
    <row r="90" customFormat="false" ht="15" hidden="false" customHeight="false" outlineLevel="0" collapsed="false">
      <c r="A90" s="23" t="s">
        <v>737</v>
      </c>
      <c r="B90" s="23" t="s">
        <v>1111</v>
      </c>
      <c r="C90" s="23" t="s">
        <v>1105</v>
      </c>
      <c r="D90" s="24" t="n">
        <v>0</v>
      </c>
      <c r="E90" s="23" t="n">
        <v>6</v>
      </c>
      <c r="F90" s="23" t="n">
        <f aca="false">IF(E90&lt;=4,'Hệ số'!$B$8,IF(E90&lt;=8,'Hệ số'!$B$9,IF(E90&lt;=13,'Hệ số'!$B$10,'Hệ số'!$B$11)))</f>
        <v>1.15</v>
      </c>
      <c r="G90" s="23" t="n">
        <f aca="false">ROUND(E90*F90,0)</f>
        <v>7</v>
      </c>
      <c r="H90" s="23" t="n">
        <v>990</v>
      </c>
      <c r="I90" s="24" t="n">
        <v>990</v>
      </c>
      <c r="J90" s="23" t="n">
        <f aca="false">IF(OR(E90=0,G90=E90),I90,ROUND(I90*(G90/E90)^'Hệ số'!$B$4,-1))</f>
        <v>1180</v>
      </c>
      <c r="K90" s="23"/>
      <c r="L90" s="23" t="n">
        <f aca="false">IF(K90="",J90,K90)</f>
        <v>1180</v>
      </c>
      <c r="M90" s="25" t="n">
        <f aca="false">IF(E90=0,1,G90/E90)</f>
        <v>1.16666666666667</v>
      </c>
      <c r="N90" s="26" t="n">
        <f aca="false">IF(E90=0,0,MIN('Hệ số'!$B$6,MAX(0,'Hệ số'!$B$5*(G90-'Hệ số'!$B$7))))</f>
        <v>0</v>
      </c>
      <c r="O90" s="25" t="n">
        <f aca="false">ROUND(IF(D90=1,M90,M90*(1+N90)),4)</f>
        <v>1.1667</v>
      </c>
      <c r="P90" s="25" t="n">
        <f aca="false">ROUND(M90*(1+N90),4)</f>
        <v>1.1667</v>
      </c>
      <c r="Q90" s="23" t="n">
        <f aca="false">IF(E90=0,"",IF(G90&lt;='Hệ số'!$B$12,2.5,IF(G90&gt;='Hệ số'!$B$13,5,3.5)))</f>
        <v>3.5</v>
      </c>
    </row>
    <row r="91" customFormat="false" ht="15" hidden="false" customHeight="false" outlineLevel="0" collapsed="false">
      <c r="A91" s="23" t="s">
        <v>743</v>
      </c>
      <c r="B91" s="23" t="s">
        <v>1112</v>
      </c>
      <c r="C91" s="23" t="s">
        <v>1105</v>
      </c>
      <c r="D91" s="24" t="n">
        <v>0</v>
      </c>
      <c r="E91" s="23" t="n">
        <v>6</v>
      </c>
      <c r="F91" s="23" t="n">
        <f aca="false">IF(E91&lt;=4,'Hệ số'!$B$8,IF(E91&lt;=8,'Hệ số'!$B$9,IF(E91&lt;=13,'Hệ số'!$B$10,'Hệ số'!$B$11)))</f>
        <v>1.15</v>
      </c>
      <c r="G91" s="23" t="n">
        <f aca="false">ROUND(E91*F91,0)</f>
        <v>7</v>
      </c>
      <c r="H91" s="23" t="n">
        <v>900</v>
      </c>
      <c r="I91" s="24" t="n">
        <v>900</v>
      </c>
      <c r="J91" s="23" t="n">
        <f aca="false">IF(OR(E91=0,G91=E91),I91,ROUND(I91*(G91/E91)^'Hệ số'!$B$4,-1))</f>
        <v>1070</v>
      </c>
      <c r="K91" s="23"/>
      <c r="L91" s="23" t="n">
        <f aca="false">IF(K91="",J91,K91)</f>
        <v>1070</v>
      </c>
      <c r="M91" s="25" t="n">
        <f aca="false">IF(E91=0,1,G91/E91)</f>
        <v>1.16666666666667</v>
      </c>
      <c r="N91" s="26" t="n">
        <f aca="false">IF(E91=0,0,MIN('Hệ số'!$B$6,MAX(0,'Hệ số'!$B$5*(G91-'Hệ số'!$B$7))))</f>
        <v>0</v>
      </c>
      <c r="O91" s="25" t="n">
        <f aca="false">ROUND(IF(D91=1,M91,M91*(1+N91)),4)</f>
        <v>1.1667</v>
      </c>
      <c r="P91" s="25" t="n">
        <f aca="false">ROUND(M91*(1+N91),4)</f>
        <v>1.1667</v>
      </c>
      <c r="Q91" s="23" t="n">
        <f aca="false">IF(E91=0,"",IF(G91&lt;='Hệ số'!$B$12,2.5,IF(G91&gt;='Hệ số'!$B$13,5,3.5)))</f>
        <v>3.5</v>
      </c>
    </row>
    <row r="92" customFormat="false" ht="15" hidden="false" customHeight="false" outlineLevel="0" collapsed="false">
      <c r="A92" s="23" t="s">
        <v>748</v>
      </c>
      <c r="B92" s="23" t="s">
        <v>1113</v>
      </c>
      <c r="C92" s="23" t="s">
        <v>1105</v>
      </c>
      <c r="D92" s="24" t="n">
        <v>0</v>
      </c>
      <c r="E92" s="23" t="n">
        <v>7</v>
      </c>
      <c r="F92" s="23" t="n">
        <f aca="false">IF(E92&lt;=4,'Hệ số'!$B$8,IF(E92&lt;=8,'Hệ số'!$B$9,IF(E92&lt;=13,'Hệ số'!$B$10,'Hệ số'!$B$11)))</f>
        <v>1.15</v>
      </c>
      <c r="G92" s="23" t="n">
        <f aca="false">ROUND(E92*F92,0)</f>
        <v>8</v>
      </c>
      <c r="H92" s="23" t="n">
        <v>1188</v>
      </c>
      <c r="I92" s="24" t="n">
        <v>1188</v>
      </c>
      <c r="J92" s="23" t="n">
        <f aca="false">IF(OR(E92=0,G92=E92),I92,ROUND(I92*(G92/E92)^'Hệ số'!$B$4,-1))</f>
        <v>1390</v>
      </c>
      <c r="K92" s="23"/>
      <c r="L92" s="23" t="n">
        <f aca="false">IF(K92="",J92,K92)</f>
        <v>1390</v>
      </c>
      <c r="M92" s="25" t="n">
        <f aca="false">IF(E92=0,1,G92/E92)</f>
        <v>1.14285714285714</v>
      </c>
      <c r="N92" s="26" t="n">
        <f aca="false">IF(E92=0,0,MIN('Hệ số'!$B$6,MAX(0,'Hệ số'!$B$5*(G92-'Hệ số'!$B$7))))</f>
        <v>0</v>
      </c>
      <c r="O92" s="25" t="n">
        <f aca="false">ROUND(IF(D92=1,M92,M92*(1+N92)),4)</f>
        <v>1.1429</v>
      </c>
      <c r="P92" s="25" t="n">
        <f aca="false">ROUND(M92*(1+N92),4)</f>
        <v>1.1429</v>
      </c>
      <c r="Q92" s="23" t="n">
        <f aca="false">IF(E92=0,"",IF(G92&lt;='Hệ số'!$B$12,2.5,IF(G92&gt;='Hệ số'!$B$13,5,3.5)))</f>
        <v>3.5</v>
      </c>
    </row>
    <row r="93" customFormat="false" ht="15" hidden="false" customHeight="false" outlineLevel="0" collapsed="false">
      <c r="A93" s="23" t="s">
        <v>754</v>
      </c>
      <c r="B93" s="23" t="s">
        <v>1114</v>
      </c>
      <c r="C93" s="23" t="s">
        <v>1105</v>
      </c>
      <c r="D93" s="24" t="n">
        <v>0</v>
      </c>
      <c r="E93" s="23" t="n">
        <v>7</v>
      </c>
      <c r="F93" s="23" t="n">
        <f aca="false">IF(E93&lt;=4,'Hệ số'!$B$8,IF(E93&lt;=8,'Hệ số'!$B$9,IF(E93&lt;=13,'Hệ số'!$B$10,'Hệ số'!$B$11)))</f>
        <v>1.15</v>
      </c>
      <c r="G93" s="23" t="n">
        <f aca="false">ROUND(E93*F93,0)</f>
        <v>8</v>
      </c>
      <c r="H93" s="23" t="n">
        <v>1300</v>
      </c>
      <c r="I93" s="24" t="n">
        <v>1300</v>
      </c>
      <c r="J93" s="23" t="n">
        <f aca="false">IF(OR(E93=0,G93=E93),I93,ROUND(I93*(G93/E93)^'Hệ số'!$B$4,-1))</f>
        <v>1520</v>
      </c>
      <c r="K93" s="23"/>
      <c r="L93" s="23" t="n">
        <f aca="false">IF(K93="",J93,K93)</f>
        <v>1520</v>
      </c>
      <c r="M93" s="25" t="n">
        <f aca="false">IF(E93=0,1,G93/E93)</f>
        <v>1.14285714285714</v>
      </c>
      <c r="N93" s="26" t="n">
        <f aca="false">IF(E93=0,0,MIN('Hệ số'!$B$6,MAX(0,'Hệ số'!$B$5*(G93-'Hệ số'!$B$7))))</f>
        <v>0</v>
      </c>
      <c r="O93" s="25" t="n">
        <f aca="false">ROUND(IF(D93=1,M93,M93*(1+N93)),4)</f>
        <v>1.1429</v>
      </c>
      <c r="P93" s="25" t="n">
        <f aca="false">ROUND(M93*(1+N93),4)</f>
        <v>1.1429</v>
      </c>
      <c r="Q93" s="23" t="n">
        <f aca="false">IF(E93=0,"",IF(G93&lt;='Hệ số'!$B$12,2.5,IF(G93&gt;='Hệ số'!$B$13,5,3.5)))</f>
        <v>3.5</v>
      </c>
    </row>
    <row r="94" customFormat="false" ht="15" hidden="false" customHeight="false" outlineLevel="0" collapsed="false">
      <c r="A94" s="23" t="s">
        <v>759</v>
      </c>
      <c r="B94" s="23" t="s">
        <v>1115</v>
      </c>
      <c r="C94" s="23" t="s">
        <v>1105</v>
      </c>
      <c r="D94" s="24" t="n">
        <v>0</v>
      </c>
      <c r="E94" s="23" t="n">
        <v>14</v>
      </c>
      <c r="F94" s="23" t="n">
        <f aca="false">IF(E94&lt;=4,'Hệ số'!$B$8,IF(E94&lt;=8,'Hệ số'!$B$9,IF(E94&lt;=13,'Hệ số'!$B$10,'Hệ số'!$B$11)))</f>
        <v>1.3</v>
      </c>
      <c r="G94" s="23" t="n">
        <f aca="false">ROUND(E94*F94,0)</f>
        <v>18</v>
      </c>
      <c r="H94" s="23" t="n">
        <v>968</v>
      </c>
      <c r="I94" s="24" t="n">
        <v>968</v>
      </c>
      <c r="J94" s="23" t="n">
        <f aca="false">IF(OR(E94=0,G94=E94),I94,ROUND(I94*(G94/E94)^'Hệ số'!$B$4,-1))</f>
        <v>1290</v>
      </c>
      <c r="K94" s="23"/>
      <c r="L94" s="23" t="n">
        <f aca="false">IF(K94="",J94,K94)</f>
        <v>1290</v>
      </c>
      <c r="M94" s="25" t="n">
        <f aca="false">IF(E94=0,1,G94/E94)</f>
        <v>1.28571428571429</v>
      </c>
      <c r="N94" s="26" t="n">
        <f aca="false">IF(E94=0,0,MIN('Hệ số'!$B$6,MAX(0,'Hệ số'!$B$5*(G94-'Hệ số'!$B$7))))</f>
        <v>0.125</v>
      </c>
      <c r="O94" s="25" t="n">
        <f aca="false">ROUND(IF(D94=1,M94,M94*(1+N94)),4)</f>
        <v>1.4464</v>
      </c>
      <c r="P94" s="25" t="n">
        <f aca="false">ROUND(M94*(1+N94),4)</f>
        <v>1.4464</v>
      </c>
      <c r="Q94" s="23" t="n">
        <f aca="false">IF(E94=0,"",IF(G94&lt;='Hệ số'!$B$12,2.5,IF(G94&gt;='Hệ số'!$B$13,5,3.5)))</f>
        <v>5</v>
      </c>
    </row>
    <row r="95" customFormat="false" ht="15" hidden="false" customHeight="false" outlineLevel="0" collapsed="false">
      <c r="A95" s="23" t="s">
        <v>766</v>
      </c>
      <c r="B95" s="23" t="s">
        <v>1116</v>
      </c>
      <c r="C95" s="23" t="s">
        <v>1117</v>
      </c>
      <c r="D95" s="24" t="n">
        <v>0</v>
      </c>
      <c r="E95" s="23" t="n">
        <v>6</v>
      </c>
      <c r="F95" s="23" t="n">
        <f aca="false">IF(E95&lt;=4,'Hệ số'!$B$8,IF(E95&lt;=8,'Hệ số'!$B$9,IF(E95&lt;=13,'Hệ số'!$B$10,'Hệ số'!$B$11)))</f>
        <v>1.15</v>
      </c>
      <c r="G95" s="23" t="n">
        <f aca="false">ROUND(E95*F95,0)</f>
        <v>7</v>
      </c>
      <c r="H95" s="23" t="n">
        <v>2860</v>
      </c>
      <c r="I95" s="24" t="n">
        <v>2860</v>
      </c>
      <c r="J95" s="23" t="n">
        <f aca="false">IF(OR(E95=0,G95=E95),I95,ROUND(I95*(G95/E95)^'Hệ số'!$B$4,-1))</f>
        <v>3410</v>
      </c>
      <c r="K95" s="23"/>
      <c r="L95" s="23" t="n">
        <f aca="false">IF(K95="",J95,K95)</f>
        <v>3410</v>
      </c>
      <c r="M95" s="25" t="n">
        <f aca="false">IF(E95=0,1,G95/E95)</f>
        <v>1.16666666666667</v>
      </c>
      <c r="N95" s="26" t="n">
        <f aca="false">IF(E95=0,0,MIN('Hệ số'!$B$6,MAX(0,'Hệ số'!$B$5*(G95-'Hệ số'!$B$7))))</f>
        <v>0</v>
      </c>
      <c r="O95" s="25" t="n">
        <f aca="false">ROUND(IF(D95=1,M95,M95*(1+N95)),4)</f>
        <v>1.1667</v>
      </c>
      <c r="P95" s="25" t="n">
        <f aca="false">ROUND(M95*(1+N95),4)</f>
        <v>1.1667</v>
      </c>
      <c r="Q95" s="23" t="n">
        <f aca="false">IF(E95=0,"",IF(G95&lt;='Hệ số'!$B$12,2.5,IF(G95&gt;='Hệ số'!$B$13,5,3.5)))</f>
        <v>3.5</v>
      </c>
    </row>
    <row r="96" customFormat="false" ht="15" hidden="false" customHeight="false" outlineLevel="0" collapsed="false">
      <c r="A96" s="23" t="s">
        <v>772</v>
      </c>
      <c r="B96" s="23" t="s">
        <v>1118</v>
      </c>
      <c r="C96" s="23" t="s">
        <v>1117</v>
      </c>
      <c r="D96" s="24" t="n">
        <v>0</v>
      </c>
      <c r="E96" s="23" t="n">
        <v>7</v>
      </c>
      <c r="F96" s="23" t="n">
        <f aca="false">IF(E96&lt;=4,'Hệ số'!$B$8,IF(E96&lt;=8,'Hệ số'!$B$9,IF(E96&lt;=13,'Hệ số'!$B$10,'Hệ số'!$B$11)))</f>
        <v>1.15</v>
      </c>
      <c r="G96" s="23" t="n">
        <f aca="false">ROUND(E96*F96,0)</f>
        <v>8</v>
      </c>
      <c r="H96" s="23" t="n">
        <v>2860</v>
      </c>
      <c r="I96" s="24" t="n">
        <v>2860</v>
      </c>
      <c r="J96" s="23" t="n">
        <f aca="false">IF(OR(E96=0,G96=E96),I96,ROUND(I96*(G96/E96)^'Hệ số'!$B$4,-1))</f>
        <v>3330</v>
      </c>
      <c r="K96" s="23"/>
      <c r="L96" s="23" t="n">
        <f aca="false">IF(K96="",J96,K96)</f>
        <v>3330</v>
      </c>
      <c r="M96" s="25" t="n">
        <f aca="false">IF(E96=0,1,G96/E96)</f>
        <v>1.14285714285714</v>
      </c>
      <c r="N96" s="26" t="n">
        <f aca="false">IF(E96=0,0,MIN('Hệ số'!$B$6,MAX(0,'Hệ số'!$B$5*(G96-'Hệ số'!$B$7))))</f>
        <v>0</v>
      </c>
      <c r="O96" s="25" t="n">
        <f aca="false">ROUND(IF(D96=1,M96,M96*(1+N96)),4)</f>
        <v>1.1429</v>
      </c>
      <c r="P96" s="25" t="n">
        <f aca="false">ROUND(M96*(1+N96),4)</f>
        <v>1.1429</v>
      </c>
      <c r="Q96" s="23" t="n">
        <f aca="false">IF(E96=0,"",IF(G96&lt;='Hệ số'!$B$12,2.5,IF(G96&gt;='Hệ số'!$B$13,5,3.5)))</f>
        <v>3.5</v>
      </c>
    </row>
    <row r="97" customFormat="false" ht="15" hidden="false" customHeight="false" outlineLevel="0" collapsed="false">
      <c r="A97" s="23" t="s">
        <v>777</v>
      </c>
      <c r="B97" s="23" t="s">
        <v>1119</v>
      </c>
      <c r="C97" s="23" t="s">
        <v>1117</v>
      </c>
      <c r="D97" s="24" t="n">
        <v>0</v>
      </c>
      <c r="E97" s="23" t="n">
        <v>7</v>
      </c>
      <c r="F97" s="23" t="n">
        <f aca="false">IF(E97&lt;=4,'Hệ số'!$B$8,IF(E97&lt;=8,'Hệ số'!$B$9,IF(E97&lt;=13,'Hệ số'!$B$10,'Hệ số'!$B$11)))</f>
        <v>1.15</v>
      </c>
      <c r="G97" s="23" t="n">
        <f aca="false">ROUND(E97*F97,0)</f>
        <v>8</v>
      </c>
      <c r="H97" s="23" t="n">
        <v>1980</v>
      </c>
      <c r="I97" s="24" t="n">
        <v>1980</v>
      </c>
      <c r="J97" s="23" t="n">
        <f aca="false">IF(OR(E97=0,G97=E97),I97,ROUND(I97*(G97/E97)^'Hệ số'!$B$4,-1))</f>
        <v>2310</v>
      </c>
      <c r="K97" s="23"/>
      <c r="L97" s="23" t="n">
        <f aca="false">IF(K97="",J97,K97)</f>
        <v>2310</v>
      </c>
      <c r="M97" s="25" t="n">
        <f aca="false">IF(E97=0,1,G97/E97)</f>
        <v>1.14285714285714</v>
      </c>
      <c r="N97" s="26" t="n">
        <f aca="false">IF(E97=0,0,MIN('Hệ số'!$B$6,MAX(0,'Hệ số'!$B$5*(G97-'Hệ số'!$B$7))))</f>
        <v>0</v>
      </c>
      <c r="O97" s="25" t="n">
        <f aca="false">ROUND(IF(D97=1,M97,M97*(1+N97)),4)</f>
        <v>1.1429</v>
      </c>
      <c r="P97" s="25" t="n">
        <f aca="false">ROUND(M97*(1+N97),4)</f>
        <v>1.1429</v>
      </c>
      <c r="Q97" s="23" t="n">
        <f aca="false">IF(E97=0,"",IF(G97&lt;='Hệ số'!$B$12,2.5,IF(G97&gt;='Hệ số'!$B$13,5,3.5)))</f>
        <v>3.5</v>
      </c>
    </row>
    <row r="98" customFormat="false" ht="15" hidden="false" customHeight="false" outlineLevel="0" collapsed="false">
      <c r="A98" s="23" t="s">
        <v>783</v>
      </c>
      <c r="B98" s="23" t="s">
        <v>1120</v>
      </c>
      <c r="C98" s="23" t="s">
        <v>1117</v>
      </c>
      <c r="D98" s="24" t="n">
        <v>0</v>
      </c>
      <c r="E98" s="23" t="n">
        <v>9</v>
      </c>
      <c r="F98" s="23" t="n">
        <f aca="false">IF(E98&lt;=4,'Hệ số'!$B$8,IF(E98&lt;=8,'Hệ số'!$B$9,IF(E98&lt;=13,'Hệ số'!$B$10,'Hệ số'!$B$11)))</f>
        <v>1.25</v>
      </c>
      <c r="G98" s="23" t="n">
        <f aca="false">ROUND(E98*F98,0)</f>
        <v>11</v>
      </c>
      <c r="H98" s="23" t="n">
        <v>2299</v>
      </c>
      <c r="I98" s="24" t="n">
        <v>2299</v>
      </c>
      <c r="J98" s="23" t="n">
        <f aca="false">IF(OR(E98=0,G98=E98),I98,ROUND(I98*(G98/E98)^'Hệ số'!$B$4,-1))</f>
        <v>2900</v>
      </c>
      <c r="K98" s="23"/>
      <c r="L98" s="23" t="n">
        <f aca="false">IF(K98="",J98,K98)</f>
        <v>2900</v>
      </c>
      <c r="M98" s="25" t="n">
        <f aca="false">IF(E98=0,1,G98/E98)</f>
        <v>1.22222222222222</v>
      </c>
      <c r="N98" s="26" t="n">
        <f aca="false">IF(E98=0,0,MIN('Hệ số'!$B$6,MAX(0,'Hệ số'!$B$5*(G98-'Hệ số'!$B$7))))</f>
        <v>0.0375</v>
      </c>
      <c r="O98" s="25" t="n">
        <f aca="false">ROUND(IF(D98=1,M98,M98*(1+N98)),4)</f>
        <v>1.2681</v>
      </c>
      <c r="P98" s="25" t="n">
        <f aca="false">ROUND(M98*(1+N98),4)</f>
        <v>1.2681</v>
      </c>
      <c r="Q98" s="23" t="n">
        <f aca="false">IF(E98=0,"",IF(G98&lt;='Hệ số'!$B$12,2.5,IF(G98&gt;='Hệ số'!$B$13,5,3.5)))</f>
        <v>3.5</v>
      </c>
    </row>
    <row r="99" customFormat="false" ht="15" hidden="false" customHeight="false" outlineLevel="0" collapsed="false">
      <c r="A99" s="23" t="s">
        <v>789</v>
      </c>
      <c r="B99" s="23" t="s">
        <v>1121</v>
      </c>
      <c r="C99" s="23" t="s">
        <v>1117</v>
      </c>
      <c r="D99" s="24" t="n">
        <v>0</v>
      </c>
      <c r="E99" s="23" t="n">
        <v>9</v>
      </c>
      <c r="F99" s="23" t="n">
        <f aca="false">IF(E99&lt;=4,'Hệ số'!$B$8,IF(E99&lt;=8,'Hệ số'!$B$9,IF(E99&lt;=13,'Hệ số'!$B$10,'Hệ số'!$B$11)))</f>
        <v>1.25</v>
      </c>
      <c r="G99" s="23" t="n">
        <f aca="false">ROUND(E99*F99,0)</f>
        <v>11</v>
      </c>
      <c r="H99" s="23" t="n">
        <v>2530</v>
      </c>
      <c r="I99" s="24" t="n">
        <v>2530</v>
      </c>
      <c r="J99" s="23" t="n">
        <f aca="false">IF(OR(E99=0,G99=E99),I99,ROUND(I99*(G99/E99)^'Hệ số'!$B$4,-1))</f>
        <v>3190</v>
      </c>
      <c r="K99" s="23"/>
      <c r="L99" s="23" t="n">
        <f aca="false">IF(K99="",J99,K99)</f>
        <v>3190</v>
      </c>
      <c r="M99" s="25" t="n">
        <f aca="false">IF(E99=0,1,G99/E99)</f>
        <v>1.22222222222222</v>
      </c>
      <c r="N99" s="26" t="n">
        <f aca="false">IF(E99=0,0,MIN('Hệ số'!$B$6,MAX(0,'Hệ số'!$B$5*(G99-'Hệ số'!$B$7))))</f>
        <v>0.0375</v>
      </c>
      <c r="O99" s="25" t="n">
        <f aca="false">ROUND(IF(D99=1,M99,M99*(1+N99)),4)</f>
        <v>1.2681</v>
      </c>
      <c r="P99" s="25" t="n">
        <f aca="false">ROUND(M99*(1+N99),4)</f>
        <v>1.2681</v>
      </c>
      <c r="Q99" s="23" t="n">
        <f aca="false">IF(E99=0,"",IF(G99&lt;='Hệ số'!$B$12,2.5,IF(G99&gt;='Hệ số'!$B$13,5,3.5)))</f>
        <v>3.5</v>
      </c>
    </row>
    <row r="100" customFormat="false" ht="15" hidden="false" customHeight="false" outlineLevel="0" collapsed="false">
      <c r="A100" s="23" t="s">
        <v>794</v>
      </c>
      <c r="B100" s="23" t="s">
        <v>1122</v>
      </c>
      <c r="C100" s="23" t="s">
        <v>1117</v>
      </c>
      <c r="D100" s="24" t="n">
        <v>0</v>
      </c>
      <c r="E100" s="23" t="n">
        <v>13</v>
      </c>
      <c r="F100" s="23" t="n">
        <f aca="false">IF(E100&lt;=4,'Hệ số'!$B$8,IF(E100&lt;=8,'Hệ số'!$B$9,IF(E100&lt;=13,'Hệ số'!$B$10,'Hệ số'!$B$11)))</f>
        <v>1.25</v>
      </c>
      <c r="G100" s="23" t="n">
        <f aca="false">ROUND(E100*F100,0)</f>
        <v>16</v>
      </c>
      <c r="H100" s="23" t="n">
        <v>3520</v>
      </c>
      <c r="I100" s="24" t="n">
        <v>3520</v>
      </c>
      <c r="J100" s="23" t="n">
        <f aca="false">IF(OR(E100=0,G100=E100),I100,ROUND(I100*(G100/E100)^'Hệ số'!$B$4,-1))</f>
        <v>4470</v>
      </c>
      <c r="K100" s="23"/>
      <c r="L100" s="23" t="n">
        <f aca="false">IF(K100="",J100,K100)</f>
        <v>4470</v>
      </c>
      <c r="M100" s="25" t="n">
        <f aca="false">IF(E100=0,1,G100/E100)</f>
        <v>1.23076923076923</v>
      </c>
      <c r="N100" s="26" t="n">
        <f aca="false">IF(E100=0,0,MIN('Hệ số'!$B$6,MAX(0,'Hệ số'!$B$5*(G100-'Hệ số'!$B$7))))</f>
        <v>0.1</v>
      </c>
      <c r="O100" s="25" t="n">
        <f aca="false">ROUND(IF(D100=1,M100,M100*(1+N100)),4)</f>
        <v>1.3538</v>
      </c>
      <c r="P100" s="25" t="n">
        <f aca="false">ROUND(M100*(1+N100),4)</f>
        <v>1.3538</v>
      </c>
      <c r="Q100" s="23" t="n">
        <f aca="false">IF(E100=0,"",IF(G100&lt;='Hệ số'!$B$12,2.5,IF(G100&gt;='Hệ số'!$B$13,5,3.5)))</f>
        <v>5</v>
      </c>
    </row>
    <row r="101" customFormat="false" ht="15" hidden="false" customHeight="false" outlineLevel="0" collapsed="false">
      <c r="A101" s="23" t="s">
        <v>801</v>
      </c>
      <c r="B101" s="23" t="s">
        <v>1123</v>
      </c>
      <c r="C101" s="23" t="s">
        <v>1117</v>
      </c>
      <c r="D101" s="24" t="n">
        <v>0</v>
      </c>
      <c r="E101" s="23" t="n">
        <v>18</v>
      </c>
      <c r="F101" s="23" t="n">
        <f aca="false">IF(E101&lt;=4,'Hệ số'!$B$8,IF(E101&lt;=8,'Hệ số'!$B$9,IF(E101&lt;=13,'Hệ số'!$B$10,'Hệ số'!$B$11)))</f>
        <v>1.3</v>
      </c>
      <c r="G101" s="23" t="n">
        <f aca="false">ROUND(E101*F101,0)</f>
        <v>23</v>
      </c>
      <c r="H101" s="23" t="n">
        <v>5720</v>
      </c>
      <c r="I101" s="24" t="n">
        <v>5720</v>
      </c>
      <c r="J101" s="23" t="n">
        <f aca="false">IF(OR(E101=0,G101=E101),I101,ROUND(I101*(G101/E101)^'Hệ số'!$B$4,-1))</f>
        <v>7580</v>
      </c>
      <c r="K101" s="23"/>
      <c r="L101" s="23" t="n">
        <f aca="false">IF(K101="",J101,K101)</f>
        <v>7580</v>
      </c>
      <c r="M101" s="25" t="n">
        <f aca="false">IF(E101=0,1,G101/E101)</f>
        <v>1.27777777777778</v>
      </c>
      <c r="N101" s="26" t="n">
        <f aca="false">IF(E101=0,0,MIN('Hệ số'!$B$6,MAX(0,'Hệ số'!$B$5*(G101-'Hệ số'!$B$7))))</f>
        <v>0.15</v>
      </c>
      <c r="O101" s="25" t="n">
        <f aca="false">ROUND(IF(D101=1,M101,M101*(1+N101)),4)</f>
        <v>1.4694</v>
      </c>
      <c r="P101" s="25" t="n">
        <f aca="false">ROUND(M101*(1+N101),4)</f>
        <v>1.4694</v>
      </c>
      <c r="Q101" s="23" t="n">
        <f aca="false">IF(E101=0,"",IF(G101&lt;='Hệ số'!$B$12,2.5,IF(G101&gt;='Hệ số'!$B$13,5,3.5)))</f>
        <v>5</v>
      </c>
    </row>
  </sheetData>
  <autoFilter ref="A1:Q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0"/>
    <col collapsed="false" customWidth="true" hidden="false" outlineLevel="0" max="4" min="4" style="0" width="8"/>
    <col collapsed="false" customWidth="true" hidden="false" outlineLevel="0" max="5" min="5" style="0" width="10"/>
    <col collapsed="false" customWidth="true" hidden="false" outlineLevel="0" max="7" min="6" style="0" width="12"/>
    <col collapsed="false" customWidth="true" hidden="false" outlineLevel="0" max="8" min="8" style="0" width="14"/>
    <col collapsed="false" customWidth="true" hidden="false" outlineLevel="0" max="10" min="9" style="0" width="9"/>
    <col collapsed="false" customWidth="true" hidden="false" outlineLevel="0" max="11" min="11" style="0" width="28"/>
  </cols>
  <sheetData>
    <row r="1" customFormat="false" ht="45" hidden="false" customHeight="true" outlineLevel="0" collapsed="false">
      <c r="A1" s="14" t="s">
        <v>1124</v>
      </c>
      <c r="B1" s="14"/>
      <c r="C1" s="14"/>
      <c r="D1" s="14"/>
      <c r="E1" s="14"/>
      <c r="F1" s="14"/>
      <c r="G1" s="14"/>
      <c r="H1" s="14"/>
      <c r="I1" s="14"/>
      <c r="J1" s="14"/>
      <c r="K1" s="14"/>
    </row>
    <row r="3" customFormat="false" ht="23.85" hidden="false" customHeight="false" outlineLevel="0" collapsed="false">
      <c r="A3" s="22" t="s">
        <v>995</v>
      </c>
      <c r="B3" s="22" t="s">
        <v>996</v>
      </c>
      <c r="C3" s="22" t="s">
        <v>1125</v>
      </c>
      <c r="D3" s="22" t="s">
        <v>1001</v>
      </c>
      <c r="E3" s="22" t="s">
        <v>1006</v>
      </c>
      <c r="F3" s="22" t="s">
        <v>1126</v>
      </c>
      <c r="G3" s="22" t="s">
        <v>1127</v>
      </c>
      <c r="H3" s="22" t="s">
        <v>1128</v>
      </c>
      <c r="I3" s="22" t="s">
        <v>1129</v>
      </c>
      <c r="J3" s="22" t="s">
        <v>1130</v>
      </c>
      <c r="K3" s="22" t="s">
        <v>1131</v>
      </c>
    </row>
    <row r="4" customFormat="false" ht="15" hidden="false" customHeight="false" outlineLevel="0" collapsed="false">
      <c r="A4" s="23" t="s">
        <v>425</v>
      </c>
      <c r="B4" s="23" t="s">
        <v>1056</v>
      </c>
      <c r="C4" s="23" t="s">
        <v>1056</v>
      </c>
      <c r="D4" s="23" t="n">
        <f aca="false">'Tính toán'!G40</f>
        <v>15</v>
      </c>
      <c r="E4" s="23" t="n">
        <f aca="false">'Tính toán'!L40</f>
        <v>1480</v>
      </c>
      <c r="F4" s="23" t="n">
        <f aca="false">ROUNDUP(E4/('Hệ số'!$B$14*'Hệ số'!$B$15),0)</f>
        <v>4</v>
      </c>
      <c r="G4" s="23" t="n">
        <f aca="false">ROUNDUP(E4/'Hệ số'!$B$16,0)</f>
        <v>9</v>
      </c>
      <c r="H4" s="23" t="n">
        <f aca="false">ROUNDUP(E4/'Hệ số'!$B$17,0)</f>
        <v>6</v>
      </c>
      <c r="I4" s="24" t="n">
        <v>3</v>
      </c>
      <c r="J4" s="24" t="n">
        <v>5</v>
      </c>
      <c r="K4" s="23" t="str">
        <f aca="false">IF(AND(F4&gt;=I4,F4&lt;=J4),"Có",IF(D4&lt;=8,"Ngoài dải (thẻ rẻ, chấp nhận)","Ngoài dải — báo cáo"))</f>
        <v>Có</v>
      </c>
    </row>
    <row r="5" customFormat="false" ht="15" hidden="false" customHeight="false" outlineLevel="0" collapsed="false">
      <c r="A5" s="23" t="s">
        <v>432</v>
      </c>
      <c r="B5" s="23" t="s">
        <v>1057</v>
      </c>
      <c r="C5" s="23" t="s">
        <v>1056</v>
      </c>
      <c r="D5" s="23" t="n">
        <f aca="false">'Tính toán'!G41</f>
        <v>16</v>
      </c>
      <c r="E5" s="23" t="n">
        <f aca="false">'Tính toán'!L41</f>
        <v>1650</v>
      </c>
      <c r="F5" s="23" t="n">
        <f aca="false">ROUNDUP(E5/('Hệ số'!$B$14*'Hệ số'!$B$15),0)</f>
        <v>4</v>
      </c>
      <c r="G5" s="23" t="n">
        <f aca="false">ROUNDUP(E5/'Hệ số'!$B$16,0)</f>
        <v>10</v>
      </c>
      <c r="H5" s="23" t="n">
        <f aca="false">ROUNDUP(E5/'Hệ số'!$B$17,0)</f>
        <v>6</v>
      </c>
      <c r="I5" s="24" t="n">
        <v>3</v>
      </c>
      <c r="J5" s="24" t="n">
        <v>5</v>
      </c>
      <c r="K5" s="23" t="str">
        <f aca="false">IF(AND(F5&gt;=I5,F5&lt;=J5),"Có",IF(D5&lt;=8,"Ngoài dải (thẻ rẻ, chấp nhận)","Ngoài dải — báo cáo"))</f>
        <v>Có</v>
      </c>
    </row>
    <row r="6" customFormat="false" ht="15" hidden="false" customHeight="false" outlineLevel="0" collapsed="false">
      <c r="A6" s="23" t="s">
        <v>441</v>
      </c>
      <c r="B6" s="23" t="s">
        <v>1058</v>
      </c>
      <c r="C6" s="23" t="s">
        <v>1056</v>
      </c>
      <c r="D6" s="23" t="n">
        <f aca="false">'Tính toán'!G42</f>
        <v>16</v>
      </c>
      <c r="E6" s="23" t="n">
        <f aca="false">'Tính toán'!L42</f>
        <v>1340</v>
      </c>
      <c r="F6" s="23" t="n">
        <f aca="false">ROUNDUP(E6/('Hệ số'!$B$14*'Hệ số'!$B$15),0)</f>
        <v>4</v>
      </c>
      <c r="G6" s="23" t="n">
        <f aca="false">ROUNDUP(E6/'Hệ số'!$B$16,0)</f>
        <v>8</v>
      </c>
      <c r="H6" s="23" t="n">
        <f aca="false">ROUNDUP(E6/'Hệ số'!$B$17,0)</f>
        <v>5</v>
      </c>
      <c r="I6" s="24" t="n">
        <v>3</v>
      </c>
      <c r="J6" s="24" t="n">
        <v>5</v>
      </c>
      <c r="K6" s="23" t="str">
        <f aca="false">IF(AND(F6&gt;=I6,F6&lt;=J6),"Có",IF(D6&lt;=8,"Ngoài dải (thẻ rẻ, chấp nhận)","Ngoài dải — báo cáo"))</f>
        <v>Có</v>
      </c>
    </row>
    <row r="7" customFormat="false" ht="15" hidden="false" customHeight="false" outlineLevel="0" collapsed="false">
      <c r="A7" s="23" t="s">
        <v>383</v>
      </c>
      <c r="B7" s="23" t="s">
        <v>1049</v>
      </c>
      <c r="C7" s="23" t="s">
        <v>1132</v>
      </c>
      <c r="D7" s="23" t="n">
        <f aca="false">'Tính toán'!G33</f>
        <v>8</v>
      </c>
      <c r="E7" s="23" t="n">
        <f aca="false">'Tính toán'!L33</f>
        <v>2100</v>
      </c>
      <c r="F7" s="23" t="n">
        <f aca="false">ROUNDUP(E7/('Hệ số'!$B$14*'Hệ số'!$B$15),0)</f>
        <v>6</v>
      </c>
      <c r="G7" s="23" t="n">
        <f aca="false">ROUNDUP(E7/'Hệ số'!$B$16,0)</f>
        <v>12</v>
      </c>
      <c r="H7" s="23" t="n">
        <f aca="false">ROUNDUP(E7/'Hệ số'!$B$17,0)</f>
        <v>8</v>
      </c>
      <c r="I7" s="24" t="n">
        <v>8</v>
      </c>
      <c r="J7" s="24" t="n">
        <v>12</v>
      </c>
      <c r="K7" s="23" t="str">
        <f aca="false">IF(AND(F7&gt;=I7,F7&lt;=J7),"Có",IF(D7&lt;=8,"Ngoài dải (thẻ rẻ, chấp nhận)","Ngoài dải — báo cáo"))</f>
        <v>Ngoài dải (thẻ rẻ, chấp nhận)</v>
      </c>
    </row>
    <row r="8" customFormat="false" ht="15" hidden="false" customHeight="false" outlineLevel="0" collapsed="false">
      <c r="A8" s="23" t="s">
        <v>401</v>
      </c>
      <c r="B8" s="23" t="s">
        <v>1052</v>
      </c>
      <c r="C8" s="23" t="s">
        <v>1132</v>
      </c>
      <c r="D8" s="23" t="n">
        <f aca="false">'Tính toán'!G36</f>
        <v>9</v>
      </c>
      <c r="E8" s="23" t="n">
        <f aca="false">'Tính toán'!L36</f>
        <v>2860</v>
      </c>
      <c r="F8" s="23" t="n">
        <f aca="false">ROUNDUP(E8/('Hệ số'!$B$14*'Hệ số'!$B$15),0)</f>
        <v>7</v>
      </c>
      <c r="G8" s="23" t="n">
        <f aca="false">ROUNDUP(E8/'Hệ số'!$B$16,0)</f>
        <v>17</v>
      </c>
      <c r="H8" s="23" t="n">
        <f aca="false">ROUNDUP(E8/'Hệ số'!$B$17,0)</f>
        <v>10</v>
      </c>
      <c r="I8" s="24" t="n">
        <v>8</v>
      </c>
      <c r="J8" s="24" t="n">
        <v>12</v>
      </c>
      <c r="K8" s="23" t="str">
        <f aca="false">IF(AND(F8&gt;=I8,F8&lt;=J8),"Có",IF(D8&lt;=8,"Ngoài dải (thẻ rẻ, chấp nhận)","Ngoài dải — báo cáo"))</f>
        <v>Ngoài dải — báo cáo</v>
      </c>
    </row>
    <row r="9" customFormat="false" ht="15" hidden="false" customHeight="false" outlineLevel="0" collapsed="false">
      <c r="A9" s="23" t="s">
        <v>457</v>
      </c>
      <c r="B9" s="23" t="s">
        <v>1060</v>
      </c>
      <c r="C9" s="23" t="s">
        <v>1132</v>
      </c>
      <c r="D9" s="23" t="n">
        <f aca="false">'Tính toán'!G44</f>
        <v>18</v>
      </c>
      <c r="E9" s="23" t="n">
        <f aca="false">'Tính toán'!L44</f>
        <v>4670</v>
      </c>
      <c r="F9" s="23" t="n">
        <f aca="false">ROUNDUP(E9/('Hệ số'!$B$14*'Hệ số'!$B$15),0)</f>
        <v>12</v>
      </c>
      <c r="G9" s="23" t="n">
        <f aca="false">ROUNDUP(E9/'Hệ số'!$B$16,0)</f>
        <v>27</v>
      </c>
      <c r="H9" s="23" t="n">
        <f aca="false">ROUNDUP(E9/'Hệ số'!$B$17,0)</f>
        <v>16</v>
      </c>
      <c r="I9" s="24" t="n">
        <v>8</v>
      </c>
      <c r="J9" s="24" t="n">
        <v>12</v>
      </c>
      <c r="K9" s="23" t="str">
        <f aca="false">IF(AND(F9&gt;=I9,F9&lt;=J9),"Có",IF(D9&lt;=8,"Ngoài dải (thẻ rẻ, chấp nhận)","Ngoài dải — báo cáo"))</f>
        <v>Có</v>
      </c>
    </row>
    <row r="10" customFormat="false" ht="15" hidden="false" customHeight="false" outlineLevel="0" collapsed="false">
      <c r="A10" s="23" t="s">
        <v>466</v>
      </c>
      <c r="B10" s="23" t="s">
        <v>1061</v>
      </c>
      <c r="C10" s="23" t="s">
        <v>1132</v>
      </c>
      <c r="D10" s="23" t="n">
        <f aca="false">'Tính toán'!G45</f>
        <v>20</v>
      </c>
      <c r="E10" s="23" t="n">
        <f aca="false">'Tính toán'!L45</f>
        <v>3620</v>
      </c>
      <c r="F10" s="23" t="n">
        <f aca="false">ROUNDUP(E10/('Hệ số'!$B$14*'Hệ số'!$B$15),0)</f>
        <v>9</v>
      </c>
      <c r="G10" s="23" t="n">
        <f aca="false">ROUNDUP(E10/'Hệ số'!$B$16,0)</f>
        <v>21</v>
      </c>
      <c r="H10" s="23" t="n">
        <f aca="false">ROUNDUP(E10/'Hệ số'!$B$17,0)</f>
        <v>13</v>
      </c>
      <c r="I10" s="24" t="n">
        <v>8</v>
      </c>
      <c r="J10" s="24" t="n">
        <v>12</v>
      </c>
      <c r="K10" s="23" t="str">
        <f aca="false">IF(AND(F10&gt;=I10,F10&lt;=J10),"Có",IF(D10&lt;=8,"Ngoài dải (thẻ rẻ, chấp nhận)","Ngoài dải — báo cáo"))</f>
        <v>Có</v>
      </c>
    </row>
    <row r="11" customFormat="false" ht="15" hidden="false" customHeight="false" outlineLevel="0" collapsed="false">
      <c r="A11" s="23" t="s">
        <v>173</v>
      </c>
      <c r="B11" s="23" t="s">
        <v>1067</v>
      </c>
      <c r="C11" s="23" t="s">
        <v>1132</v>
      </c>
      <c r="D11" s="23" t="n">
        <f aca="false">'Tính toán'!G51</f>
        <v>29</v>
      </c>
      <c r="E11" s="23" t="n">
        <f aca="false">'Tính toán'!L51</f>
        <v>4900</v>
      </c>
      <c r="F11" s="23" t="n">
        <f aca="false">ROUNDUP(E11/('Hệ số'!$B$14*'Hệ số'!$B$15),0)</f>
        <v>12</v>
      </c>
      <c r="G11" s="23" t="n">
        <f aca="false">ROUNDUP(E11/'Hệ số'!$B$16,0)</f>
        <v>28</v>
      </c>
      <c r="H11" s="23" t="n">
        <f aca="false">ROUNDUP(E11/'Hệ số'!$B$17,0)</f>
        <v>17</v>
      </c>
      <c r="I11" s="24" t="n">
        <v>8</v>
      </c>
      <c r="J11" s="24" t="n">
        <v>12</v>
      </c>
      <c r="K11" s="23" t="str">
        <f aca="false">IF(AND(F11&gt;=I11,F11&lt;=J11),"Có",IF(D11&lt;=8,"Ngoài dải (thẻ rẻ, chấp nhận)","Ngoài dải — báo cáo"))</f>
        <v>Có</v>
      </c>
    </row>
    <row r="12" customFormat="false" ht="15" hidden="false" customHeight="false" outlineLevel="0" collapsed="false">
      <c r="A12" s="23" t="s">
        <v>515</v>
      </c>
      <c r="B12" s="23" t="s">
        <v>1066</v>
      </c>
      <c r="C12" s="23" t="s">
        <v>1132</v>
      </c>
      <c r="D12" s="23" t="n">
        <f aca="false">'Tính toán'!G50</f>
        <v>29</v>
      </c>
      <c r="E12" s="23" t="n">
        <f aca="false">'Tính toán'!L50</f>
        <v>4530</v>
      </c>
      <c r="F12" s="23" t="n">
        <f aca="false">ROUNDUP(E12/('Hệ số'!$B$14*'Hệ số'!$B$15),0)</f>
        <v>11</v>
      </c>
      <c r="G12" s="23" t="n">
        <f aca="false">ROUNDUP(E12/'Hệ số'!$B$16,0)</f>
        <v>26</v>
      </c>
      <c r="H12" s="23" t="n">
        <f aca="false">ROUNDUP(E12/'Hệ số'!$B$17,0)</f>
        <v>16</v>
      </c>
      <c r="I12" s="24" t="n">
        <v>8</v>
      </c>
      <c r="J12" s="24" t="n">
        <v>12</v>
      </c>
      <c r="K12" s="23" t="str">
        <f aca="false">IF(AND(F12&gt;=I12,F12&lt;=J12),"Có",IF(D12&lt;=8,"Ngoài dải (thẻ rẻ, chấp nhận)","Ngoài dải — báo cáo"))</f>
        <v>Có</v>
      </c>
    </row>
    <row r="13" customFormat="false" ht="15" hidden="false" customHeight="false" outlineLevel="0" collapsed="false">
      <c r="A13" s="23" t="s">
        <v>365</v>
      </c>
      <c r="B13" s="23" t="s">
        <v>1045</v>
      </c>
      <c r="C13" s="23" t="s">
        <v>1133</v>
      </c>
      <c r="D13" s="23" t="n">
        <f aca="false">'Tính toán'!G30</f>
        <v>6</v>
      </c>
      <c r="E13" s="23" t="n">
        <f aca="false">'Tính toán'!L30</f>
        <v>1140</v>
      </c>
      <c r="F13" s="23" t="n">
        <f aca="false">ROUNDUP(E13/('Hệ số'!$B$14*'Hệ số'!$B$15),0)</f>
        <v>3</v>
      </c>
      <c r="G13" s="23" t="n">
        <f aca="false">ROUNDUP(E13/'Hệ số'!$B$16,0)</f>
        <v>7</v>
      </c>
      <c r="H13" s="23" t="n">
        <f aca="false">ROUNDUP(E13/'Hệ số'!$B$17,0)</f>
        <v>4</v>
      </c>
      <c r="I13" s="24" t="n">
        <v>4</v>
      </c>
      <c r="J13" s="24" t="n">
        <v>8</v>
      </c>
      <c r="K13" s="23" t="str">
        <f aca="false">IF(AND(F13&gt;=I13,F13&lt;=J13),"Có",IF(D13&lt;=8,"Ngoài dải (thẻ rẻ, chấp nhận)","Ngoài dải — báo cáo"))</f>
        <v>Ngoài dải (thẻ rẻ, chấp nhận)</v>
      </c>
    </row>
    <row r="14" customFormat="false" ht="15" hidden="false" customHeight="false" outlineLevel="0" collapsed="false">
      <c r="A14" s="23" t="s">
        <v>395</v>
      </c>
      <c r="B14" s="23" t="s">
        <v>1051</v>
      </c>
      <c r="C14" s="23" t="s">
        <v>1133</v>
      </c>
      <c r="D14" s="23" t="n">
        <f aca="false">'Tính toán'!G35</f>
        <v>8</v>
      </c>
      <c r="E14" s="23" t="n">
        <f aca="false">'Tính toán'!L35</f>
        <v>1050</v>
      </c>
      <c r="F14" s="23" t="n">
        <f aca="false">ROUNDUP(E14/('Hệ số'!$B$14*'Hệ số'!$B$15),0)</f>
        <v>3</v>
      </c>
      <c r="G14" s="23" t="n">
        <f aca="false">ROUNDUP(E14/'Hệ số'!$B$16,0)</f>
        <v>6</v>
      </c>
      <c r="H14" s="23" t="n">
        <f aca="false">ROUNDUP(E14/'Hệ số'!$B$17,0)</f>
        <v>4</v>
      </c>
      <c r="I14" s="24" t="n">
        <v>4</v>
      </c>
      <c r="J14" s="24" t="n">
        <v>8</v>
      </c>
      <c r="K14" s="23" t="str">
        <f aca="false">IF(AND(F14&gt;=I14,F14&lt;=J14),"Có",IF(D14&lt;=8,"Ngoài dải (thẻ rẻ, chấp nhận)","Ngoài dải — báo cáo"))</f>
        <v>Ngoài dải (thẻ rẻ, chấp nhận)</v>
      </c>
    </row>
    <row r="15" customFormat="false" ht="15" hidden="false" customHeight="false" outlineLevel="0" collapsed="false">
      <c r="A15" s="23" t="s">
        <v>389</v>
      </c>
      <c r="B15" s="23" t="s">
        <v>1050</v>
      </c>
      <c r="C15" s="23" t="s">
        <v>1133</v>
      </c>
      <c r="D15" s="23" t="n">
        <f aca="false">'Tính toán'!G34</f>
        <v>8</v>
      </c>
      <c r="E15" s="23" t="n">
        <f aca="false">'Tính toán'!L34</f>
        <v>1280</v>
      </c>
      <c r="F15" s="23" t="n">
        <f aca="false">ROUNDUP(E15/('Hệ số'!$B$14*'Hệ số'!$B$15),0)</f>
        <v>4</v>
      </c>
      <c r="G15" s="23" t="n">
        <f aca="false">ROUNDUP(E15/'Hệ số'!$B$16,0)</f>
        <v>8</v>
      </c>
      <c r="H15" s="23" t="n">
        <f aca="false">ROUNDUP(E15/'Hệ số'!$B$17,0)</f>
        <v>5</v>
      </c>
      <c r="I15" s="24" t="n">
        <v>4</v>
      </c>
      <c r="J15" s="24" t="n">
        <v>8</v>
      </c>
      <c r="K15" s="23" t="str">
        <f aca="false">IF(AND(F15&gt;=I15,F15&lt;=J15),"Có",IF(D15&lt;=8,"Ngoài dải (thẻ rẻ, chấp nhận)","Ngoài dải — báo cáo"))</f>
        <v>Có</v>
      </c>
    </row>
    <row r="16" customFormat="false" ht="15" hidden="false" customHeight="false" outlineLevel="0" collapsed="false">
      <c r="A16" s="23" t="s">
        <v>413</v>
      </c>
      <c r="B16" s="23" t="s">
        <v>1054</v>
      </c>
      <c r="C16" s="23" t="s">
        <v>1133</v>
      </c>
      <c r="D16" s="23" t="n">
        <f aca="false">'Tính toán'!G38</f>
        <v>11</v>
      </c>
      <c r="E16" s="23" t="n">
        <f aca="false">'Tính toán'!L38</f>
        <v>2220</v>
      </c>
      <c r="F16" s="23" t="n">
        <f aca="false">ROUNDUP(E16/('Hệ số'!$B$14*'Hệ số'!$B$15),0)</f>
        <v>6</v>
      </c>
      <c r="G16" s="23" t="n">
        <f aca="false">ROUNDUP(E16/'Hệ số'!$B$16,0)</f>
        <v>13</v>
      </c>
      <c r="H16" s="23" t="n">
        <f aca="false">ROUNDUP(E16/'Hệ số'!$B$17,0)</f>
        <v>8</v>
      </c>
      <c r="I16" s="24" t="n">
        <v>4</v>
      </c>
      <c r="J16" s="24" t="n">
        <v>8</v>
      </c>
      <c r="K16" s="23" t="str">
        <f aca="false">IF(AND(F16&gt;=I16,F16&lt;=J16),"Có",IF(D16&lt;=8,"Ngoài dải (thẻ rẻ, chấp nhận)","Ngoài dải — báo cáo"))</f>
        <v>Có</v>
      </c>
    </row>
    <row r="17" customFormat="false" ht="15" hidden="false" customHeight="false" outlineLevel="0" collapsed="false">
      <c r="A17" s="23" t="s">
        <v>448</v>
      </c>
      <c r="B17" s="23" t="s">
        <v>1059</v>
      </c>
      <c r="C17" s="23" t="s">
        <v>1133</v>
      </c>
      <c r="D17" s="23" t="n">
        <f aca="false">'Tính toán'!G43</f>
        <v>16</v>
      </c>
      <c r="E17" s="23" t="n">
        <f aca="false">'Tính toán'!L43</f>
        <v>2400</v>
      </c>
      <c r="F17" s="23" t="n">
        <f aca="false">ROUNDUP(E17/('Hệ số'!$B$14*'Hệ số'!$B$15),0)</f>
        <v>6</v>
      </c>
      <c r="G17" s="23" t="n">
        <f aca="false">ROUNDUP(E17/'Hệ số'!$B$16,0)</f>
        <v>14</v>
      </c>
      <c r="H17" s="23" t="n">
        <f aca="false">ROUNDUP(E17/'Hệ số'!$B$17,0)</f>
        <v>9</v>
      </c>
      <c r="I17" s="24" t="n">
        <v>4</v>
      </c>
      <c r="J17" s="24" t="n">
        <v>8</v>
      </c>
      <c r="K17" s="23" t="str">
        <f aca="false">IF(AND(F17&gt;=I17,F17&lt;=J17),"Có",IF(D17&lt;=8,"Ngoài dải (thẻ rẻ, chấp nhận)","Ngoài dải — báo cáo"))</f>
        <v>Có</v>
      </c>
    </row>
    <row r="18" customFormat="false" ht="15" hidden="false" customHeight="false" outlineLevel="0" collapsed="false">
      <c r="A18" s="23" t="s">
        <v>475</v>
      </c>
      <c r="B18" s="23" t="s">
        <v>1062</v>
      </c>
      <c r="C18" s="23" t="s">
        <v>1133</v>
      </c>
      <c r="D18" s="23" t="n">
        <f aca="false">'Tính toán'!G46</f>
        <v>21</v>
      </c>
      <c r="E18" s="23" t="n">
        <f aca="false">'Tính toán'!L46</f>
        <v>3010</v>
      </c>
      <c r="F18" s="23" t="n">
        <f aca="false">ROUNDUP(E18/('Hệ số'!$B$14*'Hệ số'!$B$15),0)</f>
        <v>8</v>
      </c>
      <c r="G18" s="23" t="n">
        <f aca="false">ROUNDUP(E18/'Hệ số'!$B$16,0)</f>
        <v>18</v>
      </c>
      <c r="H18" s="23" t="n">
        <f aca="false">ROUNDUP(E18/'Hệ số'!$B$17,0)</f>
        <v>11</v>
      </c>
      <c r="I18" s="24" t="n">
        <v>4</v>
      </c>
      <c r="J18" s="24" t="n">
        <v>8</v>
      </c>
      <c r="K18" s="23" t="str">
        <f aca="false">IF(AND(F18&gt;=I18,F18&lt;=J18),"Có",IF(D18&lt;=8,"Ngoài dải (thẻ rẻ, chấp nhận)","Ngoài dải — báo cáo"))</f>
        <v>Có</v>
      </c>
    </row>
    <row r="19" customFormat="false" ht="15" hidden="false" customHeight="false" outlineLevel="0" collapsed="false">
      <c r="A19" s="23" t="s">
        <v>486</v>
      </c>
      <c r="B19" s="23" t="s">
        <v>1063</v>
      </c>
      <c r="C19" s="23" t="s">
        <v>1133</v>
      </c>
      <c r="D19" s="23" t="n">
        <f aca="false">'Tính toán'!G47</f>
        <v>22</v>
      </c>
      <c r="E19" s="23" t="n">
        <f aca="false">'Tính toán'!L47</f>
        <v>2020</v>
      </c>
      <c r="F19" s="23" t="n">
        <f aca="false">ROUNDUP(E19/('Hệ số'!$B$14*'Hệ số'!$B$15),0)</f>
        <v>5</v>
      </c>
      <c r="G19" s="23" t="n">
        <f aca="false">ROUNDUP(E19/'Hệ số'!$B$16,0)</f>
        <v>12</v>
      </c>
      <c r="H19" s="23" t="n">
        <f aca="false">ROUNDUP(E19/'Hệ số'!$B$17,0)</f>
        <v>7</v>
      </c>
      <c r="I19" s="24" t="n">
        <v>4</v>
      </c>
      <c r="J19" s="24" t="n">
        <v>8</v>
      </c>
      <c r="K19" s="23" t="str">
        <f aca="false">IF(AND(F19&gt;=I19,F19&lt;=J19),"Có",IF(D19&lt;=8,"Ngoài dải (thẻ rẻ, chấp nhận)","Ngoài dải — báo cáo"))</f>
        <v>Có</v>
      </c>
    </row>
    <row r="20" customFormat="false" ht="15" hidden="false" customHeight="false" outlineLevel="0" collapsed="false">
      <c r="A20" s="23" t="s">
        <v>495</v>
      </c>
      <c r="B20" s="23" t="s">
        <v>1064</v>
      </c>
      <c r="C20" s="23" t="s">
        <v>1133</v>
      </c>
      <c r="D20" s="23" t="n">
        <f aca="false">'Tính toán'!G48</f>
        <v>23</v>
      </c>
      <c r="E20" s="23" t="n">
        <f aca="false">'Tính toán'!L48</f>
        <v>2480</v>
      </c>
      <c r="F20" s="23" t="n">
        <f aca="false">ROUNDUP(E20/('Hệ số'!$B$14*'Hệ số'!$B$15),0)</f>
        <v>6</v>
      </c>
      <c r="G20" s="23" t="n">
        <f aca="false">ROUNDUP(E20/'Hệ số'!$B$16,0)</f>
        <v>15</v>
      </c>
      <c r="H20" s="23" t="n">
        <f aca="false">ROUNDUP(E20/'Hệ số'!$B$17,0)</f>
        <v>9</v>
      </c>
      <c r="I20" s="24" t="n">
        <v>4</v>
      </c>
      <c r="J20" s="24" t="n">
        <v>8</v>
      </c>
      <c r="K20" s="23" t="str">
        <f aca="false">IF(AND(F20&gt;=I20,F20&lt;=J20),"Có",IF(D20&lt;=8,"Ngoài dải (thẻ rẻ, chấp nhận)","Ngoài dải — báo cáo"))</f>
        <v>Có</v>
      </c>
    </row>
    <row r="21" customFormat="false" ht="15" hidden="false" customHeight="false" outlineLevel="0" collapsed="false">
      <c r="A21" s="23" t="s">
        <v>504</v>
      </c>
      <c r="B21" s="23" t="s">
        <v>1065</v>
      </c>
      <c r="C21" s="23" t="s">
        <v>1133</v>
      </c>
      <c r="D21" s="23" t="n">
        <f aca="false">'Tính toán'!G49</f>
        <v>27</v>
      </c>
      <c r="E21" s="23" t="n">
        <f aca="false">'Tính toán'!L49</f>
        <v>2640</v>
      </c>
      <c r="F21" s="23" t="n">
        <f aca="false">ROUNDUP(E21/('Hệ số'!$B$14*'Hệ số'!$B$15),0)</f>
        <v>7</v>
      </c>
      <c r="G21" s="23" t="n">
        <f aca="false">ROUNDUP(E21/'Hệ số'!$B$16,0)</f>
        <v>16</v>
      </c>
      <c r="H21" s="23" t="n">
        <f aca="false">ROUNDUP(E21/'Hệ số'!$B$17,0)</f>
        <v>9</v>
      </c>
      <c r="I21" s="24" t="n">
        <v>4</v>
      </c>
      <c r="J21" s="24" t="n">
        <v>8</v>
      </c>
      <c r="K21" s="23" t="str">
        <f aca="false">IF(AND(F21&gt;=I21,F21&lt;=J21),"Có",IF(D21&lt;=8,"Ngoài dải (thẻ rẻ, chấp nhận)","Ngoài dải — báo cáo"))</f>
        <v>Có</v>
      </c>
    </row>
    <row r="22" customFormat="false" ht="15" hidden="false" customHeight="false" outlineLevel="0" collapsed="false">
      <c r="A22" s="23" t="s">
        <v>1042</v>
      </c>
      <c r="B22" s="23" t="s">
        <v>1043</v>
      </c>
      <c r="C22" s="23" t="s">
        <v>1134</v>
      </c>
      <c r="D22" s="23" t="n">
        <f aca="false">'Tính toán'!G29</f>
        <v>0</v>
      </c>
      <c r="E22" s="23" t="n">
        <f aca="false">'Tính toán'!L29</f>
        <v>550</v>
      </c>
      <c r="F22" s="23" t="n">
        <f aca="false">ROUNDUP(E22/('Hệ số'!$B$14*'Hệ số'!$B$15),0)</f>
        <v>2</v>
      </c>
      <c r="G22" s="23" t="n">
        <f aca="false">ROUNDUP(E22/'Hệ số'!$B$16,0)</f>
        <v>4</v>
      </c>
      <c r="H22" s="23" t="n">
        <f aca="false">ROUNDUP(E22/'Hệ số'!$B$17,0)</f>
        <v>2</v>
      </c>
      <c r="I22" s="24" t="n">
        <v>2</v>
      </c>
      <c r="J22" s="24" t="n">
        <v>4</v>
      </c>
      <c r="K22" s="23" t="str">
        <f aca="false">IF(AND(F22&gt;=I22,F22&lt;=J22),"Có",IF(D22&lt;=8,"Ngoài dải (thẻ rẻ, chấp nhận)","Ngoài dải — báo cáo"))</f>
        <v>Có</v>
      </c>
    </row>
    <row r="23" customFormat="false" ht="15" hidden="false" customHeight="false" outlineLevel="0" collapsed="false">
      <c r="A23" s="23" t="s">
        <v>371</v>
      </c>
      <c r="B23" s="23" t="s">
        <v>1047</v>
      </c>
      <c r="C23" s="23" t="s">
        <v>1134</v>
      </c>
      <c r="D23" s="23" t="n">
        <f aca="false">'Tính toán'!G31</f>
        <v>7</v>
      </c>
      <c r="E23" s="23" t="n">
        <f aca="false">'Tính toán'!L31</f>
        <v>840</v>
      </c>
      <c r="F23" s="23" t="n">
        <f aca="false">ROUNDUP(E23/('Hệ số'!$B$14*'Hệ số'!$B$15),0)</f>
        <v>3</v>
      </c>
      <c r="G23" s="23" t="n">
        <f aca="false">ROUNDUP(E23/'Hệ số'!$B$16,0)</f>
        <v>5</v>
      </c>
      <c r="H23" s="23" t="n">
        <f aca="false">ROUNDUP(E23/'Hệ số'!$B$17,0)</f>
        <v>3</v>
      </c>
      <c r="I23" s="24" t="n">
        <v>2</v>
      </c>
      <c r="J23" s="24" t="n">
        <v>4</v>
      </c>
      <c r="K23" s="23" t="str">
        <f aca="false">IF(AND(F23&gt;=I23,F23&lt;=J23),"Có",IF(D23&lt;=8,"Ngoài dải (thẻ rẻ, chấp nhận)","Ngoài dải — báo cáo"))</f>
        <v>Có</v>
      </c>
    </row>
    <row r="24" customFormat="false" ht="15" hidden="false" customHeight="false" outlineLevel="0" collapsed="false">
      <c r="A24" s="23" t="s">
        <v>377</v>
      </c>
      <c r="B24" s="23" t="s">
        <v>1048</v>
      </c>
      <c r="C24" s="23" t="s">
        <v>1134</v>
      </c>
      <c r="D24" s="23" t="n">
        <f aca="false">'Tính toán'!G32</f>
        <v>7</v>
      </c>
      <c r="E24" s="23" t="n">
        <f aca="false">'Tính toán'!L32</f>
        <v>790</v>
      </c>
      <c r="F24" s="23" t="n">
        <f aca="false">ROUNDUP(E24/('Hệ số'!$B$14*'Hệ số'!$B$15),0)</f>
        <v>2</v>
      </c>
      <c r="G24" s="23" t="n">
        <f aca="false">ROUNDUP(E24/'Hệ số'!$B$16,0)</f>
        <v>5</v>
      </c>
      <c r="H24" s="23" t="n">
        <f aca="false">ROUNDUP(E24/'Hệ số'!$B$17,0)</f>
        <v>3</v>
      </c>
      <c r="I24" s="24" t="n">
        <v>2</v>
      </c>
      <c r="J24" s="24" t="n">
        <v>4</v>
      </c>
      <c r="K24" s="23" t="str">
        <f aca="false">IF(AND(F24&gt;=I24,F24&lt;=J24),"Có",IF(D24&lt;=8,"Ngoài dải (thẻ rẻ, chấp nhận)","Ngoài dải — báo cáo"))</f>
        <v>Có</v>
      </c>
    </row>
    <row r="25" customFormat="false" ht="15" hidden="false" customHeight="false" outlineLevel="0" collapsed="false">
      <c r="A25" s="23" t="s">
        <v>407</v>
      </c>
      <c r="B25" s="23" t="s">
        <v>1053</v>
      </c>
      <c r="C25" s="23" t="s">
        <v>1134</v>
      </c>
      <c r="D25" s="23" t="n">
        <f aca="false">'Tính toán'!G37</f>
        <v>9</v>
      </c>
      <c r="E25" s="23" t="n">
        <f aca="false">'Tính toán'!L37</f>
        <v>920</v>
      </c>
      <c r="F25" s="23" t="n">
        <f aca="false">ROUNDUP(E25/('Hệ số'!$B$14*'Hệ số'!$B$15),0)</f>
        <v>3</v>
      </c>
      <c r="G25" s="23" t="n">
        <f aca="false">ROUNDUP(E25/'Hệ số'!$B$16,0)</f>
        <v>6</v>
      </c>
      <c r="H25" s="23" t="n">
        <f aca="false">ROUNDUP(E25/'Hệ số'!$B$17,0)</f>
        <v>4</v>
      </c>
      <c r="I25" s="24" t="n">
        <v>2</v>
      </c>
      <c r="J25" s="24" t="n">
        <v>4</v>
      </c>
      <c r="K25" s="23" t="str">
        <f aca="false">IF(AND(F25&gt;=I25,F25&lt;=J25),"Có",IF(D25&lt;=8,"Ngoài dải (thẻ rẻ, chấp nhận)","Ngoài dải — báo cáo"))</f>
        <v>Có</v>
      </c>
    </row>
    <row r="26" customFormat="false" ht="15" hidden="false" customHeight="false" outlineLevel="0" collapsed="false">
      <c r="A26" s="23" t="s">
        <v>419</v>
      </c>
      <c r="B26" s="23" t="s">
        <v>1055</v>
      </c>
      <c r="C26" s="23" t="s">
        <v>1134</v>
      </c>
      <c r="D26" s="23" t="n">
        <f aca="false">'Tính toán'!G39</f>
        <v>11</v>
      </c>
      <c r="E26" s="23" t="n">
        <f aca="false">'Tính toán'!L39</f>
        <v>1330</v>
      </c>
      <c r="F26" s="23" t="n">
        <f aca="false">ROUNDUP(E26/('Hệ số'!$B$14*'Hệ số'!$B$15),0)</f>
        <v>4</v>
      </c>
      <c r="G26" s="23" t="n">
        <f aca="false">ROUNDUP(E26/'Hệ số'!$B$16,0)</f>
        <v>8</v>
      </c>
      <c r="H26" s="23" t="n">
        <f aca="false">ROUNDUP(E26/'Hệ số'!$B$17,0)</f>
        <v>5</v>
      </c>
      <c r="I26" s="24" t="n">
        <v>2</v>
      </c>
      <c r="J26" s="24" t="n">
        <v>4</v>
      </c>
      <c r="K26" s="23" t="str">
        <f aca="false">IF(AND(F26&gt;=I26,F26&lt;=J26),"Có",IF(D26&lt;=8,"Ngoài dải (thẻ rẻ, chấp nhận)","Ngoài dải — báo cáo"))</f>
        <v>Có</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5" min="3" style="0" width="12"/>
    <col collapsed="false" customWidth="true" hidden="false" outlineLevel="0" max="7" min="6" style="0" width="10"/>
    <col collapsed="false" customWidth="true" hidden="false" outlineLevel="0" max="8" min="8" style="0" width="22"/>
    <col collapsed="false" customWidth="true" hidden="false" outlineLevel="0" max="9" min="9" style="0" width="10"/>
    <col collapsed="false" customWidth="true" hidden="false" outlineLevel="0" max="10" min="10" style="0" width="40"/>
  </cols>
  <sheetData>
    <row r="1" customFormat="false" ht="45" hidden="false" customHeight="true" outlineLevel="0" collapsed="false">
      <c r="A1" s="14" t="s">
        <v>1135</v>
      </c>
      <c r="B1" s="14"/>
      <c r="C1" s="14"/>
      <c r="D1" s="14"/>
      <c r="E1" s="14"/>
      <c r="F1" s="14"/>
      <c r="G1" s="14"/>
      <c r="H1" s="14"/>
      <c r="I1" s="14"/>
      <c r="J1" s="14"/>
    </row>
    <row r="3" customFormat="false" ht="35.05" hidden="false" customHeight="false" outlineLevel="0" collapsed="false">
      <c r="A3" s="12" t="s">
        <v>995</v>
      </c>
      <c r="B3" s="12" t="s">
        <v>1136</v>
      </c>
      <c r="C3" s="12" t="s">
        <v>1137</v>
      </c>
      <c r="D3" s="12" t="s">
        <v>1138</v>
      </c>
      <c r="E3" s="12" t="s">
        <v>1139</v>
      </c>
      <c r="F3" s="12" t="s">
        <v>1140</v>
      </c>
      <c r="G3" s="12" t="s">
        <v>1141</v>
      </c>
      <c r="H3" s="12" t="s">
        <v>1142</v>
      </c>
      <c r="I3" s="12" t="s">
        <v>957</v>
      </c>
      <c r="J3" s="12" t="s">
        <v>1143</v>
      </c>
    </row>
    <row r="4" customFormat="false" ht="15" hidden="false" customHeight="false" outlineLevel="0" collapsed="false">
      <c r="A4" s="13" t="s">
        <v>1042</v>
      </c>
      <c r="B4" s="13" t="s">
        <v>1043</v>
      </c>
      <c r="C4" s="13" t="s">
        <v>960</v>
      </c>
      <c r="D4" s="13" t="s">
        <v>128</v>
      </c>
      <c r="E4" s="13" t="s">
        <v>960</v>
      </c>
      <c r="F4" s="13" t="n">
        <v>0</v>
      </c>
      <c r="G4" s="13" t="s">
        <v>128</v>
      </c>
      <c r="H4" s="13" t="s">
        <v>1144</v>
      </c>
      <c r="I4" s="13" t="s">
        <v>128</v>
      </c>
      <c r="J4" s="13" t="s">
        <v>1145</v>
      </c>
    </row>
    <row r="5" customFormat="false" ht="23.85" hidden="false" customHeight="false" outlineLevel="0" collapsed="false">
      <c r="A5" s="13" t="s">
        <v>365</v>
      </c>
      <c r="B5" s="13" t="s">
        <v>1045</v>
      </c>
      <c r="C5" s="13" t="s">
        <v>960</v>
      </c>
      <c r="D5" s="13" t="s">
        <v>128</v>
      </c>
      <c r="E5" s="13" t="s">
        <v>959</v>
      </c>
      <c r="F5" s="13" t="n">
        <v>2</v>
      </c>
      <c r="G5" s="13" t="n">
        <v>20</v>
      </c>
      <c r="H5" s="13" t="s">
        <v>813</v>
      </c>
      <c r="I5" s="15" t="s">
        <v>34</v>
      </c>
      <c r="J5" s="13" t="s">
        <v>1146</v>
      </c>
    </row>
    <row r="6" customFormat="false" ht="15" hidden="false" customHeight="false" outlineLevel="0" collapsed="false">
      <c r="A6" s="13" t="s">
        <v>371</v>
      </c>
      <c r="B6" s="13" t="s">
        <v>1047</v>
      </c>
      <c r="C6" s="13" t="s">
        <v>960</v>
      </c>
      <c r="D6" s="13" t="s">
        <v>128</v>
      </c>
      <c r="E6" s="13" t="s">
        <v>960</v>
      </c>
      <c r="F6" s="13" t="n">
        <v>0</v>
      </c>
      <c r="G6" s="13" t="s">
        <v>128</v>
      </c>
      <c r="H6" s="13" t="s">
        <v>1144</v>
      </c>
      <c r="I6" s="13" t="s">
        <v>128</v>
      </c>
      <c r="J6" s="13" t="s">
        <v>1145</v>
      </c>
    </row>
    <row r="7" customFormat="false" ht="15" hidden="false" customHeight="false" outlineLevel="0" collapsed="false">
      <c r="A7" s="13" t="s">
        <v>377</v>
      </c>
      <c r="B7" s="13" t="s">
        <v>1048</v>
      </c>
      <c r="C7" s="13" t="s">
        <v>960</v>
      </c>
      <c r="D7" s="13" t="s">
        <v>128</v>
      </c>
      <c r="E7" s="13" t="s">
        <v>960</v>
      </c>
      <c r="F7" s="13" t="n">
        <v>0</v>
      </c>
      <c r="G7" s="13" t="s">
        <v>128</v>
      </c>
      <c r="H7" s="13" t="s">
        <v>1144</v>
      </c>
      <c r="I7" s="13" t="s">
        <v>128</v>
      </c>
      <c r="J7" s="13" t="s">
        <v>1145</v>
      </c>
    </row>
    <row r="8" customFormat="false" ht="23.85" hidden="false" customHeight="false" outlineLevel="0" collapsed="false">
      <c r="A8" s="13" t="s">
        <v>383</v>
      </c>
      <c r="B8" s="13" t="s">
        <v>1049</v>
      </c>
      <c r="C8" s="13" t="s">
        <v>960</v>
      </c>
      <c r="D8" s="13" t="s">
        <v>128</v>
      </c>
      <c r="E8" s="13" t="s">
        <v>959</v>
      </c>
      <c r="F8" s="13" t="n">
        <v>3</v>
      </c>
      <c r="G8" s="13" t="n">
        <v>20</v>
      </c>
      <c r="H8" s="13" t="s">
        <v>813</v>
      </c>
      <c r="I8" s="15" t="s">
        <v>34</v>
      </c>
      <c r="J8" s="13" t="s">
        <v>1146</v>
      </c>
    </row>
    <row r="9" customFormat="false" ht="23.85" hidden="false" customHeight="false" outlineLevel="0" collapsed="false">
      <c r="A9" s="13" t="s">
        <v>389</v>
      </c>
      <c r="B9" s="13" t="s">
        <v>1050</v>
      </c>
      <c r="C9" s="13" t="s">
        <v>960</v>
      </c>
      <c r="D9" s="13" t="s">
        <v>128</v>
      </c>
      <c r="E9" s="13" t="s">
        <v>959</v>
      </c>
      <c r="F9" s="13" t="n">
        <v>2</v>
      </c>
      <c r="G9" s="13" t="n">
        <v>20</v>
      </c>
      <c r="H9" s="13" t="s">
        <v>813</v>
      </c>
      <c r="I9" s="15" t="s">
        <v>34</v>
      </c>
      <c r="J9" s="13" t="s">
        <v>1146</v>
      </c>
    </row>
    <row r="10" customFormat="false" ht="23.85" hidden="false" customHeight="false" outlineLevel="0" collapsed="false">
      <c r="A10" s="13" t="s">
        <v>395</v>
      </c>
      <c r="B10" s="13" t="s">
        <v>1051</v>
      </c>
      <c r="C10" s="13" t="s">
        <v>960</v>
      </c>
      <c r="D10" s="13" t="s">
        <v>128</v>
      </c>
      <c r="E10" s="13" t="s">
        <v>959</v>
      </c>
      <c r="F10" s="13" t="n">
        <v>2</v>
      </c>
      <c r="G10" s="13" t="n">
        <v>20</v>
      </c>
      <c r="H10" s="13" t="s">
        <v>813</v>
      </c>
      <c r="I10" s="15" t="s">
        <v>34</v>
      </c>
      <c r="J10" s="13" t="s">
        <v>1146</v>
      </c>
    </row>
    <row r="11" customFormat="false" ht="23.85" hidden="false" customHeight="false" outlineLevel="0" collapsed="false">
      <c r="A11" s="13" t="s">
        <v>401</v>
      </c>
      <c r="B11" s="13" t="s">
        <v>1052</v>
      </c>
      <c r="C11" s="13" t="s">
        <v>960</v>
      </c>
      <c r="D11" s="13" t="s">
        <v>128</v>
      </c>
      <c r="E11" s="13" t="s">
        <v>959</v>
      </c>
      <c r="F11" s="13" t="n">
        <v>3</v>
      </c>
      <c r="G11" s="13" t="n">
        <v>20</v>
      </c>
      <c r="H11" s="13" t="s">
        <v>813</v>
      </c>
      <c r="I11" s="15" t="s">
        <v>34</v>
      </c>
      <c r="J11" s="13" t="s">
        <v>1146</v>
      </c>
    </row>
    <row r="12" customFormat="false" ht="15" hidden="false" customHeight="false" outlineLevel="0" collapsed="false">
      <c r="A12" s="13" t="s">
        <v>407</v>
      </c>
      <c r="B12" s="13" t="s">
        <v>1053</v>
      </c>
      <c r="C12" s="13" t="s">
        <v>960</v>
      </c>
      <c r="D12" s="13" t="s">
        <v>128</v>
      </c>
      <c r="E12" s="13" t="s">
        <v>960</v>
      </c>
      <c r="F12" s="13" t="n">
        <v>0</v>
      </c>
      <c r="G12" s="13" t="s">
        <v>128</v>
      </c>
      <c r="H12" s="13" t="s">
        <v>1144</v>
      </c>
      <c r="I12" s="13" t="s">
        <v>128</v>
      </c>
      <c r="J12" s="13" t="s">
        <v>1145</v>
      </c>
    </row>
    <row r="13" customFormat="false" ht="23.85" hidden="false" customHeight="false" outlineLevel="0" collapsed="false">
      <c r="A13" s="13" t="s">
        <v>413</v>
      </c>
      <c r="B13" s="13" t="s">
        <v>1054</v>
      </c>
      <c r="C13" s="13" t="s">
        <v>959</v>
      </c>
      <c r="D13" s="13" t="n">
        <v>20</v>
      </c>
      <c r="E13" s="13" t="s">
        <v>959</v>
      </c>
      <c r="F13" s="13" t="n">
        <v>2</v>
      </c>
      <c r="G13" s="13" t="n">
        <v>20</v>
      </c>
      <c r="H13" s="13" t="s">
        <v>833</v>
      </c>
      <c r="I13" s="15" t="s">
        <v>34</v>
      </c>
      <c r="J13" s="13" t="s">
        <v>1146</v>
      </c>
    </row>
    <row r="14" customFormat="false" ht="15" hidden="false" customHeight="false" outlineLevel="0" collapsed="false">
      <c r="A14" s="13" t="s">
        <v>419</v>
      </c>
      <c r="B14" s="13" t="s">
        <v>1055</v>
      </c>
      <c r="C14" s="13" t="s">
        <v>960</v>
      </c>
      <c r="D14" s="13" t="s">
        <v>128</v>
      </c>
      <c r="E14" s="13" t="s">
        <v>960</v>
      </c>
      <c r="F14" s="13" t="n">
        <v>0</v>
      </c>
      <c r="G14" s="13" t="s">
        <v>128</v>
      </c>
      <c r="H14" s="13" t="s">
        <v>1144</v>
      </c>
      <c r="I14" s="13" t="s">
        <v>128</v>
      </c>
      <c r="J14" s="13" t="s">
        <v>1145</v>
      </c>
    </row>
    <row r="15" customFormat="false" ht="23.85" hidden="false" customHeight="false" outlineLevel="0" collapsed="false">
      <c r="A15" s="13" t="s">
        <v>425</v>
      </c>
      <c r="B15" s="13" t="s">
        <v>1056</v>
      </c>
      <c r="C15" s="13" t="s">
        <v>959</v>
      </c>
      <c r="D15" s="13" t="n">
        <v>16</v>
      </c>
      <c r="E15" s="13" t="s">
        <v>959</v>
      </c>
      <c r="F15" s="13" t="n">
        <v>2</v>
      </c>
      <c r="G15" s="13" t="n">
        <v>16</v>
      </c>
      <c r="H15" s="13" t="s">
        <v>833</v>
      </c>
      <c r="I15" s="15" t="s">
        <v>34</v>
      </c>
      <c r="J15" s="13" t="s">
        <v>1146</v>
      </c>
    </row>
    <row r="16" customFormat="false" ht="23.85" hidden="false" customHeight="false" outlineLevel="0" collapsed="false">
      <c r="A16" s="13" t="s">
        <v>432</v>
      </c>
      <c r="B16" s="13" t="s">
        <v>1057</v>
      </c>
      <c r="C16" s="13" t="s">
        <v>959</v>
      </c>
      <c r="D16" s="13" t="n">
        <v>16</v>
      </c>
      <c r="E16" s="13" t="s">
        <v>959</v>
      </c>
      <c r="F16" s="13" t="n">
        <v>2</v>
      </c>
      <c r="G16" s="13" t="n">
        <v>16</v>
      </c>
      <c r="H16" s="13" t="s">
        <v>833</v>
      </c>
      <c r="I16" s="15" t="s">
        <v>34</v>
      </c>
      <c r="J16" s="13" t="s">
        <v>1146</v>
      </c>
    </row>
    <row r="17" customFormat="false" ht="23.85" hidden="false" customHeight="false" outlineLevel="0" collapsed="false">
      <c r="A17" s="13" t="s">
        <v>441</v>
      </c>
      <c r="B17" s="13" t="s">
        <v>1058</v>
      </c>
      <c r="C17" s="13" t="s">
        <v>959</v>
      </c>
      <c r="D17" s="13" t="n">
        <v>16</v>
      </c>
      <c r="E17" s="13" t="s">
        <v>959</v>
      </c>
      <c r="F17" s="13" t="n">
        <v>2</v>
      </c>
      <c r="G17" s="13" t="n">
        <v>16</v>
      </c>
      <c r="H17" s="13" t="s">
        <v>833</v>
      </c>
      <c r="I17" s="15" t="s">
        <v>34</v>
      </c>
      <c r="J17" s="13" t="s">
        <v>1146</v>
      </c>
    </row>
    <row r="18" customFormat="false" ht="23.85" hidden="false" customHeight="false" outlineLevel="0" collapsed="false">
      <c r="A18" s="13" t="s">
        <v>448</v>
      </c>
      <c r="B18" s="13" t="s">
        <v>1059</v>
      </c>
      <c r="C18" s="13" t="s">
        <v>959</v>
      </c>
      <c r="D18" s="13" t="n">
        <v>11</v>
      </c>
      <c r="E18" s="13" t="s">
        <v>959</v>
      </c>
      <c r="F18" s="13" t="n">
        <v>3</v>
      </c>
      <c r="G18" s="13" t="n">
        <v>11</v>
      </c>
      <c r="H18" s="13" t="s">
        <v>833</v>
      </c>
      <c r="I18" s="15" t="s">
        <v>34</v>
      </c>
      <c r="J18" s="13" t="s">
        <v>1146</v>
      </c>
    </row>
    <row r="19" customFormat="false" ht="23.85" hidden="false" customHeight="false" outlineLevel="0" collapsed="false">
      <c r="A19" s="13" t="s">
        <v>457</v>
      </c>
      <c r="B19" s="13" t="s">
        <v>1060</v>
      </c>
      <c r="C19" s="13" t="s">
        <v>960</v>
      </c>
      <c r="D19" s="13" t="s">
        <v>128</v>
      </c>
      <c r="E19" s="13" t="s">
        <v>959</v>
      </c>
      <c r="F19" s="13" t="n">
        <v>3</v>
      </c>
      <c r="G19" s="13" t="n">
        <v>20</v>
      </c>
      <c r="H19" s="13" t="s">
        <v>813</v>
      </c>
      <c r="I19" s="15" t="s">
        <v>34</v>
      </c>
      <c r="J19" s="13" t="s">
        <v>1146</v>
      </c>
    </row>
    <row r="20" customFormat="false" ht="23.85" hidden="false" customHeight="false" outlineLevel="0" collapsed="false">
      <c r="A20" s="13" t="s">
        <v>466</v>
      </c>
      <c r="B20" s="13" t="s">
        <v>1061</v>
      </c>
      <c r="C20" s="13" t="s">
        <v>959</v>
      </c>
      <c r="D20" s="13" t="n">
        <v>20</v>
      </c>
      <c r="E20" s="13" t="s">
        <v>959</v>
      </c>
      <c r="F20" s="13" t="n">
        <v>2</v>
      </c>
      <c r="G20" s="13" t="n">
        <v>20</v>
      </c>
      <c r="H20" s="13" t="s">
        <v>833</v>
      </c>
      <c r="I20" s="15" t="s">
        <v>34</v>
      </c>
      <c r="J20" s="13" t="s">
        <v>1146</v>
      </c>
    </row>
    <row r="21" customFormat="false" ht="23.85" hidden="false" customHeight="false" outlineLevel="0" collapsed="false">
      <c r="A21" s="13" t="s">
        <v>475</v>
      </c>
      <c r="B21" s="13" t="s">
        <v>1062</v>
      </c>
      <c r="C21" s="13" t="s">
        <v>959</v>
      </c>
      <c r="D21" s="13" t="n">
        <v>11</v>
      </c>
      <c r="E21" s="13" t="s">
        <v>959</v>
      </c>
      <c r="F21" s="13" t="n">
        <v>2</v>
      </c>
      <c r="G21" s="13" t="n">
        <v>11</v>
      </c>
      <c r="H21" s="13" t="s">
        <v>833</v>
      </c>
      <c r="I21" s="15" t="s">
        <v>34</v>
      </c>
      <c r="J21" s="13" t="s">
        <v>1146</v>
      </c>
    </row>
    <row r="22" customFormat="false" ht="15" hidden="false" customHeight="false" outlineLevel="0" collapsed="false">
      <c r="A22" s="13" t="s">
        <v>486</v>
      </c>
      <c r="B22" s="13" t="s">
        <v>1063</v>
      </c>
      <c r="C22" s="13" t="s">
        <v>960</v>
      </c>
      <c r="D22" s="13" t="s">
        <v>128</v>
      </c>
      <c r="E22" s="13" t="s">
        <v>960</v>
      </c>
      <c r="F22" s="13" t="n">
        <v>0</v>
      </c>
      <c r="G22" s="13" t="s">
        <v>128</v>
      </c>
      <c r="H22" s="13" t="s">
        <v>1144</v>
      </c>
      <c r="I22" s="13" t="s">
        <v>128</v>
      </c>
      <c r="J22" s="13" t="s">
        <v>1145</v>
      </c>
    </row>
    <row r="23" customFormat="false" ht="23.85" hidden="false" customHeight="false" outlineLevel="0" collapsed="false">
      <c r="A23" s="13" t="s">
        <v>495</v>
      </c>
      <c r="B23" s="13" t="s">
        <v>1064</v>
      </c>
      <c r="C23" s="13" t="s">
        <v>959</v>
      </c>
      <c r="D23" s="13" t="n">
        <v>16</v>
      </c>
      <c r="E23" s="13" t="s">
        <v>959</v>
      </c>
      <c r="F23" s="13" t="n">
        <v>2</v>
      </c>
      <c r="G23" s="13" t="n">
        <v>16</v>
      </c>
      <c r="H23" s="13" t="s">
        <v>833</v>
      </c>
      <c r="I23" s="15" t="s">
        <v>34</v>
      </c>
      <c r="J23" s="13" t="s">
        <v>1146</v>
      </c>
    </row>
    <row r="24" customFormat="false" ht="15" hidden="false" customHeight="false" outlineLevel="0" collapsed="false">
      <c r="A24" s="13" t="s">
        <v>504</v>
      </c>
      <c r="B24" s="13" t="s">
        <v>1065</v>
      </c>
      <c r="C24" s="13" t="s">
        <v>959</v>
      </c>
      <c r="D24" s="13" t="n">
        <v>11</v>
      </c>
      <c r="E24" s="13" t="s">
        <v>960</v>
      </c>
      <c r="F24" s="13" t="n">
        <v>0</v>
      </c>
      <c r="G24" s="13" t="s">
        <v>128</v>
      </c>
      <c r="H24" s="13" t="s">
        <v>862</v>
      </c>
      <c r="I24" s="15" t="s">
        <v>34</v>
      </c>
      <c r="J24" s="13" t="s">
        <v>1145</v>
      </c>
    </row>
    <row r="25" customFormat="false" ht="23.85" hidden="false" customHeight="false" outlineLevel="0" collapsed="false">
      <c r="A25" s="13" t="s">
        <v>515</v>
      </c>
      <c r="B25" s="13" t="s">
        <v>1066</v>
      </c>
      <c r="C25" s="13" t="s">
        <v>959</v>
      </c>
      <c r="D25" s="13" t="n">
        <v>11</v>
      </c>
      <c r="E25" s="13" t="s">
        <v>959</v>
      </c>
      <c r="F25" s="13" t="n">
        <v>3</v>
      </c>
      <c r="G25" s="13" t="n">
        <v>11</v>
      </c>
      <c r="H25" s="13" t="s">
        <v>833</v>
      </c>
      <c r="I25" s="15" t="s">
        <v>34</v>
      </c>
      <c r="J25" s="13" t="s">
        <v>1146</v>
      </c>
    </row>
    <row r="26" customFormat="false" ht="23.85" hidden="false" customHeight="false" outlineLevel="0" collapsed="false">
      <c r="A26" s="13" t="s">
        <v>173</v>
      </c>
      <c r="B26" s="13" t="s">
        <v>1067</v>
      </c>
      <c r="C26" s="13" t="s">
        <v>959</v>
      </c>
      <c r="D26" s="13" t="n">
        <v>11</v>
      </c>
      <c r="E26" s="13" t="s">
        <v>959</v>
      </c>
      <c r="F26" s="13" t="n">
        <v>3</v>
      </c>
      <c r="G26" s="13" t="n">
        <v>11</v>
      </c>
      <c r="H26" s="13" t="s">
        <v>833</v>
      </c>
      <c r="I26" s="15" t="s">
        <v>34</v>
      </c>
      <c r="J26" s="13" t="s">
        <v>1146</v>
      </c>
    </row>
  </sheetData>
  <autoFilter ref="A3:J26"/>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4" min="3" style="0" width="16"/>
    <col collapsed="false" customWidth="true" hidden="false" outlineLevel="0" max="5" min="5" style="0" width="20"/>
    <col collapsed="false" customWidth="true" hidden="false" outlineLevel="0" max="7" min="6" style="0" width="12"/>
    <col collapsed="false" customWidth="true" hidden="false" outlineLevel="0" max="8" min="8" style="0" width="22"/>
    <col collapsed="false" customWidth="true" hidden="false" outlineLevel="0" max="9" min="9" style="0" width="24"/>
    <col collapsed="false" customWidth="true" hidden="false" outlineLevel="0" max="11" min="10" style="0" width="12"/>
    <col collapsed="false" customWidth="true" hidden="false" outlineLevel="0" max="12" min="12" style="0" width="10"/>
    <col collapsed="false" customWidth="true" hidden="false" outlineLevel="0" max="13" min="13" style="0" width="44"/>
  </cols>
  <sheetData>
    <row r="1" customFormat="false" ht="45" hidden="false" customHeight="true" outlineLevel="0" collapsed="false">
      <c r="A1" s="14" t="s">
        <v>1147</v>
      </c>
      <c r="B1" s="14"/>
      <c r="C1" s="14"/>
      <c r="D1" s="14"/>
      <c r="E1" s="14"/>
      <c r="F1" s="14"/>
      <c r="G1" s="14"/>
      <c r="H1" s="14"/>
      <c r="I1" s="14"/>
      <c r="J1" s="14"/>
      <c r="K1" s="14"/>
      <c r="L1" s="14"/>
      <c r="M1" s="14"/>
    </row>
    <row r="3" customFormat="false" ht="46.25" hidden="false" customHeight="false" outlineLevel="0" collapsed="false">
      <c r="A3" s="12" t="s">
        <v>995</v>
      </c>
      <c r="B3" s="12" t="s">
        <v>1148</v>
      </c>
      <c r="C3" s="12" t="s">
        <v>1149</v>
      </c>
      <c r="D3" s="12" t="s">
        <v>1150</v>
      </c>
      <c r="E3" s="12" t="s">
        <v>1151</v>
      </c>
      <c r="F3" s="12" t="s">
        <v>1152</v>
      </c>
      <c r="G3" s="12" t="s">
        <v>1153</v>
      </c>
      <c r="H3" s="12" t="s">
        <v>1154</v>
      </c>
      <c r="I3" s="12" t="s">
        <v>1155</v>
      </c>
      <c r="J3" s="12" t="s">
        <v>1156</v>
      </c>
      <c r="K3" s="12" t="s">
        <v>1157</v>
      </c>
      <c r="L3" s="12" t="s">
        <v>957</v>
      </c>
      <c r="M3" s="12" t="s">
        <v>1158</v>
      </c>
    </row>
    <row r="4" customFormat="false" ht="15" hidden="false" customHeight="false" outlineLevel="0" collapsed="false">
      <c r="A4" s="13" t="s">
        <v>783</v>
      </c>
      <c r="B4" s="13" t="s">
        <v>1159</v>
      </c>
      <c r="C4" s="13" t="s">
        <v>20</v>
      </c>
      <c r="D4" s="13" t="s">
        <v>1160</v>
      </c>
      <c r="E4" s="13" t="s">
        <v>1161</v>
      </c>
      <c r="F4" s="13" t="s">
        <v>959</v>
      </c>
      <c r="G4" s="13" t="s">
        <v>1162</v>
      </c>
      <c r="H4" s="13" t="s">
        <v>1163</v>
      </c>
      <c r="I4" s="13" t="s">
        <v>1164</v>
      </c>
      <c r="J4" s="13" t="s">
        <v>960</v>
      </c>
      <c r="K4" s="13" t="s">
        <v>1165</v>
      </c>
      <c r="L4" s="15" t="s">
        <v>34</v>
      </c>
      <c r="M4" s="13" t="s">
        <v>1166</v>
      </c>
    </row>
    <row r="5" customFormat="false" ht="23.85" hidden="false" customHeight="false" outlineLevel="0" collapsed="false">
      <c r="A5" s="13" t="s">
        <v>801</v>
      </c>
      <c r="B5" s="13" t="s">
        <v>1123</v>
      </c>
      <c r="C5" s="13" t="s">
        <v>1167</v>
      </c>
      <c r="D5" s="13" t="s">
        <v>128</v>
      </c>
      <c r="E5" s="13" t="s">
        <v>128</v>
      </c>
      <c r="F5" s="13" t="s">
        <v>128</v>
      </c>
      <c r="G5" s="13" t="s">
        <v>128</v>
      </c>
      <c r="H5" s="13" t="s">
        <v>1163</v>
      </c>
      <c r="I5" s="13" t="s">
        <v>1168</v>
      </c>
      <c r="J5" s="13" t="s">
        <v>960</v>
      </c>
      <c r="K5" s="13" t="s">
        <v>1165</v>
      </c>
      <c r="L5" s="15" t="s">
        <v>34</v>
      </c>
      <c r="M5" s="13" t="s">
        <v>1169</v>
      </c>
    </row>
    <row r="6" customFormat="false" ht="15" hidden="false" customHeight="false" outlineLevel="0" collapsed="false">
      <c r="A6" s="13" t="s">
        <v>777</v>
      </c>
      <c r="B6" s="13" t="s">
        <v>1119</v>
      </c>
      <c r="C6" s="13" t="s">
        <v>128</v>
      </c>
      <c r="D6" s="13" t="s">
        <v>128</v>
      </c>
      <c r="E6" s="13" t="s">
        <v>128</v>
      </c>
      <c r="F6" s="13" t="s">
        <v>128</v>
      </c>
      <c r="G6" s="13" t="s">
        <v>128</v>
      </c>
      <c r="H6" s="13" t="s">
        <v>899</v>
      </c>
      <c r="I6" s="13" t="s">
        <v>1170</v>
      </c>
      <c r="J6" s="13" t="s">
        <v>960</v>
      </c>
      <c r="K6" s="13" t="s">
        <v>1165</v>
      </c>
      <c r="L6" s="15" t="s">
        <v>34</v>
      </c>
      <c r="M6" s="13" t="s">
        <v>1171</v>
      </c>
    </row>
    <row r="7" customFormat="false" ht="15" hidden="false" customHeight="false" outlineLevel="0" collapsed="false">
      <c r="A7" s="13" t="s">
        <v>794</v>
      </c>
      <c r="B7" s="13" t="s">
        <v>1122</v>
      </c>
      <c r="C7" s="13" t="s">
        <v>128</v>
      </c>
      <c r="D7" s="13" t="s">
        <v>128</v>
      </c>
      <c r="E7" s="13" t="s">
        <v>128</v>
      </c>
      <c r="F7" s="13" t="s">
        <v>128</v>
      </c>
      <c r="G7" s="13" t="s">
        <v>128</v>
      </c>
      <c r="H7" s="13" t="s">
        <v>893</v>
      </c>
      <c r="I7" s="13" t="s">
        <v>128</v>
      </c>
      <c r="J7" s="13" t="s">
        <v>128</v>
      </c>
      <c r="K7" s="13" t="s">
        <v>128</v>
      </c>
      <c r="L7" s="15" t="s">
        <v>34</v>
      </c>
      <c r="M7" s="13" t="s">
        <v>1172</v>
      </c>
    </row>
    <row r="8" customFormat="false" ht="23.85" hidden="false" customHeight="false" outlineLevel="0" collapsed="false">
      <c r="A8" s="13" t="s">
        <v>1173</v>
      </c>
      <c r="B8" s="13" t="s">
        <v>1174</v>
      </c>
      <c r="C8" s="13" t="s">
        <v>128</v>
      </c>
      <c r="D8" s="13" t="s">
        <v>128</v>
      </c>
      <c r="E8" s="13" t="s">
        <v>128</v>
      </c>
      <c r="F8" s="13" t="s">
        <v>128</v>
      </c>
      <c r="G8" s="13" t="s">
        <v>128</v>
      </c>
      <c r="H8" s="13" t="s">
        <v>893</v>
      </c>
      <c r="I8" s="13" t="s">
        <v>128</v>
      </c>
      <c r="J8" s="13" t="s">
        <v>128</v>
      </c>
      <c r="K8" s="13" t="s">
        <v>128</v>
      </c>
      <c r="L8" s="15" t="s">
        <v>34</v>
      </c>
      <c r="M8" s="13"/>
    </row>
    <row r="9" customFormat="false" ht="23.85" hidden="false" customHeight="false" outlineLevel="0" collapsed="false">
      <c r="A9" s="13" t="s">
        <v>737</v>
      </c>
      <c r="B9" s="13" t="s">
        <v>1111</v>
      </c>
      <c r="C9" s="13" t="s">
        <v>20</v>
      </c>
      <c r="D9" s="13" t="s">
        <v>1175</v>
      </c>
      <c r="E9" s="13" t="s">
        <v>1176</v>
      </c>
      <c r="F9" s="13" t="s">
        <v>959</v>
      </c>
      <c r="G9" s="13" t="s">
        <v>1177</v>
      </c>
      <c r="H9" s="13" t="s">
        <v>1175</v>
      </c>
      <c r="I9" s="13" t="s">
        <v>1178</v>
      </c>
      <c r="J9" s="13" t="s">
        <v>959</v>
      </c>
      <c r="K9" s="13" t="s">
        <v>1165</v>
      </c>
      <c r="L9" s="15" t="s">
        <v>34</v>
      </c>
      <c r="M9" s="13" t="s">
        <v>1179</v>
      </c>
    </row>
    <row r="10" customFormat="false" ht="15" hidden="false" customHeight="false" outlineLevel="0" collapsed="false">
      <c r="A10" s="13" t="s">
        <v>1180</v>
      </c>
      <c r="B10" s="13" t="s">
        <v>1181</v>
      </c>
      <c r="C10" s="13" t="s">
        <v>20</v>
      </c>
      <c r="D10" s="13" t="s">
        <v>1175</v>
      </c>
      <c r="E10" s="13" t="s">
        <v>1182</v>
      </c>
      <c r="F10" s="13" t="s">
        <v>959</v>
      </c>
      <c r="G10" s="13" t="s">
        <v>1162</v>
      </c>
      <c r="H10" s="13" t="s">
        <v>1175</v>
      </c>
      <c r="I10" s="13" t="s">
        <v>1182</v>
      </c>
      <c r="J10" s="13" t="s">
        <v>959</v>
      </c>
      <c r="K10" s="13" t="s">
        <v>1165</v>
      </c>
      <c r="L10" s="15" t="s">
        <v>34</v>
      </c>
      <c r="M10" s="13" t="s">
        <v>1183</v>
      </c>
    </row>
    <row r="11" customFormat="false" ht="15" hidden="false" customHeight="false" outlineLevel="0" collapsed="false">
      <c r="A11" s="13" t="s">
        <v>1184</v>
      </c>
      <c r="B11" s="13" t="s">
        <v>1185</v>
      </c>
      <c r="C11" s="13" t="s">
        <v>20</v>
      </c>
      <c r="D11" s="13" t="s">
        <v>1175</v>
      </c>
      <c r="E11" s="13" t="s">
        <v>1186</v>
      </c>
      <c r="F11" s="13" t="s">
        <v>959</v>
      </c>
      <c r="G11" s="13" t="s">
        <v>1177</v>
      </c>
      <c r="H11" s="13" t="s">
        <v>1175</v>
      </c>
      <c r="I11" s="13" t="s">
        <v>1187</v>
      </c>
      <c r="J11" s="13" t="s">
        <v>959</v>
      </c>
      <c r="K11" s="13" t="s">
        <v>1188</v>
      </c>
      <c r="L11" s="13" t="s">
        <v>128</v>
      </c>
      <c r="M11" s="13" t="s">
        <v>1189</v>
      </c>
    </row>
    <row r="12" customFormat="false" ht="15" hidden="false" customHeight="false" outlineLevel="0" collapsed="false">
      <c r="A12" s="13" t="s">
        <v>1190</v>
      </c>
      <c r="B12" s="13" t="s">
        <v>1191</v>
      </c>
      <c r="C12" s="13" t="s">
        <v>20</v>
      </c>
      <c r="D12" s="13" t="s">
        <v>1175</v>
      </c>
      <c r="E12" s="13" t="s">
        <v>1192</v>
      </c>
      <c r="F12" s="13" t="s">
        <v>959</v>
      </c>
      <c r="G12" s="13" t="s">
        <v>1193</v>
      </c>
      <c r="H12" s="13" t="s">
        <v>1175</v>
      </c>
      <c r="I12" s="13" t="s">
        <v>1187</v>
      </c>
      <c r="J12" s="13" t="s">
        <v>959</v>
      </c>
      <c r="K12" s="13" t="s">
        <v>1194</v>
      </c>
      <c r="L12" s="13" t="s">
        <v>128</v>
      </c>
      <c r="M12" s="13"/>
    </row>
    <row r="13" customFormat="false" ht="46.25" hidden="false" customHeight="false" outlineLevel="0" collapsed="false">
      <c r="A13" s="13" t="s">
        <v>1195</v>
      </c>
      <c r="B13" s="13" t="s">
        <v>1196</v>
      </c>
      <c r="C13" s="13" t="s">
        <v>20</v>
      </c>
      <c r="D13" s="13" t="s">
        <v>1197</v>
      </c>
      <c r="E13" s="13" t="s">
        <v>1198</v>
      </c>
      <c r="F13" s="13" t="s">
        <v>128</v>
      </c>
      <c r="G13" s="13" t="s">
        <v>128</v>
      </c>
      <c r="H13" s="13" t="s">
        <v>1199</v>
      </c>
      <c r="I13" s="13" t="s">
        <v>1200</v>
      </c>
      <c r="J13" s="13" t="s">
        <v>128</v>
      </c>
      <c r="K13" s="13" t="s">
        <v>128</v>
      </c>
      <c r="L13" s="27" t="s">
        <v>26</v>
      </c>
      <c r="M13" s="13" t="s">
        <v>1201</v>
      </c>
    </row>
  </sheetData>
  <autoFilter ref="A3:M13"/>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70"/>
    <col collapsed="false" customWidth="true" hidden="false" outlineLevel="0" max="4" min="4" style="0" width="30"/>
    <col collapsed="false" customWidth="true" hidden="false" outlineLevel="0" max="5" min="5" style="0" width="12"/>
    <col collapsed="false" customWidth="true" hidden="false" outlineLevel="0" max="6" min="6" style="0" width="34"/>
  </cols>
  <sheetData>
    <row r="1" customFormat="false" ht="45" hidden="false" customHeight="true" outlineLevel="0" collapsed="false">
      <c r="A1" s="14" t="s">
        <v>1202</v>
      </c>
      <c r="B1" s="14"/>
      <c r="C1" s="14"/>
      <c r="D1" s="14"/>
      <c r="E1" s="14"/>
      <c r="F1" s="14"/>
    </row>
    <row r="3" customFormat="false" ht="35.05" hidden="false" customHeight="false" outlineLevel="0" collapsed="false">
      <c r="A3" s="12" t="s">
        <v>1203</v>
      </c>
      <c r="B3" s="12" t="s">
        <v>1204</v>
      </c>
      <c r="C3" s="12" t="s">
        <v>1205</v>
      </c>
      <c r="D3" s="12" t="s">
        <v>1206</v>
      </c>
      <c r="E3" s="12" t="s">
        <v>1207</v>
      </c>
      <c r="F3" s="12" t="s">
        <v>1208</v>
      </c>
    </row>
    <row r="4" customFormat="false" ht="23.85" hidden="false" customHeight="false" outlineLevel="0" collapsed="false">
      <c r="A4" s="13" t="s">
        <v>1209</v>
      </c>
      <c r="B4" s="13" t="n">
        <v>11</v>
      </c>
      <c r="C4" s="13" t="s">
        <v>1210</v>
      </c>
      <c r="D4" s="13" t="s">
        <v>1211</v>
      </c>
      <c r="E4" s="13" t="s">
        <v>959</v>
      </c>
      <c r="F4" s="13" t="s">
        <v>1212</v>
      </c>
    </row>
    <row r="5" customFormat="false" ht="23.85" hidden="false" customHeight="false" outlineLevel="0" collapsed="false">
      <c r="A5" s="13" t="s">
        <v>1213</v>
      </c>
      <c r="B5" s="13" t="n">
        <v>11</v>
      </c>
      <c r="C5" s="13" t="s">
        <v>1214</v>
      </c>
      <c r="D5" s="13" t="s">
        <v>1215</v>
      </c>
      <c r="E5" s="13" t="s">
        <v>959</v>
      </c>
      <c r="F5" s="13" t="s">
        <v>1212</v>
      </c>
    </row>
    <row r="6" customFormat="false" ht="23.85" hidden="false" customHeight="false" outlineLevel="0" collapsed="false">
      <c r="A6" s="13" t="s">
        <v>1216</v>
      </c>
      <c r="B6" s="13" t="n">
        <v>7</v>
      </c>
      <c r="C6" s="13" t="s">
        <v>1217</v>
      </c>
      <c r="D6" s="13" t="s">
        <v>1218</v>
      </c>
      <c r="E6" s="13" t="s">
        <v>959</v>
      </c>
      <c r="F6" s="13" t="s">
        <v>1212</v>
      </c>
    </row>
    <row r="7" customFormat="false" ht="23.85" hidden="false" customHeight="false" outlineLevel="0" collapsed="false">
      <c r="A7" s="13" t="s">
        <v>1219</v>
      </c>
      <c r="B7" s="13" t="n">
        <v>3</v>
      </c>
      <c r="C7" s="13" t="s">
        <v>1220</v>
      </c>
      <c r="D7" s="13" t="s">
        <v>1221</v>
      </c>
      <c r="E7" s="13" t="s">
        <v>959</v>
      </c>
      <c r="F7" s="13" t="s">
        <v>1212</v>
      </c>
    </row>
    <row r="8" customFormat="false" ht="23.85" hidden="false" customHeight="false" outlineLevel="0" collapsed="false">
      <c r="A8" s="13" t="s">
        <v>1222</v>
      </c>
      <c r="B8" s="13" t="n">
        <v>2</v>
      </c>
      <c r="C8" s="13" t="s">
        <v>1223</v>
      </c>
      <c r="D8" s="13" t="s">
        <v>1224</v>
      </c>
      <c r="E8" s="13" t="s">
        <v>959</v>
      </c>
      <c r="F8" s="13" t="s">
        <v>1212</v>
      </c>
    </row>
    <row r="9" customFormat="false" ht="23.85" hidden="false" customHeight="false" outlineLevel="0" collapsed="false">
      <c r="A9" s="13" t="s">
        <v>1225</v>
      </c>
      <c r="B9" s="13" t="n">
        <v>2</v>
      </c>
      <c r="C9" s="13" t="s">
        <v>1226</v>
      </c>
      <c r="D9" s="13" t="s">
        <v>1227</v>
      </c>
      <c r="E9" s="13" t="s">
        <v>960</v>
      </c>
      <c r="F9" s="13" t="s">
        <v>1212</v>
      </c>
    </row>
    <row r="10" customFormat="false" ht="23.85" hidden="false" customHeight="false" outlineLevel="0" collapsed="false">
      <c r="A10" s="13" t="s">
        <v>1228</v>
      </c>
      <c r="B10" s="13" t="n">
        <v>2</v>
      </c>
      <c r="C10" s="13" t="s">
        <v>1229</v>
      </c>
      <c r="D10" s="13" t="s">
        <v>1230</v>
      </c>
      <c r="E10" s="13" t="s">
        <v>960</v>
      </c>
      <c r="F10" s="13" t="s">
        <v>1212</v>
      </c>
    </row>
    <row r="11" customFormat="false" ht="23.85" hidden="false" customHeight="false" outlineLevel="0" collapsed="false">
      <c r="A11" s="13" t="s">
        <v>1231</v>
      </c>
      <c r="B11" s="13" t="n">
        <v>2</v>
      </c>
      <c r="C11" s="13" t="s">
        <v>1232</v>
      </c>
      <c r="D11" s="13" t="s">
        <v>1233</v>
      </c>
      <c r="E11" s="13" t="s">
        <v>959</v>
      </c>
      <c r="F11" s="13" t="s">
        <v>1212</v>
      </c>
    </row>
    <row r="12" customFormat="false" ht="23.85" hidden="false" customHeight="false" outlineLevel="0" collapsed="false">
      <c r="A12" s="13" t="s">
        <v>1234</v>
      </c>
      <c r="B12" s="13" t="n">
        <v>2</v>
      </c>
      <c r="C12" s="13" t="s">
        <v>1235</v>
      </c>
      <c r="D12" s="13" t="s">
        <v>1236</v>
      </c>
      <c r="E12" s="13" t="s">
        <v>959</v>
      </c>
      <c r="F12" s="13" t="s">
        <v>1212</v>
      </c>
    </row>
    <row r="13" customFormat="false" ht="23.85" hidden="false" customHeight="false" outlineLevel="0" collapsed="false">
      <c r="A13" s="13" t="s">
        <v>1237</v>
      </c>
      <c r="B13" s="13" t="n">
        <v>2</v>
      </c>
      <c r="C13" s="13" t="s">
        <v>1238</v>
      </c>
      <c r="D13" s="13" t="s">
        <v>1239</v>
      </c>
      <c r="E13" s="13" t="s">
        <v>959</v>
      </c>
      <c r="F13" s="13" t="s">
        <v>1212</v>
      </c>
    </row>
    <row r="14" customFormat="false" ht="23.85" hidden="false" customHeight="false" outlineLevel="0" collapsed="false">
      <c r="A14" s="13" t="s">
        <v>1240</v>
      </c>
      <c r="B14" s="13" t="n">
        <v>2</v>
      </c>
      <c r="C14" s="13" t="s">
        <v>1238</v>
      </c>
      <c r="D14" s="13" t="s">
        <v>1239</v>
      </c>
      <c r="E14" s="13" t="s">
        <v>959</v>
      </c>
      <c r="F14" s="13" t="s">
        <v>1212</v>
      </c>
    </row>
    <row r="15" customFormat="false" ht="23.85" hidden="false" customHeight="false" outlineLevel="0" collapsed="false">
      <c r="A15" s="13" t="s">
        <v>1241</v>
      </c>
      <c r="B15" s="13" t="n">
        <v>2</v>
      </c>
      <c r="C15" s="13" t="s">
        <v>1242</v>
      </c>
      <c r="D15" s="13" t="s">
        <v>1243</v>
      </c>
      <c r="E15" s="13" t="s">
        <v>959</v>
      </c>
      <c r="F15" s="13" t="s">
        <v>1212</v>
      </c>
    </row>
  </sheetData>
  <autoFilter ref="A3:F15"/>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70"/>
  </cols>
  <sheetData>
    <row r="1" customFormat="false" ht="15" hidden="false" customHeight="false" outlineLevel="0" collapsed="false">
      <c r="A1" s="12" t="s">
        <v>1244</v>
      </c>
      <c r="B1" s="12" t="s">
        <v>1245</v>
      </c>
      <c r="C1" s="12" t="s">
        <v>1246</v>
      </c>
    </row>
    <row r="2" customFormat="false" ht="15" hidden="false" customHeight="false" outlineLevel="0" collapsed="false">
      <c r="A2" s="13" t="s">
        <v>1247</v>
      </c>
      <c r="B2" s="13" t="s">
        <v>1248</v>
      </c>
      <c r="C2" s="13" t="s">
        <v>1249</v>
      </c>
    </row>
    <row r="3" customFormat="false" ht="23.85" hidden="false" customHeight="false" outlineLevel="0" collapsed="false">
      <c r="A3" s="13" t="s">
        <v>1250</v>
      </c>
      <c r="B3" s="13" t="s">
        <v>1251</v>
      </c>
      <c r="C3" s="13" t="s">
        <v>1252</v>
      </c>
    </row>
    <row r="4" customFormat="false" ht="15" hidden="false" customHeight="false" outlineLevel="0" collapsed="false">
      <c r="A4" s="13" t="s">
        <v>1253</v>
      </c>
      <c r="B4" s="13" t="s">
        <v>1254</v>
      </c>
      <c r="C4" s="13" t="s">
        <v>1255</v>
      </c>
    </row>
    <row r="5" customFormat="false" ht="15" hidden="false" customHeight="false" outlineLevel="0" collapsed="false">
      <c r="A5" s="13" t="s">
        <v>1256</v>
      </c>
      <c r="B5" s="13" t="s">
        <v>1257</v>
      </c>
      <c r="C5" s="13" t="s">
        <v>1258</v>
      </c>
    </row>
    <row r="6" customFormat="false" ht="23.85" hidden="false" customHeight="false" outlineLevel="0" collapsed="false">
      <c r="A6" s="13" t="s">
        <v>1259</v>
      </c>
      <c r="B6" s="13" t="s">
        <v>1260</v>
      </c>
      <c r="C6" s="13" t="s">
        <v>1261</v>
      </c>
    </row>
    <row r="7" customFormat="false" ht="15" hidden="false" customHeight="false" outlineLevel="0" collapsed="false">
      <c r="A7" s="13" t="s">
        <v>1262</v>
      </c>
      <c r="B7" s="13" t="s">
        <v>1263</v>
      </c>
      <c r="C7" s="13" t="s">
        <v>1264</v>
      </c>
    </row>
    <row r="8" customFormat="false" ht="15" hidden="false" customHeight="false" outlineLevel="0" collapsed="false">
      <c r="A8" s="13" t="s">
        <v>1265</v>
      </c>
      <c r="B8" s="13" t="s">
        <v>1266</v>
      </c>
      <c r="C8" s="13" t="s">
        <v>1267</v>
      </c>
    </row>
    <row r="9" customFormat="false" ht="15" hidden="false" customHeight="false" outlineLevel="0" collapsed="false">
      <c r="A9" s="13" t="s">
        <v>1268</v>
      </c>
      <c r="B9" s="13" t="s">
        <v>1269</v>
      </c>
      <c r="C9" s="13" t="s">
        <v>1270</v>
      </c>
    </row>
    <row r="10" customFormat="false" ht="15" hidden="false" customHeight="false" outlineLevel="0" collapsed="false">
      <c r="A10" s="13" t="s">
        <v>1271</v>
      </c>
      <c r="B10" s="13" t="s">
        <v>128</v>
      </c>
      <c r="C10" s="13" t="s">
        <v>1272</v>
      </c>
    </row>
    <row r="11" customFormat="false" ht="23.85" hidden="false" customHeight="false" outlineLevel="0" collapsed="false">
      <c r="A11" s="13" t="s">
        <v>1273</v>
      </c>
      <c r="B11" s="13" t="s">
        <v>128</v>
      </c>
      <c r="C11" s="13" t="s">
        <v>1274</v>
      </c>
    </row>
    <row r="12" customFormat="false" ht="15" hidden="false" customHeight="false" outlineLevel="0" collapsed="false">
      <c r="A12" s="13" t="s">
        <v>958</v>
      </c>
      <c r="B12" s="13" t="s">
        <v>128</v>
      </c>
      <c r="C12" s="13" t="s">
        <v>1275</v>
      </c>
    </row>
  </sheetData>
  <autoFilter ref="A1:C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80"/>
    <col collapsed="false" customWidth="true" hidden="false" outlineLevel="0" max="4" min="4" style="0" width="30"/>
    <col collapsed="false" customWidth="true" hidden="false" outlineLevel="0" max="5" min="5" style="0" width="18"/>
  </cols>
  <sheetData>
    <row r="1" customFormat="false" ht="45" hidden="false" customHeight="true" outlineLevel="0" collapsed="false">
      <c r="A1" s="14" t="s">
        <v>1276</v>
      </c>
      <c r="B1" s="14"/>
      <c r="C1" s="14"/>
      <c r="D1" s="14"/>
      <c r="E1" s="14"/>
    </row>
    <row r="3" customFormat="false" ht="23.85" hidden="false" customHeight="false" outlineLevel="0" collapsed="false">
      <c r="A3" s="12" t="s">
        <v>1277</v>
      </c>
      <c r="B3" s="12" t="s">
        <v>1278</v>
      </c>
      <c r="C3" s="12" t="s">
        <v>1279</v>
      </c>
      <c r="D3" s="12" t="s">
        <v>1280</v>
      </c>
      <c r="E3" s="12" t="s">
        <v>1281</v>
      </c>
    </row>
    <row r="4" customFormat="false" ht="15" hidden="false" customHeight="false" outlineLevel="0" collapsed="false">
      <c r="A4" s="13" t="s">
        <v>1282</v>
      </c>
      <c r="B4" s="13" t="s">
        <v>1283</v>
      </c>
      <c r="C4" s="13" t="s">
        <v>1284</v>
      </c>
      <c r="D4" s="13" t="s">
        <v>1285</v>
      </c>
      <c r="E4" s="13" t="s">
        <v>1286</v>
      </c>
    </row>
    <row r="5" customFormat="false" ht="57.45" hidden="false" customHeight="false" outlineLevel="0" collapsed="false">
      <c r="A5" s="13" t="s">
        <v>169</v>
      </c>
      <c r="B5" s="13" t="s">
        <v>1287</v>
      </c>
      <c r="C5" s="13" t="s">
        <v>1288</v>
      </c>
      <c r="D5" s="13" t="s">
        <v>1289</v>
      </c>
      <c r="E5" s="13" t="s">
        <v>164</v>
      </c>
    </row>
    <row r="6" customFormat="false" ht="35.05" hidden="false" customHeight="false" outlineLevel="0" collapsed="false">
      <c r="A6" s="13" t="s">
        <v>1290</v>
      </c>
      <c r="B6" s="13" t="s">
        <v>1291</v>
      </c>
      <c r="C6" s="13" t="s">
        <v>1292</v>
      </c>
      <c r="D6" s="13" t="s">
        <v>1293</v>
      </c>
      <c r="E6" s="13" t="s">
        <v>128</v>
      </c>
    </row>
    <row r="7" customFormat="false" ht="15" hidden="false" customHeight="false" outlineLevel="0" collapsed="false">
      <c r="A7" s="13" t="s">
        <v>1294</v>
      </c>
      <c r="B7" s="13" t="s">
        <v>1295</v>
      </c>
      <c r="C7" s="13" t="s">
        <v>1296</v>
      </c>
      <c r="D7" s="13" t="s">
        <v>1297</v>
      </c>
      <c r="E7" s="13" t="s">
        <v>128</v>
      </c>
    </row>
    <row r="8" customFormat="false" ht="23.85" hidden="false" customHeight="false" outlineLevel="0" collapsed="false">
      <c r="A8" s="13" t="s">
        <v>1298</v>
      </c>
      <c r="B8" s="13" t="s">
        <v>1299</v>
      </c>
      <c r="C8" s="13" t="s">
        <v>1300</v>
      </c>
      <c r="D8" s="13" t="s">
        <v>1301</v>
      </c>
      <c r="E8" s="13" t="s">
        <v>1302</v>
      </c>
    </row>
    <row r="9" customFormat="false" ht="23.85" hidden="false" customHeight="false" outlineLevel="0" collapsed="false">
      <c r="A9" s="13" t="s">
        <v>1303</v>
      </c>
      <c r="B9" s="13" t="s">
        <v>1304</v>
      </c>
      <c r="C9" s="13" t="s">
        <v>1305</v>
      </c>
      <c r="D9" s="13" t="s">
        <v>1306</v>
      </c>
      <c r="E9" s="13" t="s">
        <v>1307</v>
      </c>
    </row>
    <row r="10" customFormat="false" ht="15" hidden="false" customHeight="false" outlineLevel="0" collapsed="false">
      <c r="A10" s="13" t="s">
        <v>1308</v>
      </c>
      <c r="B10" s="13" t="s">
        <v>737</v>
      </c>
      <c r="C10" s="13" t="s">
        <v>1309</v>
      </c>
      <c r="D10" s="13" t="s">
        <v>1306</v>
      </c>
      <c r="E10" s="13" t="s">
        <v>1310</v>
      </c>
    </row>
    <row r="11" customFormat="false" ht="35.05" hidden="false" customHeight="false" outlineLevel="0" collapsed="false">
      <c r="A11" s="13" t="s">
        <v>1311</v>
      </c>
      <c r="B11" s="13" t="s">
        <v>1312</v>
      </c>
      <c r="C11" s="13" t="s">
        <v>1313</v>
      </c>
      <c r="D11" s="13" t="s">
        <v>1314</v>
      </c>
      <c r="E11" s="13" t="s">
        <v>128</v>
      </c>
    </row>
    <row r="12" customFormat="false" ht="23.85" hidden="false" customHeight="false" outlineLevel="0" collapsed="false">
      <c r="A12" s="13" t="s">
        <v>1315</v>
      </c>
      <c r="B12" s="13" t="s">
        <v>1316</v>
      </c>
      <c r="C12" s="13" t="s">
        <v>1317</v>
      </c>
      <c r="D12" s="13" t="s">
        <v>1318</v>
      </c>
      <c r="E12" s="13" t="s">
        <v>136</v>
      </c>
    </row>
    <row r="13" customFormat="false" ht="23.85" hidden="false" customHeight="false" outlineLevel="0" collapsed="false">
      <c r="A13" s="13" t="s">
        <v>1319</v>
      </c>
      <c r="B13" s="13" t="s">
        <v>1320</v>
      </c>
      <c r="C13" s="13" t="s">
        <v>1321</v>
      </c>
      <c r="D13" s="13" t="s">
        <v>1322</v>
      </c>
      <c r="E13" s="13" t="s">
        <v>101</v>
      </c>
    </row>
    <row r="14" customFormat="false" ht="23.85" hidden="false" customHeight="false" outlineLevel="0" collapsed="false">
      <c r="A14" s="13" t="s">
        <v>1323</v>
      </c>
      <c r="B14" s="13" t="s">
        <v>162</v>
      </c>
      <c r="C14" s="13" t="s">
        <v>1324</v>
      </c>
      <c r="D14" s="13" t="s">
        <v>1325</v>
      </c>
      <c r="E14" s="13" t="s">
        <v>68</v>
      </c>
    </row>
    <row r="15" customFormat="false" ht="23.85" hidden="false" customHeight="false" outlineLevel="0" collapsed="false">
      <c r="A15" s="13" t="s">
        <v>1326</v>
      </c>
      <c r="B15" s="13" t="s">
        <v>1327</v>
      </c>
      <c r="C15" s="13" t="s">
        <v>1328</v>
      </c>
      <c r="D15" s="13" t="s">
        <v>1329</v>
      </c>
      <c r="E15" s="13" t="s">
        <v>871</v>
      </c>
    </row>
    <row r="16" customFormat="false" ht="23.85" hidden="false" customHeight="false" outlineLevel="0" collapsed="false">
      <c r="A16" s="13" t="s">
        <v>1330</v>
      </c>
      <c r="B16" s="13" t="s">
        <v>1331</v>
      </c>
      <c r="C16" s="13" t="s">
        <v>1332</v>
      </c>
      <c r="D16" s="13" t="s">
        <v>1333</v>
      </c>
      <c r="E16" s="13" t="s">
        <v>140</v>
      </c>
    </row>
    <row r="17" customFormat="false" ht="35.05" hidden="false" customHeight="false" outlineLevel="0" collapsed="false">
      <c r="A17" s="13" t="s">
        <v>1334</v>
      </c>
      <c r="B17" s="13" t="s">
        <v>1335</v>
      </c>
      <c r="C17" s="13" t="s">
        <v>1336</v>
      </c>
      <c r="D17" s="13" t="s">
        <v>1337</v>
      </c>
      <c r="E17" s="13" t="s">
        <v>128</v>
      </c>
    </row>
    <row r="18" customFormat="false" ht="23.85" hidden="false" customHeight="false" outlineLevel="0" collapsed="false">
      <c r="A18" s="13" t="s">
        <v>1338</v>
      </c>
      <c r="B18" s="13" t="s">
        <v>1339</v>
      </c>
      <c r="C18" s="13" t="s">
        <v>1340</v>
      </c>
      <c r="D18" s="13" t="s">
        <v>1341</v>
      </c>
      <c r="E18" s="13" t="s">
        <v>1342</v>
      </c>
    </row>
    <row r="19" customFormat="false" ht="15" hidden="false" customHeight="false" outlineLevel="0" collapsed="false">
      <c r="A19" s="13" t="s">
        <v>1343</v>
      </c>
      <c r="B19" s="13" t="s">
        <v>1344</v>
      </c>
      <c r="C19" s="13" t="s">
        <v>1345</v>
      </c>
      <c r="D19" s="13" t="s">
        <v>1346</v>
      </c>
      <c r="E19" s="13" t="s">
        <v>138</v>
      </c>
    </row>
  </sheetData>
  <autoFilter ref="A3:E19"/>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4"/>
    <col collapsed="false" customWidth="true" hidden="false" outlineLevel="0" max="4" min="4" style="0" width="50"/>
    <col collapsed="false" customWidth="true" hidden="false" outlineLevel="0" max="5" min="5" style="0" width="18"/>
  </cols>
  <sheetData>
    <row r="1" customFormat="false" ht="45" hidden="false" customHeight="true" outlineLevel="0" collapsed="false">
      <c r="A1" s="14" t="s">
        <v>1347</v>
      </c>
      <c r="B1" s="14"/>
      <c r="C1" s="14"/>
      <c r="D1" s="14"/>
      <c r="E1" s="14"/>
    </row>
    <row r="3" customFormat="false" ht="23.85" hidden="false" customHeight="false" outlineLevel="0" collapsed="false">
      <c r="A3" s="12" t="s">
        <v>976</v>
      </c>
      <c r="B3" s="12" t="s">
        <v>1348</v>
      </c>
      <c r="C3" s="12" t="s">
        <v>1349</v>
      </c>
      <c r="D3" s="12" t="s">
        <v>1350</v>
      </c>
      <c r="E3" s="12" t="s">
        <v>1351</v>
      </c>
    </row>
    <row r="4" customFormat="false" ht="15" hidden="false" customHeight="false" outlineLevel="0" collapsed="false">
      <c r="A4" s="13" t="s">
        <v>1352</v>
      </c>
      <c r="B4" s="13" t="s">
        <v>1353</v>
      </c>
      <c r="C4" s="13" t="s">
        <v>959</v>
      </c>
      <c r="D4" s="13" t="s">
        <v>1354</v>
      </c>
      <c r="E4" s="13" t="s">
        <v>1355</v>
      </c>
    </row>
    <row r="5" customFormat="false" ht="15" hidden="false" customHeight="false" outlineLevel="0" collapsed="false">
      <c r="A5" s="13" t="s">
        <v>1044</v>
      </c>
      <c r="B5" s="13" t="s">
        <v>1353</v>
      </c>
      <c r="C5" s="13" t="s">
        <v>959</v>
      </c>
      <c r="D5" s="13" t="s">
        <v>1356</v>
      </c>
      <c r="E5" s="13" t="s">
        <v>171</v>
      </c>
    </row>
    <row r="6" customFormat="false" ht="15" hidden="false" customHeight="false" outlineLevel="0" collapsed="false">
      <c r="A6" s="13" t="s">
        <v>1048</v>
      </c>
      <c r="B6" s="13" t="s">
        <v>1353</v>
      </c>
      <c r="C6" s="13" t="s">
        <v>959</v>
      </c>
      <c r="D6" s="13" t="s">
        <v>1357</v>
      </c>
      <c r="E6" s="13" t="s">
        <v>1358</v>
      </c>
    </row>
    <row r="7" customFormat="false" ht="15" hidden="false" customHeight="false" outlineLevel="0" collapsed="false">
      <c r="A7" s="13" t="s">
        <v>1359</v>
      </c>
      <c r="B7" s="13" t="s">
        <v>1353</v>
      </c>
      <c r="C7" s="13" t="s">
        <v>959</v>
      </c>
      <c r="D7" s="13" t="s">
        <v>1360</v>
      </c>
      <c r="E7" s="13" t="s">
        <v>1361</v>
      </c>
    </row>
    <row r="8" customFormat="false" ht="15" hidden="false" customHeight="false" outlineLevel="0" collapsed="false">
      <c r="A8" s="13" t="s">
        <v>1362</v>
      </c>
      <c r="B8" s="13" t="s">
        <v>1353</v>
      </c>
      <c r="C8" s="13" t="s">
        <v>959</v>
      </c>
      <c r="D8" s="13" t="s">
        <v>1363</v>
      </c>
      <c r="E8" s="13" t="s">
        <v>1364</v>
      </c>
    </row>
    <row r="9" customFormat="false" ht="15" hidden="false" customHeight="false" outlineLevel="0" collapsed="false">
      <c r="A9" s="13" t="s">
        <v>1365</v>
      </c>
      <c r="B9" s="13" t="s">
        <v>1353</v>
      </c>
      <c r="C9" s="13" t="s">
        <v>959</v>
      </c>
      <c r="D9" s="13" t="s">
        <v>1366</v>
      </c>
      <c r="E9" s="13" t="s">
        <v>1367</v>
      </c>
    </row>
    <row r="10" customFormat="false" ht="15" hidden="false" customHeight="false" outlineLevel="0" collapsed="false">
      <c r="A10" s="13" t="s">
        <v>1368</v>
      </c>
      <c r="B10" s="13" t="s">
        <v>1353</v>
      </c>
      <c r="C10" s="13" t="s">
        <v>1369</v>
      </c>
      <c r="D10" s="13" t="s">
        <v>1370</v>
      </c>
      <c r="E10" s="13" t="s">
        <v>1371</v>
      </c>
    </row>
    <row r="11" customFormat="false" ht="15" hidden="false" customHeight="false" outlineLevel="0" collapsed="false">
      <c r="A11" s="13" t="s">
        <v>1372</v>
      </c>
      <c r="B11" s="13" t="s">
        <v>1353</v>
      </c>
      <c r="C11" s="13" t="s">
        <v>1369</v>
      </c>
      <c r="D11" s="13" t="s">
        <v>128</v>
      </c>
      <c r="E11" s="13" t="s">
        <v>1371</v>
      </c>
    </row>
    <row r="12" customFormat="false" ht="15" hidden="false" customHeight="false" outlineLevel="0" collapsed="false">
      <c r="A12" s="13" t="s">
        <v>1373</v>
      </c>
      <c r="B12" s="13" t="s">
        <v>1353</v>
      </c>
      <c r="C12" s="13" t="s">
        <v>1369</v>
      </c>
      <c r="D12" s="13" t="s">
        <v>128</v>
      </c>
      <c r="E12" s="13" t="s">
        <v>1374</v>
      </c>
    </row>
    <row r="13" customFormat="false" ht="15" hidden="false" customHeight="false" outlineLevel="0" collapsed="false">
      <c r="A13" s="13" t="s">
        <v>1375</v>
      </c>
      <c r="B13" s="13" t="s">
        <v>1353</v>
      </c>
      <c r="C13" s="13" t="s">
        <v>1376</v>
      </c>
      <c r="D13" s="13" t="s">
        <v>1377</v>
      </c>
      <c r="E13" s="13" t="s">
        <v>1378</v>
      </c>
    </row>
    <row r="14" customFormat="false" ht="23.85" hidden="false" customHeight="false" outlineLevel="0" collapsed="false">
      <c r="A14" s="13" t="s">
        <v>1379</v>
      </c>
      <c r="B14" s="13" t="s">
        <v>1380</v>
      </c>
      <c r="C14" s="13" t="s">
        <v>1369</v>
      </c>
      <c r="D14" s="13" t="s">
        <v>128</v>
      </c>
      <c r="E14" s="13" t="s">
        <v>1371</v>
      </c>
    </row>
    <row r="15" customFormat="false" ht="15" hidden="false" customHeight="false" outlineLevel="0" collapsed="false">
      <c r="A15" s="13" t="s">
        <v>1381</v>
      </c>
      <c r="B15" s="13" t="s">
        <v>1380</v>
      </c>
      <c r="C15" s="13" t="s">
        <v>1369</v>
      </c>
      <c r="D15" s="13" t="s">
        <v>1382</v>
      </c>
      <c r="E15" s="13" t="s">
        <v>1371</v>
      </c>
    </row>
    <row r="16" customFormat="false" ht="23.85" hidden="false" customHeight="false" outlineLevel="0" collapsed="false">
      <c r="A16" s="13" t="s">
        <v>1383</v>
      </c>
      <c r="B16" s="13" t="s">
        <v>128</v>
      </c>
      <c r="C16" s="13" t="s">
        <v>128</v>
      </c>
      <c r="D16" s="13" t="s">
        <v>1384</v>
      </c>
      <c r="E16" s="13" t="s">
        <v>1385</v>
      </c>
    </row>
  </sheetData>
  <autoFilter ref="A3:E16"/>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70"/>
  </cols>
  <sheetData>
    <row r="1" customFormat="false" ht="15" hidden="false" customHeight="false" outlineLevel="0" collapsed="false">
      <c r="A1" s="12" t="s">
        <v>1244</v>
      </c>
      <c r="B1" s="12" t="s">
        <v>1386</v>
      </c>
      <c r="C1" s="12" t="s">
        <v>1387</v>
      </c>
    </row>
    <row r="2" customFormat="false" ht="15" hidden="false" customHeight="false" outlineLevel="0" collapsed="false">
      <c r="A2" s="13" t="s">
        <v>1388</v>
      </c>
      <c r="B2" s="13" t="s">
        <v>1389</v>
      </c>
      <c r="C2" s="13" t="s">
        <v>1390</v>
      </c>
    </row>
    <row r="3" customFormat="false" ht="23.85" hidden="false" customHeight="false" outlineLevel="0" collapsed="false">
      <c r="A3" s="13" t="s">
        <v>1391</v>
      </c>
      <c r="B3" s="13" t="s">
        <v>1392</v>
      </c>
      <c r="C3" s="13" t="s">
        <v>1393</v>
      </c>
    </row>
    <row r="4" customFormat="false" ht="15" hidden="false" customHeight="false" outlineLevel="0" collapsed="false">
      <c r="A4" s="13" t="s">
        <v>75</v>
      </c>
      <c r="B4" s="13" t="s">
        <v>1394</v>
      </c>
      <c r="C4" s="13" t="s">
        <v>1395</v>
      </c>
    </row>
    <row r="5" customFormat="false" ht="15" hidden="false" customHeight="false" outlineLevel="0" collapsed="false">
      <c r="A5" s="13" t="s">
        <v>1396</v>
      </c>
      <c r="B5" s="13" t="s">
        <v>1397</v>
      </c>
      <c r="C5" s="13" t="s">
        <v>1398</v>
      </c>
    </row>
    <row r="6" customFormat="false" ht="15" hidden="false" customHeight="false" outlineLevel="0" collapsed="false">
      <c r="A6" s="13" t="s">
        <v>1399</v>
      </c>
      <c r="B6" s="13" t="s">
        <v>1400</v>
      </c>
      <c r="C6" s="13" t="s">
        <v>1401</v>
      </c>
    </row>
    <row r="7" customFormat="false" ht="15" hidden="false" customHeight="false" outlineLevel="0" collapsed="false">
      <c r="A7" s="13" t="s">
        <v>1067</v>
      </c>
      <c r="B7" s="13" t="s">
        <v>1402</v>
      </c>
      <c r="C7" s="13" t="s">
        <v>1403</v>
      </c>
    </row>
    <row r="8" customFormat="false" ht="15" hidden="false" customHeight="false" outlineLevel="0" collapsed="false">
      <c r="A8" s="13" t="s">
        <v>1100</v>
      </c>
      <c r="B8" s="13" t="s">
        <v>1404</v>
      </c>
      <c r="C8" s="13" t="s">
        <v>1405</v>
      </c>
    </row>
    <row r="9" customFormat="false" ht="15" hidden="false" customHeight="false" outlineLevel="0" collapsed="false">
      <c r="A9" s="13" t="s">
        <v>1103</v>
      </c>
      <c r="B9" s="13" t="s">
        <v>1406</v>
      </c>
      <c r="C9" s="13" t="s">
        <v>1407</v>
      </c>
    </row>
    <row r="10" customFormat="false" ht="15" hidden="false" customHeight="false" outlineLevel="0" collapsed="false">
      <c r="A10" s="13" t="s">
        <v>1061</v>
      </c>
      <c r="B10" s="13" t="s">
        <v>1408</v>
      </c>
      <c r="C10" s="13" t="s">
        <v>1409</v>
      </c>
    </row>
    <row r="11" customFormat="false" ht="15" hidden="false" customHeight="false" outlineLevel="0" collapsed="false">
      <c r="A11" s="13" t="s">
        <v>85</v>
      </c>
      <c r="B11" s="13" t="s">
        <v>953</v>
      </c>
      <c r="C11" s="13" t="s">
        <v>1410</v>
      </c>
    </row>
    <row r="12" customFormat="false" ht="15" hidden="false" customHeight="false" outlineLevel="0" collapsed="false">
      <c r="A12" s="13" t="s">
        <v>1411</v>
      </c>
      <c r="B12" s="13" t="s">
        <v>1412</v>
      </c>
      <c r="C12" s="13" t="s">
        <v>1413</v>
      </c>
    </row>
    <row r="13" customFormat="false" ht="15" hidden="false" customHeight="false" outlineLevel="0" collapsed="false">
      <c r="A13" s="13" t="s">
        <v>18</v>
      </c>
      <c r="B13" s="13" t="s">
        <v>1414</v>
      </c>
      <c r="C13" s="13" t="s">
        <v>1415</v>
      </c>
    </row>
    <row r="14" customFormat="false" ht="23.85" hidden="false" customHeight="false" outlineLevel="0" collapsed="false">
      <c r="A14" s="13" t="s">
        <v>20</v>
      </c>
      <c r="B14" s="13" t="s">
        <v>1416</v>
      </c>
      <c r="C14" s="13" t="s">
        <v>1417</v>
      </c>
    </row>
    <row r="15" customFormat="false" ht="23.85" hidden="false" customHeight="false" outlineLevel="0" collapsed="false">
      <c r="A15" s="13" t="s">
        <v>1418</v>
      </c>
      <c r="B15" s="13" t="s">
        <v>1419</v>
      </c>
      <c r="C15" s="13" t="s">
        <v>1420</v>
      </c>
    </row>
    <row r="16" customFormat="false" ht="15" hidden="false" customHeight="false" outlineLevel="0" collapsed="false">
      <c r="A16" s="13" t="s">
        <v>1421</v>
      </c>
      <c r="B16" s="13" t="s">
        <v>1422</v>
      </c>
      <c r="C16" s="13" t="s">
        <v>1423</v>
      </c>
    </row>
    <row r="17" customFormat="false" ht="15" hidden="false" customHeight="false" outlineLevel="0" collapsed="false">
      <c r="A17" s="13" t="s">
        <v>1424</v>
      </c>
      <c r="B17" s="13" t="s">
        <v>1425</v>
      </c>
      <c r="C17" s="13" t="s">
        <v>1426</v>
      </c>
    </row>
    <row r="18" customFormat="false" ht="15" hidden="false" customHeight="false" outlineLevel="0" collapsed="false">
      <c r="A18" s="13" t="s">
        <v>1427</v>
      </c>
      <c r="B18" s="13" t="s">
        <v>1428</v>
      </c>
      <c r="C18" s="13" t="s">
        <v>1429</v>
      </c>
    </row>
  </sheetData>
  <autoFilter ref="A1:C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2026-10-02T05:13:42Z</dcterms:created>
  <dc:creator>openpyxl</dc:creator>
  <dc:description/>
  <dc:language>en-US</dc:language>
  <cp:lastModifiedBy/>
  <dcterms:modified xsi:type="dcterms:W3CDTF">2026-10-02T05:13:42Z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