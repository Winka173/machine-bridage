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ục lục" sheetId="1" state="visible" r:id="rId1"/>
    <sheet name="Tổng quan" sheetId="2" state="visible" r:id="rId2"/>
    <sheet name="Cốt truyện" sheetId="3" state="visible" r:id="rId3"/>
    <sheet name="Thay đổi chi tiết" sheetId="4" state="visible" r:id="rId4"/>
    <sheet name="Kiểm tra từng mục" sheetId="5" state="visible" r:id="rId5"/>
    <sheet name="Cân bằng lần 2" sheetId="6" state="visible" r:id="rId6"/>
    <sheet name="Việc cho agent" sheetId="7" state="visible" r:id="rId7"/>
    <sheet name="Phương tiện" sheetId="8" state="visible" r:id="rId8"/>
    <sheet name="Công trình" sheetId="9" state="visible" r:id="rId9"/>
    <sheet name="Boss" sheetId="10" state="visible" r:id="rId10"/>
    <sheet name="Boss đề xuất" sheetId="11" state="visible" r:id="rId11"/>
    <sheet name="Tên đề xuất" sheetId="12" state="visible" r:id="rId12"/>
    <sheet name="Kích thước – giá" sheetId="13" state="visible" r:id="rId13"/>
    <sheet name="Vũ khí đề xuất" sheetId="14" state="visible" r:id="rId14"/>
    <sheet name="Đơn vị – vũ khí" sheetId="15" state="visible" r:id="rId15"/>
    <sheet name="Tổng DPS đơn vị" sheetId="16" state="visible" r:id="rId16"/>
    <sheet name="Tốc độ tên lửa" sheetId="17" state="visible" r:id="rId17"/>
    <sheet name="Kích thước đạn" sheetId="18" state="visible" r:id="rId18"/>
    <sheet name="Hệ số" sheetId="19" state="visible" r:id="rId19"/>
    <sheet name="Giá CP" sheetId="20" state="visible" r:id="rId20"/>
    <sheet name="Thẻ hỗ trợ" sheetId="21" state="visible" r:id="rId21"/>
    <sheet name="Thẻ hỗ trợ mới" sheetId="22" state="visible" r:id="rId22"/>
    <sheet name="Đề xuất thêm" sheetId="23" state="visible" r:id="rId23"/>
    <sheet name="Công trình mới" sheetId="24" state="visible" r:id="rId24"/>
    <sheet name="Tên lửa &amp; bom mới" sheetId="25" state="visible" r:id="rId25"/>
    <sheet name="Boss mới" sheetId="26" state="visible" r:id="rId26"/>
    <sheet name="Tỷ lệ map" sheetId="27" state="visible" r:id="rId27"/>
    <sheet name="Hướng dẫn vẽ" sheetId="28" state="visible" r:id="rId28"/>
  </sheets>
  <definedNames>
    <definedName name="_xlnm._FilterDatabase" localSheetId="2" hidden="1">'Cốt truyện'!$A$1:$C$35</definedName>
    <definedName name="_xlnm._FilterDatabase" localSheetId="3" hidden="1">'Thay đổi chi tiết'!$A$1:$H$213</definedName>
    <definedName name="_xlnm._FilterDatabase" localSheetId="4" hidden="1">'Kiểm tra từng mục'!$A$1:$H$1291</definedName>
    <definedName name="_xlnm._FilterDatabase" localSheetId="5" hidden="1">'Cân bằng lần 2'!$A$1:$K$57</definedName>
    <definedName name="_xlnm._FilterDatabase" localSheetId="6" hidden="1">'Việc cho agent'!$A$1:$F$18</definedName>
    <definedName name="_xlnm._FilterDatabase" localSheetId="7" hidden="1">'Phương tiện'!$A$1:$AJ$59</definedName>
    <definedName name="_xlnm._FilterDatabase" localSheetId="8" hidden="1">'Công trình'!$A$1:$T$62</definedName>
    <definedName name="_xlnm._FilterDatabase" localSheetId="9" hidden="1">'Boss'!$A$1:$W$34</definedName>
    <definedName name="_xlnm._FilterDatabase" localSheetId="10" hidden="1">'Boss đề xuất'!$A$1:$L$34</definedName>
    <definedName name="_xlnm._FilterDatabase" localSheetId="11" hidden="1">'Tên đề xuất'!$A$1:$F$65</definedName>
    <definedName name="_xlnm._FilterDatabase" localSheetId="12" hidden="1">'Kích thước – giá'!$A$1:$J$59</definedName>
    <definedName name="_xlnm._FilterDatabase" localSheetId="13" hidden="1">'Vũ khí đề xuất'!$A$1:$AO$155</definedName>
    <definedName name="_xlnm._FilterDatabase" localSheetId="14" hidden="1">'Đơn vị – vũ khí'!$A$1:$M$311</definedName>
    <definedName name="_xlnm._FilterDatabase" localSheetId="15" hidden="1">'Tổng DPS đơn vị'!$A$1:$M$129</definedName>
    <definedName name="_xlnm._FilterDatabase" localSheetId="16" hidden="1">'Tốc độ tên lửa'!$A$1:$L$59</definedName>
    <definedName name="_xlnm._FilterDatabase" localSheetId="17" hidden="1">'Kích thước đạn'!$A$1:$L$44</definedName>
    <definedName name="_xlnm._FilterDatabase" localSheetId="18" hidden="1">'Hệ số'!$A$1:$D$17</definedName>
    <definedName name="_xlnm._FilterDatabase" localSheetId="19" hidden="1">'Giá CP'!$A$1:$L$59</definedName>
    <definedName name="_xlnm._FilterDatabase" localSheetId="20" hidden="1">'Thẻ hỗ trợ'!$A$1:$E$7</definedName>
    <definedName name="_xlnm._FilterDatabase" localSheetId="21" hidden="1">'Thẻ hỗ trợ mới'!$A$1:$K$12</definedName>
    <definedName name="_xlnm._FilterDatabase" localSheetId="22" hidden="1">'Đề xuất thêm'!$A$1:$L$57</definedName>
    <definedName name="_xlnm._FilterDatabase" localSheetId="23" hidden="1">'Công trình mới'!$A$1:$Z$15</definedName>
    <definedName name="_xlnm._FilterDatabase" localSheetId="24" hidden="1">'Tên lửa &amp; bom mới'!$A$1:$S$15</definedName>
    <definedName name="_xlnm._FilterDatabase" localSheetId="25" hidden="1">'Boss mới'!$A$1:$L$9</definedName>
    <definedName name="_xlnm._FilterDatabase" localSheetId="26" hidden="1">'Tỷ lệ map'!$A$1:$D$15</definedName>
    <definedName name="_xlnm._FilterDatabase" localSheetId="27" hidden="1">'Hướng dẫn vẽ'!$A$1:$B$14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sz val="10"/>
    </font>
    <font>
      <name val="Arial"/>
      <charset val="1"/>
      <family val="0"/>
      <color rgb="FF1F5F8B"/>
      <sz val="10"/>
      <u val="single"/>
    </font>
    <font>
      <name val="Arial"/>
      <charset val="1"/>
      <family val="0"/>
      <sz val="10"/>
    </font>
    <font>
      <name val="Arial"/>
      <charset val="1"/>
      <family val="0"/>
      <b val="1"/>
      <sz val="9"/>
    </font>
    <font>
      <name val="Arial"/>
      <charset val="1"/>
      <family val="0"/>
      <sz val="9"/>
    </font>
  </fonts>
  <fills count="10">
    <fill>
      <patternFill/>
    </fill>
    <fill>
      <patternFill patternType="gray125"/>
    </fill>
    <fill>
      <patternFill patternType="solid">
        <fgColor rgb="FF1F3A4D"/>
        <bgColor rgb="FF003366"/>
      </patternFill>
    </fill>
    <fill>
      <patternFill patternType="solid">
        <fgColor rgb="FFF4F6F8"/>
        <bgColor rgb="FFFFFFFF"/>
      </patternFill>
    </fill>
    <fill>
      <patternFill patternType="solid">
        <fgColor rgb="FF5B6770"/>
        <bgColor rgb="FF808080"/>
      </patternFill>
    </fill>
    <fill>
      <patternFill patternType="solid">
        <fgColor rgb="FF1F5F8B"/>
        <bgColor rgb="FF008080"/>
      </patternFill>
    </fill>
    <fill>
      <patternFill patternType="solid">
        <fgColor rgb="FF6B4E16"/>
        <bgColor rgb="FF5B6770"/>
      </patternFill>
    </fill>
    <fill>
      <patternFill patternType="solid">
        <fgColor rgb="FFF8CBAD"/>
        <bgColor rgb="FFFFE699"/>
      </patternFill>
    </fill>
    <fill>
      <patternFill patternType="solid">
        <fgColor rgb="FFFFE699"/>
        <bgColor rgb="FFF8CBAD"/>
      </patternFill>
    </fill>
    <fill>
      <patternFill patternType="solid">
        <fgColor rgb="FFE2EFDA"/>
        <bgColor rgb="FFF4F6F8"/>
      </patternFill>
    </fill>
  </fills>
  <borders count="2">
    <border>
      <left/>
      <right/>
      <top/>
      <bottom/>
      <diagonal/>
    </border>
    <border>
      <left style="thin">
        <color rgb="FFC9CED3"/>
      </left>
      <right style="thin">
        <color rgb="FFC9CED3"/>
      </right>
      <top style="thin">
        <color rgb="FFC9CED3"/>
      </top>
      <bottom style="thin">
        <color rgb="FFC9CED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3" borderId="1" applyAlignment="1" pivotButton="0" quotePrefix="0" xfId="0">
      <alignment horizontal="center" vertical="top" wrapText="1"/>
    </xf>
    <xf numFmtId="0" fontId="9" fillId="0" borderId="1" applyAlignment="1" pivotButton="0" quotePrefix="0" xfId="0">
      <alignment horizontal="center"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164" fontId="9" fillId="3" borderId="1" applyAlignment="1" pivotButton="0" quotePrefix="0" xfId="0">
      <alignment horizontal="left" vertical="top" wrapText="1"/>
    </xf>
    <xf numFmtId="164" fontId="9" fillId="0" borderId="1" applyAlignment="1" pivotButton="0" quotePrefix="0" xfId="0">
      <alignment horizontal="left" vertical="top" wrapText="1"/>
    </xf>
    <xf numFmtId="164" fontId="9" fillId="3" borderId="1" applyAlignment="1" pivotButton="0" quotePrefix="0" xfId="0">
      <alignment horizontal="center" vertical="top" wrapText="1"/>
    </xf>
    <xf numFmtId="164" fontId="9" fillId="0" borderId="1" applyAlignment="1" pivotButton="0" quotePrefix="0" xfId="0">
      <alignment horizontal="center" vertical="top" wrapText="1"/>
    </xf>
    <xf numFmtId="1" fontId="9" fillId="3" borderId="1" applyAlignment="1" pivotButton="0" quotePrefix="0" xfId="0">
      <alignment horizontal="left" vertical="top" wrapText="1"/>
    </xf>
    <xf numFmtId="1" fontId="9" fillId="0" borderId="1" applyAlignment="1" pivotButton="0" quotePrefix="0" xfId="0">
      <alignment horizontal="left" vertical="top" wrapText="1"/>
    </xf>
    <xf numFmtId="2" fontId="9" fillId="3" borderId="1" applyAlignment="1" pivotButton="0" quotePrefix="0" xfId="0">
      <alignment horizontal="left" vertical="top" wrapText="1"/>
    </xf>
    <xf numFmtId="2" fontId="9" fillId="3" borderId="1" applyAlignment="1" pivotButton="0" quotePrefix="0" xfId="0">
      <alignment horizontal="center" vertical="top" wrapText="1"/>
    </xf>
    <xf numFmtId="2" fontId="9" fillId="0" borderId="1" applyAlignment="1" pivotButton="0" quotePrefix="0" xfId="0">
      <alignment horizontal="left" vertical="top" wrapText="1"/>
    </xf>
    <xf numFmtId="2" fontId="9" fillId="0" borderId="1" applyAlignment="1" pivotButton="0" quotePrefix="0" xfId="0">
      <alignment horizontal="center" vertical="top" wrapText="1"/>
    </xf>
    <xf numFmtId="9" fontId="9" fillId="3" borderId="1" applyAlignment="1" pivotButton="0" quotePrefix="0" xfId="0">
      <alignment horizontal="left" vertical="top" wrapText="1"/>
    </xf>
    <xf numFmtId="9" fontId="9"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4"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3" borderId="1" applyAlignment="1" pivotButton="0" quotePrefix="0" xfId="0">
      <alignment horizontal="center" vertical="top" wrapText="1"/>
    </xf>
    <xf numFmtId="0" fontId="9" fillId="0" borderId="1" applyAlignment="1" pivotButton="0" quotePrefix="0" xfId="0">
      <alignment horizontal="center"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164" fontId="9" fillId="3" borderId="1" applyAlignment="1" pivotButton="0" quotePrefix="0" xfId="0">
      <alignment horizontal="left" vertical="top" wrapText="1"/>
    </xf>
    <xf numFmtId="164" fontId="9" fillId="0" borderId="1" applyAlignment="1" pivotButton="0" quotePrefix="0" xfId="0">
      <alignment horizontal="left" vertical="top" wrapText="1"/>
    </xf>
    <xf numFmtId="164" fontId="9" fillId="3" borderId="1" applyAlignment="1" pivotButton="0" quotePrefix="0" xfId="0">
      <alignment horizontal="center" vertical="top" wrapText="1"/>
    </xf>
    <xf numFmtId="164" fontId="9" fillId="0" borderId="1" applyAlignment="1" pivotButton="0" quotePrefix="0" xfId="0">
      <alignment horizontal="center" vertical="top" wrapText="1"/>
    </xf>
    <xf numFmtId="1" fontId="9" fillId="3" borderId="1" applyAlignment="1" pivotButton="0" quotePrefix="0" xfId="0">
      <alignment horizontal="left" vertical="top" wrapText="1"/>
    </xf>
    <xf numFmtId="1" fontId="9" fillId="0" borderId="1" applyAlignment="1" pivotButton="0" quotePrefix="0" xfId="0">
      <alignment horizontal="left" vertical="top" wrapText="1"/>
    </xf>
    <xf numFmtId="2" fontId="9" fillId="3" borderId="1" applyAlignment="1" pivotButton="0" quotePrefix="0" xfId="0">
      <alignment horizontal="left" vertical="top" wrapText="1"/>
    </xf>
    <xf numFmtId="2" fontId="9" fillId="3" borderId="1" applyAlignment="1" pivotButton="0" quotePrefix="0" xfId="0">
      <alignment horizontal="center" vertical="top" wrapText="1"/>
    </xf>
    <xf numFmtId="2" fontId="9" fillId="0" borderId="1" applyAlignment="1" pivotButton="0" quotePrefix="0" xfId="0">
      <alignment horizontal="left" vertical="top" wrapText="1"/>
    </xf>
    <xf numFmtId="2" fontId="9" fillId="0" borderId="1" applyAlignment="1" pivotButton="0" quotePrefix="0" xfId="0">
      <alignment horizontal="center" vertical="top" wrapText="1"/>
    </xf>
    <xf numFmtId="9" fontId="9" fillId="3" borderId="1" applyAlignment="1" pivotButton="0" quotePrefix="0" xfId="0">
      <alignment horizontal="left" vertical="top" wrapText="1"/>
    </xf>
    <xf numFmtId="9" fontId="9"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A4D"/>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
      <fill>
        <patternFill patternType="solid">
          <fgColor rgb="FF5B6770"/>
          <bgColor rgb="FF000000"/>
        </patternFill>
      </fill>
    </dxf>
    <dxf>
      <fill>
        <patternFill patternType="solid">
          <fgColor rgb="FF1F5F8B"/>
          <bgColor rgb="FF000000"/>
        </patternFill>
      </fill>
    </dxf>
    <dxf>
      <fill>
        <patternFill patternType="solid">
          <fgColor rgb="FF6B4E16"/>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ED3"/>
      <rgbColor rgb="FF808080"/>
      <rgbColor rgb="FF9999FF"/>
      <rgbColor rgb="FF993366"/>
      <rgbColor rgb="FFF4F6F8"/>
      <rgbColor rgb="FFCCFFFF"/>
      <rgbColor rgb="FF660066"/>
      <rgbColor rgb="FFFF8080"/>
      <rgbColor rgb="FF1F5F8B"/>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B6770"/>
      <rgbColor rgb="FF969696"/>
      <rgbColor rgb="FF003366"/>
      <rgbColor rgb="FF339966"/>
      <rgbColor rgb="FF003300"/>
      <rgbColor rgb="FF333300"/>
      <rgbColor rgb="FF6B4E16"/>
      <rgbColor rgb="FF993366"/>
      <rgbColor rgb="FF333399"/>
      <rgbColor rgb="FF1F3A4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Machine_Brigade_Can_bang.xlsx" TargetMode="External" Id="rId1" /><Relationship Type="http://schemas.openxmlformats.org/officeDocument/2006/relationships/hyperlink" Target="Machine_Brigade_Can_bang.xlsx" TargetMode="External" Id="rId2" /><Relationship Type="http://schemas.openxmlformats.org/officeDocument/2006/relationships/hyperlink" Target="Machine_Brigade_Can_bang.xlsx" TargetMode="External" Id="rId3" /><Relationship Type="http://schemas.openxmlformats.org/officeDocument/2006/relationships/hyperlink" Target="Machine_Brigade_Can_bang.xlsx" TargetMode="External" Id="rId4" /><Relationship Type="http://schemas.openxmlformats.org/officeDocument/2006/relationships/hyperlink" Target="Machine_Brigade_Can_bang.xlsx" TargetMode="External" Id="rId5" /><Relationship Type="http://schemas.openxmlformats.org/officeDocument/2006/relationships/hyperlink" Target="Machine_Brigade_Can_bang.xlsx" TargetMode="External" Id="rId6" /><Relationship Type="http://schemas.openxmlformats.org/officeDocument/2006/relationships/hyperlink" Target="Machine_Brigade_Can_bang.xlsx" TargetMode="External" Id="rId7" /><Relationship Type="http://schemas.openxmlformats.org/officeDocument/2006/relationships/hyperlink" Target="Machine_Brigade_Can_bang.xlsx" TargetMode="External" Id="rId8" /><Relationship Type="http://schemas.openxmlformats.org/officeDocument/2006/relationships/hyperlink" Target="Machine_Brigade_Can_bang.xlsx" TargetMode="External" Id="rId9" /><Relationship Type="http://schemas.openxmlformats.org/officeDocument/2006/relationships/hyperlink" Target="Machine_Brigade_Can_bang.xlsx" TargetMode="External" Id="rId10" /><Relationship Type="http://schemas.openxmlformats.org/officeDocument/2006/relationships/hyperlink" Target="Machine_Brigade_Can_bang.xlsx" TargetMode="External" Id="rId11" /><Relationship Type="http://schemas.openxmlformats.org/officeDocument/2006/relationships/hyperlink" Target="Machine_Brigade_Can_bang.xlsx" TargetMode="External" Id="rId12" /><Relationship Type="http://schemas.openxmlformats.org/officeDocument/2006/relationships/hyperlink" Target="Machine_Brigade_Can_bang.xlsx" TargetMode="External" Id="rId13" /><Relationship Type="http://schemas.openxmlformats.org/officeDocument/2006/relationships/hyperlink" Target="Machine_Brigade_Can_bang.xlsx" TargetMode="External" Id="rId14" /><Relationship Type="http://schemas.openxmlformats.org/officeDocument/2006/relationships/hyperlink" Target="Machine_Brigade_Can_bang.xlsx" TargetMode="External" Id="rId15" /><Relationship Type="http://schemas.openxmlformats.org/officeDocument/2006/relationships/hyperlink" Target="Machine_Brigade_Can_bang.xlsx" TargetMode="External" Id="rId16" /><Relationship Type="http://schemas.openxmlformats.org/officeDocument/2006/relationships/hyperlink" Target="Machine_Brigade_Can_bang.xlsx" TargetMode="External" Id="rId17" /><Relationship Type="http://schemas.openxmlformats.org/officeDocument/2006/relationships/hyperlink" Target="Machine_Brigade_Can_bang.xlsx" TargetMode="External" Id="rId18" /><Relationship Type="http://schemas.openxmlformats.org/officeDocument/2006/relationships/hyperlink" Target="Machine_Brigade_Can_bang.xlsx" TargetMode="External" Id="rId19" /><Relationship Type="http://schemas.openxmlformats.org/officeDocument/2006/relationships/hyperlink" Target="Machine_Brigade_Can_bang.xlsx" TargetMode="External" Id="rId20" /><Relationship Type="http://schemas.openxmlformats.org/officeDocument/2006/relationships/hyperlink" Target="Machine_Brigade_Can_bang.xlsx" TargetMode="External" Id="rId21" /><Relationship Type="http://schemas.openxmlformats.org/officeDocument/2006/relationships/hyperlink" Target="Machine_Brigade_Can_bang.xlsx" TargetMode="External" Id="rId22" /><Relationship Type="http://schemas.openxmlformats.org/officeDocument/2006/relationships/hyperlink" Target="Machine_Brigade_Can_bang.xlsx" TargetMode="External" Id="rId23" /><Relationship Type="http://schemas.openxmlformats.org/officeDocument/2006/relationships/hyperlink" Target="Machine_Brigade_Can_bang.xlsx" TargetMode="External" Id="rId24" /><Relationship Type="http://schemas.openxmlformats.org/officeDocument/2006/relationships/hyperlink" Target="Machine_Brigade_Can_bang.xlsx" TargetMode="External" Id="rId25" /><Relationship Type="http://schemas.openxmlformats.org/officeDocument/2006/relationships/hyperlink" Target="Machine_Brigade_Can_bang.xlsx" TargetMode="External" Id="rId26" /><Relationship Type="http://schemas.openxmlformats.org/officeDocument/2006/relationships/hyperlink" Target="Machine_Brigade_Can_bang.xlsx" TargetMode="External" Id="rId27" /></Relationships>
</file>

<file path=xl/worksheets/sheet1.xml><?xml version="1.0" encoding="utf-8"?>
<worksheet xmlns="http://schemas.openxmlformats.org/spreadsheetml/2006/main">
  <sheetPr filterMode="0">
    <outlinePr summaryBelow="1" summaryRight="1"/>
    <pageSetUpPr fitToPage="0"/>
  </sheetPr>
  <dimension ref="A1:C2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1" min="1" max="1"/>
    <col width="24" customWidth="1" style="31" min="2" max="2"/>
    <col width="90" customWidth="1" style="31" min="3" max="3"/>
  </cols>
  <sheetData>
    <row r="1" ht="15" customHeight="1" s="32">
      <c r="A1" s="33" t="inlineStr">
        <is>
          <t>Nhóm</t>
        </is>
      </c>
      <c r="B1" s="33" t="inlineStr">
        <is>
          <t>Sheet</t>
        </is>
      </c>
      <c r="C1" s="33" t="inlineStr">
        <is>
          <t>Nội dung</t>
        </is>
      </c>
    </row>
    <row r="2" ht="15" customHeight="1" s="32">
      <c r="A2" s="34" t="inlineStr">
        <is>
          <t>Bắt đầu</t>
        </is>
      </c>
      <c r="B2" s="35" t="inlineStr">
        <is>
          <t>Tổng quan</t>
        </is>
      </c>
      <c r="C2" s="36" t="inlineStr">
        <is>
          <t>Nguồn, nguyên tắc quyết định, vấn đề chung, thang máu boss</t>
        </is>
      </c>
    </row>
    <row r="3" ht="15" customHeight="1" s="32">
      <c r="A3" s="34" t="inlineStr">
        <is>
          <t>Bắt đầu</t>
        </is>
      </c>
      <c r="B3" s="35" t="inlineStr">
        <is>
          <t>Cốt truyện</t>
        </is>
      </c>
      <c r="C3" s="36" t="inlineStr">
        <is>
          <t>Cốt truyện đầy đủ: bối cảnh, nhân vật, 12 chương, 3 chương xen kẽ, phần kết, móc nối</t>
        </is>
      </c>
    </row>
    <row r="4" ht="15" customHeight="1" s="32">
      <c r="A4" s="34" t="inlineStr">
        <is>
          <t>Quyết định</t>
        </is>
      </c>
      <c r="B4" s="35" t="inlineStr">
        <is>
          <t>Thay đổi chi tiết</t>
        </is>
      </c>
      <c r="C4" s="36" t="inlineStr">
        <is>
          <t>Danh sách hành động: mọi thay đổi cụ thể, xếp theo ưu tiên</t>
        </is>
      </c>
    </row>
    <row r="5" ht="15" customHeight="1" s="32">
      <c r="A5" s="34" t="inlineStr">
        <is>
          <t>Quyết định</t>
        </is>
      </c>
      <c r="B5" s="35" t="inlineStr">
        <is>
          <t>Kiểm tra từng mục</t>
        </is>
      </c>
      <c r="C5" s="36" t="inlineStr">
        <is>
          <t>Giữ / Đổi / Xem lại cho từng mục của mọi xe, tháp, boss</t>
        </is>
      </c>
    </row>
    <row r="6" ht="15" customHeight="1" s="32">
      <c r="A6" s="34" t="inlineStr">
        <is>
          <t>Quyết định</t>
        </is>
      </c>
      <c r="B6" s="35" t="inlineStr">
        <is>
          <t>Cân bằng lần 2</t>
        </is>
      </c>
      <c r="C6" s="36" t="inlineStr">
        <is>
          <t>Đánh giá lại sau khi áp đợt 1: còn mạnh, còn yếu, cần theo dõi</t>
        </is>
      </c>
    </row>
    <row r="7" ht="15" customHeight="1" s="32">
      <c r="A7" s="34" t="inlineStr">
        <is>
          <t>Quyết định</t>
        </is>
      </c>
      <c r="B7" s="35" t="inlineStr">
        <is>
          <t>Việc cho agent</t>
        </is>
      </c>
      <c r="C7" s="36" t="inlineStr">
        <is>
          <t>Danh sách việc cho agent code, sheet nguồn và tiêu chí đạt</t>
        </is>
      </c>
    </row>
    <row r="8" ht="15" customHeight="1" s="32">
      <c r="A8" s="34" t="inlineStr">
        <is>
          <t>Đơn vị</t>
        </is>
      </c>
      <c r="B8" s="35" t="inlineStr">
        <is>
          <t>Phương tiện</t>
        </is>
      </c>
      <c r="C8" s="36" t="inlineStr">
        <is>
          <t>Chỉ số, miêu tả, hình dạng cho AI vẽ, đề xuất và lý do</t>
        </is>
      </c>
    </row>
    <row r="9" ht="15" customHeight="1" s="32">
      <c r="A9" s="34" t="inlineStr">
        <is>
          <t>Đơn vị</t>
        </is>
      </c>
      <c r="B9" s="35" t="inlineStr">
        <is>
          <t>Công trình</t>
        </is>
      </c>
      <c r="C9" s="36" t="inlineStr">
        <is>
          <t>Như trên, cho tháp, công trình, nhánh</t>
        </is>
      </c>
    </row>
    <row r="10" ht="15" customHeight="1" s="32">
      <c r="A10" s="34" t="inlineStr">
        <is>
          <t>Đơn vị</t>
        </is>
      </c>
      <c r="B10" s="35" t="inlineStr">
        <is>
          <t>Boss</t>
        </is>
      </c>
      <c r="C10" s="36" t="inlineStr">
        <is>
          <t>Như trên, cho boss và mini boss</t>
        </is>
      </c>
    </row>
    <row r="11" ht="15" customHeight="1" s="32">
      <c r="A11" s="34" t="inlineStr">
        <is>
          <t>Đơn vị</t>
        </is>
      </c>
      <c r="B11" s="35" t="inlineStr">
        <is>
          <t>Boss đề xuất</t>
        </is>
      </c>
      <c r="C11" s="36" t="inlineStr">
        <is>
          <t>Máu, DPS mục tiêu, vũ khí thêm, siêu vũ khí (chỉ boss chủ lực)</t>
        </is>
      </c>
    </row>
    <row r="12" ht="15" customHeight="1" s="32">
      <c r="A12" s="34" t="inlineStr">
        <is>
          <t>Đơn vị</t>
        </is>
      </c>
      <c r="B12" s="35" t="inlineStr">
        <is>
          <t>Tên đề xuất</t>
        </is>
      </c>
      <c r="C12" s="36" t="inlineStr">
        <is>
          <t>Tên đầy đủ, tên ngắn, tên tiếng Anh</t>
        </is>
      </c>
    </row>
    <row r="13" ht="15" customHeight="1" s="32">
      <c r="A13" s="34" t="inlineStr">
        <is>
          <t>Đơn vị</t>
        </is>
      </c>
      <c r="B13" s="35" t="inlineStr">
        <is>
          <t>Kích thước – giá</t>
        </is>
      </c>
      <c r="C13" s="36" t="inlineStr">
        <is>
          <t>Kích thước model so với giá: vật to phải đắt (trừ khi ngoài đời rẻ)</t>
        </is>
      </c>
    </row>
    <row r="14" ht="15" customHeight="1" s="32">
      <c r="A14" s="34" t="inlineStr">
        <is>
          <t>Vũ khí</t>
        </is>
      </c>
      <c r="B14" s="35" t="inlineStr">
        <is>
          <t>Vũ khí đề xuất</t>
        </is>
      </c>
      <c r="C14" s="36" t="inlineStr">
        <is>
          <t>Mọi vũ khí: hiện tại → đề xuất, DPS theo từng cấp giáp (công thức)</t>
        </is>
      </c>
    </row>
    <row r="15" ht="15" customHeight="1" s="32">
      <c r="A15" s="34" t="inlineStr">
        <is>
          <t>Vũ khí</t>
        </is>
      </c>
      <c r="B15" s="35" t="inlineStr">
        <is>
          <t>Đơn vị – vũ khí</t>
        </is>
      </c>
      <c r="C15" s="36" t="inlineStr">
        <is>
          <t>Vũ khí của từng đơn vị và thay đổi bộ vũ khí</t>
        </is>
      </c>
    </row>
    <row r="16" ht="15" customHeight="1" s="32">
      <c r="A16" s="34" t="inlineStr">
        <is>
          <t>Vũ khí</t>
        </is>
      </c>
      <c r="B16" s="35" t="inlineStr">
        <is>
          <t>Tổng DPS đơn vị</t>
        </is>
      </c>
      <c r="C16" s="36" t="inlineStr">
        <is>
          <t>Tổng DPS đề xuất theo đơn vị (công thức)</t>
        </is>
      </c>
    </row>
    <row r="17" ht="15" customHeight="1" s="32">
      <c r="A17" s="34" t="inlineStr">
        <is>
          <t>Vũ khí</t>
        </is>
      </c>
      <c r="B17" s="35" t="inlineStr">
        <is>
          <t>Tốc độ tên lửa</t>
        </is>
      </c>
      <c r="C17" s="36" t="inlineStr">
        <is>
          <t>Tốc độ bay theo tầm game và mục tiêu cần bắt</t>
        </is>
      </c>
    </row>
    <row r="18" ht="15" customHeight="1" s="32">
      <c r="A18" s="34" t="inlineStr">
        <is>
          <t>Vũ khí</t>
        </is>
      </c>
      <c r="B18" s="35" t="inlineStr">
        <is>
          <t>Kích thước đạn</t>
        </is>
      </c>
      <c r="C18" s="36" t="inlineStr">
        <is>
          <t>Kích thước model đạn so với thật</t>
        </is>
      </c>
    </row>
    <row r="19" ht="15" customHeight="1" s="32">
      <c r="A19" s="34" t="inlineStr">
        <is>
          <t>Vũ khí</t>
        </is>
      </c>
      <c r="B19" s="35" t="inlineStr">
        <is>
          <t>Hệ số</t>
        </is>
      </c>
      <c r="C19" s="36" t="inlineStr">
        <is>
          <t>Hệ số loại sát thương và chênh lệch xuyên–giáp dùng trong công thức</t>
        </is>
      </c>
    </row>
    <row r="20" ht="15" customHeight="1" s="32">
      <c r="A20" s="34" t="inlineStr">
        <is>
          <t>Kinh tế</t>
        </is>
      </c>
      <c r="B20" s="35" t="inlineStr">
        <is>
          <t>Giá CP</t>
        </is>
      </c>
      <c r="C20" s="36" t="inlineStr">
        <is>
          <t>Giá theo hiệu quả và giá ngoài đời</t>
        </is>
      </c>
    </row>
    <row r="21" ht="15" customHeight="1" s="32">
      <c r="A21" s="34" t="inlineStr">
        <is>
          <t>Kinh tế</t>
        </is>
      </c>
      <c r="B21" s="35" t="inlineStr">
        <is>
          <t>Thẻ hỗ trợ</t>
        </is>
      </c>
      <c r="C21" s="36" t="inlineStr">
        <is>
          <t>Đề xuất cho thẻ hỗ trợ hiện có</t>
        </is>
      </c>
    </row>
    <row r="22" ht="15" customHeight="1" s="32">
      <c r="A22" s="34" t="inlineStr">
        <is>
          <t>Nội dung mới</t>
        </is>
      </c>
      <c r="B22" s="35" t="inlineStr">
        <is>
          <t>Thẻ hỗ trợ mới</t>
        </is>
      </c>
      <c r="C22" s="36" t="inlineStr">
        <is>
          <t>11 thẻ hỗ trợ mới</t>
        </is>
      </c>
    </row>
    <row r="23" ht="15" customHeight="1" s="32">
      <c r="A23" s="34" t="inlineStr">
        <is>
          <t>Nội dung mới</t>
        </is>
      </c>
      <c r="B23" s="35" t="inlineStr">
        <is>
          <t>Đề xuất thêm</t>
        </is>
      </c>
      <c r="C23" s="36" t="inlineStr">
        <is>
          <t>Phương tiện và công trình mới (56 mục)</t>
        </is>
      </c>
    </row>
    <row r="24" ht="15" customHeight="1" s="32">
      <c r="A24" s="34" t="inlineStr">
        <is>
          <t>Nội dung mới</t>
        </is>
      </c>
      <c r="B24" s="35" t="inlineStr">
        <is>
          <t>Công trình mới</t>
        </is>
      </c>
      <c r="C24" s="36" t="inlineStr">
        <is>
          <t>Công trình mới có đủ chỉ số và DPS</t>
        </is>
      </c>
    </row>
    <row r="25" ht="15" customHeight="1" s="32">
      <c r="A25" s="34" t="inlineStr">
        <is>
          <t>Nội dung mới</t>
        </is>
      </c>
      <c r="B25" s="35" t="inlineStr">
        <is>
          <t>Tên lửa &amp; bom mới</t>
        </is>
      </c>
      <c r="C25" s="36" t="inlineStr">
        <is>
          <t>Đạn, tên lửa, bom mới có đủ chỉ số</t>
        </is>
      </c>
    </row>
    <row r="26" ht="15" customHeight="1" s="32">
      <c r="A26" s="34" t="inlineStr">
        <is>
          <t>Nội dung mới</t>
        </is>
      </c>
      <c r="B26" s="35" t="inlineStr">
        <is>
          <t>Boss mới</t>
        </is>
      </c>
      <c r="C26" s="36" t="inlineStr">
        <is>
          <t>8 boss mới (4 chủ lực, 4 mini)</t>
        </is>
      </c>
    </row>
    <row r="27" ht="15" customHeight="1" s="32">
      <c r="A27" s="34" t="inlineStr">
        <is>
          <t>Tham chiếu</t>
        </is>
      </c>
      <c r="B27" s="35" t="inlineStr">
        <is>
          <t>Tỷ lệ map</t>
        </is>
      </c>
      <c r="C27" s="36" t="inlineStr">
        <is>
          <t>Hệ số kích thước, tốc độ, tầm theo map</t>
        </is>
      </c>
    </row>
    <row r="28" ht="15" customHeight="1" s="32">
      <c r="A28" s="34" t="inlineStr">
        <is>
          <t>Tham chiếu</t>
        </is>
      </c>
      <c r="B28" s="35" t="inlineStr">
        <is>
          <t>Hướng dẫn vẽ</t>
        </is>
      </c>
      <c r="C28" s="36" t="inlineStr">
        <is>
          <t>Quy trình và mẫu prompt để dựng model chất lượng cao</t>
        </is>
      </c>
    </row>
  </sheetData>
  <hyperlinks>
    <hyperlink xmlns:r="http://schemas.openxmlformats.org/officeDocument/2006/relationships" ref="B2" location="'Tổng%20quan'!A1" display="Tổng quan" r:id="rId1"/>
    <hyperlink xmlns:r="http://schemas.openxmlformats.org/officeDocument/2006/relationships" ref="B3" location="'Cốt%20truyện'!A1" display="Cốt truyện" r:id="rId2"/>
    <hyperlink xmlns:r="http://schemas.openxmlformats.org/officeDocument/2006/relationships" ref="B4" location="'Thay%20đổi%20chi%20tiết'!A1" display="Thay đổi chi tiết" r:id="rId3"/>
    <hyperlink xmlns:r="http://schemas.openxmlformats.org/officeDocument/2006/relationships" ref="B5" location="'Kiểm%20tra%20từng%20mục'!A1" display="Kiểm tra từng mục" r:id="rId4"/>
    <hyperlink xmlns:r="http://schemas.openxmlformats.org/officeDocument/2006/relationships" ref="B6" location="'Cân%20bằng%20lần%202'!A1" display="Cân bằng lần 2" r:id="rId5"/>
    <hyperlink xmlns:r="http://schemas.openxmlformats.org/officeDocument/2006/relationships" ref="B7" location="'Việc%20cho%20agent'!A1" display="Việc cho agent" r:id="rId6"/>
    <hyperlink xmlns:r="http://schemas.openxmlformats.org/officeDocument/2006/relationships" ref="B8" location="'Phương%20tiện'!A1" display="Phương tiện" r:id="rId7"/>
    <hyperlink xmlns:r="http://schemas.openxmlformats.org/officeDocument/2006/relationships" ref="B9" location="'Công%20trình'!A1" display="Công trình" r:id="rId8"/>
    <hyperlink xmlns:r="http://schemas.openxmlformats.org/officeDocument/2006/relationships" ref="B10" location="'Boss'!A1" display="Boss" r:id="rId9"/>
    <hyperlink xmlns:r="http://schemas.openxmlformats.org/officeDocument/2006/relationships" ref="B11" location="'Boss%20đề%20xuất'!A1" display="Boss đề xuất" r:id="rId10"/>
    <hyperlink xmlns:r="http://schemas.openxmlformats.org/officeDocument/2006/relationships" ref="B12" location="'Tên%20đề%20xuất'!A1" display="Tên đề xuất" r:id="rId11"/>
    <hyperlink xmlns:r="http://schemas.openxmlformats.org/officeDocument/2006/relationships" ref="B13" location="'Kích%20thước%20–%20giá'!A1" display="Kích thước – giá" r:id="rId12"/>
    <hyperlink xmlns:r="http://schemas.openxmlformats.org/officeDocument/2006/relationships" ref="B14" location="'Vũ%20khí%20đề%20xuất'!A1" display="Vũ khí đề xuất" r:id="rId13"/>
    <hyperlink xmlns:r="http://schemas.openxmlformats.org/officeDocument/2006/relationships" ref="B15" location="'Đơn%20vị%20–%20vũ%20khí'!A1" display="Đơn vị – vũ khí" r:id="rId14"/>
    <hyperlink xmlns:r="http://schemas.openxmlformats.org/officeDocument/2006/relationships" ref="B16" location="'Tổng%20DPS%20đơn%20vị'!A1" display="Tổng DPS đơn vị" r:id="rId15"/>
    <hyperlink xmlns:r="http://schemas.openxmlformats.org/officeDocument/2006/relationships" ref="B17" location="'Tốc%20độ%20tên%20lửa'!A1" display="Tốc độ tên lửa" r:id="rId16"/>
    <hyperlink xmlns:r="http://schemas.openxmlformats.org/officeDocument/2006/relationships" ref="B18" location="'Kích%20thước%20đạn'!A1" display="Kích thước đạn" r:id="rId17"/>
    <hyperlink xmlns:r="http://schemas.openxmlformats.org/officeDocument/2006/relationships" ref="B19" location="'Hệ%20số'!A1" display="Hệ số" r:id="rId18"/>
    <hyperlink xmlns:r="http://schemas.openxmlformats.org/officeDocument/2006/relationships" ref="B20" location="'Giá%20CP'!A1" display="Giá CP" r:id="rId19"/>
    <hyperlink xmlns:r="http://schemas.openxmlformats.org/officeDocument/2006/relationships" ref="B21" location="'Thẻ%20hỗ%20trợ'!A1" display="Thẻ hỗ trợ" r:id="rId20"/>
    <hyperlink xmlns:r="http://schemas.openxmlformats.org/officeDocument/2006/relationships" ref="B22" location="'Thẻ%20hỗ%20trợ%20mới'!A1" display="Thẻ hỗ trợ mới" r:id="rId21"/>
    <hyperlink xmlns:r="http://schemas.openxmlformats.org/officeDocument/2006/relationships" ref="B23" location="'Đề%20xuất%20thêm'!A1" display="Đề xuất thêm" r:id="rId22"/>
    <hyperlink xmlns:r="http://schemas.openxmlformats.org/officeDocument/2006/relationships" ref="B24" location="'Công%20trình%20mới'!A1" display="Công trình mới" r:id="rId23"/>
    <hyperlink xmlns:r="http://schemas.openxmlformats.org/officeDocument/2006/relationships" ref="B25" location="'Tên%20lửa%20&amp;%20bom%20mới'!A1" display="Tên lửa &amp; bom mới" r:id="rId24"/>
    <hyperlink xmlns:r="http://schemas.openxmlformats.org/officeDocument/2006/relationships" ref="B26" location="'Boss%20mới'!A1" display="Boss mới" r:id="rId25"/>
    <hyperlink xmlns:r="http://schemas.openxmlformats.org/officeDocument/2006/relationships" ref="B27" location="'Tỷ%20lệ%20map'!A1" display="Tỷ lệ map" r:id="rId26"/>
    <hyperlink xmlns:r="http://schemas.openxmlformats.org/officeDocument/2006/relationships" ref="B28" location="'Hướng%20dẫn%20vẽ'!A1" display="Hướng dẫn vẽ"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31" min="1" max="1"/>
    <col width="160" customWidth="1" style="31" min="2" max="2"/>
  </cols>
  <sheetData>
    <row r="1" ht="42" customHeight="1" s="32">
      <c r="A1" s="37" t="inlineStr">
        <is>
          <t>Rà soát cân bằng Machine Brigade (bản 2)</t>
        </is>
      </c>
      <c r="B1" s="37" t="n"/>
    </row>
    <row r="2" ht="21.75" customHeight="1" s="32">
      <c r="A2" s="38" t="inlineStr">
        <is>
          <t>Nguồn</t>
        </is>
      </c>
      <c r="B2" s="39" t="inlineStr">
        <is>
          <t>Machine_Brigade_Design_Review_1.pdf (264 trang): thẻ phần 8 và 11; bảng 9, 9b (giá trị thực chiến), 10b (nhịp bắn, đường đạn, di chuyển), 10c (tầm nổ), 12 (thẻ hỗ trợ). Giá và thông số ngoài đời là ước lượng từ thông tin công khai, chỉ dùng để so thứ tự tương đối.</t>
        </is>
      </c>
    </row>
    <row r="3" ht="53.25" customHeight="1" s="32">
      <c r="A3" s="40" t="inlineStr">
        <is>
          <t>Cách đọc</t>
        </is>
      </c>
      <c r="B3" s="41" t="inlineStr">
        <is>
          <t>Sheet "Vũ khí đề xuất" có mọi vũ khí (154) với số hiện tại và đề xuất cho sát thương, chế độ bắn, viên/s, số viên mỗi băng hoặc loạt, thời gian nạp, tầm, tốc độ bay, nổ lan, và DPS đề xuất theo từng cấp giáp 0–5, trên không, công trình (công thức). Sheet "Đơn vị – vũ khí" và "Tổng DPS đơn vị" cộng DPS theo từng xe, tháp, boss. Sheet "Boss đề xuất": máu, DPS mục tiêu, vũ khí thêm, siêu vũ khí (chỉ boss chủ lực; mini boss bỏ đòn lớn). Sheet "Công trình mới" và "Tên lửa &amp; bom mới" có đủ chỉ số. Sheet "Kiểm tra từng mục" đi qua mọi mục của mọi xe, tháp, boss (tên, máu, giáp từng mặt, tốc độ, tốc độ xoay, kích thước, tầm nhìn, tầm bắn, giá, vũ khí, hành vi, nổ khi bị phá, tham khảo) và ghi Giữ / Đổi / Xem lại kèm lý do. Sheet "Thay đổi chi tiết" là danh sách hành động: mỗi dòng một thay đổi cụ thể (vũ khí thêm/bỏ/đổi, cỡ nòng, sát thương, nhịp, tầm, giáp, máu, tốc độ, giá, hành vi) kèm lý do. Các sheet Phương tiện, Công trình, Boss, Vũ khí tổng hợp lại theo từng đơn vị. Các cột có công thức tự tính lại khi sửa số.</t>
        </is>
      </c>
    </row>
    <row r="4" ht="15" customHeight="1" s="32">
      <c r="A4" s="39" t="n"/>
      <c r="B4" s="39" t="n"/>
    </row>
    <row r="5" ht="15" customHeight="1" s="32">
      <c r="A5" s="40" t="inlineStr">
        <is>
          <t>NGUYÊN TẮC DÙNG ĐỂ QUYẾT</t>
        </is>
      </c>
      <c r="B5" s="41" t="n"/>
    </row>
    <row r="6" ht="32.25" customHeight="1" s="32">
      <c r="A6" s="38" t="inlineStr">
        <is>
          <t>Tốc độ tên lửa</t>
        </is>
      </c>
      <c r="B6" s="39" t="inlineStr">
        <is>
          <t>Tính từ lúc phóng tới lúc trúng trong tầm của game (đã nén rất nhiều so với ngoài đời), không dùng Mach thật. Hai điều kiện: (1) tên lửa phòng không và không đối không phải nhanh hơn mục tiêu nhanh nhất nó cần bắt khoảng 1,2–1,5 lần (tiêm kích bay 40 m/s, drone hộ vệ 46 m/s, trong khi tên lửa hiện chỉ 24 m/s); (2) thời gian bay tới tầm tối đa khoảng 0,6–2 giây, để vẫn nhìn thấy, vẫn bị pháo sáng và APS đánh chặn. Tên lửa chống tăng lái bằng dây cố ý chậm (khoảng 2 s) để khói, APS và né có tác dụng; tên lửa hành trình và Shahed cố ý chậm để phòng không có cơ hội. Chi tiết ở sheet "Tốc độ tên lửa".</t>
        </is>
      </c>
    </row>
    <row r="7" ht="21.75" customHeight="1" s="32">
      <c r="A7" s="40" t="inlineStr">
        <is>
          <t>Giá (CP)</t>
        </is>
      </c>
      <c r="B7" s="41" t="inlineStr">
        <is>
          <t>Quyết theo hai yếu tố: (1) tác động lên trận đấu, đo bằng giá trị thực chiến trên mỗi CP so với trung vị của cùng vai trò (sheet "Giá CP"); (2) chi phí sản xuất ngoài đời, chỉ để giữ thứ tự hợp lý trong cùng vai trò (đồ rẻ ngoài đời không nên đắt trong game và ngược lại), không quy đổi thẳng vì chênh lệch ngoài đời quá lớn (B-2 đắt gấp hàng trăm lần một chiếc tăng).</t>
        </is>
      </c>
    </row>
    <row r="8" ht="15" customHeight="1" s="32">
      <c r="A8" s="38" t="inlineStr">
        <is>
          <t>Bán kính nổ</t>
        </is>
      </c>
      <c r="B8" s="39" t="inlineStr">
        <is>
          <t>Bán kính ≈ 10 m × (khối lượng/500 kg)^(1/3), lấy FAB-500 = 10 m làm mốc; cùng một loại đạn phải cùng bán kính ở mọi đơn vị.</t>
        </is>
      </c>
    </row>
    <row r="9" ht="15" customHeight="1" s="32">
      <c r="A9" s="40" t="inlineStr">
        <is>
          <t>Nhịp bắn</t>
        </is>
      </c>
      <c r="B9" s="41" t="inlineStr">
        <is>
          <t>Giữ DPS duy trì như hiện tại, nhưng đổi nhịp bắn (viên/s, loạt, nghỉ) cho giống vũ khí thật, để mỗi vũ khí có cảm giác riêng (luồng đạn CIWS, loạt pháo tự động, phát đơn pháo tăng).</t>
        </is>
      </c>
    </row>
    <row r="10" ht="15" customHeight="1" s="32">
      <c r="A10" s="38" t="inlineStr">
        <is>
          <t>Sát thương mỗi phát</t>
        </is>
      </c>
      <c r="B10" s="39" t="inlineStr">
        <is>
          <t>Theo thang cỡ nòng và đầu nổ của prompt 13 (không đổi trong bản này, trừ chỗ ghi rõ).</t>
        </is>
      </c>
    </row>
    <row r="11" ht="21.75" customHeight="1" s="32">
      <c r="A11" s="41" t="inlineStr">
        <is>
          <t>Kích thước</t>
        </is>
      </c>
      <c r="B11" s="41" t="inlineStr">
        <is>
          <t>Xe mặt đất 0,8 × kích thước thật; máy bay và trực thăng 0,4 × thật (sải cánh / rô-to); đạn phóng từ mặt đất 0,8 ×, từ máy bay 0,5 ×, tối thiểu 0,8 m; boss theo thiết kế (×1,3–1,5 so với mẫu), trùm cuối là vật thể lớn nhất. Nổ khi bị phá ≈ 3 m + 0,45 × chiều dài xe (+3 m nếu chở nhiều đạn). Hiệu ứng nổ trên màn hình phải bằng bán kính gây sát thương. Xem sheet Tỷ lệ map.</t>
        </is>
      </c>
    </row>
    <row r="12" ht="15" customHeight="1" s="32">
      <c r="A12" s="39" t="inlineStr">
        <is>
          <t>Tên</t>
        </is>
      </c>
      <c r="B12" s="39" t="inlineStr">
        <is>
          <t>Tên thẻ mô tả vai trò bằng tiếng Việt, không chứa tên mẫu thật (tên mẫu thật để ở dòng phụ theo ngụy trang); có tên ngắn cho HUD và tên tiếng Anh; một đơn vị chỉ một tên ở mọi bảng. Xem sheet Tên đề xuất.</t>
        </is>
      </c>
    </row>
    <row r="13" ht="15" customHeight="1" s="32">
      <c r="A13" s="41" t="n"/>
      <c r="B13" s="41" t="n"/>
    </row>
    <row r="14" ht="15" customHeight="1" s="32">
      <c r="A14" s="38" t="inlineStr">
        <is>
          <t>VẤN ĐỀ CHUNG</t>
        </is>
      </c>
      <c r="B14" s="39" t="n"/>
    </row>
    <row r="15" ht="15" customHeight="1" s="32">
      <c r="A15" s="40" t="inlineStr">
        <is>
          <t>1. Tên lửa chậm hơn mục tiêu</t>
        </is>
      </c>
      <c r="B15" s="41" t="inlineStr">
        <is>
          <t>Mọi tên lửa phòng không và không đối không bay 24 m/s, chậm hơn tiêm kích (40) và drone hộ vệ (46). Kh-29L và R-60 chỉ 10 m/s.</t>
        </is>
      </c>
    </row>
    <row r="16" ht="15" customHeight="1" s="32">
      <c r="A16" s="38" t="inlineStr">
        <is>
          <t>2. Cùng vũ khí, khác tốc độ</t>
        </is>
      </c>
      <c r="B16" s="39" t="inlineStr">
        <is>
          <t>S-8 (20/27/48), Hydra (48/38), Grad (24/52/55), GMLRS (24/52), TOS (24/45), Hellfire (12/21/24), Lancet (28/16), FPV (26/18).</t>
        </is>
      </c>
    </row>
    <row r="17" ht="15" customHeight="1" s="32">
      <c r="A17" s="40" t="inlineStr">
        <is>
          <t>3. Bán kính nổ ngược khối lượng</t>
        </is>
      </c>
      <c r="B17" s="41" t="inlineStr">
        <is>
          <t>Kh-101 400 kg (6 m) và JASSM 450 kg (5 m) nổ nhỏ hơn FAB-250 (8 m); pháo 460 mm (7 m) nhỏ hơn cối 240 mm (9 m); 155 mm có 4 giá trị khác nhau.</t>
        </is>
      </c>
    </row>
    <row r="18" ht="15" customHeight="1" s="32">
      <c r="A18" s="38" t="inlineStr">
        <is>
          <t>4. Phòng không tháp ngược cỡ ô</t>
        </is>
      </c>
      <c r="B18" s="39" t="inlineStr">
        <is>
          <t>Tháp ô nhỏ 300, Patriot ô lớn 188.</t>
        </is>
      </c>
    </row>
    <row r="19" ht="15" customHeight="1" s="32">
      <c r="A19" s="40" t="inlineStr">
        <is>
          <t>5. Máu boss ngược thứ bậc</t>
        </is>
      </c>
      <c r="B19" s="41" t="inlineStr">
        <is>
          <t>Trùm cuối ít máu hơn boss chương 5; boss chủ lực chương 11 ít máu hơn nhiều mini boss; boss chương 1 gần bằng boss cuối game.</t>
        </is>
      </c>
    </row>
    <row r="20" ht="15" customHeight="1" s="32">
      <c r="A20" s="38" t="inlineStr">
        <is>
          <t>6. Mâu thuẫn với danh sách giữ lại</t>
        </is>
      </c>
      <c r="B20" s="39" t="inlineStr">
        <is>
          <t>Pháo tự hành dùng model CAESAR; Tăng hạng nặng tham khảo T-14.</t>
        </is>
      </c>
    </row>
    <row r="21" ht="15" customHeight="1" s="32">
      <c r="A21" s="40" t="inlineStr">
        <is>
          <t>7. Tham khảo lệch vũ khí</t>
        </is>
      </c>
      <c r="B21" s="41" t="inlineStr">
        <is>
          <t>Tháp phòng không (GDF 35 mm / 2A38 30 mm), nhánh tên lửa ô nhỏ (Buk), Scylla (pháo 460 mm), Icarus (pháo xe tăng), Mi-24 (Hellfire của Mỹ).</t>
        </is>
      </c>
    </row>
    <row r="22" ht="15" customHeight="1" s="32">
      <c r="A22" s="38" t="inlineStr">
        <is>
          <t>8. Ô nhỏ thiếu chống tăng</t>
        </is>
      </c>
      <c r="B22" s="39" t="inlineStr">
        <is>
          <t>Ô nhỏ có chống xe nhẹ, phòng không, EW, chướng ngại, kinh tế, nhưng không có tháp chống tăng (trừ bãi mìn). Xem "Ụ pháo chống tăng" ở sheet Đề xuất thêm.</t>
        </is>
      </c>
    </row>
    <row r="23" ht="15" customHeight="1" s="32">
      <c r="A23" s="40" t="inlineStr">
        <is>
          <t>9. Bảng 9b thiếu xe hỗ trợ</t>
        </is>
      </c>
      <c r="B23" s="41" t="inlineStr">
        <is>
          <t>Xe hỗ trợ có giá trị 0. Cần chỉ số "giá trị hỗ trợ" (máu sửa, đạn nạp, tên lửa hút, sát thương khiên chặn).</t>
        </is>
      </c>
    </row>
    <row r="24" ht="15" customHeight="1" s="32">
      <c r="A24" s="39" t="n"/>
      <c r="B24" s="39" t="n"/>
    </row>
    <row r="25" ht="15" customHeight="1" s="32">
      <c r="A25" s="41" t="inlineStr">
        <is>
          <t>THANG MÁU BOSS CHỦ LỰC (gốc, trước scale)</t>
        </is>
      </c>
      <c r="B25" s="41" t="inlineStr">
        <is>
          <t>Mini boss khoảng 45–60% boss chủ lực cùng chương.</t>
        </is>
      </c>
    </row>
    <row r="26" ht="15" customHeight="1" s="32">
      <c r="A26" s="39" t="inlineStr">
        <is>
          <t>Chương 1</t>
        </is>
      </c>
      <c r="B26" s="42" t="n">
        <v>12000</v>
      </c>
    </row>
    <row r="27" ht="15" customHeight="1" s="32">
      <c r="A27" s="41" t="inlineStr">
        <is>
          <t>Chương 2</t>
        </is>
      </c>
      <c r="B27" s="43" t="n">
        <v>13000</v>
      </c>
    </row>
    <row r="28" ht="15" customHeight="1" s="32">
      <c r="A28" s="39" t="inlineStr">
        <is>
          <t>Chương 3</t>
        </is>
      </c>
      <c r="B28" s="42" t="n">
        <v>15000</v>
      </c>
    </row>
    <row r="29" ht="15" customHeight="1" s="32">
      <c r="A29" s="41" t="inlineStr">
        <is>
          <t>Chương 4</t>
        </is>
      </c>
      <c r="B29" s="43" t="n">
        <v>17000</v>
      </c>
    </row>
    <row r="30" ht="15" customHeight="1" s="32">
      <c r="A30" s="39" t="inlineStr">
        <is>
          <t>Chương 5</t>
        </is>
      </c>
      <c r="B30" s="42" t="n">
        <v>18000</v>
      </c>
    </row>
    <row r="31" ht="15" customHeight="1" s="32">
      <c r="A31" s="41" t="inlineStr">
        <is>
          <t>Chương 6</t>
        </is>
      </c>
      <c r="B31" s="43" t="n">
        <v>19000</v>
      </c>
    </row>
    <row r="32" ht="15" customHeight="1" s="32">
      <c r="A32" s="39" t="inlineStr">
        <is>
          <t>Chương 7</t>
        </is>
      </c>
      <c r="B32" s="42" t="n">
        <v>20000</v>
      </c>
    </row>
    <row r="33" ht="15" customHeight="1" s="32">
      <c r="A33" s="41" t="inlineStr">
        <is>
          <t>Chương 8</t>
        </is>
      </c>
      <c r="B33" s="43" t="n">
        <v>21000</v>
      </c>
    </row>
    <row r="34" ht="15" customHeight="1" s="32">
      <c r="A34" s="39" t="inlineStr">
        <is>
          <t>Chương 9</t>
        </is>
      </c>
      <c r="B34" s="42" t="n">
        <v>22000</v>
      </c>
    </row>
    <row r="35" ht="15" customHeight="1" s="32">
      <c r="A35" s="41" t="inlineStr">
        <is>
          <t>Chương 10</t>
        </is>
      </c>
      <c r="B35" s="43" t="n">
        <v>23000</v>
      </c>
    </row>
    <row r="36" ht="15" customHeight="1" s="32">
      <c r="A36" s="39" t="inlineStr">
        <is>
          <t>Chương 11</t>
        </is>
      </c>
      <c r="B36" s="42" t="n">
        <v>24000</v>
      </c>
    </row>
    <row r="37" ht="15" customHeight="1" s="32">
      <c r="A37" s="41" t="inlineStr">
        <is>
          <t>Chương 12</t>
        </is>
      </c>
      <c r="B37" s="43" t="n">
        <v>26000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1" min="1" max="1"/>
    <col width="40" customWidth="1" style="31" min="2" max="2"/>
    <col width="150" customWidth="1" style="31" min="3" max="3"/>
  </cols>
  <sheetData>
    <row r="1" ht="42" customHeight="1" s="32">
      <c r="A1" s="37" t="inlineStr">
        <is>
          <t>Phần</t>
        </is>
      </c>
      <c r="B1" s="37" t="inlineStr">
        <is>
          <t>Mục</t>
        </is>
      </c>
      <c r="C1" s="37" t="inlineStr">
        <is>
          <t>Nội dung</t>
        </is>
      </c>
    </row>
    <row r="2" ht="21.75" customHeight="1" s="32">
      <c r="A2" s="39" t="inlineStr">
        <is>
          <t>Bối cảnh</t>
        </is>
      </c>
      <c r="B2" s="39" t="inlineStr">
        <is>
          <t>Thế giới</t>
        </is>
      </c>
      <c r="C2" s="39" t="inlineStr">
        <is>
          <t>Tương lai gần. Meridian Coast là vùng ven biển giàu dầu mỏ và khoáng sản. Sau khi chính quyền trong vùng sụp đổ, một tập đoàn khai khoáng thuê Hegemon, tập đoàn quân sự tư nhân lớn nhất thế giới, để "giữ ổn định". Trong hai năm, Hegemon trở thành thế lực chiếm đóng và biến cả vùng thành nơi thử nghiệm vũ khí.</t>
        </is>
      </c>
    </row>
    <row r="3" ht="21.75" customHeight="1" s="32">
      <c r="A3" s="41" t="inlineStr">
        <is>
          <t>Bối cảnh</t>
        </is>
      </c>
      <c r="B3" s="41" t="inlineStr">
        <is>
          <t>Phe ta</t>
        </is>
      </c>
      <c r="C3" s="41" t="inlineStr">
        <is>
          <t>Các tỉnh còn lại lập ra Meridian Accord. Lực lượng mạnh nhất là 7th Mechanized Brigade ("Machine Brigade"), chỉ gồm phương tiện, đánh bằng thả dù và tốc độ. Người chơi là chỉ huy chiến trường của lữ đoàn.</t>
        </is>
      </c>
    </row>
    <row r="4" ht="15" customHeight="1" s="32">
      <c r="A4" s="39" t="inlineStr">
        <is>
          <t>Bối cảnh</t>
        </is>
      </c>
      <c r="B4" s="39" t="inlineStr">
        <is>
          <t>Mối đe dọa</t>
        </is>
      </c>
      <c r="C4" s="39" t="inlineStr">
        <is>
          <t>Dự án Icarus của Director Lucien Aurel: vũ khí quỹ đạo có thể tấn công bất kỳ điểm nào trên mặt đất mà không ai chạm tới được.</t>
        </is>
      </c>
    </row>
    <row r="5" ht="15" customHeight="1" s="32">
      <c r="A5" s="41" t="inlineStr">
        <is>
          <t>Mở đầu</t>
        </is>
      </c>
      <c r="B5" s="41" t="inlineStr">
        <is>
          <t>Cảnh nhảy tới tương lai</t>
        </is>
      </c>
      <c r="C5" s="41" t="inlineStr">
        <is>
          <t>Vài giây của cảnh cuối: bầu trời Helion, thanh tungsten rơi xuống, giọng Aurel: "Họ vẫn chưa hiểu." Cắt về Stormbeach, ba năm trước.</t>
        </is>
      </c>
    </row>
    <row r="6" ht="15" customHeight="1" s="32">
      <c r="A6" s="39" t="inlineStr">
        <is>
          <t>Nhân vật</t>
        </is>
      </c>
      <c r="B6" s="39" t="inlineStr">
        <is>
          <t>Colonel Marcus Kade "Iron"</t>
        </is>
      </c>
      <c r="C6" s="39" t="inlineStr">
        <is>
          <t>Chỉ huy trực tiếp, giọng chính trên thoại. Bình tĩnh, thực dụng, tin vào lữ đoàn hơn các chính trị gia. Đền đáp ở phần kết: từ chối ghế chính phủ, ở lại với lữ đoàn.</t>
        </is>
      </c>
    </row>
    <row r="7" ht="15" customHeight="1" s="32">
      <c r="A7" s="41" t="inlineStr">
        <is>
          <t>Nhân vật</t>
        </is>
      </c>
      <c r="B7" s="41" t="inlineStr">
        <is>
          <t>Engineer Mara Lind</t>
        </is>
      </c>
      <c r="C7" s="41" t="inlineStr">
        <is>
          <t>Phụ trách căn cứ. Từng thiết kế Behemoth cho Hegemon, bỏ đi vì mặc cảm. Đối mặt Behemoth Mk.0 do chính mình thiết kế (Xen kẽ I). Đền đáp: Behemoth bà sửa lại chiến đấu cùng lữ đoàn ở Helion.</t>
        </is>
      </c>
    </row>
    <row r="8" ht="15" customHeight="1" s="32">
      <c r="A8" s="39" t="inlineStr">
        <is>
          <t>Nhân vật</t>
        </is>
      </c>
      <c r="B8" s="39" t="inlineStr">
        <is>
          <t>Lieutenant Jonah Reyes "Hawk"</t>
        </is>
      </c>
      <c r="C8" s="39" t="inlineStr">
        <is>
          <t>Chỉ huy không quân. Có món nợ với Raven, người bắn hạ đồng đội cũ của anh. Bị bắn rơi sau chiến tuyến (Xen kẽ III); đấu tay đôi với Raven và bắn phát cuối hạ Roc (chương 10).</t>
        </is>
      </c>
    </row>
    <row r="9" ht="15" customHeight="1" s="32">
      <c r="A9" s="41" t="inlineStr">
        <is>
          <t>Nhân vật</t>
        </is>
      </c>
      <c r="B9" s="41" t="inlineStr">
        <is>
          <t>Captain Nadia Kerr</t>
        </is>
      </c>
      <c r="C9" s="41" t="inlineStr">
        <is>
          <t>Sĩ quan tình báo, giao nhiệm vụ phụ, giải mã dự án địch. Cài manh mối về Thorne từ chương 4; phát hiện cú phản bội đầu tiên ở chương 7.</t>
        </is>
      </c>
    </row>
    <row r="10" ht="15" customHeight="1" s="32">
      <c r="A10" s="39" t="inlineStr">
        <is>
          <t>Nhân vật</t>
        </is>
      </c>
      <c r="B10" s="39" t="inlineStr">
        <is>
          <t>Major Brandt</t>
        </is>
      </c>
      <c r="C10" s="39" t="inlineStr">
        <is>
          <t>Chỉ huy đồn trú bờ biển phía tây, tin tuyệt đối vào pháo đài. Đầu hàng ở chương 1, quay lại giúp phe ta phòng thủ ở chương 6 (mở chỉ huy "Bulwark").</t>
        </is>
      </c>
    </row>
    <row r="11" ht="15" customHeight="1" s="32">
      <c r="A11" s="41" t="inlineStr">
        <is>
          <t>Nhân vật</t>
        </is>
      </c>
      <c r="B11" s="41" t="inlineStr">
        <is>
          <t>General Viktor Varga "Anvil"</t>
        </is>
      </c>
      <c r="C11" s="41" t="inlineStr">
        <is>
          <t>Tướng thiết giáp, cha đẻ Behemoth; già, trọng danh dự, tôn trọng người chơi. Ngừng bắn với Kade để sơ tán Hollow Dam (chương 6). Ngã xuống ở Helion.</t>
        </is>
      </c>
    </row>
    <row r="12" ht="15" customHeight="1" s="32">
      <c r="A12" s="39" t="inlineStr">
        <is>
          <t>Nhân vật</t>
        </is>
      </c>
      <c r="B12" s="39" t="inlineStr">
        <is>
          <t>Colonel Ilya Orlov "Winter"</t>
        </is>
      </c>
      <c r="C12" s="39" t="inlineStr">
        <is>
          <t>Tướng pháo binh, lạnh lùng, thích thắng từ xa. Rút lui ở chương 3 ("Mùa đông luôn quay lại"), trận cuối với Gungnir ở chương 11.</t>
        </is>
      </c>
    </row>
    <row r="13" ht="15" customHeight="1" s="32">
      <c r="A13" s="41" t="inlineStr">
        <is>
          <t>Nhân vật</t>
        </is>
      </c>
      <c r="B13" s="41" t="inlineStr">
        <is>
          <t>Admiral Magnus Kessler "Maelstrom"</t>
        </is>
      </c>
      <c r="C13" s="41" t="inlineStr">
        <is>
          <t>Hậu cần và hải quân, coi chiến tranh là bảng lãi lỗ. Mất hạm đội ở chương 4, liên kết với Thorne ở chương 9, thương lượng tới phút cuối ở Helion.</t>
        </is>
      </c>
    </row>
    <row r="14" ht="15" customHeight="1" s="32">
      <c r="A14" s="39" t="inlineStr">
        <is>
          <t>Nhân vật</t>
        </is>
      </c>
      <c r="B14" s="39" t="inlineStr">
        <is>
          <t>Dr. Elara Venn "Queen"</t>
        </is>
      </c>
      <c r="C14" s="39" t="inlineStr">
        <is>
          <t>Nhà khoa học bầy drone, thiết kế cho cứu hộ thiên tai. Đầu hàng và đào ngũ ở cuối chương 5; bị cả hai phe săn (Xen kẽ II); mở chỉ huy drone.</t>
        </is>
      </c>
    </row>
    <row r="15" ht="15" customHeight="1" s="32">
      <c r="A15" s="41" t="inlineStr">
        <is>
          <t>Nhân vật</t>
        </is>
      </c>
      <c r="B15" s="41" t="inlineStr">
        <is>
          <t>Kasimir Wolff "Raven"</t>
        </is>
      </c>
      <c r="C15" s="41" t="inlineStr">
        <is>
          <t>Phi công át chủ bài của Hegemon, kiêu ngạo. Lái Morrigan; bị hạ ở chương 10.</t>
        </is>
      </c>
    </row>
    <row r="16" ht="15" customHeight="1" s="32">
      <c r="A16" s="39" t="inlineStr">
        <is>
          <t>Nhân vật</t>
        </is>
      </c>
      <c r="B16" s="39" t="inlineStr">
        <is>
          <t>Director Lucien Aurel "Sol"</t>
        </is>
      </c>
      <c r="C16" s="39" t="inlineStr">
        <is>
          <t>Người đứng đầu Dự án Icarus. Tin ai kiểm soát bầu trời sẽ kiểm soát thế giới. Chiến đấu tới cùng trong xác Icarus.</t>
        </is>
      </c>
    </row>
    <row r="17" ht="15" customHeight="1" s="32">
      <c r="A17" s="41" t="inlineStr">
        <is>
          <t>Nhân vật</t>
        </is>
      </c>
      <c r="B17" s="41" t="inlineStr">
        <is>
          <t>General Roland Thorne "Titan"</t>
        </is>
      </c>
      <c r="C17" s="41" t="inlineStr">
        <is>
          <t>Chỉ huy đồng minh lớn nhất của Accord, phản bội ở chương 7 vì tin Accord chắc chắn thua khi Icarus hoạt động; Aurel hứa trao quyền cai quản Meridian Coast. Bị hạ ở chương 9, để ngỏ việc còn sống.</t>
        </is>
      </c>
    </row>
    <row r="18" ht="21.75" customHeight="1" s="32">
      <c r="A18" s="39" t="inlineStr">
        <is>
          <t>Hồi I · Landfall</t>
        </is>
      </c>
      <c r="B18" s="39" t="inlineStr">
        <is>
          <t>Chương 1 · Coast of Fire (8 + 1)</t>
        </is>
      </c>
      <c r="C18" s="39" t="inlineStr">
        <is>
          <t>Map: Stormbeach, Greenvale, Ashfield. Đổ bộ, chiếm làng chài, lập tiền đồn đầu tiên, Mara dựng căn cứ. Mini boss: Bastion Mk.0. Boss: Bastion. Brandt đầu hàng; hồ sơ nhắc tới Varga. Mở: chỉ huy Kade.</t>
        </is>
      </c>
    </row>
    <row r="19" ht="15" customHeight="1" s="32">
      <c r="A19" s="41" t="inlineStr">
        <is>
          <t>Hồi I · Landfall</t>
        </is>
      </c>
      <c r="B19" s="41" t="inlineStr">
        <is>
          <t>Chương 2 · Black Gold (11 + 2)</t>
        </is>
      </c>
      <c r="C19" s="41" t="inlineStr">
        <is>
          <t>Map: Dunebreak, Red Rock. Varga lên sóng; Thorne chi viện lần đầu. Inferno ở nhà máy lọc dầu (Mara nhận ra thiết kế). Boss: Behemoth. Mara kể quá khứ. Mở: chỉ huy Mara.</t>
        </is>
      </c>
    </row>
    <row r="20" ht="15" customHeight="1" s="32">
      <c r="A20" s="39" t="inlineStr">
        <is>
          <t>Hồi I · Landfall</t>
        </is>
      </c>
      <c r="B20" s="39" t="inlineStr">
        <is>
          <t>Chương 3 · The Long Winter (12 + 2)</t>
        </is>
      </c>
      <c r="C20" s="39" t="inlineStr">
        <is>
          <t>Map: Frostpeak, Whiteout Pass. Pháo binh vô hình của Orlov; Raven xuất hiện với Harpy; truy đuổi Fenrir trong bão tuyết. Boss: Jötunn. Mở: chỉ huy Hawk.</t>
        </is>
      </c>
    </row>
    <row r="21" ht="15" customHeight="1" s="32">
      <c r="A21" s="41" t="inlineStr">
        <is>
          <t>Xen kẽ I</t>
        </is>
      </c>
      <c r="B21" s="41" t="inlineStr">
        <is>
          <t>Blueprints (4)</t>
        </is>
      </c>
      <c r="C21" s="41" t="inlineStr">
        <is>
          <t>Map: Foundry. Mara lấy lại bản thiết kế Behemoth, đối mặt Behemoth Mk.0. Mở: chỉ huy Ledger.</t>
        </is>
      </c>
    </row>
    <row r="22" ht="21.75" customHeight="1" s="32">
      <c r="A22" s="39" t="inlineStr">
        <is>
          <t>Hồi II · Counteroffensive</t>
        </is>
      </c>
      <c r="B22" s="39" t="inlineStr">
        <is>
          <t>Chương 4 · Iron Harbor (16 + 2)</t>
        </is>
      </c>
      <c r="C22" s="39" t="inlineStr">
        <is>
          <t>Map: Ironport, Rust Yard, Beacon Bay. Chặn Juggernaut; phát hiện Tempest ở cảng; Scylla chặn đường. Lựa chọn: đuổi Kessler hay cứu tàu dân sự. Manh mối đầu về Thorne. Boss: Leviathan. Chiến lợi phẩm: Pháo điện từ (từ xác Tempest). Mở: Nadia, Flag.</t>
        </is>
      </c>
    </row>
    <row r="23" ht="15" customHeight="1" s="32">
      <c r="A23" s="41" t="inlineStr">
        <is>
          <t>Hồi II · Counteroffensive</t>
        </is>
      </c>
      <c r="B23" s="41" t="inlineStr">
        <is>
          <t>Chương 5 · Burning Canopy (13 + 2)</t>
        </is>
      </c>
      <c r="C23" s="41" t="inlineStr">
        <is>
          <t>Map: Emberridge, Jungle Pass. Locust, Hive; phòng thí nghiệm của Venn. Boss: Matriarch. Venn đầu hàng, mang thư mục "Icarus". Chiến lợi phẩm: Máy bay mẹ thả drone. Mở: Venn.</t>
        </is>
      </c>
    </row>
    <row r="24" ht="21.75" customHeight="1" s="32">
      <c r="A24" s="39" t="inlineStr">
        <is>
          <t>Hồi II · Counteroffensive</t>
        </is>
      </c>
      <c r="B24" s="39" t="inlineStr">
        <is>
          <t>Chương 6 · Counterstrike (16 + 2)</t>
        </is>
      </c>
      <c r="C24" s="39" t="inlineStr">
        <is>
          <t>Map: Ashfield, Whiteout Pass, Hollow Dam, Stormbeach (đảo chiều). Varga tổng phản công; Charybdis; Behemoth Mk.II; hộ tống Behemoth bị chiếm; ngừng bắn sơ tán Hollow Dam; Brandt giúp phòng tuyến. Boss: Moloch. Chiến lợi phẩm: Xe công sự triển khai. Mở: Bulwark.</t>
        </is>
      </c>
    </row>
    <row r="25" ht="15" customHeight="1" s="32">
      <c r="A25" s="41" t="inlineStr">
        <is>
          <t>Xen kẽ II</t>
        </is>
      </c>
      <c r="B25" s="41" t="inlineStr">
        <is>
          <t>The Queen's Choice (4)</t>
        </is>
      </c>
      <c r="C25" s="41" t="inlineStr">
        <is>
          <t>Map: Mirewood, Border Crossing. Hộ tống Venn; 2 Locust săn bà. Mở: Rush.</t>
        </is>
      </c>
    </row>
    <row r="26" ht="15" customHeight="1" s="32">
      <c r="A26" s="39" t="inlineStr">
        <is>
          <t>Hồi III · Betrayal</t>
        </is>
      </c>
      <c r="B26" s="39" t="inlineStr">
        <is>
          <t>Chương 7 · Veyra (18 + 1)</t>
        </is>
      </c>
      <c r="C26" s="39" t="inlineStr">
        <is>
          <t>Map: Metro City, Veyra Old Quarter, Veyra. Giải phóng từng quận; Thorne phản bội giữa trận cuối; đánh ngược Atlas. Boss: Nemesis. Thorne trốn. Mở: Longshot.</t>
        </is>
      </c>
    </row>
    <row r="27" ht="15" customHeight="1" s="32">
      <c r="A27" s="41" t="inlineStr">
        <is>
          <t>Hồi III · Betrayal</t>
        </is>
      </c>
      <c r="B27" s="41" t="inlineStr">
        <is>
          <t>Chương 8 · Underworld (12 + 2)</t>
        </is>
      </c>
      <c r="C27" s="41" t="inlineStr">
        <is>
          <t>Map: Deepcut Mine, Red Rock, Dunebreak. Tartarus, Ixion. Lựa chọn: cứu thợ mỏ hay đánh thẳng Kronos. Boss: Kronos. Mở: Tide, Magpie.</t>
        </is>
      </c>
    </row>
    <row r="28" ht="15" customHeight="1" s="32">
      <c r="A28" s="39" t="inlineStr">
        <is>
          <t>Hồi III · Betrayal</t>
        </is>
      </c>
      <c r="B28" s="39" t="inlineStr">
        <is>
          <t>Chương 9 · Rough Water (14 + 2)</t>
        </is>
      </c>
      <c r="C28" s="39" t="inlineStr">
        <is>
          <t>Map: Beacon Bay, Coral Keys. Caspian, Scylla tái đấu. Boss: Typhon. Tin nhắn cuối của Thorne: "Đừng để tôi đã đúng."</t>
        </is>
      </c>
    </row>
    <row r="29" ht="15" customHeight="1" s="32">
      <c r="A29" s="41" t="inlineStr">
        <is>
          <t>Xen kẽ III</t>
        </is>
      </c>
      <c r="B29" s="41" t="inlineStr">
        <is>
          <t>Hawk and Raven (4)</t>
        </is>
      </c>
      <c r="C29" s="41" t="inlineStr">
        <is>
          <t>Map: Frostpeak, Jungle Pass (đảo chiều). Cứu Hawk bị bắn rơi; Morrigan săn lùng. Mở: Crown.</t>
        </is>
      </c>
    </row>
    <row r="30" ht="15" customHeight="1" s="32">
      <c r="A30" s="39" t="inlineStr">
        <is>
          <t>Hồi IV · Silver Sky</t>
        </is>
      </c>
      <c r="B30" s="39" t="inlineStr">
        <is>
          <t>Chương 10 · War in the Sky (14 + 2)</t>
        </is>
      </c>
      <c r="C30" s="39" t="inlineStr">
        <is>
          <t>Map: Skyhold, Frostpeak. Spectre, Argus, Icarus Mk.0; đấu tay đôi Hawk – Raven. Boss: Roc. Chiến lợi phẩm: Drone hộ vệ. Mở: Vault.</t>
        </is>
      </c>
    </row>
    <row r="31" ht="15" customHeight="1" s="32">
      <c r="A31" s="41" t="inlineStr">
        <is>
          <t>Hồi IV · Silver Sky</t>
        </is>
      </c>
      <c r="B31" s="41" t="inlineStr">
        <is>
          <t>Chương 11 · Skygate (11 + 1)</t>
        </is>
      </c>
      <c r="C31" s="41" t="inlineStr">
        <is>
          <t>Map: Skygate Array. Aurel thông báo vệ tinh đầu tiên; trận cuối của Orlov với Gungnir. Lựa chọn: phá radar trước hay đi thẳng. Boss: Daedalus.</t>
        </is>
      </c>
    </row>
    <row r="32" ht="15" customHeight="1" s="32">
      <c r="A32" s="39" t="inlineStr">
        <is>
          <t>Hồi IV · Silver Sky</t>
        </is>
      </c>
      <c r="B32" s="39" t="inlineStr">
        <is>
          <t>Chương 12 · Helion (10)</t>
        </is>
      </c>
      <c r="C32" s="39" t="inlineStr">
        <is>
          <t>Map: Helion Launch Complex, Salt Flats, Dunebreak. Varga (Behemoth Mk.II) và Kessler (Scylla) tái đấu; "Tổng tấn công" của mọi đồng minh cũ; Behemoth của Mara. Boss cuối: Icarus rơi khỏi bầu trời.</t>
        </is>
      </c>
    </row>
    <row r="33" ht="21.75" customHeight="1" s="32">
      <c r="A33" s="41" t="inlineStr">
        <is>
          <t>Phần kết</t>
        </is>
      </c>
      <c r="B33" s="41" t="inlineStr">
        <is>
          <t>Kết</t>
        </is>
      </c>
      <c r="C33" s="41" t="inlineStr">
        <is>
          <t>Icarus bị hạ, Hegemon tan rã. Kade ở lại lữ đoàn; Mara và Venn tháo dỡ cỗ máy; Hawk bay tuần tra cuối qua Skyhold. Nadia nhìn màn hình quỹ đạo: vẫn còn vài chấm sáng. Dự án Icarus chưa bao giờ chỉ có một phi thuyền.</t>
        </is>
      </c>
    </row>
    <row r="34" ht="21.75" customHeight="1" s="32">
      <c r="A34" s="39" t="inlineStr">
        <is>
          <t>Móc nối</t>
        </is>
      </c>
      <c r="B34" s="39" t="inlineStr">
        <is>
          <t>Nội dung sau này</t>
        </is>
      </c>
      <c r="C34" s="39" t="inlineStr">
        <is>
          <t>Các phi thuyền còn lại trên quỹ đạo (boss Hyperion); tàn quân Kessler trên sông nội địa (hải quân, Kraken, Nyx, Hydra); tướng mới của Hegemon mỗi mùa (Monster, Garuda, Cerberus, Stymphalos); số phận của Thorne.</t>
        </is>
      </c>
    </row>
    <row r="35" ht="21.75" customHeight="1" s="32">
      <c r="A35" s="41" t="inlineStr">
        <is>
          <t>Cơ chế kể chuyện</t>
        </is>
      </c>
      <c r="B35" s="41" t="inlineStr">
        <is>
          <t>Tóm tắt</t>
        </is>
      </c>
      <c r="C35" s="41" t="inlineStr">
        <is>
          <t>Bản đồ mặt trận đổi màu theo tiến độ; manh mối về Thorne ở chương 4–6; lựa chọn có hệ quả ở chương 4, 8, 11; chiến lợi phẩm gắn truyện; hồ sơ tình báo; tranh truyện cuối chương; thoại dạng chữ; khoảnh khắc cốt truyện làm chậm thời gian (5–6 lần cả chiến dịch).</t>
        </is>
      </c>
    </row>
  </sheetData>
  <autoFilter ref="A1:C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1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28" customWidth="1" style="31" min="2" max="2"/>
    <col width="26" customWidth="1" style="31" min="3" max="3"/>
    <col width="42" customWidth="1" style="31" min="4" max="4"/>
    <col width="52" customWidth="1" style="31" min="5" max="5"/>
    <col width="58" customWidth="1" style="31" min="6" max="6"/>
    <col width="40" customWidth="1" style="31" min="7" max="7"/>
    <col width="8" customWidth="1" style="31" min="8" max="8"/>
  </cols>
  <sheetData>
    <row r="1" ht="42" customHeight="1" s="32">
      <c r="A1" s="37" t="inlineStr">
        <is>
          <t>id</t>
        </is>
      </c>
      <c r="B1" s="37" t="inlineStr">
        <is>
          <t>Đơn vị</t>
        </is>
      </c>
      <c r="C1" s="37" t="inlineStr">
        <is>
          <t>Hạng mục</t>
        </is>
      </c>
      <c r="D1" s="44" t="inlineStr">
        <is>
          <t>Hiện tại</t>
        </is>
      </c>
      <c r="E1" s="45" t="inlineStr">
        <is>
          <t>Đề xuất (cụ thể)</t>
        </is>
      </c>
      <c r="F1" s="46" t="inlineStr">
        <is>
          <t>Lý do thay đổi</t>
        </is>
      </c>
      <c r="G1" s="37" t="inlineStr">
        <is>
          <t>Tham khảo (ngoài đời / game)</t>
        </is>
      </c>
      <c r="H1" s="46" t="inlineStr">
        <is>
          <t>Ưu tiên</t>
        </is>
      </c>
    </row>
    <row r="2" ht="21.75" customHeight="1" s="32">
      <c r="A2" s="39" t="inlineStr">
        <is>
          <t>aa_turret</t>
        </is>
      </c>
      <c r="B2" s="39" t="inlineStr">
        <is>
          <t>Tháp phòng không</t>
        </is>
      </c>
      <c r="C2" s="39" t="inlineStr">
        <is>
          <t>Vũ khí và tham khảo</t>
        </is>
      </c>
      <c r="D2" s="39" t="inlineStr">
        <is>
          <t>tham khảo Oerlikon GDF 35 mm nhưng vũ khí 2A38 30 mm · chống máy bay 300</t>
        </is>
      </c>
      <c r="E2" s="39" t="inlineStr">
        <is>
          <t>chọn một: đổi vũ khí thành Oerlikon 35 mm hoặc đổi tham khảo sang 2A38; chống máy bay 300→240</t>
        </is>
      </c>
      <c r="F2" s="39" t="inlineStr">
        <is>
          <t>Tham khảo lệch vũ khí; tháp ô nhỏ đang mạnh hơn Patriot ô lớn.</t>
        </is>
      </c>
      <c r="G2" s="39" t="inlineStr">
        <is>
          <t>Skyguard/GDF (35 mm) hoặc Tunguska (2A38)</t>
        </is>
      </c>
      <c r="H2" s="47" t="inlineStr">
        <is>
          <t>Cao</t>
        </is>
      </c>
    </row>
    <row r="3" ht="21.75" customHeight="1" s="32">
      <c r="A3" s="41" t="inlineStr">
        <is>
          <t>artillery</t>
        </is>
      </c>
      <c r="B3" s="41" t="inlineStr">
        <is>
          <t>Pháo tự hành</t>
        </is>
      </c>
      <c r="C3" s="41" t="inlineStr">
        <is>
          <t>Vũ khí: lựu pháo 155 mm</t>
        </is>
      </c>
      <c r="D3" s="41" t="inlineStr">
        <is>
          <t>0,10 phát/s · DPS duy trì 27 · giá trị thấp hơn Pháo phản lực cùng giá</t>
        </is>
      </c>
      <c r="E3" s="41" t="inlineStr">
        <is>
          <t>0,14 phát/s · bắn 3 loạt rồi dời vị trí (giữ)</t>
        </is>
      </c>
      <c r="F3" s="41" t="inlineStr">
        <is>
          <t>Pháo tự hành đang kém hẳn pháo phản lực 6 CP (331 so với 510 theo vai trò).</t>
        </is>
      </c>
      <c r="G3" s="41" t="inlineStr">
        <is>
          <t>M109A7: 4 phát/phút tối đa</t>
        </is>
      </c>
      <c r="H3" s="47" t="inlineStr">
        <is>
          <t>Cao</t>
        </is>
      </c>
    </row>
    <row r="4" ht="21.75" customHeight="1" s="32">
      <c r="A4" s="39" t="inlineStr">
        <is>
          <t>artillery</t>
        </is>
      </c>
      <c r="B4" s="39" t="inlineStr">
        <is>
          <t>Pháo tự hành</t>
        </is>
      </c>
      <c r="C4" s="39" t="inlineStr">
        <is>
          <t>Model và tham khảo</t>
        </is>
      </c>
      <c r="D4" s="39" t="inlineStr">
        <is>
          <t>CAESAR bánh lốp (nằm trong danh sách giữ lại)</t>
        </is>
      </c>
      <c r="E4" s="39" t="inlineStr">
        <is>
          <t>Đổi model sang M109A7 xích; giáp trước 1→2; tốc độ 7→6</t>
        </is>
      </c>
      <c r="F4" s="39" t="inlineStr">
        <is>
          <t>Để CAESAR cho thẻ "Pháo bánh lốp bắn rồi chạy" sau này, không vướng danh sách giữ lại.</t>
        </is>
      </c>
      <c r="G4" s="39" t="inlineStr">
        <is>
          <t>M109A7 Paladin</t>
        </is>
      </c>
      <c r="H4" s="47" t="inlineStr">
        <is>
          <t>Cao</t>
        </is>
      </c>
    </row>
    <row r="5" ht="15" customHeight="1" s="32">
      <c r="A5" s="41" t="inlineStr">
        <is>
          <t>attack_helicopter</t>
        </is>
      </c>
      <c r="B5" s="41" t="inlineStr">
        <is>
          <t>Trực thăng tấn công</t>
        </is>
      </c>
      <c r="C5" s="41" t="inlineStr">
        <is>
          <t>Giá</t>
        </is>
      </c>
      <c r="D5" s="41" t="inlineStr">
        <is>
          <t>11 CP (hiệu quả 0,66 × trung vị trực thăng)</t>
        </is>
      </c>
      <c r="E5" s="41" t="inlineStr">
        <is>
          <t>9 CP</t>
        </is>
      </c>
      <c r="F5" s="41" t="inlineStr">
        <is>
          <t>Yếu hơn các trực thăng khác tính theo CP.</t>
        </is>
      </c>
      <c r="G5" s="41" t="inlineStr">
        <is>
          <t>AH-64D</t>
        </is>
      </c>
      <c r="H5" s="47" t="inlineStr">
        <is>
          <t>Cao</t>
        </is>
      </c>
    </row>
    <row r="6" ht="15" customHeight="1" s="32">
      <c r="A6" s="39" t="inlineStr">
        <is>
          <t>attack_jet</t>
        </is>
      </c>
      <c r="B6" s="39" t="inlineStr">
        <is>
          <t>Máy bay cường kích</t>
        </is>
      </c>
      <c r="C6" s="39" t="inlineStr">
        <is>
          <t>Vũ khí: FAB-250</t>
        </is>
      </c>
      <c r="D6" s="39" t="inlineStr">
        <is>
          <t>2 quả mỗi lần đầy đạn</t>
        </is>
      </c>
      <c r="E6" s="39" t="inlineStr">
        <is>
          <t>1 quả</t>
        </is>
      </c>
      <c r="F6" s="39" t="inlineStr">
        <is>
          <t>Giá trị lên công sự 1.156 cao nhất nhóm cùng giá.</t>
        </is>
      </c>
      <c r="G6" s="39" t="inlineStr">
        <is>
          <t>Su-25: tải trọng hỗn hợp</t>
        </is>
      </c>
      <c r="H6" s="47" t="inlineStr">
        <is>
          <t>Cao</t>
        </is>
      </c>
    </row>
    <row r="7" ht="21.75" customHeight="1" s="32">
      <c r="A7" s="41" t="inlineStr">
        <is>
          <t>attack_jet</t>
        </is>
      </c>
      <c r="B7" s="41" t="inlineStr">
        <is>
          <t>Máy bay cường kích</t>
        </is>
      </c>
      <c r="C7" s="41" t="inlineStr">
        <is>
          <t>Vũ khí: Kh-29L, R-60</t>
        </is>
      </c>
      <c r="D7" s="41" t="inlineStr">
        <is>
          <t>tốc độ 10 (bay 4 s và 2,8 s, chậm như drone)</t>
        </is>
      </c>
      <c r="E7" s="41" t="inlineStr">
        <is>
          <t>Kh-29L: 32 (bay 1,25 s) · R-60: 42</t>
        </is>
      </c>
      <c r="F7" s="41" t="inlineStr">
        <is>
          <t>Tên lửa không đối đất nặng và tên lửa không đối không đang chậm nhất game.</t>
        </is>
      </c>
      <c r="G7" s="41" t="inlineStr">
        <is>
          <t>Kh-29L: Mach 2,5; R-60: Mach 2,7</t>
        </is>
      </c>
      <c r="H7" s="47" t="inlineStr">
        <is>
          <t>Cao</t>
        </is>
      </c>
    </row>
    <row r="8" ht="15" customHeight="1" s="32">
      <c r="A8" s="39" t="inlineStr">
        <is>
          <t>attack_jet</t>
        </is>
      </c>
      <c r="B8" s="39" t="inlineStr">
        <is>
          <t>Máy bay cường kích</t>
        </is>
      </c>
      <c r="C8" s="39" t="inlineStr">
        <is>
          <t>Giá</t>
        </is>
      </c>
      <c r="D8" s="39" t="inlineStr">
        <is>
          <t>16 CP (hiệu quả 1,27)</t>
        </is>
      </c>
      <c r="E8" s="39" t="inlineStr">
        <is>
          <t>18 CP</t>
        </is>
      </c>
      <c r="F8" s="39" t="inlineStr">
        <is>
          <t>Mạnh nhất nhóm máy bay tính theo CP.</t>
        </is>
      </c>
      <c r="G8" s="39" t="inlineStr">
        <is>
          <t>Su-25 ~11 triệu USD, A-10 ~19 triệu USD</t>
        </is>
      </c>
      <c r="H8" s="47" t="inlineStr">
        <is>
          <t>Cao</t>
        </is>
      </c>
    </row>
    <row r="9" ht="21.75" customHeight="1" s="32">
      <c r="A9" s="41" t="inlineStr">
        <is>
          <t>caspian</t>
        </is>
      </c>
      <c r="B9" s="41" t="inlineStr">
        <is>
          <t>Caspian · Tàu bay sát mặt nước</t>
        </is>
      </c>
      <c r="C9" s="41" t="inlineStr">
        <is>
          <t>Vũ khí</t>
        </is>
      </c>
      <c r="D9" s="41" t="inlineStr">
        <is>
          <t>chỉ AK-630 · DPS 22/11/7</t>
        </is>
      </c>
      <c r="E9" s="41" t="inlineStr">
        <is>
          <t>thêm 2 tháp 23 mm đôi và 1 tên lửa chống hạm bắn thường mỗi lượt lướt</t>
        </is>
      </c>
      <c r="F9" s="41" t="inlineStr">
        <is>
          <t>Mini boss gần như không có vũ khí ngoài đòn lớn.</t>
        </is>
      </c>
      <c r="G9" s="41" t="inlineStr">
        <is>
          <t>Lun: 6 Moskit, 4 tháp 23 mm</t>
        </is>
      </c>
      <c r="H9" s="47" t="inlineStr">
        <is>
          <t>Cao</t>
        </is>
      </c>
    </row>
    <row r="10" ht="21.75" customHeight="1" s="32">
      <c r="A10" s="39" t="inlineStr">
        <is>
          <t>daedalus</t>
        </is>
      </c>
      <c r="B10" s="39" t="inlineStr">
        <is>
          <t>Daedalus · Tàu đổ bộ quỹ đạo</t>
        </is>
      </c>
      <c r="C10" s="39" t="inlineStr">
        <is>
          <t>Máu, vũ khí</t>
        </is>
      </c>
      <c r="D10" s="39" t="inlineStr">
        <is>
          <t>9.435 · 2 pháo 30 mm</t>
        </is>
      </c>
      <c r="E10" s="39" t="inlineStr">
        <is>
          <t>~24.000 · thêm 2 tháp laser phòng thủ điểm và 2 pháo 57 mm dưới bụng</t>
        </is>
      </c>
      <c r="F10" s="39" t="inlineStr">
        <is>
          <t>Boss chủ lực chương 11 yếu hơn nhiều mini boss.</t>
        </is>
      </c>
      <c r="G10" s="39" t="inlineStr">
        <is>
          <t>Acclamator (Star Wars)</t>
        </is>
      </c>
      <c r="H10" s="47" t="inlineStr">
        <is>
          <t>Cao</t>
        </is>
      </c>
    </row>
    <row r="11" ht="15" customHeight="1" s="32">
      <c r="A11" s="41" t="inlineStr">
        <is>
          <t>fighter_jet</t>
        </is>
      </c>
      <c r="B11" s="41" t="inlineStr">
        <is>
          <t>Tiêm kích</t>
        </is>
      </c>
      <c r="C11" s="41" t="inlineStr">
        <is>
          <t>Vũ khí: AIM-120, AIM-9X</t>
        </is>
      </c>
      <c r="D11" s="41" t="inlineStr">
        <is>
          <t>tốc độ 24 (chậm hơn tiêm kích 40 m/s)</t>
        </is>
      </c>
      <c r="E11" s="41" t="inlineStr">
        <is>
          <t>AIM-120: 60 (bay 1 s) · AIM-9X: 55</t>
        </is>
      </c>
      <c r="F11" s="41" t="inlineStr">
        <is>
          <t>Tên lửa phải bắt kịp mục tiêu nhanh nhất.</t>
        </is>
      </c>
      <c r="G11" s="41" t="inlineStr">
        <is>
          <t>AIM-120: Mach 4; AIM-9X: Mach 2,5+</t>
        </is>
      </c>
      <c r="H11" s="47" t="inlineStr">
        <is>
          <t>Cao</t>
        </is>
      </c>
    </row>
    <row r="12" ht="15" customHeight="1" s="32">
      <c r="A12" s="39" t="inlineStr">
        <is>
          <t>heavy_tank</t>
        </is>
      </c>
      <c r="B12" s="39" t="inlineStr">
        <is>
          <t>Tăng hạng nặng</t>
        </is>
      </c>
      <c r="C12" s="39" t="inlineStr">
        <is>
          <t>Giá (CP)</t>
        </is>
      </c>
      <c r="D12" s="42" t="n">
        <v>12</v>
      </c>
      <c r="E12" s="39" t="inlineStr">
        <is>
          <t>13 CP</t>
        </is>
      </c>
      <c r="F12" s="39" t="inlineStr">
        <is>
          <t>Xem sheet Giá CP.</t>
        </is>
      </c>
      <c r="G12" s="39" t="n"/>
      <c r="H12" s="47" t="inlineStr">
        <is>
          <t>Cao</t>
        </is>
      </c>
    </row>
    <row r="13" ht="15" customHeight="1" s="32">
      <c r="A13" s="41" t="inlineStr">
        <is>
          <t>iron_beam</t>
        </is>
      </c>
      <c r="B13" s="41" t="inlineStr">
        <is>
          <t>La-de phòng không</t>
        </is>
      </c>
      <c r="C13" s="41" t="inlineStr">
        <is>
          <t>Giá</t>
        </is>
      </c>
      <c r="D13" s="41" t="inlineStr">
        <is>
          <t>7 CP · giá trị 87 (0,33 × trung vị) · bắn 8% thời gian</t>
        </is>
      </c>
      <c r="E13" s="41" t="inlineStr">
        <is>
          <t>6 CP</t>
        </is>
      </c>
      <c r="F13" s="41" t="inlineStr">
        <is>
          <t>Gần như vô dụng hiện tại.</t>
        </is>
      </c>
      <c r="G13" s="41" t="inlineStr">
        <is>
          <t>Iron Beam: chi phí mỗi phát rất thấp</t>
        </is>
      </c>
      <c r="H13" s="47" t="inlineStr">
        <is>
          <t>Cao</t>
        </is>
      </c>
    </row>
    <row r="14" ht="21.75" customHeight="1" s="32">
      <c r="A14" s="39" t="inlineStr">
        <is>
          <t>iron_beam</t>
        </is>
      </c>
      <c r="B14" s="39" t="inlineStr">
        <is>
          <t>La-de phòng không</t>
        </is>
      </c>
      <c r="C14" s="39" t="inlineStr">
        <is>
          <t>Vũ khí: laser 100 kW</t>
        </is>
      </c>
      <c r="D14" s="39" t="inlineStr">
        <is>
          <t>7,5/tick · DPS 143 lý thuyết</t>
        </is>
      </c>
      <c r="E14" s="39" t="inlineStr">
        <is>
          <t>10/tick · DPS ~190; mở rộng APS: đánh chặn cả đạn cối và rốc-két pháo binh trong 30 m; ưu tiên drone</t>
        </is>
      </c>
      <c r="F14" s="39" t="inlineStr">
        <is>
          <t>Vai trò thật của Iron Beam là chặn drone, rốc-két, cối.</t>
        </is>
      </c>
      <c r="G14" s="39" t="inlineStr">
        <is>
          <t>Rafael Iron Beam</t>
        </is>
      </c>
      <c r="H14" s="47" t="inlineStr">
        <is>
          <t>Cao</t>
        </is>
      </c>
    </row>
    <row r="15" ht="15" customHeight="1" s="32">
      <c r="A15" s="41" t="inlineStr">
        <is>
          <t>long_sam</t>
        </is>
      </c>
      <c r="B15" s="41" t="inlineStr">
        <is>
          <t>Tên lửa phòng không tầm xa</t>
        </is>
      </c>
      <c r="C15" s="41" t="inlineStr">
        <is>
          <t>Giá</t>
        </is>
      </c>
      <c r="D15" s="41" t="inlineStr">
        <is>
          <t>11 CP (hiệu quả 2,29 × trung vị)</t>
        </is>
      </c>
      <c r="E15" s="41" t="inlineStr">
        <is>
          <t>14 CP</t>
        </is>
      </c>
      <c r="F15" s="41" t="inlineStr">
        <is>
          <t>Hiệu quả gấp đôi các xe phòng không khác; S-400 ngoài đời cực đắt.</t>
        </is>
      </c>
      <c r="G15" s="41" t="inlineStr">
        <is>
          <t>S-400: ~500 triệu USD một tiểu đoàn</t>
        </is>
      </c>
      <c r="H15" s="47" t="inlineStr">
        <is>
          <t>Cao</t>
        </is>
      </c>
    </row>
    <row r="16" ht="15" customHeight="1" s="32">
      <c r="A16" s="39" t="inlineStr">
        <is>
          <t>missile_battery</t>
        </is>
      </c>
      <c r="B16" s="39" t="inlineStr">
        <is>
          <t>Tên lửa Patriot tầm xa</t>
        </is>
      </c>
      <c r="C16" s="39" t="inlineStr">
        <is>
          <t>Vũ khí: Patriot PAC-2</t>
        </is>
      </c>
      <c r="D16" s="39" t="inlineStr">
        <is>
          <t>chống máy bay 188 · tốc độ 24 (bay 3,75 s)</t>
        </is>
      </c>
      <c r="E16" s="39" t="inlineStr">
        <is>
          <t>chống máy bay 300 · tốc độ 60 (bay 1,5 s)</t>
        </is>
      </c>
      <c r="F16" s="39" t="inlineStr">
        <is>
          <t>Tháp ô lớn phải mạnh hơn tháp ô nhỏ; tên lửa phải bắt kịp máy bay.</t>
        </is>
      </c>
      <c r="G16" s="39" t="inlineStr">
        <is>
          <t>PAC-2: Mach 4</t>
        </is>
      </c>
      <c r="H16" s="47" t="inlineStr">
        <is>
          <t>Cao</t>
        </is>
      </c>
    </row>
    <row r="17" ht="21.75" customHeight="1" s="32">
      <c r="A17" s="41" t="inlineStr">
        <is>
          <t>rocket_turret.guided</t>
        </is>
      </c>
      <c r="B17" s="41" t="inlineStr">
        <is>
          <t>Dàn rốc-két · nhánh Rốc-két dẫn đường</t>
        </is>
      </c>
      <c r="C17" s="41" t="inlineStr">
        <is>
          <t>Vũ khí: GMLRS dẫn đường</t>
        </is>
      </c>
      <c r="D17" s="41" t="inlineStr">
        <is>
          <t>100/phát · nổ lan 3 m · tốc độ 24 · DPS 27/27</t>
        </is>
      </c>
      <c r="E17" s="41" t="inlineStr">
        <is>
          <t>160/phát · nổ lan 4,5 m · tốc độ 50 · mục tiêu ~60/60</t>
        </is>
      </c>
      <c r="F17" s="41" t="inlineStr">
        <is>
          <t>Nhánh gần như vô dụng; GMLRS thật chính xác và mạnh với công trình.</t>
        </is>
      </c>
      <c r="G17" s="41" t="inlineStr">
        <is>
          <t>GMLRS: đầu nổ 90 kg</t>
        </is>
      </c>
      <c r="H17" s="47" t="inlineStr">
        <is>
          <t>Cao</t>
        </is>
      </c>
    </row>
    <row r="18" ht="21.75" customHeight="1" s="32">
      <c r="A18" s="39" t="inlineStr">
        <is>
          <t>sam_launcher</t>
        </is>
      </c>
      <c r="B18" s="39" t="inlineStr">
        <is>
          <t>Tên lửa phòng không</t>
        </is>
      </c>
      <c r="C18" s="39" t="inlineStr">
        <is>
          <t>Giá</t>
        </is>
      </c>
      <c r="D18" s="39" t="inlineStr">
        <is>
          <t>5 CP (hiệu quả 1,61 × trung vị)</t>
        </is>
      </c>
      <c r="E18" s="39" t="inlineStr">
        <is>
          <t>7 CP</t>
        </is>
      </c>
      <c r="F18" s="39" t="inlineStr">
        <is>
          <t>Hiệu quả cao nhất nhóm phòng không di động; Buk ngoài đời đắt hơn Gepard nhiều.</t>
        </is>
      </c>
      <c r="G18" s="39" t="inlineStr">
        <is>
          <t>Buk TELAR ~10–15 triệu USD</t>
        </is>
      </c>
      <c r="H18" s="47" t="inlineStr">
        <is>
          <t>Cao</t>
        </is>
      </c>
    </row>
    <row r="19" ht="15" customHeight="1" s="32">
      <c r="A19" s="41" t="inlineStr">
        <is>
          <t>sam_launcher</t>
        </is>
      </c>
      <c r="B19" s="41" t="inlineStr">
        <is>
          <t>Tên lửa phòng không</t>
        </is>
      </c>
      <c r="C19" s="41" t="inlineStr">
        <is>
          <t>Vũ khí: 9M317 Buk</t>
        </is>
      </c>
      <c r="D19" s="41" t="inlineStr">
        <is>
          <t>tốc độ 24 (bay 2,3 s, chậm hơn tiêm kích 40 m/s)</t>
        </is>
      </c>
      <c r="E19" s="41" t="inlineStr">
        <is>
          <t>tốc độ 50 (bay 1,1 s)</t>
        </is>
      </c>
      <c r="F19" s="41" t="inlineStr">
        <is>
          <t>Tên lửa không đuổi kịp máy bay nhanh.</t>
        </is>
      </c>
      <c r="G19" s="41" t="inlineStr">
        <is>
          <t>9M317: Mach 4</t>
        </is>
      </c>
      <c r="H19" s="47" t="inlineStr">
        <is>
          <t>Cao</t>
        </is>
      </c>
    </row>
    <row r="20" ht="15" customHeight="1" s="32">
      <c r="A20" s="39" t="inlineStr">
        <is>
          <t>scout_heli</t>
        </is>
      </c>
      <c r="B20" s="39" t="inlineStr">
        <is>
          <t>Trực thăng trinh sát</t>
        </is>
      </c>
      <c r="C20" s="39" t="inlineStr">
        <is>
          <t>Giá</t>
        </is>
      </c>
      <c r="D20" s="39" t="inlineStr">
        <is>
          <t>4 CP · giá trị vs xe nhẹ 956 (cao nhất game theo CP)</t>
        </is>
      </c>
      <c r="E20" s="39" t="inlineStr">
        <is>
          <t>5 CP</t>
        </is>
      </c>
      <c r="F20" s="39" t="inlineStr">
        <is>
          <t>Trực thăng trinh sát đang là thẻ diệt xe nhẹ mạnh nhất.</t>
        </is>
      </c>
      <c r="G20" s="39" t="inlineStr">
        <is>
          <t>MH-6 Little Bird ~5 triệu USD</t>
        </is>
      </c>
      <c r="H20" s="47" t="inlineStr">
        <is>
          <t>Cao</t>
        </is>
      </c>
    </row>
    <row r="21" ht="15" customHeight="1" s="32">
      <c r="A21" s="41" t="inlineStr">
        <is>
          <t>scout_heli</t>
        </is>
      </c>
      <c r="B21" s="41" t="inlineStr">
        <is>
          <t>Trực thăng trinh sát</t>
        </is>
      </c>
      <c r="C21" s="41" t="inlineStr">
        <is>
          <t>Vũ khí: Hydra 70</t>
        </is>
      </c>
      <c r="D21" s="41" t="inlineStr">
        <is>
          <t>12 quả mỗi lần đầy đạn</t>
        </is>
      </c>
      <c r="E21" s="41" t="inlineStr">
        <is>
          <t>6 quả</t>
        </is>
      </c>
      <c r="F21" s="41" t="inlineStr">
        <is>
          <t>Giảm sức phá xe nhẹ, giữ minigun để vẫn đúng vai trò trinh sát vũ trang.</t>
        </is>
      </c>
      <c r="G21" s="41" t="inlineStr">
        <is>
          <t>AH-6: 2 ống 7 quả Hydra</t>
        </is>
      </c>
      <c r="H21" s="47" t="inlineStr">
        <is>
          <t>Cao</t>
        </is>
      </c>
    </row>
    <row r="22" ht="15" customHeight="1" s="32">
      <c r="A22" s="39" t="inlineStr">
        <is>
          <t>scout_jeep</t>
        </is>
      </c>
      <c r="B22" s="39" t="inlineStr">
        <is>
          <t>Xe trinh sát</t>
        </is>
      </c>
      <c r="C22" s="39" t="inlineStr">
        <is>
          <t>Tầm nhìn</t>
        </is>
      </c>
      <c r="D22" s="39" t="inlineStr">
        <is>
          <t>35 m</t>
        </is>
      </c>
      <c r="E22" s="39" t="inlineStr">
        <is>
          <t>55 m</t>
        </is>
      </c>
      <c r="F22" s="39" t="inlineStr">
        <is>
          <t>Trinh sát đang nhìn kém xe bọc thép; không làm được việc trinh sát.</t>
        </is>
      </c>
      <c r="G22" s="39" t="inlineStr">
        <is>
          <t>Fennek / LRV có cột quan sát và kính nhiệt</t>
        </is>
      </c>
      <c r="H22" s="47" t="inlineStr">
        <is>
          <t>Cao</t>
        </is>
      </c>
    </row>
    <row r="23" ht="15" customHeight="1" s="32">
      <c r="A23" s="41" t="inlineStr">
        <is>
          <t>scout_jeep</t>
        </is>
      </c>
      <c r="B23" s="41" t="inlineStr">
        <is>
          <t>Xe trinh sát</t>
        </is>
      </c>
      <c r="C23" s="41" t="inlineStr">
        <is>
          <t>Hành vi</t>
        </is>
      </c>
      <c r="D23" s="41" t="inlineStr">
        <is>
          <t>Không có ẩn</t>
        </is>
      </c>
      <c r="E23" s="41" t="inlineStr">
        <is>
          <t>Ẩn khi đứng yên (chỉ lộ ở 60% tầm nhìn địch), lộ khi bắn</t>
        </is>
      </c>
      <c r="F23" s="41" t="inlineStr">
        <is>
          <t>Trinh sát thật dựa vào ngụy trang và đứng quan sát.</t>
        </is>
      </c>
      <c r="G23" s="41" t="inlineStr">
        <is>
          <t>Fennek; Wargame (đơn vị trinh sát ẩn khi đứng yên)</t>
        </is>
      </c>
      <c r="H23" s="47" t="inlineStr">
        <is>
          <t>Cao</t>
        </is>
      </c>
    </row>
    <row r="24" ht="21.75" customHeight="1" s="32">
      <c r="A24" s="39" t="inlineStr">
        <is>
          <t>scylla</t>
        </is>
      </c>
      <c r="B24" s="39" t="inlineStr">
        <is>
          <t>Scylla · Tàu khu trục</t>
        </is>
      </c>
      <c r="C24" s="39" t="inlineStr">
        <is>
          <t>Vũ khí, máu</t>
        </is>
      </c>
      <c r="D24" s="39" t="inlineStr">
        <is>
          <t>pháo 460 mm (của Yamato) · 13.370 máu</t>
        </is>
      </c>
      <c r="E24" s="39" t="inlineStr">
        <is>
          <t>pháo 130 mm AK-130 đôi + bệ tên lửa chống hạm + CIWS · ~9.000 máu</t>
        </is>
      </c>
      <c r="F24" s="39" t="inlineStr">
        <is>
          <t>Tàu khu trục mini boss mang pháo thiết giáp hạm, máu cao hơn boss chủ lực.</t>
        </is>
      </c>
      <c r="G24" s="39" t="inlineStr">
        <is>
          <t>Sovremenny (AK-130, P-270 Moskit)</t>
        </is>
      </c>
      <c r="H24" s="47" t="inlineStr">
        <is>
          <t>Cao</t>
        </is>
      </c>
    </row>
    <row r="25" ht="15" customHeight="1" s="32">
      <c r="A25" s="41" t="inlineStr">
        <is>
          <t>silver_bug</t>
        </is>
      </c>
      <c r="B25" s="41" t="inlineStr">
        <is>
          <t>Icarus · Phi thuyền quỹ đạo</t>
        </is>
      </c>
      <c r="C25" s="41" t="inlineStr">
        <is>
          <t>Máu</t>
        </is>
      </c>
      <c r="D25" s="41" t="inlineStr">
        <is>
          <t>13.388 (thấp hơn Matriarch chương 5)</t>
        </is>
      </c>
      <c r="E25" s="41" t="inlineStr">
        <is>
          <t>~26.000 (cao nhất game)</t>
        </is>
      </c>
      <c r="F25" s="41" t="inlineStr">
        <is>
          <t>Trùm cuối phải có nhiều máu nhất.</t>
        </is>
      </c>
      <c r="G25" s="41" t="inlineStr">
        <is>
          <t>Thang máu boss (Tổng quan)</t>
        </is>
      </c>
      <c r="H25" s="47" t="inlineStr">
        <is>
          <t>Cao</t>
        </is>
      </c>
    </row>
    <row r="26" ht="21.75" customHeight="1" s="32">
      <c r="A26" s="39" t="inlineStr">
        <is>
          <t>silver_bug</t>
        </is>
      </c>
      <c r="B26" s="39" t="inlineStr">
        <is>
          <t>Icarus · Phi thuyền quỹ đạo</t>
        </is>
      </c>
      <c r="C26" s="39" t="inlineStr">
        <is>
          <t>Vũ khí</t>
        </is>
      </c>
      <c r="D26" s="39" t="inlineStr">
        <is>
          <t>2 pháo Rh-120 xe tăng, 2 Oerlikon 35, 2 Bofors 40</t>
        </is>
      </c>
      <c r="E26" s="39" t="inlineStr">
        <is>
          <t>thay bằng 2 coilgun và 2 tháp laser phòng thủ điểm; pháo thông thường chỉ ở tháp phụ pha 3 (xác rơi)</t>
        </is>
      </c>
      <c r="F26" s="39" t="inlineStr">
        <is>
          <t>Phi thuyền quỹ đạo mang pháo xe tăng là vô lý.</t>
        </is>
      </c>
      <c r="G26" s="39" t="inlineStr">
        <is>
          <t>Polyus/Skif-DM; SOLG (Ace Combat 5)</t>
        </is>
      </c>
      <c r="H26" s="47" t="inlineStr">
        <is>
          <t>Cao</t>
        </is>
      </c>
    </row>
    <row r="27" ht="15" customHeight="1" s="32">
      <c r="A27" s="41" t="inlineStr">
        <is>
          <t>stealth_fighter</t>
        </is>
      </c>
      <c r="B27" s="41" t="inlineStr">
        <is>
          <t>Tiêm kích tàng hình</t>
        </is>
      </c>
      <c r="C27" s="41" t="inlineStr">
        <is>
          <t>Giá (CP)</t>
        </is>
      </c>
      <c r="D27" s="43" t="n">
        <v>14</v>
      </c>
      <c r="E27" s="41" t="inlineStr">
        <is>
          <t>13 CP</t>
        </is>
      </c>
      <c r="F27" s="41" t="inlineStr">
        <is>
          <t>Xem sheet Giá CP.</t>
        </is>
      </c>
      <c r="G27" s="41" t="n"/>
      <c r="H27" s="47" t="inlineStr">
        <is>
          <t>Cao</t>
        </is>
      </c>
    </row>
    <row r="28" ht="15" customHeight="1" s="32">
      <c r="A28" s="39" t="inlineStr">
        <is>
          <t>strike_drone</t>
        </is>
      </c>
      <c r="B28" s="39" t="inlineStr">
        <is>
          <t>UAV tấn công</t>
        </is>
      </c>
      <c r="C28" s="39" t="inlineStr">
        <is>
          <t>Giá</t>
        </is>
      </c>
      <c r="D28" s="39" t="inlineStr">
        <is>
          <t>8 CP · 469/670/734</t>
        </is>
      </c>
      <c r="E28" s="39" t="inlineStr">
        <is>
          <t>9 CP (giữ 4 Hellfire)</t>
        </is>
      </c>
      <c r="F28" s="39" t="inlineStr">
        <is>
          <t>Vẫn mạnh gấp rưỡi xe diệt tăng cùng giá khi không có phòng không.</t>
        </is>
      </c>
      <c r="G28" s="39" t="inlineStr">
        <is>
          <t>MQ-9 Reaper ~30 triệu USD, mang 4 Hellfire</t>
        </is>
      </c>
      <c r="H28" s="47" t="inlineStr">
        <is>
          <t>Cao</t>
        </is>
      </c>
    </row>
    <row r="29" ht="32.25" customHeight="1" s="32">
      <c r="A29" s="41" t="inlineStr">
        <is>
          <t>swarm_carrier</t>
        </is>
      </c>
      <c r="B29" s="41" t="inlineStr">
        <is>
          <t>Máy bay mẹ thả drone</t>
        </is>
      </c>
      <c r="C29" s="41" t="inlineStr">
        <is>
          <t>Vũ khí: thêm Rapid Dragon</t>
        </is>
      </c>
      <c r="D29" s="41" t="inlineStr">
        <is>
          <t>8 drone FPV + bom SDB; khung C-130 to bằng Pháo hạm bay (22 CP) nhưng chỉ 8 CP</t>
        </is>
      </c>
      <c r="E29" s="41" t="inlineStr">
        <is>
          <t>Bỏ SDB; thêm 2 tên lửa hành trình thả từ khoang (410/quả, Nổ mạnh xuyên 3, nổ lan 9 m, tầm 90, tốc độ 20) mỗi lượt, giữ 8 drone</t>
        </is>
      </c>
      <c r="F29" s="41" t="inlineStr">
        <is>
          <t>Máy bay to như vậy mà rẻ là không hợp lý; thêm vũ khí để xứng giá mới. Rapid Dragon là hệ thống thật cho máy bay vận tải thả tên lửa hành trình theo pallet.</t>
        </is>
      </c>
      <c r="G29" s="41" t="inlineStr">
        <is>
          <t>Rapid Dragon (C-130/C-17 thả JASSM-ER)</t>
        </is>
      </c>
      <c r="H29" s="47" t="inlineStr">
        <is>
          <t>Cao</t>
        </is>
      </c>
    </row>
    <row r="30" ht="21.75" customHeight="1" s="32">
      <c r="A30" s="39" t="inlineStr">
        <is>
          <t>swarm_carrier</t>
        </is>
      </c>
      <c r="B30" s="39" t="inlineStr">
        <is>
          <t>Máy bay mẹ thả drone</t>
        </is>
      </c>
      <c r="C30" s="39" t="inlineStr">
        <is>
          <t>Giá</t>
        </is>
      </c>
      <c r="D30" s="39" t="inlineStr">
        <is>
          <t>8 CP</t>
        </is>
      </c>
      <c r="E30" s="39" t="inlineStr">
        <is>
          <t>13 CP</t>
        </is>
      </c>
      <c r="F30" s="39" t="inlineStr">
        <is>
          <t>Ngang tầm máy bay lớn khác sau khi có thêm tên lửa hành trình; C-130 ngoài đời ~70 triệu USD, đắt hơn Apache.</t>
        </is>
      </c>
      <c r="G30" s="39" t="inlineStr">
        <is>
          <t>C-130</t>
        </is>
      </c>
      <c r="H30" s="47" t="inlineStr">
        <is>
          <t>Cao</t>
        </is>
      </c>
    </row>
    <row r="31" ht="15" customHeight="1" s="32">
      <c r="A31" s="41" t="inlineStr">
        <is>
          <t>titan_tank</t>
        </is>
      </c>
      <c r="B31" s="41" t="inlineStr">
        <is>
          <t>Siêu tăng Titan</t>
        </is>
      </c>
      <c r="C31" s="41" t="inlineStr">
        <is>
          <t>Giá (CP)</t>
        </is>
      </c>
      <c r="D31" s="43" t="n">
        <v>16</v>
      </c>
      <c r="E31" s="41" t="inlineStr">
        <is>
          <t>18 CP</t>
        </is>
      </c>
      <c r="F31" s="41" t="inlineStr">
        <is>
          <t>Xem sheet Giá CP.</t>
        </is>
      </c>
      <c r="G31" s="41" t="n"/>
      <c r="H31" s="47" t="inlineStr">
        <is>
          <t>Cao</t>
        </is>
      </c>
    </row>
    <row r="32" ht="15" customHeight="1" s="32">
      <c r="A32" s="39" t="inlineStr">
        <is>
          <t>wheeled_gun</t>
        </is>
      </c>
      <c r="B32" s="39" t="inlineStr">
        <is>
          <t>Pháo bánh lốp diệt tăng</t>
        </is>
      </c>
      <c r="C32" s="39" t="inlineStr">
        <is>
          <t>Máu</t>
        </is>
      </c>
      <c r="D32" s="39" t="inlineStr">
        <is>
          <t>1.914 (gần bằng tăng chủ lực 1.980)</t>
        </is>
      </c>
      <c r="E32" s="39" t="inlineStr">
        <is>
          <t>1.500</t>
        </is>
      </c>
      <c r="F32" s="39" t="inlineStr">
        <is>
          <t>Xe bánh lốp giáp nhẹ không thể trâu như tăng.</t>
        </is>
      </c>
      <c r="G32" s="39" t="inlineStr">
        <is>
          <t>Centauro II: giáp chống 14,5–30 mm</t>
        </is>
      </c>
      <c r="H32" s="47" t="inlineStr">
        <is>
          <t>Cao</t>
        </is>
      </c>
    </row>
    <row r="33" ht="15" customHeight="1" s="32">
      <c r="A33" s="41" t="inlineStr">
        <is>
          <t>wheeled_gun</t>
        </is>
      </c>
      <c r="B33" s="41" t="inlineStr">
        <is>
          <t>Pháo bánh lốp diệt tăng</t>
        </is>
      </c>
      <c r="C33" s="41" t="inlineStr">
        <is>
          <t>Vũ khí: 120 mm</t>
        </is>
      </c>
      <c r="D33" s="41" t="inlineStr">
        <is>
          <t>0,36 phát/s (nạp 2,8 s, nhanh hơn MBT)</t>
        </is>
      </c>
      <c r="E33" s="41" t="inlineStr">
        <is>
          <t>0,27 phát/s (DPS duy trì 94→~70)</t>
        </is>
      </c>
      <c r="F33" s="41" t="inlineStr">
        <is>
          <t>Nạp tay không thể nhanh hơn tăng chủ lực; đang lấn át Pháo chống tăng.</t>
        </is>
      </c>
      <c r="G33" s="41" t="inlineStr">
        <is>
          <t>Centauro II nạp tay</t>
        </is>
      </c>
      <c r="H33" s="47" t="inlineStr">
        <is>
          <t>Cao</t>
        </is>
      </c>
    </row>
    <row r="34" ht="21.75" customHeight="1" s="32">
      <c r="A34" s="39" t="inlineStr">
        <is>
          <t>zu23_technical</t>
        </is>
      </c>
      <c r="B34" s="39" t="inlineStr">
        <is>
          <t>Bán tải ZU-23</t>
        </is>
      </c>
      <c r="C34" s="39" t="inlineStr">
        <is>
          <t>Vũ khí: ZU-23-2</t>
        </is>
      </c>
      <c r="D34" s="39" t="inlineStr">
        <is>
          <t>15/phát · 11 viên/s · tầm 32 m · giá trị vs máy bay 62</t>
        </is>
      </c>
      <c r="E34" s="39" t="inlineStr">
        <is>
          <t>7/phát · 25 viên/s · tầm 38 m (giữ DPS)</t>
        </is>
      </c>
      <c r="F34" s="39" t="inlineStr">
        <is>
          <t>Hiệu quả chỉ 0,24 lần trung vị phòng không; tầm quá ngắn nên máy bay bắn trước.</t>
        </is>
      </c>
      <c r="G34" s="39" t="inlineStr">
        <is>
          <t>ZU-23-2: 2.000 phát/phút, tầm 2,5 km</t>
        </is>
      </c>
      <c r="H34" s="47" t="inlineStr">
        <is>
          <t>Cao</t>
        </is>
      </c>
    </row>
    <row r="35" ht="21.75" customHeight="1" s="32">
      <c r="A35" s="41" t="inlineStr">
        <is>
          <t>aa_turret.sam</t>
        </is>
      </c>
      <c r="B35" s="41" t="inlineStr">
        <is>
          <t>Tháp phòng không · nhánh Trạm tên lửa</t>
        </is>
      </c>
      <c r="C35" s="41" t="inlineStr">
        <is>
          <t>Tham khảo</t>
        </is>
      </c>
      <c r="D35" s="41" t="inlineStr">
        <is>
          <t>9K37 Buk (hệ thống lớn)</t>
        </is>
      </c>
      <c r="E35" s="41" t="inlineStr">
        <is>
          <t>Mistral / RBS-70 / Starstreak LML (bệ nhỏ)</t>
        </is>
      </c>
      <c r="F35" s="41" t="inlineStr">
        <is>
          <t>Buk là hệ thống cỡ tiểu đoàn, không hợp tháp ô nhỏ.</t>
        </is>
      </c>
      <c r="G35" s="41" t="inlineStr">
        <is>
          <t>Mistral ATLAS, RBS-70</t>
        </is>
      </c>
      <c r="H35" s="48" t="inlineStr">
        <is>
          <t>Trung</t>
        </is>
      </c>
    </row>
    <row r="36" ht="15" customHeight="1" s="32">
      <c r="A36" s="39" t="inlineStr">
        <is>
          <t>aa_vehicle</t>
        </is>
      </c>
      <c r="B36" s="39" t="inlineStr">
        <is>
          <t>Xe phòng không</t>
        </is>
      </c>
      <c r="C36" s="39" t="inlineStr">
        <is>
          <t>Vũ khí: Stinger</t>
        </is>
      </c>
      <c r="D36" s="39" t="inlineStr">
        <is>
          <t>tốc độ 24 (bay 1,8 s)</t>
        </is>
      </c>
      <c r="E36" s="39" t="inlineStr">
        <is>
          <t>tốc độ 42 (bay 1,05 s)</t>
        </is>
      </c>
      <c r="F36" s="39" t="inlineStr">
        <is>
          <t>Tên lửa phải nhanh hơn mục tiêu (cường kích bay 32 m/s); hiện chậm hơn.</t>
        </is>
      </c>
      <c r="G36" s="39" t="inlineStr">
        <is>
          <t>Stinger: Mach 2,2</t>
        </is>
      </c>
      <c r="H36" s="48" t="inlineStr">
        <is>
          <t>Trung</t>
        </is>
      </c>
    </row>
    <row r="37" ht="15" customHeight="1" s="32">
      <c r="A37" s="41" t="inlineStr">
        <is>
          <t>aa_vehicle</t>
        </is>
      </c>
      <c r="B37" s="41" t="inlineStr">
        <is>
          <t>Xe phòng không</t>
        </is>
      </c>
      <c r="C37" s="41" t="inlineStr">
        <is>
          <t>Giáp (T/H/S/N)</t>
        </is>
      </c>
      <c r="D37" s="41" t="inlineStr">
        <is>
          <t>1/0/0/0</t>
        </is>
      </c>
      <c r="E37" s="41" t="inlineStr">
        <is>
          <t>2/1/1/0</t>
        </is>
      </c>
      <c r="F37" s="41" t="inlineStr">
        <is>
          <t>Gepard dùng khung Leopard 1.</t>
        </is>
      </c>
      <c r="G37" s="41" t="n"/>
      <c r="H37" s="48" t="inlineStr">
        <is>
          <t>Trung</t>
        </is>
      </c>
    </row>
    <row r="38" ht="21.75" customHeight="1" s="32">
      <c r="A38" s="39" t="inlineStr">
        <is>
          <t>argus</t>
        </is>
      </c>
      <c r="B38" s="39" t="inlineStr">
        <is>
          <t>Argus · Khí cầu trinh sát</t>
        </is>
      </c>
      <c r="C38" s="39" t="inlineStr">
        <is>
          <t>Máu</t>
        </is>
      </c>
      <c r="D38" s="42" t="n">
        <v>7410</v>
      </c>
      <c r="E38" s="39" t="inlineStr">
        <is>
          <t>10350–13800</t>
        </is>
      </c>
      <c r="F38" s="39" t="inlineStr">
        <is>
          <t>Theo thang máu boss mới (Tổng quan): mini boss bằng 45–60% boss chủ lực chương 10. Máu gốc trước scale chiến dịch.</t>
        </is>
      </c>
      <c r="G38" s="39" t="n"/>
      <c r="H38" s="48" t="inlineStr">
        <is>
          <t>Trung</t>
        </is>
      </c>
    </row>
    <row r="39" ht="15" customHeight="1" s="32">
      <c r="A39" s="41" t="inlineStr">
        <is>
          <t>armored_bulldozer</t>
        </is>
      </c>
      <c r="B39" s="41" t="inlineStr">
        <is>
          <t>Xe ủi bọc thép</t>
        </is>
      </c>
      <c r="C39" s="41" t="inlineStr">
        <is>
          <t>Tốc độ</t>
        </is>
      </c>
      <c r="D39" s="43" t="n">
        <v>5</v>
      </c>
      <c r="E39" s="41" t="inlineStr">
        <is>
          <t>4 m/s</t>
        </is>
      </c>
      <c r="F39" s="41" t="inlineStr">
        <is>
          <t>D9R thật chỉ ~15 km/h; giữ nhanh hơn thực tế một chút để không kẹt nhịp.</t>
        </is>
      </c>
      <c r="G39" s="41" t="n"/>
      <c r="H39" s="48" t="inlineStr">
        <is>
          <t>Trung</t>
        </is>
      </c>
    </row>
    <row r="40" ht="21.75" customHeight="1" s="32">
      <c r="A40" s="39" t="inlineStr">
        <is>
          <t>armored_train</t>
        </is>
      </c>
      <c r="B40" s="39" t="inlineStr">
        <is>
          <t>Juggernaut · Đoàn tàu bọc thép</t>
        </is>
      </c>
      <c r="C40" s="39" t="inlineStr">
        <is>
          <t>Máu</t>
        </is>
      </c>
      <c r="D40" s="42" t="n">
        <v>5820</v>
      </c>
      <c r="E40" s="39" t="inlineStr">
        <is>
          <t>7650–10200</t>
        </is>
      </c>
      <c r="F40" s="39" t="inlineStr">
        <is>
          <t>Theo thang máu boss mới (Tổng quan): mini boss bằng 45–60% boss chủ lực chương 4. Máu gốc trước scale chiến dịch.</t>
        </is>
      </c>
      <c r="G40" s="39" t="n"/>
      <c r="H40" s="48" t="inlineStr">
        <is>
          <t>Trung</t>
        </is>
      </c>
    </row>
    <row r="41" ht="15" customHeight="1" s="32">
      <c r="A41" s="41" t="inlineStr">
        <is>
          <t>artillery</t>
        </is>
      </c>
      <c r="B41" s="41" t="inlineStr">
        <is>
          <t>Pháo tự hành</t>
        </is>
      </c>
      <c r="C41" s="41" t="inlineStr">
        <is>
          <t>Giáp (T/H/S/N)</t>
        </is>
      </c>
      <c r="D41" s="41" t="inlineStr">
        <is>
          <t>1/0/0/0</t>
        </is>
      </c>
      <c r="E41" s="41" t="inlineStr">
        <is>
          <t>2/1/1/0</t>
        </is>
      </c>
      <c r="F41" s="41" t="inlineStr">
        <is>
          <t>M109 có giáp nhẹ chống mảnh (nếu đổi model sang M109).</t>
        </is>
      </c>
      <c r="G41" s="41" t="n"/>
      <c r="H41" s="48" t="inlineStr">
        <is>
          <t>Trung</t>
        </is>
      </c>
    </row>
    <row r="42" ht="21.75" customHeight="1" s="32">
      <c r="A42" s="39"/>
      <c r="B42" s="39"/>
      <c r="C42" s="39"/>
      <c r="D42" s="39"/>
      <c r="E42" s="39"/>
      <c r="F42" s="39"/>
      <c r="G42" s="39"/>
      <c r="H42" s="48"/>
    </row>
    <row r="43" ht="15" customHeight="1" s="32">
      <c r="A43" s="41" t="inlineStr">
        <is>
          <t>attack_helicopter</t>
        </is>
      </c>
      <c r="B43" s="41" t="inlineStr">
        <is>
          <t>Trực thăng tấn công</t>
        </is>
      </c>
      <c r="C43" s="41" t="inlineStr">
        <is>
          <t>Vũ khí: Hellfire, Stinger ATAS</t>
        </is>
      </c>
      <c r="D43" s="41" t="inlineStr">
        <is>
          <t>Hellfire tốc độ 24 · ATAS tốc độ 24</t>
        </is>
      </c>
      <c r="E43" s="41" t="inlineStr">
        <is>
          <t>Hellfire 26 (bay 2,1 s ở 55 m) · ATAS 42</t>
        </is>
      </c>
      <c r="F43" s="41" t="inlineStr">
        <is>
          <t>Thống nhất Hellfire mọi nơi; ATAS đủ nhanh để bắn trực thăng địch.</t>
        </is>
      </c>
      <c r="G43" s="41" t="inlineStr">
        <is>
          <t>Hellfire: Mach 1,3</t>
        </is>
      </c>
      <c r="H43" s="48" t="inlineStr">
        <is>
          <t>Trung</t>
        </is>
      </c>
    </row>
    <row r="44" ht="15" customHeight="1" s="32">
      <c r="A44" s="39" t="inlineStr">
        <is>
          <t>attack_jet</t>
        </is>
      </c>
      <c r="B44" s="39" t="inlineStr">
        <is>
          <t>Máy bay cường kích</t>
        </is>
      </c>
      <c r="C44" s="39" t="inlineStr">
        <is>
          <t>Vũ khí: GSh-30-2</t>
        </is>
      </c>
      <c r="D44" s="39" t="inlineStr">
        <is>
          <t>băng 94 viên</t>
        </is>
      </c>
      <c r="E44" s="39" t="inlineStr">
        <is>
          <t>băng 70 viên, nạp 1,5 s</t>
        </is>
      </c>
      <c r="F44" s="39" t="inlineStr">
        <is>
          <t>Lần cân bằng 2: vẫn mạnh sau khi tăng giá và bớt bom.</t>
        </is>
      </c>
      <c r="G44" s="39" t="inlineStr">
        <is>
          <t>Su-25: 250 viên cả lượt bay</t>
        </is>
      </c>
      <c r="H44" s="48" t="inlineStr">
        <is>
          <t>Trung</t>
        </is>
      </c>
    </row>
    <row r="45" ht="21.75" customHeight="1" s="32">
      <c r="A45" s="41" t="inlineStr">
        <is>
          <t>ballistic_launcher</t>
        </is>
      </c>
      <c r="B45" s="41" t="inlineStr">
        <is>
          <t>Xe phóng tên lửa đạn đạo</t>
        </is>
      </c>
      <c r="C45" s="41" t="inlineStr">
        <is>
          <t>Vũ khí: Iskander</t>
        </is>
      </c>
      <c r="D45" s="41" t="inlineStr">
        <is>
          <t>tốc độ 24 (bay 7,5 s) · nổ lan 12 m</t>
        </is>
      </c>
      <c r="E45" s="41" t="inlineStr">
        <is>
          <t>tốc độ 50 (bay 3,6 s) · nổ lan 10 m</t>
        </is>
      </c>
      <c r="F45" s="41" t="inlineStr">
        <is>
          <t>Tên lửa đạn đạo phải là thứ nhanh nhất; vẫn đủ thời gian cho PAC-3 đánh chặn.</t>
        </is>
      </c>
      <c r="G45" s="41" t="inlineStr">
        <is>
          <t>Iskander 9M723: đầu nổ ~480 kg</t>
        </is>
      </c>
      <c r="H45" s="48" t="inlineStr">
        <is>
          <t>Trung</t>
        </is>
      </c>
    </row>
    <row r="46" ht="15" customHeight="1" s="32">
      <c r="A46" s="39" t="inlineStr">
        <is>
          <t>bastion_mk0</t>
        </is>
      </c>
      <c r="B46" s="39" t="inlineStr">
        <is>
          <t>Bastion Mk.0 · Pháo đài nguyên mẫu</t>
        </is>
      </c>
      <c r="C46" s="39" t="inlineStr">
        <is>
          <t>Máu, giáp</t>
        </is>
      </c>
      <c r="D46" s="39" t="inlineStr">
        <is>
          <t>12.576 · 5/4/4/3</t>
        </is>
      </c>
      <c r="E46" s="39" t="inlineStr">
        <is>
          <t>~6.000 · trước 5→4</t>
        </is>
      </c>
      <c r="F46" s="39" t="inlineStr">
        <is>
          <t>Mini boss chương 1 nhiều máu hơn boss chủ lực chương 2.</t>
        </is>
      </c>
      <c r="G46" s="39" t="inlineStr">
        <is>
          <t>Thang máu boss</t>
        </is>
      </c>
      <c r="H46" s="48" t="inlineStr">
        <is>
          <t>Trung</t>
        </is>
      </c>
    </row>
    <row r="47" ht="15" customHeight="1" s="32">
      <c r="A47" s="41" t="inlineStr">
        <is>
          <t>behemoth</t>
        </is>
      </c>
      <c r="B47" s="41" t="inlineStr">
        <is>
          <t>Behemoth · Quái vật thép</t>
        </is>
      </c>
      <c r="C47" s="41" t="inlineStr">
        <is>
          <t>Máu</t>
        </is>
      </c>
      <c r="D47" s="41" t="inlineStr">
        <is>
          <t>10.115</t>
        </is>
      </c>
      <c r="E47" s="41" t="inlineStr">
        <is>
          <t>~13.000</t>
        </is>
      </c>
      <c r="F47" s="41" t="inlineStr">
        <is>
          <t>Boss chủ lực chương 2 ít máu hơn mini boss chương 1.</t>
        </is>
      </c>
      <c r="G47" s="41" t="inlineStr">
        <is>
          <t>Thang máu boss</t>
        </is>
      </c>
      <c r="H47" s="48" t="inlineStr">
        <is>
          <t>Trung</t>
        </is>
      </c>
    </row>
    <row r="48" ht="21.75" customHeight="1" s="32">
      <c r="A48" s="39" t="inlineStr">
        <is>
          <t>behemoth_mk2</t>
        </is>
      </c>
      <c r="B48" s="39" t="inlineStr">
        <is>
          <t>Behemoth Mk.II · Behemoth nâng cấp</t>
        </is>
      </c>
      <c r="C48" s="39" t="inlineStr">
        <is>
          <t>Máu</t>
        </is>
      </c>
      <c r="D48" s="42" t="n">
        <v>6942</v>
      </c>
      <c r="E48" s="39" t="inlineStr">
        <is>
          <t>8550–11400</t>
        </is>
      </c>
      <c r="F48" s="39" t="inlineStr">
        <is>
          <t>Theo thang máu boss mới (Tổng quan): mini boss bằng 45–60% boss chủ lực chương 6. Máu gốc trước scale chiến dịch.</t>
        </is>
      </c>
      <c r="G48" s="39" t="n"/>
      <c r="H48" s="48" t="inlineStr">
        <is>
          <t>Trung</t>
        </is>
      </c>
    </row>
    <row r="49" ht="21.75" customHeight="1" s="32">
      <c r="A49" s="41" t="inlineStr">
        <is>
          <t>behemoth_tempest</t>
        </is>
      </c>
      <c r="B49" s="41" t="inlineStr">
        <is>
          <t>Tempest · Behemoth pháo điện từ</t>
        </is>
      </c>
      <c r="C49" s="41" t="inlineStr">
        <is>
          <t>Máu</t>
        </is>
      </c>
      <c r="D49" s="43" t="n">
        <v>5820</v>
      </c>
      <c r="E49" s="41" t="inlineStr">
        <is>
          <t>7650–10200</t>
        </is>
      </c>
      <c r="F49" s="41" t="inlineStr">
        <is>
          <t>Theo thang máu boss mới (Tổng quan): mini boss bằng 45–60% boss chủ lực chương 4. Máu gốc trước scale chiến dịch.</t>
        </is>
      </c>
      <c r="G49" s="41" t="n"/>
      <c r="H49" s="48" t="inlineStr">
        <is>
          <t>Trung</t>
        </is>
      </c>
    </row>
    <row r="50" ht="15" customHeight="1" s="32">
      <c r="A50" s="39"/>
      <c r="B50" s="39"/>
      <c r="C50" s="39"/>
      <c r="D50" s="39"/>
      <c r="E50" s="39"/>
      <c r="F50" s="39"/>
      <c r="G50" s="39"/>
      <c r="H50" s="48"/>
    </row>
    <row r="51" ht="15" customHeight="1" s="32">
      <c r="A51" s="41"/>
      <c r="B51" s="41"/>
      <c r="C51" s="41"/>
      <c r="D51" s="41"/>
      <c r="E51" s="41"/>
      <c r="F51" s="41"/>
      <c r="G51" s="41"/>
      <c r="H51" s="48"/>
    </row>
    <row r="52" ht="15" customHeight="1" s="32">
      <c r="A52" s="39" t="inlineStr">
        <is>
          <t>c_ram</t>
        </is>
      </c>
      <c r="B52" s="39" t="inlineStr">
        <is>
          <t>Trạm C-RAM</t>
        </is>
      </c>
      <c r="C52" s="39" t="inlineStr">
        <is>
          <t>Vũ khí: Phalanx 20 mm</t>
        </is>
      </c>
      <c r="D52" s="39" t="inlineStr">
        <is>
          <t>13/phát · 8,2 viên/s · băng 23</t>
        </is>
      </c>
      <c r="E52" s="39" t="inlineStr">
        <is>
          <t>2/phát · 50 viên/s · băng 200 (giữ khả năng đánh chặn)</t>
        </is>
      </c>
      <c r="F52" s="39" t="inlineStr">
        <is>
          <t>Không có cảm giác luồng đạn CIWS.</t>
        </is>
      </c>
      <c r="G52" s="39" t="inlineStr">
        <is>
          <t>Phalanx: 4.500 phát/phút</t>
        </is>
      </c>
      <c r="H52" s="48" t="inlineStr">
        <is>
          <t>Trung</t>
        </is>
      </c>
    </row>
    <row r="53" ht="21.75" customHeight="1" s="32">
      <c r="A53" s="41" t="inlineStr">
        <is>
          <t>caspian</t>
        </is>
      </c>
      <c r="B53" s="41" t="inlineStr">
        <is>
          <t>Caspian · Tàu bay sát mặt nước</t>
        </is>
      </c>
      <c r="C53" s="41" t="inlineStr">
        <is>
          <t>Máu</t>
        </is>
      </c>
      <c r="D53" s="43" t="n">
        <v>7597</v>
      </c>
      <c r="E53" s="41" t="inlineStr">
        <is>
          <t>9900–13200</t>
        </is>
      </c>
      <c r="F53" s="41" t="inlineStr">
        <is>
          <t>Theo thang máu boss mới (Tổng quan): mini boss bằng 45–60% boss chủ lực chương 9. Máu gốc trước scale chiến dịch.</t>
        </is>
      </c>
      <c r="G53" s="41" t="n"/>
      <c r="H53" s="48" t="inlineStr">
        <is>
          <t>Trung</t>
        </is>
      </c>
    </row>
    <row r="54" ht="21.75" customHeight="1" s="32">
      <c r="A54" s="39" t="inlineStr">
        <is>
          <t>command_airship</t>
        </is>
      </c>
      <c r="B54" s="39" t="inlineStr">
        <is>
          <t>Roc · Khí cầu chỉ huy</t>
        </is>
      </c>
      <c r="C54" s="39" t="inlineStr">
        <is>
          <t>Máu</t>
        </is>
      </c>
      <c r="D54" s="42" t="n">
        <v>16575</v>
      </c>
      <c r="E54" s="39" t="inlineStr">
        <is>
          <t>20700–25300</t>
        </is>
      </c>
      <c r="F54" s="39" t="inlineStr">
        <is>
          <t>Theo thang máu boss mới (Tổng quan): boss chủ lực chương 10. Máu gốc trước scale chiến dịch.</t>
        </is>
      </c>
      <c r="G54" s="39" t="n"/>
      <c r="H54" s="48" t="inlineStr">
        <is>
          <t>Trung</t>
        </is>
      </c>
    </row>
    <row r="55" ht="15" customHeight="1" s="32">
      <c r="A55" s="41" t="inlineStr">
        <is>
          <t>command_vehicle</t>
        </is>
      </c>
      <c r="B55" s="41" t="inlineStr">
        <is>
          <t>Xe chỉ huy</t>
        </is>
      </c>
      <c r="C55" s="41" t="inlineStr">
        <is>
          <t>Giáp (T/H/S/N)</t>
        </is>
      </c>
      <c r="D55" s="41" t="inlineStr">
        <is>
          <t>2/1/0/0</t>
        </is>
      </c>
      <c r="E55" s="41" t="inlineStr">
        <is>
          <t>1/1/0/0</t>
        </is>
      </c>
      <c r="F55" s="41" t="inlineStr">
        <is>
          <t>Stryker bọc thép nhẹ.</t>
        </is>
      </c>
      <c r="G55" s="41" t="n"/>
      <c r="H55" s="48" t="inlineStr">
        <is>
          <t>Trung</t>
        </is>
      </c>
    </row>
    <row r="56" ht="15" customHeight="1" s="32">
      <c r="A56" s="39" t="inlineStr">
        <is>
          <t>daedalus</t>
        </is>
      </c>
      <c r="B56" s="39" t="inlineStr">
        <is>
          <t>Daedalus · Tàu đổ bộ quỹ đạo</t>
        </is>
      </c>
      <c r="C56" s="39" t="inlineStr">
        <is>
          <t>Kích thước</t>
        </is>
      </c>
      <c r="D56" s="39" t="inlineStr">
        <is>
          <t>36.4 × 20.4 × 11.8</t>
        </is>
      </c>
      <c r="E56" s="39" t="inlineStr">
        <is>
          <t>~45 × 26 m</t>
        </is>
      </c>
      <c r="F56" s="39" t="inlineStr">
        <is>
          <t>Boss chủ lực chương 11 nhỏ hơn mini boss Caspian.</t>
        </is>
      </c>
      <c r="G56" s="39" t="n"/>
      <c r="H56" s="48" t="inlineStr">
        <is>
          <t>Trung</t>
        </is>
      </c>
    </row>
    <row r="57" ht="15" customHeight="1" s="32">
      <c r="A57" s="41" t="inlineStr">
        <is>
          <t>engineer_vehicle</t>
        </is>
      </c>
      <c r="B57" s="41" t="inlineStr">
        <is>
          <t>Xe công binh</t>
        </is>
      </c>
      <c r="C57" s="41" t="inlineStr">
        <is>
          <t>Giáp (T/H/S/N)</t>
        </is>
      </c>
      <c r="D57" s="41" t="inlineStr">
        <is>
          <t>2/1/0/0</t>
        </is>
      </c>
      <c r="E57" s="41" t="inlineStr">
        <is>
          <t>2/1/1/0</t>
        </is>
      </c>
      <c r="F57" s="41" t="inlineStr">
        <is>
          <t>Khung xe tăng cứu kéo.</t>
        </is>
      </c>
      <c r="G57" s="41" t="n"/>
      <c r="H57" s="48" t="inlineStr">
        <is>
          <t>Trung</t>
        </is>
      </c>
    </row>
    <row r="58" ht="21.75" customHeight="1" s="32">
      <c r="A58" s="39" t="inlineStr">
        <is>
          <t>flame_tank</t>
        </is>
      </c>
      <c r="B58" s="39" t="inlineStr">
        <is>
          <t>Tăng phun lửa</t>
        </is>
      </c>
      <c r="C58" s="39" t="inlineStr">
        <is>
          <t>Kích thước model (dài × rộng × cao)</t>
        </is>
      </c>
      <c r="D58" s="39" t="inlineStr">
        <is>
          <t>5.0 × 2.8 × 2.7</t>
        </is>
      </c>
      <c r="E58" s="39" t="inlineStr">
        <is>
          <t>7.2 × 2.6 × 1.9</t>
        </is>
      </c>
      <c r="F58" s="39" t="inlineStr">
        <is>
          <t>Mẫu thật TO-55 (khung T-55): 9.0 × 3.3 m; theo tỷ lệ chung (mặt đất 0,8) nên là 7.2 × 2.6 m. Đổi kích thước thì chỉnh vùng va chạm và chạy lại test xe kẹt.</t>
        </is>
      </c>
      <c r="G58" s="39" t="n"/>
      <c r="H58" s="48" t="inlineStr">
        <is>
          <t>Trung</t>
        </is>
      </c>
    </row>
    <row r="59" ht="15" customHeight="1" s="32">
      <c r="A59" s="41" t="inlineStr">
        <is>
          <t>fortress_bastion</t>
        </is>
      </c>
      <c r="B59" s="41" t="inlineStr">
        <is>
          <t>Bastion · Pháo đài</t>
        </is>
      </c>
      <c r="C59" s="41" t="inlineStr">
        <is>
          <t>Máu</t>
        </is>
      </c>
      <c r="D59" s="41" t="inlineStr">
        <is>
          <t>17.935 (chương 1)</t>
        </is>
      </c>
      <c r="E59" s="41" t="inlineStr">
        <is>
          <t>~12.000</t>
        </is>
      </c>
      <c r="F59" s="41" t="inlineStr">
        <is>
          <t>Boss chương 1 gần bằng boss chương 9–12.</t>
        </is>
      </c>
      <c r="G59" s="41" t="inlineStr">
        <is>
          <t>Thang máu boss</t>
        </is>
      </c>
      <c r="H59" s="48" t="inlineStr">
        <is>
          <t>Trung</t>
        </is>
      </c>
    </row>
    <row r="60" ht="21.75" customHeight="1" s="32">
      <c r="A60" s="39" t="inlineStr">
        <is>
          <t>fortress_hive</t>
        </is>
      </c>
      <c r="B60" s="39" t="inlineStr">
        <is>
          <t>Hive · Pháo đài drone</t>
        </is>
      </c>
      <c r="C60" s="39" t="inlineStr">
        <is>
          <t>Máu</t>
        </is>
      </c>
      <c r="D60" s="42" t="n">
        <v>7597</v>
      </c>
      <c r="E60" s="39" t="inlineStr">
        <is>
          <t>8100–10800</t>
        </is>
      </c>
      <c r="F60" s="39" t="inlineStr">
        <is>
          <t>Theo thang máu boss mới (Tổng quan): mini boss bằng 45–60% boss chủ lực chương 5. Máu gốc trước scale chiến dịch.</t>
        </is>
      </c>
      <c r="G60" s="39" t="n"/>
      <c r="H60" s="48" t="inlineStr">
        <is>
          <t>Trung</t>
        </is>
      </c>
    </row>
    <row r="61" ht="15" customHeight="1" s="32">
      <c r="A61" s="41" t="inlineStr">
        <is>
          <t>gun_turret.long</t>
        </is>
      </c>
      <c r="B61" s="41" t="inlineStr">
        <is>
          <t>Tháp pháo · nhánh Pháo bắn tỉa</t>
        </is>
      </c>
      <c r="C61" s="41" t="inlineStr">
        <is>
          <t>Vũ khí: 120 mm L/55</t>
        </is>
      </c>
      <c r="D61" s="41" t="inlineStr">
        <is>
          <t>DPS 48/62 (thấp hơn bản gốc 65/83)</t>
        </is>
      </c>
      <c r="E61" s="41" t="inlineStr">
        <is>
          <t>phát đầu tiên vào mục tiêu mới +50% sát thương, hoặc xuyên +1 cấp</t>
        </is>
      </c>
      <c r="F61" s="41" t="inlineStr">
        <is>
          <t>Nhánh bắn tỉa cần một ưu thế rõ ngoài tầm.</t>
        </is>
      </c>
      <c r="G61" s="41" t="inlineStr">
        <is>
          <t>Rh-120 L/55: sơ tốc cao hơn L/44</t>
        </is>
      </c>
      <c r="H61" s="48" t="inlineStr">
        <is>
          <t>Trung</t>
        </is>
      </c>
    </row>
    <row r="62" ht="21.75" customHeight="1" s="32">
      <c r="A62" s="39"/>
      <c r="B62" s="39"/>
      <c r="C62" s="39"/>
      <c r="D62" s="39"/>
      <c r="E62" s="39"/>
      <c r="F62" s="39"/>
      <c r="G62" s="39"/>
      <c r="H62" s="48"/>
    </row>
    <row r="63" ht="15" customHeight="1" s="32">
      <c r="A63" s="41"/>
      <c r="B63" s="41"/>
      <c r="C63" s="41"/>
      <c r="D63" s="41"/>
      <c r="E63" s="41"/>
      <c r="F63" s="41"/>
      <c r="G63" s="41"/>
      <c r="H63" s="48"/>
    </row>
    <row r="64" ht="21.75" customHeight="1" s="32">
      <c r="A64" s="39"/>
      <c r="B64" s="39"/>
      <c r="C64" s="39"/>
      <c r="D64" s="42"/>
      <c r="E64" s="39"/>
      <c r="F64" s="39"/>
      <c r="G64" s="39"/>
      <c r="H64" s="48"/>
    </row>
    <row r="65" ht="15" customHeight="1" s="32">
      <c r="A65" s="41" t="inlineStr">
        <is>
          <t>heavy_aa</t>
        </is>
      </c>
      <c r="B65" s="41" t="inlineStr">
        <is>
          <t>Pháo tên lửa phòng không</t>
        </is>
      </c>
      <c r="C65" s="41" t="inlineStr">
        <is>
          <t>Giá</t>
        </is>
      </c>
      <c r="D65" s="41" t="inlineStr">
        <is>
          <t>6 CP (rẻ hơn Buk 7 CP)</t>
        </is>
      </c>
      <c r="E65" s="41" t="inlineStr">
        <is>
          <t>7 CP</t>
        </is>
      </c>
      <c r="F65" s="41" t="inlineStr">
        <is>
          <t>Pantsir đắt ngang hoặc hơn Buk ngoài đời, hiệu quả 1,14 × trung vị.</t>
        </is>
      </c>
      <c r="G65" s="41" t="inlineStr">
        <is>
          <t>Pantsir-S1 ~13–15 triệu USD</t>
        </is>
      </c>
      <c r="H65" s="48" t="inlineStr">
        <is>
          <t>Trung</t>
        </is>
      </c>
    </row>
    <row r="66" ht="15" customHeight="1" s="32">
      <c r="A66" s="39" t="inlineStr">
        <is>
          <t>heavy_bomber</t>
        </is>
      </c>
      <c r="B66" s="39" t="inlineStr">
        <is>
          <t>Oanh tạc cơ hạng nặng</t>
        </is>
      </c>
      <c r="C66" s="39" t="inlineStr">
        <is>
          <t>Vũ khí: Kh-101</t>
        </is>
      </c>
      <c r="D66" s="39" t="inlineStr">
        <is>
          <t>nổ lan 6 m · tốc độ 17</t>
        </is>
      </c>
      <c r="E66" s="39" t="inlineStr">
        <is>
          <t>nổ lan 9 m · tốc độ 22 (bay 5 s)</t>
        </is>
      </c>
      <c r="F66" s="39" t="inlineStr">
        <is>
          <t>Như JASSM.</t>
        </is>
      </c>
      <c r="G66" s="39" t="inlineStr">
        <is>
          <t>Kh-101: đầu nổ 400 kg</t>
        </is>
      </c>
      <c r="H66" s="48" t="inlineStr">
        <is>
          <t>Trung</t>
        </is>
      </c>
    </row>
    <row r="67" ht="21.75" customHeight="1" s="32">
      <c r="A67" s="41" t="inlineStr">
        <is>
          <t>heavy_bomber</t>
        </is>
      </c>
      <c r="B67" s="41" t="inlineStr">
        <is>
          <t>Oanh tạc cơ hạng nặng</t>
        </is>
      </c>
      <c r="C67" s="41" t="inlineStr">
        <is>
          <t>Vũ khí: FAB-500</t>
        </is>
      </c>
      <c r="D67" s="41" t="inlineStr">
        <is>
          <t>9 quả mỗi lượt</t>
        </is>
      </c>
      <c r="E67" s="41" t="inlineStr">
        <is>
          <t>7 quả mỗi lượt</t>
        </is>
      </c>
      <c r="F67" s="41" t="inlineStr">
        <is>
          <t>Lần cân bằng 2: vẫn mạnh hơn trung vị máy bay cả khi đo DPS và giá trị thực chiến.</t>
        </is>
      </c>
      <c r="G67" s="41" t="inlineStr">
        <is>
          <t>B-52</t>
        </is>
      </c>
      <c r="H67" s="48" t="inlineStr">
        <is>
          <t>Trung</t>
        </is>
      </c>
    </row>
    <row r="68" ht="21.75" customHeight="1" s="32">
      <c r="A68" s="39" t="inlineStr">
        <is>
          <t>heavy_tank</t>
        </is>
      </c>
      <c r="B68" s="39" t="inlineStr">
        <is>
          <t>Tăng hạng nặng</t>
        </is>
      </c>
      <c r="C68" s="39" t="inlineStr">
        <is>
          <t>Tham khảo, giá</t>
        </is>
      </c>
      <c r="D68" s="39" t="inlineStr">
        <is>
          <t>tham khảo T-14 (danh sách giữ lại) · 12 CP (hiệu quả 1,16)</t>
        </is>
      </c>
      <c r="E68" s="39" t="inlineStr">
        <is>
          <t>bỏ T-14 khỏi tham khảo, giữ Object 195 / T-95 · giá 13 CP</t>
        </is>
      </c>
      <c r="F68" s="39" t="inlineStr">
        <is>
          <t>Tránh vướng danh sách giữ lại; hơi mạnh so với giá.</t>
        </is>
      </c>
      <c r="G68" s="39" t="inlineStr">
        <is>
          <t>Object 195</t>
        </is>
      </c>
      <c r="H68" s="48" t="inlineStr">
        <is>
          <t>Trung</t>
        </is>
      </c>
    </row>
    <row r="69" ht="21.75" customHeight="1" s="32">
      <c r="A69" s="41" t="inlineStr">
        <is>
          <t>heavy_tank</t>
        </is>
      </c>
      <c r="B69" s="41" t="inlineStr">
        <is>
          <t>Tăng hạng nặng</t>
        </is>
      </c>
      <c r="C69" s="41" t="inlineStr">
        <is>
          <t>Tốc độ xoay thân / tháp</t>
        </is>
      </c>
      <c r="D69" s="41" t="inlineStr">
        <is>
          <t>1 / 1</t>
        </is>
      </c>
      <c r="E69" s="41" t="inlineStr">
        <is>
          <t>1 / 2</t>
        </is>
      </c>
      <c r="F69" s="41" t="inlineStr">
        <is>
          <t>Tháp pháo xe tăng thật xoay nhanh hơn thân (~40°/s); hiện bằng thân. Lưu ý: đơn vị ghi °/s nhưng giá trị 1–6 có vẻ là rad/s, cần kiểm lại nhãn.</t>
        </is>
      </c>
      <c r="G69" s="41" t="n"/>
      <c r="H69" s="48" t="inlineStr">
        <is>
          <t>Trung</t>
        </is>
      </c>
    </row>
    <row r="70" ht="21.75" customHeight="1" s="32">
      <c r="A70" s="39" t="inlineStr">
        <is>
          <t>heavy_turret</t>
        </is>
      </c>
      <c r="B70" s="39" t="inlineStr">
        <is>
          <t>Pháo đài hạng nặng</t>
        </is>
      </c>
      <c r="C70" s="39" t="inlineStr">
        <is>
          <t>Vũ khí: 155 mm đôi</t>
        </is>
      </c>
      <c r="D70" s="39" t="inlineStr">
        <is>
          <t>138/98 · chỉ đạn nổ mạnh (xuyên 3)</t>
        </is>
      </c>
      <c r="E70" s="39" t="inlineStr">
        <is>
          <t>thêm đạn xuyên 155 mm (xuyên 4, ~300/phát), tự đổi như Tăng hạng nặng; nổ lan 4,5→7 m</t>
        </is>
      </c>
      <c r="F70" s="39" t="inlineStr">
        <is>
          <t>Chống xe nặng dưới mục tiêu 140; bán kính nổ lệch các khẩu 155 khác.</t>
        </is>
      </c>
      <c r="G70" s="39" t="inlineStr">
        <is>
          <t>Pháo bờ biển 155 mm</t>
        </is>
      </c>
      <c r="H70" s="48" t="inlineStr">
        <is>
          <t>Trung</t>
        </is>
      </c>
    </row>
    <row r="71" ht="21.75" customHeight="1" s="32">
      <c r="A71" s="41" t="inlineStr">
        <is>
          <t>icarus_mk0</t>
        </is>
      </c>
      <c r="B71" s="41" t="inlineStr">
        <is>
          <t>Icarus Mk.0 · Phi thuyền nguyên mẫu</t>
        </is>
      </c>
      <c r="C71" s="41" t="inlineStr">
        <is>
          <t>Máu</t>
        </is>
      </c>
      <c r="D71" s="43" t="n">
        <v>8696</v>
      </c>
      <c r="E71" s="41" t="inlineStr">
        <is>
          <t>10350–13800</t>
        </is>
      </c>
      <c r="F71" s="41" t="inlineStr">
        <is>
          <t>Theo thang máu boss mới (Tổng quan): mini boss bằng 45–60% boss chủ lực chương 10. Máu gốc trước scale chiến dịch.</t>
        </is>
      </c>
      <c r="G71" s="41" t="n"/>
      <c r="H71" s="48" t="inlineStr">
        <is>
          <t>Trung</t>
        </is>
      </c>
    </row>
    <row r="72" ht="15" customHeight="1" s="32">
      <c r="A72" s="39" t="inlineStr">
        <is>
          <t>ifv</t>
        </is>
      </c>
      <c r="B72" s="39" t="inlineStr">
        <is>
          <t>Xe chiến đấu bộ binh</t>
        </is>
      </c>
      <c r="C72" s="39" t="inlineStr">
        <is>
          <t>Vũ khí: 2A42 30 mm</t>
        </is>
      </c>
      <c r="D72" s="39" t="inlineStr">
        <is>
          <t>22/phát · 4,9 viên/s liên tục · băng 26</t>
        </is>
      </c>
      <c r="E72" s="39" t="inlineStr">
        <is>
          <t>22/phát · loạt 10 viên ở 9 viên/s · nghỉ 1,5 s · DPS duy trì giữ ~94</t>
        </is>
      </c>
      <c r="F72" s="39" t="inlineStr">
        <is>
          <t>Ngoài đời 2A42 bắn loạt nhanh; cảm giác "xả loạt" khác súng máy.</t>
        </is>
      </c>
      <c r="G72" s="39" t="inlineStr">
        <is>
          <t>2A42: 550–800 phát/phút</t>
        </is>
      </c>
      <c r="H72" s="48" t="inlineStr">
        <is>
          <t>Trung</t>
        </is>
      </c>
    </row>
    <row r="73" ht="21.75" customHeight="1" s="32">
      <c r="A73" s="41" t="inlineStr">
        <is>
          <t>ifv</t>
        </is>
      </c>
      <c r="B73" s="41" t="inlineStr">
        <is>
          <t>Xe chiến đấu bộ binh</t>
        </is>
      </c>
      <c r="C73" s="41" t="inlineStr">
        <is>
          <t>Vũ khí: TOW-2</t>
        </is>
      </c>
      <c r="D73" s="41" t="inlineStr">
        <is>
          <t>tầm 34 m · tốc độ 19</t>
        </is>
      </c>
      <c r="E73" s="41" t="inlineStr">
        <is>
          <t>tầm 40 m · tốc độ 20 (bay 2,0 s tới tầm tối đa)</t>
        </is>
      </c>
      <c r="F73" s="41" t="inlineStr">
        <is>
          <t>Tên lửa chống tăng phải bắn xa hơn pháo xe tăng (34 m), nếu không thì không có lý do mang.</t>
        </is>
      </c>
      <c r="G73" s="41" t="inlineStr">
        <is>
          <t>TOW-2: 3,75 km, xa hơn tầm giao chiến pháo tăng 2–3 km</t>
        </is>
      </c>
      <c r="H73" s="48" t="inlineStr">
        <is>
          <t>Trung</t>
        </is>
      </c>
    </row>
    <row r="74" ht="21.75" customHeight="1" s="32">
      <c r="A74" s="39" t="inlineStr">
        <is>
          <t>ifv</t>
        </is>
      </c>
      <c r="B74" s="39" t="inlineStr">
        <is>
          <t>Xe chiến đấu bộ binh</t>
        </is>
      </c>
      <c r="C74" s="39" t="inlineStr">
        <is>
          <t>Tốc độ</t>
        </is>
      </c>
      <c r="D74" s="42" t="n">
        <v>9</v>
      </c>
      <c r="E74" s="39" t="inlineStr">
        <is>
          <t>8 m/s</t>
        </is>
      </c>
      <c r="F74" s="39" t="inlineStr">
        <is>
          <t>Bradley và tăng chủ lực chạy gần như ngang nhau ngoài đời; hiện IFV nhanh gấp rưỡi tăng.</t>
        </is>
      </c>
      <c r="G74" s="39" t="n"/>
      <c r="H74" s="48" t="inlineStr">
        <is>
          <t>Trung</t>
        </is>
      </c>
    </row>
    <row r="75" ht="21.75" customHeight="1" s="32">
      <c r="A75" s="41" t="inlineStr">
        <is>
          <t>ixion</t>
        </is>
      </c>
      <c r="B75" s="41" t="inlineStr">
        <is>
          <t>Ixion · Xe bánh khổng lồ</t>
        </is>
      </c>
      <c r="C75" s="41" t="inlineStr">
        <is>
          <t>Máu</t>
        </is>
      </c>
      <c r="D75" s="43" t="n">
        <v>7574</v>
      </c>
      <c r="E75" s="41" t="inlineStr">
        <is>
          <t>9450–12600</t>
        </is>
      </c>
      <c r="F75" s="41" t="inlineStr">
        <is>
          <t>Theo thang máu boss mới (Tổng quan): mini boss bằng 45–60% boss chủ lực chương 8. Máu gốc trước scale chiến dịch.</t>
        </is>
      </c>
      <c r="G75" s="41" t="n"/>
      <c r="H75" s="48" t="inlineStr">
        <is>
          <t>Trung</t>
        </is>
      </c>
    </row>
    <row r="76" ht="21.75" customHeight="1" s="32">
      <c r="A76" s="39" t="inlineStr">
        <is>
          <t>kronos</t>
        </is>
      </c>
      <c r="B76" s="39" t="inlineStr">
        <is>
          <t>Kronos · Máy xúc mỏ</t>
        </is>
      </c>
      <c r="C76" s="39" t="inlineStr">
        <is>
          <t>Máu</t>
        </is>
      </c>
      <c r="D76" s="42" t="n">
        <v>18360</v>
      </c>
      <c r="E76" s="39" t="inlineStr">
        <is>
          <t>18900–23100</t>
        </is>
      </c>
      <c r="F76" s="39" t="inlineStr">
        <is>
          <t>Theo thang máu boss mới (Tổng quan): boss chủ lực chương 8. Máu gốc trước scale chiến dịch.</t>
        </is>
      </c>
      <c r="G76" s="39" t="n"/>
      <c r="H76" s="48" t="inlineStr">
        <is>
          <t>Trung</t>
        </is>
      </c>
    </row>
    <row r="77" ht="21.75" customHeight="1" s="32">
      <c r="A77" s="41" t="inlineStr">
        <is>
          <t>landing_hovercraft</t>
        </is>
      </c>
      <c r="B77" s="41" t="inlineStr">
        <is>
          <t>Charybdis · Tàu đệm khí đổ bộ</t>
        </is>
      </c>
      <c r="C77" s="41" t="inlineStr">
        <is>
          <t>Máu</t>
        </is>
      </c>
      <c r="D77" s="43" t="n">
        <v>7293</v>
      </c>
      <c r="E77" s="41" t="inlineStr">
        <is>
          <t>8550–11400</t>
        </is>
      </c>
      <c r="F77" s="41" t="inlineStr">
        <is>
          <t>Theo thang máu boss mới (Tổng quan): mini boss bằng 45–60% boss chủ lực chương 6. Máu gốc trước scale chiến dịch.</t>
        </is>
      </c>
      <c r="G77" s="41" t="n"/>
      <c r="H77" s="48" t="inlineStr">
        <is>
          <t>Trung</t>
        </is>
      </c>
    </row>
    <row r="78" ht="15" customHeight="1" s="32">
      <c r="A78" s="39" t="inlineStr">
        <is>
          <t>laser_tank</t>
        </is>
      </c>
      <c r="B78" s="39" t="inlineStr">
        <is>
          <t>Xe la-de tập trung</t>
        </is>
      </c>
      <c r="C78" s="39" t="inlineStr">
        <is>
          <t>Giá, tăng dần</t>
        </is>
      </c>
      <c r="D78" s="39" t="inlineStr">
        <is>
          <t>10 CP (hiệu quả 0,72) · đạt ×2 sau 6 s</t>
        </is>
      </c>
      <c r="E78" s="39" t="inlineStr">
        <is>
          <t>9 CP · đạt ×2 sau 4 s</t>
        </is>
      </c>
      <c r="F78" s="39" t="inlineStr">
        <is>
          <t>Kém Pháo điện từ rẻ hơn ở chính vai trò diệt tăng.</t>
        </is>
      </c>
      <c r="G78" s="39" t="inlineStr">
        <is>
          <t>Rheinmetall HEL</t>
        </is>
      </c>
      <c r="H78" s="48" t="inlineStr">
        <is>
          <t>Trung</t>
        </is>
      </c>
    </row>
    <row r="79" ht="15" customHeight="1" s="32">
      <c r="A79" s="41" t="inlineStr">
        <is>
          <t>laser_tank</t>
        </is>
      </c>
      <c r="B79" s="41" t="inlineStr">
        <is>
          <t>Xe la-de tập trung</t>
        </is>
      </c>
      <c r="C79" s="41" t="inlineStr">
        <is>
          <t>Giáp (T/H/S/N)</t>
        </is>
      </c>
      <c r="D79" s="41" t="inlineStr">
        <is>
          <t>3/2/1/1</t>
        </is>
      </c>
      <c r="E79" s="41" t="inlineStr">
        <is>
          <t>2/1/1/1</t>
        </is>
      </c>
      <c r="F79" s="41" t="inlineStr">
        <is>
          <t>Xe mang laser không phải xe tăng hạng nặng.</t>
        </is>
      </c>
      <c r="G79" s="41" t="n"/>
      <c r="H79" s="48" t="inlineStr">
        <is>
          <t>Trung</t>
        </is>
      </c>
    </row>
    <row r="80" ht="15" customHeight="1" s="32">
      <c r="A80" s="39" t="inlineStr">
        <is>
          <t>leviathan</t>
        </is>
      </c>
      <c r="B80" s="39" t="inlineStr">
        <is>
          <t>Leviathan · Thiết giáp hạm</t>
        </is>
      </c>
      <c r="C80" s="39" t="inlineStr">
        <is>
          <t>Vũ khí: 460 mm</t>
        </is>
      </c>
      <c r="D80" s="39" t="inlineStr">
        <is>
          <t>nổ lan 7 m</t>
        </is>
      </c>
      <c r="E80" s="39" t="inlineStr">
        <is>
          <t>nổ lan 13 m</t>
        </is>
      </c>
      <c r="F80" s="39" t="inlineStr">
        <is>
          <t>Đạn 1,46 tấn đang nổ nhỏ hơn cối 240 mm.</t>
        </is>
      </c>
      <c r="G80" s="39" t="inlineStr">
        <is>
          <t>Type 94 460 mm</t>
        </is>
      </c>
      <c r="H80" s="48" t="inlineStr">
        <is>
          <t>Trung</t>
        </is>
      </c>
    </row>
    <row r="81" ht="21.75" customHeight="1" s="32">
      <c r="A81" s="41" t="inlineStr">
        <is>
          <t>locust</t>
        </is>
      </c>
      <c r="B81" s="41" t="inlineStr">
        <is>
          <t>Locust · Tàu con drone</t>
        </is>
      </c>
      <c r="C81" s="41" t="inlineStr">
        <is>
          <t>Máu</t>
        </is>
      </c>
      <c r="D81" s="43" t="n">
        <v>6311</v>
      </c>
      <c r="E81" s="41" t="inlineStr">
        <is>
          <t>8100–10800</t>
        </is>
      </c>
      <c r="F81" s="41" t="inlineStr">
        <is>
          <t>Theo thang máu boss mới (Tổng quan): mini boss bằng 45–60% boss chủ lực chương 5. Máu gốc trước scale chiến dịch.</t>
        </is>
      </c>
      <c r="G81" s="41" t="n"/>
      <c r="H81" s="48" t="inlineStr">
        <is>
          <t>Trung</t>
        </is>
      </c>
    </row>
    <row r="82" ht="15" customHeight="1" s="32">
      <c r="A82" s="39" t="inlineStr">
        <is>
          <t>long_sam</t>
        </is>
      </c>
      <c r="B82" s="39" t="inlineStr">
        <is>
          <t>Tên lửa phòng không tầm xa</t>
        </is>
      </c>
      <c r="C82" s="39" t="inlineStr">
        <is>
          <t>Vũ khí: 48N6</t>
        </is>
      </c>
      <c r="D82" s="39" t="inlineStr">
        <is>
          <t>tốc độ 24 (bay 4,0 s)</t>
        </is>
      </c>
      <c r="E82" s="39" t="inlineStr">
        <is>
          <t>tốc độ 65 (bay 1,5 s)</t>
        </is>
      </c>
      <c r="F82" s="39" t="inlineStr">
        <is>
          <t>Tên lửa tầm xa cần nhanh để trúng máy bay ở rìa tầm.</t>
        </is>
      </c>
      <c r="G82" s="39" t="inlineStr">
        <is>
          <t>48N6: Mach 6</t>
        </is>
      </c>
      <c r="H82" s="48" t="inlineStr">
        <is>
          <t>Trung</t>
        </is>
      </c>
    </row>
    <row r="83" ht="21.75" customHeight="1" s="32">
      <c r="A83" s="41" t="inlineStr">
        <is>
          <t>main_battle_tank</t>
        </is>
      </c>
      <c r="B83" s="41" t="inlineStr">
        <is>
          <t>Tăng chủ lực</t>
        </is>
      </c>
      <c r="C83" s="41" t="inlineStr">
        <is>
          <t>Giáp (T/H/S/N)</t>
        </is>
      </c>
      <c r="D83" s="41" t="inlineStr">
        <is>
          <t>3/2/1/1</t>
        </is>
      </c>
      <c r="E83" s="41" t="inlineStr">
        <is>
          <t>4/2/1/1</t>
        </is>
      </c>
      <c r="F83" s="41" t="inlineStr">
        <is>
          <t>Giáp trước tăng chủ lực hiện đại chịu được tên lửa chống tăng thường (mặt trước tốt nhất trong nhóm xe thường).</t>
        </is>
      </c>
      <c r="G83" s="41" t="n"/>
      <c r="H83" s="48" t="inlineStr">
        <is>
          <t>Trung</t>
        </is>
      </c>
    </row>
    <row r="84" ht="15" customHeight="1" s="32">
      <c r="A84" s="39" t="inlineStr">
        <is>
          <t>main_battle_tank</t>
        </is>
      </c>
      <c r="B84" s="39" t="inlineStr">
        <is>
          <t>Tăng chủ lực</t>
        </is>
      </c>
      <c r="C84" s="39" t="inlineStr">
        <is>
          <t>Tốc độ</t>
        </is>
      </c>
      <c r="D84" s="42" t="n">
        <v>6</v>
      </c>
      <c r="E84" s="39" t="inlineStr">
        <is>
          <t>6,5 m/s</t>
        </is>
      </c>
      <c r="F84" s="39" t="inlineStr">
        <is>
          <t>Như trên: kéo gần tăng và IFV.</t>
        </is>
      </c>
      <c r="G84" s="39" t="n"/>
      <c r="H84" s="48" t="inlineStr">
        <is>
          <t>Trung</t>
        </is>
      </c>
    </row>
    <row r="85" ht="21.75" customHeight="1" s="32">
      <c r="A85" s="41" t="inlineStr">
        <is>
          <t>main_battle_tank</t>
        </is>
      </c>
      <c r="B85" s="41" t="inlineStr">
        <is>
          <t>Tăng chủ lực</t>
        </is>
      </c>
      <c r="C85" s="41" t="inlineStr">
        <is>
          <t>Tốc độ xoay thân / tháp</t>
        </is>
      </c>
      <c r="D85" s="41" t="inlineStr">
        <is>
          <t>1 / 1</t>
        </is>
      </c>
      <c r="E85" s="41" t="inlineStr">
        <is>
          <t>1 / 2</t>
        </is>
      </c>
      <c r="F85" s="41" t="inlineStr">
        <is>
          <t>Tháp pháo xe tăng thật xoay nhanh hơn thân (~40°/s); hiện bằng thân. Lưu ý: đơn vị ghi °/s nhưng giá trị 1–6 có vẻ là rad/s, cần kiểm lại nhãn.</t>
        </is>
      </c>
      <c r="G85" s="41" t="n"/>
      <c r="H85" s="48" t="inlineStr">
        <is>
          <t>Trung</t>
        </is>
      </c>
    </row>
    <row r="86" ht="15" customHeight="1" s="32">
      <c r="A86" s="39" t="inlineStr">
        <is>
          <t>mine_layer</t>
        </is>
      </c>
      <c r="B86" s="39" t="inlineStr">
        <is>
          <t>Xe rải mìn</t>
        </is>
      </c>
      <c r="C86" s="39" t="inlineStr">
        <is>
          <t>Giáp (T/H/S/N)</t>
        </is>
      </c>
      <c r="D86" s="39" t="inlineStr">
        <is>
          <t>1/0/0/0</t>
        </is>
      </c>
      <c r="E86" s="39" t="inlineStr">
        <is>
          <t>1/1/0/0</t>
        </is>
      </c>
      <c r="F86" s="39" t="inlineStr">
        <is>
          <t>Khung bọc thép nhẹ.</t>
        </is>
      </c>
      <c r="G86" s="39" t="n"/>
      <c r="H86" s="48" t="inlineStr">
        <is>
          <t>Trung</t>
        </is>
      </c>
    </row>
    <row r="87" ht="21.75" customHeight="1" s="32">
      <c r="A87" s="41" t="inlineStr">
        <is>
          <t>missile_battery.lrr</t>
        </is>
      </c>
      <c r="B87" s="41" t="inlineStr">
        <is>
          <t>Tên lửa Patriot tầm xa · nhánh Radar tầm xa</t>
        </is>
      </c>
      <c r="C87" s="41" t="inlineStr">
        <is>
          <t>Vũ khí</t>
        </is>
      </c>
      <c r="D87" s="41" t="inlineStr">
        <is>
          <t>chống máy bay 186 · tầm 100</t>
        </is>
      </c>
      <c r="E87" s="41" t="inlineStr">
        <is>
          <t>chống máy bay 260</t>
        </is>
      </c>
      <c r="F87" s="41" t="inlineStr">
        <is>
          <t>Nhánh chống máy bay phải mạnh hơn nhánh đánh chặn ở vai trò chống máy bay.</t>
        </is>
      </c>
      <c r="G87" s="41" t="inlineStr">
        <is>
          <t>Patriot radar tầm xa</t>
        </is>
      </c>
      <c r="H87" s="48" t="inlineStr">
        <is>
          <t>Trung</t>
        </is>
      </c>
    </row>
    <row r="88" ht="21.75" customHeight="1" s="32">
      <c r="A88" s="39" t="inlineStr">
        <is>
          <t>missile_battery.pac3</t>
        </is>
      </c>
      <c r="B88" s="39" t="inlineStr">
        <is>
          <t>Tên lửa Patriot tầm xa · nhánh PAC-3 đánh chặn</t>
        </is>
      </c>
      <c r="C88" s="39" t="inlineStr">
        <is>
          <t>Vũ khí: PAC-3</t>
        </is>
      </c>
      <c r="D88" s="39" t="inlineStr">
        <is>
          <t>tốc độ 24</t>
        </is>
      </c>
      <c r="E88" s="39" t="inlineStr">
        <is>
          <t>tốc độ 65; đo số tên lửa đòn lớn boss bắn hạ được</t>
        </is>
      </c>
      <c r="F88" s="39" t="inlineStr">
        <is>
          <t>Tên lửa đánh chặn phải nhanh hơn tên lửa hành trình và đạn đạo.</t>
        </is>
      </c>
      <c r="G88" s="39" t="inlineStr">
        <is>
          <t>PAC-3 MSE: Mach 5</t>
        </is>
      </c>
      <c r="H88" s="48" t="inlineStr">
        <is>
          <t>Trung</t>
        </is>
      </c>
    </row>
    <row r="89" ht="15" customHeight="1" s="32">
      <c r="A89" s="41" t="inlineStr">
        <is>
          <t>mlrs</t>
        </is>
      </c>
      <c r="B89" s="41" t="inlineStr">
        <is>
          <t>Pháo phản lực</t>
        </is>
      </c>
      <c r="C89" s="41" t="inlineStr">
        <is>
          <t>Hành vi</t>
        </is>
      </c>
      <c r="D89" s="41" t="inlineStr">
        <is>
          <t>Đứng bắn, không dời vị trí</t>
        </is>
      </c>
      <c r="E89" s="41" t="inlineStr">
        <is>
          <t>Bắn xong một loạt thì dời vị trí 15–20 m (như Pháo tự hành)</t>
        </is>
      </c>
      <c r="F89" s="41" t="inlineStr">
        <is>
          <t>HIMARS nổi tiếng với chiến thuật bắn rồi chạy.</t>
        </is>
      </c>
      <c r="G89" s="41" t="inlineStr">
        <is>
          <t>HIMARS</t>
        </is>
      </c>
      <c r="H89" s="48" t="inlineStr">
        <is>
          <t>Trung</t>
        </is>
      </c>
    </row>
    <row r="90" ht="21.75" customHeight="1" s="32">
      <c r="A90" s="39" t="inlineStr">
        <is>
          <t>mlrs</t>
        </is>
      </c>
      <c r="B90" s="39" t="inlineStr">
        <is>
          <t>Pháo phản lực</t>
        </is>
      </c>
      <c r="C90" s="39" t="inlineStr">
        <is>
          <t>Giá</t>
        </is>
      </c>
      <c r="D90" s="39" t="inlineStr">
        <is>
          <t>6 CP (hiệu quả 1,14 × trung vị pháo binh)</t>
        </is>
      </c>
      <c r="E90" s="39" t="inlineStr">
        <is>
          <t>7 CP</t>
        </is>
      </c>
      <c r="F90" s="39" t="inlineStr">
        <is>
          <t>Mạnh hơn pháo tự hành cùng giá; HIMARS ngoài đời đắt hơn lựu pháo.</t>
        </is>
      </c>
      <c r="G90" s="39" t="inlineStr">
        <is>
          <t>HIMARS ~5 triệu USD mỗi bệ, rốc-két ~160 nghìn USD/quả</t>
        </is>
      </c>
      <c r="H90" s="48" t="inlineStr">
        <is>
          <t>Trung</t>
        </is>
      </c>
    </row>
    <row r="91" ht="15" customHeight="1" s="32">
      <c r="A91" s="41" t="inlineStr">
        <is>
          <t>mortar_carrier</t>
        </is>
      </c>
      <c r="B91" s="41" t="inlineStr">
        <is>
          <t>Xe súng cối</t>
        </is>
      </c>
      <c r="C91" s="41" t="inlineStr">
        <is>
          <t>Giáp (T/H/S/N)</t>
        </is>
      </c>
      <c r="D91" s="41" t="inlineStr">
        <is>
          <t>1/0/0/0</t>
        </is>
      </c>
      <c r="E91" s="41" t="inlineStr">
        <is>
          <t>1/1/0/0</t>
        </is>
      </c>
      <c r="F91" s="41" t="inlineStr">
        <is>
          <t>Khung M113.</t>
        </is>
      </c>
      <c r="G91" s="41" t="n"/>
      <c r="H91" s="48" t="inlineStr">
        <is>
          <t>Trung</t>
        </is>
      </c>
    </row>
    <row r="92" ht="21.75" customHeight="1" s="32">
      <c r="A92" s="39" t="inlineStr">
        <is>
          <t>nuke_train</t>
        </is>
      </c>
      <c r="B92" s="39" t="inlineStr">
        <is>
          <t>Nemesis · Đoàn tàu tên lửa</t>
        </is>
      </c>
      <c r="C92" s="39" t="inlineStr">
        <is>
          <t>Máu</t>
        </is>
      </c>
      <c r="D92" s="42" t="n">
        <v>13260</v>
      </c>
      <c r="E92" s="39" t="inlineStr">
        <is>
          <t>18000–22000</t>
        </is>
      </c>
      <c r="F92" s="39" t="inlineStr">
        <is>
          <t>Theo thang máu boss mới (Tổng quan): boss chủ lực chương 7. Máu gốc trước scale chiến dịch.</t>
        </is>
      </c>
      <c r="G92" s="39" t="n"/>
      <c r="H92" s="48" t="inlineStr">
        <is>
          <t>Trung</t>
        </is>
      </c>
    </row>
    <row r="93" ht="15" customHeight="1" s="32">
      <c r="A93" s="41" t="inlineStr">
        <is>
          <t>rail_supergun</t>
        </is>
      </c>
      <c r="B93" s="41" t="inlineStr">
        <is>
          <t>Gungnir · Pháo đường ray</t>
        </is>
      </c>
      <c r="C93" s="41" t="inlineStr">
        <is>
          <t>Dữ liệu vũ khí</t>
        </is>
      </c>
      <c r="D93" s="41" t="inlineStr">
        <is>
          <t>pháo 80 cm không có trong danh sách vũ khí</t>
        </is>
      </c>
      <c r="E93" s="41" t="inlineStr">
        <is>
          <t>thêm khẩu pháo chính thành một vũ khí</t>
        </is>
      </c>
      <c r="F93" s="41" t="inlineStr">
        <is>
          <t>Người chơi và tài liệu không thấy vũ khí chính.</t>
        </is>
      </c>
      <c r="G93" s="41" t="inlineStr">
        <is>
          <t>Schwerer Gustav</t>
        </is>
      </c>
      <c r="H93" s="48" t="inlineStr">
        <is>
          <t>Trung</t>
        </is>
      </c>
    </row>
    <row r="94" ht="21.75" customHeight="1" s="32">
      <c r="A94" s="39" t="inlineStr">
        <is>
          <t>rail_supergun</t>
        </is>
      </c>
      <c r="B94" s="39" t="inlineStr">
        <is>
          <t>Gungnir · Pháo đường ray</t>
        </is>
      </c>
      <c r="C94" s="39" t="inlineStr">
        <is>
          <t>Máu</t>
        </is>
      </c>
      <c r="D94" s="42" t="n">
        <v>6942</v>
      </c>
      <c r="E94" s="39" t="inlineStr">
        <is>
          <t>10800–14400</t>
        </is>
      </c>
      <c r="F94" s="39" t="inlineStr">
        <is>
          <t>Theo thang máu boss mới (Tổng quan): mini boss bằng 45–60% boss chủ lực chương 11. Máu gốc trước scale chiến dịch.</t>
        </is>
      </c>
      <c r="G94" s="39" t="n"/>
      <c r="H94" s="48" t="inlineStr">
        <is>
          <t>Trung</t>
        </is>
      </c>
    </row>
    <row r="95" ht="21.75" customHeight="1" s="32">
      <c r="A95" s="41" t="inlineStr">
        <is>
          <t>recon_drone</t>
        </is>
      </c>
      <c r="B95" s="41" t="inlineStr">
        <is>
          <t>UAV trinh sát</t>
        </is>
      </c>
      <c r="C95" s="41" t="inlineStr">
        <is>
          <t>Tốc độ</t>
        </is>
      </c>
      <c r="D95" s="43" t="n">
        <v>18</v>
      </c>
      <c r="E95" s="41" t="inlineStr">
        <is>
          <t>13 m/s</t>
        </is>
      </c>
      <c r="F95" s="41" t="inlineStr">
        <is>
          <t>TB2 thật chậm (~130 km/h), chậm hơn MQ-9; UAV trinh sát nên bay chậm, lượn lâu.</t>
        </is>
      </c>
      <c r="G95" s="41" t="n"/>
      <c r="H95" s="48" t="inlineStr">
        <is>
          <t>Trung</t>
        </is>
      </c>
    </row>
    <row r="96" ht="15" customHeight="1" s="32">
      <c r="A96" s="39" t="inlineStr">
        <is>
          <t>sam_launcher</t>
        </is>
      </c>
      <c r="B96" s="39" t="inlineStr">
        <is>
          <t>Tên lửa phòng không</t>
        </is>
      </c>
      <c r="C96" s="39" t="inlineStr">
        <is>
          <t>Máu</t>
        </is>
      </c>
      <c r="D96" s="39" t="inlineStr">
        <is>
          <t>1.760</t>
        </is>
      </c>
      <c r="E96" s="39" t="inlineStr">
        <is>
          <t>1.300</t>
        </is>
      </c>
      <c r="F96" s="39" t="inlineStr">
        <is>
          <t>Cao hơn cả Pantsir (1.188) dù là xe phóng tên lửa ít giáp.</t>
        </is>
      </c>
      <c r="G96" s="39" t="inlineStr">
        <is>
          <t>9A310</t>
        </is>
      </c>
      <c r="H96" s="48" t="inlineStr">
        <is>
          <t>Trung</t>
        </is>
      </c>
    </row>
    <row r="97" ht="15" customHeight="1" s="32">
      <c r="A97" s="41" t="inlineStr">
        <is>
          <t>sam_launcher</t>
        </is>
      </c>
      <c r="B97" s="41" t="inlineStr">
        <is>
          <t>Tên lửa phòng không</t>
        </is>
      </c>
      <c r="C97" s="41" t="inlineStr">
        <is>
          <t>Giáp (T/H/S/N)</t>
        </is>
      </c>
      <c r="D97" s="41" t="inlineStr">
        <is>
          <t>1/0/0/0</t>
        </is>
      </c>
      <c r="E97" s="41" t="inlineStr">
        <is>
          <t>1/1/0/0</t>
        </is>
      </c>
      <c r="F97" s="41" t="inlineStr">
        <is>
          <t>Khung GM-569 bọc nhẹ.</t>
        </is>
      </c>
      <c r="G97" s="41" t="n"/>
      <c r="H97" s="48" t="inlineStr">
        <is>
          <t>Trung</t>
        </is>
      </c>
    </row>
    <row r="98" ht="21.75" customHeight="1" s="32">
      <c r="A98" s="39" t="inlineStr">
        <is>
          <t>scout_jeep</t>
        </is>
      </c>
      <c r="B98" s="39" t="inlineStr">
        <is>
          <t>Xe trinh sát</t>
        </is>
      </c>
      <c r="C98" s="39" t="inlineStr">
        <is>
          <t>Kích thước model (dài × rộng × cao)</t>
        </is>
      </c>
      <c r="D98" s="39" t="inlineStr">
        <is>
          <t>3.7 × 1.9 × 2.0</t>
        </is>
      </c>
      <c r="E98" s="39" t="inlineStr">
        <is>
          <t>2.7 × 1.3 × 1.4</t>
        </is>
      </c>
      <c r="F98" s="39" t="inlineStr">
        <is>
          <t>Mẫu thật M151 / LRV: 3.4 × 1.6 m; theo tỷ lệ chung (mặt đất 0,8) nên là 2.7 × 1.3 m. Đổi kích thước thì chỉnh vùng va chạm và chạy lại test xe kẹt.</t>
        </is>
      </c>
      <c r="G98" s="39" t="n"/>
      <c r="H98" s="48" t="inlineStr">
        <is>
          <t>Trung</t>
        </is>
      </c>
    </row>
    <row r="99" ht="15" customHeight="1" s="32">
      <c r="A99" s="41" t="inlineStr">
        <is>
          <t>siege_tank</t>
        </is>
      </c>
      <c r="B99" s="41" t="inlineStr">
        <is>
          <t>Tăng công thành</t>
        </is>
      </c>
      <c r="C99" s="41" t="inlineStr">
        <is>
          <t>Giáp (T/H/S/N)</t>
        </is>
      </c>
      <c r="D99" s="41" t="inlineStr">
        <is>
          <t>3/2/1/1</t>
        </is>
      </c>
      <c r="E99" s="41" t="inlineStr">
        <is>
          <t>2/1/1/0</t>
        </is>
      </c>
      <c r="F99" s="41" t="inlineStr">
        <is>
          <t>2S4 Tyulpan là khung pháo tự hành, giáp nhẹ, không dày như tăng.</t>
        </is>
      </c>
      <c r="G99" s="41" t="n"/>
      <c r="H99" s="48" t="inlineStr">
        <is>
          <t>Trung</t>
        </is>
      </c>
    </row>
    <row r="100" ht="21.75" customHeight="1" s="32">
      <c r="A100" s="39" t="inlineStr">
        <is>
          <t>silver_bug</t>
        </is>
      </c>
      <c r="B100" s="39" t="inlineStr">
        <is>
          <t>Icarus · Phi thuyền quỹ đạo</t>
        </is>
      </c>
      <c r="C100" s="39" t="inlineStr">
        <is>
          <t>Kích thước</t>
        </is>
      </c>
      <c r="D100" s="39" t="inlineStr">
        <is>
          <t>37.0 × 25.0 × 8.9</t>
        </is>
      </c>
      <c r="E100" s="39" t="inlineStr">
        <is>
          <t>~60 × 40 m</t>
        </is>
      </c>
      <c r="F100" s="39" t="inlineStr">
        <is>
          <t>Trùm cuối nhỏ hơn Roc, Typhon, Nemesis, Kronos và cả mini boss Caspian; phi thuyền quỹ đạo nên là vật thể lớn nhất trên trời.</t>
        </is>
      </c>
      <c r="G100" s="39" t="n"/>
      <c r="H100" s="48" t="inlineStr">
        <is>
          <t>Trung</t>
        </is>
      </c>
    </row>
    <row r="101" ht="21.75" customHeight="1" s="32">
      <c r="A101" s="41" t="inlineStr">
        <is>
          <t>sky_fortress</t>
        </is>
      </c>
      <c r="B101" s="41" t="inlineStr">
        <is>
          <t>Spectre · Máy bay pháo</t>
        </is>
      </c>
      <c r="C101" s="41" t="inlineStr">
        <is>
          <t>Máu</t>
        </is>
      </c>
      <c r="D101" s="43" t="n">
        <v>8508</v>
      </c>
      <c r="E101" s="41" t="inlineStr">
        <is>
          <t>10350–13800</t>
        </is>
      </c>
      <c r="F101" s="41" t="inlineStr">
        <is>
          <t>Theo thang máu boss mới (Tổng quan): mini boss bằng 45–60% boss chủ lực chương 10. Máu gốc trước scale chiến dịch.</t>
        </is>
      </c>
      <c r="G101" s="41" t="n"/>
      <c r="H101" s="48" t="inlineStr">
        <is>
          <t>Trung</t>
        </is>
      </c>
    </row>
    <row r="102" ht="21.75" customHeight="1" s="32">
      <c r="A102" s="39"/>
      <c r="B102" s="39"/>
      <c r="C102" s="39"/>
      <c r="D102" s="39"/>
      <c r="E102" s="39"/>
      <c r="F102" s="39"/>
      <c r="G102" s="39"/>
      <c r="H102" s="48"/>
    </row>
    <row r="103" ht="15" customHeight="1" s="32">
      <c r="A103" s="41"/>
      <c r="B103" s="41"/>
      <c r="C103" s="41"/>
      <c r="D103" s="41"/>
      <c r="E103" s="41"/>
      <c r="F103" s="41"/>
      <c r="G103" s="41"/>
      <c r="H103" s="48"/>
    </row>
    <row r="104" ht="21.75" customHeight="1" s="32">
      <c r="A104" s="39" t="inlineStr">
        <is>
          <t>stealth_bomber</t>
        </is>
      </c>
      <c r="B104" s="39" t="inlineStr">
        <is>
          <t>Máy bay ném bom tàng hình</t>
        </is>
      </c>
      <c r="C104" s="39" t="inlineStr">
        <is>
          <t>Giá</t>
        </is>
      </c>
      <c r="D104" s="39" t="inlineStr">
        <is>
          <t>18 CP (rẻ hơn Oanh tạc cơ 22 CP)</t>
        </is>
      </c>
      <c r="E104" s="39" t="inlineStr">
        <is>
          <t>21 CP</t>
        </is>
      </c>
      <c r="F104" s="39" t="inlineStr">
        <is>
          <t>Máy bay ném bom tàng hình đắt nhất thế giới lại rẻ hơn B-52; hiệu quả sau đổi giá vẫn gần trung vị.</t>
        </is>
      </c>
      <c r="G104" s="39" t="inlineStr">
        <is>
          <t>B-2 ~2 tỷ USD</t>
        </is>
      </c>
      <c r="H104" s="48" t="inlineStr">
        <is>
          <t>Trung</t>
        </is>
      </c>
    </row>
    <row r="105" ht="15" customHeight="1" s="32">
      <c r="A105" s="41" t="inlineStr">
        <is>
          <t>stealth_bomber</t>
        </is>
      </c>
      <c r="B105" s="41" t="inlineStr">
        <is>
          <t>Máy bay ném bom tàng hình</t>
        </is>
      </c>
      <c r="C105" s="41" t="inlineStr">
        <is>
          <t>Vũ khí: JASSM</t>
        </is>
      </c>
      <c r="D105" s="41" t="inlineStr">
        <is>
          <t>nổ lan 5 m · tốc độ 17</t>
        </is>
      </c>
      <c r="E105" s="41" t="inlineStr">
        <is>
          <t>nổ lan 9 m · tốc độ 20 (bay 4,5 s, đủ để bị đánh chặn)</t>
        </is>
      </c>
      <c r="F105" s="41" t="inlineStr">
        <is>
          <t>Đầu nổ 450 kg đang nổ nhỏ hơn bom 250 kg.</t>
        </is>
      </c>
      <c r="G105" s="41" t="inlineStr">
        <is>
          <t>JASSM: đầu nổ 450 kg</t>
        </is>
      </c>
      <c r="H105" s="48" t="inlineStr">
        <is>
          <t>Trung</t>
        </is>
      </c>
    </row>
    <row r="106" ht="15" customHeight="1" s="32">
      <c r="A106" s="39" t="inlineStr">
        <is>
          <t>stealth_fighter</t>
        </is>
      </c>
      <c r="B106" s="39" t="inlineStr">
        <is>
          <t>Tiêm kích tàng hình</t>
        </is>
      </c>
      <c r="C106" s="39" t="inlineStr">
        <is>
          <t>Vũ khí và giá</t>
        </is>
      </c>
      <c r="D106" s="39" t="inlineStr">
        <is>
          <t>chống máy bay 219 (kém tiêm kích 351) · 14 CP</t>
        </is>
      </c>
      <c r="E106" s="39" t="inlineStr">
        <is>
          <t>+1 AIM-120 mỗi lần đầy đạn; giá 14→13</t>
        </is>
      </c>
      <c r="F106" s="39" t="inlineStr">
        <is>
          <t>Đắt hơn nhưng kém tiêm kích thường ở vai trò chính.</t>
        </is>
      </c>
      <c r="G106" s="39" t="inlineStr">
        <is>
          <t>F-22 mang 6 AIM-120 trong khoang</t>
        </is>
      </c>
      <c r="H106" s="48" t="inlineStr">
        <is>
          <t>Trung</t>
        </is>
      </c>
    </row>
    <row r="107" ht="15" customHeight="1" s="32">
      <c r="A107" s="41" t="inlineStr">
        <is>
          <t>stealth_fighter</t>
        </is>
      </c>
      <c r="B107" s="41" t="inlineStr">
        <is>
          <t>Tiêm kích tàng hình</t>
        </is>
      </c>
      <c r="C107" s="41" t="inlineStr">
        <is>
          <t>Tốc độ</t>
        </is>
      </c>
      <c r="D107" s="43" t="n">
        <v>40</v>
      </c>
      <c r="E107" s="41" t="inlineStr">
        <is>
          <t>44 m/s</t>
        </is>
      </c>
      <c r="F107" s="41" t="inlineStr">
        <is>
          <t>F-22/Su-57 bay hành trình siêu âm, nhanh hơn Su-27.</t>
        </is>
      </c>
      <c r="G107" s="41" t="n"/>
      <c r="H107" s="48" t="inlineStr">
        <is>
          <t>Trung</t>
        </is>
      </c>
    </row>
    <row r="108" ht="21.75" customHeight="1" s="32">
      <c r="A108" s="39" t="inlineStr">
        <is>
          <t>supply_truck</t>
        </is>
      </c>
      <c r="B108" s="39" t="inlineStr">
        <is>
          <t>Xe tiếp tế</t>
        </is>
      </c>
      <c r="C108" s="39" t="inlineStr">
        <is>
          <t>Tốc độ</t>
        </is>
      </c>
      <c r="D108" s="42" t="n">
        <v>3.6</v>
      </c>
      <c r="E108" s="39" t="inlineStr">
        <is>
          <t>6 m/s</t>
        </is>
      </c>
      <c r="F108" s="39" t="inlineStr">
        <is>
          <t>Xe tải tiếp tế đang chậm nhất game (3,6), chậm hơn cả xe tăng nặng; khó theo kịp đội hình.</t>
        </is>
      </c>
      <c r="G108" s="39" t="n"/>
      <c r="H108" s="48" t="inlineStr">
        <is>
          <t>Trung</t>
        </is>
      </c>
    </row>
    <row r="109" ht="21.75" customHeight="1" s="32">
      <c r="A109" s="41" t="inlineStr">
        <is>
          <t>supreme_command</t>
        </is>
      </c>
      <c r="B109" s="41" t="inlineStr">
        <is>
          <t>Atlas · Xe chỉ huy siêu nặng</t>
        </is>
      </c>
      <c r="C109" s="41" t="inlineStr">
        <is>
          <t>Máu</t>
        </is>
      </c>
      <c r="D109" s="43" t="n">
        <v>8205</v>
      </c>
      <c r="E109" s="41" t="inlineStr">
        <is>
          <t>9000–12000</t>
        </is>
      </c>
      <c r="F109" s="41" t="inlineStr">
        <is>
          <t>Theo thang máu boss mới (Tổng quan): mini boss bằng 45–60% boss chủ lực chương 7. Máu gốc trước scale chiến dịch.</t>
        </is>
      </c>
      <c r="G109" s="41" t="n"/>
      <c r="H109" s="48" t="inlineStr">
        <is>
          <t>Trung</t>
        </is>
      </c>
    </row>
    <row r="110" ht="32.25" customHeight="1" s="32">
      <c r="A110" s="39" t="inlineStr">
        <is>
          <t>swarm_carrier</t>
        </is>
      </c>
      <c r="B110" s="39" t="inlineStr">
        <is>
          <t>Máy bay mẹ thả drone</t>
        </is>
      </c>
      <c r="C110" s="39" t="inlineStr">
        <is>
          <t>Kích thước model (dài × rộng × cao)</t>
        </is>
      </c>
      <c r="D110" s="39" t="inlineStr">
        <is>
          <t>16.4 × 18.8 × 6.1</t>
        </is>
      </c>
      <c r="E110" s="39" t="inlineStr">
        <is>
          <t>11.9 × 16.2 × 4.6</t>
        </is>
      </c>
      <c r="F110" s="39" t="inlineStr">
        <is>
          <t>Mẫu thật C-130 Hercules: 29.8 × 40.4 m; theo tỷ lệ chung (trên không 0,4) nên là 11.9 × 16.2 m. Cùng khung C-130 với Pháo hạm bay nhưng đang to hơn nó. Đổi kích thước thì chỉnh vùng va chạm và chạy lại test xe kẹt.</t>
        </is>
      </c>
      <c r="G110" s="39" t="n"/>
      <c r="H110" s="48" t="inlineStr">
        <is>
          <t>Trung</t>
        </is>
      </c>
    </row>
    <row r="111" ht="15" customHeight="1" s="32">
      <c r="A111" s="41" t="inlineStr">
        <is>
          <t>tank_destroyer</t>
        </is>
      </c>
      <c r="B111" s="41" t="inlineStr">
        <is>
          <t>Pháo chống tăng</t>
        </is>
      </c>
      <c r="C111" s="41" t="inlineStr">
        <is>
          <t>Giáp</t>
        </is>
      </c>
      <c r="D111" s="41" t="inlineStr">
        <is>
          <t>trước 3 / hông 2 / sau 1 / nóc 1</t>
        </is>
      </c>
      <c r="E111" s="41" t="inlineStr">
        <is>
          <t>trước 2 / hông 1 / sau 1 / nóc 0</t>
        </is>
      </c>
      <c r="F111" s="41" t="inlineStr">
        <is>
          <t>2S25 Sprut-SD là pháo chống tăng thả dù, giáp rất mỏng.</t>
        </is>
      </c>
      <c r="G111" s="41" t="inlineStr">
        <is>
          <t>2S25 Sprut-SD</t>
        </is>
      </c>
      <c r="H111" s="48" t="inlineStr">
        <is>
          <t>Trung</t>
        </is>
      </c>
    </row>
    <row r="112" ht="15" customHeight="1" s="32">
      <c r="A112" s="39" t="inlineStr">
        <is>
          <t>tank_destroyer</t>
        </is>
      </c>
      <c r="B112" s="39" t="inlineStr">
        <is>
          <t>Pháo chống tăng</t>
        </is>
      </c>
      <c r="C112" s="39" t="inlineStr">
        <is>
          <t>Tầm, nhịp, giá</t>
        </is>
      </c>
      <c r="D112" s="39" t="inlineStr">
        <is>
          <t>tầm 40 · 0,27 phát/s · 7 CP (hiệu quả 0,78)</t>
        </is>
      </c>
      <c r="E112" s="39" t="inlineStr">
        <is>
          <t>tầm 46 · 0,30 phát/s · 6 CP</t>
        </is>
      </c>
      <c r="F112" s="39" t="inlineStr">
        <is>
          <t>Bù lại giáp mỏng bằng tầm bắn tỉa; hiện kém các xe diệt tăng khác.</t>
        </is>
      </c>
      <c r="G112" s="39" t="inlineStr">
        <is>
          <t>Pháo 2A75: sơ tốc cao, bắn xa</t>
        </is>
      </c>
      <c r="H112" s="48" t="inlineStr">
        <is>
          <t>Trung</t>
        </is>
      </c>
    </row>
    <row r="113" ht="21.75" customHeight="1" s="32">
      <c r="A113" s="41" t="inlineStr">
        <is>
          <t>titan_tank</t>
        </is>
      </c>
      <c r="B113" s="41" t="inlineStr">
        <is>
          <t>Siêu tăng Titan</t>
        </is>
      </c>
      <c r="C113" s="41" t="inlineStr">
        <is>
          <t>Tốc độ, giá</t>
        </is>
      </c>
      <c r="D113" s="41" t="inlineStr">
        <is>
          <t>4,6 m/s · 16 CP (hiệu quả 1,36)</t>
        </is>
      </c>
      <c r="E113" s="41" t="inlineStr">
        <is>
          <t>4,0 m/s · 18 CP</t>
        </is>
      </c>
      <c r="F113" s="41" t="inlineStr">
        <is>
          <t>Nặng hơn Tăng hạng nặng mà chạy nhanh hơn; hiệu quả cao nhất nhóm hạng nặng.</t>
        </is>
      </c>
      <c r="G113" s="41" t="inlineStr">
        <is>
          <t>Landkreuzer Ratte (thiết kế 1.000 tấn)</t>
        </is>
      </c>
      <c r="H113" s="48" t="inlineStr">
        <is>
          <t>Trung</t>
        </is>
      </c>
    </row>
    <row r="114" ht="21.75" customHeight="1" s="32">
      <c r="A114" s="39" t="inlineStr">
        <is>
          <t>titan_tank</t>
        </is>
      </c>
      <c r="B114" s="39" t="inlineStr">
        <is>
          <t>Siêu tăng Titan</t>
        </is>
      </c>
      <c r="C114" s="39" t="inlineStr">
        <is>
          <t>Tốc độ xoay thân / tháp</t>
        </is>
      </c>
      <c r="D114" s="39" t="inlineStr">
        <is>
          <t>1 / 1</t>
        </is>
      </c>
      <c r="E114" s="39" t="inlineStr">
        <is>
          <t>1 / 2</t>
        </is>
      </c>
      <c r="F114" s="39" t="inlineStr">
        <is>
          <t>Tháp pháo xe tăng thật xoay nhanh hơn thân (~40°/s); hiện bằng thân. Lưu ý: đơn vị ghi °/s nhưng giá trị 1–6 có vẻ là rad/s, cần kiểm lại nhãn.</t>
        </is>
      </c>
      <c r="G114" s="39" t="n"/>
      <c r="H114" s="48" t="inlineStr">
        <is>
          <t>Trung</t>
        </is>
      </c>
    </row>
    <row r="115" ht="21.75" customHeight="1" s="32">
      <c r="A115" s="41"/>
      <c r="B115" s="41"/>
      <c r="C115" s="41"/>
      <c r="D115" s="41"/>
      <c r="E115" s="41"/>
      <c r="F115" s="41"/>
      <c r="G115" s="41"/>
      <c r="H115" s="48"/>
    </row>
    <row r="116" ht="21.75" customHeight="1" s="32">
      <c r="A116" s="39" t="inlineStr">
        <is>
          <t>twin_tank</t>
        </is>
      </c>
      <c r="B116" s="39" t="inlineStr">
        <is>
          <t>Tăng hai nòng</t>
        </is>
      </c>
      <c r="C116" s="39" t="inlineStr">
        <is>
          <t>Tốc độ xoay thân / tháp</t>
        </is>
      </c>
      <c r="D116" s="39" t="inlineStr">
        <is>
          <t>1 / 1</t>
        </is>
      </c>
      <c r="E116" s="39" t="inlineStr">
        <is>
          <t>1 / 2</t>
        </is>
      </c>
      <c r="F116" s="39" t="inlineStr">
        <is>
          <t>Tháp pháo xe tăng thật xoay nhanh hơn thân (~40°/s); hiện bằng thân. Lưu ý: đơn vị ghi °/s nhưng giá trị 1–6 có vẻ là rad/s, cần kiểm lại nhãn.</t>
        </is>
      </c>
      <c r="G116" s="39" t="n"/>
      <c r="H116" s="48" t="inlineStr">
        <is>
          <t>Trung</t>
        </is>
      </c>
    </row>
    <row r="117" ht="15" customHeight="1" s="32">
      <c r="A117" s="41" t="inlineStr">
        <is>
          <t>typhon</t>
        </is>
      </c>
      <c r="B117" s="41" t="inlineStr">
        <is>
          <t>Typhon · Tàu ngầm tên lửa</t>
        </is>
      </c>
      <c r="C117" s="41" t="inlineStr">
        <is>
          <t>Vũ khí</t>
        </is>
      </c>
      <c r="D117" s="41" t="inlineStr">
        <is>
          <t>Buk + AK-100</t>
        </is>
      </c>
      <c r="E117" s="41" t="inlineStr">
        <is>
          <t>thêm tên lửa hành trình tầm ngắn bắn thường</t>
        </is>
      </c>
      <c r="F117" s="41" t="inlineStr">
        <is>
          <t>Thiết kế có nhưng dữ liệu chưa có.</t>
        </is>
      </c>
      <c r="G117" s="41" t="inlineStr">
        <is>
          <t>Project 941</t>
        </is>
      </c>
      <c r="H117" s="48" t="inlineStr">
        <is>
          <t>Trung</t>
        </is>
      </c>
    </row>
    <row r="118" ht="21.75" customHeight="1" s="32">
      <c r="A118" s="39" t="inlineStr">
        <is>
          <t>typhon</t>
        </is>
      </c>
      <c r="B118" s="39" t="inlineStr">
        <is>
          <t>Typhon · Tàu ngầm tên lửa</t>
        </is>
      </c>
      <c r="C118" s="39" t="inlineStr">
        <is>
          <t>Máu</t>
        </is>
      </c>
      <c r="D118" s="42" t="n">
        <v>17935</v>
      </c>
      <c r="E118" s="39" t="inlineStr">
        <is>
          <t>19800–24200</t>
        </is>
      </c>
      <c r="F118" s="39" t="inlineStr">
        <is>
          <t>Theo thang máu boss mới (Tổng quan): boss chủ lực chương 9. Máu gốc trước scale chiến dịch.</t>
        </is>
      </c>
      <c r="G118" s="39" t="n"/>
      <c r="H118" s="48" t="inlineStr">
        <is>
          <t>Trung</t>
        </is>
      </c>
    </row>
    <row r="119" ht="21.75" customHeight="1" s="32">
      <c r="A119" s="41" t="inlineStr">
        <is>
          <t>vbied</t>
        </is>
      </c>
      <c r="B119" s="41" t="inlineStr">
        <is>
          <t>Xe bom tự sát bọc thép</t>
        </is>
      </c>
      <c r="C119" s="41" t="inlineStr">
        <is>
          <t>Giáp</t>
        </is>
      </c>
      <c r="D119" s="41" t="inlineStr">
        <is>
          <t>0 mọi mặt</t>
        </is>
      </c>
      <c r="E119" s="41" t="inlineStr">
        <is>
          <t>trước 2 / hông 1 / sau 0 / nóc 0</t>
        </is>
      </c>
      <c r="F119" s="41" t="inlineStr">
        <is>
          <t>Tên "bọc thép" nhưng giáp 0; chỉ gây sát thương 4% thời gian vì chết trước khi tới.</t>
        </is>
      </c>
      <c r="G119" s="41" t="inlineStr">
        <is>
          <t>"Iron Coffin" ở Mosul hàn thép dày phía trước</t>
        </is>
      </c>
      <c r="H119" s="48" t="inlineStr">
        <is>
          <t>Trung</t>
        </is>
      </c>
    </row>
    <row r="120" ht="21.75" customHeight="1" s="32">
      <c r="A120" s="39" t="inlineStr">
        <is>
          <t>vbied</t>
        </is>
      </c>
      <c r="B120" s="39" t="inlineStr">
        <is>
          <t>Xe bom tự sát bọc thép</t>
        </is>
      </c>
      <c r="C120" s="39" t="inlineStr">
        <is>
          <t>Máu, nổ lan</t>
        </is>
      </c>
      <c r="D120" s="39" t="inlineStr">
        <is>
          <t>572 máu · nổ lan 7,5 m</t>
        </is>
      </c>
      <c r="E120" s="39" t="inlineStr">
        <is>
          <t>800 máu · nổ lan 10 m</t>
        </is>
      </c>
      <c r="F120" s="39" t="inlineStr">
        <is>
          <t>Cần sống đủ tới mục tiêu; 900 kg thuốc nổ theo thang bom phải nổ rộng hơn bom 250 kg (8 m).</t>
        </is>
      </c>
      <c r="G120" s="39" t="inlineStr">
        <is>
          <t>Thang bán kính nổ (sheet Tổng quan)</t>
        </is>
      </c>
      <c r="H120" s="48" t="inlineStr">
        <is>
          <t>Trung</t>
        </is>
      </c>
    </row>
    <row r="121" ht="15" customHeight="1" s="32">
      <c r="A121" s="41"/>
      <c r="B121" s="41"/>
      <c r="C121" s="41"/>
      <c r="D121" s="41"/>
      <c r="E121" s="41"/>
      <c r="F121" s="41"/>
      <c r="G121" s="41"/>
      <c r="H121" s="48"/>
    </row>
    <row r="122" ht="15" customHeight="1" s="32">
      <c r="A122" s="39" t="inlineStr">
        <is>
          <t>aa_vehicle</t>
        </is>
      </c>
      <c r="B122" s="39" t="inlineStr">
        <is>
          <t>Xe phòng không</t>
        </is>
      </c>
      <c r="C122" s="39" t="inlineStr">
        <is>
          <t>Tên</t>
        </is>
      </c>
      <c r="D122" s="39" t="inlineStr">
        <is>
          <t>Xe phòng không</t>
        </is>
      </c>
      <c r="E122" s="39" t="inlineStr">
        <is>
          <t>Pháo cao xạ tự hành · ngắn: Cao xạ · EN: Self-Propelled AA Gun</t>
        </is>
      </c>
      <c r="F122" s="39" t="inlineStr">
        <is>
          <t>"Xe phòng không" quá chung (có 6 xe phòng không).</t>
        </is>
      </c>
      <c r="G122" s="39" t="n"/>
      <c r="H122" s="49" t="inlineStr">
        <is>
          <t>Thấp</t>
        </is>
      </c>
    </row>
    <row r="123" ht="21.75" customHeight="1" s="32">
      <c r="A123" s="41"/>
      <c r="B123" s="41"/>
      <c r="C123" s="41"/>
      <c r="D123" s="41"/>
      <c r="E123" s="41"/>
      <c r="F123" s="41"/>
      <c r="G123" s="41"/>
      <c r="H123" s="49"/>
    </row>
    <row r="124" ht="15" customHeight="1" s="32">
      <c r="A124" s="39" t="inlineStr">
        <is>
          <t>armored_car</t>
        </is>
      </c>
      <c r="B124" s="39" t="inlineStr">
        <is>
          <t>Xe bọc thép</t>
        </is>
      </c>
      <c r="C124" s="39" t="inlineStr">
        <is>
          <t>Tầm nhìn</t>
        </is>
      </c>
      <c r="D124" s="39" t="inlineStr">
        <is>
          <t>36 m</t>
        </is>
      </c>
      <c r="E124" s="39" t="inlineStr">
        <is>
          <t>42 m</t>
        </is>
      </c>
      <c r="F124" s="39" t="inlineStr">
        <is>
          <t>Xe bánh lốp trinh sát đi trước tuyến; hiện nhìn kém cả xuồng (46).</t>
        </is>
      </c>
      <c r="G124" s="39" t="inlineStr">
        <is>
          <t>Pandur I / Stryker RV có kính ngắm nhiệt</t>
        </is>
      </c>
      <c r="H124" s="49" t="inlineStr">
        <is>
          <t>Thấp</t>
        </is>
      </c>
    </row>
    <row r="125" ht="15" customHeight="1" s="32">
      <c r="A125" s="41" t="inlineStr">
        <is>
          <t>armored_car</t>
        </is>
      </c>
      <c r="B125" s="41" t="inlineStr">
        <is>
          <t>Xe bọc thép</t>
        </is>
      </c>
      <c r="C125" s="41" t="inlineStr">
        <is>
          <t>Tên</t>
        </is>
      </c>
      <c r="D125" s="41" t="inlineStr">
        <is>
          <t>Xe bọc thép</t>
        </is>
      </c>
      <c r="E125" s="41" t="inlineStr">
        <is>
          <t>Xe bọc thép bánh lốp · ngắn: Bánh lốp · EN: Armored Car</t>
        </is>
      </c>
      <c r="F125" s="41" t="inlineStr">
        <is>
          <t>"Xe bọc thép" quá chung, trùng với nhiều xe khác cũng bọc thép.</t>
        </is>
      </c>
      <c r="G125" s="41" t="n"/>
      <c r="H125" s="49" t="inlineStr">
        <is>
          <t>Thấp</t>
        </is>
      </c>
    </row>
    <row r="126" ht="21.75" customHeight="1" s="32">
      <c r="A126" s="39" t="inlineStr">
        <is>
          <t>armored_car</t>
        </is>
      </c>
      <c r="B126" s="39" t="inlineStr">
        <is>
          <t>Xe bọc thép</t>
        </is>
      </c>
      <c r="C126" s="39" t="inlineStr">
        <is>
          <t>Kích thước model (dài × rộng × cao)</t>
        </is>
      </c>
      <c r="D126" s="39" t="inlineStr">
        <is>
          <t>5.9 × 2.3 × 2.7</t>
        </is>
      </c>
      <c r="E126" s="39" t="inlineStr">
        <is>
          <t>4.6 × 2.0 × 1.4</t>
        </is>
      </c>
      <c r="F126" s="39" t="inlineStr">
        <is>
          <t>Mẫu thật Pandur I 6x6: 5.7 × 2.5 m; theo tỷ lệ chung (mặt đất 0,8) nên là 4.6 × 2.0 m. Đổi kích thước thì chỉnh vùng va chạm và chạy lại test xe kẹt.</t>
        </is>
      </c>
      <c r="G126" s="39" t="n"/>
      <c r="H126" s="49" t="inlineStr">
        <is>
          <t>Thấp</t>
        </is>
      </c>
    </row>
    <row r="127" ht="15" customHeight="1" s="32">
      <c r="A127" s="41" t="inlineStr">
        <is>
          <t>armored_train</t>
        </is>
      </c>
      <c r="B127" s="41" t="inlineStr">
        <is>
          <t>Juggernaut · Đoàn tàu bọc thép</t>
        </is>
      </c>
      <c r="C127" s="41" t="inlineStr">
        <is>
          <t>Giáp</t>
        </is>
      </c>
      <c r="D127" s="41" t="inlineStr">
        <is>
          <t>trước 5</t>
        </is>
      </c>
      <c r="E127" s="41" t="inlineStr">
        <is>
          <t>trước 4</t>
        </is>
      </c>
      <c r="F127" s="41" t="inlineStr">
        <is>
          <t>Mini boss giáp ngang boss chủ lực.</t>
        </is>
      </c>
      <c r="G127" s="41" t="inlineStr">
        <is>
          <t>Luật mini boss</t>
        </is>
      </c>
      <c r="H127" s="49" t="inlineStr">
        <is>
          <t>Thấp</t>
        </is>
      </c>
    </row>
    <row r="128" ht="15" customHeight="1" s="32">
      <c r="A128" s="39" t="inlineStr">
        <is>
          <t>armored_train</t>
        </is>
      </c>
      <c r="B128" s="39" t="inlineStr">
        <is>
          <t>Juggernaut · Đoàn tàu bọc thép</t>
        </is>
      </c>
      <c r="C128" s="39" t="inlineStr">
        <is>
          <t>Giáp</t>
        </is>
      </c>
      <c r="D128" s="39" t="inlineStr">
        <is>
          <t>5/3/3/2</t>
        </is>
      </c>
      <c r="E128" s="39" t="inlineStr">
        <is>
          <t>4/3/3/2</t>
        </is>
      </c>
      <c r="F128" s="39" t="inlineStr">
        <is>
          <t>Mini boss không có giáp trước 5 (chỉ boss chủ lực).</t>
        </is>
      </c>
      <c r="G128" s="39" t="n"/>
      <c r="H128" s="49" t="inlineStr">
        <is>
          <t>Thấp</t>
        </is>
      </c>
    </row>
    <row r="129" ht="15" customHeight="1" s="32">
      <c r="A129" s="41" t="inlineStr">
        <is>
          <t>artillery</t>
        </is>
      </c>
      <c r="B129" s="41" t="inlineStr">
        <is>
          <t>Pháo tự hành</t>
        </is>
      </c>
      <c r="C129" s="41" t="inlineStr">
        <is>
          <t>Tên</t>
        </is>
      </c>
      <c r="D129" s="41" t="inlineStr">
        <is>
          <t>Pháo tự hành</t>
        </is>
      </c>
      <c r="E129" s="41" t="inlineStr">
        <is>
          <t>Lựu pháo tự hành · ngắn: Lựu pháo · EN: SP Howitzer</t>
        </is>
      </c>
      <c r="F129" s="41" t="inlineStr">
        <is>
          <t>"Pháo tự hành" quá chung (pháo phản lực, pháo chống tăng cũng tự hành).</t>
        </is>
      </c>
      <c r="G129" s="41" t="n"/>
      <c r="H129" s="49" t="inlineStr">
        <is>
          <t>Thấp</t>
        </is>
      </c>
    </row>
    <row r="130" ht="32.25" customHeight="1" s="32">
      <c r="A130" s="39" t="inlineStr">
        <is>
          <t>artillery</t>
        </is>
      </c>
      <c r="B130" s="39" t="inlineStr">
        <is>
          <t>Pháo tự hành</t>
        </is>
      </c>
      <c r="C130" s="39" t="inlineStr">
        <is>
          <t>Kích thước model (dài × rộng × cao)</t>
        </is>
      </c>
      <c r="D130" s="39" t="inlineStr">
        <is>
          <t>8.1 × 2.3 × 3.6</t>
        </is>
      </c>
      <c r="E130" s="39" t="inlineStr">
        <is>
          <t>7.8 × 3.1 × 2.9</t>
        </is>
      </c>
      <c r="F130" s="39" t="inlineStr">
        <is>
          <t>Mẫu thật M109A7 (đề xuất đổi từ CAESAR): 9.7 × 3.9 m; theo tỷ lệ chung (mặt đất 0,8) nên là 7.8 × 3.1 m. Đổi kích thước thì chỉnh vùng va chạm và chạy lại test xe kẹt.</t>
        </is>
      </c>
      <c r="G130" s="39" t="n"/>
      <c r="H130" s="49" t="inlineStr">
        <is>
          <t>Thấp</t>
        </is>
      </c>
    </row>
    <row r="131" ht="21.75" customHeight="1" s="32">
      <c r="A131" s="41" t="inlineStr">
        <is>
          <t>artillery</t>
        </is>
      </c>
      <c r="B131" s="41" t="inlineStr">
        <is>
          <t>Pháo tự hành</t>
        </is>
      </c>
      <c r="C131" s="41" t="inlineStr">
        <is>
          <t>Nổ khi bị phá (bán kính)</t>
        </is>
      </c>
      <c r="D131" s="41" t="inlineStr">
        <is>
          <t>6 m · 160 sát thương</t>
        </is>
      </c>
      <c r="E131" s="41" t="inlineStr">
        <is>
          <t>~10 m</t>
        </is>
      </c>
      <c r="F131" s="41" t="inlineStr">
        <is>
          <t>Bán kính nổ khi bị phá nên theo cỡ xe, cộng thêm nếu xe chở nhiều đạn/nhiên liệu. Xe này chở nhiều đạn.</t>
        </is>
      </c>
      <c r="G131" s="41" t="n"/>
      <c r="H131" s="49" t="inlineStr">
        <is>
          <t>Thấp</t>
        </is>
      </c>
    </row>
    <row r="132" ht="32.25" customHeight="1" s="32">
      <c r="A132" s="39" t="inlineStr">
        <is>
          <t>attack_helicopter</t>
        </is>
      </c>
      <c r="B132" s="39" t="inlineStr">
        <is>
          <t>Trực thăng tấn công</t>
        </is>
      </c>
      <c r="C132" s="39" t="inlineStr">
        <is>
          <t>Kích thước model (dài × rộng × cao)</t>
        </is>
      </c>
      <c r="D132" s="39" t="inlineStr">
        <is>
          <t>6.0 × 4.0 × 2.3</t>
        </is>
      </c>
      <c r="E132" s="39" t="inlineStr">
        <is>
          <t>7.1 × 5.8 × 1.8</t>
        </is>
      </c>
      <c r="F132" s="39" t="inlineStr">
        <is>
          <t>Mẫu thật AH-64D Apache: 17.7 × 14.6 m; theo tỷ lệ chung (trên không 0,4) nên là 7.1 × 5.8 m. Đổi kích thước thì chỉnh vùng va chạm và chạy lại test xe kẹt.</t>
        </is>
      </c>
      <c r="G132" s="39" t="n"/>
      <c r="H132" s="49" t="inlineStr">
        <is>
          <t>Thấp</t>
        </is>
      </c>
    </row>
    <row r="133" ht="21.75" customHeight="1" s="32">
      <c r="A133" s="41" t="inlineStr">
        <is>
          <t>ballistic_launcher</t>
        </is>
      </c>
      <c r="B133" s="41" t="inlineStr">
        <is>
          <t>Xe phóng tên lửa đạn đạo</t>
        </is>
      </c>
      <c r="C133" s="41" t="inlineStr">
        <is>
          <t>Tên</t>
        </is>
      </c>
      <c r="D133" s="41" t="inlineStr">
        <is>
          <t>Xe phóng tên lửa đạn đạo</t>
        </is>
      </c>
      <c r="E133" s="41" t="inlineStr">
        <is>
          <t>Xe phóng tên lửa chiến thuật · ngắn: Tên lửa chiến thuật · EN: Tactical Ballistic Launcher</t>
        </is>
      </c>
      <c r="F133" s="41" t="inlineStr">
        <is>
          <t>"Chiến thuật" đúng phân loại thật (Iskander là tên lửa đạn đạo chiến thuật).</t>
        </is>
      </c>
      <c r="G133" s="41" t="n"/>
      <c r="H133" s="49" t="inlineStr">
        <is>
          <t>Thấp</t>
        </is>
      </c>
    </row>
    <row r="134" ht="15" customHeight="1" s="32">
      <c r="A134" s="39" t="inlineStr">
        <is>
          <t>bastion_mk0</t>
        </is>
      </c>
      <c r="B134" s="39" t="inlineStr">
        <is>
          <t>Bastion Mk.0 · Pháo đài nguyên mẫu</t>
        </is>
      </c>
      <c r="C134" s="39" t="inlineStr">
        <is>
          <t>Giáp</t>
        </is>
      </c>
      <c r="D134" s="39" t="inlineStr">
        <is>
          <t>5/4/4/3</t>
        </is>
      </c>
      <c r="E134" s="39" t="inlineStr">
        <is>
          <t>4/4/4/3</t>
        </is>
      </c>
      <c r="F134" s="39" t="inlineStr">
        <is>
          <t>Mini boss không có giáp trước 5 (chỉ boss chủ lực).</t>
        </is>
      </c>
      <c r="G134" s="39" t="n"/>
      <c r="H134" s="49" t="inlineStr">
        <is>
          <t>Thấp</t>
        </is>
      </c>
    </row>
    <row r="135" ht="15" customHeight="1" s="32">
      <c r="A135" s="41" t="inlineStr">
        <is>
          <t>behemoth_inferno</t>
        </is>
      </c>
      <c r="B135" s="41" t="inlineStr">
        <is>
          <t>Inferno · Behemoth phun lửa</t>
        </is>
      </c>
      <c r="C135" s="41" t="inlineStr">
        <is>
          <t>Giáp</t>
        </is>
      </c>
      <c r="D135" s="41" t="inlineStr">
        <is>
          <t>5/3/2/2</t>
        </is>
      </c>
      <c r="E135" s="41" t="inlineStr">
        <is>
          <t>4/3/2/2</t>
        </is>
      </c>
      <c r="F135" s="41" t="inlineStr">
        <is>
          <t>Mini boss không có giáp trước 5 (chỉ boss chủ lực).</t>
        </is>
      </c>
      <c r="G135" s="41" t="n"/>
      <c r="H135" s="49" t="inlineStr">
        <is>
          <t>Thấp</t>
        </is>
      </c>
    </row>
    <row r="136" ht="21.75" customHeight="1" s="32">
      <c r="A136" s="39" t="inlineStr">
        <is>
          <t>behemoth_mk2</t>
        </is>
      </c>
      <c r="B136" s="39" t="inlineStr">
        <is>
          <t>Behemoth Mk.II · Behemoth nâng cấp</t>
        </is>
      </c>
      <c r="C136" s="39" t="inlineStr">
        <is>
          <t>Giáp</t>
        </is>
      </c>
      <c r="D136" s="39" t="inlineStr">
        <is>
          <t>5/3/2/2</t>
        </is>
      </c>
      <c r="E136" s="39" t="inlineStr">
        <is>
          <t>4/3/2/2</t>
        </is>
      </c>
      <c r="F136" s="39" t="inlineStr">
        <is>
          <t>Mini boss không có giáp trước 5 (chỉ boss chủ lực).</t>
        </is>
      </c>
      <c r="G136" s="39" t="n"/>
      <c r="H136" s="49" t="inlineStr">
        <is>
          <t>Thấp</t>
        </is>
      </c>
    </row>
    <row r="137" ht="15" customHeight="1" s="32">
      <c r="A137" s="41" t="inlineStr">
        <is>
          <t>behemoth_tempest</t>
        </is>
      </c>
      <c r="B137" s="41" t="inlineStr">
        <is>
          <t>Tempest · Behemoth pháo điện từ</t>
        </is>
      </c>
      <c r="C137" s="41" t="inlineStr">
        <is>
          <t>Giáp</t>
        </is>
      </c>
      <c r="D137" s="41" t="inlineStr">
        <is>
          <t>5/3/2/2</t>
        </is>
      </c>
      <c r="E137" s="41" t="inlineStr">
        <is>
          <t>4/3/2/2</t>
        </is>
      </c>
      <c r="F137" s="41" t="inlineStr">
        <is>
          <t>Mini boss không có giáp trước 5 (chỉ boss chủ lực).</t>
        </is>
      </c>
      <c r="G137" s="41" t="n"/>
      <c r="H137" s="49" t="inlineStr">
        <is>
          <t>Thấp</t>
        </is>
      </c>
    </row>
    <row r="138" ht="15" customHeight="1" s="32">
      <c r="A138" s="39"/>
      <c r="B138" s="39"/>
      <c r="C138" s="39"/>
      <c r="D138" s="39"/>
      <c r="E138" s="39"/>
      <c r="F138" s="39"/>
      <c r="G138" s="39"/>
      <c r="H138" s="49"/>
    </row>
    <row r="139" ht="15" customHeight="1" s="32">
      <c r="A139" s="41"/>
      <c r="B139" s="41"/>
      <c r="C139" s="41"/>
      <c r="D139" s="41"/>
      <c r="E139" s="41"/>
      <c r="F139" s="41"/>
      <c r="G139" s="41"/>
      <c r="H139" s="49"/>
    </row>
    <row r="140" ht="15" customHeight="1" s="32">
      <c r="A140" s="39" t="inlineStr">
        <is>
          <t>bulwark_post</t>
        </is>
      </c>
      <c r="B140" s="39" t="inlineStr">
        <is>
          <t>Ụ súng tạm</t>
        </is>
      </c>
      <c r="C140" s="39" t="inlineStr">
        <is>
          <t>Tên</t>
        </is>
      </c>
      <c r="D140" s="39" t="inlineStr">
        <is>
          <t>Ụ súng tạm</t>
        </is>
      </c>
      <c r="E140" s="39" t="inlineStr">
        <is>
          <t>Ụ súng dã chiến · ngắn: Ụ súng · EN: Field Gun Post</t>
        </is>
      </c>
      <c r="F140" s="39" t="inlineStr">
        <is>
          <t>"Tạm" nghe như lỗi.</t>
        </is>
      </c>
      <c r="G140" s="39" t="n"/>
      <c r="H140" s="49" t="inlineStr">
        <is>
          <t>Thấp</t>
        </is>
      </c>
    </row>
    <row r="141" ht="15" customHeight="1" s="32">
      <c r="A141" s="41"/>
      <c r="B141" s="41"/>
      <c r="C141" s="41"/>
      <c r="D141" s="41"/>
      <c r="E141" s="41"/>
      <c r="F141" s="41"/>
      <c r="G141" s="41"/>
      <c r="H141" s="49"/>
    </row>
    <row r="142" ht="15" customHeight="1" s="32">
      <c r="A142" s="39" t="inlineStr">
        <is>
          <t>c_ram</t>
        </is>
      </c>
      <c r="B142" s="39" t="inlineStr">
        <is>
          <t>Trạm C-RAM</t>
        </is>
      </c>
      <c r="C142" s="39" t="inlineStr">
        <is>
          <t>Tên</t>
        </is>
      </c>
      <c r="D142" s="39" t="inlineStr">
        <is>
          <t>Trạm C-RAM</t>
        </is>
      </c>
      <c r="E142" s="39" t="inlineStr">
        <is>
          <t>Trạm đánh chặn C-RAM · ngắn: C-RAM · EN: C-RAM Interceptor</t>
        </is>
      </c>
      <c r="F142" s="39" t="inlineStr">
        <is>
          <t>Giữ nghĩa.</t>
        </is>
      </c>
      <c r="G142" s="39" t="n"/>
      <c r="H142" s="49" t="inlineStr">
        <is>
          <t>Thấp</t>
        </is>
      </c>
    </row>
    <row r="143" ht="21.75" customHeight="1" s="32">
      <c r="A143" s="41" t="inlineStr">
        <is>
          <t>command_vehicle</t>
        </is>
      </c>
      <c r="B143" s="41" t="inlineStr">
        <is>
          <t>Xe chỉ huy</t>
        </is>
      </c>
      <c r="C143" s="41" t="inlineStr">
        <is>
          <t>Kích thước model (dài × rộng × cao)</t>
        </is>
      </c>
      <c r="D143" s="41" t="inlineStr">
        <is>
          <t>6.7 × 2.5 × 4.7</t>
        </is>
      </c>
      <c r="E143" s="41" t="inlineStr">
        <is>
          <t>5.6 × 2.2 × 2.1</t>
        </is>
      </c>
      <c r="F143" s="41" t="inlineStr">
        <is>
          <t>Mẫu thật Stryker CV: 6.95 × 2.72 m; theo tỷ lệ chung (mặt đất 0,8) nên là 5.6 × 2.2 m. Đổi kích thước thì chỉnh vùng va chạm và chạy lại test xe kẹt.</t>
        </is>
      </c>
      <c r="G143" s="41" t="n"/>
      <c r="H143" s="49" t="inlineStr">
        <is>
          <t>Thấp</t>
        </is>
      </c>
    </row>
    <row r="144" ht="21.75" customHeight="1" s="32">
      <c r="A144" s="39"/>
      <c r="B144" s="39"/>
      <c r="C144" s="39"/>
      <c r="D144" s="39"/>
      <c r="E144" s="39"/>
      <c r="F144" s="39"/>
      <c r="G144" s="39"/>
      <c r="H144" s="49"/>
    </row>
    <row r="145" ht="21.75" customHeight="1" s="32">
      <c r="A145" s="41"/>
      <c r="B145" s="41"/>
      <c r="C145" s="41"/>
      <c r="D145" s="41"/>
      <c r="E145" s="41"/>
      <c r="F145" s="41"/>
      <c r="G145" s="41"/>
      <c r="H145" s="49"/>
    </row>
    <row r="146" ht="15" customHeight="1" s="32">
      <c r="A146" s="39" t="inlineStr">
        <is>
          <t>drone_hangar</t>
        </is>
      </c>
      <c r="B146" s="39" t="inlineStr">
        <is>
          <t>Nhà chứa drone</t>
        </is>
      </c>
      <c r="C146" s="39" t="inlineStr">
        <is>
          <t>Tên</t>
        </is>
      </c>
      <c r="D146" s="39" t="inlineStr">
        <is>
          <t>Nhà chứa drone</t>
        </is>
      </c>
      <c r="E146" s="39" t="inlineStr">
        <is>
          <t>Nhà chứa drone · ngắn: Nhà chứa drone · EN: Drone Hangar</t>
        </is>
      </c>
      <c r="F146" s="39" t="inlineStr">
        <is>
          <t>Giữ.</t>
        </is>
      </c>
      <c r="G146" s="39" t="n"/>
      <c r="H146" s="49" t="inlineStr">
        <is>
          <t>Thấp</t>
        </is>
      </c>
    </row>
    <row r="147" ht="15" customHeight="1" s="32">
      <c r="A147" s="41" t="inlineStr">
        <is>
          <t>earth_borer</t>
        </is>
      </c>
      <c r="B147" s="41" t="inlineStr">
        <is>
          <t>Tartarus · Máy khoan</t>
        </is>
      </c>
      <c r="C147" s="41" t="inlineStr">
        <is>
          <t>Máu</t>
        </is>
      </c>
      <c r="D147" s="41" t="inlineStr">
        <is>
          <t>11.430</t>
        </is>
      </c>
      <c r="E147" s="41" t="inlineStr">
        <is>
          <t>~10.000 (mini chương 8)</t>
        </is>
      </c>
      <c r="F147" s="41" t="inlineStr">
        <is>
          <t>Mini boss nhiều máu hơn boss chủ lực chương 2 và 11.</t>
        </is>
      </c>
      <c r="G147" s="41" t="inlineStr">
        <is>
          <t>Thang máu boss</t>
        </is>
      </c>
      <c r="H147" s="49" t="inlineStr">
        <is>
          <t>Thấp</t>
        </is>
      </c>
    </row>
    <row r="148" ht="15" customHeight="1" s="32">
      <c r="A148" s="39" t="inlineStr">
        <is>
          <t>ew_jammer</t>
        </is>
      </c>
      <c r="B148" s="39" t="inlineStr">
        <is>
          <t>Xe tác chiến điện tử</t>
        </is>
      </c>
      <c r="C148" s="39" t="inlineStr">
        <is>
          <t>Tên</t>
        </is>
      </c>
      <c r="D148" s="39" t="inlineStr">
        <is>
          <t>Xe tác chiến điện tử</t>
        </is>
      </c>
      <c r="E148" s="39" t="inlineStr">
        <is>
          <t>Xe gây nhiễu điện tử · ngắn: Gây nhiễu · EN: EW Jammer</t>
        </is>
      </c>
      <c r="F148" s="39" t="inlineStr">
        <is>
          <t>"Tác chiến điện tử" dài; bảng DPS đã dùng "Gây nhiễu".</t>
        </is>
      </c>
      <c r="G148" s="39" t="n"/>
      <c r="H148" s="49" t="inlineStr">
        <is>
          <t>Thấp</t>
        </is>
      </c>
    </row>
    <row r="149" ht="15" customHeight="1" s="32">
      <c r="A149" s="41" t="inlineStr">
        <is>
          <t>fenrir</t>
        </is>
      </c>
      <c r="B149" s="41" t="inlineStr">
        <is>
          <t>Fenrir · Xe tiên phong</t>
        </is>
      </c>
      <c r="C149" s="41" t="inlineStr">
        <is>
          <t>Giáp</t>
        </is>
      </c>
      <c r="D149" s="41" t="inlineStr">
        <is>
          <t>trước 5</t>
        </is>
      </c>
      <c r="E149" s="41" t="inlineStr">
        <is>
          <t>trước 4</t>
        </is>
      </c>
      <c r="F149" s="41" t="inlineStr">
        <is>
          <t>Như trên.</t>
        </is>
      </c>
      <c r="G149" s="41" t="inlineStr">
        <is>
          <t>Luật mini boss</t>
        </is>
      </c>
      <c r="H149" s="49" t="inlineStr">
        <is>
          <t>Thấp</t>
        </is>
      </c>
    </row>
    <row r="150" ht="15" customHeight="1" s="32">
      <c r="A150" s="39" t="inlineStr">
        <is>
          <t>fenrir</t>
        </is>
      </c>
      <c r="B150" s="39" t="inlineStr">
        <is>
          <t>Fenrir · Xe tiên phong</t>
        </is>
      </c>
      <c r="C150" s="39" t="inlineStr">
        <is>
          <t>Giáp</t>
        </is>
      </c>
      <c r="D150" s="39" t="inlineStr">
        <is>
          <t>5/4/3/2</t>
        </is>
      </c>
      <c r="E150" s="39" t="inlineStr">
        <is>
          <t>4/4/3/2</t>
        </is>
      </c>
      <c r="F150" s="39" t="inlineStr">
        <is>
          <t>Mini boss không có giáp trước 5 (chỉ boss chủ lực).</t>
        </is>
      </c>
      <c r="G150" s="39" t="n"/>
      <c r="H150" s="49" t="inlineStr">
        <is>
          <t>Thấp</t>
        </is>
      </c>
    </row>
    <row r="151" ht="32.25" customHeight="1" s="32">
      <c r="A151" s="41" t="inlineStr">
        <is>
          <t>fighter_jet</t>
        </is>
      </c>
      <c r="B151" s="41" t="inlineStr">
        <is>
          <t>Tiêm kích</t>
        </is>
      </c>
      <c r="C151" s="41" t="inlineStr">
        <is>
          <t>Kích thước model (dài × rộng × cao)</t>
        </is>
      </c>
      <c r="D151" s="41" t="inlineStr">
        <is>
          <t>6.4 × 4.2 × 1.4</t>
        </is>
      </c>
      <c r="E151" s="41" t="inlineStr">
        <is>
          <t>8.8 × 5.9 × 2.4</t>
        </is>
      </c>
      <c r="F151" s="41" t="inlineStr">
        <is>
          <t>Mẫu thật Su-27: 21.9 × 14.7 m; theo tỷ lệ chung (trên không 0,4) nên là 8.8 × 5.9 m. Su-27 thật dài hơn Su-25 40%, nhưng trong game bằng nhau. Đổi kích thước thì chỉnh vùng va chạm và chạy lại test xe kẹt.</t>
        </is>
      </c>
      <c r="G151" s="41" t="n"/>
      <c r="H151" s="49" t="inlineStr">
        <is>
          <t>Thấp</t>
        </is>
      </c>
    </row>
    <row r="152" ht="21.75" customHeight="1" s="32">
      <c r="A152" s="39" t="inlineStr">
        <is>
          <t>flame_tank</t>
        </is>
      </c>
      <c r="B152" s="39" t="inlineStr">
        <is>
          <t>Tăng phun lửa</t>
        </is>
      </c>
      <c r="C152" s="39" t="inlineStr">
        <is>
          <t>Vũ khí: súng phun lửa</t>
        </is>
      </c>
      <c r="D152" s="39" t="inlineStr">
        <is>
          <t>23,5/tick · giá trị vs xe nhẹ 587 ở 5 CP</t>
        </is>
      </c>
      <c r="E152" s="39" t="inlineStr">
        <is>
          <t>sát thương −10% lên xe nhẹ; giữ giá 5 CP</t>
        </is>
      </c>
      <c r="F152" s="39" t="inlineStr">
        <is>
          <t>Mạnh nhất theo CP khi đánh gần xe nhẹ; nhưng yếu với tăng và công sự nên giữ giá.</t>
        </is>
      </c>
      <c r="G152" s="39" t="inlineStr">
        <is>
          <t>TO-55, M67 Zippo</t>
        </is>
      </c>
      <c r="H152" s="49" t="inlineStr">
        <is>
          <t>Thấp</t>
        </is>
      </c>
    </row>
    <row r="153" ht="21.75" customHeight="1" s="32">
      <c r="A153" s="41" t="inlineStr">
        <is>
          <t>flame_tank</t>
        </is>
      </c>
      <c r="B153" s="41" t="inlineStr">
        <is>
          <t>Tăng phun lửa</t>
        </is>
      </c>
      <c r="C153" s="41" t="inlineStr">
        <is>
          <t>Nổ khi bị phá (bán kính)</t>
        </is>
      </c>
      <c r="D153" s="41" t="inlineStr">
        <is>
          <t>8 m · 280 sát thương</t>
        </is>
      </c>
      <c r="E153" s="41" t="inlineStr">
        <is>
          <t>~5 m</t>
        </is>
      </c>
      <c r="F153" s="41" t="inlineStr">
        <is>
          <t>Bán kính nổ khi bị phá nên theo cỡ xe, cộng thêm nếu xe chở nhiều đạn/nhiên liệu.</t>
        </is>
      </c>
      <c r="G153" s="41" t="n"/>
      <c r="H153" s="49" t="inlineStr">
        <is>
          <t>Thấp</t>
        </is>
      </c>
    </row>
    <row r="154" ht="21.75" customHeight="1" s="32">
      <c r="A154" s="39" t="inlineStr">
        <is>
          <t>fpv_carrier</t>
        </is>
      </c>
      <c r="B154" s="39" t="inlineStr">
        <is>
          <t>Xe phóng drone FPV</t>
        </is>
      </c>
      <c r="C154" s="39" t="inlineStr">
        <is>
          <t>Kích thước model (dài × rộng × cao)</t>
        </is>
      </c>
      <c r="D154" s="39" t="inlineStr">
        <is>
          <t>7.0 × 2.6 × 3.6</t>
        </is>
      </c>
      <c r="E154" s="39" t="inlineStr">
        <is>
          <t>7.2 × 2.0 × 2.6</t>
        </is>
      </c>
      <c r="F154" s="39" t="inlineStr">
        <is>
          <t>Mẫu thật KamAZ Typhoon-K: 9.0 × 2.55 m; theo tỷ lệ chung (mặt đất 0,8) nên là 7.2 × 2.0 m. Đổi kích thước thì chỉnh vùng va chạm và chạy lại test xe kẹt.</t>
        </is>
      </c>
      <c r="G154" s="39" t="n"/>
      <c r="H154" s="49" t="inlineStr">
        <is>
          <t>Thấp</t>
        </is>
      </c>
    </row>
    <row r="155" ht="21.75" customHeight="1" s="32">
      <c r="A155" s="41"/>
      <c r="B155" s="41"/>
      <c r="C155" s="41"/>
      <c r="D155" s="41"/>
      <c r="E155" s="41"/>
      <c r="F155" s="41"/>
      <c r="G155" s="41"/>
      <c r="H155" s="49"/>
    </row>
    <row r="156" ht="15" customHeight="1" s="32">
      <c r="A156" s="39" t="inlineStr">
        <is>
          <t>heavy_aa</t>
        </is>
      </c>
      <c r="B156" s="39" t="inlineStr">
        <is>
          <t>Pháo tên lửa phòng không</t>
        </is>
      </c>
      <c r="C156" s="39" t="inlineStr">
        <is>
          <t>Vũ khí: 2A38 30 mm đôi</t>
        </is>
      </c>
      <c r="D156" s="39" t="inlineStr">
        <is>
          <t>22/phát · 13,6 viên/s</t>
        </is>
      </c>
      <c r="E156" s="39" t="inlineStr">
        <is>
          <t>7,5/phát · 40 viên/s (giữ DPS)</t>
        </is>
      </c>
      <c r="F156" s="39" t="inlineStr">
        <is>
          <t>Tạo luồng đạn đặc trưng Pantsir.</t>
        </is>
      </c>
      <c r="G156" s="39" t="inlineStr">
        <is>
          <t>2A38M: ~5.000 phát/phút cả cặp</t>
        </is>
      </c>
      <c r="H156" s="49" t="inlineStr">
        <is>
          <t>Thấp</t>
        </is>
      </c>
    </row>
    <row r="157" ht="21.75" customHeight="1" s="32">
      <c r="A157" s="41" t="inlineStr">
        <is>
          <t>heavy_aa</t>
        </is>
      </c>
      <c r="B157" s="41" t="inlineStr">
        <is>
          <t>Pháo tên lửa phòng không</t>
        </is>
      </c>
      <c r="C157" s="41" t="inlineStr">
        <is>
          <t>Tên</t>
        </is>
      </c>
      <c r="D157" s="41" t="inlineStr">
        <is>
          <t>Pháo tên lửa phòng không</t>
        </is>
      </c>
      <c r="E157" s="41" t="inlineStr">
        <is>
          <t>Xe phòng không pháo – tên lửa · ngắn: PK hỗn hợp · EN: Gun–Missile AA</t>
        </is>
      </c>
      <c r="F157" s="41" t="inlineStr">
        <is>
          <t>"Pháo tên lửa phòng không" khó hiểu; bảng DPS đã gọi "PK hỗn hợp".</t>
        </is>
      </c>
      <c r="G157" s="41" t="n"/>
      <c r="H157" s="49" t="inlineStr">
        <is>
          <t>Thấp</t>
        </is>
      </c>
    </row>
    <row r="158" ht="32.25" customHeight="1" s="32">
      <c r="A158" s="39" t="inlineStr">
        <is>
          <t>heavy_aa</t>
        </is>
      </c>
      <c r="B158" s="39" t="inlineStr">
        <is>
          <t>Pháo tên lửa phòng không</t>
        </is>
      </c>
      <c r="C158" s="39" t="inlineStr">
        <is>
          <t>Kích thước model (dài × rộng × cao)</t>
        </is>
      </c>
      <c r="D158" s="39" t="inlineStr">
        <is>
          <t>7.0 × 2.5 × 3.3</t>
        </is>
      </c>
      <c r="E158" s="39" t="inlineStr">
        <is>
          <t>9.6 × 2.6 × 2.8</t>
        </is>
      </c>
      <c r="F158" s="39" t="inlineStr">
        <is>
          <t>Mẫu thật Pantsir-S1 (KamAZ): 12.0 × 3.2 m; theo tỷ lệ chung (mặt đất 0,8) nên là 9.6 × 2.6 m. Đổi kích thước thì chỉnh vùng va chạm và chạy lại test xe kẹt.</t>
        </is>
      </c>
      <c r="G158" s="39" t="n"/>
      <c r="H158" s="49" t="inlineStr">
        <is>
          <t>Thấp</t>
        </is>
      </c>
    </row>
    <row r="159" ht="15" customHeight="1" s="32">
      <c r="A159" s="41" t="inlineStr">
        <is>
          <t>heavy_bomber</t>
        </is>
      </c>
      <c r="B159" s="41" t="inlineStr">
        <is>
          <t>Oanh tạc cơ hạng nặng</t>
        </is>
      </c>
      <c r="C159" s="41" t="inlineStr">
        <is>
          <t>Tên</t>
        </is>
      </c>
      <c r="D159" s="41" t="inlineStr">
        <is>
          <t>Oanh tạc cơ hạng nặng</t>
        </is>
      </c>
      <c r="E159" s="41" t="inlineStr">
        <is>
          <t>Oanh tạc cơ chiến lược · ngắn: Oanh tạc cơ · EN: Strategic Bomber</t>
        </is>
      </c>
      <c r="F159" s="41" t="inlineStr">
        <is>
          <t>"Chiến lược" đúng phân loại B-52.</t>
        </is>
      </c>
      <c r="G159" s="41" t="n"/>
      <c r="H159" s="49" t="inlineStr">
        <is>
          <t>Thấp</t>
        </is>
      </c>
    </row>
    <row r="160" ht="15" customHeight="1" s="32">
      <c r="A160" s="39" t="inlineStr">
        <is>
          <t>heavy_rocket_artillery</t>
        </is>
      </c>
      <c r="B160" s="39" t="inlineStr">
        <is>
          <t>Pháo phản lực hạng nặng</t>
        </is>
      </c>
      <c r="C160" s="39" t="inlineStr">
        <is>
          <t>Vũ khí: Smerch 300 mm</t>
        </is>
      </c>
      <c r="D160" s="39" t="inlineStr">
        <is>
          <t>tốc độ 24 (bay 5,8 s, chậm hơn cả Grad)</t>
        </is>
      </c>
      <c r="E160" s="39" t="inlineStr">
        <is>
          <t>tốc độ 55 (bay 2,5 s)</t>
        </is>
      </c>
      <c r="F160" s="39" t="inlineStr">
        <is>
          <t>Rốc-két cỡ lớn bay nhanh và xa nhất; hiện chậm ngược.</t>
        </is>
      </c>
      <c r="G160" s="39" t="inlineStr">
        <is>
          <t>9M55: tầm 70–90 km</t>
        </is>
      </c>
      <c r="H160" s="49" t="inlineStr">
        <is>
          <t>Thấp</t>
        </is>
      </c>
    </row>
    <row r="161" ht="15" customHeight="1" s="32">
      <c r="A161" s="41" t="inlineStr">
        <is>
          <t>heavy_rocket_artillery</t>
        </is>
      </c>
      <c r="B161" s="41" t="inlineStr">
        <is>
          <t>Pháo phản lực hạng nặng</t>
        </is>
      </c>
      <c r="C161" s="41" t="inlineStr">
        <is>
          <t>Giá</t>
        </is>
      </c>
      <c r="D161" s="41" t="inlineStr">
        <is>
          <t>11 CP (hiệu quả 1,16)</t>
        </is>
      </c>
      <c r="E161" s="41" t="inlineStr">
        <is>
          <t>12 CP</t>
        </is>
      </c>
      <c r="F161" s="41" t="inlineStr">
        <is>
          <t>Mạnh hơn đạn đạo cùng giá.</t>
        </is>
      </c>
      <c r="G161" s="41" t="inlineStr">
        <is>
          <t>BM-30 Smerch</t>
        </is>
      </c>
      <c r="H161" s="49" t="inlineStr">
        <is>
          <t>Thấp</t>
        </is>
      </c>
    </row>
    <row r="162" ht="21.75" customHeight="1" s="32">
      <c r="A162" s="39" t="inlineStr">
        <is>
          <t>heavy_turret</t>
        </is>
      </c>
      <c r="B162" s="39" t="inlineStr">
        <is>
          <t>Pháo đài hạng nặng</t>
        </is>
      </c>
      <c r="C162" s="39" t="inlineStr">
        <is>
          <t>Tên</t>
        </is>
      </c>
      <c r="D162" s="39" t="inlineStr">
        <is>
          <t>Pháo đài hạng nặng</t>
        </is>
      </c>
      <c r="E162" s="39" t="inlineStr">
        <is>
          <t>Tháp pháo hạng nặng · ngắn: Pháo hạng nặng · EN: Heavy Gun Turret</t>
        </is>
      </c>
      <c r="F162" s="39" t="inlineStr">
        <is>
          <t>"Pháo đài" dễ nhầm với boss Bastion và pháo đài trong Công thành.</t>
        </is>
      </c>
      <c r="G162" s="39" t="n"/>
      <c r="H162" s="49" t="inlineStr">
        <is>
          <t>Thấp</t>
        </is>
      </c>
    </row>
    <row r="163" ht="21.75" customHeight="1" s="32">
      <c r="A163" s="41" t="inlineStr">
        <is>
          <t>hover_gunboat</t>
        </is>
      </c>
      <c r="B163" s="41" t="inlineStr">
        <is>
          <t>Xuồng cao tốc đệm khí</t>
        </is>
      </c>
      <c r="C163" s="41" t="inlineStr">
        <is>
          <t>Vũ khí: AK-630 30 mm</t>
        </is>
      </c>
      <c r="D163" s="41" t="inlineStr">
        <is>
          <t>22/phát · 60 viên/s · băng 15 · nạp 14,7 s · DPS duy trì 22</t>
        </is>
      </c>
      <c r="E163" s="41" t="inlineStr">
        <is>
          <t>12/phát · 60 viên/s · băng 60 · nạp 5 s · DPS duy trì ~85</t>
        </is>
      </c>
      <c r="F163" s="41" t="inlineStr">
        <is>
          <t>Bắn 0,25 s rồi im 14,7 s: không giống CIWS, và hộ tống boss gần như vô hại.</t>
        </is>
      </c>
      <c r="G163" s="41" t="inlineStr">
        <is>
          <t>AK-630M: 4.000–5.000 phát/phút, băng 2.000 viên</t>
        </is>
      </c>
      <c r="H163" s="49" t="inlineStr">
        <is>
          <t>Thấp</t>
        </is>
      </c>
    </row>
    <row r="164" ht="21.75" customHeight="1" s="32">
      <c r="A164" s="39" t="inlineStr">
        <is>
          <t>hover_gunboat</t>
        </is>
      </c>
      <c r="B164" s="39" t="inlineStr">
        <is>
          <t>Xuồng cao tốc đệm khí</t>
        </is>
      </c>
      <c r="C164" s="39" t="inlineStr">
        <is>
          <t>Tên</t>
        </is>
      </c>
      <c r="D164" s="39" t="inlineStr">
        <is>
          <t>Xuồng cao tốc đệm khí</t>
        </is>
      </c>
      <c r="E164" s="39" t="inlineStr">
        <is>
          <t>Xuồng đệm khí hộ tống · ngắn: Xuồng hộ tống · EN: Escort Hovercraft</t>
        </is>
      </c>
      <c r="F164" s="39" t="inlineStr">
        <is>
          <t>Nói rõ vai trò hộ tống boss.</t>
        </is>
      </c>
      <c r="G164" s="39" t="n"/>
      <c r="H164" s="49" t="inlineStr">
        <is>
          <t>Thấp</t>
        </is>
      </c>
    </row>
    <row r="165" ht="21.75" customHeight="1" s="32">
      <c r="A165" s="41" t="inlineStr">
        <is>
          <t>hover_gunboat</t>
        </is>
      </c>
      <c r="B165" s="41" t="inlineStr">
        <is>
          <t>Xuồng cao tốc đệm khí</t>
        </is>
      </c>
      <c r="C165" s="41" t="inlineStr">
        <is>
          <t>Nổ khi bị phá (bán kính)</t>
        </is>
      </c>
      <c r="D165" s="41" t="inlineStr">
        <is>
          <t>6 m · 140 sát thương</t>
        </is>
      </c>
      <c r="E165" s="41" t="inlineStr">
        <is>
          <t>~9 m</t>
        </is>
      </c>
      <c r="F165" s="41" t="inlineStr">
        <is>
          <t>Bán kính nổ khi bị phá nên theo cỡ xe, cộng thêm nếu xe chở nhiều đạn/nhiên liệu.</t>
        </is>
      </c>
      <c r="G165" s="41" t="n"/>
      <c r="H165" s="49" t="inlineStr">
        <is>
          <t>Thấp</t>
        </is>
      </c>
    </row>
    <row r="166" ht="15" customHeight="1" s="32">
      <c r="A166" s="39" t="inlineStr">
        <is>
          <t>iron_beam</t>
        </is>
      </c>
      <c r="B166" s="39" t="inlineStr">
        <is>
          <t>La-de phòng không</t>
        </is>
      </c>
      <c r="C166" s="39" t="inlineStr">
        <is>
          <t>Tên</t>
        </is>
      </c>
      <c r="D166" s="39" t="inlineStr">
        <is>
          <t>La-de phòng không</t>
        </is>
      </c>
      <c r="E166" s="39" t="inlineStr">
        <is>
          <t>Xe la-de phòng không · ngắn: La-de PK · EN: Laser AA</t>
        </is>
      </c>
      <c r="F166" s="39" t="inlineStr">
        <is>
          <t>Giữ.</t>
        </is>
      </c>
      <c r="G166" s="39" t="n"/>
      <c r="H166" s="49" t="inlineStr">
        <is>
          <t>Thấp</t>
        </is>
      </c>
    </row>
    <row r="167" ht="32.25" customHeight="1" s="32">
      <c r="A167" s="41" t="inlineStr">
        <is>
          <t>iron_beam</t>
        </is>
      </c>
      <c r="B167" s="41" t="inlineStr">
        <is>
          <t>La-de phòng không</t>
        </is>
      </c>
      <c r="C167" s="41" t="inlineStr">
        <is>
          <t>Kích thước model (dài × rộng × cao)</t>
        </is>
      </c>
      <c r="D167" s="41" t="inlineStr">
        <is>
          <t>7.8 × 2.7 × 3.7</t>
        </is>
      </c>
      <c r="E167" s="41" t="inlineStr">
        <is>
          <t>8.0 × 2.0 × 2.8</t>
        </is>
      </c>
      <c r="F167" s="41" t="inlineStr">
        <is>
          <t>Mẫu thật Iron Beam (xe tải mang laser): 10.0 × 2.5 m; theo tỷ lệ chung (mặt đất 0,8) nên là 8.0 × 2.0 m. Đổi kích thước thì chỉnh vùng va chạm và chạy lại test xe kẹt.</t>
        </is>
      </c>
      <c r="G167" s="41" t="n"/>
      <c r="H167" s="49" t="inlineStr">
        <is>
          <t>Thấp</t>
        </is>
      </c>
    </row>
    <row r="168" ht="15" customHeight="1" s="32">
      <c r="A168" s="39" t="inlineStr">
        <is>
          <t>kronos</t>
        </is>
      </c>
      <c r="B168" s="39" t="inlineStr">
        <is>
          <t>Kronos · Máy xúc mỏ</t>
        </is>
      </c>
      <c r="C168" s="39" t="inlineStr">
        <is>
          <t>Dữ liệu vũ khí</t>
        </is>
      </c>
      <c r="D168" s="39" t="inlineStr">
        <is>
          <t>bánh gầu không có trong danh sách vũ khí</t>
        </is>
      </c>
      <c r="E168" s="39" t="inlineStr">
        <is>
          <t>thêm bánh gầu thành một vũ khí</t>
        </is>
      </c>
      <c r="F168" s="39" t="inlineStr">
        <is>
          <t>Như trên.</t>
        </is>
      </c>
      <c r="G168" s="39" t="inlineStr">
        <is>
          <t>Bagger 288</t>
        </is>
      </c>
      <c r="H168" s="49" t="inlineStr">
        <is>
          <t>Thấp</t>
        </is>
      </c>
    </row>
    <row r="169" ht="21.75" customHeight="1" s="32">
      <c r="A169" s="41"/>
      <c r="B169" s="41"/>
      <c r="C169" s="41"/>
      <c r="D169" s="41"/>
      <c r="E169" s="41"/>
      <c r="F169" s="41"/>
      <c r="G169" s="41"/>
      <c r="H169" s="49"/>
    </row>
    <row r="170" ht="21.75" customHeight="1" s="32">
      <c r="A170" s="39"/>
      <c r="B170" s="39"/>
      <c r="C170" s="39"/>
      <c r="D170" s="39"/>
      <c r="E170" s="39"/>
      <c r="F170" s="39"/>
      <c r="G170" s="39"/>
      <c r="H170" s="49"/>
    </row>
    <row r="171" ht="21.75" customHeight="1" s="32">
      <c r="A171" s="41"/>
      <c r="B171" s="41"/>
      <c r="C171" s="41"/>
      <c r="D171" s="41"/>
      <c r="E171" s="41"/>
      <c r="F171" s="41"/>
      <c r="G171" s="41"/>
      <c r="H171" s="49"/>
    </row>
    <row r="172" ht="15" customHeight="1" s="32">
      <c r="A172" s="39" t="inlineStr">
        <is>
          <t>laser_tank</t>
        </is>
      </c>
      <c r="B172" s="39" t="inlineStr">
        <is>
          <t>Xe la-de tập trung</t>
        </is>
      </c>
      <c r="C172" s="39" t="inlineStr">
        <is>
          <t>Tên</t>
        </is>
      </c>
      <c r="D172" s="39" t="inlineStr">
        <is>
          <t>Xe la-de tập trung</t>
        </is>
      </c>
      <c r="E172" s="39" t="inlineStr">
        <is>
          <t>Xe la-de diệt tăng · ngắn: La-de diệt tăng · EN: Laser Tank Destroyer</t>
        </is>
      </c>
      <c r="F172" s="39" t="inlineStr">
        <is>
          <t>"Tập trung" không nói lên vai trò.</t>
        </is>
      </c>
      <c r="G172" s="39" t="n"/>
      <c r="H172" s="49" t="inlineStr">
        <is>
          <t>Thấp</t>
        </is>
      </c>
    </row>
    <row r="173" ht="15" customHeight="1" s="32">
      <c r="A173" s="41" t="inlineStr">
        <is>
          <t>light_tank</t>
        </is>
      </c>
      <c r="B173" s="41" t="inlineStr">
        <is>
          <t>Tăng hạng nhẹ</t>
        </is>
      </c>
      <c r="C173" s="41" t="inlineStr">
        <is>
          <t>Vũ khí: 57 mm</t>
        </is>
      </c>
      <c r="D173" s="41" t="inlineStr">
        <is>
          <t>77/phát · bắn đơn 0,4 phát/s</t>
        </is>
      </c>
      <c r="E173" s="41" t="inlineStr">
        <is>
          <t>77/phát · loạt 2 phát ở 2 phát/s · nghỉ 3,5 s · DPS duy trì ~35</t>
        </is>
      </c>
      <c r="F173" s="41" t="inlineStr">
        <is>
          <t>Pháo 57 mm tự động nhưng đang bắn như pháo nạp tay.</t>
        </is>
      </c>
      <c r="G173" s="41" t="inlineStr">
        <is>
          <t>AU-220M: 120 phát/phút</t>
        </is>
      </c>
      <c r="H173" s="49" t="inlineStr">
        <is>
          <t>Thấp</t>
        </is>
      </c>
    </row>
    <row r="174" ht="15" customHeight="1" s="32">
      <c r="A174" s="39" t="inlineStr">
        <is>
          <t>light_tank</t>
        </is>
      </c>
      <c r="B174" s="39" t="inlineStr">
        <is>
          <t>Tăng hạng nhẹ</t>
        </is>
      </c>
      <c r="C174" s="39" t="inlineStr">
        <is>
          <t>Tầm nhìn</t>
        </is>
      </c>
      <c r="D174" s="39" t="inlineStr">
        <is>
          <t>30 m</t>
        </is>
      </c>
      <c r="E174" s="39" t="inlineStr">
        <is>
          <t>36 m</t>
        </is>
      </c>
      <c r="F174" s="39" t="inlineStr">
        <is>
          <t>Tăng nhẹ lội nước thường làm trinh sát cho tuyến.</t>
        </is>
      </c>
      <c r="G174" s="39" t="inlineStr">
        <is>
          <t>PT-76, ZBD-05</t>
        </is>
      </c>
      <c r="H174" s="49" t="inlineStr">
        <is>
          <t>Thấp</t>
        </is>
      </c>
    </row>
    <row r="175" ht="15" customHeight="1" s="32">
      <c r="A175" s="41" t="inlineStr">
        <is>
          <t>light_tank</t>
        </is>
      </c>
      <c r="B175" s="41" t="inlineStr">
        <is>
          <t>Tăng hạng nhẹ</t>
        </is>
      </c>
      <c r="C175" s="41" t="inlineStr">
        <is>
          <t>Tên</t>
        </is>
      </c>
      <c r="D175" s="41" t="inlineStr">
        <is>
          <t>Tăng hạng nhẹ</t>
        </is>
      </c>
      <c r="E175" s="41" t="inlineStr">
        <is>
          <t>Tăng nhẹ lội nước · ngắn: Tăng nhẹ · EN: Amphibious Light Tank</t>
        </is>
      </c>
      <c r="F175" s="41" t="inlineStr">
        <is>
          <t>Nói rõ đặc điểm (PT-76, ZBD-05 đều lội nước).</t>
        </is>
      </c>
      <c r="G175" s="41" t="n"/>
      <c r="H175" s="49" t="inlineStr">
        <is>
          <t>Thấp</t>
        </is>
      </c>
    </row>
    <row r="176" ht="21.75" customHeight="1" s="32">
      <c r="A176" s="39" t="inlineStr">
        <is>
          <t>long_sam</t>
        </is>
      </c>
      <c r="B176" s="39" t="inlineStr">
        <is>
          <t>Tên lửa phòng không tầm xa</t>
        </is>
      </c>
      <c r="C176" s="39" t="inlineStr">
        <is>
          <t>Tên</t>
        </is>
      </c>
      <c r="D176" s="39" t="inlineStr">
        <is>
          <t>Tên lửa phòng không tầm xa</t>
        </is>
      </c>
      <c r="E176" s="39" t="inlineStr">
        <is>
          <t>Xe tên lửa phòng không tầm xa · ngắn: PK tầm xa · EN: Long-range SAM</t>
        </is>
      </c>
      <c r="F176" s="39" t="inlineStr">
        <is>
          <t>Giữ nghĩa, thống nhất với tầm trung.</t>
        </is>
      </c>
      <c r="G176" s="39" t="n"/>
      <c r="H176" s="49" t="inlineStr">
        <is>
          <t>Thấp</t>
        </is>
      </c>
    </row>
    <row r="177" ht="21.75" customHeight="1" s="32">
      <c r="A177" s="41" t="inlineStr">
        <is>
          <t>missile_battery</t>
        </is>
      </c>
      <c r="B177" s="41" t="inlineStr">
        <is>
          <t>Tên lửa Patriot tầm xa</t>
        </is>
      </c>
      <c r="C177" s="41" t="inlineStr">
        <is>
          <t>Tên</t>
        </is>
      </c>
      <c r="D177" s="41" t="inlineStr">
        <is>
          <t>Tên lửa Patriot tầm xa</t>
        </is>
      </c>
      <c r="E177" s="41" t="inlineStr">
        <is>
          <t>Trạm tên lửa phòng không tầm xa · ngắn: PK tầm xa · EN: Long-range SAM Site</t>
        </is>
      </c>
      <c r="F177" s="41" t="inlineStr">
        <is>
          <t>Bỏ tên thật "Patriot" khỏi tên thẻ.</t>
        </is>
      </c>
      <c r="G177" s="41" t="n"/>
      <c r="H177" s="49" t="inlineStr">
        <is>
          <t>Thấp</t>
        </is>
      </c>
    </row>
    <row r="178" ht="15" customHeight="1" s="32">
      <c r="A178" s="39" t="inlineStr">
        <is>
          <t>mlrs</t>
        </is>
      </c>
      <c r="B178" s="39" t="inlineStr">
        <is>
          <t>Pháo phản lực</t>
        </is>
      </c>
      <c r="C178" s="39" t="inlineStr">
        <is>
          <t>Tên</t>
        </is>
      </c>
      <c r="D178" s="39" t="inlineStr">
        <is>
          <t>Pháo phản lực</t>
        </is>
      </c>
      <c r="E178" s="39" t="inlineStr">
        <is>
          <t>Pháo phản lực dẫn đường · ngắn: Phản lực · EN: Guided MLRS</t>
        </is>
      </c>
      <c r="F178" s="39" t="inlineStr">
        <is>
          <t>Phân biệt với pháo phản lực hạng nặng và nhiệt áp.</t>
        </is>
      </c>
      <c r="G178" s="39" t="n"/>
      <c r="H178" s="49" t="inlineStr">
        <is>
          <t>Thấp</t>
        </is>
      </c>
    </row>
    <row r="179" ht="15" customHeight="1" s="32">
      <c r="A179" s="41" t="inlineStr">
        <is>
          <t>morrigan</t>
        </is>
      </c>
      <c r="B179" s="41" t="inlineStr">
        <is>
          <t>Morrigan · Tiêm kích của Raven</t>
        </is>
      </c>
      <c r="C179" s="41" t="inlineStr">
        <is>
          <t>Tham khảo</t>
        </is>
      </c>
      <c r="D179" s="41" t="inlineStr">
        <is>
          <t>trống</t>
        </is>
      </c>
      <c r="E179" s="41" t="inlineStr">
        <is>
          <t>tiêm kích tàng hình tùy biến (Su-57 / F-22), phong cách Ace Combat</t>
        </is>
      </c>
      <c r="F179" s="41" t="inlineStr">
        <is>
          <t>Thiếu dữ liệu.</t>
        </is>
      </c>
      <c r="G179" s="41" t="inlineStr">
        <is>
          <t>Ace Combat</t>
        </is>
      </c>
      <c r="H179" s="49" t="inlineStr">
        <is>
          <t>Thấp</t>
        </is>
      </c>
    </row>
    <row r="180" ht="15" customHeight="1" s="32">
      <c r="A180" s="39" t="inlineStr">
        <is>
          <t>mortar_carrier</t>
        </is>
      </c>
      <c r="B180" s="39" t="inlineStr">
        <is>
          <t>Xe súng cối</t>
        </is>
      </c>
      <c r="C180" s="39" t="inlineStr">
        <is>
          <t>Vũ khí: cối 120 mm</t>
        </is>
      </c>
      <c r="D180" s="39" t="inlineStr">
        <is>
          <t>0,17 phát/s</t>
        </is>
      </c>
      <c r="E180" s="39" t="inlineStr">
        <is>
          <t>0,2 phát/s</t>
        </is>
      </c>
      <c r="F180" s="39" t="inlineStr">
        <is>
          <t>Cối 120 bắn nhanh ngoài đời; cảm giác "mưa cối".</t>
        </is>
      </c>
      <c r="G180" s="39" t="inlineStr">
        <is>
          <t>2B11: 15 phát/phút</t>
        </is>
      </c>
      <c r="H180" s="49" t="inlineStr">
        <is>
          <t>Thấp</t>
        </is>
      </c>
    </row>
    <row r="181" ht="15" customHeight="1" s="32">
      <c r="A181" s="41" t="inlineStr">
        <is>
          <t>mortar_carrier</t>
        </is>
      </c>
      <c r="B181" s="41" t="inlineStr">
        <is>
          <t>Xe súng cối</t>
        </is>
      </c>
      <c r="C181" s="41" t="inlineStr">
        <is>
          <t>Tên</t>
        </is>
      </c>
      <c r="D181" s="41" t="inlineStr">
        <is>
          <t>Xe súng cối</t>
        </is>
      </c>
      <c r="E181" s="41" t="inlineStr">
        <is>
          <t>Xe cối tự hành · ngắn: Xe cối · EN: Mortar Carrier</t>
        </is>
      </c>
      <c r="F181" s="41" t="inlineStr">
        <is>
          <t>"Xe súng cối" nghe lạ.</t>
        </is>
      </c>
      <c r="G181" s="41" t="n"/>
      <c r="H181" s="49" t="inlineStr">
        <is>
          <t>Thấp</t>
        </is>
      </c>
    </row>
    <row r="182" ht="21.75" customHeight="1" s="32">
      <c r="A182" s="39" t="inlineStr">
        <is>
          <t>mortar_carrier</t>
        </is>
      </c>
      <c r="B182" s="39" t="inlineStr">
        <is>
          <t>Xe súng cối</t>
        </is>
      </c>
      <c r="C182" s="39" t="inlineStr">
        <is>
          <t>Nổ khi bị phá (bán kính)</t>
        </is>
      </c>
      <c r="D182" s="39" t="inlineStr">
        <is>
          <t>5 m · 120 sát thương</t>
        </is>
      </c>
      <c r="E182" s="39" t="inlineStr">
        <is>
          <t>~8 m</t>
        </is>
      </c>
      <c r="F182" s="39" t="inlineStr">
        <is>
          <t>Bán kính nổ khi bị phá nên theo cỡ xe, cộng thêm nếu xe chở nhiều đạn/nhiên liệu. Xe này chở nhiều đạn.</t>
        </is>
      </c>
      <c r="G182" s="39" t="n"/>
      <c r="H182" s="49" t="inlineStr">
        <is>
          <t>Thấp</t>
        </is>
      </c>
    </row>
    <row r="183" ht="15" customHeight="1" s="32">
      <c r="A183" s="41" t="inlineStr">
        <is>
          <t>railgun_truck</t>
        </is>
      </c>
      <c r="B183" s="41" t="inlineStr">
        <is>
          <t>Xe súng điện từ</t>
        </is>
      </c>
      <c r="C183" s="41" t="inlineStr">
        <is>
          <t>Giá</t>
        </is>
      </c>
      <c r="D183" s="41" t="inlineStr">
        <is>
          <t>9 CP (hiệu quả 1,22)</t>
        </is>
      </c>
      <c r="E183" s="41" t="inlineStr">
        <is>
          <t>10 CP</t>
        </is>
      </c>
      <c r="F183" s="41" t="inlineStr">
        <is>
          <t>Mạnh nhất nhóm diệt tăng.</t>
        </is>
      </c>
      <c r="G183" s="41" t="inlineStr">
        <is>
          <t>(giả tưởng gần: EMRG)</t>
        </is>
      </c>
      <c r="H183" s="49" t="inlineStr">
        <is>
          <t>Thấp</t>
        </is>
      </c>
    </row>
    <row r="184" ht="15" customHeight="1" s="32">
      <c r="A184" s="39" t="inlineStr">
        <is>
          <t>railgun_truck</t>
        </is>
      </c>
      <c r="B184" s="39" t="inlineStr">
        <is>
          <t>Xe súng điện từ</t>
        </is>
      </c>
      <c r="C184" s="39" t="inlineStr">
        <is>
          <t>Tên</t>
        </is>
      </c>
      <c r="D184" s="39" t="inlineStr">
        <is>
          <t>Xe súng điện từ</t>
        </is>
      </c>
      <c r="E184" s="39" t="inlineStr">
        <is>
          <t>Xe pháo điện từ · ngắn: Pháo điện từ · EN: Railgun Truck</t>
        </is>
      </c>
      <c r="F184" s="39" t="inlineStr">
        <is>
          <t>Thẻ ghi "Xe súng điện từ", bảng DPS ghi "Pháo điện từ": thống nhất.</t>
        </is>
      </c>
      <c r="G184" s="39" t="n"/>
      <c r="H184" s="49" t="inlineStr">
        <is>
          <t>Thấp</t>
        </is>
      </c>
    </row>
    <row r="185" ht="15" customHeight="1" s="32">
      <c r="A185" s="41" t="inlineStr">
        <is>
          <t>rocket_turret</t>
        </is>
      </c>
      <c r="B185" s="41" t="inlineStr">
        <is>
          <t>Dàn rốc-két</t>
        </is>
      </c>
      <c r="C185" s="41" t="inlineStr">
        <is>
          <t>Vũ khí: Grad</t>
        </is>
      </c>
      <c r="D185" s="41" t="inlineStr">
        <is>
          <t>87/40</t>
        </is>
      </c>
      <c r="E185" s="41" t="inlineStr">
        <is>
          <t>+15% sát thương hoặc nạp 3,35→2,9 s</t>
        </is>
      </c>
      <c r="F185" s="41" t="inlineStr">
        <is>
          <t>Hơi dưới mục tiêu 110/45.</t>
        </is>
      </c>
      <c r="G185" s="41" t="inlineStr">
        <is>
          <t>BM-21</t>
        </is>
      </c>
      <c r="H185" s="49" t="inlineStr">
        <is>
          <t>Thấp</t>
        </is>
      </c>
    </row>
    <row r="186" ht="21.75" customHeight="1" s="32">
      <c r="A186" s="39" t="inlineStr">
        <is>
          <t>sam_launcher</t>
        </is>
      </c>
      <c r="B186" s="39" t="inlineStr">
        <is>
          <t>Tên lửa phòng không</t>
        </is>
      </c>
      <c r="C186" s="39" t="inlineStr">
        <is>
          <t>Tên</t>
        </is>
      </c>
      <c r="D186" s="39" t="inlineStr">
        <is>
          <t>Tên lửa phòng không</t>
        </is>
      </c>
      <c r="E186" s="39" t="inlineStr">
        <is>
          <t>Xe tên lửa phòng không tầm trung · ngắn: PK tầm trung · EN: Medium-range SAM</t>
        </is>
      </c>
      <c r="F186" s="39" t="inlineStr">
        <is>
          <t>Phân biệt với tầm xa và vác vai.</t>
        </is>
      </c>
      <c r="G186" s="39" t="n"/>
      <c r="H186" s="49" t="inlineStr">
        <is>
          <t>Thấp</t>
        </is>
      </c>
    </row>
    <row r="187" ht="21.75" customHeight="1" s="32">
      <c r="A187" s="41" t="inlineStr">
        <is>
          <t>scout_heli</t>
        </is>
      </c>
      <c r="B187" s="41" t="inlineStr">
        <is>
          <t>Trực thăng trinh sát</t>
        </is>
      </c>
      <c r="C187" s="41" t="inlineStr">
        <is>
          <t>Tên</t>
        </is>
      </c>
      <c r="D187" s="41" t="inlineStr">
        <is>
          <t>Trực thăng trinh sát</t>
        </is>
      </c>
      <c r="E187" s="41" t="inlineStr">
        <is>
          <t>Trực thăng trinh sát vũ trang · ngắn: TT trinh sát · EN: Armed Scout Helicopter</t>
        </is>
      </c>
      <c r="F187" s="41" t="inlineStr">
        <is>
          <t>Nói rõ nó có vũ khí.</t>
        </is>
      </c>
      <c r="G187" s="41" t="n"/>
      <c r="H187" s="49" t="inlineStr">
        <is>
          <t>Thấp</t>
        </is>
      </c>
    </row>
    <row r="188" ht="15" customHeight="1" s="32">
      <c r="A188" s="39" t="inlineStr">
        <is>
          <t>scout_jeep</t>
        </is>
      </c>
      <c r="B188" s="39" t="inlineStr">
        <is>
          <t>Xe trinh sát</t>
        </is>
      </c>
      <c r="C188" s="39" t="inlineStr">
        <is>
          <t>Tên</t>
        </is>
      </c>
      <c r="D188" s="39" t="inlineStr">
        <is>
          <t>Xe trinh sát</t>
        </is>
      </c>
      <c r="E188" s="39" t="inlineStr">
        <is>
          <t>Xe trinh sát hạng nhẹ · ngắn: Trinh sát · EN: Scout Jeep</t>
        </is>
      </c>
      <c r="F188" s="39" t="inlineStr">
        <is>
          <t>Phân biệt với xe trinh sát radar nếu thêm sau này.</t>
        </is>
      </c>
      <c r="G188" s="39" t="n"/>
      <c r="H188" s="49" t="inlineStr">
        <is>
          <t>Thấp</t>
        </is>
      </c>
    </row>
    <row r="189" ht="15" customHeight="1" s="32">
      <c r="A189" s="41" t="inlineStr">
        <is>
          <t>scylla</t>
        </is>
      </c>
      <c r="B189" s="41" t="inlineStr">
        <is>
          <t>Scylla · Tàu khu trục</t>
        </is>
      </c>
      <c r="C189" s="41" t="inlineStr">
        <is>
          <t>Giáp</t>
        </is>
      </c>
      <c r="D189" s="41" t="inlineStr">
        <is>
          <t>5/4/3/2</t>
        </is>
      </c>
      <c r="E189" s="41" t="inlineStr">
        <is>
          <t>4/4/3/2</t>
        </is>
      </c>
      <c r="F189" s="41" t="inlineStr">
        <is>
          <t>Mini boss không có giáp trước 5 (chỉ boss chủ lực).</t>
        </is>
      </c>
      <c r="G189" s="41" t="n"/>
      <c r="H189" s="49" t="inlineStr">
        <is>
          <t>Thấp</t>
        </is>
      </c>
    </row>
    <row r="190" ht="15" customHeight="1" s="32">
      <c r="A190" s="39" t="inlineStr">
        <is>
          <t>shahed_truck</t>
        </is>
      </c>
      <c r="B190" s="39" t="inlineStr">
        <is>
          <t>Xe phóng Shahed</t>
        </is>
      </c>
      <c r="C190" s="39" t="inlineStr">
        <is>
          <t>Vũ khí: Shahed-136</t>
        </is>
      </c>
      <c r="D190" s="39" t="inlineStr">
        <is>
          <t>nổ lan 6 m</t>
        </is>
      </c>
      <c r="E190" s="39" t="inlineStr">
        <is>
          <t>nổ lan 4,5 m</t>
        </is>
      </c>
      <c r="F190" s="39" t="inlineStr">
        <is>
          <t>Đầu nổ 40–50 kg phải nổ nhỏ hơn bom SDB và FAB-250.</t>
        </is>
      </c>
      <c r="G190" s="39" t="inlineStr">
        <is>
          <t>Shahed-136: 40–50 kg</t>
        </is>
      </c>
      <c r="H190" s="49" t="inlineStr">
        <is>
          <t>Thấp</t>
        </is>
      </c>
    </row>
    <row r="191" ht="21.75" customHeight="1" s="32">
      <c r="A191" s="41" t="inlineStr">
        <is>
          <t>shahed_truck</t>
        </is>
      </c>
      <c r="B191" s="41" t="inlineStr">
        <is>
          <t>Xe phóng Shahed</t>
        </is>
      </c>
      <c r="C191" s="41" t="inlineStr">
        <is>
          <t>Tên</t>
        </is>
      </c>
      <c r="D191" s="41" t="inlineStr">
        <is>
          <t>Xe phóng Shahed</t>
        </is>
      </c>
      <c r="E191" s="41" t="inlineStr">
        <is>
          <t>Xe phóng drone cảm tử tầm xa · ngắn: Drone cảm tử · EN: Long-range Drone Launcher</t>
        </is>
      </c>
      <c r="F191" s="41" t="inlineStr">
        <is>
          <t>Bỏ tên thật "Shahed" khỏi tên thẻ.</t>
        </is>
      </c>
      <c r="G191" s="41" t="n"/>
      <c r="H191" s="49" t="inlineStr">
        <is>
          <t>Thấp</t>
        </is>
      </c>
    </row>
    <row r="192" ht="32.25" customHeight="1" s="32">
      <c r="A192" s="39" t="inlineStr">
        <is>
          <t>shahed_truck</t>
        </is>
      </c>
      <c r="B192" s="39" t="inlineStr">
        <is>
          <t>Xe phóng Shahed</t>
        </is>
      </c>
      <c r="C192" s="39" t="inlineStr">
        <is>
          <t>Kích thước model (dài × rộng × cao)</t>
        </is>
      </c>
      <c r="D192" s="39" t="inlineStr">
        <is>
          <t>6.9 × 2.6 × 4.1</t>
        </is>
      </c>
      <c r="E192" s="39" t="inlineStr">
        <is>
          <t>6.4 × 2.0 × 2.8</t>
        </is>
      </c>
      <c r="F192" s="39" t="inlineStr">
        <is>
          <t>Mẫu thật xe tải phóng Shahed: 8.0 × 2.5 m; theo tỷ lệ chung (mặt đất 0,8) nên là 6.4 × 2.0 m. Đổi kích thước thì chỉnh vùng va chạm và chạy lại test xe kẹt.</t>
        </is>
      </c>
      <c r="G192" s="39" t="n"/>
      <c r="H192" s="49" t="inlineStr">
        <is>
          <t>Thấp</t>
        </is>
      </c>
    </row>
    <row r="193" ht="15" customHeight="1" s="32">
      <c r="A193" s="41" t="inlineStr">
        <is>
          <t>siege_tank</t>
        </is>
      </c>
      <c r="B193" s="41" t="inlineStr">
        <is>
          <t>Tăng công thành</t>
        </is>
      </c>
      <c r="C193" s="41" t="inlineStr">
        <is>
          <t>Tên</t>
        </is>
      </c>
      <c r="D193" s="41" t="inlineStr">
        <is>
          <t>Tăng công thành</t>
        </is>
      </c>
      <c r="E193" s="41" t="inlineStr">
        <is>
          <t>Pháo cối công thành · ngắn: Công thành · EN: Siege Mortar</t>
        </is>
      </c>
      <c r="F193" s="41" t="inlineStr">
        <is>
          <t>Không phải xe tăng; vũ khí chính là cối 240 mm.</t>
        </is>
      </c>
      <c r="G193" s="41" t="n"/>
      <c r="H193" s="49" t="inlineStr">
        <is>
          <t>Thấp</t>
        </is>
      </c>
    </row>
    <row r="194" ht="21.75" customHeight="1" s="32">
      <c r="A194" s="39" t="inlineStr">
        <is>
          <t>siege_tank</t>
        </is>
      </c>
      <c r="B194" s="39" t="inlineStr">
        <is>
          <t>Tăng công thành</t>
        </is>
      </c>
      <c r="C194" s="39" t="inlineStr">
        <is>
          <t>Kích thước model (dài × rộng × cao)</t>
        </is>
      </c>
      <c r="D194" s="39" t="inlineStr">
        <is>
          <t>7.7 × 3.4 × 3.1</t>
        </is>
      </c>
      <c r="E194" s="39" t="inlineStr">
        <is>
          <t>6.8 × 2.6 × 2.6</t>
        </is>
      </c>
      <c r="F194" s="39" t="inlineStr">
        <is>
          <t>Mẫu thật 2S4 Tyulpan: 8.5 × 3.2 m; theo tỷ lệ chung (mặt đất 0,8) nên là 6.8 × 2.6 m. Đổi kích thước thì chỉnh vùng va chạm và chạy lại test xe kẹt.</t>
        </is>
      </c>
      <c r="G194" s="39" t="n"/>
      <c r="H194" s="49" t="inlineStr">
        <is>
          <t>Thấp</t>
        </is>
      </c>
    </row>
    <row r="195" ht="15" customHeight="1" s="32">
      <c r="A195" s="41" t="inlineStr">
        <is>
          <t>sky_gunship</t>
        </is>
      </c>
      <c r="B195" s="41" t="inlineStr">
        <is>
          <t>Pháo hạm AC-130</t>
        </is>
      </c>
      <c r="C195" s="41" t="inlineStr">
        <is>
          <t>Tên</t>
        </is>
      </c>
      <c r="D195" s="41" t="inlineStr">
        <is>
          <t>Pháo hạm AC-130</t>
        </is>
      </c>
      <c r="E195" s="41" t="inlineStr">
        <is>
          <t>Pháo hạm bay · ngắn: Pháo hạm · EN: Airborne Gunship</t>
        </is>
      </c>
      <c r="F195" s="41" t="inlineStr">
        <is>
          <t>Bỏ tên thật "AC-130" khỏi tên thẻ (đưa vào dòng phụ).</t>
        </is>
      </c>
      <c r="G195" s="41" t="n"/>
      <c r="H195" s="49" t="inlineStr">
        <is>
          <t>Thấp</t>
        </is>
      </c>
    </row>
    <row r="196" ht="15" customHeight="1" s="32">
      <c r="A196" s="39"/>
      <c r="B196" s="39"/>
      <c r="C196" s="39"/>
      <c r="D196" s="39"/>
      <c r="E196" s="39"/>
      <c r="F196" s="39"/>
      <c r="G196" s="39"/>
      <c r="H196" s="49"/>
    </row>
    <row r="197" ht="15" customHeight="1" s="32">
      <c r="A197" s="41" t="inlineStr">
        <is>
          <t>spawn_bastion</t>
        </is>
      </c>
      <c r="B197" s="41" t="inlineStr">
        <is>
          <t>Tháp căn cứ</t>
        </is>
      </c>
      <c r="C197" s="41" t="inlineStr">
        <is>
          <t>Tên</t>
        </is>
      </c>
      <c r="D197" s="41" t="inlineStr">
        <is>
          <t>Tháp căn cứ</t>
        </is>
      </c>
      <c r="E197" s="41" t="inlineStr">
        <is>
          <t>(kiểm tra còn dùng không) · ngắn: — · EN: —</t>
        </is>
      </c>
      <c r="F197" s="41" t="inlineStr">
        <is>
          <t>Tên của hệ căn cứ cũ.</t>
        </is>
      </c>
      <c r="G197" s="41" t="n"/>
      <c r="H197" s="49" t="inlineStr">
        <is>
          <t>Thấp</t>
        </is>
      </c>
    </row>
    <row r="198" ht="15" customHeight="1" s="32">
      <c r="A198" s="39" t="inlineStr">
        <is>
          <t>stealth_bomber</t>
        </is>
      </c>
      <c r="B198" s="39" t="inlineStr">
        <is>
          <t>Máy bay ném bom tàng hình</t>
        </is>
      </c>
      <c r="C198" s="39" t="inlineStr">
        <is>
          <t>Tên</t>
        </is>
      </c>
      <c r="D198" s="39" t="inlineStr">
        <is>
          <t>Máy bay ném bom tàng hình</t>
        </is>
      </c>
      <c r="E198" s="39" t="inlineStr">
        <is>
          <t>Oanh tạc cơ tàng hình · ngắn: OTC tàng hình · EN: Stealth Bomber</t>
        </is>
      </c>
      <c r="F198" s="39" t="inlineStr">
        <is>
          <t>Thống nhất gốc "oanh tạc cơ" với Oanh tạc cơ.</t>
        </is>
      </c>
      <c r="G198" s="39" t="n"/>
      <c r="H198" s="49" t="inlineStr">
        <is>
          <t>Thấp</t>
        </is>
      </c>
    </row>
    <row r="199" ht="21.75" customHeight="1" s="32">
      <c r="A199" s="41" t="inlineStr">
        <is>
          <t>stealth_fighter</t>
        </is>
      </c>
      <c r="B199" s="41" t="inlineStr">
        <is>
          <t>Tiêm kích tàng hình</t>
        </is>
      </c>
      <c r="C199" s="41" t="inlineStr">
        <is>
          <t>Nổ khi bị phá (bán kính)</t>
        </is>
      </c>
      <c r="D199" s="41" t="inlineStr">
        <is>
          <t>7 m · 160 sát thương</t>
        </is>
      </c>
      <c r="E199" s="41" t="inlineStr">
        <is>
          <t>~5 m</t>
        </is>
      </c>
      <c r="F199" s="41" t="inlineStr">
        <is>
          <t>Bán kính nổ khi bị phá nên theo cỡ xe, cộng thêm nếu xe chở nhiều đạn/nhiên liệu.</t>
        </is>
      </c>
      <c r="G199" s="41" t="n"/>
      <c r="H199" s="49" t="inlineStr">
        <is>
          <t>Thấp</t>
        </is>
      </c>
    </row>
    <row r="200" ht="15" customHeight="1" s="32">
      <c r="A200" s="39" t="inlineStr">
        <is>
          <t>supply_truck</t>
        </is>
      </c>
      <c r="B200" s="39" t="inlineStr">
        <is>
          <t>Xe tiếp tế</t>
        </is>
      </c>
      <c r="C200" s="39" t="inlineStr">
        <is>
          <t>Tên</t>
        </is>
      </c>
      <c r="D200" s="39" t="inlineStr">
        <is>
          <t>Xe tiếp tế</t>
        </is>
      </c>
      <c r="E200" s="39" t="inlineStr">
        <is>
          <t>Xe tải tiếp tế · ngắn: Tiếp tế · EN: Supply Truck</t>
        </is>
      </c>
      <c r="F200" s="39" t="inlineStr">
        <is>
          <t>Giữ nghĩa, thêm "tải" cho rõ hình dạng.</t>
        </is>
      </c>
      <c r="G200" s="39" t="n"/>
      <c r="H200" s="49" t="inlineStr">
        <is>
          <t>Thấp</t>
        </is>
      </c>
    </row>
    <row r="201" ht="21.75" customHeight="1" s="32">
      <c r="A201" s="41" t="inlineStr">
        <is>
          <t>supply_truck</t>
        </is>
      </c>
      <c r="B201" s="41" t="inlineStr">
        <is>
          <t>Xe tiếp tế</t>
        </is>
      </c>
      <c r="C201" s="41" t="inlineStr">
        <is>
          <t>Kích thước model (dài × rộng × cao)</t>
        </is>
      </c>
      <c r="D201" s="41" t="inlineStr">
        <is>
          <t>7.6 × 2.7 × 3.5</t>
        </is>
      </c>
      <c r="E201" s="41" t="inlineStr">
        <is>
          <t>8.2 × 2.0 × 2.1</t>
        </is>
      </c>
      <c r="F201" s="41" t="inlineStr">
        <is>
          <t>Mẫu thật M977 HEMTT: 10.2 × 2.44 m; theo tỷ lệ chung (mặt đất 0,8) nên là 8.2 × 2.0 m. Đổi kích thước thì chỉnh vùng va chạm và chạy lại test xe kẹt.</t>
        </is>
      </c>
      <c r="G201" s="41" t="n"/>
      <c r="H201" s="49" t="inlineStr">
        <is>
          <t>Thấp</t>
        </is>
      </c>
    </row>
    <row r="202" ht="15" customHeight="1" s="32">
      <c r="A202" s="39" t="inlineStr">
        <is>
          <t>supreme_command</t>
        </is>
      </c>
      <c r="B202" s="39" t="inlineStr">
        <is>
          <t>Atlas · Xe chỉ huy siêu nặng</t>
        </is>
      </c>
      <c r="C202" s="39" t="inlineStr">
        <is>
          <t>Giáp</t>
        </is>
      </c>
      <c r="D202" s="39" t="inlineStr">
        <is>
          <t>5/3/2/2</t>
        </is>
      </c>
      <c r="E202" s="39" t="inlineStr">
        <is>
          <t>4/3/2/2</t>
        </is>
      </c>
      <c r="F202" s="39" t="inlineStr">
        <is>
          <t>Mini boss không có giáp trước 5 (chỉ boss chủ lực).</t>
        </is>
      </c>
      <c r="G202" s="39" t="n"/>
      <c r="H202" s="49" t="inlineStr">
        <is>
          <t>Thấp</t>
        </is>
      </c>
    </row>
    <row r="203" ht="15" customHeight="1" s="32">
      <c r="A203" s="41" t="inlineStr">
        <is>
          <t>tank_destroyer</t>
        </is>
      </c>
      <c r="B203" s="41" t="inlineStr">
        <is>
          <t>Pháo chống tăng</t>
        </is>
      </c>
      <c r="C203" s="41" t="inlineStr">
        <is>
          <t>Tên</t>
        </is>
      </c>
      <c r="D203" s="41" t="inlineStr">
        <is>
          <t>Pháo chống tăng</t>
        </is>
      </c>
      <c r="E203" s="41" t="inlineStr">
        <is>
          <t>Pháo chống tăng tự hành · ngắn: Chống tăng · EN: Tank Destroyer</t>
        </is>
      </c>
      <c r="F203" s="41" t="inlineStr">
        <is>
          <t>Giữ nghĩa.</t>
        </is>
      </c>
      <c r="G203" s="41" t="n"/>
      <c r="H203" s="49" t="inlineStr">
        <is>
          <t>Thấp</t>
        </is>
      </c>
    </row>
    <row r="204" ht="15" customHeight="1" s="32">
      <c r="A204" s="39" t="inlineStr">
        <is>
          <t>thermobaric_launcher</t>
        </is>
      </c>
      <c r="B204" s="39" t="inlineStr">
        <is>
          <t>Pháo phản lực nhiệt áp</t>
        </is>
      </c>
      <c r="C204" s="39" t="inlineStr">
        <is>
          <t>Giá</t>
        </is>
      </c>
      <c r="D204" s="39" t="inlineStr">
        <is>
          <t>8 CP (hiệu quả 1,16)</t>
        </is>
      </c>
      <c r="E204" s="39" t="inlineStr">
        <is>
          <t>9 CP</t>
        </is>
      </c>
      <c r="F204" s="39" t="inlineStr">
        <is>
          <t>Mạnh nhất nhóm pháo với công sự sau khi sửa hệ số nhiệt áp.</t>
        </is>
      </c>
      <c r="G204" s="39" t="inlineStr">
        <is>
          <t>TOS-1A</t>
        </is>
      </c>
      <c r="H204" s="49" t="inlineStr">
        <is>
          <t>Thấp</t>
        </is>
      </c>
    </row>
    <row r="205" ht="21.75" customHeight="1" s="32">
      <c r="A205" s="41" t="inlineStr">
        <is>
          <t>thermobaric_launcher</t>
        </is>
      </c>
      <c r="B205" s="41" t="inlineStr">
        <is>
          <t>Pháo phản lực nhiệt áp</t>
        </is>
      </c>
      <c r="C205" s="41" t="inlineStr">
        <is>
          <t>Nổ khi bị phá (bán kính)</t>
        </is>
      </c>
      <c r="D205" s="41" t="inlineStr">
        <is>
          <t>12 m · 360 sát thương</t>
        </is>
      </c>
      <c r="E205" s="41" t="inlineStr">
        <is>
          <t>~9 m</t>
        </is>
      </c>
      <c r="F205" s="41" t="inlineStr">
        <is>
          <t>Bán kính nổ khi bị phá nên theo cỡ xe, cộng thêm nếu xe chở nhiều đạn/nhiên liệu. Xe này chở nhiều đạn.</t>
        </is>
      </c>
      <c r="G205" s="41" t="n"/>
      <c r="H205" s="49" t="inlineStr">
        <is>
          <t>Thấp</t>
        </is>
      </c>
    </row>
    <row r="206" ht="15" customHeight="1" s="32">
      <c r="A206" s="39" t="inlineStr">
        <is>
          <t>titan_tank</t>
        </is>
      </c>
      <c r="B206" s="39" t="inlineStr">
        <is>
          <t>Siêu tăng Titan</t>
        </is>
      </c>
      <c r="C206" s="39" t="inlineStr">
        <is>
          <t>Tên</t>
        </is>
      </c>
      <c r="D206" s="39" t="inlineStr">
        <is>
          <t>Siêu tăng Titan</t>
        </is>
      </c>
      <c r="E206" s="39" t="inlineStr">
        <is>
          <t>Siêu tăng · ngắn: Siêu tăng · EN: Super-Heavy Tank</t>
        </is>
      </c>
      <c r="F206" s="39" t="inlineStr">
        <is>
          <t>"Titan" trùng biệt danh tướng Thorne ("Titan"); bỏ để tránh nhầm.</t>
        </is>
      </c>
      <c r="G206" s="39" t="n"/>
      <c r="H206" s="49" t="inlineStr">
        <is>
          <t>Thấp</t>
        </is>
      </c>
    </row>
    <row r="207" ht="21.75" customHeight="1" s="32">
      <c r="A207" s="41" t="inlineStr">
        <is>
          <t>titan_tank</t>
        </is>
      </c>
      <c r="B207" s="41" t="inlineStr">
        <is>
          <t>Siêu tăng Titan</t>
        </is>
      </c>
      <c r="C207" s="41" t="inlineStr">
        <is>
          <t>Kích thước model (dài × rộng × cao)</t>
        </is>
      </c>
      <c r="D207" s="41" t="inlineStr">
        <is>
          <t>10.4 × 3.6 × 3.5</t>
        </is>
      </c>
      <c r="E207" s="41" t="inlineStr">
        <is>
          <t>dài ≥ 10.6 m</t>
        </is>
      </c>
      <c r="F207" s="41" t="inlineStr">
        <is>
          <t>Phải to hơn rõ rệt so với heavy_tank (8.8 m), khoảng ×1.2.</t>
        </is>
      </c>
      <c r="G207" s="41" t="n"/>
      <c r="H207" s="49" t="inlineStr">
        <is>
          <t>Thấp</t>
        </is>
      </c>
    </row>
    <row r="208" ht="21.75" customHeight="1" s="32">
      <c r="A208" s="39" t="inlineStr">
        <is>
          <t>titan_tank</t>
        </is>
      </c>
      <c r="B208" s="39" t="inlineStr">
        <is>
          <t>Siêu tăng Titan</t>
        </is>
      </c>
      <c r="C208" s="39" t="inlineStr">
        <is>
          <t>Nổ khi bị phá (bán kính)</t>
        </is>
      </c>
      <c r="D208" s="39" t="inlineStr">
        <is>
          <t>12 m · 520 sát thương</t>
        </is>
      </c>
      <c r="E208" s="39" t="inlineStr">
        <is>
          <t>~8 m</t>
        </is>
      </c>
      <c r="F208" s="39" t="inlineStr">
        <is>
          <t>Bán kính nổ khi bị phá nên theo cỡ xe, cộng thêm nếu xe chở nhiều đạn/nhiên liệu.</t>
        </is>
      </c>
      <c r="G208" s="39" t="n"/>
      <c r="H208" s="49" t="inlineStr">
        <is>
          <t>Thấp</t>
        </is>
      </c>
    </row>
    <row r="209" ht="15" customHeight="1" s="32">
      <c r="A209" s="41"/>
      <c r="B209" s="41"/>
      <c r="C209" s="41"/>
      <c r="D209" s="41"/>
      <c r="E209" s="41"/>
      <c r="F209" s="41"/>
      <c r="G209" s="41"/>
      <c r="H209" s="49"/>
    </row>
    <row r="210" ht="21.75" customHeight="1" s="32">
      <c r="A210" s="39" t="inlineStr">
        <is>
          <t>twin_tank</t>
        </is>
      </c>
      <c r="B210" s="39" t="inlineStr">
        <is>
          <t>Tăng hai nòng</t>
        </is>
      </c>
      <c r="C210" s="39" t="inlineStr">
        <is>
          <t>Kích thước model (dài × rộng × cao)</t>
        </is>
      </c>
      <c r="D210" s="39" t="inlineStr">
        <is>
          <t>6.9 × 3.0 × 2.9</t>
        </is>
      </c>
      <c r="E210" s="39" t="inlineStr">
        <is>
          <t>dài ≥ 7.2 m</t>
        </is>
      </c>
      <c r="F210" s="39" t="inlineStr">
        <is>
          <t>Phải to hơn rõ rệt so với main_battle_tank (6.3 m), khoảng ×1.15.</t>
        </is>
      </c>
      <c r="G210" s="39" t="n"/>
      <c r="H210" s="49" t="inlineStr">
        <is>
          <t>Thấp</t>
        </is>
      </c>
    </row>
    <row r="211" ht="15" customHeight="1" s="32">
      <c r="A211" s="41" t="inlineStr">
        <is>
          <t>vbied</t>
        </is>
      </c>
      <c r="B211" s="41" t="inlineStr">
        <is>
          <t>Xe bom tự sát bọc thép</t>
        </is>
      </c>
      <c r="C211" s="41" t="inlineStr">
        <is>
          <t>Tên</t>
        </is>
      </c>
      <c r="D211" s="41" t="inlineStr">
        <is>
          <t>Xe bom tự sát bọc thép</t>
        </is>
      </c>
      <c r="E211" s="41" t="inlineStr">
        <is>
          <t>Xe bom bọc thép · ngắn: Xe bom · EN: Armored Car Bomb</t>
        </is>
      </c>
      <c r="F211" s="41" t="inlineStr">
        <is>
          <t>Rút gọn; "tự sát" có thể nhạy cảm khi phát hành rộng.</t>
        </is>
      </c>
      <c r="G211" s="41" t="n"/>
      <c r="H211" s="49" t="inlineStr">
        <is>
          <t>Thấp</t>
        </is>
      </c>
    </row>
    <row r="212" ht="21.75" customHeight="1" s="32">
      <c r="A212" s="39" t="inlineStr">
        <is>
          <t>wheeled_gun</t>
        </is>
      </c>
      <c r="B212" s="39" t="inlineStr">
        <is>
          <t>Pháo bánh lốp diệt tăng</t>
        </is>
      </c>
      <c r="C212" s="39" t="inlineStr">
        <is>
          <t>Tên</t>
        </is>
      </c>
      <c r="D212" s="39" t="inlineStr">
        <is>
          <t>Pháo bánh lốp diệt tăng</t>
        </is>
      </c>
      <c r="E212" s="39" t="inlineStr">
        <is>
          <t>Pháo xung kích bánh lốp · ngắn: Bánh lốp diệt tăng · EN: Wheeled Tank Destroyer</t>
        </is>
      </c>
      <c r="F212" s="39" t="inlineStr">
        <is>
          <t>Tên hiện dài và lặp "pháo"; "xung kích" nói rõ vai trò đánh nhanh.</t>
        </is>
      </c>
      <c r="G212" s="39" t="n"/>
      <c r="H212" s="49" t="inlineStr">
        <is>
          <t>Thấp</t>
        </is>
      </c>
    </row>
    <row r="213" ht="15" customHeight="1" s="32">
      <c r="A213" s="41" t="inlineStr">
        <is>
          <t>zu23_technical</t>
        </is>
      </c>
      <c r="B213" s="41" t="inlineStr">
        <is>
          <t>Bán tải ZU-23</t>
        </is>
      </c>
      <c r="C213" s="41" t="inlineStr">
        <is>
          <t>Tên</t>
        </is>
      </c>
      <c r="D213" s="41" t="inlineStr">
        <is>
          <t>Bán tải ZU-23</t>
        </is>
      </c>
      <c r="E213" s="41" t="inlineStr">
        <is>
          <t>Bán tải cao xạ · ngắn: Cao xạ bán tải · EN: Flak Technical</t>
        </is>
      </c>
      <c r="F213" s="41" t="inlineStr">
        <is>
          <t>Bỏ tên thật khỏi tên thẻ.</t>
        </is>
      </c>
      <c r="G213" s="41" t="n"/>
      <c r="H213" s="49" t="inlineStr">
        <is>
          <t>Thấp</t>
        </is>
      </c>
    </row>
  </sheetData>
  <autoFilter ref="A1:H2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29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31" min="1" max="1"/>
    <col width="30" customWidth="1" style="31" min="2" max="2"/>
    <col width="28" customWidth="1" style="31" min="3" max="3"/>
    <col width="30" customWidth="1" style="31" min="4" max="4"/>
    <col width="9" customWidth="1" style="31" min="5" max="5"/>
    <col width="45" customWidth="1" style="31" min="6" max="6"/>
    <col width="70" customWidth="1" style="31" min="7" max="7"/>
    <col width="8" customWidth="1" style="31" min="8" max="8"/>
  </cols>
  <sheetData>
    <row r="1" ht="42" customHeight="1" s="32">
      <c r="A1" s="37" t="inlineStr">
        <is>
          <t>id</t>
        </is>
      </c>
      <c r="B1" s="37" t="inlineStr">
        <is>
          <t>Đơn vị</t>
        </is>
      </c>
      <c r="C1" s="37" t="inlineStr">
        <is>
          <t>Mục</t>
        </is>
      </c>
      <c r="D1" s="44" t="inlineStr">
        <is>
          <t>Hiện tại</t>
        </is>
      </c>
      <c r="E1" s="46" t="inlineStr">
        <is>
          <t>Kết quả</t>
        </is>
      </c>
      <c r="F1" s="45" t="inlineStr">
        <is>
          <t>Đề xuất</t>
        </is>
      </c>
      <c r="G1" s="46" t="inlineStr">
        <is>
          <t>Lý do</t>
        </is>
      </c>
      <c r="H1" s="46" t="inlineStr">
        <is>
          <t>Ưu tiên</t>
        </is>
      </c>
    </row>
    <row r="2" ht="21.75" customHeight="1" s="32">
      <c r="A2" s="39" t="inlineStr">
        <is>
          <t>hover_gunboat</t>
        </is>
      </c>
      <c r="B2" s="39" t="inlineStr">
        <is>
          <t>Xuồng cao tốc đệm khí</t>
        </is>
      </c>
      <c r="C2" s="39" t="inlineStr">
        <is>
          <t>Tên</t>
        </is>
      </c>
      <c r="D2" s="39" t="inlineStr">
        <is>
          <t>Xuồng cao tốc đệm khí</t>
        </is>
      </c>
      <c r="E2" s="47" t="inlineStr">
        <is>
          <t>Đổi</t>
        </is>
      </c>
      <c r="F2" s="39" t="inlineStr">
        <is>
          <t>Xuồng đệm khí hộ tống · ngắn: Xuồng hộ tống · EN: Escort Hovercraft</t>
        </is>
      </c>
      <c r="G2" s="39" t="inlineStr">
        <is>
          <t>Nói rõ vai trò hộ tống boss.</t>
        </is>
      </c>
      <c r="H2" s="49" t="inlineStr">
        <is>
          <t>Thấp</t>
        </is>
      </c>
    </row>
    <row r="3" ht="15" customHeight="1" s="32">
      <c r="A3" s="41" t="inlineStr">
        <is>
          <t>hover_gunboat</t>
        </is>
      </c>
      <c r="B3" s="41" t="inlineStr">
        <is>
          <t>Xuồng cao tốc đệm khí</t>
        </is>
      </c>
      <c r="C3" s="41" t="inlineStr">
        <is>
          <t>Giáp (T/H/S/N)</t>
        </is>
      </c>
      <c r="D3" s="41" t="inlineStr">
        <is>
          <t>1/0/0/0</t>
        </is>
      </c>
      <c r="E3" s="49" t="inlineStr">
        <is>
          <t>Giữ</t>
        </is>
      </c>
      <c r="F3" s="41" t="n"/>
      <c r="G3" s="41" t="inlineStr">
        <is>
          <t>Giả tưởng / máy bay; khớp vai trò.</t>
        </is>
      </c>
      <c r="H3" s="41" t="n"/>
    </row>
    <row r="4" ht="15" customHeight="1" s="32">
      <c r="A4" s="39" t="inlineStr">
        <is>
          <t>hover_gunboat</t>
        </is>
      </c>
      <c r="B4" s="39" t="inlineStr">
        <is>
          <t>Xuồng cao tốc đệm khí</t>
        </is>
      </c>
      <c r="C4" s="39" t="inlineStr">
        <is>
          <t>Tốc độ</t>
        </is>
      </c>
      <c r="D4" s="42" t="n">
        <v>8.5</v>
      </c>
      <c r="E4" s="49" t="inlineStr">
        <is>
          <t>Giữ</t>
        </is>
      </c>
      <c r="F4" s="39" t="n"/>
      <c r="G4" s="39" t="inlineStr">
        <is>
          <t>Giả tưởng; so với xe cùng lớp.</t>
        </is>
      </c>
      <c r="H4" s="39" t="n"/>
    </row>
    <row r="5" ht="15" customHeight="1" s="32">
      <c r="A5" s="41" t="inlineStr">
        <is>
          <t>hover_gunboat</t>
        </is>
      </c>
      <c r="B5" s="41" t="inlineStr">
        <is>
          <t>Xuồng cao tốc đệm khí</t>
        </is>
      </c>
      <c r="C5" s="41" t="inlineStr">
        <is>
          <t>Tốc độ xoay thân / tháp</t>
        </is>
      </c>
      <c r="D5" s="41" t="inlineStr">
        <is>
          <t>1 / 3</t>
        </is>
      </c>
      <c r="E5" s="49" t="inlineStr">
        <is>
          <t>Giữ</t>
        </is>
      </c>
      <c r="F5" s="41" t="n"/>
      <c r="G5" s="41" t="inlineStr">
        <is>
          <t>Hợp lý so với loại xe.</t>
        </is>
      </c>
      <c r="H5" s="41" t="n"/>
    </row>
    <row r="6" ht="15" customHeight="1" s="32">
      <c r="A6" s="39" t="inlineStr">
        <is>
          <t>hover_gunboat</t>
        </is>
      </c>
      <c r="B6" s="39" t="inlineStr">
        <is>
          <t>Xuồng cao tốc đệm khí</t>
        </is>
      </c>
      <c r="C6" s="39" t="inlineStr">
        <is>
          <t>Kích thước model (dài × rộng × cao)</t>
        </is>
      </c>
      <c r="D6" s="39" t="inlineStr">
        <is>
          <t>14.0 × 3.9 × 4.4</t>
        </is>
      </c>
      <c r="E6" s="49" t="inlineStr">
        <is>
          <t>Giữ</t>
        </is>
      </c>
      <c r="F6" s="39" t="n"/>
      <c r="G6" s="39" t="inlineStr">
        <is>
          <t>Giả tưởng; so với xe cùng lớp.</t>
        </is>
      </c>
      <c r="H6" s="39" t="n"/>
    </row>
    <row r="7" ht="15" customHeight="1" s="32">
      <c r="A7" s="41" t="inlineStr">
        <is>
          <t>hover_gunboat</t>
        </is>
      </c>
      <c r="B7" s="41" t="inlineStr">
        <is>
          <t>Xuồng cao tốc đệm khí</t>
        </is>
      </c>
      <c r="C7" s="41" t="inlineStr">
        <is>
          <t>Tầm nhìn</t>
        </is>
      </c>
      <c r="D7" s="43" t="n">
        <v>46</v>
      </c>
      <c r="E7" s="49" t="inlineStr">
        <is>
          <t>Giữ</t>
        </is>
      </c>
      <c r="F7" s="41" t="n"/>
      <c r="G7" s="41" t="inlineStr">
        <is>
          <t>Khớp vai trò.</t>
        </is>
      </c>
      <c r="H7" s="41" t="n"/>
    </row>
    <row r="8" ht="15" customHeight="1" s="32">
      <c r="A8" s="39" t="inlineStr">
        <is>
          <t>hover_gunboat</t>
        </is>
      </c>
      <c r="B8" s="39" t="inlineStr">
        <is>
          <t>Xuồng cao tốc đệm khí</t>
        </is>
      </c>
      <c r="C8" s="39" t="inlineStr">
        <is>
          <t>Tầm bắn</t>
        </is>
      </c>
      <c r="D8" s="39" t="inlineStr">
        <is>
          <t>34</t>
        </is>
      </c>
      <c r="E8" s="49" t="inlineStr">
        <is>
          <t>Giữ</t>
        </is>
      </c>
      <c r="F8" s="39" t="n"/>
      <c r="G8" s="39" t="inlineStr">
        <is>
          <t>Thứ tự tầm hợp lý trong nhóm.</t>
        </is>
      </c>
      <c r="H8" s="39" t="n"/>
    </row>
    <row r="9" ht="15" customHeight="1" s="32">
      <c r="A9" s="41" t="inlineStr">
        <is>
          <t>hover_gunboat</t>
        </is>
      </c>
      <c r="B9" s="41" t="inlineStr">
        <is>
          <t>Xuồng cao tốc đệm khí</t>
        </is>
      </c>
      <c r="C9" s="41" t="inlineStr">
        <is>
          <t>Giá (CP)</t>
        </is>
      </c>
      <c r="D9" s="43" t="n">
        <v>0</v>
      </c>
      <c r="E9" s="49" t="inlineStr">
        <is>
          <t>Giữ</t>
        </is>
      </c>
      <c r="F9" s="41" t="n"/>
      <c r="G9" s="41" t="inlineStr">
        <is>
          <t>Hiệu quả trong khoảng ±25% trung vị, thứ tự giá hợp ngoài đời (sheet Giá CP).</t>
        </is>
      </c>
      <c r="H9" s="41" t="n"/>
    </row>
    <row r="10" ht="21.75" customHeight="1" s="32">
      <c r="A10" s="39" t="inlineStr">
        <is>
          <t>hover_gunboat</t>
        </is>
      </c>
      <c r="B10" s="39" t="inlineStr">
        <is>
          <t>Xuồng cao tốc đệm khí</t>
        </is>
      </c>
      <c r="C10" s="39" t="inlineStr">
        <is>
          <t>Vũ khí: AK-630 30 mm</t>
        </is>
      </c>
      <c r="D10" s="39" t="inlineStr">
        <is>
          <t>22/phát · 60 viên/s · băng 15 · nạp 14,7 s · DPS duy trì 22</t>
        </is>
      </c>
      <c r="E10" s="47" t="inlineStr">
        <is>
          <t>Đổi</t>
        </is>
      </c>
      <c r="F10" s="39" t="inlineStr">
        <is>
          <t>12/phát · 60 viên/s · băng 60 · nạp 5 s · DPS duy trì ~85</t>
        </is>
      </c>
      <c r="G10" s="39" t="inlineStr">
        <is>
          <t>Bắn 0,25 s rồi im 14,7 s: không giống CIWS, và hộ tống boss gần như vô hại.</t>
        </is>
      </c>
      <c r="H10" s="49" t="inlineStr">
        <is>
          <t>Thấp</t>
        </is>
      </c>
    </row>
    <row r="11" ht="21.75" customHeight="1" s="32">
      <c r="A11" s="41" t="inlineStr">
        <is>
          <t>hover_gunboat</t>
        </is>
      </c>
      <c r="B11" s="41" t="inlineStr">
        <is>
          <t>Xuồng cao tốc đệm khí</t>
        </is>
      </c>
      <c r="C11" s="41" t="inlineStr">
        <is>
          <t>Hành vi</t>
        </is>
      </c>
      <c r="D11" s="41" t="inlineStr">
        <is>
          <t>Vừa chạy vừa bắn; Bắn hết 15 viên thì thay băng; Xe bọc thép</t>
        </is>
      </c>
      <c r="E11" s="49" t="inlineStr">
        <is>
          <t>Giữ</t>
        </is>
      </c>
      <c r="F11" s="41" t="n"/>
      <c r="G11" s="41" t="inlineStr">
        <is>
          <t>Hợp vai trò.</t>
        </is>
      </c>
      <c r="H11" s="41" t="n"/>
    </row>
    <row r="12" ht="15" customHeight="1" s="32">
      <c r="A12" s="39" t="inlineStr">
        <is>
          <t>hover_gunboat</t>
        </is>
      </c>
      <c r="B12" s="39" t="inlineStr">
        <is>
          <t>Xuồng cao tốc đệm khí</t>
        </is>
      </c>
      <c r="C12" s="39" t="inlineStr">
        <is>
          <t>Nổ khi bị phá (bán kính)</t>
        </is>
      </c>
      <c r="D12" s="39" t="inlineStr">
        <is>
          <t>6 m · 140 sát thương</t>
        </is>
      </c>
      <c r="E12" s="47" t="inlineStr">
        <is>
          <t>Đổi</t>
        </is>
      </c>
      <c r="F12" s="39" t="inlineStr">
        <is>
          <t>~9 m</t>
        </is>
      </c>
      <c r="G12" s="39" t="inlineStr">
        <is>
          <t>Bán kính nổ khi bị phá nên theo cỡ xe, cộng thêm nếu xe chở nhiều đạn/nhiên liệu.</t>
        </is>
      </c>
      <c r="H12" s="49" t="inlineStr">
        <is>
          <t>Thấp</t>
        </is>
      </c>
    </row>
    <row r="13" ht="32.25" customHeight="1" s="32">
      <c r="A13" s="41" t="inlineStr">
        <is>
          <t>hover_gunboat</t>
        </is>
      </c>
      <c r="B13" s="41" t="inlineStr">
        <is>
          <t>Xuồng cao tốc đệm khí</t>
        </is>
      </c>
      <c r="C13" s="41" t="inlineStr">
        <is>
          <t>Tham khảo / model</t>
        </is>
      </c>
      <c r="D13" s="41" t="inlineStr">
        <is>
          <t>tàu tấn công nhanh vỏ lướt, AK-630 30 mm — Xuồng pháo hộ tống tàu đệm khí</t>
        </is>
      </c>
      <c r="E13" s="49" t="inlineStr">
        <is>
          <t>Giữ</t>
        </is>
      </c>
      <c r="F13" s="41" t="n"/>
      <c r="G13" s="41" t="inlineStr">
        <is>
          <t>Khớp vũ khí và vai trò.</t>
        </is>
      </c>
      <c r="H13" s="41" t="n"/>
    </row>
    <row r="14" ht="15" customHeight="1" s="32">
      <c r="A14" s="39" t="inlineStr">
        <is>
          <t>armored_car</t>
        </is>
      </c>
      <c r="B14" s="39" t="inlineStr">
        <is>
          <t>Xe bọc thép</t>
        </is>
      </c>
      <c r="C14" s="39" t="inlineStr">
        <is>
          <t>Tên</t>
        </is>
      </c>
      <c r="D14" s="39" t="inlineStr">
        <is>
          <t>Xe bọc thép</t>
        </is>
      </c>
      <c r="E14" s="47" t="inlineStr">
        <is>
          <t>Đổi</t>
        </is>
      </c>
      <c r="F14" s="39" t="inlineStr">
        <is>
          <t>Xe bọc thép bánh lốp · ngắn: Bánh lốp · EN: Armored Car</t>
        </is>
      </c>
      <c r="G14" s="39" t="inlineStr">
        <is>
          <t>"Xe bọc thép" quá chung, trùng với nhiều xe khác cũng bọc thép.</t>
        </is>
      </c>
      <c r="H14" s="49" t="inlineStr">
        <is>
          <t>Thấp</t>
        </is>
      </c>
    </row>
    <row r="15" ht="15" customHeight="1" s="32">
      <c r="A15" s="41" t="inlineStr">
        <is>
          <t>armored_car</t>
        </is>
      </c>
      <c r="B15" s="41" t="inlineStr">
        <is>
          <t>Xe bọc thép</t>
        </is>
      </c>
      <c r="C15" s="41" t="inlineStr">
        <is>
          <t>Máu</t>
        </is>
      </c>
      <c r="D15" s="43" t="n">
        <v>660</v>
      </c>
      <c r="E15" s="49" t="inlineStr">
        <is>
          <t>Giữ</t>
        </is>
      </c>
      <c r="F15" s="41" t="n"/>
      <c r="G15" s="41" t="inlineStr">
        <is>
          <t>Máu/CP 1.07 × trung vị lớp Xe nhẹ.</t>
        </is>
      </c>
      <c r="H15" s="41" t="n"/>
    </row>
    <row r="16" ht="15" customHeight="1" s="32">
      <c r="A16" s="39" t="inlineStr">
        <is>
          <t>armored_car</t>
        </is>
      </c>
      <c r="B16" s="39" t="inlineStr">
        <is>
          <t>Xe bọc thép</t>
        </is>
      </c>
      <c r="C16" s="39" t="inlineStr">
        <is>
          <t>Giáp (T/H/S/N)</t>
        </is>
      </c>
      <c r="D16" s="39" t="inlineStr">
        <is>
          <t>1/0/0/0</t>
        </is>
      </c>
      <c r="E16" s="49" t="inlineStr">
        <is>
          <t>Giữ</t>
        </is>
      </c>
      <c r="F16" s="39" t="n"/>
      <c r="G16" s="39" t="inlineStr">
        <is>
          <t>Khớp mẫu thật theo thang 0–4.</t>
        </is>
      </c>
      <c r="H16" s="39" t="n"/>
    </row>
    <row r="17" ht="15" customHeight="1" s="32">
      <c r="A17" s="41" t="inlineStr">
        <is>
          <t>armored_car</t>
        </is>
      </c>
      <c r="B17" s="41" t="inlineStr">
        <is>
          <t>Xe bọc thép</t>
        </is>
      </c>
      <c r="C17" s="41" t="inlineStr">
        <is>
          <t>Tốc độ</t>
        </is>
      </c>
      <c r="D17" s="43" t="n">
        <v>11.5</v>
      </c>
      <c r="E17" s="49" t="inlineStr">
        <is>
          <t>Giữ</t>
        </is>
      </c>
      <c r="F17" s="41" t="n"/>
      <c r="G17" s="41" t="inlineStr">
        <is>
          <t>Gần tốc độ thật × hệ số nén (11.1).</t>
        </is>
      </c>
      <c r="H17" s="41" t="n"/>
    </row>
    <row r="18" ht="15" customHeight="1" s="32">
      <c r="A18" s="39" t="inlineStr">
        <is>
          <t>armored_car</t>
        </is>
      </c>
      <c r="B18" s="39" t="inlineStr">
        <is>
          <t>Xe bọc thép</t>
        </is>
      </c>
      <c r="C18" s="39" t="inlineStr">
        <is>
          <t>Tốc độ xoay thân / tháp</t>
        </is>
      </c>
      <c r="D18" s="39" t="inlineStr">
        <is>
          <t>3 / 4</t>
        </is>
      </c>
      <c r="E18" s="49" t="inlineStr">
        <is>
          <t>Giữ</t>
        </is>
      </c>
      <c r="F18" s="39" t="n"/>
      <c r="G18" s="39" t="inlineStr">
        <is>
          <t>Hợp lý so với loại xe.</t>
        </is>
      </c>
      <c r="H18" s="39" t="n"/>
    </row>
    <row r="19" ht="21.75" customHeight="1" s="32">
      <c r="A19" s="41" t="inlineStr">
        <is>
          <t>armored_car</t>
        </is>
      </c>
      <c r="B19" s="41" t="inlineStr">
        <is>
          <t>Xe bọc thép</t>
        </is>
      </c>
      <c r="C19" s="41" t="inlineStr">
        <is>
          <t>Kích thước model (dài × rộng × cao)</t>
        </is>
      </c>
      <c r="D19" s="41" t="inlineStr">
        <is>
          <t>5.9 × 2.3 × 2.7</t>
        </is>
      </c>
      <c r="E19" s="47" t="inlineStr">
        <is>
          <t>Đổi</t>
        </is>
      </c>
      <c r="F19" s="41" t="inlineStr">
        <is>
          <t>4.6 × 2.0 × 1.4</t>
        </is>
      </c>
      <c r="G19" s="41" t="inlineStr">
        <is>
          <t>Mẫu thật Pandur I 6x6: 5.7 × 2.5 m; theo tỷ lệ chung (mặt đất 0,8) nên là 4.6 × 2.0 m. Đổi kích thước thì chỉnh vùng va chạm và chạy lại test xe kẹt.</t>
        </is>
      </c>
      <c r="H19" s="49" t="inlineStr">
        <is>
          <t>Thấp</t>
        </is>
      </c>
    </row>
    <row r="20" ht="15" customHeight="1" s="32">
      <c r="A20" s="39" t="inlineStr">
        <is>
          <t>armored_car</t>
        </is>
      </c>
      <c r="B20" s="39" t="inlineStr">
        <is>
          <t>Xe bọc thép</t>
        </is>
      </c>
      <c r="C20" s="39" t="inlineStr">
        <is>
          <t>Tầm nhìn</t>
        </is>
      </c>
      <c r="D20" s="42" t="n">
        <v>36</v>
      </c>
      <c r="E20" s="47" t="inlineStr">
        <is>
          <t>Đổi</t>
        </is>
      </c>
      <c r="F20" s="39" t="inlineStr">
        <is>
          <t>42 m</t>
        </is>
      </c>
      <c r="G20" s="39" t="inlineStr">
        <is>
          <t>Xe bánh lốp trinh sát đi trước tuyến; hiện nhìn kém cả xuồng (46).</t>
        </is>
      </c>
      <c r="H20" s="49" t="inlineStr">
        <is>
          <t>Thấp</t>
        </is>
      </c>
    </row>
    <row r="21" ht="15" customHeight="1" s="32">
      <c r="A21" s="41" t="inlineStr">
        <is>
          <t>armored_car</t>
        </is>
      </c>
      <c r="B21" s="41" t="inlineStr">
        <is>
          <t>Xe bọc thép</t>
        </is>
      </c>
      <c r="C21" s="41" t="inlineStr">
        <is>
          <t>Tầm bắn</t>
        </is>
      </c>
      <c r="D21" s="41" t="inlineStr">
        <is>
          <t>30</t>
        </is>
      </c>
      <c r="E21" s="47" t="inlineStr">
        <is>
          <t>Đổi</t>
        </is>
      </c>
      <c r="F21" s="41" t="inlineStr">
        <is>
          <t>42 m</t>
        </is>
      </c>
      <c r="G21" s="41" t="inlineStr">
        <is>
          <t>Xe bánh lốp trinh sát đi trước tuyến; hiện nhìn kém cả xuồng (46).</t>
        </is>
      </c>
      <c r="H21" s="49" t="inlineStr">
        <is>
          <t>Thấp</t>
        </is>
      </c>
    </row>
    <row r="22" ht="15" customHeight="1" s="32">
      <c r="A22" s="39" t="inlineStr">
        <is>
          <t>armored_car</t>
        </is>
      </c>
      <c r="B22" s="39" t="inlineStr">
        <is>
          <t>Xe bọc thép</t>
        </is>
      </c>
      <c r="C22" s="39" t="inlineStr">
        <is>
          <t>Giá (CP)</t>
        </is>
      </c>
      <c r="D22" s="42" t="n">
        <v>3</v>
      </c>
      <c r="E22" s="49" t="inlineStr">
        <is>
          <t>Giữ</t>
        </is>
      </c>
      <c r="F22" s="39" t="n"/>
      <c r="G22" s="39" t="inlineStr">
        <is>
          <t>Hiệu quả trong khoảng ±25% trung vị, thứ tự giá hợp ngoài đời (sheet Giá CP).</t>
        </is>
      </c>
      <c r="H22" s="39" t="n"/>
    </row>
    <row r="23" ht="15" customHeight="1" s="32">
      <c r="A23" s="41" t="inlineStr">
        <is>
          <t>armored_car</t>
        </is>
      </c>
      <c r="B23" s="41" t="inlineStr">
        <is>
          <t>Xe bọc thép</t>
        </is>
      </c>
      <c r="C23" s="41" t="inlineStr">
        <is>
          <t>Vũ khí</t>
        </is>
      </c>
      <c r="D23" s="43" t="n">
        <v>2</v>
      </c>
      <c r="E23" s="49" t="inlineStr">
        <is>
          <t>Giữ</t>
        </is>
      </c>
      <c r="F23" s="41" t="n"/>
      <c r="G23" s="41" t="inlineStr">
        <is>
          <t>Bộ vũ khí khớp mẫu thật và vai trò.</t>
        </is>
      </c>
      <c r="H23" s="41" t="n"/>
    </row>
    <row r="24" ht="21.75" customHeight="1" s="32">
      <c r="A24" s="39" t="inlineStr">
        <is>
          <t>armored_car</t>
        </is>
      </c>
      <c r="B24" s="39" t="inlineStr">
        <is>
          <t>Xe bọc thép</t>
        </is>
      </c>
      <c r="C24" s="39" t="inlineStr">
        <is>
          <t>Hành vi</t>
        </is>
      </c>
      <c r="D24" s="39" t="inlineStr">
        <is>
          <t>Vừa chạy vừa bắn; Bắn hết 19 viên thì thay băng; Xe chiến đấu bộ binh</t>
        </is>
      </c>
      <c r="E24" s="49" t="inlineStr">
        <is>
          <t>Giữ</t>
        </is>
      </c>
      <c r="F24" s="39" t="n"/>
      <c r="G24" s="39" t="inlineStr">
        <is>
          <t>Hợp vai trò.</t>
        </is>
      </c>
      <c r="H24" s="39" t="n"/>
    </row>
    <row r="25" ht="15" customHeight="1" s="32">
      <c r="A25" s="41" t="inlineStr">
        <is>
          <t>armored_car</t>
        </is>
      </c>
      <c r="B25" s="41" t="inlineStr">
        <is>
          <t>Xe bọc thép</t>
        </is>
      </c>
      <c r="C25" s="41" t="inlineStr">
        <is>
          <t>Nổ khi bị phá (bán kính)</t>
        </is>
      </c>
      <c r="D25" s="41" t="inlineStr">
        <is>
          <t>5 m · 100 sát thương</t>
        </is>
      </c>
      <c r="E25" s="49" t="inlineStr">
        <is>
          <t>Giữ</t>
        </is>
      </c>
      <c r="F25" s="41" t="n"/>
      <c r="G25" s="41" t="inlineStr">
        <is>
          <t>Hợp với cỡ xe.</t>
        </is>
      </c>
      <c r="H25" s="41" t="n"/>
    </row>
    <row r="26" ht="32.25" customHeight="1" s="32">
      <c r="A26" s="39" t="inlineStr">
        <is>
          <t>armored_car</t>
        </is>
      </c>
      <c r="B26" s="39" t="inlineStr">
        <is>
          <t>Xe bọc thép</t>
        </is>
      </c>
      <c r="C26" s="39" t="inlineStr">
        <is>
          <t>Tham khảo / model</t>
        </is>
      </c>
      <c r="D26" s="39" t="inlineStr">
        <is>
          <t>Pandur I 6x6, M242 Bushmaster 25 mm — ước đoán: xe bọc thép 6x6 bánh lộ ngoài, tháp pháo t</t>
        </is>
      </c>
      <c r="E26" s="49" t="inlineStr">
        <is>
          <t>Giữ</t>
        </is>
      </c>
      <c r="F26" s="39" t="n"/>
      <c r="G26" s="39" t="inlineStr">
        <is>
          <t>Khớp vũ khí và vai trò.</t>
        </is>
      </c>
      <c r="H26" s="39" t="n"/>
    </row>
    <row r="27" ht="21.75" customHeight="1" s="32">
      <c r="A27" s="41" t="inlineStr">
        <is>
          <t>ifv</t>
        </is>
      </c>
      <c r="B27" s="41" t="inlineStr">
        <is>
          <t>Xe chiến đấu bộ binh</t>
        </is>
      </c>
      <c r="C27" s="41" t="inlineStr">
        <is>
          <t>Tên</t>
        </is>
      </c>
      <c r="D27" s="41" t="inlineStr">
        <is>
          <t>Xe chiến đấu bộ binh</t>
        </is>
      </c>
      <c r="E27" s="49" t="inlineStr">
        <is>
          <t>Giữ</t>
        </is>
      </c>
      <c r="F27" s="41" t="inlineStr">
        <is>
          <t>Xe chiến đấu bộ binh · ngắn: Xe bộ binh · EN: Infantry Fighting Vehicle</t>
        </is>
      </c>
      <c r="G27" s="41" t="inlineStr">
        <is>
          <t>Giữ.</t>
        </is>
      </c>
      <c r="H27" s="41" t="n"/>
    </row>
    <row r="28" ht="15" customHeight="1" s="32">
      <c r="A28" s="39" t="inlineStr">
        <is>
          <t>ifv</t>
        </is>
      </c>
      <c r="B28" s="39" t="inlineStr">
        <is>
          <t>Xe chiến đấu bộ binh</t>
        </is>
      </c>
      <c r="C28" s="39" t="inlineStr">
        <is>
          <t>Máu</t>
        </is>
      </c>
      <c r="D28" s="42" t="n">
        <v>1144</v>
      </c>
      <c r="E28" s="49" t="inlineStr">
        <is>
          <t>Giữ</t>
        </is>
      </c>
      <c r="F28" s="39" t="n"/>
      <c r="G28" s="39" t="inlineStr">
        <is>
          <t>Máu/CP 0.93 × trung vị lớp Xe nhẹ.</t>
        </is>
      </c>
      <c r="H28" s="39" t="n"/>
    </row>
    <row r="29" ht="15" customHeight="1" s="32">
      <c r="A29" s="41" t="inlineStr">
        <is>
          <t>ifv</t>
        </is>
      </c>
      <c r="B29" s="41" t="inlineStr">
        <is>
          <t>Xe chiến đấu bộ binh</t>
        </is>
      </c>
      <c r="C29" s="41" t="inlineStr">
        <is>
          <t>Giáp (T/H/S/N)</t>
        </is>
      </c>
      <c r="D29" s="41" t="inlineStr">
        <is>
          <t>2/1/0/0</t>
        </is>
      </c>
      <c r="E29" s="49" t="inlineStr">
        <is>
          <t>Giữ</t>
        </is>
      </c>
      <c r="F29" s="41" t="n"/>
      <c r="G29" s="41" t="inlineStr">
        <is>
          <t>Khớp mẫu thật theo thang 0–4.</t>
        </is>
      </c>
      <c r="H29" s="41" t="n"/>
    </row>
    <row r="30" ht="15" customHeight="1" s="32">
      <c r="A30" s="39" t="inlineStr">
        <is>
          <t>ifv</t>
        </is>
      </c>
      <c r="B30" s="39" t="inlineStr">
        <is>
          <t>Xe chiến đấu bộ binh</t>
        </is>
      </c>
      <c r="C30" s="39" t="inlineStr">
        <is>
          <t>Tốc độ</t>
        </is>
      </c>
      <c r="D30" s="42" t="n">
        <v>9</v>
      </c>
      <c r="E30" s="47" t="inlineStr">
        <is>
          <t>Đổi</t>
        </is>
      </c>
      <c r="F30" s="39" t="inlineStr">
        <is>
          <t>8 m/s</t>
        </is>
      </c>
      <c r="G30" s="39" t="inlineStr">
        <is>
          <t>Bradley và tăng chủ lực chạy gần như ngang nhau ngoài đời; hiện IFV nhanh gấp rưỡi tăng.</t>
        </is>
      </c>
      <c r="H30" s="48" t="inlineStr">
        <is>
          <t>Trung</t>
        </is>
      </c>
    </row>
    <row r="31" ht="15" customHeight="1" s="32">
      <c r="A31" s="41" t="inlineStr">
        <is>
          <t>ifv</t>
        </is>
      </c>
      <c r="B31" s="41" t="inlineStr">
        <is>
          <t>Xe chiến đấu bộ binh</t>
        </is>
      </c>
      <c r="C31" s="41" t="inlineStr">
        <is>
          <t>Tốc độ xoay thân / tháp</t>
        </is>
      </c>
      <c r="D31" s="41" t="inlineStr">
        <is>
          <t>2 / 3</t>
        </is>
      </c>
      <c r="E31" s="49" t="inlineStr">
        <is>
          <t>Giữ</t>
        </is>
      </c>
      <c r="F31" s="41" t="n"/>
      <c r="G31" s="41" t="inlineStr">
        <is>
          <t>Hợp lý so với loại xe.</t>
        </is>
      </c>
      <c r="H31" s="41" t="n"/>
    </row>
    <row r="32" ht="15" customHeight="1" s="32">
      <c r="A32" s="39" t="inlineStr">
        <is>
          <t>ifv</t>
        </is>
      </c>
      <c r="B32" s="39" t="inlineStr">
        <is>
          <t>Xe chiến đấu bộ binh</t>
        </is>
      </c>
      <c r="C32" s="39" t="inlineStr">
        <is>
          <t>Kích thước model (dài × rộng × cao)</t>
        </is>
      </c>
      <c r="D32" s="39" t="inlineStr">
        <is>
          <t>6.2 × 2.7 × 3.1</t>
        </is>
      </c>
      <c r="E32" s="49" t="inlineStr">
        <is>
          <t>Giữ</t>
        </is>
      </c>
      <c r="F32" s="39" t="n"/>
      <c r="G32" s="39" t="inlineStr">
        <is>
          <t>Khớp tỷ lệ chung (mẫu thật 6.55 m).</t>
        </is>
      </c>
      <c r="H32" s="39" t="n"/>
    </row>
    <row r="33" ht="15" customHeight="1" s="32">
      <c r="A33" s="41" t="inlineStr">
        <is>
          <t>ifv</t>
        </is>
      </c>
      <c r="B33" s="41" t="inlineStr">
        <is>
          <t>Xe chiến đấu bộ binh</t>
        </is>
      </c>
      <c r="C33" s="41" t="inlineStr">
        <is>
          <t>Tầm nhìn</t>
        </is>
      </c>
      <c r="D33" s="43" t="n">
        <v>34</v>
      </c>
      <c r="E33" s="49" t="inlineStr">
        <is>
          <t>Giữ</t>
        </is>
      </c>
      <c r="F33" s="41" t="n"/>
      <c r="G33" s="41" t="inlineStr">
        <is>
          <t>Khớp vai trò.</t>
        </is>
      </c>
      <c r="H33" s="41" t="n"/>
    </row>
    <row r="34" ht="21.75" customHeight="1" s="32">
      <c r="A34" s="39" t="inlineStr">
        <is>
          <t>ifv</t>
        </is>
      </c>
      <c r="B34" s="39" t="inlineStr">
        <is>
          <t>Xe chiến đấu bộ binh</t>
        </is>
      </c>
      <c r="C34" s="39" t="inlineStr">
        <is>
          <t>Tầm bắn</t>
        </is>
      </c>
      <c r="D34" s="39" t="inlineStr">
        <is>
          <t>34</t>
        </is>
      </c>
      <c r="E34" s="47" t="inlineStr">
        <is>
          <t>Đổi</t>
        </is>
      </c>
      <c r="F34" s="39" t="inlineStr">
        <is>
          <t>tầm 40 m · tốc độ 20 (bay 2,0 s tới tầm tối đa)</t>
        </is>
      </c>
      <c r="G34" s="39" t="inlineStr">
        <is>
          <t>Tên lửa chống tăng phải bắn xa hơn pháo xe tăng (34 m), nếu không thì không có lý do mang.</t>
        </is>
      </c>
      <c r="H34" s="48" t="inlineStr">
        <is>
          <t>Trung</t>
        </is>
      </c>
    </row>
    <row r="35" ht="15" customHeight="1" s="32">
      <c r="A35" s="41" t="inlineStr">
        <is>
          <t>ifv</t>
        </is>
      </c>
      <c r="B35" s="41" t="inlineStr">
        <is>
          <t>Xe chiến đấu bộ binh</t>
        </is>
      </c>
      <c r="C35" s="41" t="inlineStr">
        <is>
          <t>Giá (CP)</t>
        </is>
      </c>
      <c r="D35" s="43" t="n">
        <v>6</v>
      </c>
      <c r="E35" s="49" t="inlineStr">
        <is>
          <t>Giữ</t>
        </is>
      </c>
      <c r="F35" s="41" t="n"/>
      <c r="G35" s="41" t="inlineStr">
        <is>
          <t>Hiệu quả trong khoảng ±25% trung vị, thứ tự giá hợp ngoài đời (sheet Giá CP).</t>
        </is>
      </c>
      <c r="H35" s="41" t="n"/>
    </row>
    <row r="36" ht="21.75" customHeight="1" s="32">
      <c r="A36" s="39" t="inlineStr">
        <is>
          <t>ifv</t>
        </is>
      </c>
      <c r="B36" s="39" t="inlineStr">
        <is>
          <t>Xe chiến đấu bộ binh</t>
        </is>
      </c>
      <c r="C36" s="39" t="inlineStr">
        <is>
          <t>Vũ khí: 2A42 30 mm</t>
        </is>
      </c>
      <c r="D36" s="39" t="inlineStr">
        <is>
          <t>22/phát · 4,9 viên/s liên tục · băng 26</t>
        </is>
      </c>
      <c r="E36" s="47" t="inlineStr">
        <is>
          <t>Đổi</t>
        </is>
      </c>
      <c r="F36" s="39" t="inlineStr">
        <is>
          <t>22/phát · loạt 10 viên ở 9 viên/s · nghỉ 1,5 s · DPS duy trì giữ ~94</t>
        </is>
      </c>
      <c r="G36" s="39" t="inlineStr">
        <is>
          <t>Ngoài đời 2A42 bắn loạt nhanh; cảm giác "xả loạt" khác súng máy.</t>
        </is>
      </c>
      <c r="H36" s="48" t="inlineStr">
        <is>
          <t>Trung</t>
        </is>
      </c>
    </row>
    <row r="37" ht="21.75" customHeight="1" s="32">
      <c r="A37" s="41" t="inlineStr">
        <is>
          <t>ifv</t>
        </is>
      </c>
      <c r="B37" s="41" t="inlineStr">
        <is>
          <t>Xe chiến đấu bộ binh</t>
        </is>
      </c>
      <c r="C37" s="41" t="inlineStr">
        <is>
          <t>Vũ khí: TOW-2</t>
        </is>
      </c>
      <c r="D37" s="41" t="inlineStr">
        <is>
          <t>tầm 34 m · tốc độ 19</t>
        </is>
      </c>
      <c r="E37" s="47" t="inlineStr">
        <is>
          <t>Đổi</t>
        </is>
      </c>
      <c r="F37" s="41" t="inlineStr">
        <is>
          <t>tầm 40 m · tốc độ 20 (bay 2,0 s tới tầm tối đa)</t>
        </is>
      </c>
      <c r="G37" s="41" t="inlineStr">
        <is>
          <t>Tên lửa chống tăng phải bắn xa hơn pháo xe tăng (34 m), nếu không thì không có lý do mang.</t>
        </is>
      </c>
      <c r="H37" s="48" t="inlineStr">
        <is>
          <t>Trung</t>
        </is>
      </c>
    </row>
    <row r="38" ht="32.25" customHeight="1" s="32">
      <c r="A38" s="39" t="inlineStr">
        <is>
          <t>ifv</t>
        </is>
      </c>
      <c r="B38" s="39" t="inlineStr">
        <is>
          <t>Xe chiến đấu bộ binh</t>
        </is>
      </c>
      <c r="C38" s="39" t="inlineStr">
        <is>
          <t>Hành vi</t>
        </is>
      </c>
      <c r="D38" s="39" t="inlineStr">
        <is>
          <t>Vừa chạy vừa bắn; Bắn hết 26 viên thì thay băng; Khói: khi bị bắn (mỗi 30 giây);</t>
        </is>
      </c>
      <c r="E38" s="49" t="inlineStr">
        <is>
          <t>Giữ</t>
        </is>
      </c>
      <c r="F38" s="39" t="n"/>
      <c r="G38" s="39" t="inlineStr">
        <is>
          <t>Hợp vai trò.</t>
        </is>
      </c>
      <c r="H38" s="39" t="n"/>
    </row>
    <row r="39" ht="15" customHeight="1" s="32">
      <c r="A39" s="41" t="inlineStr">
        <is>
          <t>ifv</t>
        </is>
      </c>
      <c r="B39" s="41" t="inlineStr">
        <is>
          <t>Xe chiến đấu bộ binh</t>
        </is>
      </c>
      <c r="C39" s="41" t="inlineStr">
        <is>
          <t>Nổ khi bị phá (bán kính)</t>
        </is>
      </c>
      <c r="D39" s="41" t="inlineStr">
        <is>
          <t>6 m · 160 sát thương</t>
        </is>
      </c>
      <c r="E39" s="49" t="inlineStr">
        <is>
          <t>Giữ</t>
        </is>
      </c>
      <c r="F39" s="41" t="n"/>
      <c r="G39" s="41" t="inlineStr">
        <is>
          <t>Hợp với cỡ xe.</t>
        </is>
      </c>
      <c r="H39" s="41" t="n"/>
    </row>
    <row r="40" ht="32.25" customHeight="1" s="32">
      <c r="A40" s="39" t="inlineStr">
        <is>
          <t>ifv</t>
        </is>
      </c>
      <c r="B40" s="39" t="inlineStr">
        <is>
          <t>Xe chiến đấu bộ binh</t>
        </is>
      </c>
      <c r="C40" s="39" t="inlineStr">
        <is>
          <t>Tham khảo / model</t>
        </is>
      </c>
      <c r="D40" s="39" t="inlineStr">
        <is>
          <t>M2 Bradley, BMP-3, 2A42 30 mm, BGM-71 TOW-2 — Xe chiến đấu bộ binh bánh xích, pháo 30 mm v</t>
        </is>
      </c>
      <c r="E40" s="49" t="inlineStr">
        <is>
          <t>Giữ</t>
        </is>
      </c>
      <c r="F40" s="39" t="n"/>
      <c r="G40" s="39" t="inlineStr">
        <is>
          <t>Khớp vũ khí và vai trò.</t>
        </is>
      </c>
      <c r="H40" s="39" t="n"/>
    </row>
    <row r="41" ht="15" customHeight="1" s="32">
      <c r="A41" s="41" t="inlineStr">
        <is>
          <t>supply_truck</t>
        </is>
      </c>
      <c r="B41" s="41" t="inlineStr">
        <is>
          <t>Xe tiếp tế</t>
        </is>
      </c>
      <c r="C41" s="41" t="inlineStr">
        <is>
          <t>Tên</t>
        </is>
      </c>
      <c r="D41" s="41" t="inlineStr">
        <is>
          <t>Xe tiếp tế</t>
        </is>
      </c>
      <c r="E41" s="47" t="inlineStr">
        <is>
          <t>Đổi</t>
        </is>
      </c>
      <c r="F41" s="41" t="inlineStr">
        <is>
          <t>Xe tải tiếp tế · ngắn: Tiếp tế · EN: Supply Truck</t>
        </is>
      </c>
      <c r="G41" s="41" t="inlineStr">
        <is>
          <t>Giữ nghĩa, thêm "tải" cho rõ hình dạng.</t>
        </is>
      </c>
      <c r="H41" s="49" t="inlineStr">
        <is>
          <t>Thấp</t>
        </is>
      </c>
    </row>
    <row r="42" ht="15" customHeight="1" s="32">
      <c r="A42" s="39" t="inlineStr">
        <is>
          <t>supply_truck</t>
        </is>
      </c>
      <c r="B42" s="39" t="inlineStr">
        <is>
          <t>Xe tiếp tế</t>
        </is>
      </c>
      <c r="C42" s="39" t="inlineStr">
        <is>
          <t>Giáp (T/H/S/N)</t>
        </is>
      </c>
      <c r="D42" s="39" t="inlineStr">
        <is>
          <t>cấp 0 (Không giáp)</t>
        </is>
      </c>
      <c r="E42" s="49" t="inlineStr">
        <is>
          <t>Giữ</t>
        </is>
      </c>
      <c r="F42" s="39" t="n"/>
      <c r="G42" s="39" t="inlineStr">
        <is>
          <t>Khớp mẫu thật theo thang 0–4.</t>
        </is>
      </c>
      <c r="H42" s="39" t="n"/>
    </row>
    <row r="43" ht="15" customHeight="1" s="32">
      <c r="A43" s="41" t="inlineStr">
        <is>
          <t>supply_truck</t>
        </is>
      </c>
      <c r="B43" s="41" t="inlineStr">
        <is>
          <t>Xe tiếp tế</t>
        </is>
      </c>
      <c r="C43" s="41" t="inlineStr">
        <is>
          <t>Tốc độ</t>
        </is>
      </c>
      <c r="D43" s="43" t="n">
        <v>3.6</v>
      </c>
      <c r="E43" s="47" t="inlineStr">
        <is>
          <t>Đổi</t>
        </is>
      </c>
      <c r="F43" s="41" t="inlineStr">
        <is>
          <t>6 m/s</t>
        </is>
      </c>
      <c r="G43" s="41" t="inlineStr">
        <is>
          <t>Xe tải tiếp tế đang chậm nhất game (3,6), chậm hơn cả xe tăng nặng; khó theo kịp đội hình.</t>
        </is>
      </c>
      <c r="H43" s="48" t="inlineStr">
        <is>
          <t>Trung</t>
        </is>
      </c>
    </row>
    <row r="44" ht="15" customHeight="1" s="32">
      <c r="A44" s="39" t="inlineStr">
        <is>
          <t>supply_truck</t>
        </is>
      </c>
      <c r="B44" s="39" t="inlineStr">
        <is>
          <t>Xe tiếp tế</t>
        </is>
      </c>
      <c r="C44" s="39" t="inlineStr">
        <is>
          <t>Tốc độ xoay thân / tháp</t>
        </is>
      </c>
      <c r="D44" s="39" t="inlineStr">
        <is>
          <t>2 / 3</t>
        </is>
      </c>
      <c r="E44" s="49" t="inlineStr">
        <is>
          <t>Giữ</t>
        </is>
      </c>
      <c r="F44" s="39" t="n"/>
      <c r="G44" s="39" t="inlineStr">
        <is>
          <t>Hợp lý so với loại xe.</t>
        </is>
      </c>
      <c r="H44" s="39" t="n"/>
    </row>
    <row r="45" ht="21.75" customHeight="1" s="32">
      <c r="A45" s="41" t="inlineStr">
        <is>
          <t>supply_truck</t>
        </is>
      </c>
      <c r="B45" s="41" t="inlineStr">
        <is>
          <t>Xe tiếp tế</t>
        </is>
      </c>
      <c r="C45" s="41" t="inlineStr">
        <is>
          <t>Kích thước model (dài × rộng × cao)</t>
        </is>
      </c>
      <c r="D45" s="41" t="inlineStr">
        <is>
          <t>7.6 × 2.7 × 3.5</t>
        </is>
      </c>
      <c r="E45" s="47" t="inlineStr">
        <is>
          <t>Đổi</t>
        </is>
      </c>
      <c r="F45" s="41" t="inlineStr">
        <is>
          <t>8.2 × 2.0 × 2.1</t>
        </is>
      </c>
      <c r="G45" s="41" t="inlineStr">
        <is>
          <t>Mẫu thật M977 HEMTT: 10.2 × 2.44 m; theo tỷ lệ chung (mặt đất 0,8) nên là 8.2 × 2.0 m. Đổi kích thước thì chỉnh vùng va chạm và chạy lại test xe kẹt.</t>
        </is>
      </c>
      <c r="H45" s="49" t="inlineStr">
        <is>
          <t>Thấp</t>
        </is>
      </c>
    </row>
    <row r="46" ht="15" customHeight="1" s="32">
      <c r="A46" s="39" t="inlineStr">
        <is>
          <t>supply_truck</t>
        </is>
      </c>
      <c r="B46" s="39" t="inlineStr">
        <is>
          <t>Xe tiếp tế</t>
        </is>
      </c>
      <c r="C46" s="39" t="inlineStr">
        <is>
          <t>Tầm nhìn</t>
        </is>
      </c>
      <c r="D46" s="42" t="n">
        <v>26</v>
      </c>
      <c r="E46" s="49" t="inlineStr">
        <is>
          <t>Giữ</t>
        </is>
      </c>
      <c r="F46" s="39" t="n"/>
      <c r="G46" s="39" t="inlineStr">
        <is>
          <t>Khớp vai trò.</t>
        </is>
      </c>
      <c r="H46" s="39" t="n"/>
    </row>
    <row r="47" ht="15" customHeight="1" s="32">
      <c r="A47" s="41" t="inlineStr">
        <is>
          <t>supply_truck</t>
        </is>
      </c>
      <c r="B47" s="41" t="inlineStr">
        <is>
          <t>Xe tiếp tế</t>
        </is>
      </c>
      <c r="C47" s="41" t="inlineStr">
        <is>
          <t>Tầm bắn</t>
        </is>
      </c>
      <c r="D47" s="41" t="inlineStr">
        <is>
          <t>22</t>
        </is>
      </c>
      <c r="E47" s="49" t="inlineStr">
        <is>
          <t>Giữ</t>
        </is>
      </c>
      <c r="F47" s="41" t="n"/>
      <c r="G47" s="41" t="inlineStr">
        <is>
          <t>Thứ tự tầm hợp lý trong nhóm.</t>
        </is>
      </c>
      <c r="H47" s="41" t="n"/>
    </row>
    <row r="48" ht="15" customHeight="1" s="32">
      <c r="A48" s="39" t="inlineStr">
        <is>
          <t>supply_truck</t>
        </is>
      </c>
      <c r="B48" s="39" t="inlineStr">
        <is>
          <t>Xe tiếp tế</t>
        </is>
      </c>
      <c r="C48" s="39" t="inlineStr">
        <is>
          <t>Giá (CP)</t>
        </is>
      </c>
      <c r="D48" s="42" t="n">
        <v>0</v>
      </c>
      <c r="E48" s="49" t="inlineStr">
        <is>
          <t>Giữ</t>
        </is>
      </c>
      <c r="F48" s="39" t="n"/>
      <c r="G48" s="39" t="inlineStr">
        <is>
          <t>Hiệu quả trong khoảng ±25% trung vị, thứ tự giá hợp ngoài đời (sheet Giá CP).</t>
        </is>
      </c>
      <c r="H48" s="39" t="n"/>
    </row>
    <row r="49" ht="15" customHeight="1" s="32">
      <c r="A49" s="41" t="inlineStr">
        <is>
          <t>supply_truck</t>
        </is>
      </c>
      <c r="B49" s="41" t="inlineStr">
        <is>
          <t>Xe tiếp tế</t>
        </is>
      </c>
      <c r="C49" s="41" t="inlineStr">
        <is>
          <t>Vũ khí</t>
        </is>
      </c>
      <c r="D49" s="43" t="n">
        <v>1</v>
      </c>
      <c r="E49" s="49" t="inlineStr">
        <is>
          <t>Giữ</t>
        </is>
      </c>
      <c r="F49" s="41" t="n"/>
      <c r="G49" s="41" t="inlineStr">
        <is>
          <t>Bộ vũ khí khớp mẫu thật và vai trò.</t>
        </is>
      </c>
      <c r="H49" s="41" t="n"/>
    </row>
    <row r="50" ht="32.25" customHeight="1" s="32">
      <c r="A50" s="39" t="inlineStr">
        <is>
          <t>supply_truck</t>
        </is>
      </c>
      <c r="B50" s="39" t="inlineStr">
        <is>
          <t>Xe tiếp tế</t>
        </is>
      </c>
      <c r="C50" s="39" t="inlineStr">
        <is>
          <t>Hành vi</t>
        </is>
      </c>
      <c r="D50" s="39" t="inlineStr">
        <is>
          <t>Đi sau tuyến đầu, cạnh các xe nó phục vụ; Bắn hết 28 viên thì thay băng; Xe công</t>
        </is>
      </c>
      <c r="E50" s="49" t="inlineStr">
        <is>
          <t>Giữ</t>
        </is>
      </c>
      <c r="F50" s="39" t="n"/>
      <c r="G50" s="39" t="inlineStr">
        <is>
          <t>Hợp vai trò.</t>
        </is>
      </c>
      <c r="H50" s="39" t="n"/>
    </row>
    <row r="51" ht="15" customHeight="1" s="32">
      <c r="A51" s="41" t="inlineStr">
        <is>
          <t>supply_truck</t>
        </is>
      </c>
      <c r="B51" s="41" t="inlineStr">
        <is>
          <t>Xe tiếp tế</t>
        </is>
      </c>
      <c r="C51" s="41" t="inlineStr">
        <is>
          <t>Nổ khi bị phá (bán kính)</t>
        </is>
      </c>
      <c r="D51" s="41" t="inlineStr">
        <is>
          <t>6 m · 120 sát thương</t>
        </is>
      </c>
      <c r="E51" s="49" t="inlineStr">
        <is>
          <t>Giữ</t>
        </is>
      </c>
      <c r="F51" s="41" t="n"/>
      <c r="G51" s="41" t="inlineStr">
        <is>
          <t>Hợp với cỡ xe.</t>
        </is>
      </c>
      <c r="H51" s="41" t="n"/>
    </row>
    <row r="52" ht="32.25" customHeight="1" s="32">
      <c r="A52" s="39" t="inlineStr">
        <is>
          <t>supply_truck</t>
        </is>
      </c>
      <c r="B52" s="39" t="inlineStr">
        <is>
          <t>Xe tiếp tế</t>
        </is>
      </c>
      <c r="C52" s="39" t="inlineStr">
        <is>
          <t>Tham khảo / model</t>
        </is>
      </c>
      <c r="D52" s="39" t="inlineStr">
        <is>
          <t>M977 HEMTT, KamAZ-5350, M2 Browning 12,7 mm — ước đoán: xe tải tiếp tế, súng máy trên vòng</t>
        </is>
      </c>
      <c r="E52" s="49" t="inlineStr">
        <is>
          <t>Giữ</t>
        </is>
      </c>
      <c r="F52" s="39" t="n"/>
      <c r="G52" s="39" t="inlineStr">
        <is>
          <t>Khớp vũ khí và vai trò.</t>
        </is>
      </c>
      <c r="H52" s="39" t="n"/>
    </row>
    <row r="53" ht="15" customHeight="1" s="32">
      <c r="A53" s="41" t="inlineStr">
        <is>
          <t>engineer_vehicle</t>
        </is>
      </c>
      <c r="B53" s="41" t="inlineStr">
        <is>
          <t>Xe công binh</t>
        </is>
      </c>
      <c r="C53" s="41" t="inlineStr">
        <is>
          <t>Tên</t>
        </is>
      </c>
      <c r="D53" s="41" t="inlineStr">
        <is>
          <t>Xe công binh</t>
        </is>
      </c>
      <c r="E53" s="49" t="inlineStr">
        <is>
          <t>Giữ</t>
        </is>
      </c>
      <c r="F53" s="41" t="inlineStr">
        <is>
          <t>Xe công binh · ngắn: Công binh · EN: Engineering Vehicle</t>
        </is>
      </c>
      <c r="G53" s="41" t="inlineStr">
        <is>
          <t>Giữ.</t>
        </is>
      </c>
      <c r="H53" s="41" t="n"/>
    </row>
    <row r="54" ht="15" customHeight="1" s="32">
      <c r="A54" s="39" t="inlineStr">
        <is>
          <t>engineer_vehicle</t>
        </is>
      </c>
      <c r="B54" s="39" t="inlineStr">
        <is>
          <t>Xe công binh</t>
        </is>
      </c>
      <c r="C54" s="39" t="inlineStr">
        <is>
          <t>Máu</t>
        </is>
      </c>
      <c r="D54" s="42" t="n">
        <v>1760</v>
      </c>
      <c r="E54" s="49" t="inlineStr">
        <is>
          <t>Giữ</t>
        </is>
      </c>
      <c r="F54" s="39" t="n"/>
      <c r="G54" s="39" t="inlineStr">
        <is>
          <t>Máu/CP 3.01 × trung vị lớp Hỗ trợ.</t>
        </is>
      </c>
      <c r="H54" s="39" t="n"/>
    </row>
    <row r="55" ht="15" customHeight="1" s="32">
      <c r="A55" s="41" t="inlineStr">
        <is>
          <t>engineer_vehicle</t>
        </is>
      </c>
      <c r="B55" s="41" t="inlineStr">
        <is>
          <t>Xe công binh</t>
        </is>
      </c>
      <c r="C55" s="41" t="inlineStr">
        <is>
          <t>Giáp (T/H/S/N)</t>
        </is>
      </c>
      <c r="D55" s="41" t="inlineStr">
        <is>
          <t>2/1/0/0</t>
        </is>
      </c>
      <c r="E55" s="47" t="inlineStr">
        <is>
          <t>Đổi</t>
        </is>
      </c>
      <c r="F55" s="41" t="inlineStr">
        <is>
          <t>2/1/1/0</t>
        </is>
      </c>
      <c r="G55" s="41" t="inlineStr">
        <is>
          <t>Khung xe tăng cứu kéo.</t>
        </is>
      </c>
      <c r="H55" s="48" t="inlineStr">
        <is>
          <t>Trung</t>
        </is>
      </c>
    </row>
    <row r="56" ht="21.75" customHeight="1" s="32">
      <c r="A56" s="39" t="inlineStr">
        <is>
          <t>engineer_vehicle</t>
        </is>
      </c>
      <c r="B56" s="39" t="inlineStr">
        <is>
          <t>Xe công binh</t>
        </is>
      </c>
      <c r="C56" s="39" t="inlineStr">
        <is>
          <t>Tốc độ</t>
        </is>
      </c>
      <c r="D56" s="42" t="n">
        <v>7</v>
      </c>
      <c r="E56" s="48" t="inlineStr">
        <is>
          <t>Xem lại</t>
        </is>
      </c>
      <c r="F56" s="39" t="inlineStr">
        <is>
          <t>Mẫu thật × hệ số map ≈ 4.4 m/s</t>
        </is>
      </c>
      <c r="G56" s="39" t="inlineStr">
        <is>
          <t>Lệch hơn 35% so với tốc độ thật nhân hệ số nén của map (xích 0,33, bánh 0,4, trực thăng 0,17, máy bay 0,16). Có thể giữ nếu là chủ đích.</t>
        </is>
      </c>
      <c r="H56" s="39" t="n"/>
    </row>
    <row r="57" ht="15" customHeight="1" s="32">
      <c r="A57" s="41" t="inlineStr">
        <is>
          <t>engineer_vehicle</t>
        </is>
      </c>
      <c r="B57" s="41" t="inlineStr">
        <is>
          <t>Xe công binh</t>
        </is>
      </c>
      <c r="C57" s="41" t="inlineStr">
        <is>
          <t>Tốc độ xoay thân / tháp</t>
        </is>
      </c>
      <c r="D57" s="41" t="inlineStr">
        <is>
          <t>1 / 3</t>
        </is>
      </c>
      <c r="E57" s="49" t="inlineStr">
        <is>
          <t>Giữ</t>
        </is>
      </c>
      <c r="F57" s="41" t="n"/>
      <c r="G57" s="41" t="inlineStr">
        <is>
          <t>Hợp lý so với loại xe.</t>
        </is>
      </c>
      <c r="H57" s="41" t="n"/>
    </row>
    <row r="58" ht="15" customHeight="1" s="32">
      <c r="A58" s="39" t="inlineStr">
        <is>
          <t>engineer_vehicle</t>
        </is>
      </c>
      <c r="B58" s="39" t="inlineStr">
        <is>
          <t>Xe công binh</t>
        </is>
      </c>
      <c r="C58" s="39" t="inlineStr">
        <is>
          <t>Kích thước model (dài × rộng × cao)</t>
        </is>
      </c>
      <c r="D58" s="39" t="inlineStr">
        <is>
          <t>6.3 × 2.8 × 2.4</t>
        </is>
      </c>
      <c r="E58" s="49" t="inlineStr">
        <is>
          <t>Giữ</t>
        </is>
      </c>
      <c r="F58" s="39" t="n"/>
      <c r="G58" s="39" t="inlineStr">
        <is>
          <t>Khớp tỷ lệ chung (mẫu thật 8.6 m).</t>
        </is>
      </c>
      <c r="H58" s="39" t="n"/>
    </row>
    <row r="59" ht="15" customHeight="1" s="32">
      <c r="A59" s="41" t="inlineStr">
        <is>
          <t>engineer_vehicle</t>
        </is>
      </c>
      <c r="B59" s="41" t="inlineStr">
        <is>
          <t>Xe công binh</t>
        </is>
      </c>
      <c r="C59" s="41" t="inlineStr">
        <is>
          <t>Tầm nhìn</t>
        </is>
      </c>
      <c r="D59" s="43" t="n">
        <v>30</v>
      </c>
      <c r="E59" s="49" t="inlineStr">
        <is>
          <t>Giữ</t>
        </is>
      </c>
      <c r="F59" s="41" t="n"/>
      <c r="G59" s="41" t="inlineStr">
        <is>
          <t>Khớp vai trò.</t>
        </is>
      </c>
      <c r="H59" s="41" t="n"/>
    </row>
    <row r="60" ht="15" customHeight="1" s="32">
      <c r="A60" s="39" t="inlineStr">
        <is>
          <t>engineer_vehicle</t>
        </is>
      </c>
      <c r="B60" s="39" t="inlineStr">
        <is>
          <t>Xe công binh</t>
        </is>
      </c>
      <c r="C60" s="39" t="inlineStr">
        <is>
          <t>Tầm bắn</t>
        </is>
      </c>
      <c r="D60" s="39" t="inlineStr">
        <is>
          <t>15</t>
        </is>
      </c>
      <c r="E60" s="49" t="inlineStr">
        <is>
          <t>Giữ</t>
        </is>
      </c>
      <c r="F60" s="39" t="n"/>
      <c r="G60" s="39" t="inlineStr">
        <is>
          <t>Thứ tự tầm hợp lý trong nhóm.</t>
        </is>
      </c>
      <c r="H60" s="39" t="n"/>
    </row>
    <row r="61" ht="15" customHeight="1" s="32">
      <c r="A61" s="41" t="inlineStr">
        <is>
          <t>engineer_vehicle</t>
        </is>
      </c>
      <c r="B61" s="41" t="inlineStr">
        <is>
          <t>Xe công binh</t>
        </is>
      </c>
      <c r="C61" s="41" t="inlineStr">
        <is>
          <t>Giá (CP)</t>
        </is>
      </c>
      <c r="D61" s="43" t="n">
        <v>3</v>
      </c>
      <c r="E61" s="49" t="inlineStr">
        <is>
          <t>Giữ</t>
        </is>
      </c>
      <c r="F61" s="41" t="n"/>
      <c r="G61" s="41" t="inlineStr">
        <is>
          <t>Hiệu quả trong khoảng ±25% trung vị, thứ tự giá hợp ngoài đời (sheet Giá CP).</t>
        </is>
      </c>
      <c r="H61" s="41" t="n"/>
    </row>
    <row r="62" ht="15" customHeight="1" s="32">
      <c r="A62" s="39" t="inlineStr">
        <is>
          <t>engineer_vehicle</t>
        </is>
      </c>
      <c r="B62" s="39" t="inlineStr">
        <is>
          <t>Xe công binh</t>
        </is>
      </c>
      <c r="C62" s="39" t="inlineStr">
        <is>
          <t>Vũ khí</t>
        </is>
      </c>
      <c r="D62" s="42" t="n">
        <v>1</v>
      </c>
      <c r="E62" s="49" t="inlineStr">
        <is>
          <t>Giữ</t>
        </is>
      </c>
      <c r="F62" s="39" t="n"/>
      <c r="G62" s="39" t="inlineStr">
        <is>
          <t>Bộ vũ khí khớp mẫu thật và vai trò.</t>
        </is>
      </c>
      <c r="H62" s="39" t="n"/>
    </row>
    <row r="63" ht="32.25" customHeight="1" s="32">
      <c r="A63" s="41" t="inlineStr">
        <is>
          <t>engineer_vehicle</t>
        </is>
      </c>
      <c r="B63" s="41" t="inlineStr">
        <is>
          <t>Xe công binh</t>
        </is>
      </c>
      <c r="C63" s="41" t="inlineStr">
        <is>
          <t>Hành vi</t>
        </is>
      </c>
      <c r="D63" s="41" t="inlineStr">
        <is>
          <t xml:space="preserve">Đi sau tuyến đầu, cạnh các xe nó phục vụ; Bắn hết 28 viên thì thay băng; Sửa xe </t>
        </is>
      </c>
      <c r="E63" s="49" t="inlineStr">
        <is>
          <t>Giữ</t>
        </is>
      </c>
      <c r="F63" s="41" t="n"/>
      <c r="G63" s="41" t="inlineStr">
        <is>
          <t>Hợp vai trò.</t>
        </is>
      </c>
      <c r="H63" s="41" t="n"/>
    </row>
    <row r="64" ht="15" customHeight="1" s="32">
      <c r="A64" s="39" t="inlineStr">
        <is>
          <t>engineer_vehicle</t>
        </is>
      </c>
      <c r="B64" s="39" t="inlineStr">
        <is>
          <t>Xe công binh</t>
        </is>
      </c>
      <c r="C64" s="39" t="inlineStr">
        <is>
          <t>Nổ khi bị phá (bán kính)</t>
        </is>
      </c>
      <c r="D64" s="39" t="inlineStr">
        <is>
          <t>6 m · 140 sát thương</t>
        </is>
      </c>
      <c r="E64" s="49" t="inlineStr">
        <is>
          <t>Giữ</t>
        </is>
      </c>
      <c r="F64" s="39" t="n"/>
      <c r="G64" s="39" t="inlineStr">
        <is>
          <t>Hợp với cỡ xe.</t>
        </is>
      </c>
      <c r="H64" s="39" t="n"/>
    </row>
    <row r="65" ht="21.75" customHeight="1" s="32">
      <c r="A65" s="41" t="inlineStr">
        <is>
          <t>engineer_vehicle</t>
        </is>
      </c>
      <c r="B65" s="41" t="inlineStr">
        <is>
          <t>Xe công binh</t>
        </is>
      </c>
      <c r="C65" s="41" t="inlineStr">
        <is>
          <t>Tham khảo / model</t>
        </is>
      </c>
      <c r="D65" s="41" t="inlineStr">
        <is>
          <t>BREM-1, M88 Hercules — Xe cứu kéo công binh có lưỡi ủi và cần cẩu</t>
        </is>
      </c>
      <c r="E65" s="49" t="inlineStr">
        <is>
          <t>Giữ</t>
        </is>
      </c>
      <c r="F65" s="41" t="n"/>
      <c r="G65" s="41" t="inlineStr">
        <is>
          <t>Khớp vũ khí và vai trò.</t>
        </is>
      </c>
      <c r="H65" s="41" t="n"/>
    </row>
    <row r="66" ht="15" customHeight="1" s="32">
      <c r="A66" s="39"/>
      <c r="B66" s="39"/>
      <c r="C66" s="39"/>
      <c r="D66" s="39"/>
      <c r="E66" s="47"/>
      <c r="F66" s="39"/>
      <c r="G66" s="39"/>
      <c r="H66" s="49"/>
    </row>
    <row r="67" ht="15" customHeight="1" s="32">
      <c r="A67" s="41"/>
      <c r="B67" s="41"/>
      <c r="C67" s="41"/>
      <c r="D67" s="43"/>
      <c r="E67" s="49"/>
      <c r="F67" s="41"/>
      <c r="G67" s="41"/>
      <c r="H67" s="41"/>
    </row>
    <row r="68" ht="15" customHeight="1" s="32">
      <c r="A68" s="39"/>
      <c r="B68" s="39"/>
      <c r="C68" s="39"/>
      <c r="D68" s="39"/>
      <c r="E68" s="47"/>
      <c r="F68" s="39"/>
      <c r="G68" s="39"/>
      <c r="H68" s="48"/>
    </row>
    <row r="69" ht="21.75" customHeight="1" s="32">
      <c r="A69" s="41"/>
      <c r="B69" s="41"/>
      <c r="C69" s="41"/>
      <c r="D69" s="43"/>
      <c r="E69" s="48"/>
      <c r="F69" s="41"/>
      <c r="G69" s="41"/>
      <c r="H69" s="41"/>
    </row>
    <row r="70" ht="15" customHeight="1" s="32">
      <c r="A70" s="39"/>
      <c r="B70" s="39"/>
      <c r="C70" s="39"/>
      <c r="D70" s="39"/>
      <c r="E70" s="49"/>
      <c r="F70" s="39"/>
      <c r="G70" s="39"/>
      <c r="H70" s="39"/>
    </row>
    <row r="71" ht="15" customHeight="1" s="32">
      <c r="A71" s="41"/>
      <c r="B71" s="41"/>
      <c r="C71" s="41"/>
      <c r="D71" s="41"/>
      <c r="E71" s="49"/>
      <c r="F71" s="41"/>
      <c r="G71" s="41"/>
      <c r="H71" s="41"/>
    </row>
    <row r="72" ht="15" customHeight="1" s="32">
      <c r="A72" s="39"/>
      <c r="B72" s="39"/>
      <c r="C72" s="39"/>
      <c r="D72" s="42"/>
      <c r="E72" s="49"/>
      <c r="F72" s="39"/>
      <c r="G72" s="39"/>
      <c r="H72" s="39"/>
    </row>
    <row r="73" ht="21.75" customHeight="1" s="32">
      <c r="A73" s="41"/>
      <c r="B73" s="41"/>
      <c r="C73" s="41"/>
      <c r="D73" s="41"/>
      <c r="E73" s="47"/>
      <c r="F73" s="41"/>
      <c r="G73" s="41"/>
      <c r="H73" s="48"/>
    </row>
    <row r="74" ht="15" customHeight="1" s="32">
      <c r="A74" s="39"/>
      <c r="B74" s="39"/>
      <c r="C74" s="39"/>
      <c r="D74" s="42"/>
      <c r="E74" s="49"/>
      <c r="F74" s="39"/>
      <c r="G74" s="39"/>
      <c r="H74" s="39"/>
    </row>
    <row r="75" ht="21.75" customHeight="1" s="32">
      <c r="A75" s="41"/>
      <c r="B75" s="41"/>
      <c r="C75" s="41"/>
      <c r="D75" s="41"/>
      <c r="E75" s="47"/>
      <c r="F75" s="41"/>
      <c r="G75" s="41"/>
      <c r="H75" s="48"/>
    </row>
    <row r="76" ht="32.25" customHeight="1" s="32">
      <c r="A76" s="39"/>
      <c r="B76" s="39"/>
      <c r="C76" s="39"/>
      <c r="D76" s="39"/>
      <c r="E76" s="49"/>
      <c r="F76" s="39"/>
      <c r="G76" s="39"/>
      <c r="H76" s="39"/>
    </row>
    <row r="77" ht="15" customHeight="1" s="32">
      <c r="A77" s="41"/>
      <c r="B77" s="41"/>
      <c r="C77" s="41"/>
      <c r="D77" s="41"/>
      <c r="E77" s="49"/>
      <c r="F77" s="41"/>
      <c r="G77" s="41"/>
      <c r="H77" s="41"/>
    </row>
    <row r="78" ht="21.75" customHeight="1" s="32">
      <c r="A78" s="39"/>
      <c r="B78" s="39"/>
      <c r="C78" s="39"/>
      <c r="D78" s="39"/>
      <c r="E78" s="49"/>
      <c r="F78" s="39"/>
      <c r="G78" s="39"/>
      <c r="H78" s="39"/>
    </row>
    <row r="79" ht="15" customHeight="1" s="32">
      <c r="A79" s="41" t="inlineStr">
        <is>
          <t>ammo_carrier</t>
        </is>
      </c>
      <c r="B79" s="41" t="inlineStr">
        <is>
          <t>Xe tiếp đạn</t>
        </is>
      </c>
      <c r="C79" s="41" t="inlineStr">
        <is>
          <t>Tên</t>
        </is>
      </c>
      <c r="D79" s="41" t="inlineStr">
        <is>
          <t>Xe tiếp đạn</t>
        </is>
      </c>
      <c r="E79" s="49" t="inlineStr">
        <is>
          <t>Giữ</t>
        </is>
      </c>
      <c r="F79" s="41" t="inlineStr">
        <is>
          <t>Xe tiếp đạn · ngắn: Tiếp đạn · EN: Ammo Carrier</t>
        </is>
      </c>
      <c r="G79" s="41" t="inlineStr">
        <is>
          <t>Giữ.</t>
        </is>
      </c>
      <c r="H79" s="41" t="n"/>
    </row>
    <row r="80" ht="15" customHeight="1" s="32">
      <c r="A80" s="39" t="inlineStr">
        <is>
          <t>ammo_carrier</t>
        </is>
      </c>
      <c r="B80" s="39" t="inlineStr">
        <is>
          <t>Xe tiếp đạn</t>
        </is>
      </c>
      <c r="C80" s="39" t="inlineStr">
        <is>
          <t>Máu</t>
        </is>
      </c>
      <c r="D80" s="42" t="n">
        <v>1144</v>
      </c>
      <c r="E80" s="49" t="inlineStr">
        <is>
          <t>Giữ</t>
        </is>
      </c>
      <c r="F80" s="39" t="n"/>
      <c r="G80" s="39" t="inlineStr">
        <is>
          <t>Máu/CP 1.47 × trung vị lớp Hỗ trợ.</t>
        </is>
      </c>
      <c r="H80" s="39" t="n"/>
    </row>
    <row r="81" ht="15" customHeight="1" s="32">
      <c r="A81" s="41" t="inlineStr">
        <is>
          <t>ammo_carrier</t>
        </is>
      </c>
      <c r="B81" s="41" t="inlineStr">
        <is>
          <t>Xe tiếp đạn</t>
        </is>
      </c>
      <c r="C81" s="41" t="inlineStr">
        <is>
          <t>Giáp (T/H/S/N)</t>
        </is>
      </c>
      <c r="D81" s="41" t="inlineStr">
        <is>
          <t>cấp 0 (Không giáp)</t>
        </is>
      </c>
      <c r="E81" s="49" t="inlineStr">
        <is>
          <t>Giữ</t>
        </is>
      </c>
      <c r="F81" s="41" t="n"/>
      <c r="G81" s="41" t="inlineStr">
        <is>
          <t>Khớp mẫu thật theo thang 0–4.</t>
        </is>
      </c>
      <c r="H81" s="41" t="n"/>
    </row>
    <row r="82" ht="15" customHeight="1" s="32">
      <c r="A82" s="39" t="inlineStr">
        <is>
          <t>ammo_carrier</t>
        </is>
      </c>
      <c r="B82" s="39" t="inlineStr">
        <is>
          <t>Xe tiếp đạn</t>
        </is>
      </c>
      <c r="C82" s="39" t="inlineStr">
        <is>
          <t>Tốc độ</t>
        </is>
      </c>
      <c r="D82" s="42" t="n">
        <v>8.5</v>
      </c>
      <c r="E82" s="49" t="inlineStr">
        <is>
          <t>Giữ</t>
        </is>
      </c>
      <c r="F82" s="39" t="n"/>
      <c r="G82" s="39" t="inlineStr">
        <is>
          <t>Gần tốc độ thật × hệ số nén (9.8).</t>
        </is>
      </c>
      <c r="H82" s="39" t="n"/>
    </row>
    <row r="83" ht="15" customHeight="1" s="32">
      <c r="A83" s="41" t="inlineStr">
        <is>
          <t>ammo_carrier</t>
        </is>
      </c>
      <c r="B83" s="41" t="inlineStr">
        <is>
          <t>Xe tiếp đạn</t>
        </is>
      </c>
      <c r="C83" s="41" t="inlineStr">
        <is>
          <t>Tốc độ xoay thân / tháp</t>
        </is>
      </c>
      <c r="D83" s="41" t="inlineStr">
        <is>
          <t>2 / 3</t>
        </is>
      </c>
      <c r="E83" s="49" t="inlineStr">
        <is>
          <t>Giữ</t>
        </is>
      </c>
      <c r="F83" s="41" t="n"/>
      <c r="G83" s="41" t="inlineStr">
        <is>
          <t>Hợp lý so với loại xe.</t>
        </is>
      </c>
      <c r="H83" s="41" t="n"/>
    </row>
    <row r="84" ht="15" customHeight="1" s="32">
      <c r="A84" s="39" t="inlineStr">
        <is>
          <t>ammo_carrier</t>
        </is>
      </c>
      <c r="B84" s="39" t="inlineStr">
        <is>
          <t>Xe tiếp đạn</t>
        </is>
      </c>
      <c r="C84" s="39" t="inlineStr">
        <is>
          <t>Kích thước model (dài × rộng × cao)</t>
        </is>
      </c>
      <c r="D84" s="39" t="inlineStr">
        <is>
          <t>6.9 × 2.4 × 3.2</t>
        </is>
      </c>
      <c r="E84" s="49" t="inlineStr">
        <is>
          <t>Giữ</t>
        </is>
      </c>
      <c r="F84" s="39" t="n"/>
      <c r="G84" s="39" t="inlineStr">
        <is>
          <t>Khớp tỷ lệ chung (mẫu thật 10.2 m).</t>
        </is>
      </c>
      <c r="H84" s="39" t="n"/>
    </row>
    <row r="85" ht="15" customHeight="1" s="32">
      <c r="A85" s="41" t="inlineStr">
        <is>
          <t>ammo_carrier</t>
        </is>
      </c>
      <c r="B85" s="41" t="inlineStr">
        <is>
          <t>Xe tiếp đạn</t>
        </is>
      </c>
      <c r="C85" s="41" t="inlineStr">
        <is>
          <t>Tầm nhìn</t>
        </is>
      </c>
      <c r="D85" s="43" t="n">
        <v>30</v>
      </c>
      <c r="E85" s="49" t="inlineStr">
        <is>
          <t>Giữ</t>
        </is>
      </c>
      <c r="F85" s="41" t="n"/>
      <c r="G85" s="41" t="inlineStr">
        <is>
          <t>Khớp vai trò.</t>
        </is>
      </c>
      <c r="H85" s="41" t="n"/>
    </row>
    <row r="86" ht="15" customHeight="1" s="32">
      <c r="A86" s="39" t="inlineStr">
        <is>
          <t>ammo_carrier</t>
        </is>
      </c>
      <c r="B86" s="39" t="inlineStr">
        <is>
          <t>Xe tiếp đạn</t>
        </is>
      </c>
      <c r="C86" s="39" t="inlineStr">
        <is>
          <t>Tầm bắn</t>
        </is>
      </c>
      <c r="D86" s="39" t="inlineStr">
        <is>
          <t>15</t>
        </is>
      </c>
      <c r="E86" s="49" t="inlineStr">
        <is>
          <t>Giữ</t>
        </is>
      </c>
      <c r="F86" s="39" t="n"/>
      <c r="G86" s="39" t="inlineStr">
        <is>
          <t>Thứ tự tầm hợp lý trong nhóm.</t>
        </is>
      </c>
      <c r="H86" s="39" t="n"/>
    </row>
    <row r="87" ht="15" customHeight="1" s="32">
      <c r="A87" s="41" t="inlineStr">
        <is>
          <t>ammo_carrier</t>
        </is>
      </c>
      <c r="B87" s="41" t="inlineStr">
        <is>
          <t>Xe tiếp đạn</t>
        </is>
      </c>
      <c r="C87" s="41" t="inlineStr">
        <is>
          <t>Giá (CP)</t>
        </is>
      </c>
      <c r="D87" s="43" t="n">
        <v>4</v>
      </c>
      <c r="E87" s="49" t="inlineStr">
        <is>
          <t>Giữ</t>
        </is>
      </c>
      <c r="F87" s="41" t="n"/>
      <c r="G87" s="41" t="inlineStr">
        <is>
          <t>Hiệu quả trong khoảng ±25% trung vị, thứ tự giá hợp ngoài đời (sheet Giá CP).</t>
        </is>
      </c>
      <c r="H87" s="41" t="n"/>
    </row>
    <row r="88" ht="15" customHeight="1" s="32">
      <c r="A88" s="39" t="inlineStr">
        <is>
          <t>ammo_carrier</t>
        </is>
      </c>
      <c r="B88" s="39" t="inlineStr">
        <is>
          <t>Xe tiếp đạn</t>
        </is>
      </c>
      <c r="C88" s="39" t="inlineStr">
        <is>
          <t>Vũ khí</t>
        </is>
      </c>
      <c r="D88" s="42" t="n">
        <v>1</v>
      </c>
      <c r="E88" s="49" t="inlineStr">
        <is>
          <t>Giữ</t>
        </is>
      </c>
      <c r="F88" s="39" t="n"/>
      <c r="G88" s="39" t="inlineStr">
        <is>
          <t>Bộ vũ khí khớp mẫu thật và vai trò.</t>
        </is>
      </c>
      <c r="H88" s="39" t="n"/>
    </row>
    <row r="89" ht="21.75" customHeight="1" s="32">
      <c r="A89" s="41" t="inlineStr">
        <is>
          <t>ammo_carrier</t>
        </is>
      </c>
      <c r="B89" s="41" t="inlineStr">
        <is>
          <t>Xe tiếp đạn</t>
        </is>
      </c>
      <c r="C89" s="41" t="inlineStr">
        <is>
          <t>Hành vi</t>
        </is>
      </c>
      <c r="D89" s="41" t="inlineStr">
        <is>
          <t xml:space="preserve">Đi sau tuyến đầu, cạnh các xe nó phục vụ                                        </t>
        </is>
      </c>
      <c r="E89" s="49" t="inlineStr">
        <is>
          <t>Giữ</t>
        </is>
      </c>
      <c r="F89" s="41" t="n"/>
      <c r="G89" s="41" t="inlineStr">
        <is>
          <t>Hợp vai trò.</t>
        </is>
      </c>
      <c r="H89" s="41" t="n"/>
    </row>
    <row r="90" ht="15" customHeight="1" s="32">
      <c r="A90" s="39" t="inlineStr">
        <is>
          <t>ammo_carrier</t>
        </is>
      </c>
      <c r="B90" s="39" t="inlineStr">
        <is>
          <t>Xe tiếp đạn</t>
        </is>
      </c>
      <c r="C90" s="39" t="inlineStr">
        <is>
          <t>Nổ khi bị phá (bán kính)</t>
        </is>
      </c>
      <c r="D90" s="39" t="inlineStr">
        <is>
          <t>7 m · 180 sát thương</t>
        </is>
      </c>
      <c r="E90" s="49" t="inlineStr">
        <is>
          <t>Giữ</t>
        </is>
      </c>
      <c r="F90" s="39" t="n"/>
      <c r="G90" s="39" t="inlineStr">
        <is>
          <t>Hợp với cỡ xe.</t>
        </is>
      </c>
      <c r="H90" s="39" t="n"/>
    </row>
    <row r="91" ht="32.25" customHeight="1" s="32">
      <c r="A91" s="41" t="inlineStr">
        <is>
          <t>ammo_carrier</t>
        </is>
      </c>
      <c r="B91" s="41" t="inlineStr">
        <is>
          <t>Xe tiếp đạn</t>
        </is>
      </c>
      <c r="C91" s="41" t="inlineStr">
        <is>
          <t>Tham khảo / model</t>
        </is>
      </c>
      <c r="D91" s="41" t="inlineStr">
        <is>
          <t>M977 HEMTT, KamAZ-5350, M2 Browning 12,7 mm — ước đoán: xe tải hậu cần chở đạn, súng máy t</t>
        </is>
      </c>
      <c r="E91" s="49" t="inlineStr">
        <is>
          <t>Giữ</t>
        </is>
      </c>
      <c r="F91" s="41" t="n"/>
      <c r="G91" s="41" t="inlineStr">
        <is>
          <t>Khớp vũ khí và vai trò.</t>
        </is>
      </c>
      <c r="H91" s="41" t="n"/>
    </row>
    <row r="92" ht="21.75" customHeight="1" s="32">
      <c r="A92" s="39"/>
      <c r="B92" s="39"/>
      <c r="C92" s="39"/>
      <c r="D92" s="39"/>
      <c r="E92" s="47"/>
      <c r="F92" s="39"/>
      <c r="G92" s="39"/>
      <c r="H92" s="49"/>
    </row>
    <row r="93" ht="15" customHeight="1" s="32">
      <c r="A93" s="41"/>
      <c r="B93" s="41"/>
      <c r="C93" s="41"/>
      <c r="D93" s="43"/>
      <c r="E93" s="49"/>
      <c r="F93" s="41"/>
      <c r="G93" s="41"/>
      <c r="H93" s="41"/>
    </row>
    <row r="94" ht="15" customHeight="1" s="32">
      <c r="A94" s="39"/>
      <c r="B94" s="39"/>
      <c r="C94" s="39"/>
      <c r="D94" s="39"/>
      <c r="E94" s="49"/>
      <c r="F94" s="39"/>
      <c r="G94" s="39"/>
      <c r="H94" s="39"/>
    </row>
    <row r="95" ht="15" customHeight="1" s="32">
      <c r="A95" s="41"/>
      <c r="B95" s="41"/>
      <c r="C95" s="41"/>
      <c r="D95" s="43"/>
      <c r="E95" s="49"/>
      <c r="F95" s="41"/>
      <c r="G95" s="41"/>
      <c r="H95" s="41"/>
    </row>
    <row r="96" ht="15" customHeight="1" s="32">
      <c r="A96" s="39"/>
      <c r="B96" s="39"/>
      <c r="C96" s="39"/>
      <c r="D96" s="39"/>
      <c r="E96" s="49"/>
      <c r="F96" s="39"/>
      <c r="G96" s="39"/>
      <c r="H96" s="39"/>
    </row>
    <row r="97" ht="21.75" customHeight="1" s="32">
      <c r="A97" s="41"/>
      <c r="B97" s="41"/>
      <c r="C97" s="41"/>
      <c r="D97" s="41"/>
      <c r="E97" s="47"/>
      <c r="F97" s="41"/>
      <c r="G97" s="41"/>
      <c r="H97" s="49"/>
    </row>
    <row r="98" ht="15" customHeight="1" s="32">
      <c r="A98" s="39"/>
      <c r="B98" s="39"/>
      <c r="C98" s="39"/>
      <c r="D98" s="42"/>
      <c r="E98" s="49"/>
      <c r="F98" s="39"/>
      <c r="G98" s="39"/>
      <c r="H98" s="39"/>
    </row>
    <row r="99" ht="15" customHeight="1" s="32">
      <c r="A99" s="41"/>
      <c r="B99" s="41"/>
      <c r="C99" s="41"/>
      <c r="D99" s="41"/>
      <c r="E99" s="49"/>
      <c r="F99" s="41"/>
      <c r="G99" s="41"/>
      <c r="H99" s="41"/>
    </row>
    <row r="100" ht="15" customHeight="1" s="32">
      <c r="A100" s="39"/>
      <c r="B100" s="39"/>
      <c r="C100" s="39"/>
      <c r="D100" s="42"/>
      <c r="E100" s="49"/>
      <c r="F100" s="39"/>
      <c r="G100" s="39"/>
      <c r="H100" s="39"/>
    </row>
    <row r="101" ht="15" customHeight="1" s="32">
      <c r="A101" s="41"/>
      <c r="B101" s="41"/>
      <c r="C101" s="41"/>
      <c r="D101" s="43"/>
      <c r="E101" s="49"/>
      <c r="F101" s="41"/>
      <c r="G101" s="41"/>
      <c r="H101" s="41"/>
    </row>
    <row r="102" ht="21.75" customHeight="1" s="32">
      <c r="A102" s="39"/>
      <c r="B102" s="39"/>
      <c r="C102" s="39"/>
      <c r="D102" s="39"/>
      <c r="E102" s="49"/>
      <c r="F102" s="39"/>
      <c r="G102" s="39"/>
      <c r="H102" s="39"/>
    </row>
    <row r="103" ht="15" customHeight="1" s="32">
      <c r="A103" s="41"/>
      <c r="B103" s="41"/>
      <c r="C103" s="41"/>
      <c r="D103" s="41"/>
      <c r="E103" s="49"/>
      <c r="F103" s="41"/>
      <c r="G103" s="41"/>
      <c r="H103" s="41"/>
    </row>
    <row r="104" ht="21.75" customHeight="1" s="32">
      <c r="A104" s="39"/>
      <c r="B104" s="39"/>
      <c r="C104" s="39"/>
      <c r="D104" s="39"/>
      <c r="E104" s="49"/>
      <c r="F104" s="39"/>
      <c r="G104" s="39"/>
      <c r="H104" s="39"/>
    </row>
    <row r="105" ht="15" customHeight="1" s="32">
      <c r="A105" s="41" t="inlineStr">
        <is>
          <t>ew_jammer</t>
        </is>
      </c>
      <c r="B105" s="41" t="inlineStr">
        <is>
          <t>Xe tác chiến điện tử</t>
        </is>
      </c>
      <c r="C105" s="41" t="inlineStr">
        <is>
          <t>Tên</t>
        </is>
      </c>
      <c r="D105" s="41" t="inlineStr">
        <is>
          <t>Xe tác chiến điện tử</t>
        </is>
      </c>
      <c r="E105" s="47" t="inlineStr">
        <is>
          <t>Đổi</t>
        </is>
      </c>
      <c r="F105" s="41" t="inlineStr">
        <is>
          <t>Xe gây nhiễu điện tử · ngắn: Gây nhiễu · EN: EW Jammer</t>
        </is>
      </c>
      <c r="G105" s="41" t="inlineStr">
        <is>
          <t>"Tác chiến điện tử" dài; bảng DPS đã dùng "Gây nhiễu".</t>
        </is>
      </c>
      <c r="H105" s="49" t="inlineStr">
        <is>
          <t>Thấp</t>
        </is>
      </c>
    </row>
    <row r="106" ht="15" customHeight="1" s="32">
      <c r="A106" s="39" t="inlineStr">
        <is>
          <t>ew_jammer</t>
        </is>
      </c>
      <c r="B106" s="39" t="inlineStr">
        <is>
          <t>Xe tác chiến điện tử</t>
        </is>
      </c>
      <c r="C106" s="39" t="inlineStr">
        <is>
          <t>Máu</t>
        </is>
      </c>
      <c r="D106" s="42" t="n">
        <v>836</v>
      </c>
      <c r="E106" s="49" t="inlineStr">
        <is>
          <t>Giữ</t>
        </is>
      </c>
      <c r="F106" s="39" t="n"/>
      <c r="G106" s="39" t="inlineStr">
        <is>
          <t>Máu/CP 0.86 × trung vị lớp Hỗ trợ.</t>
        </is>
      </c>
      <c r="H106" s="39" t="n"/>
    </row>
    <row r="107" ht="15" customHeight="1" s="32">
      <c r="A107" s="41" t="inlineStr">
        <is>
          <t>ew_jammer</t>
        </is>
      </c>
      <c r="B107" s="41" t="inlineStr">
        <is>
          <t>Xe tác chiến điện tử</t>
        </is>
      </c>
      <c r="C107" s="41" t="inlineStr">
        <is>
          <t>Giáp (T/H/S/N)</t>
        </is>
      </c>
      <c r="D107" s="41" t="inlineStr">
        <is>
          <t>1/0/0/0</t>
        </is>
      </c>
      <c r="E107" s="49" t="inlineStr">
        <is>
          <t>Giữ</t>
        </is>
      </c>
      <c r="F107" s="41" t="n"/>
      <c r="G107" s="41" t="inlineStr">
        <is>
          <t>Giả tưởng / máy bay; khớp vai trò.</t>
        </is>
      </c>
      <c r="H107" s="41" t="n"/>
    </row>
    <row r="108" ht="15" customHeight="1" s="32">
      <c r="A108" s="39" t="inlineStr">
        <is>
          <t>ew_jammer</t>
        </is>
      </c>
      <c r="B108" s="39" t="inlineStr">
        <is>
          <t>Xe tác chiến điện tử</t>
        </is>
      </c>
      <c r="C108" s="39" t="inlineStr">
        <is>
          <t>Tốc độ</t>
        </is>
      </c>
      <c r="D108" s="42" t="n">
        <v>8</v>
      </c>
      <c r="E108" s="49" t="inlineStr">
        <is>
          <t>Giữ</t>
        </is>
      </c>
      <c r="F108" s="39" t="n"/>
      <c r="G108" s="39" t="inlineStr">
        <is>
          <t>Gần tốc độ thật × hệ số nén (8.9).</t>
        </is>
      </c>
      <c r="H108" s="39" t="n"/>
    </row>
    <row r="109" ht="15" customHeight="1" s="32">
      <c r="A109" s="41" t="inlineStr">
        <is>
          <t>ew_jammer</t>
        </is>
      </c>
      <c r="B109" s="41" t="inlineStr">
        <is>
          <t>Xe tác chiến điện tử</t>
        </is>
      </c>
      <c r="C109" s="41" t="inlineStr">
        <is>
          <t>Tốc độ xoay thân / tháp</t>
        </is>
      </c>
      <c r="D109" s="41" t="inlineStr">
        <is>
          <t>2 / 3</t>
        </is>
      </c>
      <c r="E109" s="49" t="inlineStr">
        <is>
          <t>Giữ</t>
        </is>
      </c>
      <c r="F109" s="41" t="n"/>
      <c r="G109" s="41" t="inlineStr">
        <is>
          <t>Hợp lý so với loại xe.</t>
        </is>
      </c>
      <c r="H109" s="41" t="n"/>
    </row>
    <row r="110" ht="15" customHeight="1" s="32">
      <c r="A110" s="39" t="inlineStr">
        <is>
          <t>ew_jammer</t>
        </is>
      </c>
      <c r="B110" s="39" t="inlineStr">
        <is>
          <t>Xe tác chiến điện tử</t>
        </is>
      </c>
      <c r="C110" s="39" t="inlineStr">
        <is>
          <t>Kích thước model (dài × rộng × cao)</t>
        </is>
      </c>
      <c r="D110" s="39" t="inlineStr">
        <is>
          <t>7.9 × 2.9 × 5.1</t>
        </is>
      </c>
      <c r="E110" s="49" t="inlineStr">
        <is>
          <t>Giữ</t>
        </is>
      </c>
      <c r="F110" s="39" t="n"/>
      <c r="G110" s="39" t="inlineStr">
        <is>
          <t>Khớp tỷ lệ chung (mẫu thật 11.0 m).</t>
        </is>
      </c>
      <c r="H110" s="39" t="n"/>
    </row>
    <row r="111" ht="15" customHeight="1" s="32">
      <c r="A111" s="41" t="inlineStr">
        <is>
          <t>ew_jammer</t>
        </is>
      </c>
      <c r="B111" s="41" t="inlineStr">
        <is>
          <t>Xe tác chiến điện tử</t>
        </is>
      </c>
      <c r="C111" s="41" t="inlineStr">
        <is>
          <t>Tầm nhìn</t>
        </is>
      </c>
      <c r="D111" s="43" t="n">
        <v>40</v>
      </c>
      <c r="E111" s="49" t="inlineStr">
        <is>
          <t>Giữ</t>
        </is>
      </c>
      <c r="F111" s="41" t="n"/>
      <c r="G111" s="41" t="inlineStr">
        <is>
          <t>Khớp vai trò.</t>
        </is>
      </c>
      <c r="H111" s="41" t="n"/>
    </row>
    <row r="112" ht="15" customHeight="1" s="32">
      <c r="A112" s="39" t="inlineStr">
        <is>
          <t>ew_jammer</t>
        </is>
      </c>
      <c r="B112" s="39" t="inlineStr">
        <is>
          <t>Xe tác chiến điện tử</t>
        </is>
      </c>
      <c r="C112" s="39" t="inlineStr">
        <is>
          <t>Tầm bắn</t>
        </is>
      </c>
      <c r="D112" s="39" t="inlineStr">
        <is>
          <t>15</t>
        </is>
      </c>
      <c r="E112" s="49" t="inlineStr">
        <is>
          <t>Giữ</t>
        </is>
      </c>
      <c r="F112" s="39" t="n"/>
      <c r="G112" s="39" t="inlineStr">
        <is>
          <t>Thứ tự tầm hợp lý trong nhóm.</t>
        </is>
      </c>
      <c r="H112" s="39" t="n"/>
    </row>
    <row r="113" ht="15" customHeight="1" s="32">
      <c r="A113" s="41" t="inlineStr">
        <is>
          <t>ew_jammer</t>
        </is>
      </c>
      <c r="B113" s="41" t="inlineStr">
        <is>
          <t>Xe tác chiến điện tử</t>
        </is>
      </c>
      <c r="C113" s="41" t="inlineStr">
        <is>
          <t>Giá (CP)</t>
        </is>
      </c>
      <c r="D113" s="43" t="n">
        <v>5</v>
      </c>
      <c r="E113" s="49" t="inlineStr">
        <is>
          <t>Giữ</t>
        </is>
      </c>
      <c r="F113" s="41" t="n"/>
      <c r="G113" s="41" t="inlineStr">
        <is>
          <t>Hiệu quả trong khoảng ±25% trung vị, thứ tự giá hợp ngoài đời (sheet Giá CP).</t>
        </is>
      </c>
      <c r="H113" s="41" t="n"/>
    </row>
    <row r="114" ht="15" customHeight="1" s="32">
      <c r="A114" s="39" t="inlineStr">
        <is>
          <t>ew_jammer</t>
        </is>
      </c>
      <c r="B114" s="39" t="inlineStr">
        <is>
          <t>Xe tác chiến điện tử</t>
        </is>
      </c>
      <c r="C114" s="39" t="inlineStr">
        <is>
          <t>Vũ khí</t>
        </is>
      </c>
      <c r="D114" s="42" t="n">
        <v>1</v>
      </c>
      <c r="E114" s="49" t="inlineStr">
        <is>
          <t>Giữ</t>
        </is>
      </c>
      <c r="F114" s="39" t="n"/>
      <c r="G114" s="39" t="inlineStr">
        <is>
          <t>Bộ vũ khí khớp mẫu thật và vai trò.</t>
        </is>
      </c>
      <c r="H114" s="39" t="n"/>
    </row>
    <row r="115" ht="21.75" customHeight="1" s="32">
      <c r="A115" s="41" t="inlineStr">
        <is>
          <t>ew_jammer</t>
        </is>
      </c>
      <c r="B115" s="41" t="inlineStr">
        <is>
          <t>Xe tác chiến điện tử</t>
        </is>
      </c>
      <c r="C115" s="41" t="inlineStr">
        <is>
          <t>Hành vi</t>
        </is>
      </c>
      <c r="D115" s="41" t="inlineStr">
        <is>
          <t xml:space="preserve">Đi sau tuyến đầu, cạnh các xe nó phục vụ                                        </t>
        </is>
      </c>
      <c r="E115" s="49" t="inlineStr">
        <is>
          <t>Giữ</t>
        </is>
      </c>
      <c r="F115" s="41" t="n"/>
      <c r="G115" s="41" t="inlineStr">
        <is>
          <t>Hợp vai trò.</t>
        </is>
      </c>
      <c r="H115" s="41" t="n"/>
    </row>
    <row r="116" ht="15" customHeight="1" s="32">
      <c r="A116" s="39" t="inlineStr">
        <is>
          <t>ew_jammer</t>
        </is>
      </c>
      <c r="B116" s="39" t="inlineStr">
        <is>
          <t>Xe tác chiến điện tử</t>
        </is>
      </c>
      <c r="C116" s="39" t="inlineStr">
        <is>
          <t>Nổ khi bị phá (bán kính)</t>
        </is>
      </c>
      <c r="D116" s="39" t="inlineStr">
        <is>
          <t>7 m · 160 sát thương</t>
        </is>
      </c>
      <c r="E116" s="49" t="inlineStr">
        <is>
          <t>Giữ</t>
        </is>
      </c>
      <c r="F116" s="39" t="n"/>
      <c r="G116" s="39" t="inlineStr">
        <is>
          <t>Hợp với cỡ xe.</t>
        </is>
      </c>
      <c r="H116" s="39" t="n"/>
    </row>
    <row r="117" ht="21.75" customHeight="1" s="32">
      <c r="A117" s="41" t="inlineStr">
        <is>
          <t>ew_jammer</t>
        </is>
      </c>
      <c r="B117" s="41" t="inlineStr">
        <is>
          <t>Xe tác chiến điện tử</t>
        </is>
      </c>
      <c r="C117" s="41" t="inlineStr">
        <is>
          <t>Tham khảo / model</t>
        </is>
      </c>
      <c r="D117" s="41" t="inlineStr">
        <is>
          <t>Krasukha-4, Leer-3 — Xe tác chiến điện tử 6x6, cột ăng-ten gây nhiễu</t>
        </is>
      </c>
      <c r="E117" s="49" t="inlineStr">
        <is>
          <t>Giữ</t>
        </is>
      </c>
      <c r="F117" s="41" t="n"/>
      <c r="G117" s="41" t="inlineStr">
        <is>
          <t>Khớp vũ khí và vai trò.</t>
        </is>
      </c>
      <c r="H117" s="41" t="n"/>
    </row>
    <row r="118" ht="15" customHeight="1" s="32">
      <c r="A118" s="39" t="inlineStr">
        <is>
          <t>mine_layer</t>
        </is>
      </c>
      <c r="B118" s="39" t="inlineStr">
        <is>
          <t>Xe rải mìn</t>
        </is>
      </c>
      <c r="C118" s="39" t="inlineStr">
        <is>
          <t>Tên</t>
        </is>
      </c>
      <c r="D118" s="39" t="inlineStr">
        <is>
          <t>Xe rải mìn</t>
        </is>
      </c>
      <c r="E118" s="49" t="inlineStr">
        <is>
          <t>Giữ</t>
        </is>
      </c>
      <c r="F118" s="39" t="inlineStr">
        <is>
          <t>Xe rải mìn · ngắn: Rải mìn · EN: Minelayer</t>
        </is>
      </c>
      <c r="G118" s="39" t="inlineStr">
        <is>
          <t>Giữ.</t>
        </is>
      </c>
      <c r="H118" s="39" t="n"/>
    </row>
    <row r="119" ht="15" customHeight="1" s="32">
      <c r="A119" s="41" t="inlineStr">
        <is>
          <t>mine_layer</t>
        </is>
      </c>
      <c r="B119" s="41" t="inlineStr">
        <is>
          <t>Xe rải mìn</t>
        </is>
      </c>
      <c r="C119" s="41" t="inlineStr">
        <is>
          <t>Máu</t>
        </is>
      </c>
      <c r="D119" s="43" t="n">
        <v>924</v>
      </c>
      <c r="E119" s="49" t="inlineStr">
        <is>
          <t>Giữ</t>
        </is>
      </c>
      <c r="F119" s="41" t="n"/>
      <c r="G119" s="41" t="inlineStr">
        <is>
          <t>Máu/CP 0.95 × trung vị lớp Hỗ trợ.</t>
        </is>
      </c>
      <c r="H119" s="41" t="n"/>
    </row>
    <row r="120" ht="15" customHeight="1" s="32">
      <c r="A120" s="39" t="inlineStr">
        <is>
          <t>mine_layer</t>
        </is>
      </c>
      <c r="B120" s="39" t="inlineStr">
        <is>
          <t>Xe rải mìn</t>
        </is>
      </c>
      <c r="C120" s="39" t="inlineStr">
        <is>
          <t>Giáp (T/H/S/N)</t>
        </is>
      </c>
      <c r="D120" s="39" t="inlineStr">
        <is>
          <t>1/0/0/0</t>
        </is>
      </c>
      <c r="E120" s="47" t="inlineStr">
        <is>
          <t>Đổi</t>
        </is>
      </c>
      <c r="F120" s="39" t="inlineStr">
        <is>
          <t>1/1/0/0</t>
        </is>
      </c>
      <c r="G120" s="39" t="inlineStr">
        <is>
          <t>Khung bọc thép nhẹ.</t>
        </is>
      </c>
      <c r="H120" s="48" t="inlineStr">
        <is>
          <t>Trung</t>
        </is>
      </c>
    </row>
    <row r="121" ht="21.75" customHeight="1" s="32">
      <c r="A121" s="41" t="inlineStr">
        <is>
          <t>mine_layer</t>
        </is>
      </c>
      <c r="B121" s="41" t="inlineStr">
        <is>
          <t>Xe rải mìn</t>
        </is>
      </c>
      <c r="C121" s="41" t="inlineStr">
        <is>
          <t>Tốc độ</t>
        </is>
      </c>
      <c r="D121" s="43" t="n">
        <v>8</v>
      </c>
      <c r="E121" s="48" t="inlineStr">
        <is>
          <t>Xem lại</t>
        </is>
      </c>
      <c r="F121" s="41" t="inlineStr">
        <is>
          <t>Mẫu thật × hệ số map ≈ 5.5 m/s</t>
        </is>
      </c>
      <c r="G121" s="41" t="inlineStr">
        <is>
          <t>Lệch hơn 35% so với tốc độ thật nhân hệ số nén của map (xích 0,33, bánh 0,4, trực thăng 0,17, máy bay 0,16). Có thể giữ nếu là chủ đích.</t>
        </is>
      </c>
      <c r="H121" s="41" t="n"/>
    </row>
    <row r="122" ht="15" customHeight="1" s="32">
      <c r="A122" s="39" t="inlineStr">
        <is>
          <t>mine_layer</t>
        </is>
      </c>
      <c r="B122" s="39" t="inlineStr">
        <is>
          <t>Xe rải mìn</t>
        </is>
      </c>
      <c r="C122" s="39" t="inlineStr">
        <is>
          <t>Tốc độ xoay thân / tháp</t>
        </is>
      </c>
      <c r="D122" s="39" t="inlineStr">
        <is>
          <t>2 / 3</t>
        </is>
      </c>
      <c r="E122" s="49" t="inlineStr">
        <is>
          <t>Giữ</t>
        </is>
      </c>
      <c r="F122" s="39" t="n"/>
      <c r="G122" s="39" t="inlineStr">
        <is>
          <t>Hợp lý so với loại xe.</t>
        </is>
      </c>
      <c r="H122" s="39" t="n"/>
    </row>
    <row r="123" ht="15" customHeight="1" s="32">
      <c r="A123" s="41" t="inlineStr">
        <is>
          <t>mine_layer</t>
        </is>
      </c>
      <c r="B123" s="41" t="inlineStr">
        <is>
          <t>Xe rải mìn</t>
        </is>
      </c>
      <c r="C123" s="41" t="inlineStr">
        <is>
          <t>Kích thước model (dài × rộng × cao)</t>
        </is>
      </c>
      <c r="D123" s="41" t="inlineStr">
        <is>
          <t>6.6 × 2.6 × 3.0</t>
        </is>
      </c>
      <c r="E123" s="49" t="inlineStr">
        <is>
          <t>Giữ</t>
        </is>
      </c>
      <c r="F123" s="41" t="n"/>
      <c r="G123" s="41" t="inlineStr">
        <is>
          <t>Khớp tỷ lệ chung (mẫu thật 9.3 m).</t>
        </is>
      </c>
      <c r="H123" s="41" t="n"/>
    </row>
    <row r="124" ht="15" customHeight="1" s="32">
      <c r="A124" s="39" t="inlineStr">
        <is>
          <t>mine_layer</t>
        </is>
      </c>
      <c r="B124" s="39" t="inlineStr">
        <is>
          <t>Xe rải mìn</t>
        </is>
      </c>
      <c r="C124" s="39" t="inlineStr">
        <is>
          <t>Tầm nhìn</t>
        </is>
      </c>
      <c r="D124" s="42" t="n">
        <v>30</v>
      </c>
      <c r="E124" s="49" t="inlineStr">
        <is>
          <t>Giữ</t>
        </is>
      </c>
      <c r="F124" s="39" t="n"/>
      <c r="G124" s="39" t="inlineStr">
        <is>
          <t>Khớp vai trò.</t>
        </is>
      </c>
      <c r="H124" s="39" t="n"/>
    </row>
    <row r="125" ht="15" customHeight="1" s="32">
      <c r="A125" s="41" t="inlineStr">
        <is>
          <t>mine_layer</t>
        </is>
      </c>
      <c r="B125" s="41" t="inlineStr">
        <is>
          <t>Xe rải mìn</t>
        </is>
      </c>
      <c r="C125" s="41" t="inlineStr">
        <is>
          <t>Tầm bắn</t>
        </is>
      </c>
      <c r="D125" s="41" t="inlineStr">
        <is>
          <t>15</t>
        </is>
      </c>
      <c r="E125" s="49" t="inlineStr">
        <is>
          <t>Giữ</t>
        </is>
      </c>
      <c r="F125" s="41" t="n"/>
      <c r="G125" s="41" t="inlineStr">
        <is>
          <t>Thứ tự tầm hợp lý trong nhóm.</t>
        </is>
      </c>
      <c r="H125" s="41" t="n"/>
    </row>
    <row r="126" ht="15" customHeight="1" s="32">
      <c r="A126" s="39" t="inlineStr">
        <is>
          <t>mine_layer</t>
        </is>
      </c>
      <c r="B126" s="39" t="inlineStr">
        <is>
          <t>Xe rải mìn</t>
        </is>
      </c>
      <c r="C126" s="39" t="inlineStr">
        <is>
          <t>Giá (CP)</t>
        </is>
      </c>
      <c r="D126" s="42" t="n">
        <v>5</v>
      </c>
      <c r="E126" s="49" t="inlineStr">
        <is>
          <t>Giữ</t>
        </is>
      </c>
      <c r="F126" s="39" t="n"/>
      <c r="G126" s="39" t="inlineStr">
        <is>
          <t>Hiệu quả trong khoảng ±25% trung vị, thứ tự giá hợp ngoài đời (sheet Giá CP).</t>
        </is>
      </c>
      <c r="H126" s="39" t="n"/>
    </row>
    <row r="127" ht="15" customHeight="1" s="32">
      <c r="A127" s="41" t="inlineStr">
        <is>
          <t>mine_layer</t>
        </is>
      </c>
      <c r="B127" s="41" t="inlineStr">
        <is>
          <t>Xe rải mìn</t>
        </is>
      </c>
      <c r="C127" s="41" t="inlineStr">
        <is>
          <t>Vũ khí</t>
        </is>
      </c>
      <c r="D127" s="43" t="n">
        <v>1</v>
      </c>
      <c r="E127" s="49" t="inlineStr">
        <is>
          <t>Giữ</t>
        </is>
      </c>
      <c r="F127" s="41" t="n"/>
      <c r="G127" s="41" t="inlineStr">
        <is>
          <t>Bộ vũ khí khớp mẫu thật và vai trò.</t>
        </is>
      </c>
      <c r="H127" s="41" t="n"/>
    </row>
    <row r="128" ht="21.75" customHeight="1" s="32">
      <c r="A128" s="39" t="inlineStr">
        <is>
          <t>mine_layer</t>
        </is>
      </c>
      <c r="B128" s="39" t="inlineStr">
        <is>
          <t>Xe rải mìn</t>
        </is>
      </c>
      <c r="C128" s="39" t="inlineStr">
        <is>
          <t>Hành vi</t>
        </is>
      </c>
      <c r="D128" s="39" t="inlineStr">
        <is>
          <t xml:space="preserve">Đi sau tuyến đầu, cạnh các xe nó phục vụ                                        </t>
        </is>
      </c>
      <c r="E128" s="49" t="inlineStr">
        <is>
          <t>Giữ</t>
        </is>
      </c>
      <c r="F128" s="39" t="n"/>
      <c r="G128" s="39" t="inlineStr">
        <is>
          <t>Hợp vai trò.</t>
        </is>
      </c>
      <c r="H128" s="39" t="n"/>
    </row>
    <row r="129" ht="15" customHeight="1" s="32">
      <c r="A129" s="41" t="inlineStr">
        <is>
          <t>mine_layer</t>
        </is>
      </c>
      <c r="B129" s="41" t="inlineStr">
        <is>
          <t>Xe rải mìn</t>
        </is>
      </c>
      <c r="C129" s="41" t="inlineStr">
        <is>
          <t>Nổ khi bị phá (bán kính)</t>
        </is>
      </c>
      <c r="D129" s="41" t="inlineStr">
        <is>
          <t>8 m · 280 sát thương</t>
        </is>
      </c>
      <c r="E129" s="49" t="inlineStr">
        <is>
          <t>Giữ</t>
        </is>
      </c>
      <c r="F129" s="41" t="n"/>
      <c r="G129" s="41" t="inlineStr">
        <is>
          <t>Hợp với cỡ xe.</t>
        </is>
      </c>
      <c r="H129" s="41" t="n"/>
    </row>
    <row r="130" ht="21.75" customHeight="1" s="32">
      <c r="A130" s="39" t="inlineStr">
        <is>
          <t>mine_layer</t>
        </is>
      </c>
      <c r="B130" s="39" t="inlineStr">
        <is>
          <t>Xe rải mìn</t>
        </is>
      </c>
      <c r="C130" s="39" t="inlineStr">
        <is>
          <t>Tham khảo / model</t>
        </is>
      </c>
      <c r="D130" s="39" t="inlineStr">
        <is>
          <t>GMZ-3, MT-LB — Xe rải mìn bánh xích, máng thả mìn phía sau</t>
        </is>
      </c>
      <c r="E130" s="49" t="inlineStr">
        <is>
          <t>Giữ</t>
        </is>
      </c>
      <c r="F130" s="39" t="n"/>
      <c r="G130" s="39" t="inlineStr">
        <is>
          <t>Khớp vũ khí và vai trò.</t>
        </is>
      </c>
      <c r="H130" s="39" t="n"/>
    </row>
    <row r="131" ht="15" customHeight="1" s="32">
      <c r="A131" s="41" t="inlineStr">
        <is>
          <t>command_vehicle</t>
        </is>
      </c>
      <c r="B131" s="41" t="inlineStr">
        <is>
          <t>Xe chỉ huy</t>
        </is>
      </c>
      <c r="C131" s="41" t="inlineStr">
        <is>
          <t>Tên</t>
        </is>
      </c>
      <c r="D131" s="41" t="inlineStr">
        <is>
          <t>Xe chỉ huy</t>
        </is>
      </c>
      <c r="E131" s="49" t="inlineStr">
        <is>
          <t>Giữ</t>
        </is>
      </c>
      <c r="F131" s="41" t="inlineStr">
        <is>
          <t>Xe chỉ huy · ngắn: Chỉ huy · EN: Command Vehicle</t>
        </is>
      </c>
      <c r="G131" s="41" t="inlineStr">
        <is>
          <t>Giữ.</t>
        </is>
      </c>
      <c r="H131" s="41" t="n"/>
    </row>
    <row r="132" ht="15" customHeight="1" s="32">
      <c r="A132" s="39" t="inlineStr">
        <is>
          <t>command_vehicle</t>
        </is>
      </c>
      <c r="B132" s="39" t="inlineStr">
        <is>
          <t>Xe chỉ huy</t>
        </is>
      </c>
      <c r="C132" s="39" t="inlineStr">
        <is>
          <t>Máu</t>
        </is>
      </c>
      <c r="D132" s="42" t="n">
        <v>1232</v>
      </c>
      <c r="E132" s="49" t="inlineStr">
        <is>
          <t>Giữ</t>
        </is>
      </c>
      <c r="F132" s="39" t="n"/>
      <c r="G132" s="39" t="inlineStr">
        <is>
          <t>Máu/CP 1.05 × trung vị lớp Hỗ trợ.</t>
        </is>
      </c>
      <c r="H132" s="39" t="n"/>
    </row>
    <row r="133" ht="15" customHeight="1" s="32">
      <c r="A133" s="41" t="inlineStr">
        <is>
          <t>command_vehicle</t>
        </is>
      </c>
      <c r="B133" s="41" t="inlineStr">
        <is>
          <t>Xe chỉ huy</t>
        </is>
      </c>
      <c r="C133" s="41" t="inlineStr">
        <is>
          <t>Giáp (T/H/S/N)</t>
        </is>
      </c>
      <c r="D133" s="41" t="inlineStr">
        <is>
          <t>2/1/0/0</t>
        </is>
      </c>
      <c r="E133" s="47" t="inlineStr">
        <is>
          <t>Đổi</t>
        </is>
      </c>
      <c r="F133" s="41" t="inlineStr">
        <is>
          <t>1/1/0/0</t>
        </is>
      </c>
      <c r="G133" s="41" t="inlineStr">
        <is>
          <t>Stryker bọc thép nhẹ.</t>
        </is>
      </c>
      <c r="H133" s="48" t="inlineStr">
        <is>
          <t>Trung</t>
        </is>
      </c>
    </row>
    <row r="134" ht="15" customHeight="1" s="32">
      <c r="A134" s="39" t="inlineStr">
        <is>
          <t>command_vehicle</t>
        </is>
      </c>
      <c r="B134" s="39" t="inlineStr">
        <is>
          <t>Xe chỉ huy</t>
        </is>
      </c>
      <c r="C134" s="39" t="inlineStr">
        <is>
          <t>Tốc độ</t>
        </is>
      </c>
      <c r="D134" s="42" t="n">
        <v>8</v>
      </c>
      <c r="E134" s="49" t="inlineStr">
        <is>
          <t>Giữ</t>
        </is>
      </c>
      <c r="F134" s="39" t="n"/>
      <c r="G134" s="39" t="inlineStr">
        <is>
          <t>Gần tốc độ thật × hệ số nén (10.8).</t>
        </is>
      </c>
      <c r="H134" s="39" t="n"/>
    </row>
    <row r="135" ht="15" customHeight="1" s="32">
      <c r="A135" s="41" t="inlineStr">
        <is>
          <t>command_vehicle</t>
        </is>
      </c>
      <c r="B135" s="41" t="inlineStr">
        <is>
          <t>Xe chỉ huy</t>
        </is>
      </c>
      <c r="C135" s="41" t="inlineStr">
        <is>
          <t>Tốc độ xoay thân / tháp</t>
        </is>
      </c>
      <c r="D135" s="41" t="inlineStr">
        <is>
          <t>2 / 3</t>
        </is>
      </c>
      <c r="E135" s="49" t="inlineStr">
        <is>
          <t>Giữ</t>
        </is>
      </c>
      <c r="F135" s="41" t="n"/>
      <c r="G135" s="41" t="inlineStr">
        <is>
          <t>Hợp lý so với loại xe.</t>
        </is>
      </c>
      <c r="H135" s="41" t="n"/>
    </row>
    <row r="136" ht="21.75" customHeight="1" s="32">
      <c r="A136" s="39" t="inlineStr">
        <is>
          <t>command_vehicle</t>
        </is>
      </c>
      <c r="B136" s="39" t="inlineStr">
        <is>
          <t>Xe chỉ huy</t>
        </is>
      </c>
      <c r="C136" s="39" t="inlineStr">
        <is>
          <t>Kích thước model (dài × rộng × cao)</t>
        </is>
      </c>
      <c r="D136" s="39" t="inlineStr">
        <is>
          <t>6.7 × 2.5 × 4.7</t>
        </is>
      </c>
      <c r="E136" s="47" t="inlineStr">
        <is>
          <t>Đổi</t>
        </is>
      </c>
      <c r="F136" s="39" t="inlineStr">
        <is>
          <t>5.6 × 2.2 × 2.1</t>
        </is>
      </c>
      <c r="G136" s="39" t="inlineStr">
        <is>
          <t>Mẫu thật Stryker CV: 6.95 × 2.72 m; theo tỷ lệ chung (mặt đất 0,8) nên là 5.6 × 2.2 m. Đổi kích thước thì chỉnh vùng va chạm và chạy lại test xe kẹt.</t>
        </is>
      </c>
      <c r="H136" s="49" t="inlineStr">
        <is>
          <t>Thấp</t>
        </is>
      </c>
    </row>
    <row r="137" ht="15" customHeight="1" s="32">
      <c r="A137" s="41" t="inlineStr">
        <is>
          <t>command_vehicle</t>
        </is>
      </c>
      <c r="B137" s="41" t="inlineStr">
        <is>
          <t>Xe chỉ huy</t>
        </is>
      </c>
      <c r="C137" s="41" t="inlineStr">
        <is>
          <t>Tầm nhìn</t>
        </is>
      </c>
      <c r="D137" s="43" t="n">
        <v>44</v>
      </c>
      <c r="E137" s="49" t="inlineStr">
        <is>
          <t>Giữ</t>
        </is>
      </c>
      <c r="F137" s="41" t="n"/>
      <c r="G137" s="41" t="inlineStr">
        <is>
          <t>Khớp vai trò.</t>
        </is>
      </c>
      <c r="H137" s="41" t="n"/>
    </row>
    <row r="138" ht="15" customHeight="1" s="32">
      <c r="A138" s="39" t="inlineStr">
        <is>
          <t>command_vehicle</t>
        </is>
      </c>
      <c r="B138" s="39" t="inlineStr">
        <is>
          <t>Xe chỉ huy</t>
        </is>
      </c>
      <c r="C138" s="39" t="inlineStr">
        <is>
          <t>Tầm bắn</t>
        </is>
      </c>
      <c r="D138" s="39" t="inlineStr">
        <is>
          <t>15</t>
        </is>
      </c>
      <c r="E138" s="49" t="inlineStr">
        <is>
          <t>Giữ</t>
        </is>
      </c>
      <c r="F138" s="39" t="n"/>
      <c r="G138" s="39" t="inlineStr">
        <is>
          <t>Thứ tự tầm hợp lý trong nhóm.</t>
        </is>
      </c>
      <c r="H138" s="39" t="n"/>
    </row>
    <row r="139" ht="15" customHeight="1" s="32">
      <c r="A139" s="41" t="inlineStr">
        <is>
          <t>command_vehicle</t>
        </is>
      </c>
      <c r="B139" s="41" t="inlineStr">
        <is>
          <t>Xe chỉ huy</t>
        </is>
      </c>
      <c r="C139" s="41" t="inlineStr">
        <is>
          <t>Giá (CP)</t>
        </is>
      </c>
      <c r="D139" s="43" t="n">
        <v>6</v>
      </c>
      <c r="E139" s="49" t="inlineStr">
        <is>
          <t>Giữ</t>
        </is>
      </c>
      <c r="F139" s="41" t="n"/>
      <c r="G139" s="41" t="inlineStr">
        <is>
          <t>Hiệu quả trong khoảng ±25% trung vị, thứ tự giá hợp ngoài đời (sheet Giá CP).</t>
        </is>
      </c>
      <c r="H139" s="41" t="n"/>
    </row>
    <row r="140" ht="15" customHeight="1" s="32">
      <c r="A140" s="39" t="inlineStr">
        <is>
          <t>command_vehicle</t>
        </is>
      </c>
      <c r="B140" s="39" t="inlineStr">
        <is>
          <t>Xe chỉ huy</t>
        </is>
      </c>
      <c r="C140" s="39" t="inlineStr">
        <is>
          <t>Vũ khí</t>
        </is>
      </c>
      <c r="D140" s="42" t="n">
        <v>1</v>
      </c>
      <c r="E140" s="49" t="inlineStr">
        <is>
          <t>Giữ</t>
        </is>
      </c>
      <c r="F140" s="39" t="n"/>
      <c r="G140" s="39" t="inlineStr">
        <is>
          <t>Bộ vũ khí khớp mẫu thật và vai trò.</t>
        </is>
      </c>
      <c r="H140" s="39" t="n"/>
    </row>
    <row r="141" ht="32.25" customHeight="1" s="32">
      <c r="A141" s="41" t="inlineStr">
        <is>
          <t>command_vehicle</t>
        </is>
      </c>
      <c r="B141" s="41" t="inlineStr">
        <is>
          <t>Xe chỉ huy</t>
        </is>
      </c>
      <c r="C141" s="41" t="inlineStr">
        <is>
          <t>Hành vi</t>
        </is>
      </c>
      <c r="D141" s="41" t="inlineStr">
        <is>
          <t>Đi sau tuyến đầu, cạnh các xe nó phục vụ; Bắn hết 28 viên thì thay băng; Xe phát</t>
        </is>
      </c>
      <c r="E141" s="49" t="inlineStr">
        <is>
          <t>Giữ</t>
        </is>
      </c>
      <c r="F141" s="41" t="n"/>
      <c r="G141" s="41" t="inlineStr">
        <is>
          <t>Hợp vai trò.</t>
        </is>
      </c>
      <c r="H141" s="41" t="n"/>
    </row>
    <row r="142" ht="15" customHeight="1" s="32">
      <c r="A142" s="39" t="inlineStr">
        <is>
          <t>command_vehicle</t>
        </is>
      </c>
      <c r="B142" s="39" t="inlineStr">
        <is>
          <t>Xe chỉ huy</t>
        </is>
      </c>
      <c r="C142" s="39" t="inlineStr">
        <is>
          <t>Nổ khi bị phá (bán kính)</t>
        </is>
      </c>
      <c r="D142" s="39" t="inlineStr">
        <is>
          <t>6 m · 140 sát thương</t>
        </is>
      </c>
      <c r="E142" s="49" t="inlineStr">
        <is>
          <t>Giữ</t>
        </is>
      </c>
      <c r="F142" s="39" t="n"/>
      <c r="G142" s="39" t="inlineStr">
        <is>
          <t>Hợp với cỡ xe.</t>
        </is>
      </c>
      <c r="H142" s="39" t="n"/>
    </row>
    <row r="143" ht="32.25" customHeight="1" s="32">
      <c r="A143" s="41" t="inlineStr">
        <is>
          <t>command_vehicle</t>
        </is>
      </c>
      <c r="B143" s="41" t="inlineStr">
        <is>
          <t>Xe chỉ huy</t>
        </is>
      </c>
      <c r="C143" s="41" t="inlineStr">
        <is>
          <t>Tham khảo / model</t>
        </is>
      </c>
      <c r="D143" s="41" t="inlineStr">
        <is>
          <t>M1130 Stryker CV, BTR-80 KShM, LAV-C2 — Xe chỉ huy 8x8, cột ăng-ten kính viễn vọng gập</t>
        </is>
      </c>
      <c r="E143" s="49" t="inlineStr">
        <is>
          <t>Giữ</t>
        </is>
      </c>
      <c r="F143" s="41" t="n"/>
      <c r="G143" s="41" t="inlineStr">
        <is>
          <t>Khớp vũ khí và vai trò.</t>
        </is>
      </c>
      <c r="H143" s="41" t="n"/>
    </row>
    <row r="144" ht="15" customHeight="1" s="32">
      <c r="A144" s="39" t="inlineStr">
        <is>
          <t>shield_carrier</t>
        </is>
      </c>
      <c r="B144" s="39" t="inlineStr">
        <is>
          <t>Xe phát khiên</t>
        </is>
      </c>
      <c r="C144" s="39" t="inlineStr">
        <is>
          <t>Tên</t>
        </is>
      </c>
      <c r="D144" s="39" t="inlineStr">
        <is>
          <t>Xe phát khiên</t>
        </is>
      </c>
      <c r="E144" s="49" t="inlineStr">
        <is>
          <t>Giữ</t>
        </is>
      </c>
      <c r="F144" s="39" t="inlineStr">
        <is>
          <t>Xe phát khiên · ngắn: Phát khiên · EN: Shield Carrier</t>
        </is>
      </c>
      <c r="G144" s="39" t="inlineStr">
        <is>
          <t>Giữ.</t>
        </is>
      </c>
      <c r="H144" s="39" t="n"/>
    </row>
    <row r="145" ht="15" customHeight="1" s="32">
      <c r="A145" s="41" t="inlineStr">
        <is>
          <t>shield_carrier</t>
        </is>
      </c>
      <c r="B145" s="41" t="inlineStr">
        <is>
          <t>Xe phát khiên</t>
        </is>
      </c>
      <c r="C145" s="41" t="inlineStr">
        <is>
          <t>Máu</t>
        </is>
      </c>
      <c r="D145" s="43" t="n">
        <v>1056</v>
      </c>
      <c r="E145" s="49" t="inlineStr">
        <is>
          <t>Giữ</t>
        </is>
      </c>
      <c r="F145" s="41" t="n"/>
      <c r="G145" s="41" t="inlineStr">
        <is>
          <t>Máu/CP 0.77 × trung vị lớp Hỗ trợ.</t>
        </is>
      </c>
      <c r="H145" s="41" t="n"/>
    </row>
    <row r="146" ht="15" customHeight="1" s="32">
      <c r="A146" s="39" t="inlineStr">
        <is>
          <t>shield_carrier</t>
        </is>
      </c>
      <c r="B146" s="39" t="inlineStr">
        <is>
          <t>Xe phát khiên</t>
        </is>
      </c>
      <c r="C146" s="39" t="inlineStr">
        <is>
          <t>Giáp (T/H/S/N)</t>
        </is>
      </c>
      <c r="D146" s="39" t="inlineStr">
        <is>
          <t>1/0/0/0</t>
        </is>
      </c>
      <c r="E146" s="49" t="inlineStr">
        <is>
          <t>Giữ</t>
        </is>
      </c>
      <c r="F146" s="39" t="n"/>
      <c r="G146" s="39" t="inlineStr">
        <is>
          <t>Giả tưởng / máy bay; khớp vai trò.</t>
        </is>
      </c>
      <c r="H146" s="39" t="n"/>
    </row>
    <row r="147" ht="15" customHeight="1" s="32">
      <c r="A147" s="41" t="inlineStr">
        <is>
          <t>shield_carrier</t>
        </is>
      </c>
      <c r="B147" s="41" t="inlineStr">
        <is>
          <t>Xe phát khiên</t>
        </is>
      </c>
      <c r="C147" s="41" t="inlineStr">
        <is>
          <t>Tốc độ</t>
        </is>
      </c>
      <c r="D147" s="43" t="n">
        <v>8.5</v>
      </c>
      <c r="E147" s="49" t="inlineStr">
        <is>
          <t>Giữ</t>
        </is>
      </c>
      <c r="F147" s="41" t="n"/>
      <c r="G147" s="41" t="inlineStr">
        <is>
          <t>Gần tốc độ thật × hệ số nén (11.4).</t>
        </is>
      </c>
      <c r="H147" s="41" t="n"/>
    </row>
    <row r="148" ht="15" customHeight="1" s="32">
      <c r="A148" s="39" t="inlineStr">
        <is>
          <t>shield_carrier</t>
        </is>
      </c>
      <c r="B148" s="39" t="inlineStr">
        <is>
          <t>Xe phát khiên</t>
        </is>
      </c>
      <c r="C148" s="39" t="inlineStr">
        <is>
          <t>Tốc độ xoay thân / tháp</t>
        </is>
      </c>
      <c r="D148" s="39" t="inlineStr">
        <is>
          <t>2 / 3</t>
        </is>
      </c>
      <c r="E148" s="49" t="inlineStr">
        <is>
          <t>Giữ</t>
        </is>
      </c>
      <c r="F148" s="39" t="n"/>
      <c r="G148" s="39" t="inlineStr">
        <is>
          <t>Hợp lý so với loại xe.</t>
        </is>
      </c>
      <c r="H148" s="39" t="n"/>
    </row>
    <row r="149" ht="15" customHeight="1" s="32">
      <c r="A149" s="41" t="inlineStr">
        <is>
          <t>shield_carrier</t>
        </is>
      </c>
      <c r="B149" s="41" t="inlineStr">
        <is>
          <t>Xe phát khiên</t>
        </is>
      </c>
      <c r="C149" s="41" t="inlineStr">
        <is>
          <t>Kích thước model (dài × rộng × cao)</t>
        </is>
      </c>
      <c r="D149" s="41" t="inlineStr">
        <is>
          <t>7.4 × 2.5 × 5.3</t>
        </is>
      </c>
      <c r="E149" s="49" t="inlineStr">
        <is>
          <t>Giữ</t>
        </is>
      </c>
      <c r="F149" s="41" t="n"/>
      <c r="G149" s="41" t="inlineStr">
        <is>
          <t>Khớp tỷ lệ chung (mẫu thật 7.9 m).</t>
        </is>
      </c>
      <c r="H149" s="41" t="n"/>
    </row>
    <row r="150" ht="15" customHeight="1" s="32">
      <c r="A150" s="39" t="inlineStr">
        <is>
          <t>shield_carrier</t>
        </is>
      </c>
      <c r="B150" s="39" t="inlineStr">
        <is>
          <t>Xe phát khiên</t>
        </is>
      </c>
      <c r="C150" s="39" t="inlineStr">
        <is>
          <t>Tầm nhìn</t>
        </is>
      </c>
      <c r="D150" s="42" t="n">
        <v>36</v>
      </c>
      <c r="E150" s="49" t="inlineStr">
        <is>
          <t>Giữ</t>
        </is>
      </c>
      <c r="F150" s="39" t="n"/>
      <c r="G150" s="39" t="inlineStr">
        <is>
          <t>Khớp vai trò.</t>
        </is>
      </c>
      <c r="H150" s="39" t="n"/>
    </row>
    <row r="151" ht="15" customHeight="1" s="32">
      <c r="A151" s="41" t="inlineStr">
        <is>
          <t>shield_carrier</t>
        </is>
      </c>
      <c r="B151" s="41" t="inlineStr">
        <is>
          <t>Xe phát khiên</t>
        </is>
      </c>
      <c r="C151" s="41" t="inlineStr">
        <is>
          <t>Tầm bắn</t>
        </is>
      </c>
      <c r="D151" s="41" t="inlineStr">
        <is>
          <t>15</t>
        </is>
      </c>
      <c r="E151" s="49" t="inlineStr">
        <is>
          <t>Giữ</t>
        </is>
      </c>
      <c r="F151" s="41" t="n"/>
      <c r="G151" s="41" t="inlineStr">
        <is>
          <t>Thứ tự tầm hợp lý trong nhóm.</t>
        </is>
      </c>
      <c r="H151" s="41" t="n"/>
    </row>
    <row r="152" ht="15" customHeight="1" s="32">
      <c r="A152" s="39" t="inlineStr">
        <is>
          <t>shield_carrier</t>
        </is>
      </c>
      <c r="B152" s="39" t="inlineStr">
        <is>
          <t>Xe phát khiên</t>
        </is>
      </c>
      <c r="C152" s="39" t="inlineStr">
        <is>
          <t>Giá (CP)</t>
        </is>
      </c>
      <c r="D152" s="42" t="n">
        <v>7</v>
      </c>
      <c r="E152" s="49" t="inlineStr">
        <is>
          <t>Giữ</t>
        </is>
      </c>
      <c r="F152" s="39" t="n"/>
      <c r="G152" s="39" t="inlineStr">
        <is>
          <t>Hiệu quả trong khoảng ±25% trung vị, thứ tự giá hợp ngoài đời (sheet Giá CP).</t>
        </is>
      </c>
      <c r="H152" s="39" t="n"/>
    </row>
    <row r="153" ht="15" customHeight="1" s="32">
      <c r="A153" s="41" t="inlineStr">
        <is>
          <t>shield_carrier</t>
        </is>
      </c>
      <c r="B153" s="41" t="inlineStr">
        <is>
          <t>Xe phát khiên</t>
        </is>
      </c>
      <c r="C153" s="41" t="inlineStr">
        <is>
          <t>Vũ khí</t>
        </is>
      </c>
      <c r="D153" s="43" t="n">
        <v>1</v>
      </c>
      <c r="E153" s="49" t="inlineStr">
        <is>
          <t>Giữ</t>
        </is>
      </c>
      <c r="F153" s="41" t="n"/>
      <c r="G153" s="41" t="inlineStr">
        <is>
          <t>Bộ vũ khí khớp mẫu thật và vai trò.</t>
        </is>
      </c>
      <c r="H153" s="41" t="n"/>
    </row>
    <row r="154" ht="32.25" customHeight="1" s="32">
      <c r="A154" s="39" t="inlineStr">
        <is>
          <t>shield_carrier</t>
        </is>
      </c>
      <c r="B154" s="39" t="inlineStr">
        <is>
          <t>Xe phát khiên</t>
        </is>
      </c>
      <c r="C154" s="39" t="inlineStr">
        <is>
          <t>Hành vi</t>
        </is>
      </c>
      <c r="D154" s="39" t="inlineStr">
        <is>
          <t>Đi sau tuyến đầu, cạnh các xe nó phục vụ; Bắn hết 28 viên thì thay băng; Vòm khi</t>
        </is>
      </c>
      <c r="E154" s="49" t="inlineStr">
        <is>
          <t>Giữ</t>
        </is>
      </c>
      <c r="F154" s="39" t="n"/>
      <c r="G154" s="39" t="inlineStr">
        <is>
          <t>Hợp vai trò.</t>
        </is>
      </c>
      <c r="H154" s="39" t="n"/>
    </row>
    <row r="155" ht="15" customHeight="1" s="32">
      <c r="A155" s="41" t="inlineStr">
        <is>
          <t>shield_carrier</t>
        </is>
      </c>
      <c r="B155" s="41" t="inlineStr">
        <is>
          <t>Xe phát khiên</t>
        </is>
      </c>
      <c r="C155" s="41" t="inlineStr">
        <is>
          <t>Nổ khi bị phá (bán kính)</t>
        </is>
      </c>
      <c r="D155" s="41" t="inlineStr">
        <is>
          <t>7 m · 180 sát thương</t>
        </is>
      </c>
      <c r="E155" s="49" t="inlineStr">
        <is>
          <t>Giữ</t>
        </is>
      </c>
      <c r="F155" s="41" t="n"/>
      <c r="G155" s="41" t="inlineStr">
        <is>
          <t>Hợp với cỡ xe.</t>
        </is>
      </c>
      <c r="H155" s="41" t="n"/>
    </row>
    <row r="156" ht="32.25" customHeight="1" s="32">
      <c r="A156" s="39" t="inlineStr">
        <is>
          <t>shield_carrier</t>
        </is>
      </c>
      <c r="B156" s="39" t="inlineStr">
        <is>
          <t>Xe phát khiên</t>
        </is>
      </c>
      <c r="C156" s="39" t="inlineStr">
        <is>
          <t>Tham khảo / model</t>
        </is>
      </c>
      <c r="D156" s="39" t="inlineStr">
        <is>
          <t xml:space="preserve">xe 8x8 kiểu Boxer / Stryker · Shield Battery (StarCraft II), Bubble Shield (Halo 3) — ước </t>
        </is>
      </c>
      <c r="E156" s="49" t="inlineStr">
        <is>
          <t>Giữ</t>
        </is>
      </c>
      <c r="F156" s="39" t="n"/>
      <c r="G156" s="39" t="inlineStr">
        <is>
          <t>Khớp vũ khí và vai trò.</t>
        </is>
      </c>
      <c r="H156" s="39" t="n"/>
    </row>
    <row r="157" ht="15" customHeight="1" s="32">
      <c r="A157" s="41" t="inlineStr">
        <is>
          <t>scout_jeep</t>
        </is>
      </c>
      <c r="B157" s="41" t="inlineStr">
        <is>
          <t>Xe trinh sát</t>
        </is>
      </c>
      <c r="C157" s="41" t="inlineStr">
        <is>
          <t>Tên</t>
        </is>
      </c>
      <c r="D157" s="41" t="inlineStr">
        <is>
          <t>Xe trinh sát</t>
        </is>
      </c>
      <c r="E157" s="47" t="inlineStr">
        <is>
          <t>Đổi</t>
        </is>
      </c>
      <c r="F157" s="41" t="inlineStr">
        <is>
          <t>Xe trinh sát hạng nhẹ · ngắn: Trinh sát · EN: Scout Jeep</t>
        </is>
      </c>
      <c r="G157" s="41" t="inlineStr">
        <is>
          <t>Phân biệt với xe trinh sát radar nếu thêm sau này.</t>
        </is>
      </c>
      <c r="H157" s="49" t="inlineStr">
        <is>
          <t>Thấp</t>
        </is>
      </c>
    </row>
    <row r="158" ht="15" customHeight="1" s="32">
      <c r="A158" s="39" t="inlineStr">
        <is>
          <t>scout_jeep</t>
        </is>
      </c>
      <c r="B158" s="39" t="inlineStr">
        <is>
          <t>Xe trinh sát</t>
        </is>
      </c>
      <c r="C158" s="39" t="inlineStr">
        <is>
          <t>Máu</t>
        </is>
      </c>
      <c r="D158" s="42" t="n">
        <v>264</v>
      </c>
      <c r="E158" s="49" t="inlineStr">
        <is>
          <t>Giữ</t>
        </is>
      </c>
      <c r="F158" s="39" t="n"/>
      <c r="G158" s="39" t="inlineStr">
        <is>
          <t>Máu/CP 0.82 × trung vị lớp Trinh sát.</t>
        </is>
      </c>
      <c r="H158" s="39" t="n"/>
    </row>
    <row r="159" ht="15" customHeight="1" s="32">
      <c r="A159" s="41" t="inlineStr">
        <is>
          <t>scout_jeep</t>
        </is>
      </c>
      <c r="B159" s="41" t="inlineStr">
        <is>
          <t>Xe trinh sát</t>
        </is>
      </c>
      <c r="C159" s="41" t="inlineStr">
        <is>
          <t>Giáp (T/H/S/N)</t>
        </is>
      </c>
      <c r="D159" s="41" t="inlineStr">
        <is>
          <t>cấp 0 (Không giáp)</t>
        </is>
      </c>
      <c r="E159" s="49" t="inlineStr">
        <is>
          <t>Giữ</t>
        </is>
      </c>
      <c r="F159" s="41" t="n"/>
      <c r="G159" s="41" t="inlineStr">
        <is>
          <t>Khớp mẫu thật theo thang 0–4.</t>
        </is>
      </c>
      <c r="H159" s="41" t="n"/>
    </row>
    <row r="160" ht="15" customHeight="1" s="32">
      <c r="A160" s="39" t="inlineStr">
        <is>
          <t>scout_jeep</t>
        </is>
      </c>
      <c r="B160" s="39" t="inlineStr">
        <is>
          <t>Xe trinh sát</t>
        </is>
      </c>
      <c r="C160" s="39" t="inlineStr">
        <is>
          <t>Tốc độ</t>
        </is>
      </c>
      <c r="D160" s="42" t="n">
        <v>12</v>
      </c>
      <c r="E160" s="49" t="inlineStr">
        <is>
          <t>Giữ</t>
        </is>
      </c>
      <c r="F160" s="39" t="n"/>
      <c r="G160" s="39" t="inlineStr">
        <is>
          <t>Gần tốc độ thật × hệ số nén (11.7).</t>
        </is>
      </c>
      <c r="H160" s="39" t="n"/>
    </row>
    <row r="161" ht="15" customHeight="1" s="32">
      <c r="A161" s="41" t="inlineStr">
        <is>
          <t>scout_jeep</t>
        </is>
      </c>
      <c r="B161" s="41" t="inlineStr">
        <is>
          <t>Xe trinh sát</t>
        </is>
      </c>
      <c r="C161" s="41" t="inlineStr">
        <is>
          <t>Tốc độ xoay thân / tháp</t>
        </is>
      </c>
      <c r="D161" s="41" t="inlineStr">
        <is>
          <t>3 / 6</t>
        </is>
      </c>
      <c r="E161" s="49" t="inlineStr">
        <is>
          <t>Giữ</t>
        </is>
      </c>
      <c r="F161" s="41" t="n"/>
      <c r="G161" s="41" t="inlineStr">
        <is>
          <t>Hợp lý so với loại xe.</t>
        </is>
      </c>
      <c r="H161" s="41" t="n"/>
    </row>
    <row r="162" ht="21.75" customHeight="1" s="32">
      <c r="A162" s="39" t="inlineStr">
        <is>
          <t>scout_jeep</t>
        </is>
      </c>
      <c r="B162" s="39" t="inlineStr">
        <is>
          <t>Xe trinh sát</t>
        </is>
      </c>
      <c r="C162" s="39" t="inlineStr">
        <is>
          <t>Kích thước model (dài × rộng × cao)</t>
        </is>
      </c>
      <c r="D162" s="39" t="inlineStr">
        <is>
          <t>3.7 × 1.9 × 2.0</t>
        </is>
      </c>
      <c r="E162" s="47" t="inlineStr">
        <is>
          <t>Đổi</t>
        </is>
      </c>
      <c r="F162" s="39" t="inlineStr">
        <is>
          <t>2.7 × 1.3 × 1.4</t>
        </is>
      </c>
      <c r="G162" s="39" t="inlineStr">
        <is>
          <t>Mẫu thật M151 / LRV: 3.4 × 1.6 m; theo tỷ lệ chung (mặt đất 0,8) nên là 2.7 × 1.3 m. Đổi kích thước thì chỉnh vùng va chạm và chạy lại test xe kẹt.</t>
        </is>
      </c>
      <c r="H162" s="48" t="inlineStr">
        <is>
          <t>Trung</t>
        </is>
      </c>
    </row>
    <row r="163" ht="15" customHeight="1" s="32">
      <c r="A163" s="41" t="inlineStr">
        <is>
          <t>scout_jeep</t>
        </is>
      </c>
      <c r="B163" s="41" t="inlineStr">
        <is>
          <t>Xe trinh sát</t>
        </is>
      </c>
      <c r="C163" s="41" t="inlineStr">
        <is>
          <t>Tầm nhìn</t>
        </is>
      </c>
      <c r="D163" s="43" t="n">
        <v>35</v>
      </c>
      <c r="E163" s="47" t="inlineStr">
        <is>
          <t>Đổi</t>
        </is>
      </c>
      <c r="F163" s="41" t="inlineStr">
        <is>
          <t>55 m</t>
        </is>
      </c>
      <c r="G163" s="41" t="inlineStr">
        <is>
          <t>Trinh sát đang nhìn kém xe bọc thép; không làm được việc trinh sát.</t>
        </is>
      </c>
      <c r="H163" s="47" t="inlineStr">
        <is>
          <t>Cao</t>
        </is>
      </c>
    </row>
    <row r="164" ht="15" customHeight="1" s="32">
      <c r="A164" s="39" t="inlineStr">
        <is>
          <t>scout_jeep</t>
        </is>
      </c>
      <c r="B164" s="39" t="inlineStr">
        <is>
          <t>Xe trinh sát</t>
        </is>
      </c>
      <c r="C164" s="39" t="inlineStr">
        <is>
          <t>Tầm bắn</t>
        </is>
      </c>
      <c r="D164" s="39" t="inlineStr">
        <is>
          <t>22</t>
        </is>
      </c>
      <c r="E164" s="47" t="inlineStr">
        <is>
          <t>Đổi</t>
        </is>
      </c>
      <c r="F164" s="39" t="inlineStr">
        <is>
          <t>55 m</t>
        </is>
      </c>
      <c r="G164" s="39" t="inlineStr">
        <is>
          <t>Trinh sát đang nhìn kém xe bọc thép; không làm được việc trinh sát.</t>
        </is>
      </c>
      <c r="H164" s="47" t="inlineStr">
        <is>
          <t>Cao</t>
        </is>
      </c>
    </row>
    <row r="165" ht="15" customHeight="1" s="32">
      <c r="A165" s="41" t="inlineStr">
        <is>
          <t>scout_jeep</t>
        </is>
      </c>
      <c r="B165" s="41" t="inlineStr">
        <is>
          <t>Xe trinh sát</t>
        </is>
      </c>
      <c r="C165" s="41" t="inlineStr">
        <is>
          <t>Giá (CP)</t>
        </is>
      </c>
      <c r="D165" s="43" t="n">
        <v>2</v>
      </c>
      <c r="E165" s="49" t="inlineStr">
        <is>
          <t>Giữ</t>
        </is>
      </c>
      <c r="F165" s="41" t="n"/>
      <c r="G165" s="41" t="inlineStr">
        <is>
          <t>Hiệu quả trong khoảng ±25% trung vị, thứ tự giá hợp ngoài đời (sheet Giá CP).</t>
        </is>
      </c>
      <c r="H165" s="41" t="n"/>
    </row>
    <row r="166" ht="15" customHeight="1" s="32">
      <c r="A166" s="39" t="inlineStr">
        <is>
          <t>scout_jeep</t>
        </is>
      </c>
      <c r="B166" s="39" t="inlineStr">
        <is>
          <t>Xe trinh sát</t>
        </is>
      </c>
      <c r="C166" s="39" t="inlineStr">
        <is>
          <t>Vũ khí</t>
        </is>
      </c>
      <c r="D166" s="42" t="n">
        <v>1</v>
      </c>
      <c r="E166" s="49" t="inlineStr">
        <is>
          <t>Giữ</t>
        </is>
      </c>
      <c r="F166" s="39" t="n"/>
      <c r="G166" s="39" t="inlineStr">
        <is>
          <t>Bộ vũ khí khớp mẫu thật và vai trò.</t>
        </is>
      </c>
      <c r="H166" s="39" t="n"/>
    </row>
    <row r="167" ht="15" customHeight="1" s="32">
      <c r="A167" s="41" t="inlineStr">
        <is>
          <t>scout_jeep</t>
        </is>
      </c>
      <c r="B167" s="41" t="inlineStr">
        <is>
          <t>Xe trinh sát</t>
        </is>
      </c>
      <c r="C167" s="41" t="inlineStr">
        <is>
          <t>Hành vi</t>
        </is>
      </c>
      <c r="D167" s="41" t="inlineStr">
        <is>
          <t>Không có ẩn</t>
        </is>
      </c>
      <c r="E167" s="47" t="inlineStr">
        <is>
          <t>Đổi</t>
        </is>
      </c>
      <c r="F167" s="41" t="inlineStr">
        <is>
          <t>Ẩn khi đứng yên (chỉ lộ ở 60% tầm nhìn địch), lộ khi bắn</t>
        </is>
      </c>
      <c r="G167" s="41" t="inlineStr">
        <is>
          <t>Trinh sát thật dựa vào ngụy trang và đứng quan sát.</t>
        </is>
      </c>
      <c r="H167" s="47" t="inlineStr">
        <is>
          <t>Cao</t>
        </is>
      </c>
    </row>
    <row r="168" ht="15" customHeight="1" s="32">
      <c r="A168" s="39" t="inlineStr">
        <is>
          <t>scout_jeep</t>
        </is>
      </c>
      <c r="B168" s="39" t="inlineStr">
        <is>
          <t>Xe trinh sát</t>
        </is>
      </c>
      <c r="C168" s="39" t="inlineStr">
        <is>
          <t>Nổ khi bị phá (bán kính)</t>
        </is>
      </c>
      <c r="D168" s="39" t="inlineStr">
        <is>
          <t>4 m · 60 sát thương</t>
        </is>
      </c>
      <c r="E168" s="49" t="inlineStr">
        <is>
          <t>Giữ</t>
        </is>
      </c>
      <c r="F168" s="39" t="n"/>
      <c r="G168" s="39" t="inlineStr">
        <is>
          <t>Hợp với cỡ xe.</t>
        </is>
      </c>
      <c r="H168" s="39" t="n"/>
    </row>
    <row r="169" ht="32.25" customHeight="1" s="32">
      <c r="A169" s="41" t="inlineStr">
        <is>
          <t>scout_jeep</t>
        </is>
      </c>
      <c r="B169" s="41" t="inlineStr">
        <is>
          <t>Xe trinh sát</t>
        </is>
      </c>
      <c r="C169" s="41" t="inlineStr">
        <is>
          <t>Tham khảo / model</t>
        </is>
      </c>
      <c r="D169" s="41" t="inlineStr">
        <is>
          <t xml:space="preserve">M151 MUTT, Land Rover WMIK, M2 Browning 12,7 mm — ước đoán: xe trinh sát 4x4 mui trần gắn </t>
        </is>
      </c>
      <c r="E169" s="49" t="inlineStr">
        <is>
          <t>Giữ</t>
        </is>
      </c>
      <c r="F169" s="41" t="n"/>
      <c r="G169" s="41" t="inlineStr">
        <is>
          <t>Khớp vũ khí và vai trò.</t>
        </is>
      </c>
      <c r="H169" s="41" t="n"/>
    </row>
    <row r="170" ht="15" customHeight="1" s="32">
      <c r="A170" s="39" t="inlineStr">
        <is>
          <t>vbied</t>
        </is>
      </c>
      <c r="B170" s="39" t="inlineStr">
        <is>
          <t>Xe bom tự sát bọc thép</t>
        </is>
      </c>
      <c r="C170" s="39" t="inlineStr">
        <is>
          <t>Tên</t>
        </is>
      </c>
      <c r="D170" s="39" t="inlineStr">
        <is>
          <t>Xe bom tự sát bọc thép</t>
        </is>
      </c>
      <c r="E170" s="47" t="inlineStr">
        <is>
          <t>Đổi</t>
        </is>
      </c>
      <c r="F170" s="39" t="inlineStr">
        <is>
          <t>Xe bom bọc thép · ngắn: Xe bom · EN: Armored Car Bomb</t>
        </is>
      </c>
      <c r="G170" s="39" t="inlineStr">
        <is>
          <t>Rút gọn; "tự sát" có thể nhạy cảm khi phát hành rộng.</t>
        </is>
      </c>
      <c r="H170" s="49" t="inlineStr">
        <is>
          <t>Thấp</t>
        </is>
      </c>
    </row>
    <row r="171" ht="21.75" customHeight="1" s="32">
      <c r="A171" s="41" t="inlineStr">
        <is>
          <t>vbied</t>
        </is>
      </c>
      <c r="B171" s="41" t="inlineStr">
        <is>
          <t>Xe bom tự sát bọc thép</t>
        </is>
      </c>
      <c r="C171" s="41" t="inlineStr">
        <is>
          <t>Máu</t>
        </is>
      </c>
      <c r="D171" s="43" t="n">
        <v>572</v>
      </c>
      <c r="E171" s="47" t="inlineStr">
        <is>
          <t>Đổi</t>
        </is>
      </c>
      <c r="F171" s="41" t="inlineStr">
        <is>
          <t>800 máu · nổ lan 10 m</t>
        </is>
      </c>
      <c r="G171" s="41" t="inlineStr">
        <is>
          <t>Cần sống đủ tới mục tiêu; 900 kg thuốc nổ theo thang bom phải nổ rộng hơn bom 250 kg (8 m).</t>
        </is>
      </c>
      <c r="H171" s="48" t="inlineStr">
        <is>
          <t>Trung</t>
        </is>
      </c>
    </row>
    <row r="172" ht="15" customHeight="1" s="32">
      <c r="A172" s="39" t="inlineStr">
        <is>
          <t>vbied</t>
        </is>
      </c>
      <c r="B172" s="39" t="inlineStr">
        <is>
          <t>Xe bom tự sát bọc thép</t>
        </is>
      </c>
      <c r="C172" s="39" t="inlineStr">
        <is>
          <t>Giáp (T/H/S/N)</t>
        </is>
      </c>
      <c r="D172" s="39" t="inlineStr">
        <is>
          <t>cấp 0 (Không giáp)</t>
        </is>
      </c>
      <c r="E172" s="47" t="inlineStr">
        <is>
          <t>Đổi</t>
        </is>
      </c>
      <c r="F172" s="39" t="inlineStr">
        <is>
          <t>trước 2 / hông 1 / sau 0 / nóc 0</t>
        </is>
      </c>
      <c r="G172" s="39" t="inlineStr">
        <is>
          <t>Tên "bọc thép" nhưng giáp 0; chỉ gây sát thương 4% thời gian vì chết trước khi tới.</t>
        </is>
      </c>
      <c r="H172" s="48" t="inlineStr">
        <is>
          <t>Trung</t>
        </is>
      </c>
    </row>
    <row r="173" ht="21.75" customHeight="1" s="32">
      <c r="A173" s="41" t="inlineStr">
        <is>
          <t>vbied</t>
        </is>
      </c>
      <c r="B173" s="41" t="inlineStr">
        <is>
          <t>Xe bom tự sát bọc thép</t>
        </is>
      </c>
      <c r="C173" s="41" t="inlineStr">
        <is>
          <t>Tốc độ</t>
        </is>
      </c>
      <c r="D173" s="43" t="n">
        <v>13</v>
      </c>
      <c r="E173" s="48" t="inlineStr">
        <is>
          <t>Xem lại</t>
        </is>
      </c>
      <c r="F173" s="41" t="inlineStr">
        <is>
          <t>Mẫu thật × hệ số map ≈ 6.7 m/s</t>
        </is>
      </c>
      <c r="G173" s="41" t="inlineStr">
        <is>
          <t>Lệch hơn 35% so với tốc độ thật nhân hệ số nén của map (xích 0,33, bánh 0,4, trực thăng 0,17, máy bay 0,16). Có thể giữ nếu là chủ đích.</t>
        </is>
      </c>
      <c r="H173" s="41" t="n"/>
    </row>
    <row r="174" ht="15" customHeight="1" s="32">
      <c r="A174" s="39" t="inlineStr">
        <is>
          <t>vbied</t>
        </is>
      </c>
      <c r="B174" s="39" t="inlineStr">
        <is>
          <t>Xe bom tự sát bọc thép</t>
        </is>
      </c>
      <c r="C174" s="39" t="inlineStr">
        <is>
          <t>Tốc độ xoay thân / tháp</t>
        </is>
      </c>
      <c r="D174" s="39" t="inlineStr">
        <is>
          <t>3 / 6</t>
        </is>
      </c>
      <c r="E174" s="49" t="inlineStr">
        <is>
          <t>Giữ</t>
        </is>
      </c>
      <c r="F174" s="39" t="n"/>
      <c r="G174" s="39" t="inlineStr">
        <is>
          <t>Hợp lý so với loại xe.</t>
        </is>
      </c>
      <c r="H174" s="39" t="n"/>
    </row>
    <row r="175" ht="15" customHeight="1" s="32">
      <c r="A175" s="41" t="inlineStr">
        <is>
          <t>vbied</t>
        </is>
      </c>
      <c r="B175" s="41" t="inlineStr">
        <is>
          <t>Xe bom tự sát bọc thép</t>
        </is>
      </c>
      <c r="C175" s="41" t="inlineStr">
        <is>
          <t>Kích thước model (dài × rộng × cao)</t>
        </is>
      </c>
      <c r="D175" s="41" t="inlineStr">
        <is>
          <t>4.4 × 1.9 × 2.4</t>
        </is>
      </c>
      <c r="E175" s="49" t="inlineStr">
        <is>
          <t>Giữ</t>
        </is>
      </c>
      <c r="F175" s="41" t="n"/>
      <c r="G175" s="41" t="inlineStr">
        <is>
          <t>Khớp tỷ lệ chung (mẫu thật 5.3 m).</t>
        </is>
      </c>
      <c r="H175" s="41" t="n"/>
    </row>
    <row r="176" ht="15" customHeight="1" s="32">
      <c r="A176" s="39" t="inlineStr">
        <is>
          <t>vbied</t>
        </is>
      </c>
      <c r="B176" s="39" t="inlineStr">
        <is>
          <t>Xe bom tự sát bọc thép</t>
        </is>
      </c>
      <c r="C176" s="39" t="inlineStr">
        <is>
          <t>Tầm nhìn</t>
        </is>
      </c>
      <c r="D176" s="42" t="n">
        <v>30</v>
      </c>
      <c r="E176" s="49" t="inlineStr">
        <is>
          <t>Giữ</t>
        </is>
      </c>
      <c r="F176" s="39" t="n"/>
      <c r="G176" s="39" t="inlineStr">
        <is>
          <t>Khớp vai trò.</t>
        </is>
      </c>
      <c r="H176" s="39" t="n"/>
    </row>
    <row r="177" ht="15" customHeight="1" s="32">
      <c r="A177" s="41" t="inlineStr">
        <is>
          <t>vbied</t>
        </is>
      </c>
      <c r="B177" s="41" t="inlineStr">
        <is>
          <t>Xe bom tự sát bọc thép</t>
        </is>
      </c>
      <c r="C177" s="41" t="inlineStr">
        <is>
          <t>Tầm bắn</t>
        </is>
      </c>
      <c r="D177" s="41" t="inlineStr">
        <is>
          <t>3</t>
        </is>
      </c>
      <c r="E177" s="49" t="inlineStr">
        <is>
          <t>Giữ</t>
        </is>
      </c>
      <c r="F177" s="41" t="n"/>
      <c r="G177" s="41" t="inlineStr">
        <is>
          <t>Thứ tự tầm hợp lý trong nhóm.</t>
        </is>
      </c>
      <c r="H177" s="41" t="n"/>
    </row>
    <row r="178" ht="15" customHeight="1" s="32">
      <c r="A178" s="39" t="inlineStr">
        <is>
          <t>vbied</t>
        </is>
      </c>
      <c r="B178" s="39" t="inlineStr">
        <is>
          <t>Xe bom tự sát bọc thép</t>
        </is>
      </c>
      <c r="C178" s="39" t="inlineStr">
        <is>
          <t>Giá (CP)</t>
        </is>
      </c>
      <c r="D178" s="42" t="n">
        <v>3</v>
      </c>
      <c r="E178" s="49" t="inlineStr">
        <is>
          <t>Giữ</t>
        </is>
      </c>
      <c r="F178" s="39" t="n"/>
      <c r="G178" s="39" t="inlineStr">
        <is>
          <t>Hiệu quả trong khoảng ±25% trung vị, thứ tự giá hợp ngoài đời (sheet Giá CP).</t>
        </is>
      </c>
      <c r="H178" s="39" t="n"/>
    </row>
    <row r="179" ht="15" customHeight="1" s="32">
      <c r="A179" s="41" t="inlineStr">
        <is>
          <t>vbied</t>
        </is>
      </c>
      <c r="B179" s="41" t="inlineStr">
        <is>
          <t>Xe bom tự sát bọc thép</t>
        </is>
      </c>
      <c r="C179" s="41" t="inlineStr">
        <is>
          <t>Vũ khí</t>
        </is>
      </c>
      <c r="D179" s="43" t="n">
        <v>1</v>
      </c>
      <c r="E179" s="49" t="inlineStr">
        <is>
          <t>Giữ</t>
        </is>
      </c>
      <c r="F179" s="41" t="n"/>
      <c r="G179" s="41" t="inlineStr">
        <is>
          <t>Bộ vũ khí khớp mẫu thật và vai trò.</t>
        </is>
      </c>
      <c r="H179" s="41" t="n"/>
    </row>
    <row r="180" ht="21.75" customHeight="1" s="32">
      <c r="A180" s="39" t="inlineStr">
        <is>
          <t>vbied</t>
        </is>
      </c>
      <c r="B180" s="39" t="inlineStr">
        <is>
          <t>Xe bom tự sát bọc thép</t>
        </is>
      </c>
      <c r="C180" s="39" t="inlineStr">
        <is>
          <t>Hành vi</t>
        </is>
      </c>
      <c r="D180" s="39" t="inlineStr">
        <is>
          <t>Lao thẳng vào mục tiêu và tự nổ; Xe tăng (4); Tăng hạng nhẹ</t>
        </is>
      </c>
      <c r="E180" s="49" t="inlineStr">
        <is>
          <t>Giữ</t>
        </is>
      </c>
      <c r="F180" s="39" t="n"/>
      <c r="G180" s="39" t="inlineStr">
        <is>
          <t>Hợp vai trò.</t>
        </is>
      </c>
      <c r="H180" s="39" t="n"/>
    </row>
    <row r="181" ht="15" customHeight="1" s="32">
      <c r="A181" s="41" t="inlineStr">
        <is>
          <t>vbied</t>
        </is>
      </c>
      <c r="B181" s="41" t="inlineStr">
        <is>
          <t>Xe bom tự sát bọc thép</t>
        </is>
      </c>
      <c r="C181" s="41" t="inlineStr">
        <is>
          <t>Nổ khi bị phá (bán kính)</t>
        </is>
      </c>
      <c r="D181" s="41" t="inlineStr">
        <is>
          <t>6 m · 600 sát thương</t>
        </is>
      </c>
      <c r="E181" s="49" t="inlineStr">
        <is>
          <t>Giữ</t>
        </is>
      </c>
      <c r="F181" s="41" t="n"/>
      <c r="G181" s="41" t="inlineStr">
        <is>
          <t>Hợp với cỡ xe.</t>
        </is>
      </c>
      <c r="H181" s="41" t="n"/>
    </row>
    <row r="182" ht="32.25" customHeight="1" s="32">
      <c r="A182" s="39" t="inlineStr">
        <is>
          <t>vbied</t>
        </is>
      </c>
      <c r="B182" s="39" t="inlineStr">
        <is>
          <t>Xe bom tự sát bọc thép</t>
        </is>
      </c>
      <c r="C182" s="39" t="inlineStr">
        <is>
          <t>Tham khảo / model</t>
        </is>
      </c>
      <c r="D182" s="39" t="inlineStr">
        <is>
          <t>xe bom tự sát bọc thép ở Mosul 2016-17 ('Iron Coffin') — Xe bán tải bom tự sát bọc thép hà</t>
        </is>
      </c>
      <c r="E182" s="49" t="inlineStr">
        <is>
          <t>Giữ</t>
        </is>
      </c>
      <c r="F182" s="39" t="n"/>
      <c r="G182" s="39" t="inlineStr">
        <is>
          <t>Khớp vũ khí và vai trò.</t>
        </is>
      </c>
      <c r="H182" s="39" t="n"/>
    </row>
    <row r="183" ht="21.75" customHeight="1" s="32">
      <c r="A183" s="41" t="inlineStr">
        <is>
          <t>light_tank</t>
        </is>
      </c>
      <c r="B183" s="41" t="inlineStr">
        <is>
          <t>Tăng hạng nhẹ</t>
        </is>
      </c>
      <c r="C183" s="41" t="inlineStr">
        <is>
          <t>Tên</t>
        </is>
      </c>
      <c r="D183" s="41" t="inlineStr">
        <is>
          <t>Tăng hạng nhẹ</t>
        </is>
      </c>
      <c r="E183" s="47" t="inlineStr">
        <is>
          <t>Đổi</t>
        </is>
      </c>
      <c r="F183" s="41" t="inlineStr">
        <is>
          <t>Tăng nhẹ lội nước · ngắn: Tăng nhẹ · EN: Amphibious Light Tank</t>
        </is>
      </c>
      <c r="G183" s="41" t="inlineStr">
        <is>
          <t>Nói rõ đặc điểm (PT-76, ZBD-05 đều lội nước).</t>
        </is>
      </c>
      <c r="H183" s="49" t="inlineStr">
        <is>
          <t>Thấp</t>
        </is>
      </c>
    </row>
    <row r="184" ht="15" customHeight="1" s="32">
      <c r="A184" s="39" t="inlineStr">
        <is>
          <t>light_tank</t>
        </is>
      </c>
      <c r="B184" s="39" t="inlineStr">
        <is>
          <t>Tăng hạng nhẹ</t>
        </is>
      </c>
      <c r="C184" s="39" t="inlineStr">
        <is>
          <t>Máu</t>
        </is>
      </c>
      <c r="D184" s="42" t="n">
        <v>1012</v>
      </c>
      <c r="E184" s="49" t="inlineStr">
        <is>
          <t>Giữ</t>
        </is>
      </c>
      <c r="F184" s="39" t="n"/>
      <c r="G184" s="39" t="inlineStr">
        <is>
          <t>Máu/CP 1.09 × trung vị lớp Xe tăng.</t>
        </is>
      </c>
      <c r="H184" s="39" t="n"/>
    </row>
    <row r="185" ht="15" customHeight="1" s="32">
      <c r="A185" s="41" t="inlineStr">
        <is>
          <t>light_tank</t>
        </is>
      </c>
      <c r="B185" s="41" t="inlineStr">
        <is>
          <t>Tăng hạng nhẹ</t>
        </is>
      </c>
      <c r="C185" s="41" t="inlineStr">
        <is>
          <t>Giáp (T/H/S/N)</t>
        </is>
      </c>
      <c r="D185" s="41" t="inlineStr">
        <is>
          <t>2/1/0/0</t>
        </is>
      </c>
      <c r="E185" s="49" t="inlineStr">
        <is>
          <t>Giữ</t>
        </is>
      </c>
      <c r="F185" s="41" t="n"/>
      <c r="G185" s="41" t="inlineStr">
        <is>
          <t>Khớp mẫu thật theo thang 0–4.</t>
        </is>
      </c>
      <c r="H185" s="41" t="n"/>
    </row>
    <row r="186" ht="21.75" customHeight="1" s="32">
      <c r="A186" s="39" t="inlineStr">
        <is>
          <t>light_tank</t>
        </is>
      </c>
      <c r="B186" s="39" t="inlineStr">
        <is>
          <t>Tăng hạng nhẹ</t>
        </is>
      </c>
      <c r="C186" s="39" t="inlineStr">
        <is>
          <t>Tốc độ</t>
        </is>
      </c>
      <c r="D186" s="42" t="n">
        <v>9</v>
      </c>
      <c r="E186" s="48" t="inlineStr">
        <is>
          <t>Xem lại</t>
        </is>
      </c>
      <c r="F186" s="39" t="inlineStr">
        <is>
          <t>Mẫu thật × hệ số map ≈ 4.0 m/s</t>
        </is>
      </c>
      <c r="G186" s="39" t="inlineStr">
        <is>
          <t>Lệch hơn 35% so với tốc độ thật nhân hệ số nén của map (xích 0,33, bánh 0,4, trực thăng 0,17, máy bay 0,16). Có thể giữ nếu là chủ đích.</t>
        </is>
      </c>
      <c r="H186" s="39" t="n"/>
    </row>
    <row r="187" ht="15" customHeight="1" s="32">
      <c r="A187" s="41" t="inlineStr">
        <is>
          <t>light_tank</t>
        </is>
      </c>
      <c r="B187" s="41" t="inlineStr">
        <is>
          <t>Tăng hạng nhẹ</t>
        </is>
      </c>
      <c r="C187" s="41" t="inlineStr">
        <is>
          <t>Tốc độ xoay thân / tháp</t>
        </is>
      </c>
      <c r="D187" s="41" t="inlineStr">
        <is>
          <t>2 / 2</t>
        </is>
      </c>
      <c r="E187" s="49" t="inlineStr">
        <is>
          <t>Giữ</t>
        </is>
      </c>
      <c r="F187" s="41" t="n"/>
      <c r="G187" s="41" t="inlineStr">
        <is>
          <t>Hợp lý so với loại xe.</t>
        </is>
      </c>
      <c r="H187" s="41" t="n"/>
    </row>
    <row r="188" ht="15" customHeight="1" s="32">
      <c r="A188" s="39" t="inlineStr">
        <is>
          <t>light_tank</t>
        </is>
      </c>
      <c r="B188" s="39" t="inlineStr">
        <is>
          <t>Tăng hạng nhẹ</t>
        </is>
      </c>
      <c r="C188" s="39" t="inlineStr">
        <is>
          <t>Kích thước model (dài × rộng × cao)</t>
        </is>
      </c>
      <c r="D188" s="39" t="inlineStr">
        <is>
          <t>6.2 × 2.3 × 2.2</t>
        </is>
      </c>
      <c r="E188" s="49" t="inlineStr">
        <is>
          <t>Giữ</t>
        </is>
      </c>
      <c r="F188" s="39" t="n"/>
      <c r="G188" s="39" t="inlineStr">
        <is>
          <t>Khớp tỷ lệ chung (mẫu thật 7.6 m).</t>
        </is>
      </c>
      <c r="H188" s="39" t="n"/>
    </row>
    <row r="189" ht="15" customHeight="1" s="32">
      <c r="A189" s="41" t="inlineStr">
        <is>
          <t>light_tank</t>
        </is>
      </c>
      <c r="B189" s="41" t="inlineStr">
        <is>
          <t>Tăng hạng nhẹ</t>
        </is>
      </c>
      <c r="C189" s="41" t="inlineStr">
        <is>
          <t>Tầm nhìn</t>
        </is>
      </c>
      <c r="D189" s="43" t="n">
        <v>30</v>
      </c>
      <c r="E189" s="47" t="inlineStr">
        <is>
          <t>Đổi</t>
        </is>
      </c>
      <c r="F189" s="41" t="inlineStr">
        <is>
          <t>36 m</t>
        </is>
      </c>
      <c r="G189" s="41" t="inlineStr">
        <is>
          <t>Tăng nhẹ lội nước thường làm trinh sát cho tuyến.</t>
        </is>
      </c>
      <c r="H189" s="49" t="inlineStr">
        <is>
          <t>Thấp</t>
        </is>
      </c>
    </row>
    <row r="190" ht="15" customHeight="1" s="32">
      <c r="A190" s="39" t="inlineStr">
        <is>
          <t>light_tank</t>
        </is>
      </c>
      <c r="B190" s="39" t="inlineStr">
        <is>
          <t>Tăng hạng nhẹ</t>
        </is>
      </c>
      <c r="C190" s="39" t="inlineStr">
        <is>
          <t>Tầm bắn</t>
        </is>
      </c>
      <c r="D190" s="39" t="inlineStr">
        <is>
          <t>28</t>
        </is>
      </c>
      <c r="E190" s="47" t="inlineStr">
        <is>
          <t>Đổi</t>
        </is>
      </c>
      <c r="F190" s="39" t="inlineStr">
        <is>
          <t>36 m</t>
        </is>
      </c>
      <c r="G190" s="39" t="inlineStr">
        <is>
          <t>Tăng nhẹ lội nước thường làm trinh sát cho tuyến.</t>
        </is>
      </c>
      <c r="H190" s="49" t="inlineStr">
        <is>
          <t>Thấp</t>
        </is>
      </c>
    </row>
    <row r="191" ht="15" customHeight="1" s="32">
      <c r="A191" s="41" t="inlineStr">
        <is>
          <t>light_tank</t>
        </is>
      </c>
      <c r="B191" s="41" t="inlineStr">
        <is>
          <t>Tăng hạng nhẹ</t>
        </is>
      </c>
      <c r="C191" s="41" t="inlineStr">
        <is>
          <t>Giá (CP)</t>
        </is>
      </c>
      <c r="D191" s="43" t="n">
        <v>3</v>
      </c>
      <c r="E191" s="49" t="inlineStr">
        <is>
          <t>Giữ</t>
        </is>
      </c>
      <c r="F191" s="41" t="n"/>
      <c r="G191" s="41" t="inlineStr">
        <is>
          <t>Hiệu quả trong khoảng ±25% trung vị, thứ tự giá hợp ngoài đời (sheet Giá CP).</t>
        </is>
      </c>
      <c r="H191" s="41" t="n"/>
    </row>
    <row r="192" ht="21.75" customHeight="1" s="32">
      <c r="A192" s="39" t="inlineStr">
        <is>
          <t>light_tank</t>
        </is>
      </c>
      <c r="B192" s="39" t="inlineStr">
        <is>
          <t>Tăng hạng nhẹ</t>
        </is>
      </c>
      <c r="C192" s="39" t="inlineStr">
        <is>
          <t>Vũ khí: 57 mm</t>
        </is>
      </c>
      <c r="D192" s="39" t="inlineStr">
        <is>
          <t>77/phát · bắn đơn 0,4 phát/s</t>
        </is>
      </c>
      <c r="E192" s="47" t="inlineStr">
        <is>
          <t>Đổi</t>
        </is>
      </c>
      <c r="F192" s="39" t="inlineStr">
        <is>
          <t>77/phát · loạt 2 phát ở 2 phát/s · nghỉ 3,5 s · DPS duy trì ~35</t>
        </is>
      </c>
      <c r="G192" s="39" t="inlineStr">
        <is>
          <t>Pháo 57 mm tự động nhưng đang bắn như pháo nạp tay.</t>
        </is>
      </c>
      <c r="H192" s="49" t="inlineStr">
        <is>
          <t>Thấp</t>
        </is>
      </c>
    </row>
    <row r="193" ht="15" customHeight="1" s="32">
      <c r="A193" s="41" t="inlineStr">
        <is>
          <t>light_tank</t>
        </is>
      </c>
      <c r="B193" s="41" t="inlineStr">
        <is>
          <t>Tăng hạng nhẹ</t>
        </is>
      </c>
      <c r="C193" s="41" t="inlineStr">
        <is>
          <t>Hành vi</t>
        </is>
      </c>
      <c r="D193" s="41" t="inlineStr">
        <is>
          <t>Vừa chạy vừa bắn; Tăng phun lửa</t>
        </is>
      </c>
      <c r="E193" s="49" t="inlineStr">
        <is>
          <t>Giữ</t>
        </is>
      </c>
      <c r="F193" s="41" t="n"/>
      <c r="G193" s="41" t="inlineStr">
        <is>
          <t>Hợp vai trò.</t>
        </is>
      </c>
      <c r="H193" s="41" t="n"/>
    </row>
    <row r="194" ht="15" customHeight="1" s="32">
      <c r="A194" s="39" t="inlineStr">
        <is>
          <t>light_tank</t>
        </is>
      </c>
      <c r="B194" s="39" t="inlineStr">
        <is>
          <t>Tăng hạng nhẹ</t>
        </is>
      </c>
      <c r="C194" s="39" t="inlineStr">
        <is>
          <t>Nổ khi bị phá (bán kính)</t>
        </is>
      </c>
      <c r="D194" s="39" t="inlineStr">
        <is>
          <t>5 m · 120 sát thương</t>
        </is>
      </c>
      <c r="E194" s="49" t="inlineStr">
        <is>
          <t>Giữ</t>
        </is>
      </c>
      <c r="F194" s="39" t="n"/>
      <c r="G194" s="39" t="inlineStr">
        <is>
          <t>Hợp với cỡ xe.</t>
        </is>
      </c>
      <c r="H194" s="39" t="n"/>
    </row>
    <row r="195" ht="32.25" customHeight="1" s="32">
      <c r="A195" s="41" t="inlineStr">
        <is>
          <t>light_tank</t>
        </is>
      </c>
      <c r="B195" s="41" t="inlineStr">
        <is>
          <t>Tăng hạng nhẹ</t>
        </is>
      </c>
      <c r="C195" s="41" t="inlineStr">
        <is>
          <t>Tham khảo / model</t>
        </is>
      </c>
      <c r="D195" s="41" t="inlineStr">
        <is>
          <t>PT-76, ZBD-05, AU-220M 57 mm (mô-đun không người lái) — Xe tăng nhẹ lội nước, mô-đun 57 mm</t>
        </is>
      </c>
      <c r="E195" s="49" t="inlineStr">
        <is>
          <t>Giữ</t>
        </is>
      </c>
      <c r="F195" s="41" t="n"/>
      <c r="G195" s="41" t="inlineStr">
        <is>
          <t>Khớp vũ khí và vai trò.</t>
        </is>
      </c>
      <c r="H195" s="41" t="n"/>
    </row>
    <row r="196" ht="15" customHeight="1" s="32">
      <c r="A196" s="39" t="inlineStr">
        <is>
          <t>flame_tank</t>
        </is>
      </c>
      <c r="B196" s="39" t="inlineStr">
        <is>
          <t>Tăng phun lửa</t>
        </is>
      </c>
      <c r="C196" s="39" t="inlineStr">
        <is>
          <t>Tên</t>
        </is>
      </c>
      <c r="D196" s="39" t="inlineStr">
        <is>
          <t>Tăng phun lửa</t>
        </is>
      </c>
      <c r="E196" s="49" t="inlineStr">
        <is>
          <t>Giữ</t>
        </is>
      </c>
      <c r="F196" s="39" t="inlineStr">
        <is>
          <t>Tăng phun lửa · ngắn: Phun lửa · EN: Flame Tank</t>
        </is>
      </c>
      <c r="G196" s="39" t="inlineStr">
        <is>
          <t>Giữ.</t>
        </is>
      </c>
      <c r="H196" s="39" t="n"/>
    </row>
    <row r="197" ht="15" customHeight="1" s="32">
      <c r="A197" s="41" t="inlineStr">
        <is>
          <t>flame_tank</t>
        </is>
      </c>
      <c r="B197" s="41" t="inlineStr">
        <is>
          <t>Tăng phun lửa</t>
        </is>
      </c>
      <c r="C197" s="41" t="inlineStr">
        <is>
          <t>Máu</t>
        </is>
      </c>
      <c r="D197" s="43" t="n">
        <v>1320</v>
      </c>
      <c r="E197" s="49" t="inlineStr">
        <is>
          <t>Giữ</t>
        </is>
      </c>
      <c r="F197" s="41" t="n"/>
      <c r="G197" s="41" t="inlineStr">
        <is>
          <t>Máu/CP 0.85 × trung vị lớp Xe tăng.</t>
        </is>
      </c>
      <c r="H197" s="41" t="n"/>
    </row>
    <row r="198" ht="15" customHeight="1" s="32">
      <c r="A198" s="39" t="inlineStr">
        <is>
          <t>flame_tank</t>
        </is>
      </c>
      <c r="B198" s="39" t="inlineStr">
        <is>
          <t>Tăng phun lửa</t>
        </is>
      </c>
      <c r="C198" s="39" t="inlineStr">
        <is>
          <t>Giáp (T/H/S/N)</t>
        </is>
      </c>
      <c r="D198" s="39" t="inlineStr">
        <is>
          <t>3/2/1/1</t>
        </is>
      </c>
      <c r="E198" s="49" t="inlineStr">
        <is>
          <t>Giữ</t>
        </is>
      </c>
      <c r="F198" s="39" t="n"/>
      <c r="G198" s="39" t="inlineStr">
        <is>
          <t>Khớp mẫu thật theo thang 0–4.</t>
        </is>
      </c>
      <c r="H198" s="39" t="n"/>
    </row>
    <row r="199" ht="21.75" customHeight="1" s="32">
      <c r="A199" s="41" t="inlineStr">
        <is>
          <t>flame_tank</t>
        </is>
      </c>
      <c r="B199" s="41" t="inlineStr">
        <is>
          <t>Tăng phun lửa</t>
        </is>
      </c>
      <c r="C199" s="41" t="inlineStr">
        <is>
          <t>Tốc độ</t>
        </is>
      </c>
      <c r="D199" s="43" t="n">
        <v>6.5</v>
      </c>
      <c r="E199" s="48" t="inlineStr">
        <is>
          <t>Xem lại</t>
        </is>
      </c>
      <c r="F199" s="41" t="inlineStr">
        <is>
          <t>Mẫu thật × hệ số map ≈ 4.6 m/s</t>
        </is>
      </c>
      <c r="G199" s="41" t="inlineStr">
        <is>
          <t>Lệch hơn 35% so với tốc độ thật nhân hệ số nén của map (xích 0,33, bánh 0,4, trực thăng 0,17, máy bay 0,16). Có thể giữ nếu là chủ đích.</t>
        </is>
      </c>
      <c r="H199" s="41" t="n"/>
    </row>
    <row r="200" ht="15" customHeight="1" s="32">
      <c r="A200" s="39" t="inlineStr">
        <is>
          <t>flame_tank</t>
        </is>
      </c>
      <c r="B200" s="39" t="inlineStr">
        <is>
          <t>Tăng phun lửa</t>
        </is>
      </c>
      <c r="C200" s="39" t="inlineStr">
        <is>
          <t>Tốc độ xoay thân / tháp</t>
        </is>
      </c>
      <c r="D200" s="39" t="inlineStr">
        <is>
          <t>1 / 2</t>
        </is>
      </c>
      <c r="E200" s="49" t="inlineStr">
        <is>
          <t>Giữ</t>
        </is>
      </c>
      <c r="F200" s="39" t="n"/>
      <c r="G200" s="39" t="inlineStr">
        <is>
          <t>Hợp lý so với loại xe.</t>
        </is>
      </c>
      <c r="H200" s="39" t="n"/>
    </row>
    <row r="201" ht="21.75" customHeight="1" s="32">
      <c r="A201" s="41" t="inlineStr">
        <is>
          <t>flame_tank</t>
        </is>
      </c>
      <c r="B201" s="41" t="inlineStr">
        <is>
          <t>Tăng phun lửa</t>
        </is>
      </c>
      <c r="C201" s="41" t="inlineStr">
        <is>
          <t>Kích thước model (dài × rộng × cao)</t>
        </is>
      </c>
      <c r="D201" s="41" t="inlineStr">
        <is>
          <t>5.0 × 2.8 × 2.7</t>
        </is>
      </c>
      <c r="E201" s="47" t="inlineStr">
        <is>
          <t>Đổi</t>
        </is>
      </c>
      <c r="F201" s="41" t="inlineStr">
        <is>
          <t>7.2 × 2.6 × 1.9</t>
        </is>
      </c>
      <c r="G201" s="41" t="inlineStr">
        <is>
          <t>Mẫu thật TO-55 (khung T-55): 9.0 × 3.3 m; theo tỷ lệ chung (mặt đất 0,8) nên là 7.2 × 2.6 m. Đổi kích thước thì chỉnh vùng va chạm và chạy lại test xe kẹt.</t>
        </is>
      </c>
      <c r="H201" s="48" t="inlineStr">
        <is>
          <t>Trung</t>
        </is>
      </c>
    </row>
    <row r="202" ht="15" customHeight="1" s="32">
      <c r="A202" s="39" t="inlineStr">
        <is>
          <t>flame_tank</t>
        </is>
      </c>
      <c r="B202" s="39" t="inlineStr">
        <is>
          <t>Tăng phun lửa</t>
        </is>
      </c>
      <c r="C202" s="39" t="inlineStr">
        <is>
          <t>Tầm nhìn</t>
        </is>
      </c>
      <c r="D202" s="42" t="n">
        <v>26</v>
      </c>
      <c r="E202" s="49" t="inlineStr">
        <is>
          <t>Giữ</t>
        </is>
      </c>
      <c r="F202" s="39" t="n"/>
      <c r="G202" s="39" t="inlineStr">
        <is>
          <t>Khớp vai trò.</t>
        </is>
      </c>
      <c r="H202" s="39" t="n"/>
    </row>
    <row r="203" ht="15" customHeight="1" s="32">
      <c r="A203" s="41" t="inlineStr">
        <is>
          <t>flame_tank</t>
        </is>
      </c>
      <c r="B203" s="41" t="inlineStr">
        <is>
          <t>Tăng phun lửa</t>
        </is>
      </c>
      <c r="C203" s="41" t="inlineStr">
        <is>
          <t>Tầm bắn</t>
        </is>
      </c>
      <c r="D203" s="41" t="inlineStr">
        <is>
          <t>20</t>
        </is>
      </c>
      <c r="E203" s="49" t="inlineStr">
        <is>
          <t>Giữ</t>
        </is>
      </c>
      <c r="F203" s="41" t="n"/>
      <c r="G203" s="41" t="inlineStr">
        <is>
          <t>Thứ tự tầm hợp lý trong nhóm.</t>
        </is>
      </c>
      <c r="H203" s="41" t="n"/>
    </row>
    <row r="204" ht="15" customHeight="1" s="32">
      <c r="A204" s="39" t="inlineStr">
        <is>
          <t>flame_tank</t>
        </is>
      </c>
      <c r="B204" s="39" t="inlineStr">
        <is>
          <t>Tăng phun lửa</t>
        </is>
      </c>
      <c r="C204" s="39" t="inlineStr">
        <is>
          <t>Giá (CP)</t>
        </is>
      </c>
      <c r="D204" s="42" t="n">
        <v>5</v>
      </c>
      <c r="E204" s="49" t="inlineStr">
        <is>
          <t>Giữ</t>
        </is>
      </c>
      <c r="F204" s="39" t="n"/>
      <c r="G204" s="39" t="inlineStr">
        <is>
          <t>Hiệu quả trong khoảng ±25% trung vị, thứ tự giá hợp ngoài đời (sheet Giá CP).</t>
        </is>
      </c>
      <c r="H204" s="39" t="n"/>
    </row>
    <row r="205" ht="15" customHeight="1" s="32">
      <c r="A205" s="41" t="inlineStr">
        <is>
          <t>flame_tank</t>
        </is>
      </c>
      <c r="B205" s="41" t="inlineStr">
        <is>
          <t>Tăng phun lửa</t>
        </is>
      </c>
      <c r="C205" s="41" t="inlineStr">
        <is>
          <t>Vũ khí: súng phun lửa</t>
        </is>
      </c>
      <c r="D205" s="41" t="inlineStr">
        <is>
          <t>23,5/tick · giá trị vs xe nhẹ 587 ở 5 CP</t>
        </is>
      </c>
      <c r="E205" s="47" t="inlineStr">
        <is>
          <t>Đổi</t>
        </is>
      </c>
      <c r="F205" s="41" t="inlineStr">
        <is>
          <t>sát thương −10% lên xe nhẹ; giữ giá 5 CP</t>
        </is>
      </c>
      <c r="G205" s="41" t="inlineStr">
        <is>
          <t>Mạnh nhất theo CP khi đánh gần xe nhẹ; nhưng yếu với tăng và công sự nên giữ giá.</t>
        </is>
      </c>
      <c r="H205" s="49" t="inlineStr">
        <is>
          <t>Thấp</t>
        </is>
      </c>
    </row>
    <row r="206" ht="15" customHeight="1" s="32">
      <c r="A206" s="39" t="inlineStr">
        <is>
          <t>flame_tank</t>
        </is>
      </c>
      <c r="B206" s="39" t="inlineStr">
        <is>
          <t>Tăng phun lửa</t>
        </is>
      </c>
      <c r="C206" s="39" t="inlineStr">
        <is>
          <t>Hành vi</t>
        </is>
      </c>
      <c r="D206" s="39" t="inlineStr">
        <is>
          <t>Vừa chạy vừa bắn; Xe tăng rùa</t>
        </is>
      </c>
      <c r="E206" s="49" t="inlineStr">
        <is>
          <t>Giữ</t>
        </is>
      </c>
      <c r="F206" s="39" t="n"/>
      <c r="G206" s="39" t="inlineStr">
        <is>
          <t>Hợp vai trò.</t>
        </is>
      </c>
      <c r="H206" s="39" t="n"/>
    </row>
    <row r="207" ht="15" customHeight="1" s="32">
      <c r="A207" s="41" t="inlineStr">
        <is>
          <t>flame_tank</t>
        </is>
      </c>
      <c r="B207" s="41" t="inlineStr">
        <is>
          <t>Tăng phun lửa</t>
        </is>
      </c>
      <c r="C207" s="41" t="inlineStr">
        <is>
          <t>Nổ khi bị phá (bán kính)</t>
        </is>
      </c>
      <c r="D207" s="41" t="inlineStr">
        <is>
          <t>8 m · 280 sát thương</t>
        </is>
      </c>
      <c r="E207" s="47" t="inlineStr">
        <is>
          <t>Đổi</t>
        </is>
      </c>
      <c r="F207" s="41" t="inlineStr">
        <is>
          <t>~5 m</t>
        </is>
      </c>
      <c r="G207" s="41" t="inlineStr">
        <is>
          <t>Bán kính nổ khi bị phá nên theo cỡ xe, cộng thêm nếu xe chở nhiều đạn/nhiên liệu.</t>
        </is>
      </c>
      <c r="H207" s="49" t="inlineStr">
        <is>
          <t>Thấp</t>
        </is>
      </c>
    </row>
    <row r="208" ht="32.25" customHeight="1" s="32">
      <c r="A208" s="39" t="inlineStr">
        <is>
          <t>flame_tank</t>
        </is>
      </c>
      <c r="B208" s="39" t="inlineStr">
        <is>
          <t>Tăng phun lửa</t>
        </is>
      </c>
      <c r="C208" s="39" t="inlineStr">
        <is>
          <t>Tham khảo / model</t>
        </is>
      </c>
      <c r="D208" s="39" t="inlineStr">
        <is>
          <t>M67 Zippo, Churchill Crocodile, TO-55 · Flame Tank (Command &amp; Conquer) — ước đoán: xe tăng</t>
        </is>
      </c>
      <c r="E208" s="49" t="inlineStr">
        <is>
          <t>Giữ</t>
        </is>
      </c>
      <c r="F208" s="39" t="n"/>
      <c r="G208" s="39" t="inlineStr">
        <is>
          <t>Khớp vũ khí và vai trò.</t>
        </is>
      </c>
      <c r="H208" s="39" t="n"/>
    </row>
    <row r="209" ht="15" customHeight="1" s="32">
      <c r="A209" s="41"/>
      <c r="B209" s="41"/>
      <c r="C209" s="41"/>
      <c r="D209" s="41"/>
      <c r="E209" s="47"/>
      <c r="F209" s="41"/>
      <c r="G209" s="41"/>
      <c r="H209" s="49"/>
    </row>
    <row r="210" ht="15" customHeight="1" s="32">
      <c r="A210" s="39"/>
      <c r="B210" s="39"/>
      <c r="C210" s="39"/>
      <c r="D210" s="42"/>
      <c r="E210" s="49"/>
      <c r="F210" s="39"/>
      <c r="G210" s="39"/>
      <c r="H210" s="39"/>
    </row>
    <row r="211" ht="15" customHeight="1" s="32">
      <c r="A211" s="41"/>
      <c r="B211" s="41"/>
      <c r="C211" s="41"/>
      <c r="D211" s="41"/>
      <c r="E211" s="47"/>
      <c r="F211" s="41"/>
      <c r="G211" s="41"/>
      <c r="H211" s="48"/>
    </row>
    <row r="212" ht="15" customHeight="1" s="32">
      <c r="A212" s="39"/>
      <c r="B212" s="39"/>
      <c r="C212" s="39"/>
      <c r="D212" s="42"/>
      <c r="E212" s="49"/>
      <c r="F212" s="39"/>
      <c r="G212" s="39"/>
      <c r="H212" s="39"/>
    </row>
    <row r="213" ht="15" customHeight="1" s="32">
      <c r="A213" s="41"/>
      <c r="B213" s="41"/>
      <c r="C213" s="41"/>
      <c r="D213" s="41"/>
      <c r="E213" s="49"/>
      <c r="F213" s="41"/>
      <c r="G213" s="41"/>
      <c r="H213" s="41"/>
    </row>
    <row r="214" ht="15" customHeight="1" s="32">
      <c r="A214" s="39"/>
      <c r="B214" s="39"/>
      <c r="C214" s="39"/>
      <c r="D214" s="39"/>
      <c r="E214" s="49"/>
      <c r="F214" s="39"/>
      <c r="G214" s="39"/>
      <c r="H214" s="39"/>
    </row>
    <row r="215" ht="15" customHeight="1" s="32">
      <c r="A215" s="41"/>
      <c r="B215" s="41"/>
      <c r="C215" s="41"/>
      <c r="D215" s="43"/>
      <c r="E215" s="49"/>
      <c r="F215" s="41"/>
      <c r="G215" s="41"/>
      <c r="H215" s="41"/>
    </row>
    <row r="216" ht="15" customHeight="1" s="32">
      <c r="A216" s="39"/>
      <c r="B216" s="39"/>
      <c r="C216" s="39"/>
      <c r="D216" s="39"/>
      <c r="E216" s="49"/>
      <c r="F216" s="39"/>
      <c r="G216" s="39"/>
      <c r="H216" s="39"/>
    </row>
    <row r="217" ht="15" customHeight="1" s="32">
      <c r="A217" s="41"/>
      <c r="B217" s="41"/>
      <c r="C217" s="41"/>
      <c r="D217" s="43"/>
      <c r="E217" s="49"/>
      <c r="F217" s="41"/>
      <c r="G217" s="41"/>
      <c r="H217" s="41"/>
    </row>
    <row r="218" ht="15" customHeight="1" s="32">
      <c r="A218" s="39"/>
      <c r="B218" s="39"/>
      <c r="C218" s="39"/>
      <c r="D218" s="42"/>
      <c r="E218" s="49"/>
      <c r="F218" s="39"/>
      <c r="G218" s="39"/>
      <c r="H218" s="39"/>
    </row>
    <row r="219" ht="15" customHeight="1" s="32">
      <c r="A219" s="41"/>
      <c r="B219" s="41"/>
      <c r="C219" s="41"/>
      <c r="D219" s="41"/>
      <c r="E219" s="49"/>
      <c r="F219" s="41"/>
      <c r="G219" s="41"/>
      <c r="H219" s="41"/>
    </row>
    <row r="220" ht="15" customHeight="1" s="32">
      <c r="A220" s="39"/>
      <c r="B220" s="39"/>
      <c r="C220" s="39"/>
      <c r="D220" s="39"/>
      <c r="E220" s="49"/>
      <c r="F220" s="39"/>
      <c r="G220" s="39"/>
      <c r="H220" s="39"/>
    </row>
    <row r="221" ht="32.25" customHeight="1" s="32">
      <c r="A221" s="41"/>
      <c r="B221" s="41"/>
      <c r="C221" s="41"/>
      <c r="D221" s="41"/>
      <c r="E221" s="49"/>
      <c r="F221" s="41"/>
      <c r="G221" s="41"/>
      <c r="H221" s="41"/>
    </row>
    <row r="222" ht="21.75" customHeight="1" s="32">
      <c r="A222" s="39"/>
      <c r="B222" s="39"/>
      <c r="C222" s="39"/>
      <c r="D222" s="39"/>
      <c r="E222" s="47"/>
      <c r="F222" s="39"/>
      <c r="G222" s="39"/>
      <c r="H222" s="49"/>
    </row>
    <row r="223" ht="15" customHeight="1" s="32">
      <c r="A223" s="41"/>
      <c r="B223" s="41"/>
      <c r="C223" s="41"/>
      <c r="D223" s="43"/>
      <c r="E223" s="49"/>
      <c r="F223" s="41"/>
      <c r="G223" s="41"/>
      <c r="H223" s="41"/>
    </row>
    <row r="224" ht="15" customHeight="1" s="32">
      <c r="A224" s="39"/>
      <c r="B224" s="39"/>
      <c r="C224" s="39"/>
      <c r="D224" s="39"/>
      <c r="E224" s="49"/>
      <c r="F224" s="39"/>
      <c r="G224" s="39"/>
      <c r="H224" s="39"/>
    </row>
    <row r="225" ht="15" customHeight="1" s="32">
      <c r="A225" s="41"/>
      <c r="B225" s="41"/>
      <c r="C225" s="41"/>
      <c r="D225" s="43"/>
      <c r="E225" s="49"/>
      <c r="F225" s="41"/>
      <c r="G225" s="41"/>
      <c r="H225" s="41"/>
    </row>
    <row r="226" ht="15" customHeight="1" s="32">
      <c r="A226" s="39"/>
      <c r="B226" s="39"/>
      <c r="C226" s="39"/>
      <c r="D226" s="39"/>
      <c r="E226" s="49"/>
      <c r="F226" s="39"/>
      <c r="G226" s="39"/>
      <c r="H226" s="39"/>
    </row>
    <row r="227" ht="15" customHeight="1" s="32">
      <c r="A227" s="41"/>
      <c r="B227" s="41"/>
      <c r="C227" s="41"/>
      <c r="D227" s="41"/>
      <c r="E227" s="49"/>
      <c r="F227" s="41"/>
      <c r="G227" s="41"/>
      <c r="H227" s="41"/>
    </row>
    <row r="228" ht="15" customHeight="1" s="32">
      <c r="A228" s="39"/>
      <c r="B228" s="39"/>
      <c r="C228" s="39"/>
      <c r="D228" s="42"/>
      <c r="E228" s="49"/>
      <c r="F228" s="39"/>
      <c r="G228" s="39"/>
      <c r="H228" s="39"/>
    </row>
    <row r="229" ht="15" customHeight="1" s="32">
      <c r="A229" s="41"/>
      <c r="B229" s="41"/>
      <c r="C229" s="41"/>
      <c r="D229" s="41"/>
      <c r="E229" s="49"/>
      <c r="F229" s="41"/>
      <c r="G229" s="41"/>
      <c r="H229" s="41"/>
    </row>
    <row r="230" ht="15" customHeight="1" s="32">
      <c r="A230" s="39"/>
      <c r="B230" s="39"/>
      <c r="C230" s="39"/>
      <c r="D230" s="42"/>
      <c r="E230" s="49"/>
      <c r="F230" s="39"/>
      <c r="G230" s="39"/>
      <c r="H230" s="39"/>
    </row>
    <row r="231" ht="15" customHeight="1" s="32">
      <c r="A231" s="41"/>
      <c r="B231" s="41"/>
      <c r="C231" s="41"/>
      <c r="D231" s="41"/>
      <c r="E231" s="47"/>
      <c r="F231" s="41"/>
      <c r="G231" s="41"/>
      <c r="H231" s="48"/>
    </row>
    <row r="232" ht="15" customHeight="1" s="32">
      <c r="A232" s="39"/>
      <c r="B232" s="39"/>
      <c r="C232" s="39"/>
      <c r="D232" s="39"/>
      <c r="E232" s="47"/>
      <c r="F232" s="39"/>
      <c r="G232" s="39"/>
      <c r="H232" s="48"/>
    </row>
    <row r="233" ht="15" customHeight="1" s="32">
      <c r="A233" s="41"/>
      <c r="B233" s="41"/>
      <c r="C233" s="41"/>
      <c r="D233" s="41"/>
      <c r="E233" s="47"/>
      <c r="F233" s="41"/>
      <c r="G233" s="41"/>
      <c r="H233" s="49"/>
    </row>
    <row r="234" ht="32.25" customHeight="1" s="32">
      <c r="A234" s="39"/>
      <c r="B234" s="39"/>
      <c r="C234" s="39"/>
      <c r="D234" s="39"/>
      <c r="E234" s="49"/>
      <c r="F234" s="39"/>
      <c r="G234" s="39"/>
      <c r="H234" s="39"/>
    </row>
    <row r="235" ht="15" customHeight="1" s="32">
      <c r="A235" s="41"/>
      <c r="B235" s="41"/>
      <c r="C235" s="41"/>
      <c r="D235" s="41"/>
      <c r="E235" s="49"/>
      <c r="F235" s="41"/>
      <c r="G235" s="41"/>
      <c r="H235" s="41"/>
    </row>
    <row r="236" ht="32.25" customHeight="1" s="32">
      <c r="A236" s="39"/>
      <c r="B236" s="39"/>
      <c r="C236" s="39"/>
      <c r="D236" s="39"/>
      <c r="E236" s="49"/>
      <c r="F236" s="39"/>
      <c r="G236" s="39"/>
      <c r="H236" s="39"/>
    </row>
    <row r="237" ht="21.75" customHeight="1" s="32">
      <c r="A237" s="41" t="inlineStr">
        <is>
          <t>rocket_technical</t>
        </is>
      </c>
      <c r="B237" s="41" t="inlineStr">
        <is>
          <t>Bán tải rốc-két</t>
        </is>
      </c>
      <c r="C237" s="41" t="inlineStr">
        <is>
          <t>Tên</t>
        </is>
      </c>
      <c r="D237" s="41" t="inlineStr">
        <is>
          <t>Bán tải rốc-két</t>
        </is>
      </c>
      <c r="E237" s="49" t="inlineStr">
        <is>
          <t>Giữ</t>
        </is>
      </c>
      <c r="F237" s="41" t="inlineStr">
        <is>
          <t>Bán tải rốc-két · ngắn: Bán tải rốc-két · EN: Rocket Technical</t>
        </is>
      </c>
      <c r="G237" s="41" t="inlineStr">
        <is>
          <t>Giữ.</t>
        </is>
      </c>
      <c r="H237" s="41" t="n"/>
    </row>
    <row r="238" ht="15" customHeight="1" s="32">
      <c r="A238" s="39" t="inlineStr">
        <is>
          <t>rocket_technical</t>
        </is>
      </c>
      <c r="B238" s="39" t="inlineStr">
        <is>
          <t>Bán tải rốc-két</t>
        </is>
      </c>
      <c r="C238" s="39" t="inlineStr">
        <is>
          <t>Máu</t>
        </is>
      </c>
      <c r="D238" s="42" t="n">
        <v>506</v>
      </c>
      <c r="E238" s="49" t="inlineStr">
        <is>
          <t>Giữ</t>
        </is>
      </c>
      <c r="F238" s="39" t="n"/>
      <c r="G238" s="39" t="inlineStr">
        <is>
          <t>Máu/CP 1.44 × trung vị lớp Pháo binh.</t>
        </is>
      </c>
      <c r="H238" s="39" t="n"/>
    </row>
    <row r="239" ht="15" customHeight="1" s="32">
      <c r="A239" s="41" t="inlineStr">
        <is>
          <t>rocket_technical</t>
        </is>
      </c>
      <c r="B239" s="41" t="inlineStr">
        <is>
          <t>Bán tải rốc-két</t>
        </is>
      </c>
      <c r="C239" s="41" t="inlineStr">
        <is>
          <t>Giáp (T/H/S/N)</t>
        </is>
      </c>
      <c r="D239" s="41" t="inlineStr">
        <is>
          <t>cấp 0 (Không giáp)</t>
        </is>
      </c>
      <c r="E239" s="49" t="inlineStr">
        <is>
          <t>Giữ</t>
        </is>
      </c>
      <c r="F239" s="41" t="n"/>
      <c r="G239" s="41" t="inlineStr">
        <is>
          <t>Khớp mẫu thật theo thang 0–4.</t>
        </is>
      </c>
      <c r="H239" s="41" t="n"/>
    </row>
    <row r="240" ht="15" customHeight="1" s="32">
      <c r="A240" s="39" t="inlineStr">
        <is>
          <t>rocket_technical</t>
        </is>
      </c>
      <c r="B240" s="39" t="inlineStr">
        <is>
          <t>Bán tải rốc-két</t>
        </is>
      </c>
      <c r="C240" s="39" t="inlineStr">
        <is>
          <t>Tốc độ</t>
        </is>
      </c>
      <c r="D240" s="42" t="n">
        <v>13</v>
      </c>
      <c r="E240" s="49" t="inlineStr">
        <is>
          <t>Giữ</t>
        </is>
      </c>
      <c r="F240" s="39" t="n"/>
      <c r="G240" s="39" t="inlineStr">
        <is>
          <t>Gần tốc độ thật × hệ số nén (13.3).</t>
        </is>
      </c>
      <c r="H240" s="39" t="n"/>
    </row>
    <row r="241" ht="15" customHeight="1" s="32">
      <c r="A241" s="41" t="inlineStr">
        <is>
          <t>rocket_technical</t>
        </is>
      </c>
      <c r="B241" s="41" t="inlineStr">
        <is>
          <t>Bán tải rốc-két</t>
        </is>
      </c>
      <c r="C241" s="41" t="inlineStr">
        <is>
          <t>Tốc độ xoay thân / tháp</t>
        </is>
      </c>
      <c r="D241" s="41" t="inlineStr">
        <is>
          <t>3 / 3</t>
        </is>
      </c>
      <c r="E241" s="49" t="inlineStr">
        <is>
          <t>Giữ</t>
        </is>
      </c>
      <c r="F241" s="41" t="n"/>
      <c r="G241" s="41" t="inlineStr">
        <is>
          <t>Hợp lý so với loại xe.</t>
        </is>
      </c>
      <c r="H241" s="41" t="n"/>
    </row>
    <row r="242" ht="15" customHeight="1" s="32">
      <c r="A242" s="39" t="inlineStr">
        <is>
          <t>rocket_technical</t>
        </is>
      </c>
      <c r="B242" s="39" t="inlineStr">
        <is>
          <t>Bán tải rốc-két</t>
        </is>
      </c>
      <c r="C242" s="39" t="inlineStr">
        <is>
          <t>Kích thước model (dài × rộng × cao)</t>
        </is>
      </c>
      <c r="D242" s="39" t="inlineStr">
        <is>
          <t>4.6 × 1.8 × 2.8</t>
        </is>
      </c>
      <c r="E242" s="49" t="inlineStr">
        <is>
          <t>Giữ</t>
        </is>
      </c>
      <c r="F242" s="39" t="n"/>
      <c r="G242" s="39" t="inlineStr">
        <is>
          <t>Khớp tỷ lệ chung (mẫu thật 5.3 m).</t>
        </is>
      </c>
      <c r="H242" s="39" t="n"/>
    </row>
    <row r="243" ht="15" customHeight="1" s="32">
      <c r="A243" s="41" t="inlineStr">
        <is>
          <t>rocket_technical</t>
        </is>
      </c>
      <c r="B243" s="41" t="inlineStr">
        <is>
          <t>Bán tải rốc-két</t>
        </is>
      </c>
      <c r="C243" s="41" t="inlineStr">
        <is>
          <t>Tầm nhìn</t>
        </is>
      </c>
      <c r="D243" s="43" t="n">
        <v>30</v>
      </c>
      <c r="E243" s="49" t="inlineStr">
        <is>
          <t>Giữ</t>
        </is>
      </c>
      <c r="F243" s="41" t="n"/>
      <c r="G243" s="41" t="inlineStr">
        <is>
          <t>Khớp vai trò.</t>
        </is>
      </c>
      <c r="H243" s="41" t="n"/>
    </row>
    <row r="244" ht="15" customHeight="1" s="32">
      <c r="A244" s="39" t="inlineStr">
        <is>
          <t>rocket_technical</t>
        </is>
      </c>
      <c r="B244" s="39" t="inlineStr">
        <is>
          <t>Bán tải rốc-két</t>
        </is>
      </c>
      <c r="C244" s="39" t="inlineStr">
        <is>
          <t>Tầm bắn</t>
        </is>
      </c>
      <c r="D244" s="39" t="inlineStr">
        <is>
          <t>48</t>
        </is>
      </c>
      <c r="E244" s="49" t="inlineStr">
        <is>
          <t>Giữ</t>
        </is>
      </c>
      <c r="F244" s="39" t="n"/>
      <c r="G244" s="39" t="inlineStr">
        <is>
          <t>Thứ tự tầm hợp lý trong nhóm.</t>
        </is>
      </c>
      <c r="H244" s="39" t="n"/>
    </row>
    <row r="245" ht="15" customHeight="1" s="32">
      <c r="A245" s="41" t="inlineStr">
        <is>
          <t>rocket_technical</t>
        </is>
      </c>
      <c r="B245" s="41" t="inlineStr">
        <is>
          <t>Bán tải rốc-két</t>
        </is>
      </c>
      <c r="C245" s="41" t="inlineStr">
        <is>
          <t>Giá (CP)</t>
        </is>
      </c>
      <c r="D245" s="43" t="n">
        <v>3</v>
      </c>
      <c r="E245" s="49" t="inlineStr">
        <is>
          <t>Giữ</t>
        </is>
      </c>
      <c r="F245" s="41" t="n"/>
      <c r="G245" s="41" t="inlineStr">
        <is>
          <t>Hiệu quả trong khoảng ±25% trung vị, thứ tự giá hợp ngoài đời (sheet Giá CP).</t>
        </is>
      </c>
      <c r="H245" s="41" t="n"/>
    </row>
    <row r="246" ht="15" customHeight="1" s="32">
      <c r="A246" s="39" t="inlineStr">
        <is>
          <t>rocket_technical</t>
        </is>
      </c>
      <c r="B246" s="39" t="inlineStr">
        <is>
          <t>Bán tải rốc-két</t>
        </is>
      </c>
      <c r="C246" s="39" t="inlineStr">
        <is>
          <t>Vũ khí</t>
        </is>
      </c>
      <c r="D246" s="42" t="n">
        <v>2</v>
      </c>
      <c r="E246" s="49" t="inlineStr">
        <is>
          <t>Giữ</t>
        </is>
      </c>
      <c r="F246" s="39" t="n"/>
      <c r="G246" s="39" t="inlineStr">
        <is>
          <t>Bộ vũ khí khớp mẫu thật và vai trò.</t>
        </is>
      </c>
      <c r="H246" s="39" t="n"/>
    </row>
    <row r="247" ht="32.25" customHeight="1" s="32">
      <c r="A247" s="41" t="inlineStr">
        <is>
          <t>rocket_technical</t>
        </is>
      </c>
      <c r="B247" s="41" t="inlineStr">
        <is>
          <t>Bán tải rốc-két</t>
        </is>
      </c>
      <c r="C247" s="41" t="inlineStr">
        <is>
          <t>Hành vi</t>
        </is>
      </c>
      <c r="D247" s="41" t="inlineStr">
        <is>
          <t>Dừng lại mới bắn, từ 12-48 m; cần ta nhìn thấy mục tiêu (tự nó hoặc quân bạn); H</t>
        </is>
      </c>
      <c r="E247" s="49" t="inlineStr">
        <is>
          <t>Giữ</t>
        </is>
      </c>
      <c r="F247" s="41" t="n"/>
      <c r="G247" s="41" t="inlineStr">
        <is>
          <t>Hợp vai trò.</t>
        </is>
      </c>
      <c r="H247" s="41" t="n"/>
    </row>
    <row r="248" ht="15" customHeight="1" s="32">
      <c r="A248" s="39" t="inlineStr">
        <is>
          <t>rocket_technical</t>
        </is>
      </c>
      <c r="B248" s="39" t="inlineStr">
        <is>
          <t>Bán tải rốc-két</t>
        </is>
      </c>
      <c r="C248" s="39" t="inlineStr">
        <is>
          <t>Nổ khi bị phá (bán kính)</t>
        </is>
      </c>
      <c r="D248" s="39" t="inlineStr">
        <is>
          <t>6 m · 120 sát thương</t>
        </is>
      </c>
      <c r="E248" s="49" t="inlineStr">
        <is>
          <t>Giữ</t>
        </is>
      </c>
      <c r="F248" s="39" t="n"/>
      <c r="G248" s="39" t="inlineStr">
        <is>
          <t>Hợp với cỡ xe.</t>
        </is>
      </c>
      <c r="H248" s="39" t="n"/>
    </row>
    <row r="249" ht="32.25" customHeight="1" s="32">
      <c r="A249" s="41" t="inlineStr">
        <is>
          <t>rocket_technical</t>
        </is>
      </c>
      <c r="B249" s="41" t="inlineStr">
        <is>
          <t>Bán tải rốc-két</t>
        </is>
      </c>
      <c r="C249" s="41" t="inlineStr">
        <is>
          <t>Tham khảo / model</t>
        </is>
      </c>
      <c r="D249" s="41" t="inlineStr">
        <is>
          <t>Toyota Hilux 'technical', Type 63 107 mm — Xe bán tải dân sự gắn giàn rốc-két 12 ống</t>
        </is>
      </c>
      <c r="E249" s="49" t="inlineStr">
        <is>
          <t>Giữ</t>
        </is>
      </c>
      <c r="F249" s="41" t="n"/>
      <c r="G249" s="41" t="inlineStr">
        <is>
          <t>Khớp vũ khí và vai trò.</t>
        </is>
      </c>
      <c r="H249" s="41" t="n"/>
    </row>
    <row r="250" ht="15" customHeight="1" s="32">
      <c r="A250" s="39" t="inlineStr">
        <is>
          <t>mortar_carrier</t>
        </is>
      </c>
      <c r="B250" s="39" t="inlineStr">
        <is>
          <t>Xe súng cối</t>
        </is>
      </c>
      <c r="C250" s="39" t="inlineStr">
        <is>
          <t>Tên</t>
        </is>
      </c>
      <c r="D250" s="39" t="inlineStr">
        <is>
          <t>Xe súng cối</t>
        </is>
      </c>
      <c r="E250" s="47" t="inlineStr">
        <is>
          <t>Đổi</t>
        </is>
      </c>
      <c r="F250" s="39" t="inlineStr">
        <is>
          <t>Xe cối tự hành · ngắn: Xe cối · EN: Mortar Carrier</t>
        </is>
      </c>
      <c r="G250" s="39" t="inlineStr">
        <is>
          <t>"Xe súng cối" nghe lạ.</t>
        </is>
      </c>
      <c r="H250" s="49" t="inlineStr">
        <is>
          <t>Thấp</t>
        </is>
      </c>
    </row>
    <row r="251" ht="15" customHeight="1" s="32">
      <c r="A251" s="41" t="inlineStr">
        <is>
          <t>mortar_carrier</t>
        </is>
      </c>
      <c r="B251" s="41" t="inlineStr">
        <is>
          <t>Xe súng cối</t>
        </is>
      </c>
      <c r="C251" s="41" t="inlineStr">
        <is>
          <t>Máu</t>
        </is>
      </c>
      <c r="D251" s="43" t="n">
        <v>704</v>
      </c>
      <c r="E251" s="49" t="inlineStr">
        <is>
          <t>Giữ</t>
        </is>
      </c>
      <c r="F251" s="41" t="n"/>
      <c r="G251" s="41" t="inlineStr">
        <is>
          <t>Máu/CP 1.50 × trung vị lớp Pháo binh.</t>
        </is>
      </c>
      <c r="H251" s="41" t="n"/>
    </row>
    <row r="252" ht="15" customHeight="1" s="32">
      <c r="A252" s="39" t="inlineStr">
        <is>
          <t>mortar_carrier</t>
        </is>
      </c>
      <c r="B252" s="39" t="inlineStr">
        <is>
          <t>Xe súng cối</t>
        </is>
      </c>
      <c r="C252" s="39" t="inlineStr">
        <is>
          <t>Giáp (T/H/S/N)</t>
        </is>
      </c>
      <c r="D252" s="39" t="inlineStr">
        <is>
          <t>1/0/0/0</t>
        </is>
      </c>
      <c r="E252" s="47" t="inlineStr">
        <is>
          <t>Đổi</t>
        </is>
      </c>
      <c r="F252" s="39" t="inlineStr">
        <is>
          <t>1/1/0/0</t>
        </is>
      </c>
      <c r="G252" s="39" t="inlineStr">
        <is>
          <t>Khung M113.</t>
        </is>
      </c>
      <c r="H252" s="48" t="inlineStr">
        <is>
          <t>Trung</t>
        </is>
      </c>
    </row>
    <row r="253" ht="21.75" customHeight="1" s="32">
      <c r="A253" s="41" t="inlineStr">
        <is>
          <t>mortar_carrier</t>
        </is>
      </c>
      <c r="B253" s="41" t="inlineStr">
        <is>
          <t>Xe súng cối</t>
        </is>
      </c>
      <c r="C253" s="41" t="inlineStr">
        <is>
          <t>Tốc độ</t>
        </is>
      </c>
      <c r="D253" s="43" t="n">
        <v>8</v>
      </c>
      <c r="E253" s="48" t="inlineStr">
        <is>
          <t>Xem lại</t>
        </is>
      </c>
      <c r="F253" s="41" t="inlineStr">
        <is>
          <t>Mẫu thật × hệ số map ≈ 5.9 m/s</t>
        </is>
      </c>
      <c r="G253" s="41" t="inlineStr">
        <is>
          <t>Lệch hơn 35% so với tốc độ thật nhân hệ số nén của map (xích 0,33, bánh 0,4, trực thăng 0,17, máy bay 0,16). Có thể giữ nếu là chủ đích.</t>
        </is>
      </c>
      <c r="H253" s="41" t="n"/>
    </row>
    <row r="254" ht="15" customHeight="1" s="32">
      <c r="A254" s="39" t="inlineStr">
        <is>
          <t>mortar_carrier</t>
        </is>
      </c>
      <c r="B254" s="39" t="inlineStr">
        <is>
          <t>Xe súng cối</t>
        </is>
      </c>
      <c r="C254" s="39" t="inlineStr">
        <is>
          <t>Tốc độ xoay thân / tháp</t>
        </is>
      </c>
      <c r="D254" s="39" t="inlineStr">
        <is>
          <t>2 / 2</t>
        </is>
      </c>
      <c r="E254" s="49" t="inlineStr">
        <is>
          <t>Giữ</t>
        </is>
      </c>
      <c r="F254" s="39" t="n"/>
      <c r="G254" s="39" t="inlineStr">
        <is>
          <t>Hợp lý so với loại xe.</t>
        </is>
      </c>
      <c r="H254" s="39" t="n"/>
    </row>
    <row r="255" ht="15" customHeight="1" s="32">
      <c r="A255" s="41" t="inlineStr">
        <is>
          <t>mortar_carrier</t>
        </is>
      </c>
      <c r="B255" s="41" t="inlineStr">
        <is>
          <t>Xe súng cối</t>
        </is>
      </c>
      <c r="C255" s="41" t="inlineStr">
        <is>
          <t>Kích thước model (dài × rộng × cao)</t>
        </is>
      </c>
      <c r="D255" s="41" t="inlineStr">
        <is>
          <t>4.4 × 2.5 × 3.2</t>
        </is>
      </c>
      <c r="E255" s="49" t="inlineStr">
        <is>
          <t>Giữ</t>
        </is>
      </c>
      <c r="F255" s="41" t="n"/>
      <c r="G255" s="41" t="inlineStr">
        <is>
          <t>Khớp tỷ lệ chung (mẫu thật 4.9 m).</t>
        </is>
      </c>
      <c r="H255" s="41" t="n"/>
    </row>
    <row r="256" ht="15" customHeight="1" s="32">
      <c r="A256" s="39" t="inlineStr">
        <is>
          <t>mortar_carrier</t>
        </is>
      </c>
      <c r="B256" s="39" t="inlineStr">
        <is>
          <t>Xe súng cối</t>
        </is>
      </c>
      <c r="C256" s="39" t="inlineStr">
        <is>
          <t>Tầm nhìn</t>
        </is>
      </c>
      <c r="D256" s="42" t="n">
        <v>26</v>
      </c>
      <c r="E256" s="49" t="inlineStr">
        <is>
          <t>Giữ</t>
        </is>
      </c>
      <c r="F256" s="39" t="n"/>
      <c r="G256" s="39" t="inlineStr">
        <is>
          <t>Khớp vai trò.</t>
        </is>
      </c>
      <c r="H256" s="39" t="n"/>
    </row>
    <row r="257" ht="15" customHeight="1" s="32">
      <c r="A257" s="41" t="inlineStr">
        <is>
          <t>mortar_carrier</t>
        </is>
      </c>
      <c r="B257" s="41" t="inlineStr">
        <is>
          <t>Xe súng cối</t>
        </is>
      </c>
      <c r="C257" s="41" t="inlineStr">
        <is>
          <t>Tầm bắn</t>
        </is>
      </c>
      <c r="D257" s="41" t="inlineStr">
        <is>
          <t>55</t>
        </is>
      </c>
      <c r="E257" s="49" t="inlineStr">
        <is>
          <t>Giữ</t>
        </is>
      </c>
      <c r="F257" s="41" t="n"/>
      <c r="G257" s="41" t="inlineStr">
        <is>
          <t>Thứ tự tầm hợp lý trong nhóm.</t>
        </is>
      </c>
      <c r="H257" s="41" t="n"/>
    </row>
    <row r="258" ht="15" customHeight="1" s="32">
      <c r="A258" s="39" t="inlineStr">
        <is>
          <t>mortar_carrier</t>
        </is>
      </c>
      <c r="B258" s="39" t="inlineStr">
        <is>
          <t>Xe súng cối</t>
        </is>
      </c>
      <c r="C258" s="39" t="inlineStr">
        <is>
          <t>Giá (CP)</t>
        </is>
      </c>
      <c r="D258" s="42" t="n">
        <v>4</v>
      </c>
      <c r="E258" s="49" t="inlineStr">
        <is>
          <t>Giữ</t>
        </is>
      </c>
      <c r="F258" s="39" t="n"/>
      <c r="G258" s="39" t="inlineStr">
        <is>
          <t>Hiệu quả trong khoảng ±25% trung vị, thứ tự giá hợp ngoài đời (sheet Giá CP).</t>
        </is>
      </c>
      <c r="H258" s="39" t="n"/>
    </row>
    <row r="259" ht="15" customHeight="1" s="32">
      <c r="A259" s="41" t="inlineStr">
        <is>
          <t>mortar_carrier</t>
        </is>
      </c>
      <c r="B259" s="41" t="inlineStr">
        <is>
          <t>Xe súng cối</t>
        </is>
      </c>
      <c r="C259" s="41" t="inlineStr">
        <is>
          <t>Vũ khí: cối 120 mm</t>
        </is>
      </c>
      <c r="D259" s="41" t="inlineStr">
        <is>
          <t>0,17 phát/s</t>
        </is>
      </c>
      <c r="E259" s="47" t="inlineStr">
        <is>
          <t>Đổi</t>
        </is>
      </c>
      <c r="F259" s="41" t="inlineStr">
        <is>
          <t>0,2 phát/s</t>
        </is>
      </c>
      <c r="G259" s="41" t="inlineStr">
        <is>
          <t>Cối 120 bắn nhanh ngoài đời; cảm giác "mưa cối".</t>
        </is>
      </c>
      <c r="H259" s="49" t="inlineStr">
        <is>
          <t>Thấp</t>
        </is>
      </c>
    </row>
    <row r="260" ht="32.25" customHeight="1" s="32">
      <c r="A260" s="39" t="inlineStr">
        <is>
          <t>mortar_carrier</t>
        </is>
      </c>
      <c r="B260" s="39" t="inlineStr">
        <is>
          <t>Xe súng cối</t>
        </is>
      </c>
      <c r="C260" s="39" t="inlineStr">
        <is>
          <t>Hành vi</t>
        </is>
      </c>
      <c r="D260" s="39" t="inlineStr">
        <is>
          <t>Dừng lại mới bắn, từ 10-55 m; cần ta nhìn thấy mục tiêu (tự nó hoặc quân bạn); H</t>
        </is>
      </c>
      <c r="E260" s="49" t="inlineStr">
        <is>
          <t>Giữ</t>
        </is>
      </c>
      <c r="F260" s="39" t="n"/>
      <c r="G260" s="39" t="inlineStr">
        <is>
          <t>Hợp vai trò.</t>
        </is>
      </c>
      <c r="H260" s="39" t="n"/>
    </row>
    <row r="261" ht="21.75" customHeight="1" s="32">
      <c r="A261" s="41" t="inlineStr">
        <is>
          <t>mortar_carrier</t>
        </is>
      </c>
      <c r="B261" s="41" t="inlineStr">
        <is>
          <t>Xe súng cối</t>
        </is>
      </c>
      <c r="C261" s="41" t="inlineStr">
        <is>
          <t>Nổ khi bị phá (bán kính)</t>
        </is>
      </c>
      <c r="D261" s="41" t="inlineStr">
        <is>
          <t>5 m · 120 sát thương</t>
        </is>
      </c>
      <c r="E261" s="47" t="inlineStr">
        <is>
          <t>Đổi</t>
        </is>
      </c>
      <c r="F261" s="41" t="inlineStr">
        <is>
          <t>~8 m</t>
        </is>
      </c>
      <c r="G261" s="41" t="inlineStr">
        <is>
          <t>Bán kính nổ khi bị phá nên theo cỡ xe, cộng thêm nếu xe chở nhiều đạn/nhiên liệu. Xe này chở nhiều đạn.</t>
        </is>
      </c>
      <c r="H261" s="49" t="inlineStr">
        <is>
          <t>Thấp</t>
        </is>
      </c>
    </row>
    <row r="262" ht="32.25" customHeight="1" s="32">
      <c r="A262" s="39" t="inlineStr">
        <is>
          <t>mortar_carrier</t>
        </is>
      </c>
      <c r="B262" s="39" t="inlineStr">
        <is>
          <t>Xe súng cối</t>
        </is>
      </c>
      <c r="C262" s="39" t="inlineStr">
        <is>
          <t>Tham khảo / model</t>
        </is>
      </c>
      <c r="D262" s="39" t="inlineStr">
        <is>
          <t>M1064 (M113 mang cối 120 mm), 2B11 120 mm — Xe bọc thép M113 bắn cối qua cửa nóc</t>
        </is>
      </c>
      <c r="E262" s="49" t="inlineStr">
        <is>
          <t>Giữ</t>
        </is>
      </c>
      <c r="F262" s="39" t="n"/>
      <c r="G262" s="39" t="inlineStr">
        <is>
          <t>Khớp vũ khí và vai trò.</t>
        </is>
      </c>
      <c r="H262" s="39" t="n"/>
    </row>
    <row r="263" ht="15" customHeight="1" s="32">
      <c r="A263" s="41" t="inlineStr">
        <is>
          <t>artillery</t>
        </is>
      </c>
      <c r="B263" s="41" t="inlineStr">
        <is>
          <t>Pháo tự hành</t>
        </is>
      </c>
      <c r="C263" s="41" t="inlineStr">
        <is>
          <t>Tên</t>
        </is>
      </c>
      <c r="D263" s="41" t="inlineStr">
        <is>
          <t>Pháo tự hành</t>
        </is>
      </c>
      <c r="E263" s="47" t="inlineStr">
        <is>
          <t>Đổi</t>
        </is>
      </c>
      <c r="F263" s="41" t="inlineStr">
        <is>
          <t>Lựu pháo tự hành · ngắn: Lựu pháo · EN: SP Howitzer</t>
        </is>
      </c>
      <c r="G263" s="41" t="inlineStr">
        <is>
          <t>"Pháo tự hành" quá chung (pháo phản lực, pháo chống tăng cũng tự hành).</t>
        </is>
      </c>
      <c r="H263" s="49" t="inlineStr">
        <is>
          <t>Thấp</t>
        </is>
      </c>
    </row>
    <row r="264" ht="15" customHeight="1" s="32">
      <c r="A264" s="39" t="inlineStr">
        <is>
          <t>artillery</t>
        </is>
      </c>
      <c r="B264" s="39" t="inlineStr">
        <is>
          <t>Pháo tự hành</t>
        </is>
      </c>
      <c r="C264" s="39" t="inlineStr">
        <is>
          <t>Máu</t>
        </is>
      </c>
      <c r="D264" s="42" t="n">
        <v>660</v>
      </c>
      <c r="E264" s="49" t="inlineStr">
        <is>
          <t>Giữ</t>
        </is>
      </c>
      <c r="F264" s="39" t="n"/>
      <c r="G264" s="39" t="inlineStr">
        <is>
          <t>Máu/CP 0.94 × trung vị lớp Pháo binh.</t>
        </is>
      </c>
      <c r="H264" s="39" t="n"/>
    </row>
    <row r="265" ht="15" customHeight="1" s="32">
      <c r="A265" s="41" t="inlineStr">
        <is>
          <t>artillery</t>
        </is>
      </c>
      <c r="B265" s="41" t="inlineStr">
        <is>
          <t>Pháo tự hành</t>
        </is>
      </c>
      <c r="C265" s="41" t="inlineStr">
        <is>
          <t>Giáp (T/H/S/N)</t>
        </is>
      </c>
      <c r="D265" s="41" t="inlineStr">
        <is>
          <t>1/0/0/0</t>
        </is>
      </c>
      <c r="E265" s="47" t="inlineStr">
        <is>
          <t>Đổi</t>
        </is>
      </c>
      <c r="F265" s="41" t="inlineStr">
        <is>
          <t>2/1/1/0</t>
        </is>
      </c>
      <c r="G265" s="41" t="inlineStr">
        <is>
          <t>M109 có giáp nhẹ chống mảnh (nếu đổi model sang M109).</t>
        </is>
      </c>
      <c r="H265" s="48" t="inlineStr">
        <is>
          <t>Trung</t>
        </is>
      </c>
    </row>
    <row r="266" ht="15" customHeight="1" s="32">
      <c r="A266" s="39" t="inlineStr">
        <is>
          <t>artillery</t>
        </is>
      </c>
      <c r="B266" s="39" t="inlineStr">
        <is>
          <t>Pháo tự hành</t>
        </is>
      </c>
      <c r="C266" s="39" t="inlineStr">
        <is>
          <t>Tốc độ</t>
        </is>
      </c>
      <c r="D266" s="42" t="n">
        <v>7</v>
      </c>
      <c r="E266" s="49" t="inlineStr">
        <is>
          <t>Giữ</t>
        </is>
      </c>
      <c r="F266" s="39" t="n"/>
      <c r="G266" s="39" t="inlineStr">
        <is>
          <t>Gần tốc độ thật × hệ số nén (5.6).</t>
        </is>
      </c>
      <c r="H266" s="39" t="n"/>
    </row>
    <row r="267" ht="15" customHeight="1" s="32">
      <c r="A267" s="41" t="inlineStr">
        <is>
          <t>artillery</t>
        </is>
      </c>
      <c r="B267" s="41" t="inlineStr">
        <is>
          <t>Pháo tự hành</t>
        </is>
      </c>
      <c r="C267" s="41" t="inlineStr">
        <is>
          <t>Tốc độ xoay thân / tháp</t>
        </is>
      </c>
      <c r="D267" s="41" t="inlineStr">
        <is>
          <t>1 / 1</t>
        </is>
      </c>
      <c r="E267" s="49" t="inlineStr">
        <is>
          <t>Giữ</t>
        </is>
      </c>
      <c r="F267" s="41" t="n"/>
      <c r="G267" s="41" t="inlineStr">
        <is>
          <t>Hợp lý so với loại xe.</t>
        </is>
      </c>
      <c r="H267" s="41" t="n"/>
    </row>
    <row r="268" ht="21.75" customHeight="1" s="32">
      <c r="A268" s="39" t="inlineStr">
        <is>
          <t>artillery</t>
        </is>
      </c>
      <c r="B268" s="39" t="inlineStr">
        <is>
          <t>Pháo tự hành</t>
        </is>
      </c>
      <c r="C268" s="39" t="inlineStr">
        <is>
          <t>Kích thước model (dài × rộng × cao)</t>
        </is>
      </c>
      <c r="D268" s="39" t="inlineStr">
        <is>
          <t>8.1 × 2.3 × 3.6</t>
        </is>
      </c>
      <c r="E268" s="47" t="inlineStr">
        <is>
          <t>Đổi</t>
        </is>
      </c>
      <c r="F268" s="39" t="inlineStr">
        <is>
          <t>7.8 × 3.1 × 2.9</t>
        </is>
      </c>
      <c r="G268" s="39" t="inlineStr">
        <is>
          <t>Mẫu thật M109A7 (đề xuất đổi từ CAESAR): 9.7 × 3.9 m; theo tỷ lệ chung (mặt đất 0,8) nên là 7.8 × 3.1 m. Đổi kích thước thì chỉnh vùng va chạm và chạy lại test xe kẹt.</t>
        </is>
      </c>
      <c r="H268" s="49" t="inlineStr">
        <is>
          <t>Thấp</t>
        </is>
      </c>
    </row>
    <row r="269" ht="15" customHeight="1" s="32">
      <c r="A269" s="41" t="inlineStr">
        <is>
          <t>artillery</t>
        </is>
      </c>
      <c r="B269" s="41" t="inlineStr">
        <is>
          <t>Pháo tự hành</t>
        </is>
      </c>
      <c r="C269" s="41" t="inlineStr">
        <is>
          <t>Tầm nhìn</t>
        </is>
      </c>
      <c r="D269" s="43" t="n">
        <v>30</v>
      </c>
      <c r="E269" s="49" t="inlineStr">
        <is>
          <t>Giữ</t>
        </is>
      </c>
      <c r="F269" s="41" t="n"/>
      <c r="G269" s="41" t="inlineStr">
        <is>
          <t>Khớp vai trò.</t>
        </is>
      </c>
      <c r="H269" s="41" t="n"/>
    </row>
    <row r="270" ht="15" customHeight="1" s="32">
      <c r="A270" s="39" t="inlineStr">
        <is>
          <t>artillery</t>
        </is>
      </c>
      <c r="B270" s="39" t="inlineStr">
        <is>
          <t>Pháo tự hành</t>
        </is>
      </c>
      <c r="C270" s="39" t="inlineStr">
        <is>
          <t>Tầm bắn</t>
        </is>
      </c>
      <c r="D270" s="39" t="inlineStr">
        <is>
          <t>90</t>
        </is>
      </c>
      <c r="E270" s="49" t="inlineStr">
        <is>
          <t>Giữ</t>
        </is>
      </c>
      <c r="F270" s="39" t="n"/>
      <c r="G270" s="39" t="inlineStr">
        <is>
          <t>Thứ tự tầm hợp lý trong nhóm.</t>
        </is>
      </c>
      <c r="H270" s="39" t="n"/>
    </row>
    <row r="271" ht="15" customHeight="1" s="32">
      <c r="A271" s="41" t="inlineStr">
        <is>
          <t>artillery</t>
        </is>
      </c>
      <c r="B271" s="41" t="inlineStr">
        <is>
          <t>Pháo tự hành</t>
        </is>
      </c>
      <c r="C271" s="41" t="inlineStr">
        <is>
          <t>Giá (CP)</t>
        </is>
      </c>
      <c r="D271" s="43" t="n">
        <v>6</v>
      </c>
      <c r="E271" s="49" t="inlineStr">
        <is>
          <t>Giữ</t>
        </is>
      </c>
      <c r="F271" s="41" t="n"/>
      <c r="G271" s="41" t="inlineStr">
        <is>
          <t>Hiệu quả trong khoảng ±25% trung vị, thứ tự giá hợp ngoài đời (sheet Giá CP).</t>
        </is>
      </c>
      <c r="H271" s="41" t="n"/>
    </row>
    <row r="272" ht="21.75" customHeight="1" s="32">
      <c r="A272" s="39" t="inlineStr">
        <is>
          <t>artillery</t>
        </is>
      </c>
      <c r="B272" s="39" t="inlineStr">
        <is>
          <t>Pháo tự hành</t>
        </is>
      </c>
      <c r="C272" s="39" t="inlineStr">
        <is>
          <t>Vũ khí: lựu pháo 155 mm</t>
        </is>
      </c>
      <c r="D272" s="39" t="inlineStr">
        <is>
          <t>0,10 phát/s · DPS duy trì 27 · giá trị thấp hơn Pháo phản lực cùng giá</t>
        </is>
      </c>
      <c r="E272" s="47" t="inlineStr">
        <is>
          <t>Đổi</t>
        </is>
      </c>
      <c r="F272" s="39" t="inlineStr">
        <is>
          <t>0,14 phát/s · bắn 3 loạt rồi dời vị trí (giữ)</t>
        </is>
      </c>
      <c r="G272" s="39" t="inlineStr">
        <is>
          <t>Pháo tự hành đang kém hẳn pháo phản lực 6 CP (331 so với 510 theo vai trò).</t>
        </is>
      </c>
      <c r="H272" s="47" t="inlineStr">
        <is>
          <t>Cao</t>
        </is>
      </c>
    </row>
    <row r="273" ht="32.25" customHeight="1" s="32">
      <c r="A273" s="41" t="inlineStr">
        <is>
          <t>artillery</t>
        </is>
      </c>
      <c r="B273" s="41" t="inlineStr">
        <is>
          <t>Pháo tự hành</t>
        </is>
      </c>
      <c r="C273" s="41" t="inlineStr">
        <is>
          <t>Hành vi</t>
        </is>
      </c>
      <c r="D273" s="41" t="inlineStr">
        <is>
          <t>Dừng lại mới bắn, từ 25-90 m; cần ta nhìn thấy mục tiêu (tự nó hoặc quân bạn); B</t>
        </is>
      </c>
      <c r="E273" s="49" t="inlineStr">
        <is>
          <t>Giữ</t>
        </is>
      </c>
      <c r="F273" s="41" t="n"/>
      <c r="G273" s="41" t="inlineStr">
        <is>
          <t>Hợp vai trò.</t>
        </is>
      </c>
      <c r="H273" s="41" t="n"/>
    </row>
    <row r="274" ht="21.75" customHeight="1" s="32">
      <c r="A274" s="39" t="inlineStr">
        <is>
          <t>artillery</t>
        </is>
      </c>
      <c r="B274" s="39" t="inlineStr">
        <is>
          <t>Pháo tự hành</t>
        </is>
      </c>
      <c r="C274" s="39" t="inlineStr">
        <is>
          <t>Nổ khi bị phá (bán kính)</t>
        </is>
      </c>
      <c r="D274" s="39" t="inlineStr">
        <is>
          <t>6 m · 160 sát thương</t>
        </is>
      </c>
      <c r="E274" s="47" t="inlineStr">
        <is>
          <t>Đổi</t>
        </is>
      </c>
      <c r="F274" s="39" t="inlineStr">
        <is>
          <t>~10 m</t>
        </is>
      </c>
      <c r="G274" s="39" t="inlineStr">
        <is>
          <t>Bán kính nổ khi bị phá nên theo cỡ xe, cộng thêm nếu xe chở nhiều đạn/nhiên liệu. Xe này chở nhiều đạn.</t>
        </is>
      </c>
      <c r="H274" s="49" t="inlineStr">
        <is>
          <t>Thấp</t>
        </is>
      </c>
    </row>
    <row r="275" ht="21.75" customHeight="1" s="32">
      <c r="A275" s="41" t="inlineStr">
        <is>
          <t>artillery</t>
        </is>
      </c>
      <c r="B275" s="41" t="inlineStr">
        <is>
          <t>Pháo tự hành</t>
        </is>
      </c>
      <c r="C275" s="41" t="inlineStr">
        <is>
          <t>Tham khảo / model</t>
        </is>
      </c>
      <c r="D275" s="41" t="inlineStr">
        <is>
          <t>CAESAR bánh lốp (nằm trong danh sách giữ lại)</t>
        </is>
      </c>
      <c r="E275" s="47" t="inlineStr">
        <is>
          <t>Đổi</t>
        </is>
      </c>
      <c r="F275" s="41" t="inlineStr">
        <is>
          <t>Đổi model sang M109A7 xích; giáp trước 1→2; tốc độ 7→6</t>
        </is>
      </c>
      <c r="G275" s="41" t="inlineStr">
        <is>
          <t>Để CAESAR cho thẻ "Pháo bánh lốp bắn rồi chạy" sau này, không vướng danh sách giữ lại.</t>
        </is>
      </c>
      <c r="H275" s="47" t="inlineStr">
        <is>
          <t>Cao</t>
        </is>
      </c>
    </row>
    <row r="276" ht="21.75" customHeight="1" s="32">
      <c r="A276" s="39" t="inlineStr">
        <is>
          <t>mlrs</t>
        </is>
      </c>
      <c r="B276" s="39" t="inlineStr">
        <is>
          <t>Pháo phản lực</t>
        </is>
      </c>
      <c r="C276" s="39" t="inlineStr">
        <is>
          <t>Tên</t>
        </is>
      </c>
      <c r="D276" s="39" t="inlineStr">
        <is>
          <t>Pháo phản lực</t>
        </is>
      </c>
      <c r="E276" s="47" t="inlineStr">
        <is>
          <t>Đổi</t>
        </is>
      </c>
      <c r="F276" s="39" t="inlineStr">
        <is>
          <t>Pháo phản lực dẫn đường · ngắn: Phản lực · EN: Guided MLRS</t>
        </is>
      </c>
      <c r="G276" s="39" t="inlineStr">
        <is>
          <t>Phân biệt với pháo phản lực hạng nặng và nhiệt áp.</t>
        </is>
      </c>
      <c r="H276" s="49" t="inlineStr">
        <is>
          <t>Thấp</t>
        </is>
      </c>
    </row>
    <row r="277" ht="15" customHeight="1" s="32">
      <c r="A277" s="41" t="inlineStr">
        <is>
          <t>mlrs</t>
        </is>
      </c>
      <c r="B277" s="41" t="inlineStr">
        <is>
          <t>Pháo phản lực</t>
        </is>
      </c>
      <c r="C277" s="41" t="inlineStr">
        <is>
          <t>Máu</t>
        </is>
      </c>
      <c r="D277" s="43" t="n">
        <v>704</v>
      </c>
      <c r="E277" s="49" t="inlineStr">
        <is>
          <t>Giữ</t>
        </is>
      </c>
      <c r="F277" s="41" t="n"/>
      <c r="G277" s="41" t="inlineStr">
        <is>
          <t>Máu/CP 1.00 × trung vị lớp Pháo binh.</t>
        </is>
      </c>
      <c r="H277" s="41" t="n"/>
    </row>
    <row r="278" ht="15" customHeight="1" s="32">
      <c r="A278" s="39" t="inlineStr">
        <is>
          <t>mlrs</t>
        </is>
      </c>
      <c r="B278" s="39" t="inlineStr">
        <is>
          <t>Pháo phản lực</t>
        </is>
      </c>
      <c r="C278" s="39" t="inlineStr">
        <is>
          <t>Giáp (T/H/S/N)</t>
        </is>
      </c>
      <c r="D278" s="39" t="inlineStr">
        <is>
          <t>1/0/0/0</t>
        </is>
      </c>
      <c r="E278" s="49" t="inlineStr">
        <is>
          <t>Giữ</t>
        </is>
      </c>
      <c r="F278" s="39" t="n"/>
      <c r="G278" s="39" t="inlineStr">
        <is>
          <t>Giả tưởng / máy bay; khớp vai trò.</t>
        </is>
      </c>
      <c r="H278" s="39" t="n"/>
    </row>
    <row r="279" ht="21.75" customHeight="1" s="32">
      <c r="A279" s="41" t="inlineStr">
        <is>
          <t>mlrs</t>
        </is>
      </c>
      <c r="B279" s="41" t="inlineStr">
        <is>
          <t>Pháo phản lực</t>
        </is>
      </c>
      <c r="C279" s="41" t="inlineStr">
        <is>
          <t>Tốc độ</t>
        </is>
      </c>
      <c r="D279" s="43" t="n">
        <v>6</v>
      </c>
      <c r="E279" s="48" t="inlineStr">
        <is>
          <t>Xem lại</t>
        </is>
      </c>
      <c r="F279" s="41" t="inlineStr">
        <is>
          <t>Mẫu thật × hệ số map ≈ 9.4 m/s</t>
        </is>
      </c>
      <c r="G279" s="41" t="inlineStr">
        <is>
          <t>Lệch hơn 35% so với tốc độ thật nhân hệ số nén của map (xích 0,33, bánh 0,4, trực thăng 0,17, máy bay 0,16). Có thể giữ nếu là chủ đích.</t>
        </is>
      </c>
      <c r="H279" s="41" t="n"/>
    </row>
    <row r="280" ht="15" customHeight="1" s="32">
      <c r="A280" s="39" t="inlineStr">
        <is>
          <t>mlrs</t>
        </is>
      </c>
      <c r="B280" s="39" t="inlineStr">
        <is>
          <t>Pháo phản lực</t>
        </is>
      </c>
      <c r="C280" s="39" t="inlineStr">
        <is>
          <t>Tốc độ xoay thân / tháp</t>
        </is>
      </c>
      <c r="D280" s="39" t="inlineStr">
        <is>
          <t>1 / 1</t>
        </is>
      </c>
      <c r="E280" s="49" t="inlineStr">
        <is>
          <t>Giữ</t>
        </is>
      </c>
      <c r="F280" s="39" t="n"/>
      <c r="G280" s="39" t="inlineStr">
        <is>
          <t>Hợp lý so với loại xe.</t>
        </is>
      </c>
      <c r="H280" s="39" t="n"/>
    </row>
    <row r="281" ht="15" customHeight="1" s="32">
      <c r="A281" s="41" t="inlineStr">
        <is>
          <t>mlrs</t>
        </is>
      </c>
      <c r="B281" s="41" t="inlineStr">
        <is>
          <t>Pháo phản lực</t>
        </is>
      </c>
      <c r="C281" s="41" t="inlineStr">
        <is>
          <t>Kích thước model (dài × rộng × cao)</t>
        </is>
      </c>
      <c r="D281" s="41" t="inlineStr">
        <is>
          <t>6.4 × 2.3 × 3.6</t>
        </is>
      </c>
      <c r="E281" s="49" t="inlineStr">
        <is>
          <t>Giữ</t>
        </is>
      </c>
      <c r="F281" s="41" t="n"/>
      <c r="G281" s="41" t="inlineStr">
        <is>
          <t>Khớp tỷ lệ chung (mẫu thật 7.0 m).</t>
        </is>
      </c>
      <c r="H281" s="41" t="n"/>
    </row>
    <row r="282" ht="15" customHeight="1" s="32">
      <c r="A282" s="39" t="inlineStr">
        <is>
          <t>mlrs</t>
        </is>
      </c>
      <c r="B282" s="39" t="inlineStr">
        <is>
          <t>Pháo phản lực</t>
        </is>
      </c>
      <c r="C282" s="39" t="inlineStr">
        <is>
          <t>Tầm nhìn</t>
        </is>
      </c>
      <c r="D282" s="42" t="n">
        <v>30</v>
      </c>
      <c r="E282" s="49" t="inlineStr">
        <is>
          <t>Giữ</t>
        </is>
      </c>
      <c r="F282" s="39" t="n"/>
      <c r="G282" s="39" t="inlineStr">
        <is>
          <t>Khớp vai trò.</t>
        </is>
      </c>
      <c r="H282" s="39" t="n"/>
    </row>
    <row r="283" ht="15" customHeight="1" s="32">
      <c r="A283" s="41" t="inlineStr">
        <is>
          <t>mlrs</t>
        </is>
      </c>
      <c r="B283" s="41" t="inlineStr">
        <is>
          <t>Pháo phản lực</t>
        </is>
      </c>
      <c r="C283" s="41" t="inlineStr">
        <is>
          <t>Tầm bắn</t>
        </is>
      </c>
      <c r="D283" s="41" t="inlineStr">
        <is>
          <t>110</t>
        </is>
      </c>
      <c r="E283" s="49" t="inlineStr">
        <is>
          <t>Giữ</t>
        </is>
      </c>
      <c r="F283" s="41" t="n"/>
      <c r="G283" s="41" t="inlineStr">
        <is>
          <t>Thứ tự tầm hợp lý trong nhóm.</t>
        </is>
      </c>
      <c r="H283" s="41" t="n"/>
    </row>
    <row r="284" ht="15" customHeight="1" s="32">
      <c r="A284" s="39" t="inlineStr">
        <is>
          <t>mlrs</t>
        </is>
      </c>
      <c r="B284" s="39" t="inlineStr">
        <is>
          <t>Pháo phản lực</t>
        </is>
      </c>
      <c r="C284" s="39" t="inlineStr">
        <is>
          <t>Giá (CP)</t>
        </is>
      </c>
      <c r="D284" s="42" t="n">
        <v>6</v>
      </c>
      <c r="E284" s="47" t="inlineStr">
        <is>
          <t>Đổi</t>
        </is>
      </c>
      <c r="F284" s="39" t="inlineStr">
        <is>
          <t>7 CP</t>
        </is>
      </c>
      <c r="G284" s="39" t="inlineStr">
        <is>
          <t>Mạnh hơn pháo tự hành cùng giá; HIMARS ngoài đời đắt hơn lựu pháo.</t>
        </is>
      </c>
      <c r="H284" s="48" t="inlineStr">
        <is>
          <t>Trung</t>
        </is>
      </c>
    </row>
    <row r="285" ht="15" customHeight="1" s="32">
      <c r="A285" s="41" t="inlineStr">
        <is>
          <t>mlrs</t>
        </is>
      </c>
      <c r="B285" s="41" t="inlineStr">
        <is>
          <t>Pháo phản lực</t>
        </is>
      </c>
      <c r="C285" s="41" t="inlineStr">
        <is>
          <t>Vũ khí</t>
        </is>
      </c>
      <c r="D285" s="43" t="n">
        <v>2</v>
      </c>
      <c r="E285" s="49" t="inlineStr">
        <is>
          <t>Giữ</t>
        </is>
      </c>
      <c r="F285" s="41" t="n"/>
      <c r="G285" s="41" t="inlineStr">
        <is>
          <t>Bộ vũ khí khớp mẫu thật và vai trò.</t>
        </is>
      </c>
      <c r="H285" s="41" t="n"/>
    </row>
    <row r="286" ht="15" customHeight="1" s="32">
      <c r="A286" s="39" t="inlineStr">
        <is>
          <t>mlrs</t>
        </is>
      </c>
      <c r="B286" s="39" t="inlineStr">
        <is>
          <t>Pháo phản lực</t>
        </is>
      </c>
      <c r="C286" s="39" t="inlineStr">
        <is>
          <t>Hành vi</t>
        </is>
      </c>
      <c r="D286" s="39" t="inlineStr">
        <is>
          <t>Đứng bắn, không dời vị trí</t>
        </is>
      </c>
      <c r="E286" s="47" t="inlineStr">
        <is>
          <t>Đổi</t>
        </is>
      </c>
      <c r="F286" s="39" t="inlineStr">
        <is>
          <t>Bắn xong một loạt thì dời vị trí 15–20 m (như Pháo tự hành)</t>
        </is>
      </c>
      <c r="G286" s="39" t="inlineStr">
        <is>
          <t>HIMARS nổi tiếng với chiến thuật bắn rồi chạy.</t>
        </is>
      </c>
      <c r="H286" s="48" t="inlineStr">
        <is>
          <t>Trung</t>
        </is>
      </c>
    </row>
    <row r="287" ht="15" customHeight="1" s="32">
      <c r="A287" s="41" t="inlineStr">
        <is>
          <t>mlrs</t>
        </is>
      </c>
      <c r="B287" s="41" t="inlineStr">
        <is>
          <t>Pháo phản lực</t>
        </is>
      </c>
      <c r="C287" s="41" t="inlineStr">
        <is>
          <t>Nổ khi bị phá (bán kính)</t>
        </is>
      </c>
      <c r="D287" s="41" t="inlineStr">
        <is>
          <t>8 m · 220 sát thương</t>
        </is>
      </c>
      <c r="E287" s="49" t="inlineStr">
        <is>
          <t>Giữ</t>
        </is>
      </c>
      <c r="F287" s="41" t="n"/>
      <c r="G287" s="41" t="inlineStr">
        <is>
          <t>Hợp với cỡ xe.</t>
        </is>
      </c>
      <c r="H287" s="41" t="n"/>
    </row>
    <row r="288" ht="32.25" customHeight="1" s="32">
      <c r="A288" s="39" t="inlineStr">
        <is>
          <t>mlrs</t>
        </is>
      </c>
      <c r="B288" s="39" t="inlineStr">
        <is>
          <t>Pháo phản lực</t>
        </is>
      </c>
      <c r="C288" s="39" t="inlineStr">
        <is>
          <t>Tham khảo / model</t>
        </is>
      </c>
      <c r="D288" s="39" t="inlineStr">
        <is>
          <t>M142 HIMARS, M270 MLRS, M31 GMLRS 227 mm — Xe phóng rốc-két, nâng khối ống lên để bắn</t>
        </is>
      </c>
      <c r="E288" s="49" t="inlineStr">
        <is>
          <t>Giữ</t>
        </is>
      </c>
      <c r="F288" s="39" t="n"/>
      <c r="G288" s="39" t="inlineStr">
        <is>
          <t>Khớp vũ khí và vai trò.</t>
        </is>
      </c>
      <c r="H288" s="39" t="n"/>
    </row>
    <row r="289" ht="21.75" customHeight="1" s="32">
      <c r="A289" s="41" t="inlineStr">
        <is>
          <t>shahed_truck</t>
        </is>
      </c>
      <c r="B289" s="41" t="inlineStr">
        <is>
          <t>Xe phóng Shahed</t>
        </is>
      </c>
      <c r="C289" s="41" t="inlineStr">
        <is>
          <t>Tên</t>
        </is>
      </c>
      <c r="D289" s="41" t="inlineStr">
        <is>
          <t>Xe phóng Shahed</t>
        </is>
      </c>
      <c r="E289" s="47" t="inlineStr">
        <is>
          <t>Đổi</t>
        </is>
      </c>
      <c r="F289" s="41" t="inlineStr">
        <is>
          <t>Xe phóng drone cảm tử tầm xa · ngắn: Drone cảm tử · EN: Long-range Drone Launcher</t>
        </is>
      </c>
      <c r="G289" s="41" t="inlineStr">
        <is>
          <t>Bỏ tên thật "Shahed" khỏi tên thẻ.</t>
        </is>
      </c>
      <c r="H289" s="49" t="inlineStr">
        <is>
          <t>Thấp</t>
        </is>
      </c>
    </row>
    <row r="290" ht="15" customHeight="1" s="32">
      <c r="A290" s="39" t="inlineStr">
        <is>
          <t>shahed_truck</t>
        </is>
      </c>
      <c r="B290" s="39" t="inlineStr">
        <is>
          <t>Xe phóng Shahed</t>
        </is>
      </c>
      <c r="C290" s="39" t="inlineStr">
        <is>
          <t>Máu</t>
        </is>
      </c>
      <c r="D290" s="42" t="n">
        <v>880</v>
      </c>
      <c r="E290" s="49" t="inlineStr">
        <is>
          <t>Giữ</t>
        </is>
      </c>
      <c r="F290" s="39" t="n"/>
      <c r="G290" s="39" t="inlineStr">
        <is>
          <t>Máu/CP 0.94 × trung vị lớp Pháo binh.</t>
        </is>
      </c>
      <c r="H290" s="39" t="n"/>
    </row>
    <row r="291" ht="15" customHeight="1" s="32">
      <c r="A291" s="41" t="inlineStr">
        <is>
          <t>shahed_truck</t>
        </is>
      </c>
      <c r="B291" s="41" t="inlineStr">
        <is>
          <t>Xe phóng Shahed</t>
        </is>
      </c>
      <c r="C291" s="41" t="inlineStr">
        <is>
          <t>Giáp (T/H/S/N)</t>
        </is>
      </c>
      <c r="D291" s="41" t="inlineStr">
        <is>
          <t>1/0/0/0</t>
        </is>
      </c>
      <c r="E291" s="49" t="inlineStr">
        <is>
          <t>Giữ</t>
        </is>
      </c>
      <c r="F291" s="41" t="n"/>
      <c r="G291" s="41" t="inlineStr">
        <is>
          <t>Giả tưởng / máy bay; khớp vai trò.</t>
        </is>
      </c>
      <c r="H291" s="41" t="n"/>
    </row>
    <row r="292" ht="15" customHeight="1" s="32">
      <c r="A292" s="39" t="inlineStr">
        <is>
          <t>shahed_truck</t>
        </is>
      </c>
      <c r="B292" s="39" t="inlineStr">
        <is>
          <t>Xe phóng Shahed</t>
        </is>
      </c>
      <c r="C292" s="39" t="inlineStr">
        <is>
          <t>Tốc độ</t>
        </is>
      </c>
      <c r="D292" s="42" t="n">
        <v>8</v>
      </c>
      <c r="E292" s="49" t="inlineStr">
        <is>
          <t>Giữ</t>
        </is>
      </c>
      <c r="F292" s="39" t="n"/>
      <c r="G292" s="39" t="inlineStr">
        <is>
          <t>Gần tốc độ thật × hệ số nén (8.9).</t>
        </is>
      </c>
      <c r="H292" s="39" t="n"/>
    </row>
    <row r="293" ht="15" customHeight="1" s="32">
      <c r="A293" s="41" t="inlineStr">
        <is>
          <t>shahed_truck</t>
        </is>
      </c>
      <c r="B293" s="41" t="inlineStr">
        <is>
          <t>Xe phóng Shahed</t>
        </is>
      </c>
      <c r="C293" s="41" t="inlineStr">
        <is>
          <t>Tốc độ xoay thân / tháp</t>
        </is>
      </c>
      <c r="D293" s="41" t="inlineStr">
        <is>
          <t>1 / 1</t>
        </is>
      </c>
      <c r="E293" s="49" t="inlineStr">
        <is>
          <t>Giữ</t>
        </is>
      </c>
      <c r="F293" s="41" t="n"/>
      <c r="G293" s="41" t="inlineStr">
        <is>
          <t>Hợp lý so với loại xe.</t>
        </is>
      </c>
      <c r="H293" s="41" t="n"/>
    </row>
    <row r="294" ht="21.75" customHeight="1" s="32">
      <c r="A294" s="39" t="inlineStr">
        <is>
          <t>shahed_truck</t>
        </is>
      </c>
      <c r="B294" s="39" t="inlineStr">
        <is>
          <t>Xe phóng Shahed</t>
        </is>
      </c>
      <c r="C294" s="39" t="inlineStr">
        <is>
          <t>Kích thước model (dài × rộng × cao)</t>
        </is>
      </c>
      <c r="D294" s="39" t="inlineStr">
        <is>
          <t>6.9 × 2.6 × 4.1</t>
        </is>
      </c>
      <c r="E294" s="47" t="inlineStr">
        <is>
          <t>Đổi</t>
        </is>
      </c>
      <c r="F294" s="39" t="inlineStr">
        <is>
          <t>6.4 × 2.0 × 2.8</t>
        </is>
      </c>
      <c r="G294" s="39" t="inlineStr">
        <is>
          <t>Mẫu thật xe tải phóng Shahed: 8.0 × 2.5 m; theo tỷ lệ chung (mặt đất 0,8) nên là 6.4 × 2.0 m. Đổi kích thước thì chỉnh vùng va chạm và chạy lại test xe kẹt.</t>
        </is>
      </c>
      <c r="H294" s="49" t="inlineStr">
        <is>
          <t>Thấp</t>
        </is>
      </c>
    </row>
    <row r="295" ht="15" customHeight="1" s="32">
      <c r="A295" s="41" t="inlineStr">
        <is>
          <t>shahed_truck</t>
        </is>
      </c>
      <c r="B295" s="41" t="inlineStr">
        <is>
          <t>Xe phóng Shahed</t>
        </is>
      </c>
      <c r="C295" s="41" t="inlineStr">
        <is>
          <t>Tầm nhìn</t>
        </is>
      </c>
      <c r="D295" s="43" t="n">
        <v>30</v>
      </c>
      <c r="E295" s="49" t="inlineStr">
        <is>
          <t>Giữ</t>
        </is>
      </c>
      <c r="F295" s="41" t="n"/>
      <c r="G295" s="41" t="inlineStr">
        <is>
          <t>Khớp vai trò.</t>
        </is>
      </c>
      <c r="H295" s="41" t="n"/>
    </row>
    <row r="296" ht="15" customHeight="1" s="32">
      <c r="A296" s="39" t="inlineStr">
        <is>
          <t>shahed_truck</t>
        </is>
      </c>
      <c r="B296" s="39" t="inlineStr">
        <is>
          <t>Xe phóng Shahed</t>
        </is>
      </c>
      <c r="C296" s="39" t="inlineStr">
        <is>
          <t>Tầm bắn</t>
        </is>
      </c>
      <c r="D296" s="39" t="inlineStr">
        <is>
          <t>150</t>
        </is>
      </c>
      <c r="E296" s="49" t="inlineStr">
        <is>
          <t>Giữ</t>
        </is>
      </c>
      <c r="F296" s="39" t="n"/>
      <c r="G296" s="39" t="inlineStr">
        <is>
          <t>Thứ tự tầm hợp lý trong nhóm.</t>
        </is>
      </c>
      <c r="H296" s="39" t="n"/>
    </row>
    <row r="297" ht="15" customHeight="1" s="32">
      <c r="A297" s="41" t="inlineStr">
        <is>
          <t>shahed_truck</t>
        </is>
      </c>
      <c r="B297" s="41" t="inlineStr">
        <is>
          <t>Xe phóng Shahed</t>
        </is>
      </c>
      <c r="C297" s="41" t="inlineStr">
        <is>
          <t>Giá (CP)</t>
        </is>
      </c>
      <c r="D297" s="43" t="n">
        <v>8</v>
      </c>
      <c r="E297" s="49" t="inlineStr">
        <is>
          <t>Giữ</t>
        </is>
      </c>
      <c r="F297" s="41" t="n"/>
      <c r="G297" s="41" t="inlineStr">
        <is>
          <t>Hiệu quả trong khoảng ±25% trung vị, thứ tự giá hợp ngoài đời (sheet Giá CP).</t>
        </is>
      </c>
      <c r="H297" s="41" t="n"/>
    </row>
    <row r="298" ht="15" customHeight="1" s="32">
      <c r="A298" s="39" t="inlineStr">
        <is>
          <t>shahed_truck</t>
        </is>
      </c>
      <c r="B298" s="39" t="inlineStr">
        <is>
          <t>Xe phóng Shahed</t>
        </is>
      </c>
      <c r="C298" s="39" t="inlineStr">
        <is>
          <t>Vũ khí: Shahed-136</t>
        </is>
      </c>
      <c r="D298" s="39" t="inlineStr">
        <is>
          <t>nổ lan 6 m</t>
        </is>
      </c>
      <c r="E298" s="47" t="inlineStr">
        <is>
          <t>Đổi</t>
        </is>
      </c>
      <c r="F298" s="39" t="inlineStr">
        <is>
          <t>nổ lan 4,5 m</t>
        </is>
      </c>
      <c r="G298" s="39" t="inlineStr">
        <is>
          <t>Đầu nổ 40–50 kg phải nổ nhỏ hơn bom SDB và FAB-250.</t>
        </is>
      </c>
      <c r="H298" s="49" t="inlineStr">
        <is>
          <t>Thấp</t>
        </is>
      </c>
    </row>
    <row r="299" ht="32.25" customHeight="1" s="32">
      <c r="A299" s="41" t="inlineStr">
        <is>
          <t>shahed_truck</t>
        </is>
      </c>
      <c r="B299" s="41" t="inlineStr">
        <is>
          <t>Xe phóng Shahed</t>
        </is>
      </c>
      <c r="C299" s="41" t="inlineStr">
        <is>
          <t>Hành vi</t>
        </is>
      </c>
      <c r="D299" s="41" t="inlineStr">
        <is>
          <t xml:space="preserve">Dừng lại mới bắn, từ 20-150 m; cần ta nhìn thấy mục tiêu (tự nó hoặc quân bạn); </t>
        </is>
      </c>
      <c r="E299" s="49" t="inlineStr">
        <is>
          <t>Giữ</t>
        </is>
      </c>
      <c r="F299" s="41" t="n"/>
      <c r="G299" s="41" t="inlineStr">
        <is>
          <t>Hợp vai trò.</t>
        </is>
      </c>
      <c r="H299" s="41" t="n"/>
    </row>
    <row r="300" ht="15" customHeight="1" s="32">
      <c r="A300" s="39" t="inlineStr">
        <is>
          <t>shahed_truck</t>
        </is>
      </c>
      <c r="B300" s="39" t="inlineStr">
        <is>
          <t>Xe phóng Shahed</t>
        </is>
      </c>
      <c r="C300" s="39" t="inlineStr">
        <is>
          <t>Nổ khi bị phá (bán kính)</t>
        </is>
      </c>
      <c r="D300" s="39" t="inlineStr">
        <is>
          <t>7 m · 180 sát thương</t>
        </is>
      </c>
      <c r="E300" s="49" t="inlineStr">
        <is>
          <t>Giữ</t>
        </is>
      </c>
      <c r="F300" s="39" t="n"/>
      <c r="G300" s="39" t="inlineStr">
        <is>
          <t>Hợp với cỡ xe.</t>
        </is>
      </c>
      <c r="H300" s="39" t="n"/>
    </row>
    <row r="301" ht="32.25" customHeight="1" s="32">
      <c r="A301" s="41" t="inlineStr">
        <is>
          <t>shahed_truck</t>
        </is>
      </c>
      <c r="B301" s="41" t="inlineStr">
        <is>
          <t>Xe phóng Shahed</t>
        </is>
      </c>
      <c r="C301" s="41" t="inlineStr">
        <is>
          <t>Tham khảo / model</t>
        </is>
      </c>
      <c r="D301" s="41" t="inlineStr">
        <is>
          <t>Shahed-136 (Geran-2) — Xe tải phóng drone cánh tam giác Shahed trên giàn 5 ray</t>
        </is>
      </c>
      <c r="E301" s="49" t="inlineStr">
        <is>
          <t>Giữ</t>
        </is>
      </c>
      <c r="F301" s="41" t="n"/>
      <c r="G301" s="41" t="inlineStr">
        <is>
          <t>Khớp vũ khí và vai trò.</t>
        </is>
      </c>
      <c r="H301" s="41" t="n"/>
    </row>
    <row r="302" ht="21.75" customHeight="1" s="32">
      <c r="A302" s="39" t="inlineStr">
        <is>
          <t>thermobaric_launcher</t>
        </is>
      </c>
      <c r="B302" s="39" t="inlineStr">
        <is>
          <t>Pháo phản lực nhiệt áp</t>
        </is>
      </c>
      <c r="C302" s="39" t="inlineStr">
        <is>
          <t>Tên</t>
        </is>
      </c>
      <c r="D302" s="39" t="inlineStr">
        <is>
          <t>Pháo phản lực nhiệt áp</t>
        </is>
      </c>
      <c r="E302" s="49" t="inlineStr">
        <is>
          <t>Giữ</t>
        </is>
      </c>
      <c r="F302" s="39" t="inlineStr">
        <is>
          <t>Pháo phản lực nhiệt áp · ngắn: Nhiệt áp · EN: Thermobaric Launcher</t>
        </is>
      </c>
      <c r="G302" s="39" t="inlineStr">
        <is>
          <t>Giữ.</t>
        </is>
      </c>
      <c r="H302" s="39" t="n"/>
    </row>
    <row r="303" ht="21.75" customHeight="1" s="32">
      <c r="A303" s="41" t="inlineStr">
        <is>
          <t>thermobaric_launcher</t>
        </is>
      </c>
      <c r="B303" s="41" t="inlineStr">
        <is>
          <t>Pháo phản lực nhiệt áp</t>
        </is>
      </c>
      <c r="C303" s="41" t="inlineStr">
        <is>
          <t>Máu</t>
        </is>
      </c>
      <c r="D303" s="43" t="n">
        <v>1980</v>
      </c>
      <c r="E303" s="48" t="inlineStr">
        <is>
          <t>Xem lại</t>
        </is>
      </c>
      <c r="F303" s="41" t="inlineStr">
        <is>
          <t>Máu/CP gấp 2.1 lần trung vị lớp; giữ nếu đó là bản sắc (xe chịu đòn)</t>
        </is>
      </c>
      <c r="G303" s="41" t="inlineStr">
        <is>
          <t>Kiểm tra theo trung vị máu/CP của lớp.</t>
        </is>
      </c>
      <c r="H303" s="41" t="n"/>
    </row>
    <row r="304" ht="15" customHeight="1" s="32">
      <c r="A304" s="39" t="inlineStr">
        <is>
          <t>thermobaric_launcher</t>
        </is>
      </c>
      <c r="B304" s="39" t="inlineStr">
        <is>
          <t>Pháo phản lực nhiệt áp</t>
        </is>
      </c>
      <c r="C304" s="39" t="inlineStr">
        <is>
          <t>Giáp (T/H/S/N)</t>
        </is>
      </c>
      <c r="D304" s="39" t="inlineStr">
        <is>
          <t>3/2/1/1</t>
        </is>
      </c>
      <c r="E304" s="49" t="inlineStr">
        <is>
          <t>Giữ</t>
        </is>
      </c>
      <c r="F304" s="39" t="n"/>
      <c r="G304" s="39" t="inlineStr">
        <is>
          <t>Khớp mẫu thật theo thang 0–4.</t>
        </is>
      </c>
      <c r="H304" s="39" t="n"/>
    </row>
    <row r="305" ht="15" customHeight="1" s="32">
      <c r="A305" s="41" t="inlineStr">
        <is>
          <t>thermobaric_launcher</t>
        </is>
      </c>
      <c r="B305" s="41" t="inlineStr">
        <is>
          <t>Pháo phản lực nhiệt áp</t>
        </is>
      </c>
      <c r="C305" s="41" t="inlineStr">
        <is>
          <t>Tốc độ</t>
        </is>
      </c>
      <c r="D305" s="43" t="n">
        <v>5.5</v>
      </c>
      <c r="E305" s="49" t="inlineStr">
        <is>
          <t>Giữ</t>
        </is>
      </c>
      <c r="F305" s="41" t="n"/>
      <c r="G305" s="41" t="inlineStr">
        <is>
          <t>Gần tốc độ thật × hệ số nén (5.5).</t>
        </is>
      </c>
      <c r="H305" s="41" t="n"/>
    </row>
    <row r="306" ht="15" customHeight="1" s="32">
      <c r="A306" s="39" t="inlineStr">
        <is>
          <t>thermobaric_launcher</t>
        </is>
      </c>
      <c r="B306" s="39" t="inlineStr">
        <is>
          <t>Pháo phản lực nhiệt áp</t>
        </is>
      </c>
      <c r="C306" s="39" t="inlineStr">
        <is>
          <t>Tốc độ xoay thân / tháp</t>
        </is>
      </c>
      <c r="D306" s="39" t="inlineStr">
        <is>
          <t>1 / 1</t>
        </is>
      </c>
      <c r="E306" s="49" t="inlineStr">
        <is>
          <t>Giữ</t>
        </is>
      </c>
      <c r="F306" s="39" t="n"/>
      <c r="G306" s="39" t="inlineStr">
        <is>
          <t>Hợp lý so với loại xe.</t>
        </is>
      </c>
      <c r="H306" s="39" t="n"/>
    </row>
    <row r="307" ht="15" customHeight="1" s="32">
      <c r="A307" s="41" t="inlineStr">
        <is>
          <t>thermobaric_launcher</t>
        </is>
      </c>
      <c r="B307" s="41" t="inlineStr">
        <is>
          <t>Pháo phản lực nhiệt áp</t>
        </is>
      </c>
      <c r="C307" s="41" t="inlineStr">
        <is>
          <t>Kích thước model (dài × rộng × cao)</t>
        </is>
      </c>
      <c r="D307" s="41" t="inlineStr">
        <is>
          <t>6.3 × 3.1 × 2.9</t>
        </is>
      </c>
      <c r="E307" s="49" t="inlineStr">
        <is>
          <t>Giữ</t>
        </is>
      </c>
      <c r="F307" s="41" t="n"/>
      <c r="G307" s="41" t="inlineStr">
        <is>
          <t>Khớp tỷ lệ chung (mẫu thật 9.5 m).</t>
        </is>
      </c>
      <c r="H307" s="41" t="n"/>
    </row>
    <row r="308" ht="15" customHeight="1" s="32">
      <c r="A308" s="39" t="inlineStr">
        <is>
          <t>thermobaric_launcher</t>
        </is>
      </c>
      <c r="B308" s="39" t="inlineStr">
        <is>
          <t>Pháo phản lực nhiệt áp</t>
        </is>
      </c>
      <c r="C308" s="39" t="inlineStr">
        <is>
          <t>Tầm nhìn</t>
        </is>
      </c>
      <c r="D308" s="42" t="n">
        <v>30</v>
      </c>
      <c r="E308" s="49" t="inlineStr">
        <is>
          <t>Giữ</t>
        </is>
      </c>
      <c r="F308" s="39" t="n"/>
      <c r="G308" s="39" t="inlineStr">
        <is>
          <t>Khớp vai trò.</t>
        </is>
      </c>
      <c r="H308" s="39" t="n"/>
    </row>
    <row r="309" ht="15" customHeight="1" s="32">
      <c r="A309" s="41" t="inlineStr">
        <is>
          <t>thermobaric_launcher</t>
        </is>
      </c>
      <c r="B309" s="41" t="inlineStr">
        <is>
          <t>Pháo phản lực nhiệt áp</t>
        </is>
      </c>
      <c r="C309" s="41" t="inlineStr">
        <is>
          <t>Tầm bắn</t>
        </is>
      </c>
      <c r="D309" s="41" t="inlineStr">
        <is>
          <t>48</t>
        </is>
      </c>
      <c r="E309" s="49" t="inlineStr">
        <is>
          <t>Giữ</t>
        </is>
      </c>
      <c r="F309" s="41" t="n"/>
      <c r="G309" s="41" t="inlineStr">
        <is>
          <t>Thứ tự tầm hợp lý trong nhóm.</t>
        </is>
      </c>
      <c r="H309" s="41" t="n"/>
    </row>
    <row r="310" ht="15" customHeight="1" s="32">
      <c r="A310" s="39" t="inlineStr">
        <is>
          <t>thermobaric_launcher</t>
        </is>
      </c>
      <c r="B310" s="39" t="inlineStr">
        <is>
          <t>Pháo phản lực nhiệt áp</t>
        </is>
      </c>
      <c r="C310" s="39" t="inlineStr">
        <is>
          <t>Giá (CP)</t>
        </is>
      </c>
      <c r="D310" s="42" t="n">
        <v>8</v>
      </c>
      <c r="E310" s="47" t="inlineStr">
        <is>
          <t>Đổi</t>
        </is>
      </c>
      <c r="F310" s="39" t="inlineStr">
        <is>
          <t>9 CP</t>
        </is>
      </c>
      <c r="G310" s="39" t="inlineStr">
        <is>
          <t>Mạnh nhất nhóm pháo với công sự sau khi sửa hệ số nhiệt áp.</t>
        </is>
      </c>
      <c r="H310" s="49" t="inlineStr">
        <is>
          <t>Thấp</t>
        </is>
      </c>
    </row>
    <row r="311" ht="15" customHeight="1" s="32">
      <c r="A311" s="41" t="inlineStr">
        <is>
          <t>thermobaric_launcher</t>
        </is>
      </c>
      <c r="B311" s="41" t="inlineStr">
        <is>
          <t>Pháo phản lực nhiệt áp</t>
        </is>
      </c>
      <c r="C311" s="41" t="inlineStr">
        <is>
          <t>Vũ khí</t>
        </is>
      </c>
      <c r="D311" s="43" t="n">
        <v>2</v>
      </c>
      <c r="E311" s="49" t="inlineStr">
        <is>
          <t>Giữ</t>
        </is>
      </c>
      <c r="F311" s="41" t="n"/>
      <c r="G311" s="41" t="inlineStr">
        <is>
          <t>Bộ vũ khí khớp mẫu thật và vai trò.</t>
        </is>
      </c>
      <c r="H311" s="41" t="n"/>
    </row>
    <row r="312" ht="32.25" customHeight="1" s="32">
      <c r="A312" s="39" t="inlineStr">
        <is>
          <t>thermobaric_launcher</t>
        </is>
      </c>
      <c r="B312" s="39" t="inlineStr">
        <is>
          <t>Pháo phản lực nhiệt áp</t>
        </is>
      </c>
      <c r="C312" s="39" t="inlineStr">
        <is>
          <t>Hành vi</t>
        </is>
      </c>
      <c r="D312" s="39" t="inlineStr">
        <is>
          <t>Dừng lại mới bắn, từ 12-48 m; cần ta nhìn thấy mục tiêu (tự nó hoặc quân bạn); H</t>
        </is>
      </c>
      <c r="E312" s="49" t="inlineStr">
        <is>
          <t>Giữ</t>
        </is>
      </c>
      <c r="F312" s="39" t="n"/>
      <c r="G312" s="39" t="inlineStr">
        <is>
          <t>Hợp vai trò.</t>
        </is>
      </c>
      <c r="H312" s="39" t="n"/>
    </row>
    <row r="313" ht="21.75" customHeight="1" s="32">
      <c r="A313" s="41" t="inlineStr">
        <is>
          <t>thermobaric_launcher</t>
        </is>
      </c>
      <c r="B313" s="41" t="inlineStr">
        <is>
          <t>Pháo phản lực nhiệt áp</t>
        </is>
      </c>
      <c r="C313" s="41" t="inlineStr">
        <is>
          <t>Nổ khi bị phá (bán kính)</t>
        </is>
      </c>
      <c r="D313" s="41" t="inlineStr">
        <is>
          <t>12 m · 360 sát thương</t>
        </is>
      </c>
      <c r="E313" s="47" t="inlineStr">
        <is>
          <t>Đổi</t>
        </is>
      </c>
      <c r="F313" s="41" t="inlineStr">
        <is>
          <t>~9 m</t>
        </is>
      </c>
      <c r="G313" s="41" t="inlineStr">
        <is>
          <t>Bán kính nổ khi bị phá nên theo cỡ xe, cộng thêm nếu xe chở nhiều đạn/nhiên liệu. Xe này chở nhiều đạn.</t>
        </is>
      </c>
      <c r="H313" s="49" t="inlineStr">
        <is>
          <t>Thấp</t>
        </is>
      </c>
    </row>
    <row r="314" ht="32.25" customHeight="1" s="32">
      <c r="A314" s="39" t="inlineStr">
        <is>
          <t>thermobaric_launcher</t>
        </is>
      </c>
      <c r="B314" s="39" t="inlineStr">
        <is>
          <t>Pháo phản lực nhiệt áp</t>
        </is>
      </c>
      <c r="C314" s="39" t="inlineStr">
        <is>
          <t>Tham khảo / model</t>
        </is>
      </c>
      <c r="D314" s="39" t="inlineStr">
        <is>
          <t>TOS-1A Solntsepyok (khung T-72) — Giàn phóng rốc-két nhiệt áp 24 ống trên khung xe tăng</t>
        </is>
      </c>
      <c r="E314" s="49" t="inlineStr">
        <is>
          <t>Giữ</t>
        </is>
      </c>
      <c r="F314" s="39" t="n"/>
      <c r="G314" s="39" t="inlineStr">
        <is>
          <t>Khớp vũ khí và vai trò.</t>
        </is>
      </c>
      <c r="H314" s="39" t="n"/>
    </row>
    <row r="315" ht="21.75" customHeight="1" s="32">
      <c r="A315" s="41" t="inlineStr">
        <is>
          <t>ballistic_launcher</t>
        </is>
      </c>
      <c r="B315" s="41" t="inlineStr">
        <is>
          <t>Xe phóng tên lửa đạn đạo</t>
        </is>
      </c>
      <c r="C315" s="41" t="inlineStr">
        <is>
          <t>Tên</t>
        </is>
      </c>
      <c r="D315" s="41" t="inlineStr">
        <is>
          <t>Xe phóng tên lửa đạn đạo</t>
        </is>
      </c>
      <c r="E315" s="47" t="inlineStr">
        <is>
          <t>Đổi</t>
        </is>
      </c>
      <c r="F315" s="41" t="inlineStr">
        <is>
          <t>Xe phóng tên lửa chiến thuật · ngắn: Tên lửa chiến thuật · EN: Tactical Ballistic Launcher</t>
        </is>
      </c>
      <c r="G315" s="41" t="inlineStr">
        <is>
          <t>"Chiến thuật" đúng phân loại thật (Iskander là tên lửa đạn đạo chiến thuật).</t>
        </is>
      </c>
      <c r="H315" s="49" t="inlineStr">
        <is>
          <t>Thấp</t>
        </is>
      </c>
    </row>
    <row r="316" ht="15" customHeight="1" s="32">
      <c r="A316" s="39" t="inlineStr">
        <is>
          <t>ballistic_launcher</t>
        </is>
      </c>
      <c r="B316" s="39" t="inlineStr">
        <is>
          <t>Xe phóng tên lửa đạn đạo</t>
        </is>
      </c>
      <c r="C316" s="39" t="inlineStr">
        <is>
          <t>Máu</t>
        </is>
      </c>
      <c r="D316" s="42" t="n">
        <v>990</v>
      </c>
      <c r="E316" s="49" t="inlineStr">
        <is>
          <t>Giữ</t>
        </is>
      </c>
      <c r="F316" s="39" t="n"/>
      <c r="G316" s="39" t="inlineStr">
        <is>
          <t>Máu/CP 0.77 × trung vị lớp Pháo binh.</t>
        </is>
      </c>
      <c r="H316" s="39" t="n"/>
    </row>
    <row r="317" ht="15" customHeight="1" s="32">
      <c r="A317" s="41" t="inlineStr">
        <is>
          <t>ballistic_launcher</t>
        </is>
      </c>
      <c r="B317" s="41" t="inlineStr">
        <is>
          <t>Xe phóng tên lửa đạn đạo</t>
        </is>
      </c>
      <c r="C317" s="41" t="inlineStr">
        <is>
          <t>Giáp (T/H/S/N)</t>
        </is>
      </c>
      <c r="D317" s="41" t="inlineStr">
        <is>
          <t>1/0/0/0</t>
        </is>
      </c>
      <c r="E317" s="49" t="inlineStr">
        <is>
          <t>Giữ</t>
        </is>
      </c>
      <c r="F317" s="41" t="n"/>
      <c r="G317" s="41" t="inlineStr">
        <is>
          <t>Giả tưởng / máy bay; khớp vai trò.</t>
        </is>
      </c>
      <c r="H317" s="41" t="n"/>
    </row>
    <row r="318" ht="15" customHeight="1" s="32">
      <c r="A318" s="39" t="inlineStr">
        <is>
          <t>ballistic_launcher</t>
        </is>
      </c>
      <c r="B318" s="39" t="inlineStr">
        <is>
          <t>Xe phóng tên lửa đạn đạo</t>
        </is>
      </c>
      <c r="C318" s="39" t="inlineStr">
        <is>
          <t>Tốc độ</t>
        </is>
      </c>
      <c r="D318" s="42" t="n">
        <v>6.5</v>
      </c>
      <c r="E318" s="49" t="inlineStr">
        <is>
          <t>Giữ</t>
        </is>
      </c>
      <c r="F318" s="39" t="n"/>
      <c r="G318" s="39" t="inlineStr">
        <is>
          <t>Gần tốc độ thật × hệ số nén (7.8).</t>
        </is>
      </c>
      <c r="H318" s="39" t="n"/>
    </row>
    <row r="319" ht="15" customHeight="1" s="32">
      <c r="A319" s="41" t="inlineStr">
        <is>
          <t>ballistic_launcher</t>
        </is>
      </c>
      <c r="B319" s="41" t="inlineStr">
        <is>
          <t>Xe phóng tên lửa đạn đạo</t>
        </is>
      </c>
      <c r="C319" s="41" t="inlineStr">
        <is>
          <t>Tốc độ xoay thân / tháp</t>
        </is>
      </c>
      <c r="D319" s="41" t="inlineStr">
        <is>
          <t>1 / 1</t>
        </is>
      </c>
      <c r="E319" s="49" t="inlineStr">
        <is>
          <t>Giữ</t>
        </is>
      </c>
      <c r="F319" s="41" t="n"/>
      <c r="G319" s="41" t="inlineStr">
        <is>
          <t>Hợp lý so với loại xe.</t>
        </is>
      </c>
      <c r="H319" s="41" t="n"/>
    </row>
    <row r="320" ht="15" customHeight="1" s="32">
      <c r="A320" s="39" t="inlineStr">
        <is>
          <t>ballistic_launcher</t>
        </is>
      </c>
      <c r="B320" s="39" t="inlineStr">
        <is>
          <t>Xe phóng tên lửa đạn đạo</t>
        </is>
      </c>
      <c r="C320" s="39" t="inlineStr">
        <is>
          <t>Kích thước model (dài × rộng × cao)</t>
        </is>
      </c>
      <c r="D320" s="39" t="inlineStr">
        <is>
          <t>10.9 × 2.6 × 4.7</t>
        </is>
      </c>
      <c r="E320" s="49" t="inlineStr">
        <is>
          <t>Giữ</t>
        </is>
      </c>
      <c r="F320" s="39" t="n"/>
      <c r="G320" s="39" t="inlineStr">
        <is>
          <t>Khớp tỷ lệ chung (mẫu thật 13.1 m).</t>
        </is>
      </c>
      <c r="H320" s="39" t="n"/>
    </row>
    <row r="321" ht="15" customHeight="1" s="32">
      <c r="A321" s="41" t="inlineStr">
        <is>
          <t>ballistic_launcher</t>
        </is>
      </c>
      <c r="B321" s="41" t="inlineStr">
        <is>
          <t>Xe phóng tên lửa đạn đạo</t>
        </is>
      </c>
      <c r="C321" s="41" t="inlineStr">
        <is>
          <t>Tầm nhìn</t>
        </is>
      </c>
      <c r="D321" s="43" t="n">
        <v>26</v>
      </c>
      <c r="E321" s="49" t="inlineStr">
        <is>
          <t>Giữ</t>
        </is>
      </c>
      <c r="F321" s="41" t="n"/>
      <c r="G321" s="41" t="inlineStr">
        <is>
          <t>Khớp vai trò.</t>
        </is>
      </c>
      <c r="H321" s="41" t="n"/>
    </row>
    <row r="322" ht="15" customHeight="1" s="32">
      <c r="A322" s="39" t="inlineStr">
        <is>
          <t>ballistic_launcher</t>
        </is>
      </c>
      <c r="B322" s="39" t="inlineStr">
        <is>
          <t>Xe phóng tên lửa đạn đạo</t>
        </is>
      </c>
      <c r="C322" s="39" t="inlineStr">
        <is>
          <t>Tầm bắn</t>
        </is>
      </c>
      <c r="D322" s="39" t="inlineStr">
        <is>
          <t>180</t>
        </is>
      </c>
      <c r="E322" s="49" t="inlineStr">
        <is>
          <t>Giữ</t>
        </is>
      </c>
      <c r="F322" s="39" t="n"/>
      <c r="G322" s="39" t="inlineStr">
        <is>
          <t>Thứ tự tầm hợp lý trong nhóm.</t>
        </is>
      </c>
      <c r="H322" s="39" t="n"/>
    </row>
    <row r="323" ht="15" customHeight="1" s="32">
      <c r="A323" s="41" t="inlineStr">
        <is>
          <t>ballistic_launcher</t>
        </is>
      </c>
      <c r="B323" s="41" t="inlineStr">
        <is>
          <t>Xe phóng tên lửa đạn đạo</t>
        </is>
      </c>
      <c r="C323" s="41" t="inlineStr">
        <is>
          <t>Giá (CP)</t>
        </is>
      </c>
      <c r="D323" s="43" t="n">
        <v>11</v>
      </c>
      <c r="E323" s="49" t="inlineStr">
        <is>
          <t>Giữ</t>
        </is>
      </c>
      <c r="F323" s="41" t="n"/>
      <c r="G323" s="41" t="inlineStr">
        <is>
          <t>Hiệu quả trong khoảng ±25% trung vị, thứ tự giá hợp ngoài đời (sheet Giá CP).</t>
        </is>
      </c>
      <c r="H323" s="41" t="n"/>
    </row>
    <row r="324" ht="15" customHeight="1" s="32">
      <c r="A324" s="39" t="inlineStr">
        <is>
          <t>ballistic_launcher</t>
        </is>
      </c>
      <c r="B324" s="39" t="inlineStr">
        <is>
          <t>Xe phóng tên lửa đạn đạo</t>
        </is>
      </c>
      <c r="C324" s="39" t="inlineStr">
        <is>
          <t>Vũ khí: Iskander</t>
        </is>
      </c>
      <c r="D324" s="39" t="inlineStr">
        <is>
          <t>tốc độ 24 (bay 7,5 s) · nổ lan 12 m</t>
        </is>
      </c>
      <c r="E324" s="47" t="inlineStr">
        <is>
          <t>Đổi</t>
        </is>
      </c>
      <c r="F324" s="39" t="inlineStr">
        <is>
          <t>tốc độ 50 (bay 3,6 s) · nổ lan 10 m</t>
        </is>
      </c>
      <c r="G324" s="39" t="inlineStr">
        <is>
          <t>Tên lửa đạn đạo phải là thứ nhanh nhất; vẫn đủ thời gian cho PAC-3 đánh chặn.</t>
        </is>
      </c>
      <c r="H324" s="48" t="inlineStr">
        <is>
          <t>Trung</t>
        </is>
      </c>
    </row>
    <row r="325" ht="32.25" customHeight="1" s="32">
      <c r="A325" s="41" t="inlineStr">
        <is>
          <t>ballistic_launcher</t>
        </is>
      </c>
      <c r="B325" s="41" t="inlineStr">
        <is>
          <t>Xe phóng tên lửa đạn đạo</t>
        </is>
      </c>
      <c r="C325" s="41" t="inlineStr">
        <is>
          <t>Hành vi</t>
        </is>
      </c>
      <c r="D325" s="41" t="inlineStr">
        <is>
          <t xml:space="preserve">Dừng lại mới bắn, từ 40-180 m; cần ta nhìn thấy mục tiêu (tự nó hoặc quân bạn); </t>
        </is>
      </c>
      <c r="E325" s="49" t="inlineStr">
        <is>
          <t>Giữ</t>
        </is>
      </c>
      <c r="F325" s="41" t="n"/>
      <c r="G325" s="41" t="inlineStr">
        <is>
          <t>Hợp vai trò.</t>
        </is>
      </c>
      <c r="H325" s="41" t="n"/>
    </row>
    <row r="326" ht="15" customHeight="1" s="32">
      <c r="A326" s="39" t="inlineStr">
        <is>
          <t>ballistic_launcher</t>
        </is>
      </c>
      <c r="B326" s="39" t="inlineStr">
        <is>
          <t>Xe phóng tên lửa đạn đạo</t>
        </is>
      </c>
      <c r="C326" s="39" t="inlineStr">
        <is>
          <t>Nổ khi bị phá (bán kính)</t>
        </is>
      </c>
      <c r="D326" s="39" t="inlineStr">
        <is>
          <t>13 m · 520 sát thương</t>
        </is>
      </c>
      <c r="E326" s="49" t="inlineStr">
        <is>
          <t>Giữ</t>
        </is>
      </c>
      <c r="F326" s="39" t="n"/>
      <c r="G326" s="39" t="inlineStr">
        <is>
          <t>Hợp với cỡ xe.</t>
        </is>
      </c>
      <c r="H326" s="39" t="n"/>
    </row>
    <row r="327" ht="32.25" customHeight="1" s="32">
      <c r="A327" s="41" t="inlineStr">
        <is>
          <t>ballistic_launcher</t>
        </is>
      </c>
      <c r="B327" s="41" t="inlineStr">
        <is>
          <t>Xe phóng tên lửa đạn đạo</t>
        </is>
      </c>
      <c r="C327" s="41" t="inlineStr">
        <is>
          <t>Tham khảo / model</t>
        </is>
      </c>
      <c r="D327" s="41" t="inlineStr">
        <is>
          <t>9K720 Iskander (9M723) — Xe phóng tên lửa đạn đạo, dựng đứng tên lửa khi phóng</t>
        </is>
      </c>
      <c r="E327" s="49" t="inlineStr">
        <is>
          <t>Giữ</t>
        </is>
      </c>
      <c r="F327" s="41" t="n"/>
      <c r="G327" s="41" t="inlineStr">
        <is>
          <t>Khớp vũ khí và vai trò.</t>
        </is>
      </c>
      <c r="H327" s="41" t="n"/>
    </row>
    <row r="328" ht="21.75" customHeight="1" s="32">
      <c r="A328" s="39" t="inlineStr">
        <is>
          <t>heavy_rocket_artillery</t>
        </is>
      </c>
      <c r="B328" s="39" t="inlineStr">
        <is>
          <t>Pháo phản lực hạng nặng</t>
        </is>
      </c>
      <c r="C328" s="39" t="inlineStr">
        <is>
          <t>Tên</t>
        </is>
      </c>
      <c r="D328" s="39" t="inlineStr">
        <is>
          <t>Pháo phản lực hạng nặng</t>
        </is>
      </c>
      <c r="E328" s="49" t="inlineStr">
        <is>
          <t>Giữ</t>
        </is>
      </c>
      <c r="F328" s="39" t="inlineStr">
        <is>
          <t>Pháo phản lực hạng nặng · ngắn: Phản lực nặng · EN: Heavy MLRS</t>
        </is>
      </c>
      <c r="G328" s="39" t="inlineStr">
        <is>
          <t>Bảng DPS ghi "Phản lực 300": thống nhất.</t>
        </is>
      </c>
      <c r="H328" s="39" t="n"/>
    </row>
    <row r="329" ht="15" customHeight="1" s="32">
      <c r="A329" s="41" t="inlineStr">
        <is>
          <t>heavy_rocket_artillery</t>
        </is>
      </c>
      <c r="B329" s="41" t="inlineStr">
        <is>
          <t>Pháo phản lực hạng nặng</t>
        </is>
      </c>
      <c r="C329" s="41" t="inlineStr">
        <is>
          <t>Máu</t>
        </is>
      </c>
      <c r="D329" s="43" t="n">
        <v>924</v>
      </c>
      <c r="E329" s="49" t="inlineStr">
        <is>
          <t>Giữ</t>
        </is>
      </c>
      <c r="F329" s="41" t="n"/>
      <c r="G329" s="41" t="inlineStr">
        <is>
          <t>Máu/CP 0.72 × trung vị lớp Pháo binh.</t>
        </is>
      </c>
      <c r="H329" s="41" t="n"/>
    </row>
    <row r="330" ht="15" customHeight="1" s="32">
      <c r="A330" s="39" t="inlineStr">
        <is>
          <t>heavy_rocket_artillery</t>
        </is>
      </c>
      <c r="B330" s="39" t="inlineStr">
        <is>
          <t>Pháo phản lực hạng nặng</t>
        </is>
      </c>
      <c r="C330" s="39" t="inlineStr">
        <is>
          <t>Giáp (T/H/S/N)</t>
        </is>
      </c>
      <c r="D330" s="39" t="inlineStr">
        <is>
          <t>1/0/0/0</t>
        </is>
      </c>
      <c r="E330" s="49" t="inlineStr">
        <is>
          <t>Giữ</t>
        </is>
      </c>
      <c r="F330" s="39" t="n"/>
      <c r="G330" s="39" t="inlineStr">
        <is>
          <t>Giả tưởng / máy bay; khớp vai trò.</t>
        </is>
      </c>
      <c r="H330" s="39" t="n"/>
    </row>
    <row r="331" ht="15" customHeight="1" s="32">
      <c r="A331" s="41" t="inlineStr">
        <is>
          <t>heavy_rocket_artillery</t>
        </is>
      </c>
      <c r="B331" s="41" t="inlineStr">
        <is>
          <t>Pháo phản lực hạng nặng</t>
        </is>
      </c>
      <c r="C331" s="41" t="inlineStr">
        <is>
          <t>Tốc độ</t>
        </is>
      </c>
      <c r="D331" s="43" t="n">
        <v>6.5</v>
      </c>
      <c r="E331" s="49" t="inlineStr">
        <is>
          <t>Giữ</t>
        </is>
      </c>
      <c r="F331" s="41" t="n"/>
      <c r="G331" s="41" t="inlineStr">
        <is>
          <t>Gần tốc độ thật × hệ số nén (6.7).</t>
        </is>
      </c>
      <c r="H331" s="41" t="n"/>
    </row>
    <row r="332" ht="15" customHeight="1" s="32">
      <c r="A332" s="39" t="inlineStr">
        <is>
          <t>heavy_rocket_artillery</t>
        </is>
      </c>
      <c r="B332" s="39" t="inlineStr">
        <is>
          <t>Pháo phản lực hạng nặng</t>
        </is>
      </c>
      <c r="C332" s="39" t="inlineStr">
        <is>
          <t>Tốc độ xoay thân / tháp</t>
        </is>
      </c>
      <c r="D332" s="39" t="inlineStr">
        <is>
          <t>1 / 1</t>
        </is>
      </c>
      <c r="E332" s="49" t="inlineStr">
        <is>
          <t>Giữ</t>
        </is>
      </c>
      <c r="F332" s="39" t="n"/>
      <c r="G332" s="39" t="inlineStr">
        <is>
          <t>Hợp lý so với loại xe.</t>
        </is>
      </c>
      <c r="H332" s="39" t="n"/>
    </row>
    <row r="333" ht="15" customHeight="1" s="32">
      <c r="A333" s="41" t="inlineStr">
        <is>
          <t>heavy_rocket_artillery</t>
        </is>
      </c>
      <c r="B333" s="41" t="inlineStr">
        <is>
          <t>Pháo phản lực hạng nặng</t>
        </is>
      </c>
      <c r="C333" s="41" t="inlineStr">
        <is>
          <t>Kích thước model (dài × rộng × cao)</t>
        </is>
      </c>
      <c r="D333" s="41" t="inlineStr">
        <is>
          <t>10.5 × 2.7 × 4.2</t>
        </is>
      </c>
      <c r="E333" s="49" t="inlineStr">
        <is>
          <t>Giữ</t>
        </is>
      </c>
      <c r="F333" s="41" t="n"/>
      <c r="G333" s="41" t="inlineStr">
        <is>
          <t>Khớp tỷ lệ chung (mẫu thật 12.1 m).</t>
        </is>
      </c>
      <c r="H333" s="41" t="n"/>
    </row>
    <row r="334" ht="15" customHeight="1" s="32">
      <c r="A334" s="39" t="inlineStr">
        <is>
          <t>heavy_rocket_artillery</t>
        </is>
      </c>
      <c r="B334" s="39" t="inlineStr">
        <is>
          <t>Pháo phản lực hạng nặng</t>
        </is>
      </c>
      <c r="C334" s="39" t="inlineStr">
        <is>
          <t>Tầm nhìn</t>
        </is>
      </c>
      <c r="D334" s="42" t="n">
        <v>30</v>
      </c>
      <c r="E334" s="49" t="inlineStr">
        <is>
          <t>Giữ</t>
        </is>
      </c>
      <c r="F334" s="39" t="n"/>
      <c r="G334" s="39" t="inlineStr">
        <is>
          <t>Khớp vai trò.</t>
        </is>
      </c>
      <c r="H334" s="39" t="n"/>
    </row>
    <row r="335" ht="15" customHeight="1" s="32">
      <c r="A335" s="41" t="inlineStr">
        <is>
          <t>heavy_rocket_artillery</t>
        </is>
      </c>
      <c r="B335" s="41" t="inlineStr">
        <is>
          <t>Pháo phản lực hạng nặng</t>
        </is>
      </c>
      <c r="C335" s="41" t="inlineStr">
        <is>
          <t>Tầm bắn</t>
        </is>
      </c>
      <c r="D335" s="41" t="inlineStr">
        <is>
          <t>140</t>
        </is>
      </c>
      <c r="E335" s="49" t="inlineStr">
        <is>
          <t>Giữ</t>
        </is>
      </c>
      <c r="F335" s="41" t="n"/>
      <c r="G335" s="41" t="inlineStr">
        <is>
          <t>Thứ tự tầm hợp lý trong nhóm.</t>
        </is>
      </c>
      <c r="H335" s="41" t="n"/>
    </row>
    <row r="336" ht="15" customHeight="1" s="32">
      <c r="A336" s="39" t="inlineStr">
        <is>
          <t>heavy_rocket_artillery</t>
        </is>
      </c>
      <c r="B336" s="39" t="inlineStr">
        <is>
          <t>Pháo phản lực hạng nặng</t>
        </is>
      </c>
      <c r="C336" s="39" t="inlineStr">
        <is>
          <t>Giá (CP)</t>
        </is>
      </c>
      <c r="D336" s="42" t="n">
        <v>11</v>
      </c>
      <c r="E336" s="47" t="inlineStr">
        <is>
          <t>Đổi</t>
        </is>
      </c>
      <c r="F336" s="39" t="inlineStr">
        <is>
          <t>12 CP</t>
        </is>
      </c>
      <c r="G336" s="39" t="inlineStr">
        <is>
          <t>Mạnh hơn đạn đạo cùng giá.</t>
        </is>
      </c>
      <c r="H336" s="49" t="inlineStr">
        <is>
          <t>Thấp</t>
        </is>
      </c>
    </row>
    <row r="337" ht="21.75" customHeight="1" s="32">
      <c r="A337" s="41" t="inlineStr">
        <is>
          <t>heavy_rocket_artillery</t>
        </is>
      </c>
      <c r="B337" s="41" t="inlineStr">
        <is>
          <t>Pháo phản lực hạng nặng</t>
        </is>
      </c>
      <c r="C337" s="41" t="inlineStr">
        <is>
          <t>Vũ khí: Smerch 300 mm</t>
        </is>
      </c>
      <c r="D337" s="41" t="inlineStr">
        <is>
          <t>tốc độ 24 (bay 5,8 s, chậm hơn cả Grad)</t>
        </is>
      </c>
      <c r="E337" s="47" t="inlineStr">
        <is>
          <t>Đổi</t>
        </is>
      </c>
      <c r="F337" s="41" t="inlineStr">
        <is>
          <t>tốc độ 55 (bay 2,5 s)</t>
        </is>
      </c>
      <c r="G337" s="41" t="inlineStr">
        <is>
          <t>Rốc-két cỡ lớn bay nhanh và xa nhất; hiện chậm ngược.</t>
        </is>
      </c>
      <c r="H337" s="49" t="inlineStr">
        <is>
          <t>Thấp</t>
        </is>
      </c>
    </row>
    <row r="338" ht="32.25" customHeight="1" s="32">
      <c r="A338" s="39" t="inlineStr">
        <is>
          <t>heavy_rocket_artillery</t>
        </is>
      </c>
      <c r="B338" s="39" t="inlineStr">
        <is>
          <t>Pháo phản lực hạng nặng</t>
        </is>
      </c>
      <c r="C338" s="39" t="inlineStr">
        <is>
          <t>Hành vi</t>
        </is>
      </c>
      <c r="D338" s="39" t="inlineStr">
        <is>
          <t xml:space="preserve">Dừng lại mới bắn, từ 30-140 m; cần ta nhìn thấy mục tiêu (tự nó hoặc quân bạn); </t>
        </is>
      </c>
      <c r="E338" s="49" t="inlineStr">
        <is>
          <t>Giữ</t>
        </is>
      </c>
      <c r="F338" s="39" t="n"/>
      <c r="G338" s="39" t="inlineStr">
        <is>
          <t>Hợp vai trò.</t>
        </is>
      </c>
      <c r="H338" s="39" t="n"/>
    </row>
    <row r="339" ht="15" customHeight="1" s="32">
      <c r="A339" s="41" t="inlineStr">
        <is>
          <t>heavy_rocket_artillery</t>
        </is>
      </c>
      <c r="B339" s="41" t="inlineStr">
        <is>
          <t>Pháo phản lực hạng nặng</t>
        </is>
      </c>
      <c r="C339" s="41" t="inlineStr">
        <is>
          <t>Nổ khi bị phá (bán kính)</t>
        </is>
      </c>
      <c r="D339" s="41" t="inlineStr">
        <is>
          <t>11 m · 400 sát thương</t>
        </is>
      </c>
      <c r="E339" s="49" t="inlineStr">
        <is>
          <t>Giữ</t>
        </is>
      </c>
      <c r="F339" s="41" t="n"/>
      <c r="G339" s="41" t="inlineStr">
        <is>
          <t>Hợp với cỡ xe.</t>
        </is>
      </c>
      <c r="H339" s="41" t="n"/>
    </row>
    <row r="340" ht="21.75" customHeight="1" s="32">
      <c r="A340" s="39" t="inlineStr">
        <is>
          <t>heavy_rocket_artillery</t>
        </is>
      </c>
      <c r="B340" s="39" t="inlineStr">
        <is>
          <t>Pháo phản lực hạng nặng</t>
        </is>
      </c>
      <c r="C340" s="39" t="inlineStr">
        <is>
          <t>Tham khảo / model</t>
        </is>
      </c>
      <c r="D340" s="39" t="inlineStr">
        <is>
          <t>BM-30 Smerch (9M55 300 mm) — Xe phóng rốc-két 300 mm 8x8, 12 ống</t>
        </is>
      </c>
      <c r="E340" s="49" t="inlineStr">
        <is>
          <t>Giữ</t>
        </is>
      </c>
      <c r="F340" s="39" t="n"/>
      <c r="G340" s="39" t="inlineStr">
        <is>
          <t>Khớp vũ khí và vai trò.</t>
        </is>
      </c>
      <c r="H340" s="39" t="n"/>
    </row>
    <row r="341" ht="15" customHeight="1" s="32">
      <c r="A341" s="41" t="inlineStr">
        <is>
          <t>siege_tank</t>
        </is>
      </c>
      <c r="B341" s="41" t="inlineStr">
        <is>
          <t>Tăng công thành</t>
        </is>
      </c>
      <c r="C341" s="41" t="inlineStr">
        <is>
          <t>Tên</t>
        </is>
      </c>
      <c r="D341" s="41" t="inlineStr">
        <is>
          <t>Tăng công thành</t>
        </is>
      </c>
      <c r="E341" s="47" t="inlineStr">
        <is>
          <t>Đổi</t>
        </is>
      </c>
      <c r="F341" s="41" t="inlineStr">
        <is>
          <t>Pháo cối công thành · ngắn: Công thành · EN: Siege Mortar</t>
        </is>
      </c>
      <c r="G341" s="41" t="inlineStr">
        <is>
          <t>Không phải xe tăng; vũ khí chính là cối 240 mm.</t>
        </is>
      </c>
      <c r="H341" s="49" t="inlineStr">
        <is>
          <t>Thấp</t>
        </is>
      </c>
    </row>
    <row r="342" ht="21.75" customHeight="1" s="32">
      <c r="A342" s="39" t="inlineStr">
        <is>
          <t>siege_tank</t>
        </is>
      </c>
      <c r="B342" s="39" t="inlineStr">
        <is>
          <t>Tăng công thành</t>
        </is>
      </c>
      <c r="C342" s="39" t="inlineStr">
        <is>
          <t>Máu</t>
        </is>
      </c>
      <c r="D342" s="42" t="n">
        <v>3300</v>
      </c>
      <c r="E342" s="48" t="inlineStr">
        <is>
          <t>Xem lại</t>
        </is>
      </c>
      <c r="F342" s="39" t="inlineStr">
        <is>
          <t>Máu/CP gấp 2.3 lần trung vị lớp; giữ nếu đó là bản sắc (xe chịu đòn)</t>
        </is>
      </c>
      <c r="G342" s="39" t="inlineStr">
        <is>
          <t>Kiểm tra theo trung vị máu/CP của lớp.</t>
        </is>
      </c>
      <c r="H342" s="39" t="n"/>
    </row>
    <row r="343" ht="15" customHeight="1" s="32">
      <c r="A343" s="41" t="inlineStr">
        <is>
          <t>siege_tank</t>
        </is>
      </c>
      <c r="B343" s="41" t="inlineStr">
        <is>
          <t>Tăng công thành</t>
        </is>
      </c>
      <c r="C343" s="41" t="inlineStr">
        <is>
          <t>Giáp (T/H/S/N)</t>
        </is>
      </c>
      <c r="D343" s="41" t="inlineStr">
        <is>
          <t>3/2/1/1</t>
        </is>
      </c>
      <c r="E343" s="47" t="inlineStr">
        <is>
          <t>Đổi</t>
        </is>
      </c>
      <c r="F343" s="41" t="inlineStr">
        <is>
          <t>2/1/1/0</t>
        </is>
      </c>
      <c r="G343" s="41" t="inlineStr">
        <is>
          <t>2S4 Tyulpan là khung pháo tự hành, giáp nhẹ, không dày như tăng.</t>
        </is>
      </c>
      <c r="H343" s="48" t="inlineStr">
        <is>
          <t>Trung</t>
        </is>
      </c>
    </row>
    <row r="344" ht="15" customHeight="1" s="32">
      <c r="A344" s="39" t="inlineStr">
        <is>
          <t>siege_tank</t>
        </is>
      </c>
      <c r="B344" s="39" t="inlineStr">
        <is>
          <t>Tăng công thành</t>
        </is>
      </c>
      <c r="C344" s="39" t="inlineStr">
        <is>
          <t>Tốc độ</t>
        </is>
      </c>
      <c r="D344" s="42" t="n">
        <v>5.5</v>
      </c>
      <c r="E344" s="49" t="inlineStr">
        <is>
          <t>Giữ</t>
        </is>
      </c>
      <c r="F344" s="39" t="n"/>
      <c r="G344" s="39" t="inlineStr">
        <is>
          <t>Gần tốc độ thật × hệ số nén (5.7).</t>
        </is>
      </c>
      <c r="H344" s="39" t="n"/>
    </row>
    <row r="345" ht="15" customHeight="1" s="32">
      <c r="A345" s="41" t="inlineStr">
        <is>
          <t>siege_tank</t>
        </is>
      </c>
      <c r="B345" s="41" t="inlineStr">
        <is>
          <t>Tăng công thành</t>
        </is>
      </c>
      <c r="C345" s="41" t="inlineStr">
        <is>
          <t>Tốc độ xoay thân / tháp</t>
        </is>
      </c>
      <c r="D345" s="41" t="inlineStr">
        <is>
          <t>1 / 1</t>
        </is>
      </c>
      <c r="E345" s="49" t="inlineStr">
        <is>
          <t>Giữ</t>
        </is>
      </c>
      <c r="F345" s="41" t="n"/>
      <c r="G345" s="41" t="inlineStr">
        <is>
          <t>Hợp lý so với loại xe.</t>
        </is>
      </c>
      <c r="H345" s="41" t="n"/>
    </row>
    <row r="346" ht="21.75" customHeight="1" s="32">
      <c r="A346" s="39" t="inlineStr">
        <is>
          <t>siege_tank</t>
        </is>
      </c>
      <c r="B346" s="39" t="inlineStr">
        <is>
          <t>Tăng công thành</t>
        </is>
      </c>
      <c r="C346" s="39" t="inlineStr">
        <is>
          <t>Kích thước model (dài × rộng × cao)</t>
        </is>
      </c>
      <c r="D346" s="39" t="inlineStr">
        <is>
          <t>7.7 × 3.4 × 3.1</t>
        </is>
      </c>
      <c r="E346" s="47" t="inlineStr">
        <is>
          <t>Đổi</t>
        </is>
      </c>
      <c r="F346" s="39" t="inlineStr">
        <is>
          <t>6.8 × 2.6 × 2.6</t>
        </is>
      </c>
      <c r="G346" s="39" t="inlineStr">
        <is>
          <t>Mẫu thật 2S4 Tyulpan: 8.5 × 3.2 m; theo tỷ lệ chung (mặt đất 0,8) nên là 6.8 × 2.6 m. Đổi kích thước thì chỉnh vùng va chạm và chạy lại test xe kẹt.</t>
        </is>
      </c>
      <c r="H346" s="49" t="inlineStr">
        <is>
          <t>Thấp</t>
        </is>
      </c>
    </row>
    <row r="347" ht="15" customHeight="1" s="32">
      <c r="A347" s="41" t="inlineStr">
        <is>
          <t>siege_tank</t>
        </is>
      </c>
      <c r="B347" s="41" t="inlineStr">
        <is>
          <t>Tăng công thành</t>
        </is>
      </c>
      <c r="C347" s="41" t="inlineStr">
        <is>
          <t>Tầm nhìn</t>
        </is>
      </c>
      <c r="D347" s="43" t="n">
        <v>38</v>
      </c>
      <c r="E347" s="48" t="inlineStr">
        <is>
          <t>Xem lại</t>
        </is>
      </c>
      <c r="F347" s="41" t="inlineStr">
        <is>
          <t>~30 m</t>
        </is>
      </c>
      <c r="G347" s="41" t="inlineStr">
        <is>
          <t>Lệch hơn 20% so với mức kỳ vọng của vai trò.</t>
        </is>
      </c>
      <c r="H347" s="41" t="n"/>
    </row>
    <row r="348" ht="15" customHeight="1" s="32">
      <c r="A348" s="39" t="inlineStr">
        <is>
          <t>siege_tank</t>
        </is>
      </c>
      <c r="B348" s="39" t="inlineStr">
        <is>
          <t>Tăng công thành</t>
        </is>
      </c>
      <c r="C348" s="39" t="inlineStr">
        <is>
          <t>Tầm bắn</t>
        </is>
      </c>
      <c r="D348" s="39" t="inlineStr">
        <is>
          <t>70</t>
        </is>
      </c>
      <c r="E348" s="49" t="inlineStr">
        <is>
          <t>Giữ</t>
        </is>
      </c>
      <c r="F348" s="39" t="n"/>
      <c r="G348" s="39" t="inlineStr">
        <is>
          <t>Thứ tự tầm hợp lý trong nhóm.</t>
        </is>
      </c>
      <c r="H348" s="39" t="n"/>
    </row>
    <row r="349" ht="15" customHeight="1" s="32">
      <c r="A349" s="41" t="inlineStr">
        <is>
          <t>siege_tank</t>
        </is>
      </c>
      <c r="B349" s="41" t="inlineStr">
        <is>
          <t>Tăng công thành</t>
        </is>
      </c>
      <c r="C349" s="41" t="inlineStr">
        <is>
          <t>Giá (CP)</t>
        </is>
      </c>
      <c r="D349" s="43" t="n">
        <v>12</v>
      </c>
      <c r="E349" s="49" t="inlineStr">
        <is>
          <t>Giữ</t>
        </is>
      </c>
      <c r="F349" s="41" t="n"/>
      <c r="G349" s="41" t="inlineStr">
        <is>
          <t>Hiệu quả trong khoảng ±25% trung vị, thứ tự giá hợp ngoài đời (sheet Giá CP).</t>
        </is>
      </c>
      <c r="H349" s="41" t="n"/>
    </row>
    <row r="350" ht="15" customHeight="1" s="32">
      <c r="A350" s="39" t="inlineStr">
        <is>
          <t>siege_tank</t>
        </is>
      </c>
      <c r="B350" s="39" t="inlineStr">
        <is>
          <t>Tăng công thành</t>
        </is>
      </c>
      <c r="C350" s="39" t="inlineStr">
        <is>
          <t>Vũ khí</t>
        </is>
      </c>
      <c r="D350" s="42" t="n">
        <v>3</v>
      </c>
      <c r="E350" s="49" t="inlineStr">
        <is>
          <t>Giữ</t>
        </is>
      </c>
      <c r="F350" s="39" t="n"/>
      <c r="G350" s="39" t="inlineStr">
        <is>
          <t>Bộ vũ khí khớp mẫu thật và vai trò.</t>
        </is>
      </c>
      <c r="H350" s="39" t="n"/>
    </row>
    <row r="351" ht="32.25" customHeight="1" s="32">
      <c r="A351" s="41" t="inlineStr">
        <is>
          <t>siege_tank</t>
        </is>
      </c>
      <c r="B351" s="41" t="inlineStr">
        <is>
          <t>Tăng công thành</t>
        </is>
      </c>
      <c r="C351" s="41" t="inlineStr">
        <is>
          <t>Hành vi</t>
        </is>
      </c>
      <c r="D351" s="41" t="inlineStr">
        <is>
          <t>Dừng lại mới bắn, từ 16-70 m; cần ta nhìn thấy mục tiêu (tự nó hoặc quân bạn); Ư</t>
        </is>
      </c>
      <c r="E351" s="49" t="inlineStr">
        <is>
          <t>Giữ</t>
        </is>
      </c>
      <c r="F351" s="41" t="n"/>
      <c r="G351" s="41" t="inlineStr">
        <is>
          <t>Hợp vai trò.</t>
        </is>
      </c>
      <c r="H351" s="41" t="n"/>
    </row>
    <row r="352" ht="15" customHeight="1" s="32">
      <c r="A352" s="39" t="inlineStr">
        <is>
          <t>siege_tank</t>
        </is>
      </c>
      <c r="B352" s="39" t="inlineStr">
        <is>
          <t>Tăng công thành</t>
        </is>
      </c>
      <c r="C352" s="39" t="inlineStr">
        <is>
          <t>Nổ khi bị phá (bán kính)</t>
        </is>
      </c>
      <c r="D352" s="39" t="inlineStr">
        <is>
          <t>11 m · 440 sát thương</t>
        </is>
      </c>
      <c r="E352" s="49" t="inlineStr">
        <is>
          <t>Giữ</t>
        </is>
      </c>
      <c r="F352" s="39" t="n"/>
      <c r="G352" s="39" t="inlineStr">
        <is>
          <t>Hợp với cỡ xe.</t>
        </is>
      </c>
      <c r="H352" s="39" t="n"/>
    </row>
    <row r="353" ht="32.25" customHeight="1" s="32">
      <c r="A353" s="41" t="inlineStr">
        <is>
          <t>siege_tank</t>
        </is>
      </c>
      <c r="B353" s="41" t="inlineStr">
        <is>
          <t>Tăng công thành</t>
        </is>
      </c>
      <c r="C353" s="41" t="inlineStr">
        <is>
          <t>Tham khảo / model</t>
        </is>
      </c>
      <c r="D353" s="41" t="inlineStr">
        <is>
          <t>2S4 Tyulpan (2B8 240 mm), M110 (càng chống), 2S7 Pion · Siege Tank Crucio (StarCraft II) —</t>
        </is>
      </c>
      <c r="E353" s="49" t="inlineStr">
        <is>
          <t>Giữ</t>
        </is>
      </c>
      <c r="F353" s="41" t="n"/>
      <c r="G353" s="41" t="inlineStr">
        <is>
          <t>Khớp vũ khí và vai trò.</t>
        </is>
      </c>
      <c r="H353" s="41" t="n"/>
    </row>
    <row r="354" ht="15" customHeight="1" s="32">
      <c r="A354" s="39" t="inlineStr">
        <is>
          <t>zu23_technical</t>
        </is>
      </c>
      <c r="B354" s="39" t="inlineStr">
        <is>
          <t>Bán tải ZU-23</t>
        </is>
      </c>
      <c r="C354" s="39" t="inlineStr">
        <is>
          <t>Tên</t>
        </is>
      </c>
      <c r="D354" s="39" t="inlineStr">
        <is>
          <t>Bán tải ZU-23</t>
        </is>
      </c>
      <c r="E354" s="47" t="inlineStr">
        <is>
          <t>Đổi</t>
        </is>
      </c>
      <c r="F354" s="39" t="inlineStr">
        <is>
          <t>Bán tải cao xạ · ngắn: Cao xạ bán tải · EN: Flak Technical</t>
        </is>
      </c>
      <c r="G354" s="39" t="inlineStr">
        <is>
          <t>Bỏ tên thật khỏi tên thẻ.</t>
        </is>
      </c>
      <c r="H354" s="49" t="inlineStr">
        <is>
          <t>Thấp</t>
        </is>
      </c>
    </row>
    <row r="355" ht="15" customHeight="1" s="32">
      <c r="A355" s="41" t="inlineStr">
        <is>
          <t>zu23_technical</t>
        </is>
      </c>
      <c r="B355" s="41" t="inlineStr">
        <is>
          <t>Bán tải ZU-23</t>
        </is>
      </c>
      <c r="C355" s="41" t="inlineStr">
        <is>
          <t>Máu</t>
        </is>
      </c>
      <c r="D355" s="43" t="n">
        <v>462</v>
      </c>
      <c r="E355" s="49" t="inlineStr">
        <is>
          <t>Giữ</t>
        </is>
      </c>
      <c r="F355" s="41" t="n"/>
      <c r="G355" s="41" t="inlineStr">
        <is>
          <t>Máu/CP 0.89 × trung vị lớp Phòng không.</t>
        </is>
      </c>
      <c r="H355" s="41" t="n"/>
    </row>
    <row r="356" ht="15" customHeight="1" s="32">
      <c r="A356" s="39" t="inlineStr">
        <is>
          <t>zu23_technical</t>
        </is>
      </c>
      <c r="B356" s="39" t="inlineStr">
        <is>
          <t>Bán tải ZU-23</t>
        </is>
      </c>
      <c r="C356" s="39" t="inlineStr">
        <is>
          <t>Giáp (T/H/S/N)</t>
        </is>
      </c>
      <c r="D356" s="39" t="inlineStr">
        <is>
          <t>cấp 0 (Không giáp)</t>
        </is>
      </c>
      <c r="E356" s="49" t="inlineStr">
        <is>
          <t>Giữ</t>
        </is>
      </c>
      <c r="F356" s="39" t="n"/>
      <c r="G356" s="39" t="inlineStr">
        <is>
          <t>Khớp mẫu thật theo thang 0–4.</t>
        </is>
      </c>
      <c r="H356" s="39" t="n"/>
    </row>
    <row r="357" ht="15" customHeight="1" s="32">
      <c r="A357" s="41" t="inlineStr">
        <is>
          <t>zu23_technical</t>
        </is>
      </c>
      <c r="B357" s="41" t="inlineStr">
        <is>
          <t>Bán tải ZU-23</t>
        </is>
      </c>
      <c r="C357" s="41" t="inlineStr">
        <is>
          <t>Tốc độ</t>
        </is>
      </c>
      <c r="D357" s="43" t="n">
        <v>12</v>
      </c>
      <c r="E357" s="49" t="inlineStr">
        <is>
          <t>Giữ</t>
        </is>
      </c>
      <c r="F357" s="41" t="n"/>
      <c r="G357" s="41" t="inlineStr">
        <is>
          <t>Gần tốc độ thật × hệ số nén (13.3).</t>
        </is>
      </c>
      <c r="H357" s="41" t="n"/>
    </row>
    <row r="358" ht="15" customHeight="1" s="32">
      <c r="A358" s="39" t="inlineStr">
        <is>
          <t>zu23_technical</t>
        </is>
      </c>
      <c r="B358" s="39" t="inlineStr">
        <is>
          <t>Bán tải ZU-23</t>
        </is>
      </c>
      <c r="C358" s="39" t="inlineStr">
        <is>
          <t>Tốc độ xoay thân / tháp</t>
        </is>
      </c>
      <c r="D358" s="39" t="inlineStr">
        <is>
          <t>3 / 4</t>
        </is>
      </c>
      <c r="E358" s="49" t="inlineStr">
        <is>
          <t>Giữ</t>
        </is>
      </c>
      <c r="F358" s="39" t="n"/>
      <c r="G358" s="39" t="inlineStr">
        <is>
          <t>Hợp lý so với loại xe.</t>
        </is>
      </c>
      <c r="H358" s="39" t="n"/>
    </row>
    <row r="359" ht="15" customHeight="1" s="32">
      <c r="A359" s="41" t="inlineStr">
        <is>
          <t>zu23_technical</t>
        </is>
      </c>
      <c r="B359" s="41" t="inlineStr">
        <is>
          <t>Bán tải ZU-23</t>
        </is>
      </c>
      <c r="C359" s="41" t="inlineStr">
        <is>
          <t>Kích thước model (dài × rộng × cao)</t>
        </is>
      </c>
      <c r="D359" s="41" t="inlineStr">
        <is>
          <t>4.5 × 1.8 × 2.1</t>
        </is>
      </c>
      <c r="E359" s="49" t="inlineStr">
        <is>
          <t>Giữ</t>
        </is>
      </c>
      <c r="F359" s="41" t="n"/>
      <c r="G359" s="41" t="inlineStr">
        <is>
          <t>Khớp tỷ lệ chung (mẫu thật 5.3 m).</t>
        </is>
      </c>
      <c r="H359" s="41" t="n"/>
    </row>
    <row r="360" ht="15" customHeight="1" s="32">
      <c r="A360" s="39" t="inlineStr">
        <is>
          <t>zu23_technical</t>
        </is>
      </c>
      <c r="B360" s="39" t="inlineStr">
        <is>
          <t>Bán tải ZU-23</t>
        </is>
      </c>
      <c r="C360" s="39" t="inlineStr">
        <is>
          <t>Tầm nhìn</t>
        </is>
      </c>
      <c r="D360" s="42" t="n">
        <v>40</v>
      </c>
      <c r="E360" s="49" t="inlineStr">
        <is>
          <t>Giữ</t>
        </is>
      </c>
      <c r="F360" s="39" t="n"/>
      <c r="G360" s="39" t="inlineStr">
        <is>
          <t>Khớp vai trò.</t>
        </is>
      </c>
      <c r="H360" s="39" t="n"/>
    </row>
    <row r="361" ht="15" customHeight="1" s="32">
      <c r="A361" s="41" t="inlineStr">
        <is>
          <t>zu23_technical</t>
        </is>
      </c>
      <c r="B361" s="41" t="inlineStr">
        <is>
          <t>Bán tải ZU-23</t>
        </is>
      </c>
      <c r="C361" s="41" t="inlineStr">
        <is>
          <t>Tầm bắn</t>
        </is>
      </c>
      <c r="D361" s="41" t="inlineStr">
        <is>
          <t>32</t>
        </is>
      </c>
      <c r="E361" s="47" t="inlineStr">
        <is>
          <t>Đổi</t>
        </is>
      </c>
      <c r="F361" s="41" t="inlineStr">
        <is>
          <t>7/phát · 25 viên/s · tầm 38 m (giữ DPS)</t>
        </is>
      </c>
      <c r="G361" s="41" t="inlineStr">
        <is>
          <t>Hiệu quả chỉ 0,24 lần trung vị phòng không; tầm quá ngắn nên máy bay bắn trước.</t>
        </is>
      </c>
      <c r="H361" s="47" t="inlineStr">
        <is>
          <t>Cao</t>
        </is>
      </c>
    </row>
    <row r="362" ht="15" customHeight="1" s="32">
      <c r="A362" s="39" t="inlineStr">
        <is>
          <t>zu23_technical</t>
        </is>
      </c>
      <c r="B362" s="39" t="inlineStr">
        <is>
          <t>Bán tải ZU-23</t>
        </is>
      </c>
      <c r="C362" s="39" t="inlineStr">
        <is>
          <t>Giá (CP)</t>
        </is>
      </c>
      <c r="D362" s="42" t="n">
        <v>3</v>
      </c>
      <c r="E362" s="49" t="inlineStr">
        <is>
          <t>Giữ</t>
        </is>
      </c>
      <c r="F362" s="39" t="n"/>
      <c r="G362" s="39" t="inlineStr">
        <is>
          <t>Hiệu quả trong khoảng ±25% trung vị, thứ tự giá hợp ngoài đời (sheet Giá CP).</t>
        </is>
      </c>
      <c r="H362" s="39" t="n"/>
    </row>
    <row r="363" ht="21.75" customHeight="1" s="32">
      <c r="A363" s="41" t="inlineStr">
        <is>
          <t>zu23_technical</t>
        </is>
      </c>
      <c r="B363" s="41" t="inlineStr">
        <is>
          <t>Bán tải ZU-23</t>
        </is>
      </c>
      <c r="C363" s="41" t="inlineStr">
        <is>
          <t>Vũ khí: ZU-23-2</t>
        </is>
      </c>
      <c r="D363" s="41" t="inlineStr">
        <is>
          <t>15/phát · 11 viên/s · tầm 32 m · giá trị vs máy bay 62</t>
        </is>
      </c>
      <c r="E363" s="47" t="inlineStr">
        <is>
          <t>Đổi</t>
        </is>
      </c>
      <c r="F363" s="41" t="inlineStr">
        <is>
          <t>7/phát · 25 viên/s · tầm 38 m (giữ DPS)</t>
        </is>
      </c>
      <c r="G363" s="41" t="inlineStr">
        <is>
          <t>Hiệu quả chỉ 0,24 lần trung vị phòng không; tầm quá ngắn nên máy bay bắn trước.</t>
        </is>
      </c>
      <c r="H363" s="47" t="inlineStr">
        <is>
          <t>Cao</t>
        </is>
      </c>
    </row>
    <row r="364" ht="21.75" customHeight="1" s="32">
      <c r="A364" s="39" t="inlineStr">
        <is>
          <t>zu23_technical</t>
        </is>
      </c>
      <c r="B364" s="39" t="inlineStr">
        <is>
          <t>Bán tải ZU-23</t>
        </is>
      </c>
      <c r="C364" s="39" t="inlineStr">
        <is>
          <t>Hành vi</t>
        </is>
      </c>
      <c r="D364" s="39" t="inlineStr">
        <is>
          <t>Vừa chạy vừa bắn; Bắn hết 57 viên thì thay băng; Xe phòng không</t>
        </is>
      </c>
      <c r="E364" s="49" t="inlineStr">
        <is>
          <t>Giữ</t>
        </is>
      </c>
      <c r="F364" s="39" t="n"/>
      <c r="G364" s="39" t="inlineStr">
        <is>
          <t>Hợp vai trò.</t>
        </is>
      </c>
      <c r="H364" s="39" t="n"/>
    </row>
    <row r="365" ht="15" customHeight="1" s="32">
      <c r="A365" s="41" t="inlineStr">
        <is>
          <t>zu23_technical</t>
        </is>
      </c>
      <c r="B365" s="41" t="inlineStr">
        <is>
          <t>Bán tải ZU-23</t>
        </is>
      </c>
      <c r="C365" s="41" t="inlineStr">
        <is>
          <t>Nổ khi bị phá (bán kính)</t>
        </is>
      </c>
      <c r="D365" s="41" t="inlineStr">
        <is>
          <t>4 m · 60 sát thương</t>
        </is>
      </c>
      <c r="E365" s="49" t="inlineStr">
        <is>
          <t>Giữ</t>
        </is>
      </c>
      <c r="F365" s="41" t="n"/>
      <c r="G365" s="41" t="inlineStr">
        <is>
          <t>Hợp với cỡ xe.</t>
        </is>
      </c>
      <c r="H365" s="41" t="n"/>
    </row>
    <row r="366" ht="32.25" customHeight="1" s="32">
      <c r="A366" s="39" t="inlineStr">
        <is>
          <t>zu23_technical</t>
        </is>
      </c>
      <c r="B366" s="39" t="inlineStr">
        <is>
          <t>Bán tải ZU-23</t>
        </is>
      </c>
      <c r="C366" s="39" t="inlineStr">
        <is>
          <t>Tham khảo / model</t>
        </is>
      </c>
      <c r="D366" s="39" t="inlineStr">
        <is>
          <t>Toyota Hilux, ZU-23-2 23 mm — Xe bán tải gắn pháo phòng không hai nòng ZU-23-2</t>
        </is>
      </c>
      <c r="E366" s="49" t="inlineStr">
        <is>
          <t>Giữ</t>
        </is>
      </c>
      <c r="F366" s="39" t="n"/>
      <c r="G366" s="39" t="inlineStr">
        <is>
          <t>Khớp vũ khí và vai trò.</t>
        </is>
      </c>
      <c r="H366" s="39" t="n"/>
    </row>
    <row r="367" ht="21.75" customHeight="1" s="32">
      <c r="A367" s="41" t="inlineStr">
        <is>
          <t>aa_vehicle</t>
        </is>
      </c>
      <c r="B367" s="41" t="inlineStr">
        <is>
          <t>Xe phòng không</t>
        </is>
      </c>
      <c r="C367" s="41" t="inlineStr">
        <is>
          <t>Tên</t>
        </is>
      </c>
      <c r="D367" s="41" t="inlineStr">
        <is>
          <t>Xe phòng không</t>
        </is>
      </c>
      <c r="E367" s="47" t="inlineStr">
        <is>
          <t>Đổi</t>
        </is>
      </c>
      <c r="F367" s="41" t="inlineStr">
        <is>
          <t>Pháo cao xạ tự hành · ngắn: Cao xạ · EN: Self-Propelled AA Gun</t>
        </is>
      </c>
      <c r="G367" s="41" t="inlineStr">
        <is>
          <t>"Xe phòng không" quá chung (có 6 xe phòng không).</t>
        </is>
      </c>
      <c r="H367" s="49" t="inlineStr">
        <is>
          <t>Thấp</t>
        </is>
      </c>
    </row>
    <row r="368" ht="15" customHeight="1" s="32">
      <c r="A368" s="39" t="inlineStr">
        <is>
          <t>aa_vehicle</t>
        </is>
      </c>
      <c r="B368" s="39" t="inlineStr">
        <is>
          <t>Xe phòng không</t>
        </is>
      </c>
      <c r="C368" s="39" t="inlineStr">
        <is>
          <t>Máu</t>
        </is>
      </c>
      <c r="D368" s="42" t="n">
        <v>770</v>
      </c>
      <c r="E368" s="49" t="inlineStr">
        <is>
          <t>Giữ</t>
        </is>
      </c>
      <c r="F368" s="39" t="n"/>
      <c r="G368" s="39" t="inlineStr">
        <is>
          <t>Máu/CP 1.11 × trung vị lớp Phòng không.</t>
        </is>
      </c>
      <c r="H368" s="39" t="n"/>
    </row>
    <row r="369" ht="15" customHeight="1" s="32">
      <c r="A369" s="41" t="inlineStr">
        <is>
          <t>aa_vehicle</t>
        </is>
      </c>
      <c r="B369" s="41" t="inlineStr">
        <is>
          <t>Xe phòng không</t>
        </is>
      </c>
      <c r="C369" s="41" t="inlineStr">
        <is>
          <t>Giáp (T/H/S/N)</t>
        </is>
      </c>
      <c r="D369" s="41" t="inlineStr">
        <is>
          <t>1/0/0/0</t>
        </is>
      </c>
      <c r="E369" s="47" t="inlineStr">
        <is>
          <t>Đổi</t>
        </is>
      </c>
      <c r="F369" s="41" t="inlineStr">
        <is>
          <t>2/1/1/0</t>
        </is>
      </c>
      <c r="G369" s="41" t="inlineStr">
        <is>
          <t>Gepard dùng khung Leopard 1.</t>
        </is>
      </c>
      <c r="H369" s="48" t="inlineStr">
        <is>
          <t>Trung</t>
        </is>
      </c>
    </row>
    <row r="370" ht="15" customHeight="1" s="32">
      <c r="A370" s="39" t="inlineStr">
        <is>
          <t>aa_vehicle</t>
        </is>
      </c>
      <c r="B370" s="39" t="inlineStr">
        <is>
          <t>Xe phòng không</t>
        </is>
      </c>
      <c r="C370" s="39" t="inlineStr">
        <is>
          <t>Tốc độ</t>
        </is>
      </c>
      <c r="D370" s="42" t="n">
        <v>8</v>
      </c>
      <c r="E370" s="49" t="inlineStr">
        <is>
          <t>Giữ</t>
        </is>
      </c>
      <c r="F370" s="39" t="n"/>
      <c r="G370" s="39" t="inlineStr">
        <is>
          <t>Gần tốc độ thật × hệ số nén (6.0).</t>
        </is>
      </c>
      <c r="H370" s="39" t="n"/>
    </row>
    <row r="371" ht="15" customHeight="1" s="32">
      <c r="A371" s="41" t="inlineStr">
        <is>
          <t>aa_vehicle</t>
        </is>
      </c>
      <c r="B371" s="41" t="inlineStr">
        <is>
          <t>Xe phòng không</t>
        </is>
      </c>
      <c r="C371" s="41" t="inlineStr">
        <is>
          <t>Tốc độ xoay thân / tháp</t>
        </is>
      </c>
      <c r="D371" s="41" t="inlineStr">
        <is>
          <t>2 / 3</t>
        </is>
      </c>
      <c r="E371" s="49" t="inlineStr">
        <is>
          <t>Giữ</t>
        </is>
      </c>
      <c r="F371" s="41" t="n"/>
      <c r="G371" s="41" t="inlineStr">
        <is>
          <t>Hợp lý so với loại xe.</t>
        </is>
      </c>
      <c r="H371" s="41" t="n"/>
    </row>
    <row r="372" ht="15" customHeight="1" s="32">
      <c r="A372" s="39" t="inlineStr">
        <is>
          <t>aa_vehicle</t>
        </is>
      </c>
      <c r="B372" s="39" t="inlineStr">
        <is>
          <t>Xe phòng không</t>
        </is>
      </c>
      <c r="C372" s="39" t="inlineStr">
        <is>
          <t>Kích thước model (dài × rộng × cao)</t>
        </is>
      </c>
      <c r="D372" s="39" t="inlineStr">
        <is>
          <t>5.6 × 2.7 × 3.0</t>
        </is>
      </c>
      <c r="E372" s="49" t="inlineStr">
        <is>
          <t>Giữ</t>
        </is>
      </c>
      <c r="F372" s="39" t="n"/>
      <c r="G372" s="39" t="inlineStr">
        <is>
          <t>Khớp tỷ lệ chung (mẫu thật 7.7 m).</t>
        </is>
      </c>
      <c r="H372" s="39" t="n"/>
    </row>
    <row r="373" ht="15" customHeight="1" s="32">
      <c r="A373" s="41" t="inlineStr">
        <is>
          <t>aa_vehicle</t>
        </is>
      </c>
      <c r="B373" s="41" t="inlineStr">
        <is>
          <t>Xe phòng không</t>
        </is>
      </c>
      <c r="C373" s="41" t="inlineStr">
        <is>
          <t>Tầm nhìn</t>
        </is>
      </c>
      <c r="D373" s="43" t="n">
        <v>42</v>
      </c>
      <c r="E373" s="49" t="inlineStr">
        <is>
          <t>Giữ</t>
        </is>
      </c>
      <c r="F373" s="41" t="n"/>
      <c r="G373" s="41" t="inlineStr">
        <is>
          <t>Khớp vai trò.</t>
        </is>
      </c>
      <c r="H373" s="41" t="n"/>
    </row>
    <row r="374" ht="15" customHeight="1" s="32">
      <c r="A374" s="39" t="inlineStr">
        <is>
          <t>aa_vehicle</t>
        </is>
      </c>
      <c r="B374" s="39" t="inlineStr">
        <is>
          <t>Xe phòng không</t>
        </is>
      </c>
      <c r="C374" s="39" t="inlineStr">
        <is>
          <t>Tầm bắn</t>
        </is>
      </c>
      <c r="D374" s="39" t="inlineStr">
        <is>
          <t>44</t>
        </is>
      </c>
      <c r="E374" s="49" t="inlineStr">
        <is>
          <t>Giữ</t>
        </is>
      </c>
      <c r="F374" s="39" t="n"/>
      <c r="G374" s="39" t="inlineStr">
        <is>
          <t>Thứ tự tầm hợp lý trong nhóm.</t>
        </is>
      </c>
      <c r="H374" s="39" t="n"/>
    </row>
    <row r="375" ht="15" customHeight="1" s="32">
      <c r="A375" s="41" t="inlineStr">
        <is>
          <t>aa_vehicle</t>
        </is>
      </c>
      <c r="B375" s="41" t="inlineStr">
        <is>
          <t>Xe phòng không</t>
        </is>
      </c>
      <c r="C375" s="41" t="inlineStr">
        <is>
          <t>Giá (CP)</t>
        </is>
      </c>
      <c r="D375" s="43" t="n">
        <v>4</v>
      </c>
      <c r="E375" s="49" t="inlineStr">
        <is>
          <t>Giữ</t>
        </is>
      </c>
      <c r="F375" s="41" t="n"/>
      <c r="G375" s="41" t="inlineStr">
        <is>
          <t>Hiệu quả trong khoảng ±25% trung vị, thứ tự giá hợp ngoài đời (sheet Giá CP).</t>
        </is>
      </c>
      <c r="H375" s="41" t="n"/>
    </row>
    <row r="376" ht="15" customHeight="1" s="32">
      <c r="A376" s="39" t="inlineStr">
        <is>
          <t>aa_vehicle</t>
        </is>
      </c>
      <c r="B376" s="39" t="inlineStr">
        <is>
          <t>Xe phòng không</t>
        </is>
      </c>
      <c r="C376" s="39" t="inlineStr">
        <is>
          <t>Vũ khí: Stinger</t>
        </is>
      </c>
      <c r="D376" s="39" t="inlineStr">
        <is>
          <t>tốc độ 24 (bay 1,8 s)</t>
        </is>
      </c>
      <c r="E376" s="47" t="inlineStr">
        <is>
          <t>Đổi</t>
        </is>
      </c>
      <c r="F376" s="39" t="inlineStr">
        <is>
          <t>tốc độ 42 (bay 1,05 s)</t>
        </is>
      </c>
      <c r="G376" s="39" t="inlineStr">
        <is>
          <t>Tên lửa phải nhanh hơn mục tiêu (cường kích bay 32 m/s); hiện chậm hơn.</t>
        </is>
      </c>
      <c r="H376" s="48" t="inlineStr">
        <is>
          <t>Trung</t>
        </is>
      </c>
    </row>
    <row r="377" ht="21.75" customHeight="1" s="32">
      <c r="A377" s="41" t="inlineStr">
        <is>
          <t>aa_vehicle</t>
        </is>
      </c>
      <c r="B377" s="41" t="inlineStr">
        <is>
          <t>Xe phòng không</t>
        </is>
      </c>
      <c r="C377" s="41" t="inlineStr">
        <is>
          <t>Hành vi</t>
        </is>
      </c>
      <c r="D377" s="41" t="inlineStr">
        <is>
          <t>Vừa chạy vừa bắn; Bắn hết 22 viên thì thay băng; Tên lửa phòng không</t>
        </is>
      </c>
      <c r="E377" s="49" t="inlineStr">
        <is>
          <t>Giữ</t>
        </is>
      </c>
      <c r="F377" s="41" t="n"/>
      <c r="G377" s="41" t="inlineStr">
        <is>
          <t>Hợp vai trò.</t>
        </is>
      </c>
      <c r="H377" s="41" t="n"/>
    </row>
    <row r="378" ht="15" customHeight="1" s="32">
      <c r="A378" s="39" t="inlineStr">
        <is>
          <t>aa_vehicle</t>
        </is>
      </c>
      <c r="B378" s="39" t="inlineStr">
        <is>
          <t>Xe phòng không</t>
        </is>
      </c>
      <c r="C378" s="39" t="inlineStr">
        <is>
          <t>Nổ khi bị phá (bán kính)</t>
        </is>
      </c>
      <c r="D378" s="39" t="inlineStr">
        <is>
          <t>5 m · 120 sát thương</t>
        </is>
      </c>
      <c r="E378" s="49" t="inlineStr">
        <is>
          <t>Giữ</t>
        </is>
      </c>
      <c r="F378" s="39" t="n"/>
      <c r="G378" s="39" t="inlineStr">
        <is>
          <t>Hợp với cỡ xe.</t>
        </is>
      </c>
      <c r="H378" s="39" t="n"/>
    </row>
    <row r="379" ht="32.25" customHeight="1" s="32">
      <c r="A379" s="41" t="inlineStr">
        <is>
          <t>aa_vehicle</t>
        </is>
      </c>
      <c r="B379" s="41" t="inlineStr">
        <is>
          <t>Xe phòng không</t>
        </is>
      </c>
      <c r="C379" s="41" t="inlineStr">
        <is>
          <t>Tham khảo / model</t>
        </is>
      </c>
      <c r="D379" s="41" t="inlineStr">
        <is>
          <t>Flakpanzer Gepard (Oerlikon KDA 35 mm), Stinger / Starstreak — Pháo phòng không tự hành ha</t>
        </is>
      </c>
      <c r="E379" s="49" t="inlineStr">
        <is>
          <t>Giữ</t>
        </is>
      </c>
      <c r="F379" s="41" t="n"/>
      <c r="G379" s="41" t="inlineStr">
        <is>
          <t>Khớp vũ khí và vai trò.</t>
        </is>
      </c>
      <c r="H379" s="41" t="n"/>
    </row>
    <row r="380" ht="21.75" customHeight="1" s="32">
      <c r="A380" s="39" t="inlineStr">
        <is>
          <t>sam_launcher</t>
        </is>
      </c>
      <c r="B380" s="39" t="inlineStr">
        <is>
          <t>Tên lửa phòng không</t>
        </is>
      </c>
      <c r="C380" s="39" t="inlineStr">
        <is>
          <t>Tên</t>
        </is>
      </c>
      <c r="D380" s="39" t="inlineStr">
        <is>
          <t>Tên lửa phòng không</t>
        </is>
      </c>
      <c r="E380" s="47" t="inlineStr">
        <is>
          <t>Đổi</t>
        </is>
      </c>
      <c r="F380" s="39" t="inlineStr">
        <is>
          <t>Xe tên lửa phòng không tầm trung · ngắn: PK tầm trung · EN: Medium-range SAM</t>
        </is>
      </c>
      <c r="G380" s="39" t="inlineStr">
        <is>
          <t>Phân biệt với tầm xa và vác vai.</t>
        </is>
      </c>
      <c r="H380" s="49" t="inlineStr">
        <is>
          <t>Thấp</t>
        </is>
      </c>
    </row>
    <row r="381" ht="15" customHeight="1" s="32">
      <c r="A381" s="41" t="inlineStr">
        <is>
          <t>sam_launcher</t>
        </is>
      </c>
      <c r="B381" s="41" t="inlineStr">
        <is>
          <t>Tên lửa phòng không</t>
        </is>
      </c>
      <c r="C381" s="41" t="inlineStr">
        <is>
          <t>Máu</t>
        </is>
      </c>
      <c r="D381" s="43" t="n">
        <v>1760</v>
      </c>
      <c r="E381" s="47" t="inlineStr">
        <is>
          <t>Đổi</t>
        </is>
      </c>
      <c r="F381" s="41" t="inlineStr">
        <is>
          <t>1.300</t>
        </is>
      </c>
      <c r="G381" s="41" t="inlineStr">
        <is>
          <t>Cao hơn cả Pantsir (1.188) dù là xe phóng tên lửa ít giáp.</t>
        </is>
      </c>
      <c r="H381" s="48" t="inlineStr">
        <is>
          <t>Trung</t>
        </is>
      </c>
    </row>
    <row r="382" ht="15" customHeight="1" s="32">
      <c r="A382" s="39" t="inlineStr">
        <is>
          <t>sam_launcher</t>
        </is>
      </c>
      <c r="B382" s="39" t="inlineStr">
        <is>
          <t>Tên lửa phòng không</t>
        </is>
      </c>
      <c r="C382" s="39" t="inlineStr">
        <is>
          <t>Giáp (T/H/S/N)</t>
        </is>
      </c>
      <c r="D382" s="39" t="inlineStr">
        <is>
          <t>1/0/0/0</t>
        </is>
      </c>
      <c r="E382" s="47" t="inlineStr">
        <is>
          <t>Đổi</t>
        </is>
      </c>
      <c r="F382" s="39" t="inlineStr">
        <is>
          <t>1/1/0/0</t>
        </is>
      </c>
      <c r="G382" s="39" t="inlineStr">
        <is>
          <t>Khung GM-569 bọc nhẹ.</t>
        </is>
      </c>
      <c r="H382" s="48" t="inlineStr">
        <is>
          <t>Trung</t>
        </is>
      </c>
    </row>
    <row r="383" ht="15" customHeight="1" s="32">
      <c r="A383" s="41" t="inlineStr">
        <is>
          <t>sam_launcher</t>
        </is>
      </c>
      <c r="B383" s="41" t="inlineStr">
        <is>
          <t>Tên lửa phòng không</t>
        </is>
      </c>
      <c r="C383" s="41" t="inlineStr">
        <is>
          <t>Tốc độ</t>
        </is>
      </c>
      <c r="D383" s="43" t="n">
        <v>6.5</v>
      </c>
      <c r="E383" s="49" t="inlineStr">
        <is>
          <t>Giữ</t>
        </is>
      </c>
      <c r="F383" s="41" t="n"/>
      <c r="G383" s="41" t="inlineStr">
        <is>
          <t>Gần tốc độ thật × hệ số nén (6.0).</t>
        </is>
      </c>
      <c r="H383" s="41" t="n"/>
    </row>
    <row r="384" ht="15" customHeight="1" s="32">
      <c r="A384" s="39" t="inlineStr">
        <is>
          <t>sam_launcher</t>
        </is>
      </c>
      <c r="B384" s="39" t="inlineStr">
        <is>
          <t>Tên lửa phòng không</t>
        </is>
      </c>
      <c r="C384" s="39" t="inlineStr">
        <is>
          <t>Tốc độ xoay thân / tháp</t>
        </is>
      </c>
      <c r="D384" s="39" t="inlineStr">
        <is>
          <t>1 / 2</t>
        </is>
      </c>
      <c r="E384" s="49" t="inlineStr">
        <is>
          <t>Giữ</t>
        </is>
      </c>
      <c r="F384" s="39" t="n"/>
      <c r="G384" s="39" t="inlineStr">
        <is>
          <t>Hợp lý so với loại xe.</t>
        </is>
      </c>
      <c r="H384" s="39" t="n"/>
    </row>
    <row r="385" ht="15" customHeight="1" s="32">
      <c r="A385" s="41" t="inlineStr">
        <is>
          <t>sam_launcher</t>
        </is>
      </c>
      <c r="B385" s="41" t="inlineStr">
        <is>
          <t>Tên lửa phòng không</t>
        </is>
      </c>
      <c r="C385" s="41" t="inlineStr">
        <is>
          <t>Kích thước model (dài × rộng × cao)</t>
        </is>
      </c>
      <c r="D385" s="41" t="inlineStr">
        <is>
          <t>6.1 × 3.1 × 4.0</t>
        </is>
      </c>
      <c r="E385" s="49" t="inlineStr">
        <is>
          <t>Giữ</t>
        </is>
      </c>
      <c r="F385" s="41" t="n"/>
      <c r="G385" s="41" t="inlineStr">
        <is>
          <t>Khớp tỷ lệ chung (mẫu thật 9.3 m).</t>
        </is>
      </c>
      <c r="H385" s="41" t="n"/>
    </row>
    <row r="386" ht="15" customHeight="1" s="32">
      <c r="A386" s="39" t="inlineStr">
        <is>
          <t>sam_launcher</t>
        </is>
      </c>
      <c r="B386" s="39" t="inlineStr">
        <is>
          <t>Tên lửa phòng không</t>
        </is>
      </c>
      <c r="C386" s="39" t="inlineStr">
        <is>
          <t>Tầm nhìn</t>
        </is>
      </c>
      <c r="D386" s="42" t="n">
        <v>60</v>
      </c>
      <c r="E386" s="49" t="inlineStr">
        <is>
          <t>Giữ</t>
        </is>
      </c>
      <c r="F386" s="39" t="n"/>
      <c r="G386" s="39" t="inlineStr">
        <is>
          <t>Khớp vai trò.</t>
        </is>
      </c>
      <c r="H386" s="39" t="n"/>
    </row>
    <row r="387" ht="15" customHeight="1" s="32">
      <c r="A387" s="41" t="inlineStr">
        <is>
          <t>sam_launcher</t>
        </is>
      </c>
      <c r="B387" s="41" t="inlineStr">
        <is>
          <t>Tên lửa phòng không</t>
        </is>
      </c>
      <c r="C387" s="41" t="inlineStr">
        <is>
          <t>Tầm bắn</t>
        </is>
      </c>
      <c r="D387" s="41" t="inlineStr">
        <is>
          <t>55</t>
        </is>
      </c>
      <c r="E387" s="49" t="inlineStr">
        <is>
          <t>Giữ</t>
        </is>
      </c>
      <c r="F387" s="41" t="n"/>
      <c r="G387" s="41" t="inlineStr">
        <is>
          <t>Thứ tự tầm hợp lý trong nhóm.</t>
        </is>
      </c>
      <c r="H387" s="41" t="n"/>
    </row>
    <row r="388" ht="15" customHeight="1" s="32">
      <c r="A388" s="39" t="inlineStr">
        <is>
          <t>sam_launcher</t>
        </is>
      </c>
      <c r="B388" s="39" t="inlineStr">
        <is>
          <t>Tên lửa phòng không</t>
        </is>
      </c>
      <c r="C388" s="39" t="inlineStr">
        <is>
          <t>Giá (CP)</t>
        </is>
      </c>
      <c r="D388" s="42" t="n">
        <v>5</v>
      </c>
      <c r="E388" s="47" t="inlineStr">
        <is>
          <t>Đổi</t>
        </is>
      </c>
      <c r="F388" s="39" t="inlineStr">
        <is>
          <t>7 CP</t>
        </is>
      </c>
      <c r="G388" s="39" t="inlineStr">
        <is>
          <t>Hiệu quả cao nhất nhóm phòng không di động; Buk ngoài đời đắt hơn Gepard nhiều.</t>
        </is>
      </c>
      <c r="H388" s="47" t="inlineStr">
        <is>
          <t>Cao</t>
        </is>
      </c>
    </row>
    <row r="389" ht="21.75" customHeight="1" s="32">
      <c r="A389" s="41" t="inlineStr">
        <is>
          <t>sam_launcher</t>
        </is>
      </c>
      <c r="B389" s="41" t="inlineStr">
        <is>
          <t>Tên lửa phòng không</t>
        </is>
      </c>
      <c r="C389" s="41" t="inlineStr">
        <is>
          <t>Vũ khí: 9M317 Buk</t>
        </is>
      </c>
      <c r="D389" s="41" t="inlineStr">
        <is>
          <t>tốc độ 24 (bay 2,3 s, chậm hơn tiêm kích 40 m/s)</t>
        </is>
      </c>
      <c r="E389" s="47" t="inlineStr">
        <is>
          <t>Đổi</t>
        </is>
      </c>
      <c r="F389" s="41" t="inlineStr">
        <is>
          <t>tốc độ 50 (bay 1,1 s)</t>
        </is>
      </c>
      <c r="G389" s="41" t="inlineStr">
        <is>
          <t>Tên lửa không đuổi kịp máy bay nhanh.</t>
        </is>
      </c>
      <c r="H389" s="47" t="inlineStr">
        <is>
          <t>Cao</t>
        </is>
      </c>
    </row>
    <row r="390" ht="21.75" customHeight="1" s="32">
      <c r="A390" s="39" t="inlineStr">
        <is>
          <t>sam_launcher</t>
        </is>
      </c>
      <c r="B390" s="39" t="inlineStr">
        <is>
          <t>Tên lửa phòng không</t>
        </is>
      </c>
      <c r="C390" s="39" t="inlineStr">
        <is>
          <t>Hành vi</t>
        </is>
      </c>
      <c r="D390" s="39" t="inlineStr">
        <is>
          <t>Dừng lại mới bắn; Ưu tiên máy bay; Pháo tên lửa phòng không</t>
        </is>
      </c>
      <c r="E390" s="49" t="inlineStr">
        <is>
          <t>Giữ</t>
        </is>
      </c>
      <c r="F390" s="39" t="n"/>
      <c r="G390" s="39" t="inlineStr">
        <is>
          <t>Hợp vai trò.</t>
        </is>
      </c>
      <c r="H390" s="39" t="n"/>
    </row>
    <row r="391" ht="15" customHeight="1" s="32">
      <c r="A391" s="41" t="inlineStr">
        <is>
          <t>sam_launcher</t>
        </is>
      </c>
      <c r="B391" s="41" t="inlineStr">
        <is>
          <t>Tên lửa phòng không</t>
        </is>
      </c>
      <c r="C391" s="41" t="inlineStr">
        <is>
          <t>Nổ khi bị phá (bán kính)</t>
        </is>
      </c>
      <c r="D391" s="41" t="inlineStr">
        <is>
          <t>8 m · 240 sát thương</t>
        </is>
      </c>
      <c r="E391" s="49" t="inlineStr">
        <is>
          <t>Giữ</t>
        </is>
      </c>
      <c r="F391" s="41" t="n"/>
      <c r="G391" s="41" t="inlineStr">
        <is>
          <t>Hợp với cỡ xe.</t>
        </is>
      </c>
      <c r="H391" s="41" t="n"/>
    </row>
    <row r="392" ht="32.25" customHeight="1" s="32">
      <c r="A392" s="39" t="inlineStr">
        <is>
          <t>sam_launcher</t>
        </is>
      </c>
      <c r="B392" s="39" t="inlineStr">
        <is>
          <t>Tên lửa phòng không</t>
        </is>
      </c>
      <c r="C392" s="39" t="inlineStr">
        <is>
          <t>Tham khảo / model</t>
        </is>
      </c>
      <c r="D392" s="39" t="inlineStr">
        <is>
          <t>9K37 Buk (9A310), 9M317 — Bệ phóng tên lửa phòng không bánh xích, ray hướng lên mục tiêu</t>
        </is>
      </c>
      <c r="E392" s="49" t="inlineStr">
        <is>
          <t>Giữ</t>
        </is>
      </c>
      <c r="F392" s="39" t="n"/>
      <c r="G392" s="39" t="inlineStr">
        <is>
          <t>Khớp vũ khí và vai trò.</t>
        </is>
      </c>
      <c r="H392" s="39" t="n"/>
    </row>
    <row r="393" ht="21.75" customHeight="1" s="32">
      <c r="A393" s="41" t="inlineStr">
        <is>
          <t>heavy_aa</t>
        </is>
      </c>
      <c r="B393" s="41" t="inlineStr">
        <is>
          <t>Pháo tên lửa phòng không</t>
        </is>
      </c>
      <c r="C393" s="41" t="inlineStr">
        <is>
          <t>Tên</t>
        </is>
      </c>
      <c r="D393" s="41" t="inlineStr">
        <is>
          <t>Pháo tên lửa phòng không</t>
        </is>
      </c>
      <c r="E393" s="47" t="inlineStr">
        <is>
          <t>Đổi</t>
        </is>
      </c>
      <c r="F393" s="41" t="inlineStr">
        <is>
          <t>Xe phòng không pháo – tên lửa · ngắn: PK hỗn hợp · EN: Gun–Missile AA</t>
        </is>
      </c>
      <c r="G393" s="41" t="inlineStr">
        <is>
          <t>"Pháo tên lửa phòng không" khó hiểu; bảng DPS đã gọi "PK hỗn hợp".</t>
        </is>
      </c>
      <c r="H393" s="49" t="inlineStr">
        <is>
          <t>Thấp</t>
        </is>
      </c>
    </row>
    <row r="394" ht="15" customHeight="1" s="32">
      <c r="A394" s="39" t="inlineStr">
        <is>
          <t>heavy_aa</t>
        </is>
      </c>
      <c r="B394" s="39" t="inlineStr">
        <is>
          <t>Pháo tên lửa phòng không</t>
        </is>
      </c>
      <c r="C394" s="39" t="inlineStr">
        <is>
          <t>Máu</t>
        </is>
      </c>
      <c r="D394" s="42" t="n">
        <v>1188</v>
      </c>
      <c r="E394" s="49" t="inlineStr">
        <is>
          <t>Giữ</t>
        </is>
      </c>
      <c r="F394" s="39" t="n"/>
      <c r="G394" s="39" t="inlineStr">
        <is>
          <t>Máu/CP 1.14 × trung vị lớp Phòng không.</t>
        </is>
      </c>
      <c r="H394" s="39" t="n"/>
    </row>
    <row r="395" ht="15" customHeight="1" s="32">
      <c r="A395" s="41" t="inlineStr">
        <is>
          <t>heavy_aa</t>
        </is>
      </c>
      <c r="B395" s="41" t="inlineStr">
        <is>
          <t>Pháo tên lửa phòng không</t>
        </is>
      </c>
      <c r="C395" s="41" t="inlineStr">
        <is>
          <t>Giáp (T/H/S/N)</t>
        </is>
      </c>
      <c r="D395" s="41" t="inlineStr">
        <is>
          <t>1/0/0/0</t>
        </is>
      </c>
      <c r="E395" s="49" t="inlineStr">
        <is>
          <t>Giữ</t>
        </is>
      </c>
      <c r="F395" s="41" t="n"/>
      <c r="G395" s="41" t="inlineStr">
        <is>
          <t>Giả tưởng / máy bay; khớp vai trò.</t>
        </is>
      </c>
      <c r="H395" s="41" t="n"/>
    </row>
    <row r="396" ht="15" customHeight="1" s="32">
      <c r="A396" s="39" t="inlineStr">
        <is>
          <t>heavy_aa</t>
        </is>
      </c>
      <c r="B396" s="39" t="inlineStr">
        <is>
          <t>Pháo tên lửa phòng không</t>
        </is>
      </c>
      <c r="C396" s="39" t="inlineStr">
        <is>
          <t>Tốc độ</t>
        </is>
      </c>
      <c r="D396" s="42" t="n">
        <v>8.5</v>
      </c>
      <c r="E396" s="49" t="inlineStr">
        <is>
          <t>Giữ</t>
        </is>
      </c>
      <c r="F396" s="39" t="n"/>
      <c r="G396" s="39" t="inlineStr">
        <is>
          <t>Gần tốc độ thật × hệ số nén (10.0).</t>
        </is>
      </c>
      <c r="H396" s="39" t="n"/>
    </row>
    <row r="397" ht="15" customHeight="1" s="32">
      <c r="A397" s="41" t="inlineStr">
        <is>
          <t>heavy_aa</t>
        </is>
      </c>
      <c r="B397" s="41" t="inlineStr">
        <is>
          <t>Pháo tên lửa phòng không</t>
        </is>
      </c>
      <c r="C397" s="41" t="inlineStr">
        <is>
          <t>Tốc độ xoay thân / tháp</t>
        </is>
      </c>
      <c r="D397" s="41" t="inlineStr">
        <is>
          <t>2 / 4</t>
        </is>
      </c>
      <c r="E397" s="49" t="inlineStr">
        <is>
          <t>Giữ</t>
        </is>
      </c>
      <c r="F397" s="41" t="n"/>
      <c r="G397" s="41" t="inlineStr">
        <is>
          <t>Hợp lý so với loại xe.</t>
        </is>
      </c>
      <c r="H397" s="41" t="n"/>
    </row>
    <row r="398" ht="21.75" customHeight="1" s="32">
      <c r="A398" s="39" t="inlineStr">
        <is>
          <t>heavy_aa</t>
        </is>
      </c>
      <c r="B398" s="39" t="inlineStr">
        <is>
          <t>Pháo tên lửa phòng không</t>
        </is>
      </c>
      <c r="C398" s="39" t="inlineStr">
        <is>
          <t>Kích thước model (dài × rộng × cao)</t>
        </is>
      </c>
      <c r="D398" s="39" t="inlineStr">
        <is>
          <t>7.0 × 2.5 × 3.3</t>
        </is>
      </c>
      <c r="E398" s="47" t="inlineStr">
        <is>
          <t>Đổi</t>
        </is>
      </c>
      <c r="F398" s="39" t="inlineStr">
        <is>
          <t>9.6 × 2.6 × 2.8</t>
        </is>
      </c>
      <c r="G398" s="39" t="inlineStr">
        <is>
          <t>Mẫu thật Pantsir-S1 (KamAZ): 12.0 × 3.2 m; theo tỷ lệ chung (mặt đất 0,8) nên là 9.6 × 2.6 m. Đổi kích thước thì chỉnh vùng va chạm và chạy lại test xe kẹt.</t>
        </is>
      </c>
      <c r="H398" s="49" t="inlineStr">
        <is>
          <t>Thấp</t>
        </is>
      </c>
    </row>
    <row r="399" ht="15" customHeight="1" s="32">
      <c r="A399" s="41" t="inlineStr">
        <is>
          <t>heavy_aa</t>
        </is>
      </c>
      <c r="B399" s="41" t="inlineStr">
        <is>
          <t>Pháo tên lửa phòng không</t>
        </is>
      </c>
      <c r="C399" s="41" t="inlineStr">
        <is>
          <t>Tầm nhìn</t>
        </is>
      </c>
      <c r="D399" s="43" t="n">
        <v>60</v>
      </c>
      <c r="E399" s="49" t="inlineStr">
        <is>
          <t>Giữ</t>
        </is>
      </c>
      <c r="F399" s="41" t="n"/>
      <c r="G399" s="41" t="inlineStr">
        <is>
          <t>Khớp vai trò.</t>
        </is>
      </c>
      <c r="H399" s="41" t="n"/>
    </row>
    <row r="400" ht="15" customHeight="1" s="32">
      <c r="A400" s="39" t="inlineStr">
        <is>
          <t>heavy_aa</t>
        </is>
      </c>
      <c r="B400" s="39" t="inlineStr">
        <is>
          <t>Pháo tên lửa phòng không</t>
        </is>
      </c>
      <c r="C400" s="39" t="inlineStr">
        <is>
          <t>Tầm bắn</t>
        </is>
      </c>
      <c r="D400" s="39" t="inlineStr">
        <is>
          <t>44</t>
        </is>
      </c>
      <c r="E400" s="49" t="inlineStr">
        <is>
          <t>Giữ</t>
        </is>
      </c>
      <c r="F400" s="39" t="n"/>
      <c r="G400" s="39" t="inlineStr">
        <is>
          <t>Thứ tự tầm hợp lý trong nhóm.</t>
        </is>
      </c>
      <c r="H400" s="39" t="n"/>
    </row>
    <row r="401" ht="15" customHeight="1" s="32">
      <c r="A401" s="41" t="inlineStr">
        <is>
          <t>heavy_aa</t>
        </is>
      </c>
      <c r="B401" s="41" t="inlineStr">
        <is>
          <t>Pháo tên lửa phòng không</t>
        </is>
      </c>
      <c r="C401" s="41" t="inlineStr">
        <is>
          <t>Giá (CP)</t>
        </is>
      </c>
      <c r="D401" s="43" t="n">
        <v>6</v>
      </c>
      <c r="E401" s="47" t="inlineStr">
        <is>
          <t>Đổi</t>
        </is>
      </c>
      <c r="F401" s="41" t="inlineStr">
        <is>
          <t>7 CP</t>
        </is>
      </c>
      <c r="G401" s="41" t="inlineStr">
        <is>
          <t>Pantsir đắt ngang hoặc hơn Buk ngoài đời, hiệu quả 1,14 × trung vị.</t>
        </is>
      </c>
      <c r="H401" s="48" t="inlineStr">
        <is>
          <t>Trung</t>
        </is>
      </c>
    </row>
    <row r="402" ht="15" customHeight="1" s="32">
      <c r="A402" s="39" t="inlineStr">
        <is>
          <t>heavy_aa</t>
        </is>
      </c>
      <c r="B402" s="39" t="inlineStr">
        <is>
          <t>Pháo tên lửa phòng không</t>
        </is>
      </c>
      <c r="C402" s="39" t="inlineStr">
        <is>
          <t>Vũ khí: 2A38 30 mm đôi</t>
        </is>
      </c>
      <c r="D402" s="39" t="inlineStr">
        <is>
          <t>22/phát · 13,6 viên/s</t>
        </is>
      </c>
      <c r="E402" s="47" t="inlineStr">
        <is>
          <t>Đổi</t>
        </is>
      </c>
      <c r="F402" s="39" t="inlineStr">
        <is>
          <t>7,5/phát · 40 viên/s (giữ DPS)</t>
        </is>
      </c>
      <c r="G402" s="39" t="inlineStr">
        <is>
          <t>Tạo luồng đạn đặc trưng Pantsir.</t>
        </is>
      </c>
      <c r="H402" s="49" t="inlineStr">
        <is>
          <t>Thấp</t>
        </is>
      </c>
    </row>
    <row r="403" ht="21.75" customHeight="1" s="32">
      <c r="A403" s="41" t="inlineStr">
        <is>
          <t>heavy_aa</t>
        </is>
      </c>
      <c r="B403" s="41" t="inlineStr">
        <is>
          <t>Pháo tên lửa phòng không</t>
        </is>
      </c>
      <c r="C403" s="41" t="inlineStr">
        <is>
          <t>Hành vi</t>
        </is>
      </c>
      <c r="D403" s="41" t="inlineStr">
        <is>
          <t>Vừa chạy vừa bắn; Bắn hết 69 viên thì thay băng; La-de phòng không</t>
        </is>
      </c>
      <c r="E403" s="49" t="inlineStr">
        <is>
          <t>Giữ</t>
        </is>
      </c>
      <c r="F403" s="41" t="n"/>
      <c r="G403" s="41" t="inlineStr">
        <is>
          <t>Hợp vai trò.</t>
        </is>
      </c>
      <c r="H403" s="41" t="n"/>
    </row>
    <row r="404" ht="15" customHeight="1" s="32">
      <c r="A404" s="39" t="inlineStr">
        <is>
          <t>heavy_aa</t>
        </is>
      </c>
      <c r="B404" s="39" t="inlineStr">
        <is>
          <t>Pháo tên lửa phòng không</t>
        </is>
      </c>
      <c r="C404" s="39" t="inlineStr">
        <is>
          <t>Nổ khi bị phá (bán kính)</t>
        </is>
      </c>
      <c r="D404" s="39" t="inlineStr">
        <is>
          <t>7 m · 200 sát thương</t>
        </is>
      </c>
      <c r="E404" s="49" t="inlineStr">
        <is>
          <t>Giữ</t>
        </is>
      </c>
      <c r="F404" s="39" t="n"/>
      <c r="G404" s="39" t="inlineStr">
        <is>
          <t>Hợp với cỡ xe.</t>
        </is>
      </c>
      <c r="H404" s="39" t="n"/>
    </row>
    <row r="405" ht="21.75" customHeight="1" s="32">
      <c r="A405" s="41" t="inlineStr">
        <is>
          <t>heavy_aa</t>
        </is>
      </c>
      <c r="B405" s="41" t="inlineStr">
        <is>
          <t>Pháo tên lửa phòng không</t>
        </is>
      </c>
      <c r="C405" s="41" t="inlineStr">
        <is>
          <t>Tham khảo / model</t>
        </is>
      </c>
      <c r="D405" s="41" t="inlineStr">
        <is>
          <t>Pantsir-S1 (2A38 30 mm) — Xe tải phòng không kết hợp pháo và tên lửa</t>
        </is>
      </c>
      <c r="E405" s="49" t="inlineStr">
        <is>
          <t>Giữ</t>
        </is>
      </c>
      <c r="F405" s="41" t="n"/>
      <c r="G405" s="41" t="inlineStr">
        <is>
          <t>Khớp vũ khí và vai trò.</t>
        </is>
      </c>
      <c r="H405" s="41" t="n"/>
    </row>
    <row r="406" ht="15" customHeight="1" s="32">
      <c r="A406" s="39" t="inlineStr">
        <is>
          <t>iron_beam</t>
        </is>
      </c>
      <c r="B406" s="39" t="inlineStr">
        <is>
          <t>La-de phòng không</t>
        </is>
      </c>
      <c r="C406" s="39" t="inlineStr">
        <is>
          <t>Tên</t>
        </is>
      </c>
      <c r="D406" s="39" t="inlineStr">
        <is>
          <t>La-de phòng không</t>
        </is>
      </c>
      <c r="E406" s="47" t="inlineStr">
        <is>
          <t>Đổi</t>
        </is>
      </c>
      <c r="F406" s="39" t="inlineStr">
        <is>
          <t>Xe la-de phòng không · ngắn: La-de PK · EN: Laser AA</t>
        </is>
      </c>
      <c r="G406" s="39" t="inlineStr">
        <is>
          <t>Giữ.</t>
        </is>
      </c>
      <c r="H406" s="49" t="inlineStr">
        <is>
          <t>Thấp</t>
        </is>
      </c>
    </row>
    <row r="407" ht="15" customHeight="1" s="32">
      <c r="A407" s="41" t="inlineStr">
        <is>
          <t>iron_beam</t>
        </is>
      </c>
      <c r="B407" s="41" t="inlineStr">
        <is>
          <t>La-de phòng không</t>
        </is>
      </c>
      <c r="C407" s="41" t="inlineStr">
        <is>
          <t>Máu</t>
        </is>
      </c>
      <c r="D407" s="43" t="n">
        <v>990</v>
      </c>
      <c r="E407" s="49" t="inlineStr">
        <is>
          <t>Giữ</t>
        </is>
      </c>
      <c r="F407" s="41" t="n"/>
      <c r="G407" s="41" t="inlineStr">
        <is>
          <t>Máu/CP 0.82 × trung vị lớp Phòng không.</t>
        </is>
      </c>
      <c r="H407" s="41" t="n"/>
    </row>
    <row r="408" ht="15" customHeight="1" s="32">
      <c r="A408" s="39" t="inlineStr">
        <is>
          <t>iron_beam</t>
        </is>
      </c>
      <c r="B408" s="39" t="inlineStr">
        <is>
          <t>La-de phòng không</t>
        </is>
      </c>
      <c r="C408" s="39" t="inlineStr">
        <is>
          <t>Giáp (T/H/S/N)</t>
        </is>
      </c>
      <c r="D408" s="39" t="inlineStr">
        <is>
          <t>1/0/0/0</t>
        </is>
      </c>
      <c r="E408" s="49" t="inlineStr">
        <is>
          <t>Giữ</t>
        </is>
      </c>
      <c r="F408" s="39" t="n"/>
      <c r="G408" s="39" t="inlineStr">
        <is>
          <t>Giả tưởng / máy bay; khớp vai trò.</t>
        </is>
      </c>
      <c r="H408" s="39" t="n"/>
    </row>
    <row r="409" ht="15" customHeight="1" s="32">
      <c r="A409" s="41" t="inlineStr">
        <is>
          <t>iron_beam</t>
        </is>
      </c>
      <c r="B409" s="41" t="inlineStr">
        <is>
          <t>La-de phòng không</t>
        </is>
      </c>
      <c r="C409" s="41" t="inlineStr">
        <is>
          <t>Tốc độ</t>
        </is>
      </c>
      <c r="D409" s="43" t="n">
        <v>7</v>
      </c>
      <c r="E409" s="49" t="inlineStr">
        <is>
          <t>Giữ</t>
        </is>
      </c>
      <c r="F409" s="41" t="n"/>
      <c r="G409" s="41" t="inlineStr">
        <is>
          <t>Gần tốc độ thật × hệ số nén (8.9).</t>
        </is>
      </c>
      <c r="H409" s="41" t="n"/>
    </row>
    <row r="410" ht="15" customHeight="1" s="32">
      <c r="A410" s="39" t="inlineStr">
        <is>
          <t>iron_beam</t>
        </is>
      </c>
      <c r="B410" s="39" t="inlineStr">
        <is>
          <t>La-de phòng không</t>
        </is>
      </c>
      <c r="C410" s="39" t="inlineStr">
        <is>
          <t>Tốc độ xoay thân / tháp</t>
        </is>
      </c>
      <c r="D410" s="39" t="inlineStr">
        <is>
          <t>1 / 3</t>
        </is>
      </c>
      <c r="E410" s="49" t="inlineStr">
        <is>
          <t>Giữ</t>
        </is>
      </c>
      <c r="F410" s="39" t="n"/>
      <c r="G410" s="39" t="inlineStr">
        <is>
          <t>Hợp lý so với loại xe.</t>
        </is>
      </c>
      <c r="H410" s="39" t="n"/>
    </row>
    <row r="411" ht="21.75" customHeight="1" s="32">
      <c r="A411" s="41" t="inlineStr">
        <is>
          <t>iron_beam</t>
        </is>
      </c>
      <c r="B411" s="41" t="inlineStr">
        <is>
          <t>La-de phòng không</t>
        </is>
      </c>
      <c r="C411" s="41" t="inlineStr">
        <is>
          <t>Kích thước model (dài × rộng × cao)</t>
        </is>
      </c>
      <c r="D411" s="41" t="inlineStr">
        <is>
          <t>7.8 × 2.7 × 3.7</t>
        </is>
      </c>
      <c r="E411" s="47" t="inlineStr">
        <is>
          <t>Đổi</t>
        </is>
      </c>
      <c r="F411" s="41" t="inlineStr">
        <is>
          <t>8.0 × 2.0 × 2.8</t>
        </is>
      </c>
      <c r="G411" s="41" t="inlineStr">
        <is>
          <t>Mẫu thật Iron Beam (xe tải mang laser): 10.0 × 2.5 m; theo tỷ lệ chung (mặt đất 0,8) nên là 8.0 × 2.0 m. Đổi kích thước thì chỉnh vùng va chạm và chạy lại test xe kẹt.</t>
        </is>
      </c>
      <c r="H411" s="49" t="inlineStr">
        <is>
          <t>Thấp</t>
        </is>
      </c>
    </row>
    <row r="412" ht="15" customHeight="1" s="32">
      <c r="A412" s="39" t="inlineStr">
        <is>
          <t>iron_beam</t>
        </is>
      </c>
      <c r="B412" s="39" t="inlineStr">
        <is>
          <t>La-de phòng không</t>
        </is>
      </c>
      <c r="C412" s="39" t="inlineStr">
        <is>
          <t>Tầm nhìn</t>
        </is>
      </c>
      <c r="D412" s="42" t="n">
        <v>56</v>
      </c>
      <c r="E412" s="49" t="inlineStr">
        <is>
          <t>Giữ</t>
        </is>
      </c>
      <c r="F412" s="39" t="n"/>
      <c r="G412" s="39" t="inlineStr">
        <is>
          <t>Khớp vai trò.</t>
        </is>
      </c>
      <c r="H412" s="39" t="n"/>
    </row>
    <row r="413" ht="15" customHeight="1" s="32">
      <c r="A413" s="41" t="inlineStr">
        <is>
          <t>iron_beam</t>
        </is>
      </c>
      <c r="B413" s="41" t="inlineStr">
        <is>
          <t>La-de phòng không</t>
        </is>
      </c>
      <c r="C413" s="41" t="inlineStr">
        <is>
          <t>Tầm bắn</t>
        </is>
      </c>
      <c r="D413" s="41" t="inlineStr">
        <is>
          <t>45</t>
        </is>
      </c>
      <c r="E413" s="49" t="inlineStr">
        <is>
          <t>Giữ</t>
        </is>
      </c>
      <c r="F413" s="41" t="n"/>
      <c r="G413" s="41" t="inlineStr">
        <is>
          <t>Thứ tự tầm hợp lý trong nhóm.</t>
        </is>
      </c>
      <c r="H413" s="41" t="n"/>
    </row>
    <row r="414" ht="15" customHeight="1" s="32">
      <c r="A414" s="39" t="inlineStr">
        <is>
          <t>iron_beam</t>
        </is>
      </c>
      <c r="B414" s="39" t="inlineStr">
        <is>
          <t>La-de phòng không</t>
        </is>
      </c>
      <c r="C414" s="39" t="inlineStr">
        <is>
          <t>Giá (CP)</t>
        </is>
      </c>
      <c r="D414" s="42" t="n">
        <v>7</v>
      </c>
      <c r="E414" s="47" t="inlineStr">
        <is>
          <t>Đổi</t>
        </is>
      </c>
      <c r="F414" s="39" t="inlineStr">
        <is>
          <t>6 CP</t>
        </is>
      </c>
      <c r="G414" s="39" t="inlineStr">
        <is>
          <t>Gần như vô dụng hiện tại.</t>
        </is>
      </c>
      <c r="H414" s="47" t="inlineStr">
        <is>
          <t>Cao</t>
        </is>
      </c>
    </row>
    <row r="415" ht="21.75" customHeight="1" s="32">
      <c r="A415" s="41" t="inlineStr">
        <is>
          <t>iron_beam</t>
        </is>
      </c>
      <c r="B415" s="41" t="inlineStr">
        <is>
          <t>La-de phòng không</t>
        </is>
      </c>
      <c r="C415" s="41" t="inlineStr">
        <is>
          <t>Vũ khí: laser 100 kW</t>
        </is>
      </c>
      <c r="D415" s="41" t="inlineStr">
        <is>
          <t>7,5/tick · DPS 143 lý thuyết</t>
        </is>
      </c>
      <c r="E415" s="47" t="inlineStr">
        <is>
          <t>Đổi</t>
        </is>
      </c>
      <c r="F415" s="41" t="inlineStr">
        <is>
          <t>10/tick · DPS ~190; mở rộng APS: đánh chặn cả đạn cối và rốc-két pháo binh trong 30 m; ưu tiên drone</t>
        </is>
      </c>
      <c r="G415" s="41" t="inlineStr">
        <is>
          <t>Vai trò thật của Iron Beam là chặn drone, rốc-két, cối.</t>
        </is>
      </c>
      <c r="H415" s="47" t="inlineStr">
        <is>
          <t>Cao</t>
        </is>
      </c>
    </row>
    <row r="416" ht="32.25" customHeight="1" s="32">
      <c r="A416" s="39" t="inlineStr">
        <is>
          <t>iron_beam</t>
        </is>
      </c>
      <c r="B416" s="39" t="inlineStr">
        <is>
          <t>La-de phòng không</t>
        </is>
      </c>
      <c r="C416" s="39" t="inlineStr">
        <is>
          <t>Hành vi</t>
        </is>
      </c>
      <c r="D416" s="39" t="inlineStr">
        <is>
          <t>Vừa chạy vừa bắn; Ưu tiên máy bay; APS: bắn hạ tên lửa, drone và rốc-két bắn thẳ</t>
        </is>
      </c>
      <c r="E416" s="49" t="inlineStr">
        <is>
          <t>Giữ</t>
        </is>
      </c>
      <c r="F416" s="39" t="n"/>
      <c r="G416" s="39" t="inlineStr">
        <is>
          <t>Hợp vai trò.</t>
        </is>
      </c>
      <c r="H416" s="39" t="n"/>
    </row>
    <row r="417" ht="15" customHeight="1" s="32">
      <c r="A417" s="41" t="inlineStr">
        <is>
          <t>iron_beam</t>
        </is>
      </c>
      <c r="B417" s="41" t="inlineStr">
        <is>
          <t>La-de phòng không</t>
        </is>
      </c>
      <c r="C417" s="41" t="inlineStr">
        <is>
          <t>Nổ khi bị phá (bán kính)</t>
        </is>
      </c>
      <c r="D417" s="41" t="inlineStr">
        <is>
          <t>6 m · 140 sát thương</t>
        </is>
      </c>
      <c r="E417" s="49" t="inlineStr">
        <is>
          <t>Giữ</t>
        </is>
      </c>
      <c r="F417" s="41" t="n"/>
      <c r="G417" s="41" t="inlineStr">
        <is>
          <t>Hợp với cỡ xe.</t>
        </is>
      </c>
      <c r="H417" s="41" t="n"/>
    </row>
    <row r="418" ht="21.75" customHeight="1" s="32">
      <c r="A418" s="39" t="inlineStr">
        <is>
          <t>iron_beam</t>
        </is>
      </c>
      <c r="B418" s="39" t="inlineStr">
        <is>
          <t>La-de phòng không</t>
        </is>
      </c>
      <c r="C418" s="39" t="inlineStr">
        <is>
          <t>Tham khảo / model</t>
        </is>
      </c>
      <c r="D418" s="39" t="inlineStr">
        <is>
          <t>Rafael Iron Beam (laser 100 kW) — Xe laser phòng không năng lượng cao</t>
        </is>
      </c>
      <c r="E418" s="49" t="inlineStr">
        <is>
          <t>Giữ</t>
        </is>
      </c>
      <c r="F418" s="39" t="n"/>
      <c r="G418" s="39" t="inlineStr">
        <is>
          <t>Khớp vũ khí và vai trò.</t>
        </is>
      </c>
      <c r="H418" s="39" t="n"/>
    </row>
    <row r="419" ht="21.75" customHeight="1" s="32">
      <c r="A419" s="41" t="inlineStr">
        <is>
          <t>long_sam</t>
        </is>
      </c>
      <c r="B419" s="41" t="inlineStr">
        <is>
          <t>Tên lửa phòng không tầm xa</t>
        </is>
      </c>
      <c r="C419" s="41" t="inlineStr">
        <is>
          <t>Tên</t>
        </is>
      </c>
      <c r="D419" s="41" t="inlineStr">
        <is>
          <t>Tên lửa phòng không tầm xa</t>
        </is>
      </c>
      <c r="E419" s="47" t="inlineStr">
        <is>
          <t>Đổi</t>
        </is>
      </c>
      <c r="F419" s="41" t="inlineStr">
        <is>
          <t>Xe tên lửa phòng không tầm xa · ngắn: PK tầm xa · EN: Long-range SAM</t>
        </is>
      </c>
      <c r="G419" s="41" t="inlineStr">
        <is>
          <t>Giữ nghĩa, thống nhất với tầm trung.</t>
        </is>
      </c>
      <c r="H419" s="49" t="inlineStr">
        <is>
          <t>Thấp</t>
        </is>
      </c>
    </row>
    <row r="420" ht="15" customHeight="1" s="32">
      <c r="A420" s="39" t="inlineStr">
        <is>
          <t>long_sam</t>
        </is>
      </c>
      <c r="B420" s="39" t="inlineStr">
        <is>
          <t>Tên lửa phòng không tầm xa</t>
        </is>
      </c>
      <c r="C420" s="39" t="inlineStr">
        <is>
          <t>Máu</t>
        </is>
      </c>
      <c r="D420" s="42" t="n">
        <v>968</v>
      </c>
      <c r="E420" s="49" t="inlineStr">
        <is>
          <t>Giữ</t>
        </is>
      </c>
      <c r="F420" s="39" t="n"/>
      <c r="G420" s="39" t="inlineStr">
        <is>
          <t>Máu/CP 0.51 × trung vị lớp Phòng không.</t>
        </is>
      </c>
      <c r="H420" s="39" t="n"/>
    </row>
    <row r="421" ht="15" customHeight="1" s="32">
      <c r="A421" s="41" t="inlineStr">
        <is>
          <t>long_sam</t>
        </is>
      </c>
      <c r="B421" s="41" t="inlineStr">
        <is>
          <t>Tên lửa phòng không tầm xa</t>
        </is>
      </c>
      <c r="C421" s="41" t="inlineStr">
        <is>
          <t>Giáp (T/H/S/N)</t>
        </is>
      </c>
      <c r="D421" s="41" t="inlineStr">
        <is>
          <t>1/0/0/0</t>
        </is>
      </c>
      <c r="E421" s="49" t="inlineStr">
        <is>
          <t>Giữ</t>
        </is>
      </c>
      <c r="F421" s="41" t="n"/>
      <c r="G421" s="41" t="inlineStr">
        <is>
          <t>Giả tưởng / máy bay; khớp vai trò.</t>
        </is>
      </c>
      <c r="H421" s="41" t="n"/>
    </row>
    <row r="422" ht="15" customHeight="1" s="32">
      <c r="A422" s="39" t="inlineStr">
        <is>
          <t>long_sam</t>
        </is>
      </c>
      <c r="B422" s="39" t="inlineStr">
        <is>
          <t>Tên lửa phòng không tầm xa</t>
        </is>
      </c>
      <c r="C422" s="39" t="inlineStr">
        <is>
          <t>Tốc độ</t>
        </is>
      </c>
      <c r="D422" s="42" t="n">
        <v>6</v>
      </c>
      <c r="E422" s="49" t="inlineStr">
        <is>
          <t>Giữ</t>
        </is>
      </c>
      <c r="F422" s="39" t="n"/>
      <c r="G422" s="39" t="inlineStr">
        <is>
          <t>Gần tốc độ thật × hệ số nén (6.7).</t>
        </is>
      </c>
      <c r="H422" s="39" t="n"/>
    </row>
    <row r="423" ht="15" customHeight="1" s="32">
      <c r="A423" s="41" t="inlineStr">
        <is>
          <t>long_sam</t>
        </is>
      </c>
      <c r="B423" s="41" t="inlineStr">
        <is>
          <t>Tên lửa phòng không tầm xa</t>
        </is>
      </c>
      <c r="C423" s="41" t="inlineStr">
        <is>
          <t>Tốc độ xoay thân / tháp</t>
        </is>
      </c>
      <c r="D423" s="41" t="inlineStr">
        <is>
          <t>1 / 1</t>
        </is>
      </c>
      <c r="E423" s="49" t="inlineStr">
        <is>
          <t>Giữ</t>
        </is>
      </c>
      <c r="F423" s="41" t="n"/>
      <c r="G423" s="41" t="inlineStr">
        <is>
          <t>Hợp lý so với loại xe.</t>
        </is>
      </c>
      <c r="H423" s="41" t="n"/>
    </row>
    <row r="424" ht="15" customHeight="1" s="32">
      <c r="A424" s="39" t="inlineStr">
        <is>
          <t>long_sam</t>
        </is>
      </c>
      <c r="B424" s="39" t="inlineStr">
        <is>
          <t>Tên lửa phòng không tầm xa</t>
        </is>
      </c>
      <c r="C424" s="39" t="inlineStr">
        <is>
          <t>Kích thước model (dài × rộng × cao)</t>
        </is>
      </c>
      <c r="D424" s="39" t="inlineStr">
        <is>
          <t>9.8 × 3.1 × 3.7</t>
        </is>
      </c>
      <c r="E424" s="49" t="inlineStr">
        <is>
          <t>Giữ</t>
        </is>
      </c>
      <c r="F424" s="39" t="n"/>
      <c r="G424" s="39" t="inlineStr">
        <is>
          <t>Khớp tỷ lệ chung (mẫu thật 14.0 m).</t>
        </is>
      </c>
      <c r="H424" s="39" t="n"/>
    </row>
    <row r="425" ht="15" customHeight="1" s="32">
      <c r="A425" s="41" t="inlineStr">
        <is>
          <t>long_sam</t>
        </is>
      </c>
      <c r="B425" s="41" t="inlineStr">
        <is>
          <t>Tên lửa phòng không tầm xa</t>
        </is>
      </c>
      <c r="C425" s="41" t="inlineStr">
        <is>
          <t>Tầm nhìn</t>
        </is>
      </c>
      <c r="D425" s="43" t="n">
        <v>80</v>
      </c>
      <c r="E425" s="49" t="inlineStr">
        <is>
          <t>Giữ</t>
        </is>
      </c>
      <c r="F425" s="41" t="n"/>
      <c r="G425" s="41" t="inlineStr">
        <is>
          <t>Khớp vai trò.</t>
        </is>
      </c>
      <c r="H425" s="41" t="n"/>
    </row>
    <row r="426" ht="15" customHeight="1" s="32">
      <c r="A426" s="39" t="inlineStr">
        <is>
          <t>long_sam</t>
        </is>
      </c>
      <c r="B426" s="39" t="inlineStr">
        <is>
          <t>Tên lửa phòng không tầm xa</t>
        </is>
      </c>
      <c r="C426" s="39" t="inlineStr">
        <is>
          <t>Tầm bắn</t>
        </is>
      </c>
      <c r="D426" s="39" t="inlineStr">
        <is>
          <t>95</t>
        </is>
      </c>
      <c r="E426" s="49" t="inlineStr">
        <is>
          <t>Giữ</t>
        </is>
      </c>
      <c r="F426" s="39" t="n"/>
      <c r="G426" s="39" t="inlineStr">
        <is>
          <t>Thứ tự tầm hợp lý trong nhóm.</t>
        </is>
      </c>
      <c r="H426" s="39" t="n"/>
    </row>
    <row r="427" ht="15" customHeight="1" s="32">
      <c r="A427" s="41" t="inlineStr">
        <is>
          <t>long_sam</t>
        </is>
      </c>
      <c r="B427" s="41" t="inlineStr">
        <is>
          <t>Tên lửa phòng không tầm xa</t>
        </is>
      </c>
      <c r="C427" s="41" t="inlineStr">
        <is>
          <t>Giá (CP)</t>
        </is>
      </c>
      <c r="D427" s="43" t="n">
        <v>11</v>
      </c>
      <c r="E427" s="47" t="inlineStr">
        <is>
          <t>Đổi</t>
        </is>
      </c>
      <c r="F427" s="41" t="inlineStr">
        <is>
          <t>14 CP</t>
        </is>
      </c>
      <c r="G427" s="41" t="inlineStr">
        <is>
          <t>Hiệu quả gấp đôi các xe phòng không khác; S-400 ngoài đời cực đắt.</t>
        </is>
      </c>
      <c r="H427" s="47" t="inlineStr">
        <is>
          <t>Cao</t>
        </is>
      </c>
    </row>
    <row r="428" ht="15" customHeight="1" s="32">
      <c r="A428" s="39" t="inlineStr">
        <is>
          <t>long_sam</t>
        </is>
      </c>
      <c r="B428" s="39" t="inlineStr">
        <is>
          <t>Tên lửa phòng không tầm xa</t>
        </is>
      </c>
      <c r="C428" s="39" t="inlineStr">
        <is>
          <t>Vũ khí: 48N6</t>
        </is>
      </c>
      <c r="D428" s="39" t="inlineStr">
        <is>
          <t>tốc độ 24 (bay 4,0 s)</t>
        </is>
      </c>
      <c r="E428" s="47" t="inlineStr">
        <is>
          <t>Đổi</t>
        </is>
      </c>
      <c r="F428" s="39" t="inlineStr">
        <is>
          <t>tốc độ 65 (bay 1,5 s)</t>
        </is>
      </c>
      <c r="G428" s="39" t="inlineStr">
        <is>
          <t>Tên lửa tầm xa cần nhanh để trúng máy bay ở rìa tầm.</t>
        </is>
      </c>
      <c r="H428" s="48" t="inlineStr">
        <is>
          <t>Trung</t>
        </is>
      </c>
    </row>
    <row r="429" ht="32.25" customHeight="1" s="32">
      <c r="A429" s="41" t="inlineStr">
        <is>
          <t>long_sam</t>
        </is>
      </c>
      <c r="B429" s="41" t="inlineStr">
        <is>
          <t>Tên lửa phòng không tầm xa</t>
        </is>
      </c>
      <c r="C429" s="41" t="inlineStr">
        <is>
          <t>Hành vi</t>
        </is>
      </c>
      <c r="D429" s="41" t="inlineStr">
        <is>
          <t>Dừng lại mới bắn, từ 20-95 m; cần ta nhìn thấy mục tiêu (tự nó hoặc quân bạn); Ư</t>
        </is>
      </c>
      <c r="E429" s="49" t="inlineStr">
        <is>
          <t>Giữ</t>
        </is>
      </c>
      <c r="F429" s="41" t="n"/>
      <c r="G429" s="41" t="inlineStr">
        <is>
          <t>Hợp vai trò.</t>
        </is>
      </c>
      <c r="H429" s="41" t="n"/>
    </row>
    <row r="430" ht="15" customHeight="1" s="32">
      <c r="A430" s="39" t="inlineStr">
        <is>
          <t>long_sam</t>
        </is>
      </c>
      <c r="B430" s="39" t="inlineStr">
        <is>
          <t>Tên lửa phòng không tầm xa</t>
        </is>
      </c>
      <c r="C430" s="39" t="inlineStr">
        <is>
          <t>Nổ khi bị phá (bán kính)</t>
        </is>
      </c>
      <c r="D430" s="39" t="inlineStr">
        <is>
          <t>10 m · 320 sát thương</t>
        </is>
      </c>
      <c r="E430" s="49" t="inlineStr">
        <is>
          <t>Giữ</t>
        </is>
      </c>
      <c r="F430" s="39" t="n"/>
      <c r="G430" s="39" t="inlineStr">
        <is>
          <t>Hợp với cỡ xe.</t>
        </is>
      </c>
      <c r="H430" s="39" t="n"/>
    </row>
    <row r="431" ht="32.25" customHeight="1" s="32">
      <c r="A431" s="41" t="inlineStr">
        <is>
          <t>long_sam</t>
        </is>
      </c>
      <c r="B431" s="41" t="inlineStr">
        <is>
          <t>Tên lửa phòng không tầm xa</t>
        </is>
      </c>
      <c r="C431" s="41" t="inlineStr">
        <is>
          <t>Tham khảo / model</t>
        </is>
      </c>
      <c r="D431" s="41" t="inlineStr">
        <is>
          <t>S-300PMU (5P85), S-400 (48N6), khung MAZ-543 — Bệ phóng tên lửa phòng không tầm xa, dựng đ</t>
        </is>
      </c>
      <c r="E431" s="49" t="inlineStr">
        <is>
          <t>Giữ</t>
        </is>
      </c>
      <c r="F431" s="41" t="n"/>
      <c r="G431" s="41" t="inlineStr">
        <is>
          <t>Khớp vũ khí và vai trò.</t>
        </is>
      </c>
      <c r="H431" s="41" t="n"/>
    </row>
    <row r="432" ht="21.75" customHeight="1" s="32">
      <c r="A432" s="39" t="inlineStr">
        <is>
          <t>scout_heli</t>
        </is>
      </c>
      <c r="B432" s="39" t="inlineStr">
        <is>
          <t>Trực thăng trinh sát</t>
        </is>
      </c>
      <c r="C432" s="39" t="inlineStr">
        <is>
          <t>Tên</t>
        </is>
      </c>
      <c r="D432" s="39" t="inlineStr">
        <is>
          <t>Trực thăng trinh sát</t>
        </is>
      </c>
      <c r="E432" s="47" t="inlineStr">
        <is>
          <t>Đổi</t>
        </is>
      </c>
      <c r="F432" s="39" t="inlineStr">
        <is>
          <t>Trực thăng trinh sát vũ trang · ngắn: TT trinh sát · EN: Armed Scout Helicopter</t>
        </is>
      </c>
      <c r="G432" s="39" t="inlineStr">
        <is>
          <t>Nói rõ nó có vũ khí.</t>
        </is>
      </c>
      <c r="H432" s="49" t="inlineStr">
        <is>
          <t>Thấp</t>
        </is>
      </c>
    </row>
    <row r="433" ht="15" customHeight="1" s="32">
      <c r="A433" s="41" t="inlineStr">
        <is>
          <t>scout_heli</t>
        </is>
      </c>
      <c r="B433" s="41" t="inlineStr">
        <is>
          <t>Trực thăng trinh sát</t>
        </is>
      </c>
      <c r="C433" s="41" t="inlineStr">
        <is>
          <t>Máu</t>
        </is>
      </c>
      <c r="D433" s="43" t="n">
        <v>924</v>
      </c>
      <c r="E433" s="49" t="inlineStr">
        <is>
          <t>Giữ</t>
        </is>
      </c>
      <c r="F433" s="41" t="n"/>
      <c r="G433" s="41" t="inlineStr">
        <is>
          <t>Máu/CP 1.12 × trung vị lớp Trực thăng.</t>
        </is>
      </c>
      <c r="H433" s="41" t="n"/>
    </row>
    <row r="434" ht="15" customHeight="1" s="32">
      <c r="A434" s="39" t="inlineStr">
        <is>
          <t>scout_heli</t>
        </is>
      </c>
      <c r="B434" s="39" t="inlineStr">
        <is>
          <t>Trực thăng trinh sát</t>
        </is>
      </c>
      <c r="C434" s="39" t="inlineStr">
        <is>
          <t>Giáp (T/H/S/N)</t>
        </is>
      </c>
      <c r="D434" s="39" t="inlineStr">
        <is>
          <t>cấp 0 (Không giáp)</t>
        </is>
      </c>
      <c r="E434" s="49" t="inlineStr">
        <is>
          <t>Giữ</t>
        </is>
      </c>
      <c r="F434" s="39" t="n"/>
      <c r="G434" s="39" t="inlineStr">
        <is>
          <t>Khớp mẫu thật theo thang 0–4.</t>
        </is>
      </c>
      <c r="H434" s="39" t="n"/>
    </row>
    <row r="435" ht="15" customHeight="1" s="32">
      <c r="A435" s="41" t="inlineStr">
        <is>
          <t>scout_heli</t>
        </is>
      </c>
      <c r="B435" s="41" t="inlineStr">
        <is>
          <t>Trực thăng trinh sát</t>
        </is>
      </c>
      <c r="C435" s="41" t="inlineStr">
        <is>
          <t>Tốc độ</t>
        </is>
      </c>
      <c r="D435" s="43" t="n">
        <v>17</v>
      </c>
      <c r="E435" s="49" t="inlineStr">
        <is>
          <t>Giữ</t>
        </is>
      </c>
      <c r="F435" s="41" t="n"/>
      <c r="G435" s="41" t="inlineStr">
        <is>
          <t>Gần tốc độ thật × hệ số nén (13.2).</t>
        </is>
      </c>
      <c r="H435" s="41" t="n"/>
    </row>
    <row r="436" ht="15" customHeight="1" s="32">
      <c r="A436" s="39" t="inlineStr">
        <is>
          <t>scout_heli</t>
        </is>
      </c>
      <c r="B436" s="39" t="inlineStr">
        <is>
          <t>Trực thăng trinh sát</t>
        </is>
      </c>
      <c r="C436" s="39" t="inlineStr">
        <is>
          <t>Kích thước model (dài × rộng × cao)</t>
        </is>
      </c>
      <c r="D436" s="39" t="inlineStr">
        <is>
          <t>4.3 × 3.9 × 1.4</t>
        </is>
      </c>
      <c r="E436" s="49" t="inlineStr">
        <is>
          <t>Giữ</t>
        </is>
      </c>
      <c r="F436" s="39" t="n"/>
      <c r="G436" s="39" t="inlineStr">
        <is>
          <t>Khớp tỷ lệ chung (mẫu thật 9.9 m).</t>
        </is>
      </c>
      <c r="H436" s="39" t="n"/>
    </row>
    <row r="437" ht="15" customHeight="1" s="32">
      <c r="A437" s="41" t="inlineStr">
        <is>
          <t>scout_heli</t>
        </is>
      </c>
      <c r="B437" s="41" t="inlineStr">
        <is>
          <t>Trực thăng trinh sát</t>
        </is>
      </c>
      <c r="C437" s="41" t="inlineStr">
        <is>
          <t>Tầm nhìn</t>
        </is>
      </c>
      <c r="D437" s="43" t="n">
        <v>46</v>
      </c>
      <c r="E437" s="49" t="inlineStr">
        <is>
          <t>Giữ</t>
        </is>
      </c>
      <c r="F437" s="41" t="n"/>
      <c r="G437" s="41" t="inlineStr">
        <is>
          <t>Khớp vai trò.</t>
        </is>
      </c>
      <c r="H437" s="41" t="n"/>
    </row>
    <row r="438" ht="15" customHeight="1" s="32">
      <c r="A438" s="39" t="inlineStr">
        <is>
          <t>scout_heli</t>
        </is>
      </c>
      <c r="B438" s="39" t="inlineStr">
        <is>
          <t>Trực thăng trinh sát</t>
        </is>
      </c>
      <c r="C438" s="39" t="inlineStr">
        <is>
          <t>Tầm bắn</t>
        </is>
      </c>
      <c r="D438" s="39" t="inlineStr">
        <is>
          <t>28</t>
        </is>
      </c>
      <c r="E438" s="49" t="inlineStr">
        <is>
          <t>Giữ</t>
        </is>
      </c>
      <c r="F438" s="39" t="n"/>
      <c r="G438" s="39" t="inlineStr">
        <is>
          <t>Thứ tự tầm hợp lý trong nhóm.</t>
        </is>
      </c>
      <c r="H438" s="39" t="n"/>
    </row>
    <row r="439" ht="15" customHeight="1" s="32">
      <c r="A439" s="41" t="inlineStr">
        <is>
          <t>scout_heli</t>
        </is>
      </c>
      <c r="B439" s="41" t="inlineStr">
        <is>
          <t>Trực thăng trinh sát</t>
        </is>
      </c>
      <c r="C439" s="41" t="inlineStr">
        <is>
          <t>Giá (CP)</t>
        </is>
      </c>
      <c r="D439" s="43" t="n">
        <v>4</v>
      </c>
      <c r="E439" s="47" t="inlineStr">
        <is>
          <t>Đổi</t>
        </is>
      </c>
      <c r="F439" s="41" t="inlineStr">
        <is>
          <t>5 CP</t>
        </is>
      </c>
      <c r="G439" s="41" t="inlineStr">
        <is>
          <t>Trực thăng trinh sát đang là thẻ diệt xe nhẹ mạnh nhất.</t>
        </is>
      </c>
      <c r="H439" s="47" t="inlineStr">
        <is>
          <t>Cao</t>
        </is>
      </c>
    </row>
    <row r="440" ht="15" customHeight="1" s="32">
      <c r="A440" s="39" t="inlineStr">
        <is>
          <t>scout_heli</t>
        </is>
      </c>
      <c r="B440" s="39" t="inlineStr">
        <is>
          <t>Trực thăng trinh sát</t>
        </is>
      </c>
      <c r="C440" s="39" t="inlineStr">
        <is>
          <t>Vũ khí: Hydra 70</t>
        </is>
      </c>
      <c r="D440" s="39" t="inlineStr">
        <is>
          <t>12 quả mỗi lần đầy đạn</t>
        </is>
      </c>
      <c r="E440" s="47" t="inlineStr">
        <is>
          <t>Đổi</t>
        </is>
      </c>
      <c r="F440" s="39" t="inlineStr">
        <is>
          <t>6 quả</t>
        </is>
      </c>
      <c r="G440" s="39" t="inlineStr">
        <is>
          <t>Giảm sức phá xe nhẹ, giữ minigun để vẫn đúng vai trò trinh sát vũ trang.</t>
        </is>
      </c>
      <c r="H440" s="47" t="inlineStr">
        <is>
          <t>Cao</t>
        </is>
      </c>
    </row>
    <row r="441" ht="32.25" customHeight="1" s="32">
      <c r="A441" s="41" t="inlineStr">
        <is>
          <t>scout_heli</t>
        </is>
      </c>
      <c r="B441" s="41" t="inlineStr">
        <is>
          <t>Trực thăng trinh sát</t>
        </is>
      </c>
      <c r="C441" s="41" t="inlineStr">
        <is>
          <t>Hành vi</t>
        </is>
      </c>
      <c r="D441" s="41" t="inlineStr">
        <is>
          <t>Treo trên không ở rìa tầm bắn và nhả đạn; Bắn hết 64 viên thì thay băng; Ưu tiên</t>
        </is>
      </c>
      <c r="E441" s="49" t="inlineStr">
        <is>
          <t>Giữ</t>
        </is>
      </c>
      <c r="F441" s="41" t="n"/>
      <c r="G441" s="41" t="inlineStr">
        <is>
          <t>Hợp vai trò.</t>
        </is>
      </c>
      <c r="H441" s="41" t="n"/>
    </row>
    <row r="442" ht="15" customHeight="1" s="32">
      <c r="A442" s="39" t="inlineStr">
        <is>
          <t>scout_heli</t>
        </is>
      </c>
      <c r="B442" s="39" t="inlineStr">
        <is>
          <t>Trực thăng trinh sát</t>
        </is>
      </c>
      <c r="C442" s="39" t="inlineStr">
        <is>
          <t>Nổ khi bị phá (bán kính)</t>
        </is>
      </c>
      <c r="D442" s="39" t="inlineStr">
        <is>
          <t>5 m · 80 sát thương</t>
        </is>
      </c>
      <c r="E442" s="49" t="inlineStr">
        <is>
          <t>Giữ</t>
        </is>
      </c>
      <c r="F442" s="39" t="n"/>
      <c r="G442" s="39" t="inlineStr">
        <is>
          <t>Hợp với cỡ xe.</t>
        </is>
      </c>
      <c r="H442" s="39" t="n"/>
    </row>
    <row r="443" ht="32.25" customHeight="1" s="32">
      <c r="A443" s="41" t="inlineStr">
        <is>
          <t>scout_heli</t>
        </is>
      </c>
      <c r="B443" s="41" t="inlineStr">
        <is>
          <t>Trực thăng trinh sát</t>
        </is>
      </c>
      <c r="C443" s="41" t="inlineStr">
        <is>
          <t>Tham khảo / model</t>
        </is>
      </c>
      <c r="D443" s="41" t="inlineStr">
        <is>
          <t>MH-6 / AH-6 Little Bird, M134 Minigun — Trực thăng trinh sát nhẹ, ca-bin hình quả trứng</t>
        </is>
      </c>
      <c r="E443" s="49" t="inlineStr">
        <is>
          <t>Giữ</t>
        </is>
      </c>
      <c r="F443" s="41" t="n"/>
      <c r="G443" s="41" t="inlineStr">
        <is>
          <t>Khớp vũ khí và vai trò.</t>
        </is>
      </c>
      <c r="H443" s="41" t="n"/>
    </row>
    <row r="444" ht="15" customHeight="1" s="32">
      <c r="A444" s="39" t="inlineStr">
        <is>
          <t>recon_drone</t>
        </is>
      </c>
      <c r="B444" s="39" t="inlineStr">
        <is>
          <t>UAV trinh sát</t>
        </is>
      </c>
      <c r="C444" s="39" t="inlineStr">
        <is>
          <t>Tên</t>
        </is>
      </c>
      <c r="D444" s="39" t="inlineStr">
        <is>
          <t>UAV trinh sát</t>
        </is>
      </c>
      <c r="E444" s="49" t="inlineStr">
        <is>
          <t>Giữ</t>
        </is>
      </c>
      <c r="F444" s="39" t="inlineStr">
        <is>
          <t>UAV trinh sát · ngắn: UAV trinh sát · EN: Recon UAV</t>
        </is>
      </c>
      <c r="G444" s="39" t="inlineStr">
        <is>
          <t>Giữ.</t>
        </is>
      </c>
      <c r="H444" s="39" t="n"/>
    </row>
    <row r="445" ht="15" customHeight="1" s="32">
      <c r="A445" s="41" t="inlineStr">
        <is>
          <t>recon_drone</t>
        </is>
      </c>
      <c r="B445" s="41" t="inlineStr">
        <is>
          <t>UAV trinh sát</t>
        </is>
      </c>
      <c r="C445" s="41" t="inlineStr">
        <is>
          <t>Máu</t>
        </is>
      </c>
      <c r="D445" s="43" t="n">
        <v>704</v>
      </c>
      <c r="E445" s="49" t="inlineStr">
        <is>
          <t>Giữ</t>
        </is>
      </c>
      <c r="F445" s="41" t="n"/>
      <c r="G445" s="41" t="inlineStr">
        <is>
          <t>Máu/CP 1.00 × trung vị lớp Máy bay.</t>
        </is>
      </c>
      <c r="H445" s="41" t="n"/>
    </row>
    <row r="446" ht="15" customHeight="1" s="32">
      <c r="A446" s="39" t="inlineStr">
        <is>
          <t>recon_drone</t>
        </is>
      </c>
      <c r="B446" s="39" t="inlineStr">
        <is>
          <t>UAV trinh sát</t>
        </is>
      </c>
      <c r="C446" s="39" t="inlineStr">
        <is>
          <t>Giáp (T/H/S/N)</t>
        </is>
      </c>
      <c r="D446" s="39" t="inlineStr">
        <is>
          <t>cấp 0 (Không giáp)</t>
        </is>
      </c>
      <c r="E446" s="49" t="inlineStr">
        <is>
          <t>Giữ</t>
        </is>
      </c>
      <c r="F446" s="39" t="n"/>
      <c r="G446" s="39" t="inlineStr">
        <is>
          <t>Khớp mẫu thật theo thang 0–4.</t>
        </is>
      </c>
      <c r="H446" s="39" t="n"/>
    </row>
    <row r="447" ht="15" customHeight="1" s="32">
      <c r="A447" s="41" t="inlineStr">
        <is>
          <t>recon_drone</t>
        </is>
      </c>
      <c r="B447" s="41" t="inlineStr">
        <is>
          <t>UAV trinh sát</t>
        </is>
      </c>
      <c r="C447" s="41" t="inlineStr">
        <is>
          <t>Tốc độ</t>
        </is>
      </c>
      <c r="D447" s="43" t="n">
        <v>18</v>
      </c>
      <c r="E447" s="47" t="inlineStr">
        <is>
          <t>Đổi</t>
        </is>
      </c>
      <c r="F447" s="41" t="inlineStr">
        <is>
          <t>13 m/s</t>
        </is>
      </c>
      <c r="G447" s="41" t="inlineStr">
        <is>
          <t>TB2 thật chậm (~130 km/h), chậm hơn MQ-9; UAV trinh sát nên bay chậm, lượn lâu.</t>
        </is>
      </c>
      <c r="H447" s="48" t="inlineStr">
        <is>
          <t>Trung</t>
        </is>
      </c>
    </row>
    <row r="448" ht="15" customHeight="1" s="32">
      <c r="A448" s="39" t="inlineStr">
        <is>
          <t>recon_drone</t>
        </is>
      </c>
      <c r="B448" s="39" t="inlineStr">
        <is>
          <t>UAV trinh sát</t>
        </is>
      </c>
      <c r="C448" s="39" t="inlineStr">
        <is>
          <t>Kích thước model (dài × rộng × cao)</t>
        </is>
      </c>
      <c r="D448" s="39" t="inlineStr">
        <is>
          <t>2.9 × 5.0 × 0.7</t>
        </is>
      </c>
      <c r="E448" s="49" t="inlineStr">
        <is>
          <t>Giữ</t>
        </is>
      </c>
      <c r="F448" s="39" t="n"/>
      <c r="G448" s="39" t="inlineStr">
        <is>
          <t>Khớp tỷ lệ chung (mẫu thật 6.5 m).</t>
        </is>
      </c>
      <c r="H448" s="39" t="n"/>
    </row>
    <row r="449" ht="15" customHeight="1" s="32">
      <c r="A449" s="41" t="inlineStr">
        <is>
          <t>recon_drone</t>
        </is>
      </c>
      <c r="B449" s="41" t="inlineStr">
        <is>
          <t>UAV trinh sát</t>
        </is>
      </c>
      <c r="C449" s="41" t="inlineStr">
        <is>
          <t>Tầm nhìn</t>
        </is>
      </c>
      <c r="D449" s="43" t="n">
        <v>90</v>
      </c>
      <c r="E449" s="49" t="inlineStr">
        <is>
          <t>Giữ</t>
        </is>
      </c>
      <c r="F449" s="41" t="n"/>
      <c r="G449" s="41" t="inlineStr">
        <is>
          <t>Khớp vai trò.</t>
        </is>
      </c>
      <c r="H449" s="41" t="n"/>
    </row>
    <row r="450" ht="15" customHeight="1" s="32">
      <c r="A450" s="39" t="inlineStr">
        <is>
          <t>recon_drone</t>
        </is>
      </c>
      <c r="B450" s="39" t="inlineStr">
        <is>
          <t>UAV trinh sát</t>
        </is>
      </c>
      <c r="C450" s="39" t="inlineStr">
        <is>
          <t>Tầm bắn</t>
        </is>
      </c>
      <c r="D450" s="39" t="inlineStr">
        <is>
          <t>50</t>
        </is>
      </c>
      <c r="E450" s="49" t="inlineStr">
        <is>
          <t>Giữ</t>
        </is>
      </c>
      <c r="F450" s="39" t="n"/>
      <c r="G450" s="39" t="inlineStr">
        <is>
          <t>Thứ tự tầm hợp lý trong nhóm.</t>
        </is>
      </c>
      <c r="H450" s="39" t="n"/>
    </row>
    <row r="451" ht="15" customHeight="1" s="32">
      <c r="A451" s="41" t="inlineStr">
        <is>
          <t>recon_drone</t>
        </is>
      </c>
      <c r="B451" s="41" t="inlineStr">
        <is>
          <t>UAV trinh sát</t>
        </is>
      </c>
      <c r="C451" s="41" t="inlineStr">
        <is>
          <t>Giá (CP)</t>
        </is>
      </c>
      <c r="D451" s="43" t="n">
        <v>6</v>
      </c>
      <c r="E451" s="49" t="inlineStr">
        <is>
          <t>Giữ</t>
        </is>
      </c>
      <c r="F451" s="41" t="n"/>
      <c r="G451" s="41" t="inlineStr">
        <is>
          <t>Hiệu quả trong khoảng ±25% trung vị, thứ tự giá hợp ngoài đời (sheet Giá CP).</t>
        </is>
      </c>
      <c r="H451" s="41" t="n"/>
    </row>
    <row r="452" ht="15" customHeight="1" s="32">
      <c r="A452" s="39" t="inlineStr">
        <is>
          <t>recon_drone</t>
        </is>
      </c>
      <c r="B452" s="39" t="inlineStr">
        <is>
          <t>UAV trinh sát</t>
        </is>
      </c>
      <c r="C452" s="39" t="inlineStr">
        <is>
          <t>Vũ khí</t>
        </is>
      </c>
      <c r="D452" s="42" t="n">
        <v>1</v>
      </c>
      <c r="E452" s="49" t="inlineStr">
        <is>
          <t>Giữ</t>
        </is>
      </c>
      <c r="F452" s="39" t="n"/>
      <c r="G452" s="39" t="inlineStr">
        <is>
          <t>Bộ vũ khí khớp mẫu thật và vai trò.</t>
        </is>
      </c>
      <c r="H452" s="39" t="n"/>
    </row>
    <row r="453" ht="32.25" customHeight="1" s="32">
      <c r="A453" s="41" t="inlineStr">
        <is>
          <t>recon_drone</t>
        </is>
      </c>
      <c r="B453" s="41" t="inlineStr">
        <is>
          <t>UAV trinh sát</t>
        </is>
      </c>
      <c r="C453" s="41" t="inlineStr">
        <is>
          <t>Hành vi</t>
        </is>
      </c>
      <c r="D453" s="41" t="inlineStr">
        <is>
          <t>Bổ nhào xả hỏa lực vào mục tiêu, rồi vòng lại lượt khác; Sau mỗi lượt nó vòng lạ</t>
        </is>
      </c>
      <c r="E453" s="49" t="inlineStr">
        <is>
          <t>Giữ</t>
        </is>
      </c>
      <c r="F453" s="41" t="n"/>
      <c r="G453" s="41" t="inlineStr">
        <is>
          <t>Hợp vai trò.</t>
        </is>
      </c>
      <c r="H453" s="41" t="n"/>
    </row>
    <row r="454" ht="15" customHeight="1" s="32">
      <c r="A454" s="39" t="inlineStr">
        <is>
          <t>recon_drone</t>
        </is>
      </c>
      <c r="B454" s="39" t="inlineStr">
        <is>
          <t>UAV trinh sát</t>
        </is>
      </c>
      <c r="C454" s="39" t="inlineStr">
        <is>
          <t>Nổ khi bị phá (bán kính)</t>
        </is>
      </c>
      <c r="D454" s="39" t="inlineStr">
        <is>
          <t>5 m · 80 sát thương</t>
        </is>
      </c>
      <c r="E454" s="49" t="inlineStr">
        <is>
          <t>Giữ</t>
        </is>
      </c>
      <c r="F454" s="39" t="n"/>
      <c r="G454" s="39" t="inlineStr">
        <is>
          <t>Hợp với cỡ xe.</t>
        </is>
      </c>
      <c r="H454" s="39" t="n"/>
    </row>
    <row r="455" ht="21.75" customHeight="1" s="32">
      <c r="A455" s="41" t="inlineStr">
        <is>
          <t>recon_drone</t>
        </is>
      </c>
      <c r="B455" s="41" t="inlineStr">
        <is>
          <t>UAV trinh sát</t>
        </is>
      </c>
      <c r="C455" s="41" t="inlineStr">
        <is>
          <t>Tham khảo / model</t>
        </is>
      </c>
      <c r="D455" s="41" t="inlineStr">
        <is>
          <t>Bayraktar TB2, MAM-L — Drone trinh sát tầm trung, đuôi chữ V ngược</t>
        </is>
      </c>
      <c r="E455" s="49" t="inlineStr">
        <is>
          <t>Giữ</t>
        </is>
      </c>
      <c r="F455" s="41" t="n"/>
      <c r="G455" s="41" t="inlineStr">
        <is>
          <t>Khớp vũ khí và vai trò.</t>
        </is>
      </c>
      <c r="H455" s="41" t="n"/>
    </row>
    <row r="456" ht="15" customHeight="1" s="32">
      <c r="A456" s="39"/>
      <c r="B456" s="39"/>
      <c r="C456" s="39"/>
      <c r="D456" s="39"/>
      <c r="E456" s="49"/>
      <c r="F456" s="39"/>
      <c r="G456" s="39"/>
      <c r="H456" s="39"/>
    </row>
    <row r="457" ht="15" customHeight="1" s="32">
      <c r="A457" s="41"/>
      <c r="B457" s="41"/>
      <c r="C457" s="41"/>
      <c r="D457" s="43"/>
      <c r="E457" s="49"/>
      <c r="F457" s="41"/>
      <c r="G457" s="41"/>
      <c r="H457" s="41"/>
    </row>
    <row r="458" ht="15" customHeight="1" s="32">
      <c r="A458" s="39"/>
      <c r="B458" s="39"/>
      <c r="C458" s="39"/>
      <c r="D458" s="39"/>
      <c r="E458" s="49"/>
      <c r="F458" s="39"/>
      <c r="G458" s="39"/>
      <c r="H458" s="39"/>
    </row>
    <row r="459" ht="15" customHeight="1" s="32">
      <c r="A459" s="41"/>
      <c r="B459" s="41"/>
      <c r="C459" s="41"/>
      <c r="D459" s="43"/>
      <c r="E459" s="49"/>
      <c r="F459" s="41"/>
      <c r="G459" s="41"/>
      <c r="H459" s="41"/>
    </row>
    <row r="460" ht="15" customHeight="1" s="32">
      <c r="A460" s="39"/>
      <c r="B460" s="39"/>
      <c r="C460" s="39"/>
      <c r="D460" s="39"/>
      <c r="E460" s="49"/>
      <c r="F460" s="39"/>
      <c r="G460" s="39"/>
      <c r="H460" s="39"/>
    </row>
    <row r="461" ht="15" customHeight="1" s="32">
      <c r="A461" s="41"/>
      <c r="B461" s="41"/>
      <c r="C461" s="41"/>
      <c r="D461" s="43"/>
      <c r="E461" s="49"/>
      <c r="F461" s="41"/>
      <c r="G461" s="41"/>
      <c r="H461" s="41"/>
    </row>
    <row r="462" ht="15" customHeight="1" s="32">
      <c r="A462" s="39"/>
      <c r="B462" s="39"/>
      <c r="C462" s="39"/>
      <c r="D462" s="39"/>
      <c r="E462" s="49"/>
      <c r="F462" s="39"/>
      <c r="G462" s="39"/>
      <c r="H462" s="39"/>
    </row>
    <row r="463" ht="15" customHeight="1" s="32">
      <c r="A463" s="41"/>
      <c r="B463" s="41"/>
      <c r="C463" s="41"/>
      <c r="D463" s="43"/>
      <c r="E463" s="49"/>
      <c r="F463" s="41"/>
      <c r="G463" s="41"/>
      <c r="H463" s="41"/>
    </row>
    <row r="464" ht="15" customHeight="1" s="32">
      <c r="A464" s="39"/>
      <c r="B464" s="39"/>
      <c r="C464" s="39"/>
      <c r="D464" s="39"/>
      <c r="E464" s="47"/>
      <c r="F464" s="39"/>
      <c r="G464" s="39"/>
      <c r="H464" s="48"/>
    </row>
    <row r="465" ht="32.25" customHeight="1" s="32">
      <c r="A465" s="41"/>
      <c r="B465" s="41"/>
      <c r="C465" s="41"/>
      <c r="D465" s="41"/>
      <c r="E465" s="49"/>
      <c r="F465" s="41"/>
      <c r="G465" s="41"/>
      <c r="H465" s="41"/>
    </row>
    <row r="466" ht="15" customHeight="1" s="32">
      <c r="A466" s="39"/>
      <c r="B466" s="39"/>
      <c r="C466" s="39"/>
      <c r="D466" s="39"/>
      <c r="E466" s="49"/>
      <c r="F466" s="39"/>
      <c r="G466" s="39"/>
      <c r="H466" s="39"/>
    </row>
    <row r="467" ht="32.25" customHeight="1" s="32">
      <c r="A467" s="41"/>
      <c r="B467" s="41"/>
      <c r="C467" s="41"/>
      <c r="D467" s="41"/>
      <c r="E467" s="49"/>
      <c r="F467" s="41"/>
      <c r="G467" s="41"/>
      <c r="H467" s="41"/>
    </row>
    <row r="468" ht="15" customHeight="1" s="32">
      <c r="A468" s="39" t="inlineStr">
        <is>
          <t>strike_drone</t>
        </is>
      </c>
      <c r="B468" s="39" t="inlineStr">
        <is>
          <t>UAV tấn công</t>
        </is>
      </c>
      <c r="C468" s="39" t="inlineStr">
        <is>
          <t>Tên</t>
        </is>
      </c>
      <c r="D468" s="39" t="inlineStr">
        <is>
          <t>UAV tấn công</t>
        </is>
      </c>
      <c r="E468" s="49" t="inlineStr">
        <is>
          <t>Giữ</t>
        </is>
      </c>
      <c r="F468" s="39" t="inlineStr">
        <is>
          <t>UAV tấn công · ngắn: UAV tấn công · EN: Strike UAV</t>
        </is>
      </c>
      <c r="G468" s="39" t="inlineStr">
        <is>
          <t>Giữ.</t>
        </is>
      </c>
      <c r="H468" s="39" t="n"/>
    </row>
    <row r="469" ht="15" customHeight="1" s="32">
      <c r="A469" s="41" t="inlineStr">
        <is>
          <t>strike_drone</t>
        </is>
      </c>
      <c r="B469" s="41" t="inlineStr">
        <is>
          <t>UAV tấn công</t>
        </is>
      </c>
      <c r="C469" s="41" t="inlineStr">
        <is>
          <t>Máu</t>
        </is>
      </c>
      <c r="D469" s="43" t="n">
        <v>1056</v>
      </c>
      <c r="E469" s="49" t="inlineStr">
        <is>
          <t>Giữ</t>
        </is>
      </c>
      <c r="F469" s="41" t="n"/>
      <c r="G469" s="41" t="inlineStr">
        <is>
          <t>Máu/CP 1.13 × trung vị lớp Máy bay.</t>
        </is>
      </c>
      <c r="H469" s="41" t="n"/>
    </row>
    <row r="470" ht="15" customHeight="1" s="32">
      <c r="A470" s="39" t="inlineStr">
        <is>
          <t>strike_drone</t>
        </is>
      </c>
      <c r="B470" s="39" t="inlineStr">
        <is>
          <t>UAV tấn công</t>
        </is>
      </c>
      <c r="C470" s="39" t="inlineStr">
        <is>
          <t>Giáp (T/H/S/N)</t>
        </is>
      </c>
      <c r="D470" s="39" t="inlineStr">
        <is>
          <t>cấp 0 (Không giáp)</t>
        </is>
      </c>
      <c r="E470" s="49" t="inlineStr">
        <is>
          <t>Giữ</t>
        </is>
      </c>
      <c r="F470" s="39" t="n"/>
      <c r="G470" s="39" t="inlineStr">
        <is>
          <t>Khớp mẫu thật theo thang 0–4.</t>
        </is>
      </c>
      <c r="H470" s="39" t="n"/>
    </row>
    <row r="471" ht="21.75" customHeight="1" s="32">
      <c r="A471" s="41" t="inlineStr">
        <is>
          <t>strike_drone</t>
        </is>
      </c>
      <c r="B471" s="41" t="inlineStr">
        <is>
          <t>UAV tấn công</t>
        </is>
      </c>
      <c r="C471" s="41" t="inlineStr">
        <is>
          <t>Tốc độ</t>
        </is>
      </c>
      <c r="D471" s="43" t="n">
        <v>19</v>
      </c>
      <c r="E471" s="48" t="inlineStr">
        <is>
          <t>Xem lại</t>
        </is>
      </c>
      <c r="F471" s="41" t="inlineStr">
        <is>
          <t>Mẫu thật × hệ số map ≈ 13.9 m/s</t>
        </is>
      </c>
      <c r="G471" s="41" t="inlineStr">
        <is>
          <t>Lệch hơn 35% so với tốc độ thật nhân hệ số nén của map (xích 0,33, bánh 0,4, trực thăng 0,17, máy bay 0,16). Có thể giữ nếu là chủ đích.</t>
        </is>
      </c>
      <c r="H471" s="41" t="n"/>
    </row>
    <row r="472" ht="15" customHeight="1" s="32">
      <c r="A472" s="39" t="inlineStr">
        <is>
          <t>strike_drone</t>
        </is>
      </c>
      <c r="B472" s="39" t="inlineStr">
        <is>
          <t>UAV tấn công</t>
        </is>
      </c>
      <c r="C472" s="39" t="inlineStr">
        <is>
          <t>Kích thước model (dài × rộng × cao)</t>
        </is>
      </c>
      <c r="D472" s="39" t="inlineStr">
        <is>
          <t>4.5 × 7.4 × 1.1</t>
        </is>
      </c>
      <c r="E472" s="49" t="inlineStr">
        <is>
          <t>Giữ</t>
        </is>
      </c>
      <c r="F472" s="39" t="n"/>
      <c r="G472" s="39" t="inlineStr">
        <is>
          <t>Khớp tỷ lệ chung (mẫu thật 11.0 m).</t>
        </is>
      </c>
      <c r="H472" s="39" t="n"/>
    </row>
    <row r="473" ht="15" customHeight="1" s="32">
      <c r="A473" s="41" t="inlineStr">
        <is>
          <t>strike_drone</t>
        </is>
      </c>
      <c r="B473" s="41" t="inlineStr">
        <is>
          <t>UAV tấn công</t>
        </is>
      </c>
      <c r="C473" s="41" t="inlineStr">
        <is>
          <t>Tầm nhìn</t>
        </is>
      </c>
      <c r="D473" s="43" t="n">
        <v>62</v>
      </c>
      <c r="E473" s="49" t="inlineStr">
        <is>
          <t>Giữ</t>
        </is>
      </c>
      <c r="F473" s="41" t="n"/>
      <c r="G473" s="41" t="inlineStr">
        <is>
          <t>Khớp vai trò.</t>
        </is>
      </c>
      <c r="H473" s="41" t="n"/>
    </row>
    <row r="474" ht="15" customHeight="1" s="32">
      <c r="A474" s="39" t="inlineStr">
        <is>
          <t>strike_drone</t>
        </is>
      </c>
      <c r="B474" s="39" t="inlineStr">
        <is>
          <t>UAV tấn công</t>
        </is>
      </c>
      <c r="C474" s="39" t="inlineStr">
        <is>
          <t>Tầm bắn</t>
        </is>
      </c>
      <c r="D474" s="39" t="inlineStr">
        <is>
          <t>48</t>
        </is>
      </c>
      <c r="E474" s="49" t="inlineStr">
        <is>
          <t>Giữ</t>
        </is>
      </c>
      <c r="F474" s="39" t="n"/>
      <c r="G474" s="39" t="inlineStr">
        <is>
          <t>Thứ tự tầm hợp lý trong nhóm.</t>
        </is>
      </c>
      <c r="H474" s="39" t="n"/>
    </row>
    <row r="475" ht="15" customHeight="1" s="32">
      <c r="A475" s="41" t="inlineStr">
        <is>
          <t>strike_drone</t>
        </is>
      </c>
      <c r="B475" s="41" t="inlineStr">
        <is>
          <t>UAV tấn công</t>
        </is>
      </c>
      <c r="C475" s="41" t="inlineStr">
        <is>
          <t>Giá (CP)</t>
        </is>
      </c>
      <c r="D475" s="43" t="n">
        <v>8</v>
      </c>
      <c r="E475" s="47" t="inlineStr">
        <is>
          <t>Đổi</t>
        </is>
      </c>
      <c r="F475" s="41" t="inlineStr">
        <is>
          <t>9 CP</t>
        </is>
      </c>
      <c r="G475" s="41" t="inlineStr">
        <is>
          <t>Vẫn mạnh gấp rưỡi xe diệt tăng cùng giá khi không có phòng không.</t>
        </is>
      </c>
      <c r="H475" s="47" t="inlineStr">
        <is>
          <t>Cao</t>
        </is>
      </c>
    </row>
    <row r="476" ht="15" customHeight="1" s="32">
      <c r="A476" s="39" t="inlineStr">
        <is>
          <t>strike_drone</t>
        </is>
      </c>
      <c r="B476" s="39" t="inlineStr">
        <is>
          <t>UAV tấn công</t>
        </is>
      </c>
      <c r="C476" s="39" t="inlineStr">
        <is>
          <t>Vũ khí</t>
        </is>
      </c>
      <c r="D476" s="42" t="n">
        <v>2</v>
      </c>
      <c r="E476" s="49" t="inlineStr">
        <is>
          <t>Giữ</t>
        </is>
      </c>
      <c r="F476" s="39" t="n"/>
      <c r="G476" s="39" t="inlineStr">
        <is>
          <t>Bộ vũ khí khớp mẫu thật và vai trò.</t>
        </is>
      </c>
      <c r="H476" s="39" t="n"/>
    </row>
    <row r="477" ht="32.25" customHeight="1" s="32">
      <c r="A477" s="41" t="inlineStr">
        <is>
          <t>strike_drone</t>
        </is>
      </c>
      <c r="B477" s="41" t="inlineStr">
        <is>
          <t>UAV tấn công</t>
        </is>
      </c>
      <c r="C477" s="41" t="inlineStr">
        <is>
          <t>Hành vi</t>
        </is>
      </c>
      <c r="D477" s="41" t="inlineStr">
        <is>
          <t>Bổ nhào xả hỏa lực vào mục tiêu, rồi vòng lại lượt khác; Sau mỗi lượt nó vòng lạ</t>
        </is>
      </c>
      <c r="E477" s="49" t="inlineStr">
        <is>
          <t>Giữ</t>
        </is>
      </c>
      <c r="F477" s="41" t="n"/>
      <c r="G477" s="41" t="inlineStr">
        <is>
          <t>Hợp vai trò.</t>
        </is>
      </c>
      <c r="H477" s="41" t="n"/>
    </row>
    <row r="478" ht="15" customHeight="1" s="32">
      <c r="A478" s="39" t="inlineStr">
        <is>
          <t>strike_drone</t>
        </is>
      </c>
      <c r="B478" s="39" t="inlineStr">
        <is>
          <t>UAV tấn công</t>
        </is>
      </c>
      <c r="C478" s="39" t="inlineStr">
        <is>
          <t>Nổ khi bị phá (bán kính)</t>
        </is>
      </c>
      <c r="D478" s="39" t="inlineStr">
        <is>
          <t>5 m · 100 sát thương</t>
        </is>
      </c>
      <c r="E478" s="49" t="inlineStr">
        <is>
          <t>Giữ</t>
        </is>
      </c>
      <c r="F478" s="39" t="n"/>
      <c r="G478" s="39" t="inlineStr">
        <is>
          <t>Hợp với cỡ xe.</t>
        </is>
      </c>
      <c r="H478" s="39" t="n"/>
    </row>
    <row r="479" ht="32.25" customHeight="1" s="32">
      <c r="A479" s="41" t="inlineStr">
        <is>
          <t>strike_drone</t>
        </is>
      </c>
      <c r="B479" s="41" t="inlineStr">
        <is>
          <t>UAV tấn công</t>
        </is>
      </c>
      <c r="C479" s="41" t="inlineStr">
        <is>
          <t>Tham khảo / model</t>
        </is>
      </c>
      <c r="D479" s="41" t="inlineStr">
        <is>
          <t>MQ-9 Reaper, AGM-114 Hellfire, GBU-39 SDB — Drone tấn công tầm trung, đuôi chữ Y, cánh quạ</t>
        </is>
      </c>
      <c r="E479" s="49" t="inlineStr">
        <is>
          <t>Giữ</t>
        </is>
      </c>
      <c r="F479" s="41" t="n"/>
      <c r="G479" s="41" t="inlineStr">
        <is>
          <t>Khớp vũ khí và vai trò.</t>
        </is>
      </c>
      <c r="H479" s="41" t="n"/>
    </row>
    <row r="480" ht="21.75" customHeight="1" s="32">
      <c r="A480" s="39" t="inlineStr">
        <is>
          <t>swarm_carrier</t>
        </is>
      </c>
      <c r="B480" s="39" t="inlineStr">
        <is>
          <t>Máy bay mẹ thả drone</t>
        </is>
      </c>
      <c r="C480" s="39" t="inlineStr">
        <is>
          <t>Tên</t>
        </is>
      </c>
      <c r="D480" s="39" t="inlineStr">
        <is>
          <t>Máy bay mẹ thả drone</t>
        </is>
      </c>
      <c r="E480" s="49" t="inlineStr">
        <is>
          <t>Giữ</t>
        </is>
      </c>
      <c r="F480" s="39" t="inlineStr">
        <is>
          <t>Máy bay mẹ thả drone · ngắn: Máy bay mẹ · EN: Drone Mothership Aircraft</t>
        </is>
      </c>
      <c r="G480" s="39" t="inlineStr">
        <is>
          <t>Giữ.</t>
        </is>
      </c>
      <c r="H480" s="39" t="n"/>
    </row>
    <row r="481" ht="21.75" customHeight="1" s="32">
      <c r="A481" s="41" t="inlineStr">
        <is>
          <t>swarm_carrier</t>
        </is>
      </c>
      <c r="B481" s="41" t="inlineStr">
        <is>
          <t>Máy bay mẹ thả drone</t>
        </is>
      </c>
      <c r="C481" s="41" t="inlineStr">
        <is>
          <t>Máu</t>
        </is>
      </c>
      <c r="D481" s="43" t="n">
        <v>3080</v>
      </c>
      <c r="E481" s="48" t="inlineStr">
        <is>
          <t>Xem lại</t>
        </is>
      </c>
      <c r="F481" s="41" t="inlineStr">
        <is>
          <t>Máu/CP gấp 3.3 lần trung vị lớp; giữ nếu đó là bản sắc (xe chịu đòn)</t>
        </is>
      </c>
      <c r="G481" s="41" t="inlineStr">
        <is>
          <t>Kiểm tra theo trung vị máu/CP của lớp.</t>
        </is>
      </c>
      <c r="H481" s="41" t="n"/>
    </row>
    <row r="482" ht="15" customHeight="1" s="32">
      <c r="A482" s="39" t="inlineStr">
        <is>
          <t>swarm_carrier</t>
        </is>
      </c>
      <c r="B482" s="39" t="inlineStr">
        <is>
          <t>Máy bay mẹ thả drone</t>
        </is>
      </c>
      <c r="C482" s="39" t="inlineStr">
        <is>
          <t>Giáp (T/H/S/N)</t>
        </is>
      </c>
      <c r="D482" s="39" t="inlineStr">
        <is>
          <t>cấp 1 (Mỏng)</t>
        </is>
      </c>
      <c r="E482" s="49" t="inlineStr">
        <is>
          <t>Giữ</t>
        </is>
      </c>
      <c r="F482" s="39" t="n"/>
      <c r="G482" s="39" t="inlineStr">
        <is>
          <t>Giả tưởng / máy bay; khớp vai trò.</t>
        </is>
      </c>
      <c r="H482" s="39" t="n"/>
    </row>
    <row r="483" ht="15" customHeight="1" s="32">
      <c r="A483" s="41" t="inlineStr">
        <is>
          <t>swarm_carrier</t>
        </is>
      </c>
      <c r="B483" s="41" t="inlineStr">
        <is>
          <t>Máy bay mẹ thả drone</t>
        </is>
      </c>
      <c r="C483" s="41" t="inlineStr">
        <is>
          <t>Tốc độ</t>
        </is>
      </c>
      <c r="D483" s="43" t="n">
        <v>18</v>
      </c>
      <c r="E483" s="49" t="inlineStr">
        <is>
          <t>Giữ</t>
        </is>
      </c>
      <c r="F483" s="41" t="n"/>
      <c r="G483" s="41" t="inlineStr">
        <is>
          <t>Gần tốc độ thật × hệ số nén (24.0).</t>
        </is>
      </c>
      <c r="H483" s="41" t="n"/>
    </row>
    <row r="484" ht="32.25" customHeight="1" s="32">
      <c r="A484" s="39" t="inlineStr">
        <is>
          <t>swarm_carrier</t>
        </is>
      </c>
      <c r="B484" s="39" t="inlineStr">
        <is>
          <t>Máy bay mẹ thả drone</t>
        </is>
      </c>
      <c r="C484" s="39" t="inlineStr">
        <is>
          <t>Kích thước model (dài × rộng × cao)</t>
        </is>
      </c>
      <c r="D484" s="39" t="inlineStr">
        <is>
          <t>16.4 × 18.8 × 6.1</t>
        </is>
      </c>
      <c r="E484" s="47" t="inlineStr">
        <is>
          <t>Đổi</t>
        </is>
      </c>
      <c r="F484" s="39" t="inlineStr">
        <is>
          <t>11.9 × 16.2 × 4.6</t>
        </is>
      </c>
      <c r="G484" s="39" t="inlineStr">
        <is>
          <t>Mẫu thật C-130 Hercules: 29.8 × 40.4 m; theo tỷ lệ chung (trên không 0,4) nên là 11.9 × 16.2 m. Cùng khung C-130 với Pháo hạm bay nhưng đang to hơn nó. Đổi kích thước thì chỉnh vùng va chạm và chạy lại test xe kẹt.</t>
        </is>
      </c>
      <c r="H484" s="48" t="inlineStr">
        <is>
          <t>Trung</t>
        </is>
      </c>
    </row>
    <row r="485" ht="15" customHeight="1" s="32">
      <c r="A485" s="41" t="inlineStr">
        <is>
          <t>swarm_carrier</t>
        </is>
      </c>
      <c r="B485" s="41" t="inlineStr">
        <is>
          <t>Máy bay mẹ thả drone</t>
        </is>
      </c>
      <c r="C485" s="41" t="inlineStr">
        <is>
          <t>Tầm nhìn</t>
        </is>
      </c>
      <c r="D485" s="43" t="n">
        <v>56</v>
      </c>
      <c r="E485" s="49" t="inlineStr">
        <is>
          <t>Giữ</t>
        </is>
      </c>
      <c r="F485" s="41" t="n"/>
      <c r="G485" s="41" t="inlineStr">
        <is>
          <t>Khớp vai trò.</t>
        </is>
      </c>
      <c r="H485" s="41" t="n"/>
    </row>
    <row r="486" ht="32.25" customHeight="1" s="32">
      <c r="A486" s="39" t="inlineStr">
        <is>
          <t>swarm_carrier</t>
        </is>
      </c>
      <c r="B486" s="39" t="inlineStr">
        <is>
          <t>Máy bay mẹ thả drone</t>
        </is>
      </c>
      <c r="C486" s="39" t="inlineStr">
        <is>
          <t>Tầm bắn</t>
        </is>
      </c>
      <c r="D486" s="39" t="inlineStr">
        <is>
          <t>60</t>
        </is>
      </c>
      <c r="E486" s="47" t="inlineStr">
        <is>
          <t>Đổi</t>
        </is>
      </c>
      <c r="F486" s="39" t="inlineStr">
        <is>
          <t>Bỏ SDB; thêm 2 tên lửa hành trình thả từ khoang (410/quả, Nổ mạnh xuyên 3, nổ lan 9 m, tầm 90, tốc độ 20) mỗi lượt, giữ 8 drone</t>
        </is>
      </c>
      <c r="G486" s="39" t="inlineStr">
        <is>
          <t>Máy bay to như vậy mà rẻ là không hợp lý; thêm vũ khí để xứng giá mới. Rapid Dragon là hệ thống thật cho máy bay vận tải thả tên lửa hành trình theo pallet.</t>
        </is>
      </c>
      <c r="H486" s="47" t="inlineStr">
        <is>
          <t>Cao</t>
        </is>
      </c>
    </row>
    <row r="487" ht="21.75" customHeight="1" s="32">
      <c r="A487" s="41" t="inlineStr">
        <is>
          <t>swarm_carrier</t>
        </is>
      </c>
      <c r="B487" s="41" t="inlineStr">
        <is>
          <t>Máy bay mẹ thả drone</t>
        </is>
      </c>
      <c r="C487" s="41" t="inlineStr">
        <is>
          <t>Giá (CP)</t>
        </is>
      </c>
      <c r="D487" s="43" t="n">
        <v>8</v>
      </c>
      <c r="E487" s="47" t="inlineStr">
        <is>
          <t>Đổi</t>
        </is>
      </c>
      <c r="F487" s="41" t="inlineStr">
        <is>
          <t>13 CP</t>
        </is>
      </c>
      <c r="G487" s="41" t="inlineStr">
        <is>
          <t>Ngang tầm máy bay lớn khác sau khi có thêm tên lửa hành trình; C-130 ngoài đời ~70 triệu USD, đắt hơn Apache.</t>
        </is>
      </c>
      <c r="H487" s="47" t="inlineStr">
        <is>
          <t>Cao</t>
        </is>
      </c>
    </row>
    <row r="488" ht="32.25" customHeight="1" s="32">
      <c r="A488" s="39" t="inlineStr">
        <is>
          <t>swarm_carrier</t>
        </is>
      </c>
      <c r="B488" s="39" t="inlineStr">
        <is>
          <t>Máy bay mẹ thả drone</t>
        </is>
      </c>
      <c r="C488" s="39" t="inlineStr">
        <is>
          <t>Vũ khí: thêm Rapid Dragon</t>
        </is>
      </c>
      <c r="D488" s="39" t="inlineStr">
        <is>
          <t>8 drone FPV + bom SDB; khung C-130 to bằng Pháo hạm bay (22 CP) nhưng chỉ 8 CP</t>
        </is>
      </c>
      <c r="E488" s="47" t="inlineStr">
        <is>
          <t>Đổi</t>
        </is>
      </c>
      <c r="F488" s="39" t="inlineStr">
        <is>
          <t>Bỏ SDB; thêm 2 tên lửa hành trình thả từ khoang (410/quả, Nổ mạnh xuyên 3, nổ lan 9 m, tầm 90, tốc độ 20) mỗi lượt, giữ 8 drone</t>
        </is>
      </c>
      <c r="G488" s="39" t="inlineStr">
        <is>
          <t>Máy bay to như vậy mà rẻ là không hợp lý; thêm vũ khí để xứng giá mới. Rapid Dragon là hệ thống thật cho máy bay vận tải thả tên lửa hành trình theo pallet.</t>
        </is>
      </c>
      <c r="H488" s="47" t="inlineStr">
        <is>
          <t>Cao</t>
        </is>
      </c>
    </row>
    <row r="489" ht="32.25" customHeight="1" s="32">
      <c r="A489" s="41" t="inlineStr">
        <is>
          <t>swarm_carrier</t>
        </is>
      </c>
      <c r="B489" s="41" t="inlineStr">
        <is>
          <t>Máy bay mẹ thả drone</t>
        </is>
      </c>
      <c r="C489" s="41" t="inlineStr">
        <is>
          <t>Hành vi</t>
        </is>
      </c>
      <c r="D489" s="41" t="inlineStr">
        <is>
          <t>Bổ nhào xả hỏa lực vào mục tiêu, rồi vòng lại lượt khác; Sau mỗi lượt nó vòng lạ</t>
        </is>
      </c>
      <c r="E489" s="49" t="inlineStr">
        <is>
          <t>Giữ</t>
        </is>
      </c>
      <c r="F489" s="41" t="n"/>
      <c r="G489" s="41" t="inlineStr">
        <is>
          <t>Hợp vai trò.</t>
        </is>
      </c>
      <c r="H489" s="41" t="n"/>
    </row>
    <row r="490" ht="15" customHeight="1" s="32">
      <c r="A490" s="39" t="inlineStr">
        <is>
          <t>swarm_carrier</t>
        </is>
      </c>
      <c r="B490" s="39" t="inlineStr">
        <is>
          <t>Máy bay mẹ thả drone</t>
        </is>
      </c>
      <c r="C490" s="39" t="inlineStr">
        <is>
          <t>Nổ khi bị phá (bán kính)</t>
        </is>
      </c>
      <c r="D490" s="39" t="inlineStr">
        <is>
          <t>9 m · 280 sát thương</t>
        </is>
      </c>
      <c r="E490" s="49" t="inlineStr">
        <is>
          <t>Giữ</t>
        </is>
      </c>
      <c r="F490" s="39" t="n"/>
      <c r="G490" s="39" t="inlineStr">
        <is>
          <t>Hợp với cỡ xe.</t>
        </is>
      </c>
      <c r="H490" s="39" t="n"/>
    </row>
    <row r="491" ht="21.75" customHeight="1" s="32">
      <c r="A491" s="41" t="inlineStr">
        <is>
          <t>swarm_carrier</t>
        </is>
      </c>
      <c r="B491" s="41" t="inlineStr">
        <is>
          <t>Máy bay mẹ thả drone</t>
        </is>
      </c>
      <c r="C491" s="41" t="inlineStr">
        <is>
          <t>Tham khảo / model</t>
        </is>
      </c>
      <c r="D491" s="41" t="inlineStr">
        <is>
          <t>C-130 Hercules, drone FPV — Máy bay vận tải bốn động cơ thả bầy drone FPV</t>
        </is>
      </c>
      <c r="E491" s="49" t="inlineStr">
        <is>
          <t>Giữ</t>
        </is>
      </c>
      <c r="F491" s="41" t="n"/>
      <c r="G491" s="41" t="inlineStr">
        <is>
          <t>Khớp vũ khí và vai trò.</t>
        </is>
      </c>
      <c r="H491" s="41" t="n"/>
    </row>
    <row r="492" ht="21.75" customHeight="1" s="32">
      <c r="A492" s="39" t="inlineStr">
        <is>
          <t>attack_helicopter</t>
        </is>
      </c>
      <c r="B492" s="39" t="inlineStr">
        <is>
          <t>Trực thăng tấn công</t>
        </is>
      </c>
      <c r="C492" s="39" t="inlineStr">
        <is>
          <t>Tên</t>
        </is>
      </c>
      <c r="D492" s="39" t="inlineStr">
        <is>
          <t>Trực thăng tấn công</t>
        </is>
      </c>
      <c r="E492" s="49" t="inlineStr">
        <is>
          <t>Giữ</t>
        </is>
      </c>
      <c r="F492" s="39" t="inlineStr">
        <is>
          <t>Trực thăng tấn công · ngắn: TT tấn công · EN: Attack Helicopter</t>
        </is>
      </c>
      <c r="G492" s="39" t="inlineStr">
        <is>
          <t>Giữ.</t>
        </is>
      </c>
      <c r="H492" s="39" t="n"/>
    </row>
    <row r="493" ht="15" customHeight="1" s="32">
      <c r="A493" s="41" t="inlineStr">
        <is>
          <t>attack_helicopter</t>
        </is>
      </c>
      <c r="B493" s="41" t="inlineStr">
        <is>
          <t>Trực thăng tấn công</t>
        </is>
      </c>
      <c r="C493" s="41" t="inlineStr">
        <is>
          <t>Máu</t>
        </is>
      </c>
      <c r="D493" s="43" t="n">
        <v>1760</v>
      </c>
      <c r="E493" s="49" t="inlineStr">
        <is>
          <t>Giữ</t>
        </is>
      </c>
      <c r="F493" s="41" t="n"/>
      <c r="G493" s="41" t="inlineStr">
        <is>
          <t>Máu/CP 0.78 × trung vị lớp Trực thăng.</t>
        </is>
      </c>
      <c r="H493" s="41" t="n"/>
    </row>
    <row r="494" ht="15" customHeight="1" s="32">
      <c r="A494" s="39" t="inlineStr">
        <is>
          <t>attack_helicopter</t>
        </is>
      </c>
      <c r="B494" s="39" t="inlineStr">
        <is>
          <t>Trực thăng tấn công</t>
        </is>
      </c>
      <c r="C494" s="39" t="inlineStr">
        <is>
          <t>Giáp (T/H/S/N)</t>
        </is>
      </c>
      <c r="D494" s="39" t="inlineStr">
        <is>
          <t>cấp 1 (Mỏng)</t>
        </is>
      </c>
      <c r="E494" s="49" t="inlineStr">
        <is>
          <t>Giữ</t>
        </is>
      </c>
      <c r="F494" s="39" t="n"/>
      <c r="G494" s="39" t="inlineStr">
        <is>
          <t>Giả tưởng / máy bay; khớp vai trò.</t>
        </is>
      </c>
      <c r="H494" s="39" t="n"/>
    </row>
    <row r="495" ht="15" customHeight="1" s="32">
      <c r="A495" s="41" t="inlineStr">
        <is>
          <t>attack_helicopter</t>
        </is>
      </c>
      <c r="B495" s="41" t="inlineStr">
        <is>
          <t>Trực thăng tấn công</t>
        </is>
      </c>
      <c r="C495" s="41" t="inlineStr">
        <is>
          <t>Tốc độ</t>
        </is>
      </c>
      <c r="D495" s="43" t="n">
        <v>13</v>
      </c>
      <c r="E495" s="49" t="inlineStr">
        <is>
          <t>Giữ</t>
        </is>
      </c>
      <c r="F495" s="41" t="n"/>
      <c r="G495" s="41" t="inlineStr">
        <is>
          <t>Gần tốc độ thật × hệ số nén (12.5).</t>
        </is>
      </c>
      <c r="H495" s="41" t="n"/>
    </row>
    <row r="496" ht="21.75" customHeight="1" s="32">
      <c r="A496" s="39" t="inlineStr">
        <is>
          <t>attack_helicopter</t>
        </is>
      </c>
      <c r="B496" s="39" t="inlineStr">
        <is>
          <t>Trực thăng tấn công</t>
        </is>
      </c>
      <c r="C496" s="39" t="inlineStr">
        <is>
          <t>Kích thước model (dài × rộng × cao)</t>
        </is>
      </c>
      <c r="D496" s="39" t="inlineStr">
        <is>
          <t>6.0 × 4.0 × 2.3</t>
        </is>
      </c>
      <c r="E496" s="47" t="inlineStr">
        <is>
          <t>Đổi</t>
        </is>
      </c>
      <c r="F496" s="39" t="inlineStr">
        <is>
          <t>7.1 × 5.8 × 1.8</t>
        </is>
      </c>
      <c r="G496" s="39" t="inlineStr">
        <is>
          <t>Mẫu thật AH-64D Apache: 17.7 × 14.6 m; theo tỷ lệ chung (trên không 0,4) nên là 7.1 × 5.8 m. Đổi kích thước thì chỉnh vùng va chạm và chạy lại test xe kẹt.</t>
        </is>
      </c>
      <c r="H496" s="49" t="inlineStr">
        <is>
          <t>Thấp</t>
        </is>
      </c>
    </row>
    <row r="497" ht="15" customHeight="1" s="32">
      <c r="A497" s="41" t="inlineStr">
        <is>
          <t>attack_helicopter</t>
        </is>
      </c>
      <c r="B497" s="41" t="inlineStr">
        <is>
          <t>Trực thăng tấn công</t>
        </is>
      </c>
      <c r="C497" s="41" t="inlineStr">
        <is>
          <t>Tầm nhìn</t>
        </is>
      </c>
      <c r="D497" s="43" t="n">
        <v>40</v>
      </c>
      <c r="E497" s="49" t="inlineStr">
        <is>
          <t>Giữ</t>
        </is>
      </c>
      <c r="F497" s="41" t="n"/>
      <c r="G497" s="41" t="inlineStr">
        <is>
          <t>Khớp vai trò.</t>
        </is>
      </c>
      <c r="H497" s="41" t="n"/>
    </row>
    <row r="498" ht="15" customHeight="1" s="32">
      <c r="A498" s="39" t="inlineStr">
        <is>
          <t>attack_helicopter</t>
        </is>
      </c>
      <c r="B498" s="39" t="inlineStr">
        <is>
          <t>Trực thăng tấn công</t>
        </is>
      </c>
      <c r="C498" s="39" t="inlineStr">
        <is>
          <t>Tầm bắn</t>
        </is>
      </c>
      <c r="D498" s="39" t="inlineStr">
        <is>
          <t>55</t>
        </is>
      </c>
      <c r="E498" s="49" t="inlineStr">
        <is>
          <t>Giữ</t>
        </is>
      </c>
      <c r="F498" s="39" t="n"/>
      <c r="G498" s="39" t="inlineStr">
        <is>
          <t>Thứ tự tầm hợp lý trong nhóm.</t>
        </is>
      </c>
      <c r="H498" s="39" t="n"/>
    </row>
    <row r="499" ht="15" customHeight="1" s="32">
      <c r="A499" s="41" t="inlineStr">
        <is>
          <t>attack_helicopter</t>
        </is>
      </c>
      <c r="B499" s="41" t="inlineStr">
        <is>
          <t>Trực thăng tấn công</t>
        </is>
      </c>
      <c r="C499" s="41" t="inlineStr">
        <is>
          <t>Giá (CP)</t>
        </is>
      </c>
      <c r="D499" s="43" t="n">
        <v>11</v>
      </c>
      <c r="E499" s="47" t="inlineStr">
        <is>
          <t>Đổi</t>
        </is>
      </c>
      <c r="F499" s="41" t="inlineStr">
        <is>
          <t>9 CP</t>
        </is>
      </c>
      <c r="G499" s="41" t="inlineStr">
        <is>
          <t>Yếu hơn các trực thăng khác tính theo CP.</t>
        </is>
      </c>
      <c r="H499" s="47" t="inlineStr">
        <is>
          <t>Cao</t>
        </is>
      </c>
    </row>
    <row r="500" ht="15" customHeight="1" s="32">
      <c r="A500" s="39" t="inlineStr">
        <is>
          <t>attack_helicopter</t>
        </is>
      </c>
      <c r="B500" s="39" t="inlineStr">
        <is>
          <t>Trực thăng tấn công</t>
        </is>
      </c>
      <c r="C500" s="39" t="inlineStr">
        <is>
          <t>Vũ khí: Hellfire, Stinger ATAS</t>
        </is>
      </c>
      <c r="D500" s="39" t="inlineStr">
        <is>
          <t>Hellfire tốc độ 24 · ATAS tốc độ 24</t>
        </is>
      </c>
      <c r="E500" s="47" t="inlineStr">
        <is>
          <t>Đổi</t>
        </is>
      </c>
      <c r="F500" s="39" t="inlineStr">
        <is>
          <t>Hellfire 26 (bay 2,1 s ở 55 m) · ATAS 42</t>
        </is>
      </c>
      <c r="G500" s="39" t="inlineStr">
        <is>
          <t>Thống nhất Hellfire mọi nơi; ATAS đủ nhanh để bắn trực thăng địch.</t>
        </is>
      </c>
      <c r="H500" s="48" t="inlineStr">
        <is>
          <t>Trung</t>
        </is>
      </c>
    </row>
    <row r="501" ht="32.25" customHeight="1" s="32">
      <c r="A501" s="41" t="inlineStr">
        <is>
          <t>attack_helicopter</t>
        </is>
      </c>
      <c r="B501" s="41" t="inlineStr">
        <is>
          <t>Trực thăng tấn công</t>
        </is>
      </c>
      <c r="C501" s="41" t="inlineStr">
        <is>
          <t>Hành vi</t>
        </is>
      </c>
      <c r="D501" s="41" t="inlineStr">
        <is>
          <t xml:space="preserve">Treo trên không ở rìa tầm bắn và nhả đạn; Ưu tiên xe tăng, tăng hạng nặng, pháo </t>
        </is>
      </c>
      <c r="E501" s="49" t="inlineStr">
        <is>
          <t>Giữ</t>
        </is>
      </c>
      <c r="F501" s="41" t="n"/>
      <c r="G501" s="41" t="inlineStr">
        <is>
          <t>Hợp vai trò.</t>
        </is>
      </c>
      <c r="H501" s="41" t="n"/>
    </row>
    <row r="502" ht="15" customHeight="1" s="32">
      <c r="A502" s="39" t="inlineStr">
        <is>
          <t>attack_helicopter</t>
        </is>
      </c>
      <c r="B502" s="39" t="inlineStr">
        <is>
          <t>Trực thăng tấn công</t>
        </is>
      </c>
      <c r="C502" s="39" t="inlineStr">
        <is>
          <t>Nổ khi bị phá (bán kính)</t>
        </is>
      </c>
      <c r="D502" s="39" t="inlineStr">
        <is>
          <t>6 m · 160 sát thương</t>
        </is>
      </c>
      <c r="E502" s="49" t="inlineStr">
        <is>
          <t>Giữ</t>
        </is>
      </c>
      <c r="F502" s="39" t="n"/>
      <c r="G502" s="39" t="inlineStr">
        <is>
          <t>Hợp với cỡ xe.</t>
        </is>
      </c>
      <c r="H502" s="39" t="n"/>
    </row>
    <row r="503" ht="32.25" customHeight="1" s="32">
      <c r="A503" s="41" t="inlineStr">
        <is>
          <t>attack_helicopter</t>
        </is>
      </c>
      <c r="B503" s="41" t="inlineStr">
        <is>
          <t>Trực thăng tấn công</t>
        </is>
      </c>
      <c r="C503" s="41" t="inlineStr">
        <is>
          <t>Tham khảo / model</t>
        </is>
      </c>
      <c r="D503" s="41" t="inlineStr">
        <is>
          <t xml:space="preserve">AH-64D Apache Longbow, AGM-114L Hellfire Longbow, Ka-52 Alligator (model thay thế) — Trực </t>
        </is>
      </c>
      <c r="E503" s="49" t="inlineStr">
        <is>
          <t>Giữ</t>
        </is>
      </c>
      <c r="F503" s="41" t="n"/>
      <c r="G503" s="41" t="inlineStr">
        <is>
          <t>Khớp vũ khí và vai trò.</t>
        </is>
      </c>
      <c r="H503" s="41" t="n"/>
    </row>
    <row r="504" ht="15" customHeight="1" s="32">
      <c r="A504" s="39" t="inlineStr">
        <is>
          <t>fighter_jet</t>
        </is>
      </c>
      <c r="B504" s="39" t="inlineStr">
        <is>
          <t>Tiêm kích</t>
        </is>
      </c>
      <c r="C504" s="39" t="inlineStr">
        <is>
          <t>Tên</t>
        </is>
      </c>
      <c r="D504" s="39" t="inlineStr">
        <is>
          <t>Tiêm kích</t>
        </is>
      </c>
      <c r="E504" s="49" t="inlineStr">
        <is>
          <t>Giữ</t>
        </is>
      </c>
      <c r="F504" s="39" t="inlineStr">
        <is>
          <t>Tiêm kích · ngắn: Tiêm kích · EN: Fighter</t>
        </is>
      </c>
      <c r="G504" s="39" t="inlineStr">
        <is>
          <t>Giữ.</t>
        </is>
      </c>
      <c r="H504" s="39" t="n"/>
    </row>
    <row r="505" ht="15" customHeight="1" s="32">
      <c r="A505" s="41" t="inlineStr">
        <is>
          <t>fighter_jet</t>
        </is>
      </c>
      <c r="B505" s="41" t="inlineStr">
        <is>
          <t>Tiêm kích</t>
        </is>
      </c>
      <c r="C505" s="41" t="inlineStr">
        <is>
          <t>Máu</t>
        </is>
      </c>
      <c r="D505" s="43" t="n">
        <v>1144</v>
      </c>
      <c r="E505" s="49" t="inlineStr">
        <is>
          <t>Giữ</t>
        </is>
      </c>
      <c r="F505" s="41" t="n"/>
      <c r="G505" s="41" t="inlineStr">
        <is>
          <t>Máu/CP 0.81 × trung vị lớp Máy bay.</t>
        </is>
      </c>
      <c r="H505" s="41" t="n"/>
    </row>
    <row r="506" ht="15" customHeight="1" s="32">
      <c r="A506" s="39" t="inlineStr">
        <is>
          <t>fighter_jet</t>
        </is>
      </c>
      <c r="B506" s="39" t="inlineStr">
        <is>
          <t>Tiêm kích</t>
        </is>
      </c>
      <c r="C506" s="39" t="inlineStr">
        <is>
          <t>Giáp (T/H/S/N)</t>
        </is>
      </c>
      <c r="D506" s="39" t="inlineStr">
        <is>
          <t>cấp 0 (Không giáp)</t>
        </is>
      </c>
      <c r="E506" s="49" t="inlineStr">
        <is>
          <t>Giữ</t>
        </is>
      </c>
      <c r="F506" s="39" t="n"/>
      <c r="G506" s="39" t="inlineStr">
        <is>
          <t>Khớp mẫu thật theo thang 0–4.</t>
        </is>
      </c>
      <c r="H506" s="39" t="n"/>
    </row>
    <row r="507" ht="15" customHeight="1" s="32">
      <c r="A507" s="41" t="inlineStr">
        <is>
          <t>fighter_jet</t>
        </is>
      </c>
      <c r="B507" s="41" t="inlineStr">
        <is>
          <t>Tiêm kích</t>
        </is>
      </c>
      <c r="C507" s="41" t="inlineStr">
        <is>
          <t>Tốc độ</t>
        </is>
      </c>
      <c r="D507" s="43" t="n">
        <v>40</v>
      </c>
      <c r="E507" s="49" t="inlineStr">
        <is>
          <t>Giữ</t>
        </is>
      </c>
      <c r="F507" s="41" t="n"/>
      <c r="G507" s="41" t="inlineStr">
        <is>
          <t>Gần tốc độ thật × hệ số nén (40.0).</t>
        </is>
      </c>
      <c r="H507" s="41" t="n"/>
    </row>
    <row r="508" ht="32.25" customHeight="1" s="32">
      <c r="A508" s="39" t="inlineStr">
        <is>
          <t>fighter_jet</t>
        </is>
      </c>
      <c r="B508" s="39" t="inlineStr">
        <is>
          <t>Tiêm kích</t>
        </is>
      </c>
      <c r="C508" s="39" t="inlineStr">
        <is>
          <t>Kích thước model (dài × rộng × cao)</t>
        </is>
      </c>
      <c r="D508" s="39" t="inlineStr">
        <is>
          <t>6.4 × 4.2 × 1.4</t>
        </is>
      </c>
      <c r="E508" s="47" t="inlineStr">
        <is>
          <t>Đổi</t>
        </is>
      </c>
      <c r="F508" s="39" t="inlineStr">
        <is>
          <t>8.8 × 5.9 × 2.4</t>
        </is>
      </c>
      <c r="G508" s="39" t="inlineStr">
        <is>
          <t>Mẫu thật Su-27: 21.9 × 14.7 m; theo tỷ lệ chung (trên không 0,4) nên là 8.8 × 5.9 m. Su-27 thật dài hơn Su-25 40%, nhưng trong game bằng nhau. Đổi kích thước thì chỉnh vùng va chạm và chạy lại test xe kẹt.</t>
        </is>
      </c>
      <c r="H508" s="49" t="inlineStr">
        <is>
          <t>Thấp</t>
        </is>
      </c>
    </row>
    <row r="509" ht="15" customHeight="1" s="32">
      <c r="A509" s="41" t="inlineStr">
        <is>
          <t>fighter_jet</t>
        </is>
      </c>
      <c r="B509" s="41" t="inlineStr">
        <is>
          <t>Tiêm kích</t>
        </is>
      </c>
      <c r="C509" s="41" t="inlineStr">
        <is>
          <t>Tầm nhìn</t>
        </is>
      </c>
      <c r="D509" s="43" t="n">
        <v>72</v>
      </c>
      <c r="E509" s="49" t="inlineStr">
        <is>
          <t>Giữ</t>
        </is>
      </c>
      <c r="F509" s="41" t="n"/>
      <c r="G509" s="41" t="inlineStr">
        <is>
          <t>Khớp vai trò.</t>
        </is>
      </c>
      <c r="H509" s="41" t="n"/>
    </row>
    <row r="510" ht="15" customHeight="1" s="32">
      <c r="A510" s="39" t="inlineStr">
        <is>
          <t>fighter_jet</t>
        </is>
      </c>
      <c r="B510" s="39" t="inlineStr">
        <is>
          <t>Tiêm kích</t>
        </is>
      </c>
      <c r="C510" s="39" t="inlineStr">
        <is>
          <t>Tầm bắn</t>
        </is>
      </c>
      <c r="D510" s="39" t="inlineStr">
        <is>
          <t>60</t>
        </is>
      </c>
      <c r="E510" s="49" t="inlineStr">
        <is>
          <t>Giữ</t>
        </is>
      </c>
      <c r="F510" s="39" t="n"/>
      <c r="G510" s="39" t="inlineStr">
        <is>
          <t>Thứ tự tầm hợp lý trong nhóm.</t>
        </is>
      </c>
      <c r="H510" s="39" t="n"/>
    </row>
    <row r="511" ht="15" customHeight="1" s="32">
      <c r="A511" s="41" t="inlineStr">
        <is>
          <t>fighter_jet</t>
        </is>
      </c>
      <c r="B511" s="41" t="inlineStr">
        <is>
          <t>Tiêm kích</t>
        </is>
      </c>
      <c r="C511" s="41" t="inlineStr">
        <is>
          <t>Giá (CP)</t>
        </is>
      </c>
      <c r="D511" s="43" t="n">
        <v>12</v>
      </c>
      <c r="E511" s="49" t="inlineStr">
        <is>
          <t>Giữ</t>
        </is>
      </c>
      <c r="F511" s="41" t="n"/>
      <c r="G511" s="41" t="inlineStr">
        <is>
          <t>Hiệu quả trong khoảng ±25% trung vị, thứ tự giá hợp ngoài đời (sheet Giá CP).</t>
        </is>
      </c>
      <c r="H511" s="41" t="n"/>
    </row>
    <row r="512" ht="15" customHeight="1" s="32">
      <c r="A512" s="39" t="inlineStr">
        <is>
          <t>fighter_jet</t>
        </is>
      </c>
      <c r="B512" s="39" t="inlineStr">
        <is>
          <t>Tiêm kích</t>
        </is>
      </c>
      <c r="C512" s="39" t="inlineStr">
        <is>
          <t>Vũ khí: AIM-120, AIM-9X</t>
        </is>
      </c>
      <c r="D512" s="39" t="inlineStr">
        <is>
          <t>tốc độ 24 (chậm hơn tiêm kích 40 m/s)</t>
        </is>
      </c>
      <c r="E512" s="47" t="inlineStr">
        <is>
          <t>Đổi</t>
        </is>
      </c>
      <c r="F512" s="39" t="inlineStr">
        <is>
          <t>AIM-120: 60 (bay 1 s) · AIM-9X: 55</t>
        </is>
      </c>
      <c r="G512" s="39" t="inlineStr">
        <is>
          <t>Tên lửa phải bắt kịp mục tiêu nhanh nhất.</t>
        </is>
      </c>
      <c r="H512" s="47" t="inlineStr">
        <is>
          <t>Cao</t>
        </is>
      </c>
    </row>
    <row r="513" ht="32.25" customHeight="1" s="32">
      <c r="A513" s="41" t="inlineStr">
        <is>
          <t>fighter_jet</t>
        </is>
      </c>
      <c r="B513" s="41" t="inlineStr">
        <is>
          <t>Tiêm kích</t>
        </is>
      </c>
      <c r="C513" s="41" t="inlineStr">
        <is>
          <t>Hành vi</t>
        </is>
      </c>
      <c r="D513" s="41" t="inlineStr">
        <is>
          <t>Săn máy bay địch; Sau mỗi lượt nó vòng lại và vào lượt mới; Ưu tiên máy bay; Hết</t>
        </is>
      </c>
      <c r="E513" s="49" t="inlineStr">
        <is>
          <t>Giữ</t>
        </is>
      </c>
      <c r="F513" s="41" t="n"/>
      <c r="G513" s="41" t="inlineStr">
        <is>
          <t>Hợp vai trò.</t>
        </is>
      </c>
      <c r="H513" s="41" t="n"/>
    </row>
    <row r="514" ht="15" customHeight="1" s="32">
      <c r="A514" s="39" t="inlineStr">
        <is>
          <t>fighter_jet</t>
        </is>
      </c>
      <c r="B514" s="39" t="inlineStr">
        <is>
          <t>Tiêm kích</t>
        </is>
      </c>
      <c r="C514" s="39" t="inlineStr">
        <is>
          <t>Nổ khi bị phá (bán kính)</t>
        </is>
      </c>
      <c r="D514" s="39" t="inlineStr">
        <is>
          <t>7 m · 160 sát thương</t>
        </is>
      </c>
      <c r="E514" s="49" t="inlineStr">
        <is>
          <t>Giữ</t>
        </is>
      </c>
      <c r="F514" s="39" t="n"/>
      <c r="G514" s="39" t="inlineStr">
        <is>
          <t>Hợp với cỡ xe.</t>
        </is>
      </c>
      <c r="H514" s="39" t="n"/>
    </row>
    <row r="515" ht="32.25" customHeight="1" s="32">
      <c r="A515" s="41" t="inlineStr">
        <is>
          <t>fighter_jet</t>
        </is>
      </c>
      <c r="B515" s="41" t="inlineStr">
        <is>
          <t>Tiêm kích</t>
        </is>
      </c>
      <c r="C515" s="41" t="inlineStr">
        <is>
          <t>Tham khảo / model</t>
        </is>
      </c>
      <c r="D515" s="41" t="inlineStr">
        <is>
          <t>Su-27 Flanker, F-15 Eagle, AIM-120 AMRAAM, AIM-9X Sidewinder — Tiêm kích chiếm ưu thế trên</t>
        </is>
      </c>
      <c r="E515" s="49" t="inlineStr">
        <is>
          <t>Giữ</t>
        </is>
      </c>
      <c r="F515" s="41" t="n"/>
      <c r="G515" s="41" t="inlineStr">
        <is>
          <t>Khớp vũ khí và vai trò.</t>
        </is>
      </c>
      <c r="H515" s="41" t="n"/>
    </row>
    <row r="516" ht="21.75" customHeight="1" s="32">
      <c r="A516" s="39" t="inlineStr">
        <is>
          <t>stealth_fighter</t>
        </is>
      </c>
      <c r="B516" s="39" t="inlineStr">
        <is>
          <t>Tiêm kích tàng hình</t>
        </is>
      </c>
      <c r="C516" s="39" t="inlineStr">
        <is>
          <t>Tên</t>
        </is>
      </c>
      <c r="D516" s="39" t="inlineStr">
        <is>
          <t>Tiêm kích tàng hình</t>
        </is>
      </c>
      <c r="E516" s="49" t="inlineStr">
        <is>
          <t>Giữ</t>
        </is>
      </c>
      <c r="F516" s="39" t="inlineStr">
        <is>
          <t>Tiêm kích tàng hình · ngắn: TK tàng hình · EN: Stealth Fighter</t>
        </is>
      </c>
      <c r="G516" s="39" t="inlineStr">
        <is>
          <t>Giữ.</t>
        </is>
      </c>
      <c r="H516" s="39" t="n"/>
    </row>
    <row r="517" ht="15" customHeight="1" s="32">
      <c r="A517" s="41" t="inlineStr">
        <is>
          <t>stealth_fighter</t>
        </is>
      </c>
      <c r="B517" s="41" t="inlineStr">
        <is>
          <t>Tiêm kích tàng hình</t>
        </is>
      </c>
      <c r="C517" s="41" t="inlineStr">
        <is>
          <t>Máu</t>
        </is>
      </c>
      <c r="D517" s="43" t="n">
        <v>1056</v>
      </c>
      <c r="E517" s="49" t="inlineStr">
        <is>
          <t>Giữ</t>
        </is>
      </c>
      <c r="F517" s="41" t="n"/>
      <c r="G517" s="41" t="inlineStr">
        <is>
          <t>Máu/CP 0.64 × trung vị lớp Máy bay.</t>
        </is>
      </c>
      <c r="H517" s="41" t="n"/>
    </row>
    <row r="518" ht="15" customHeight="1" s="32">
      <c r="A518" s="39" t="inlineStr">
        <is>
          <t>stealth_fighter</t>
        </is>
      </c>
      <c r="B518" s="39" t="inlineStr">
        <is>
          <t>Tiêm kích tàng hình</t>
        </is>
      </c>
      <c r="C518" s="39" t="inlineStr">
        <is>
          <t>Giáp (T/H/S/N)</t>
        </is>
      </c>
      <c r="D518" s="39" t="inlineStr">
        <is>
          <t>cấp 0 (Không giáp)</t>
        </is>
      </c>
      <c r="E518" s="49" t="inlineStr">
        <is>
          <t>Giữ</t>
        </is>
      </c>
      <c r="F518" s="39" t="n"/>
      <c r="G518" s="39" t="inlineStr">
        <is>
          <t>Khớp mẫu thật theo thang 0–4.</t>
        </is>
      </c>
      <c r="H518" s="39" t="n"/>
    </row>
    <row r="519" ht="15" customHeight="1" s="32">
      <c r="A519" s="41" t="inlineStr">
        <is>
          <t>stealth_fighter</t>
        </is>
      </c>
      <c r="B519" s="41" t="inlineStr">
        <is>
          <t>Tiêm kích tàng hình</t>
        </is>
      </c>
      <c r="C519" s="41" t="inlineStr">
        <is>
          <t>Tốc độ</t>
        </is>
      </c>
      <c r="D519" s="43" t="n">
        <v>40</v>
      </c>
      <c r="E519" s="47" t="inlineStr">
        <is>
          <t>Đổi</t>
        </is>
      </c>
      <c r="F519" s="41" t="inlineStr">
        <is>
          <t>44 m/s</t>
        </is>
      </c>
      <c r="G519" s="41" t="inlineStr">
        <is>
          <t>F-22/Su-57 bay hành trình siêu âm, nhanh hơn Su-27.</t>
        </is>
      </c>
      <c r="H519" s="48" t="inlineStr">
        <is>
          <t>Trung</t>
        </is>
      </c>
    </row>
    <row r="520" ht="15" customHeight="1" s="32">
      <c r="A520" s="39" t="inlineStr">
        <is>
          <t>stealth_fighter</t>
        </is>
      </c>
      <c r="B520" s="39" t="inlineStr">
        <is>
          <t>Tiêm kích tàng hình</t>
        </is>
      </c>
      <c r="C520" s="39" t="inlineStr">
        <is>
          <t>Kích thước model (dài × rộng × cao)</t>
        </is>
      </c>
      <c r="D520" s="39" t="inlineStr">
        <is>
          <t>6.1 × 4.2 × 1.2</t>
        </is>
      </c>
      <c r="E520" s="49" t="inlineStr">
        <is>
          <t>Giữ</t>
        </is>
      </c>
      <c r="F520" s="39" t="n"/>
      <c r="G520" s="39" t="inlineStr">
        <is>
          <t>Khớp tỷ lệ chung (mẫu thật 18.9 m).</t>
        </is>
      </c>
      <c r="H520" s="39" t="n"/>
    </row>
    <row r="521" ht="15" customHeight="1" s="32">
      <c r="A521" s="41" t="inlineStr">
        <is>
          <t>stealth_fighter</t>
        </is>
      </c>
      <c r="B521" s="41" t="inlineStr">
        <is>
          <t>Tiêm kích tàng hình</t>
        </is>
      </c>
      <c r="C521" s="41" t="inlineStr">
        <is>
          <t>Tầm nhìn</t>
        </is>
      </c>
      <c r="D521" s="43" t="n">
        <v>76</v>
      </c>
      <c r="E521" s="49" t="inlineStr">
        <is>
          <t>Giữ</t>
        </is>
      </c>
      <c r="F521" s="41" t="n"/>
      <c r="G521" s="41" t="inlineStr">
        <is>
          <t>Khớp vai trò.</t>
        </is>
      </c>
      <c r="H521" s="41" t="n"/>
    </row>
    <row r="522" ht="15" customHeight="1" s="32">
      <c r="A522" s="39" t="inlineStr">
        <is>
          <t>stealth_fighter</t>
        </is>
      </c>
      <c r="B522" s="39" t="inlineStr">
        <is>
          <t>Tiêm kích tàng hình</t>
        </is>
      </c>
      <c r="C522" s="39" t="inlineStr">
        <is>
          <t>Tầm bắn</t>
        </is>
      </c>
      <c r="D522" s="39" t="inlineStr">
        <is>
          <t>60</t>
        </is>
      </c>
      <c r="E522" s="49" t="inlineStr">
        <is>
          <t>Giữ</t>
        </is>
      </c>
      <c r="F522" s="39" t="n"/>
      <c r="G522" s="39" t="inlineStr">
        <is>
          <t>Thứ tự tầm hợp lý trong nhóm.</t>
        </is>
      </c>
      <c r="H522" s="39" t="n"/>
    </row>
    <row r="523" ht="15" customHeight="1" s="32">
      <c r="A523" s="41" t="inlineStr">
        <is>
          <t>stealth_fighter</t>
        </is>
      </c>
      <c r="B523" s="41" t="inlineStr">
        <is>
          <t>Tiêm kích tàng hình</t>
        </is>
      </c>
      <c r="C523" s="41" t="inlineStr">
        <is>
          <t>Giá (CP)</t>
        </is>
      </c>
      <c r="D523" s="43" t="n">
        <v>14</v>
      </c>
      <c r="E523" s="47" t="inlineStr">
        <is>
          <t>Đổi</t>
        </is>
      </c>
      <c r="F523" s="41" t="inlineStr">
        <is>
          <t>13 CP</t>
        </is>
      </c>
      <c r="G523" s="41" t="inlineStr">
        <is>
          <t>Xem sheet Giá CP.</t>
        </is>
      </c>
      <c r="H523" s="47" t="inlineStr">
        <is>
          <t>Cao</t>
        </is>
      </c>
    </row>
    <row r="524" ht="21.75" customHeight="1" s="32">
      <c r="A524" s="39" t="inlineStr">
        <is>
          <t>stealth_fighter</t>
        </is>
      </c>
      <c r="B524" s="39" t="inlineStr">
        <is>
          <t>Tiêm kích tàng hình</t>
        </is>
      </c>
      <c r="C524" s="39" t="inlineStr">
        <is>
          <t>Vũ khí và giá</t>
        </is>
      </c>
      <c r="D524" s="39" t="inlineStr">
        <is>
          <t>chống máy bay 219 (kém tiêm kích 351) · 14 CP</t>
        </is>
      </c>
      <c r="E524" s="47" t="inlineStr">
        <is>
          <t>Đổi</t>
        </is>
      </c>
      <c r="F524" s="39" t="inlineStr">
        <is>
          <t>+1 AIM-120 mỗi lần đầy đạn; giá 14→13</t>
        </is>
      </c>
      <c r="G524" s="39" t="inlineStr">
        <is>
          <t>Đắt hơn nhưng kém tiêm kích thường ở vai trò chính.</t>
        </is>
      </c>
      <c r="H524" s="48" t="inlineStr">
        <is>
          <t>Trung</t>
        </is>
      </c>
    </row>
    <row r="525" ht="32.25" customHeight="1" s="32">
      <c r="A525" s="41" t="inlineStr">
        <is>
          <t>stealth_fighter</t>
        </is>
      </c>
      <c r="B525" s="41" t="inlineStr">
        <is>
          <t>Tiêm kích tàng hình</t>
        </is>
      </c>
      <c r="C525" s="41" t="inlineStr">
        <is>
          <t>Hành vi</t>
        </is>
      </c>
      <c r="D525" s="41" t="inlineStr">
        <is>
          <t>Săn máy bay địch; Sau mỗi lượt nó vòng lại và vào lượt mới; Ưu tiên máy bay; Hết</t>
        </is>
      </c>
      <c r="E525" s="49" t="inlineStr">
        <is>
          <t>Giữ</t>
        </is>
      </c>
      <c r="F525" s="41" t="n"/>
      <c r="G525" s="41" t="inlineStr">
        <is>
          <t>Hợp vai trò.</t>
        </is>
      </c>
      <c r="H525" s="41" t="n"/>
    </row>
    <row r="526" ht="15" customHeight="1" s="32">
      <c r="A526" s="39" t="inlineStr">
        <is>
          <t>stealth_fighter</t>
        </is>
      </c>
      <c r="B526" s="39" t="inlineStr">
        <is>
          <t>Tiêm kích tàng hình</t>
        </is>
      </c>
      <c r="C526" s="39" t="inlineStr">
        <is>
          <t>Nổ khi bị phá (bán kính)</t>
        </is>
      </c>
      <c r="D526" s="39" t="inlineStr">
        <is>
          <t>7 m · 160 sát thương</t>
        </is>
      </c>
      <c r="E526" s="47" t="inlineStr">
        <is>
          <t>Đổi</t>
        </is>
      </c>
      <c r="F526" s="39" t="inlineStr">
        <is>
          <t>~5 m</t>
        </is>
      </c>
      <c r="G526" s="39" t="inlineStr">
        <is>
          <t>Bán kính nổ khi bị phá nên theo cỡ xe, cộng thêm nếu xe chở nhiều đạn/nhiên liệu.</t>
        </is>
      </c>
      <c r="H526" s="49" t="inlineStr">
        <is>
          <t>Thấp</t>
        </is>
      </c>
    </row>
    <row r="527" ht="21.75" customHeight="1" s="32">
      <c r="A527" s="41" t="inlineStr">
        <is>
          <t>stealth_fighter</t>
        </is>
      </c>
      <c r="B527" s="41" t="inlineStr">
        <is>
          <t>Tiêm kích tàng hình</t>
        </is>
      </c>
      <c r="C527" s="41" t="inlineStr">
        <is>
          <t>Tham khảo / model</t>
        </is>
      </c>
      <c r="D527" s="41" t="inlineStr">
        <is>
          <t>F-22 Raptor, Su-57, GAU-22/A 25 mm — Tiêm kích tàng hình hai đuôi</t>
        </is>
      </c>
      <c r="E527" s="49" t="inlineStr">
        <is>
          <t>Giữ</t>
        </is>
      </c>
      <c r="F527" s="41" t="n"/>
      <c r="G527" s="41" t="inlineStr">
        <is>
          <t>Khớp vũ khí và vai trò.</t>
        </is>
      </c>
      <c r="H527" s="41" t="n"/>
    </row>
    <row r="528" ht="21.75" customHeight="1" s="32">
      <c r="A528" s="39"/>
      <c r="B528" s="39"/>
      <c r="C528" s="39"/>
      <c r="D528" s="39"/>
      <c r="E528" s="47"/>
      <c r="F528" s="39"/>
      <c r="G528" s="39"/>
      <c r="H528" s="49"/>
    </row>
    <row r="529" ht="21.75" customHeight="1" s="32">
      <c r="A529" s="41"/>
      <c r="B529" s="41"/>
      <c r="C529" s="41"/>
      <c r="D529" s="43"/>
      <c r="E529" s="47"/>
      <c r="F529" s="41"/>
      <c r="G529" s="41"/>
      <c r="H529" s="48"/>
    </row>
    <row r="530" ht="21.75" customHeight="1" s="32">
      <c r="A530" s="39"/>
      <c r="B530" s="39"/>
      <c r="C530" s="39"/>
      <c r="D530" s="39"/>
      <c r="E530" s="47"/>
      <c r="F530" s="39"/>
      <c r="G530" s="39"/>
      <c r="H530" s="48"/>
    </row>
    <row r="531" ht="21.75" customHeight="1" s="32">
      <c r="A531" s="41"/>
      <c r="B531" s="41"/>
      <c r="C531" s="41"/>
      <c r="D531" s="43"/>
      <c r="E531" s="47"/>
      <c r="F531" s="41"/>
      <c r="G531" s="41"/>
      <c r="H531" s="48"/>
    </row>
    <row r="532" ht="15" customHeight="1" s="32">
      <c r="A532" s="39"/>
      <c r="B532" s="39"/>
      <c r="C532" s="39"/>
      <c r="D532" s="39"/>
      <c r="E532" s="49"/>
      <c r="F532" s="39"/>
      <c r="G532" s="39"/>
      <c r="H532" s="39"/>
    </row>
    <row r="533" ht="15" customHeight="1" s="32">
      <c r="A533" s="41"/>
      <c r="B533" s="41"/>
      <c r="C533" s="41"/>
      <c r="D533" s="43"/>
      <c r="E533" s="49"/>
      <c r="F533" s="41"/>
      <c r="G533" s="41"/>
      <c r="H533" s="41"/>
    </row>
    <row r="534" ht="15" customHeight="1" s="32">
      <c r="A534" s="39"/>
      <c r="B534" s="39"/>
      <c r="C534" s="39"/>
      <c r="D534" s="39"/>
      <c r="E534" s="47"/>
      <c r="F534" s="39"/>
      <c r="G534" s="39"/>
      <c r="H534" s="48"/>
    </row>
    <row r="535" ht="15" customHeight="1" s="32">
      <c r="A535" s="41"/>
      <c r="B535" s="41"/>
      <c r="C535" s="41"/>
      <c r="D535" s="43"/>
      <c r="E535" s="49"/>
      <c r="F535" s="41"/>
      <c r="G535" s="41"/>
      <c r="H535" s="41"/>
    </row>
    <row r="536" ht="21.75" customHeight="1" s="32">
      <c r="A536" s="39"/>
      <c r="B536" s="39"/>
      <c r="C536" s="39"/>
      <c r="D536" s="39"/>
      <c r="E536" s="47"/>
      <c r="F536" s="39"/>
      <c r="G536" s="39"/>
      <c r="H536" s="48"/>
    </row>
    <row r="537" ht="32.25" customHeight="1" s="32">
      <c r="A537" s="41"/>
      <c r="B537" s="41"/>
      <c r="C537" s="41"/>
      <c r="D537" s="41"/>
      <c r="E537" s="49"/>
      <c r="F537" s="41"/>
      <c r="G537" s="41"/>
      <c r="H537" s="41"/>
    </row>
    <row r="538" ht="15" customHeight="1" s="32">
      <c r="A538" s="39"/>
      <c r="B538" s="39"/>
      <c r="C538" s="39"/>
      <c r="D538" s="39"/>
      <c r="E538" s="49"/>
      <c r="F538" s="39"/>
      <c r="G538" s="39"/>
      <c r="H538" s="39"/>
    </row>
    <row r="539" ht="32.25" customHeight="1" s="32">
      <c r="A539" s="41"/>
      <c r="B539" s="41"/>
      <c r="C539" s="41"/>
      <c r="D539" s="41"/>
      <c r="E539" s="49"/>
      <c r="F539" s="41"/>
      <c r="G539" s="41"/>
      <c r="H539" s="41"/>
    </row>
    <row r="540" ht="15" customHeight="1" s="32">
      <c r="A540" s="39" t="inlineStr">
        <is>
          <t>attack_jet</t>
        </is>
      </c>
      <c r="B540" s="39" t="inlineStr">
        <is>
          <t>Máy bay cường kích</t>
        </is>
      </c>
      <c r="C540" s="39" t="inlineStr">
        <is>
          <t>Tên</t>
        </is>
      </c>
      <c r="D540" s="39" t="inlineStr">
        <is>
          <t>Máy bay cường kích</t>
        </is>
      </c>
      <c r="E540" s="49" t="inlineStr">
        <is>
          <t>Giữ</t>
        </is>
      </c>
      <c r="F540" s="39" t="inlineStr">
        <is>
          <t>Máy bay cường kích · ngắn: Cường kích · EN: Attack Jet</t>
        </is>
      </c>
      <c r="G540" s="39" t="inlineStr">
        <is>
          <t>Giữ.</t>
        </is>
      </c>
      <c r="H540" s="39" t="n"/>
    </row>
    <row r="541" ht="15" customHeight="1" s="32">
      <c r="A541" s="41" t="inlineStr">
        <is>
          <t>attack_jet</t>
        </is>
      </c>
      <c r="B541" s="41" t="inlineStr">
        <is>
          <t>Máy bay cường kích</t>
        </is>
      </c>
      <c r="C541" s="41" t="inlineStr">
        <is>
          <t>Máu</t>
        </is>
      </c>
      <c r="D541" s="43" t="n">
        <v>1870</v>
      </c>
      <c r="E541" s="49" t="inlineStr">
        <is>
          <t>Giữ</t>
        </is>
      </c>
      <c r="F541" s="41" t="n"/>
      <c r="G541" s="41" t="inlineStr">
        <is>
          <t>Máu/CP 1.00 × trung vị lớp Máy bay.</t>
        </is>
      </c>
      <c r="H541" s="41" t="n"/>
    </row>
    <row r="542" ht="15" customHeight="1" s="32">
      <c r="A542" s="39" t="inlineStr">
        <is>
          <t>attack_jet</t>
        </is>
      </c>
      <c r="B542" s="39" t="inlineStr">
        <is>
          <t>Máy bay cường kích</t>
        </is>
      </c>
      <c r="C542" s="39" t="inlineStr">
        <is>
          <t>Giáp (T/H/S/N)</t>
        </is>
      </c>
      <c r="D542" s="39" t="inlineStr">
        <is>
          <t>cấp 2 (Vừa)</t>
        </is>
      </c>
      <c r="E542" s="49" t="inlineStr">
        <is>
          <t>Giữ</t>
        </is>
      </c>
      <c r="F542" s="39" t="n"/>
      <c r="G542" s="39" t="inlineStr">
        <is>
          <t>Giả tưởng / máy bay; khớp vai trò.</t>
        </is>
      </c>
      <c r="H542" s="39" t="n"/>
    </row>
    <row r="543" ht="15" customHeight="1" s="32">
      <c r="A543" s="41" t="inlineStr">
        <is>
          <t>attack_jet</t>
        </is>
      </c>
      <c r="B543" s="41" t="inlineStr">
        <is>
          <t>Máy bay cường kích</t>
        </is>
      </c>
      <c r="C543" s="41" t="inlineStr">
        <is>
          <t>Tốc độ</t>
        </is>
      </c>
      <c r="D543" s="43" t="n">
        <v>32</v>
      </c>
      <c r="E543" s="49" t="inlineStr">
        <is>
          <t>Giữ</t>
        </is>
      </c>
      <c r="F543" s="41" t="n"/>
      <c r="G543" s="41" t="inlineStr">
        <is>
          <t>Gần tốc độ thật × hệ số nén (33.3).</t>
        </is>
      </c>
      <c r="H543" s="41" t="n"/>
    </row>
    <row r="544" ht="15" customHeight="1" s="32">
      <c r="A544" s="39" t="inlineStr">
        <is>
          <t>attack_jet</t>
        </is>
      </c>
      <c r="B544" s="39" t="inlineStr">
        <is>
          <t>Máy bay cường kích</t>
        </is>
      </c>
      <c r="C544" s="39" t="inlineStr">
        <is>
          <t>Kích thước model (dài × rộng × cao)</t>
        </is>
      </c>
      <c r="D544" s="39" t="inlineStr">
        <is>
          <t>6.4 × 6.0 × 1.5</t>
        </is>
      </c>
      <c r="E544" s="49" t="inlineStr">
        <is>
          <t>Giữ</t>
        </is>
      </c>
      <c r="F544" s="39" t="n"/>
      <c r="G544" s="39" t="inlineStr">
        <is>
          <t>Khớp tỷ lệ chung (mẫu thật 15.5 m).</t>
        </is>
      </c>
      <c r="H544" s="39" t="n"/>
    </row>
    <row r="545" ht="15" customHeight="1" s="32">
      <c r="A545" s="41" t="inlineStr">
        <is>
          <t>attack_jet</t>
        </is>
      </c>
      <c r="B545" s="41" t="inlineStr">
        <is>
          <t>Máy bay cường kích</t>
        </is>
      </c>
      <c r="C545" s="41" t="inlineStr">
        <is>
          <t>Tầm nhìn</t>
        </is>
      </c>
      <c r="D545" s="43" t="n">
        <v>50</v>
      </c>
      <c r="E545" s="49" t="inlineStr">
        <is>
          <t>Giữ</t>
        </is>
      </c>
      <c r="F545" s="41" t="n"/>
      <c r="G545" s="41" t="inlineStr">
        <is>
          <t>Khớp vai trò.</t>
        </is>
      </c>
      <c r="H545" s="41" t="n"/>
    </row>
    <row r="546" ht="15" customHeight="1" s="32">
      <c r="A546" s="39" t="inlineStr">
        <is>
          <t>attack_jet</t>
        </is>
      </c>
      <c r="B546" s="39" t="inlineStr">
        <is>
          <t>Máy bay cường kích</t>
        </is>
      </c>
      <c r="C546" s="39" t="inlineStr">
        <is>
          <t>Tầm bắn</t>
        </is>
      </c>
      <c r="D546" s="39" t="inlineStr">
        <is>
          <t>40</t>
        </is>
      </c>
      <c r="E546" s="49" t="inlineStr">
        <is>
          <t>Giữ</t>
        </is>
      </c>
      <c r="F546" s="39" t="n"/>
      <c r="G546" s="39" t="inlineStr">
        <is>
          <t>Thứ tự tầm hợp lý trong nhóm.</t>
        </is>
      </c>
      <c r="H546" s="39" t="n"/>
    </row>
    <row r="547" ht="15" customHeight="1" s="32">
      <c r="A547" s="41" t="inlineStr">
        <is>
          <t>attack_jet</t>
        </is>
      </c>
      <c r="B547" s="41" t="inlineStr">
        <is>
          <t>Máy bay cường kích</t>
        </is>
      </c>
      <c r="C547" s="41" t="inlineStr">
        <is>
          <t>Giá (CP)</t>
        </is>
      </c>
      <c r="D547" s="43" t="n">
        <v>16</v>
      </c>
      <c r="E547" s="47" t="inlineStr">
        <is>
          <t>Đổi</t>
        </is>
      </c>
      <c r="F547" s="41" t="inlineStr">
        <is>
          <t>18 CP</t>
        </is>
      </c>
      <c r="G547" s="41" t="inlineStr">
        <is>
          <t>Mạnh nhất nhóm máy bay tính theo CP.</t>
        </is>
      </c>
      <c r="H547" s="47" t="inlineStr">
        <is>
          <t>Cao</t>
        </is>
      </c>
    </row>
    <row r="548" ht="15" customHeight="1" s="32">
      <c r="A548" s="39" t="inlineStr">
        <is>
          <t>attack_jet</t>
        </is>
      </c>
      <c r="B548" s="39" t="inlineStr">
        <is>
          <t>Máy bay cường kích</t>
        </is>
      </c>
      <c r="C548" s="39" t="inlineStr">
        <is>
          <t>Vũ khí: FAB-250</t>
        </is>
      </c>
      <c r="D548" s="39" t="inlineStr">
        <is>
          <t>2 quả mỗi lần đầy đạn</t>
        </is>
      </c>
      <c r="E548" s="47" t="inlineStr">
        <is>
          <t>Đổi</t>
        </is>
      </c>
      <c r="F548" s="39" t="inlineStr">
        <is>
          <t>1 quả</t>
        </is>
      </c>
      <c r="G548" s="39" t="inlineStr">
        <is>
          <t>Giá trị lên công sự 1.156 cao nhất nhóm cùng giá.</t>
        </is>
      </c>
      <c r="H548" s="47" t="inlineStr">
        <is>
          <t>Cao</t>
        </is>
      </c>
    </row>
    <row r="549" ht="21.75" customHeight="1" s="32">
      <c r="A549" s="41" t="inlineStr">
        <is>
          <t>attack_jet</t>
        </is>
      </c>
      <c r="B549" s="41" t="inlineStr">
        <is>
          <t>Máy bay cường kích</t>
        </is>
      </c>
      <c r="C549" s="41" t="inlineStr">
        <is>
          <t>Vũ khí: Kh-29L, R-60</t>
        </is>
      </c>
      <c r="D549" s="41" t="inlineStr">
        <is>
          <t>tốc độ 10 (bay 4 s và 2,8 s, chậm như drone)</t>
        </is>
      </c>
      <c r="E549" s="47" t="inlineStr">
        <is>
          <t>Đổi</t>
        </is>
      </c>
      <c r="F549" s="41" t="inlineStr">
        <is>
          <t>Kh-29L: 32 (bay 1,25 s) · R-60: 42</t>
        </is>
      </c>
      <c r="G549" s="41" t="inlineStr">
        <is>
          <t>Tên lửa không đối đất nặng và tên lửa không đối không đang chậm nhất game.</t>
        </is>
      </c>
      <c r="H549" s="47" t="inlineStr">
        <is>
          <t>Cao</t>
        </is>
      </c>
    </row>
    <row r="550" ht="15" customHeight="1" s="32">
      <c r="A550" s="39" t="inlineStr">
        <is>
          <t>attack_jet</t>
        </is>
      </c>
      <c r="B550" s="39" t="inlineStr">
        <is>
          <t>Máy bay cường kích</t>
        </is>
      </c>
      <c r="C550" s="39" t="inlineStr">
        <is>
          <t>Vũ khí: GSh-30-2</t>
        </is>
      </c>
      <c r="D550" s="39" t="inlineStr">
        <is>
          <t>băng 94 viên</t>
        </is>
      </c>
      <c r="E550" s="47" t="inlineStr">
        <is>
          <t>Đổi</t>
        </is>
      </c>
      <c r="F550" s="39" t="inlineStr">
        <is>
          <t>băng 70 viên, nạp 1,5 s</t>
        </is>
      </c>
      <c r="G550" s="39" t="inlineStr">
        <is>
          <t>Lần cân bằng 2: vẫn mạnh sau khi tăng giá và bớt bom.</t>
        </is>
      </c>
      <c r="H550" s="48" t="inlineStr">
        <is>
          <t>Trung</t>
        </is>
      </c>
    </row>
    <row r="551" ht="32.25" customHeight="1" s="32">
      <c r="A551" s="41" t="inlineStr">
        <is>
          <t>attack_jet</t>
        </is>
      </c>
      <c r="B551" s="41" t="inlineStr">
        <is>
          <t>Máy bay cường kích</t>
        </is>
      </c>
      <c r="C551" s="41" t="inlineStr">
        <is>
          <t>Hành vi</t>
        </is>
      </c>
      <c r="D551" s="41" t="inlineStr">
        <is>
          <t>Bổ nhào xả hỏa lực vào mục tiêu, rồi vòng lại lượt khác; Sau mỗi lượt nó vòng lạ</t>
        </is>
      </c>
      <c r="E551" s="49" t="inlineStr">
        <is>
          <t>Giữ</t>
        </is>
      </c>
      <c r="F551" s="41" t="n"/>
      <c r="G551" s="41" t="inlineStr">
        <is>
          <t>Hợp vai trò.</t>
        </is>
      </c>
      <c r="H551" s="41" t="n"/>
    </row>
    <row r="552" ht="15" customHeight="1" s="32">
      <c r="A552" s="39" t="inlineStr">
        <is>
          <t>attack_jet</t>
        </is>
      </c>
      <c r="B552" s="39" t="inlineStr">
        <is>
          <t>Máy bay cường kích</t>
        </is>
      </c>
      <c r="C552" s="39" t="inlineStr">
        <is>
          <t>Nổ khi bị phá (bán kính)</t>
        </is>
      </c>
      <c r="D552" s="39" t="inlineStr">
        <is>
          <t>7 m · 190 sát thương</t>
        </is>
      </c>
      <c r="E552" s="49" t="inlineStr">
        <is>
          <t>Giữ</t>
        </is>
      </c>
      <c r="F552" s="39" t="n"/>
      <c r="G552" s="39" t="inlineStr">
        <is>
          <t>Hợp với cỡ xe.</t>
        </is>
      </c>
      <c r="H552" s="39" t="n"/>
    </row>
    <row r="553" ht="32.25" customHeight="1" s="32">
      <c r="A553" s="41" t="inlineStr">
        <is>
          <t>attack_jet</t>
        </is>
      </c>
      <c r="B553" s="41" t="inlineStr">
        <is>
          <t>Máy bay cường kích</t>
        </is>
      </c>
      <c r="C553" s="41" t="inlineStr">
        <is>
          <t>Tham khảo / model</t>
        </is>
      </c>
      <c r="D553" s="41" t="inlineStr">
        <is>
          <t>Su-25 Frogfoot, A-10 Thunderbolt II (model tank_buster), GSh-30-2 30 mm — Máy bay cường kí</t>
        </is>
      </c>
      <c r="E553" s="49" t="inlineStr">
        <is>
          <t>Giữ</t>
        </is>
      </c>
      <c r="F553" s="41" t="n"/>
      <c r="G553" s="41" t="inlineStr">
        <is>
          <t>Khớp vũ khí và vai trò.</t>
        </is>
      </c>
      <c r="H553" s="41" t="n"/>
    </row>
    <row r="554" ht="21.75" customHeight="1" s="32">
      <c r="A554" s="39" t="inlineStr">
        <is>
          <t>stealth_bomber</t>
        </is>
      </c>
      <c r="B554" s="39" t="inlineStr">
        <is>
          <t>Máy bay ném bom tàng hình</t>
        </is>
      </c>
      <c r="C554" s="39" t="inlineStr">
        <is>
          <t>Tên</t>
        </is>
      </c>
      <c r="D554" s="39" t="inlineStr">
        <is>
          <t>Máy bay ném bom tàng hình</t>
        </is>
      </c>
      <c r="E554" s="47" t="inlineStr">
        <is>
          <t>Đổi</t>
        </is>
      </c>
      <c r="F554" s="39" t="inlineStr">
        <is>
          <t>Oanh tạc cơ tàng hình · ngắn: OTC tàng hình · EN: Stealth Bomber</t>
        </is>
      </c>
      <c r="G554" s="39" t="inlineStr">
        <is>
          <t>Thống nhất gốc "oanh tạc cơ" với Oanh tạc cơ.</t>
        </is>
      </c>
      <c r="H554" s="49" t="inlineStr">
        <is>
          <t>Thấp</t>
        </is>
      </c>
    </row>
    <row r="555" ht="15" customHeight="1" s="32">
      <c r="A555" s="41" t="inlineStr">
        <is>
          <t>stealth_bomber</t>
        </is>
      </c>
      <c r="B555" s="41" t="inlineStr">
        <is>
          <t>Máy bay ném bom tàng hình</t>
        </is>
      </c>
      <c r="C555" s="41" t="inlineStr">
        <is>
          <t>Máu</t>
        </is>
      </c>
      <c r="D555" s="43" t="n">
        <v>1980</v>
      </c>
      <c r="E555" s="49" t="inlineStr">
        <is>
          <t>Giữ</t>
        </is>
      </c>
      <c r="F555" s="41" t="n"/>
      <c r="G555" s="41" t="inlineStr">
        <is>
          <t>Máu/CP 0.94 × trung vị lớp Máy bay.</t>
        </is>
      </c>
      <c r="H555" s="41" t="n"/>
    </row>
    <row r="556" ht="15" customHeight="1" s="32">
      <c r="A556" s="39" t="inlineStr">
        <is>
          <t>stealth_bomber</t>
        </is>
      </c>
      <c r="B556" s="39" t="inlineStr">
        <is>
          <t>Máy bay ném bom tàng hình</t>
        </is>
      </c>
      <c r="C556" s="39" t="inlineStr">
        <is>
          <t>Giáp (T/H/S/N)</t>
        </is>
      </c>
      <c r="D556" s="39" t="inlineStr">
        <is>
          <t>cấp 0 (Không giáp)</t>
        </is>
      </c>
      <c r="E556" s="49" t="inlineStr">
        <is>
          <t>Giữ</t>
        </is>
      </c>
      <c r="F556" s="39" t="n"/>
      <c r="G556" s="39" t="inlineStr">
        <is>
          <t>Khớp mẫu thật theo thang 0–4.</t>
        </is>
      </c>
      <c r="H556" s="39" t="n"/>
    </row>
    <row r="557" ht="15" customHeight="1" s="32">
      <c r="A557" s="41" t="inlineStr">
        <is>
          <t>stealth_bomber</t>
        </is>
      </c>
      <c r="B557" s="41" t="inlineStr">
        <is>
          <t>Máy bay ném bom tàng hình</t>
        </is>
      </c>
      <c r="C557" s="41" t="inlineStr">
        <is>
          <t>Tốc độ</t>
        </is>
      </c>
      <c r="D557" s="43" t="n">
        <v>28</v>
      </c>
      <c r="E557" s="49" t="inlineStr">
        <is>
          <t>Giữ</t>
        </is>
      </c>
      <c r="F557" s="41" t="n"/>
      <c r="G557" s="41" t="inlineStr">
        <is>
          <t>Gần tốc độ thật × hệ số nén (40.0).</t>
        </is>
      </c>
      <c r="H557" s="41" t="n"/>
    </row>
    <row r="558" ht="15" customHeight="1" s="32">
      <c r="A558" s="39" t="inlineStr">
        <is>
          <t>stealth_bomber</t>
        </is>
      </c>
      <c r="B558" s="39" t="inlineStr">
        <is>
          <t>Máy bay ném bom tàng hình</t>
        </is>
      </c>
      <c r="C558" s="39" t="inlineStr">
        <is>
          <t>Kích thước model (dài × rộng × cao)</t>
        </is>
      </c>
      <c r="D558" s="39" t="inlineStr">
        <is>
          <t>7.0 × 17.6 × 2.0</t>
        </is>
      </c>
      <c r="E558" s="49" t="inlineStr">
        <is>
          <t>Giữ</t>
        </is>
      </c>
      <c r="F558" s="39" t="n"/>
      <c r="G558" s="39" t="inlineStr">
        <is>
          <t>Khớp tỷ lệ chung (mẫu thật 21.0 m).</t>
        </is>
      </c>
      <c r="H558" s="39" t="n"/>
    </row>
    <row r="559" ht="15" customHeight="1" s="32">
      <c r="A559" s="41" t="inlineStr">
        <is>
          <t>stealth_bomber</t>
        </is>
      </c>
      <c r="B559" s="41" t="inlineStr">
        <is>
          <t>Máy bay ném bom tàng hình</t>
        </is>
      </c>
      <c r="C559" s="41" t="inlineStr">
        <is>
          <t>Tầm nhìn</t>
        </is>
      </c>
      <c r="D559" s="43" t="n">
        <v>60</v>
      </c>
      <c r="E559" s="49" t="inlineStr">
        <is>
          <t>Giữ</t>
        </is>
      </c>
      <c r="F559" s="41" t="n"/>
      <c r="G559" s="41" t="inlineStr">
        <is>
          <t>Khớp vai trò.</t>
        </is>
      </c>
      <c r="H559" s="41" t="n"/>
    </row>
    <row r="560" ht="15" customHeight="1" s="32">
      <c r="A560" s="39" t="inlineStr">
        <is>
          <t>stealth_bomber</t>
        </is>
      </c>
      <c r="B560" s="39" t="inlineStr">
        <is>
          <t>Máy bay ném bom tàng hình</t>
        </is>
      </c>
      <c r="C560" s="39" t="inlineStr">
        <is>
          <t>Tầm bắn</t>
        </is>
      </c>
      <c r="D560" s="39" t="inlineStr">
        <is>
          <t>90</t>
        </is>
      </c>
      <c r="E560" s="49" t="inlineStr">
        <is>
          <t>Giữ</t>
        </is>
      </c>
      <c r="F560" s="39" t="n"/>
      <c r="G560" s="39" t="inlineStr">
        <is>
          <t>Thứ tự tầm hợp lý trong nhóm.</t>
        </is>
      </c>
      <c r="H560" s="39" t="n"/>
    </row>
    <row r="561" ht="21.75" customHeight="1" s="32">
      <c r="A561" s="41" t="inlineStr">
        <is>
          <t>stealth_bomber</t>
        </is>
      </c>
      <c r="B561" s="41" t="inlineStr">
        <is>
          <t>Máy bay ném bom tàng hình</t>
        </is>
      </c>
      <c r="C561" s="41" t="inlineStr">
        <is>
          <t>Giá (CP)</t>
        </is>
      </c>
      <c r="D561" s="43" t="n">
        <v>18</v>
      </c>
      <c r="E561" s="47" t="inlineStr">
        <is>
          <t>Đổi</t>
        </is>
      </c>
      <c r="F561" s="41" t="inlineStr">
        <is>
          <t>21 CP</t>
        </is>
      </c>
      <c r="G561" s="41" t="inlineStr">
        <is>
          <t>Máy bay ném bom tàng hình đắt nhất thế giới lại rẻ hơn B-52; hiệu quả sau đổi giá vẫn gần trung vị.</t>
        </is>
      </c>
      <c r="H561" s="48" t="inlineStr">
        <is>
          <t>Trung</t>
        </is>
      </c>
    </row>
    <row r="562" ht="15" customHeight="1" s="32">
      <c r="A562" s="39" t="inlineStr">
        <is>
          <t>stealth_bomber</t>
        </is>
      </c>
      <c r="B562" s="39" t="inlineStr">
        <is>
          <t>Máy bay ném bom tàng hình</t>
        </is>
      </c>
      <c r="C562" s="39" t="inlineStr">
        <is>
          <t>Vũ khí: JASSM</t>
        </is>
      </c>
      <c r="D562" s="39" t="inlineStr">
        <is>
          <t>nổ lan 5 m · tốc độ 17</t>
        </is>
      </c>
      <c r="E562" s="47" t="inlineStr">
        <is>
          <t>Đổi</t>
        </is>
      </c>
      <c r="F562" s="39" t="inlineStr">
        <is>
          <t>nổ lan 9 m · tốc độ 20 (bay 4,5 s, đủ để bị đánh chặn)</t>
        </is>
      </c>
      <c r="G562" s="39" t="inlineStr">
        <is>
          <t>Đầu nổ 450 kg đang nổ nhỏ hơn bom 250 kg.</t>
        </is>
      </c>
      <c r="H562" s="48" t="inlineStr">
        <is>
          <t>Trung</t>
        </is>
      </c>
    </row>
    <row r="563" ht="32.25" customHeight="1" s="32">
      <c r="A563" s="41" t="inlineStr">
        <is>
          <t>stealth_bomber</t>
        </is>
      </c>
      <c r="B563" s="41" t="inlineStr">
        <is>
          <t>Máy bay ném bom tàng hình</t>
        </is>
      </c>
      <c r="C563" s="41" t="inlineStr">
        <is>
          <t>Hành vi</t>
        </is>
      </c>
      <c r="D563" s="41" t="inlineStr">
        <is>
          <t>Bay qua mục tiêu và thả bom theo lượt; Sau mỗi lượt nó vòng lại và vào lượt mới;</t>
        </is>
      </c>
      <c r="E563" s="49" t="inlineStr">
        <is>
          <t>Giữ</t>
        </is>
      </c>
      <c r="F563" s="41" t="n"/>
      <c r="G563" s="41" t="inlineStr">
        <is>
          <t>Hợp vai trò.</t>
        </is>
      </c>
      <c r="H563" s="41" t="n"/>
    </row>
    <row r="564" ht="15" customHeight="1" s="32">
      <c r="A564" s="39" t="inlineStr">
        <is>
          <t>stealth_bomber</t>
        </is>
      </c>
      <c r="B564" s="39" t="inlineStr">
        <is>
          <t>Máy bay ném bom tàng hình</t>
        </is>
      </c>
      <c r="C564" s="39" t="inlineStr">
        <is>
          <t>Nổ khi bị phá (bán kính)</t>
        </is>
      </c>
      <c r="D564" s="39" t="inlineStr">
        <is>
          <t>9 m · 300 sát thương</t>
        </is>
      </c>
      <c r="E564" s="49" t="inlineStr">
        <is>
          <t>Giữ</t>
        </is>
      </c>
      <c r="F564" s="39" t="n"/>
      <c r="G564" s="39" t="inlineStr">
        <is>
          <t>Hợp với cỡ xe.</t>
        </is>
      </c>
      <c r="H564" s="39" t="n"/>
    </row>
    <row r="565" ht="32.25" customHeight="1" s="32">
      <c r="A565" s="41" t="inlineStr">
        <is>
          <t>stealth_bomber</t>
        </is>
      </c>
      <c r="B565" s="41" t="inlineStr">
        <is>
          <t>Máy bay ném bom tàng hình</t>
        </is>
      </c>
      <c r="C565" s="41" t="inlineStr">
        <is>
          <t>Tham khảo / model</t>
        </is>
      </c>
      <c r="D565" s="41" t="inlineStr">
        <is>
          <t>B-2 Spirit, GBU-31 JDAM, AGM-158 JASSM — Máy bay ném bom tàng hình cánh bay</t>
        </is>
      </c>
      <c r="E565" s="49" t="inlineStr">
        <is>
          <t>Giữ</t>
        </is>
      </c>
      <c r="F565" s="41" t="n"/>
      <c r="G565" s="41" t="inlineStr">
        <is>
          <t>Khớp vũ khí và vai trò.</t>
        </is>
      </c>
      <c r="H565" s="41" t="n"/>
    </row>
    <row r="566" ht="21.75" customHeight="1" s="32">
      <c r="A566" s="39" t="inlineStr">
        <is>
          <t>heavy_bomber</t>
        </is>
      </c>
      <c r="B566" s="39" t="inlineStr">
        <is>
          <t>Oanh tạc cơ hạng nặng</t>
        </is>
      </c>
      <c r="C566" s="39" t="inlineStr">
        <is>
          <t>Tên</t>
        </is>
      </c>
      <c r="D566" s="39" t="inlineStr">
        <is>
          <t>Oanh tạc cơ hạng nặng</t>
        </is>
      </c>
      <c r="E566" s="47" t="inlineStr">
        <is>
          <t>Đổi</t>
        </is>
      </c>
      <c r="F566" s="39" t="inlineStr">
        <is>
          <t>Oanh tạc cơ chiến lược · ngắn: Oanh tạc cơ · EN: Strategic Bomber</t>
        </is>
      </c>
      <c r="G566" s="39" t="inlineStr">
        <is>
          <t>"Chiến lược" đúng phân loại B-52.</t>
        </is>
      </c>
      <c r="H566" s="49" t="inlineStr">
        <is>
          <t>Thấp</t>
        </is>
      </c>
    </row>
    <row r="567" ht="15" customHeight="1" s="32">
      <c r="A567" s="41" t="inlineStr">
        <is>
          <t>heavy_bomber</t>
        </is>
      </c>
      <c r="B567" s="41" t="inlineStr">
        <is>
          <t>Oanh tạc cơ hạng nặng</t>
        </is>
      </c>
      <c r="C567" s="41" t="inlineStr">
        <is>
          <t>Máu</t>
        </is>
      </c>
      <c r="D567" s="43" t="n">
        <v>3300</v>
      </c>
      <c r="E567" s="49" t="inlineStr">
        <is>
          <t>Giữ</t>
        </is>
      </c>
      <c r="F567" s="41" t="n"/>
      <c r="G567" s="41" t="inlineStr">
        <is>
          <t>Máu/CP 1.28 × trung vị lớp Máy bay.</t>
        </is>
      </c>
      <c r="H567" s="41" t="n"/>
    </row>
    <row r="568" ht="15" customHeight="1" s="32">
      <c r="A568" s="39" t="inlineStr">
        <is>
          <t>heavy_bomber</t>
        </is>
      </c>
      <c r="B568" s="39" t="inlineStr">
        <is>
          <t>Oanh tạc cơ hạng nặng</t>
        </is>
      </c>
      <c r="C568" s="39" t="inlineStr">
        <is>
          <t>Giáp (T/H/S/N)</t>
        </is>
      </c>
      <c r="D568" s="39" t="inlineStr">
        <is>
          <t>cấp 0 (Không giáp)</t>
        </is>
      </c>
      <c r="E568" s="49" t="inlineStr">
        <is>
          <t>Giữ</t>
        </is>
      </c>
      <c r="F568" s="39" t="n"/>
      <c r="G568" s="39" t="inlineStr">
        <is>
          <t>Khớp mẫu thật theo thang 0–4.</t>
        </is>
      </c>
      <c r="H568" s="39" t="n"/>
    </row>
    <row r="569" ht="15" customHeight="1" s="32">
      <c r="A569" s="41" t="inlineStr">
        <is>
          <t>heavy_bomber</t>
        </is>
      </c>
      <c r="B569" s="41" t="inlineStr">
        <is>
          <t>Oanh tạc cơ hạng nặng</t>
        </is>
      </c>
      <c r="C569" s="41" t="inlineStr">
        <is>
          <t>Tốc độ</t>
        </is>
      </c>
      <c r="D569" s="43" t="n">
        <v>22</v>
      </c>
      <c r="E569" s="49" t="inlineStr">
        <is>
          <t>Giữ</t>
        </is>
      </c>
      <c r="F569" s="41" t="n"/>
      <c r="G569" s="41" t="inlineStr">
        <is>
          <t>Oanh tạc cơ thật gần nhanh như tiêm kích, nhưng giữ chậm để phòng không có cơ hội: giữ.</t>
        </is>
      </c>
      <c r="H569" s="41" t="n"/>
    </row>
    <row r="570" ht="15" customHeight="1" s="32">
      <c r="A570" s="39" t="inlineStr">
        <is>
          <t>heavy_bomber</t>
        </is>
      </c>
      <c r="B570" s="39" t="inlineStr">
        <is>
          <t>Oanh tạc cơ hạng nặng</t>
        </is>
      </c>
      <c r="C570" s="39" t="inlineStr">
        <is>
          <t>Kích thước model (dài × rộng × cao)</t>
        </is>
      </c>
      <c r="D570" s="39" t="inlineStr">
        <is>
          <t>17.9 × 18.7 × 6.1</t>
        </is>
      </c>
      <c r="E570" s="49" t="inlineStr">
        <is>
          <t>Giữ</t>
        </is>
      </c>
      <c r="F570" s="39" t="n"/>
      <c r="G570" s="39" t="inlineStr">
        <is>
          <t>Khớp tỷ lệ chung (mẫu thật 48.5 m).</t>
        </is>
      </c>
      <c r="H570" s="39" t="n"/>
    </row>
    <row r="571" ht="15" customHeight="1" s="32">
      <c r="A571" s="41" t="inlineStr">
        <is>
          <t>heavy_bomber</t>
        </is>
      </c>
      <c r="B571" s="41" t="inlineStr">
        <is>
          <t>Oanh tạc cơ hạng nặng</t>
        </is>
      </c>
      <c r="C571" s="41" t="inlineStr">
        <is>
          <t>Tầm nhìn</t>
        </is>
      </c>
      <c r="D571" s="43" t="n">
        <v>50</v>
      </c>
      <c r="E571" s="49" t="inlineStr">
        <is>
          <t>Giữ</t>
        </is>
      </c>
      <c r="F571" s="41" t="n"/>
      <c r="G571" s="41" t="inlineStr">
        <is>
          <t>Khớp vai trò.</t>
        </is>
      </c>
      <c r="H571" s="41" t="n"/>
    </row>
    <row r="572" ht="15" customHeight="1" s="32">
      <c r="A572" s="39" t="inlineStr">
        <is>
          <t>heavy_bomber</t>
        </is>
      </c>
      <c r="B572" s="39" t="inlineStr">
        <is>
          <t>Oanh tạc cơ hạng nặng</t>
        </is>
      </c>
      <c r="C572" s="39" t="inlineStr">
        <is>
          <t>Tầm bắn</t>
        </is>
      </c>
      <c r="D572" s="39" t="inlineStr">
        <is>
          <t>110</t>
        </is>
      </c>
      <c r="E572" s="49" t="inlineStr">
        <is>
          <t>Giữ</t>
        </is>
      </c>
      <c r="F572" s="39" t="n"/>
      <c r="G572" s="39" t="inlineStr">
        <is>
          <t>Thứ tự tầm hợp lý trong nhóm.</t>
        </is>
      </c>
      <c r="H572" s="39" t="n"/>
    </row>
    <row r="573" ht="15" customHeight="1" s="32">
      <c r="A573" s="41" t="inlineStr">
        <is>
          <t>heavy_bomber</t>
        </is>
      </c>
      <c r="B573" s="41" t="inlineStr">
        <is>
          <t>Oanh tạc cơ hạng nặng</t>
        </is>
      </c>
      <c r="C573" s="41" t="inlineStr">
        <is>
          <t>Giá (CP)</t>
        </is>
      </c>
      <c r="D573" s="43" t="n">
        <v>22</v>
      </c>
      <c r="E573" s="49" t="inlineStr">
        <is>
          <t>Giữ</t>
        </is>
      </c>
      <c r="F573" s="41" t="n"/>
      <c r="G573" s="41" t="inlineStr">
        <is>
          <t>Hiệu quả trong khoảng ±25% trung vị, thứ tự giá hợp ngoài đời (sheet Giá CP).</t>
        </is>
      </c>
      <c r="H573" s="41" t="n"/>
    </row>
    <row r="574" ht="15" customHeight="1" s="32">
      <c r="A574" s="39" t="inlineStr">
        <is>
          <t>heavy_bomber</t>
        </is>
      </c>
      <c r="B574" s="39" t="inlineStr">
        <is>
          <t>Oanh tạc cơ hạng nặng</t>
        </is>
      </c>
      <c r="C574" s="39" t="inlineStr">
        <is>
          <t>Vũ khí: Kh-101</t>
        </is>
      </c>
      <c r="D574" s="39" t="inlineStr">
        <is>
          <t>nổ lan 6 m · tốc độ 17</t>
        </is>
      </c>
      <c r="E574" s="47" t="inlineStr">
        <is>
          <t>Đổi</t>
        </is>
      </c>
      <c r="F574" s="39" t="inlineStr">
        <is>
          <t>nổ lan 9 m · tốc độ 22 (bay 5 s)</t>
        </is>
      </c>
      <c r="G574" s="39" t="inlineStr">
        <is>
          <t>Như JASSM.</t>
        </is>
      </c>
      <c r="H574" s="48" t="inlineStr">
        <is>
          <t>Trung</t>
        </is>
      </c>
    </row>
    <row r="575" ht="15" customHeight="1" s="32">
      <c r="A575" s="41" t="inlineStr">
        <is>
          <t>heavy_bomber</t>
        </is>
      </c>
      <c r="B575" s="41" t="inlineStr">
        <is>
          <t>Oanh tạc cơ hạng nặng</t>
        </is>
      </c>
      <c r="C575" s="41" t="inlineStr">
        <is>
          <t>Vũ khí: FAB-500</t>
        </is>
      </c>
      <c r="D575" s="41" t="inlineStr">
        <is>
          <t>9 quả mỗi lượt</t>
        </is>
      </c>
      <c r="E575" s="47" t="inlineStr">
        <is>
          <t>Đổi</t>
        </is>
      </c>
      <c r="F575" s="41" t="inlineStr">
        <is>
          <t>7 quả mỗi lượt</t>
        </is>
      </c>
      <c r="G575" s="41" t="inlineStr">
        <is>
          <t>Lần cân bằng 2: vẫn mạnh hơn trung vị máy bay cả khi đo DPS và giá trị thực chiến.</t>
        </is>
      </c>
      <c r="H575" s="48" t="inlineStr">
        <is>
          <t>Trung</t>
        </is>
      </c>
    </row>
    <row r="576" ht="32.25" customHeight="1" s="32">
      <c r="A576" s="39" t="inlineStr">
        <is>
          <t>heavy_bomber</t>
        </is>
      </c>
      <c r="B576" s="39" t="inlineStr">
        <is>
          <t>Oanh tạc cơ hạng nặng</t>
        </is>
      </c>
      <c r="C576" s="39" t="inlineStr">
        <is>
          <t>Hành vi</t>
        </is>
      </c>
      <c r="D576" s="39" t="inlineStr">
        <is>
          <t>Bay qua mục tiêu và thả bom theo lượt; Sau mỗi lượt nó vòng lại và vào lượt mới;</t>
        </is>
      </c>
      <c r="E576" s="49" t="inlineStr">
        <is>
          <t>Giữ</t>
        </is>
      </c>
      <c r="F576" s="39" t="n"/>
      <c r="G576" s="39" t="inlineStr">
        <is>
          <t>Hợp vai trò.</t>
        </is>
      </c>
      <c r="H576" s="39" t="n"/>
    </row>
    <row r="577" ht="15" customHeight="1" s="32">
      <c r="A577" s="41" t="inlineStr">
        <is>
          <t>heavy_bomber</t>
        </is>
      </c>
      <c r="B577" s="41" t="inlineStr">
        <is>
          <t>Oanh tạc cơ hạng nặng</t>
        </is>
      </c>
      <c r="C577" s="41" t="inlineStr">
        <is>
          <t>Nổ khi bị phá (bán kính)</t>
        </is>
      </c>
      <c r="D577" s="41" t="inlineStr">
        <is>
          <t>10 m · 400 sát thương</t>
        </is>
      </c>
      <c r="E577" s="49" t="inlineStr">
        <is>
          <t>Giữ</t>
        </is>
      </c>
      <c r="F577" s="41" t="n"/>
      <c r="G577" s="41" t="inlineStr">
        <is>
          <t>Hợp với cỡ xe.</t>
        </is>
      </c>
      <c r="H577" s="41" t="n"/>
    </row>
    <row r="578" ht="32.25" customHeight="1" s="32">
      <c r="A578" s="39" t="inlineStr">
        <is>
          <t>heavy_bomber</t>
        </is>
      </c>
      <c r="B578" s="39" t="inlineStr">
        <is>
          <t>Oanh tạc cơ hạng nặng</t>
        </is>
      </c>
      <c r="C578" s="39" t="inlineStr">
        <is>
          <t>Tham khảo / model</t>
        </is>
      </c>
      <c r="D578" s="39" t="inlineStr">
        <is>
          <t>B-52 Stratofortress, FAB-500, Kh-101 — Máy bay ném bom chiến lược tám động cơ</t>
        </is>
      </c>
      <c r="E578" s="49" t="inlineStr">
        <is>
          <t>Giữ</t>
        </is>
      </c>
      <c r="F578" s="39" t="n"/>
      <c r="G578" s="39" t="inlineStr">
        <is>
          <t>Khớp vũ khí và vai trò.</t>
        </is>
      </c>
      <c r="H578" s="39" t="n"/>
    </row>
    <row r="579" ht="15" customHeight="1" s="32">
      <c r="A579" s="41" t="inlineStr">
        <is>
          <t>sky_gunship</t>
        </is>
      </c>
      <c r="B579" s="41" t="inlineStr">
        <is>
          <t>Pháo hạm AC-130</t>
        </is>
      </c>
      <c r="C579" s="41" t="inlineStr">
        <is>
          <t>Tên</t>
        </is>
      </c>
      <c r="D579" s="41" t="inlineStr">
        <is>
          <t>Pháo hạm AC-130</t>
        </is>
      </c>
      <c r="E579" s="47" t="inlineStr">
        <is>
          <t>Đổi</t>
        </is>
      </c>
      <c r="F579" s="41" t="inlineStr">
        <is>
          <t>Pháo hạm bay · ngắn: Pháo hạm · EN: Airborne Gunship</t>
        </is>
      </c>
      <c r="G579" s="41" t="inlineStr">
        <is>
          <t>Bỏ tên thật "AC-130" khỏi tên thẻ (đưa vào dòng phụ).</t>
        </is>
      </c>
      <c r="H579" s="49" t="inlineStr">
        <is>
          <t>Thấp</t>
        </is>
      </c>
    </row>
    <row r="580" ht="21.75" customHeight="1" s="32">
      <c r="A580" s="39" t="inlineStr">
        <is>
          <t>sky_gunship</t>
        </is>
      </c>
      <c r="B580" s="39" t="inlineStr">
        <is>
          <t>Pháo hạm AC-130</t>
        </is>
      </c>
      <c r="C580" s="39" t="inlineStr">
        <is>
          <t>Máu</t>
        </is>
      </c>
      <c r="D580" s="42" t="n">
        <v>4400</v>
      </c>
      <c r="E580" s="48" t="inlineStr">
        <is>
          <t>Xem lại</t>
        </is>
      </c>
      <c r="F580" s="39" t="inlineStr">
        <is>
          <t>Máu/CP gấp 1.7 lần trung vị lớp; giữ nếu đó là bản sắc (xe chịu đòn)</t>
        </is>
      </c>
      <c r="G580" s="39" t="inlineStr">
        <is>
          <t>Kiểm tra theo trung vị máu/CP của lớp.</t>
        </is>
      </c>
      <c r="H580" s="39" t="n"/>
    </row>
    <row r="581" ht="15" customHeight="1" s="32">
      <c r="A581" s="41" t="inlineStr">
        <is>
          <t>sky_gunship</t>
        </is>
      </c>
      <c r="B581" s="41" t="inlineStr">
        <is>
          <t>Pháo hạm AC-130</t>
        </is>
      </c>
      <c r="C581" s="41" t="inlineStr">
        <is>
          <t>Giáp (T/H/S/N)</t>
        </is>
      </c>
      <c r="D581" s="41" t="inlineStr">
        <is>
          <t>cấp 0 (Không giáp)</t>
        </is>
      </c>
      <c r="E581" s="49" t="inlineStr">
        <is>
          <t>Giữ</t>
        </is>
      </c>
      <c r="F581" s="41" t="n"/>
      <c r="G581" s="41" t="inlineStr">
        <is>
          <t>Khớp mẫu thật theo thang 0–4.</t>
        </is>
      </c>
      <c r="H581" s="41" t="n"/>
    </row>
    <row r="582" ht="15" customHeight="1" s="32">
      <c r="A582" s="39" t="inlineStr">
        <is>
          <t>sky_gunship</t>
        </is>
      </c>
      <c r="B582" s="39" t="inlineStr">
        <is>
          <t>Pháo hạm AC-130</t>
        </is>
      </c>
      <c r="C582" s="39" t="inlineStr">
        <is>
          <t>Tốc độ</t>
        </is>
      </c>
      <c r="D582" s="42" t="n">
        <v>16</v>
      </c>
      <c r="E582" s="49" t="inlineStr">
        <is>
          <t>Giữ</t>
        </is>
      </c>
      <c r="F582" s="39" t="n"/>
      <c r="G582" s="39" t="inlineStr">
        <is>
          <t>Gần tốc độ thật × hệ số nén (21.3).</t>
        </is>
      </c>
      <c r="H582" s="39" t="n"/>
    </row>
    <row r="583" ht="15" customHeight="1" s="32">
      <c r="A583" s="41" t="inlineStr">
        <is>
          <t>sky_gunship</t>
        </is>
      </c>
      <c r="B583" s="41" t="inlineStr">
        <is>
          <t>Pháo hạm AC-130</t>
        </is>
      </c>
      <c r="C583" s="41" t="inlineStr">
        <is>
          <t>Kích thước model (dài × rộng × cao)</t>
        </is>
      </c>
      <c r="D583" s="41" t="inlineStr">
        <is>
          <t>12.2 × 15.4 × 5.0</t>
        </is>
      </c>
      <c r="E583" s="49" t="inlineStr">
        <is>
          <t>Giữ</t>
        </is>
      </c>
      <c r="F583" s="41" t="n"/>
      <c r="G583" s="41" t="inlineStr">
        <is>
          <t>Khớp tỷ lệ chung (mẫu thật 29.8 m).</t>
        </is>
      </c>
      <c r="H583" s="41" t="n"/>
    </row>
    <row r="584" ht="15" customHeight="1" s="32">
      <c r="A584" s="39" t="inlineStr">
        <is>
          <t>sky_gunship</t>
        </is>
      </c>
      <c r="B584" s="39" t="inlineStr">
        <is>
          <t>Pháo hạm AC-130</t>
        </is>
      </c>
      <c r="C584" s="39" t="inlineStr">
        <is>
          <t>Tầm nhìn</t>
        </is>
      </c>
      <c r="D584" s="42" t="n">
        <v>64</v>
      </c>
      <c r="E584" s="49" t="inlineStr">
        <is>
          <t>Giữ</t>
        </is>
      </c>
      <c r="F584" s="39" t="n"/>
      <c r="G584" s="39" t="inlineStr">
        <is>
          <t>Khớp vai trò.</t>
        </is>
      </c>
      <c r="H584" s="39" t="n"/>
    </row>
    <row r="585" ht="15" customHeight="1" s="32">
      <c r="A585" s="41" t="inlineStr">
        <is>
          <t>sky_gunship</t>
        </is>
      </c>
      <c r="B585" s="41" t="inlineStr">
        <is>
          <t>Pháo hạm AC-130</t>
        </is>
      </c>
      <c r="C585" s="41" t="inlineStr">
        <is>
          <t>Tầm bắn</t>
        </is>
      </c>
      <c r="D585" s="41" t="inlineStr">
        <is>
          <t>58</t>
        </is>
      </c>
      <c r="E585" s="49" t="inlineStr">
        <is>
          <t>Giữ</t>
        </is>
      </c>
      <c r="F585" s="41" t="n"/>
      <c r="G585" s="41" t="inlineStr">
        <is>
          <t>Thứ tự tầm hợp lý trong nhóm.</t>
        </is>
      </c>
      <c r="H585" s="41" t="n"/>
    </row>
    <row r="586" ht="15" customHeight="1" s="32">
      <c r="A586" s="39" t="inlineStr">
        <is>
          <t>sky_gunship</t>
        </is>
      </c>
      <c r="B586" s="39" t="inlineStr">
        <is>
          <t>Pháo hạm AC-130</t>
        </is>
      </c>
      <c r="C586" s="39" t="inlineStr">
        <is>
          <t>Giá (CP)</t>
        </is>
      </c>
      <c r="D586" s="42" t="n">
        <v>22</v>
      </c>
      <c r="E586" s="49" t="inlineStr">
        <is>
          <t>Giữ</t>
        </is>
      </c>
      <c r="F586" s="39" t="n"/>
      <c r="G586" s="39" t="inlineStr">
        <is>
          <t>Hiệu quả trong khoảng ±25% trung vị, thứ tự giá hợp ngoài đời (sheet Giá CP).</t>
        </is>
      </c>
      <c r="H586" s="39" t="n"/>
    </row>
    <row r="587" ht="15" customHeight="1" s="32">
      <c r="A587" s="41" t="inlineStr">
        <is>
          <t>sky_gunship</t>
        </is>
      </c>
      <c r="B587" s="41" t="inlineStr">
        <is>
          <t>Pháo hạm AC-130</t>
        </is>
      </c>
      <c r="C587" s="41" t="inlineStr">
        <is>
          <t>Vũ khí</t>
        </is>
      </c>
      <c r="D587" s="43" t="n">
        <v>3</v>
      </c>
      <c r="E587" s="49" t="inlineStr">
        <is>
          <t>Giữ</t>
        </is>
      </c>
      <c r="F587" s="41" t="n"/>
      <c r="G587" s="41" t="inlineStr">
        <is>
          <t>Bộ vũ khí khớp mẫu thật và vai trò.</t>
        </is>
      </c>
      <c r="H587" s="41" t="n"/>
    </row>
    <row r="588" ht="32.25" customHeight="1" s="32">
      <c r="A588" s="39" t="inlineStr">
        <is>
          <t>sky_gunship</t>
        </is>
      </c>
      <c r="B588" s="39" t="inlineStr">
        <is>
          <t>Pháo hạm AC-130</t>
        </is>
      </c>
      <c r="C588" s="39" t="inlineStr">
        <is>
          <t>Hành vi</t>
        </is>
      </c>
      <c r="D588" s="39" t="inlineStr">
        <is>
          <t>Bay vòng quanh mục tiêu, bắn từ mạn; Ưu tiên xe bọc thép nhẹ, xe tăng, pháo binh</t>
        </is>
      </c>
      <c r="E588" s="49" t="inlineStr">
        <is>
          <t>Giữ</t>
        </is>
      </c>
      <c r="F588" s="39" t="n"/>
      <c r="G588" s="39" t="inlineStr">
        <is>
          <t>Hợp vai trò.</t>
        </is>
      </c>
      <c r="H588" s="39" t="n"/>
    </row>
    <row r="589" ht="15" customHeight="1" s="32">
      <c r="A589" s="41" t="inlineStr">
        <is>
          <t>sky_gunship</t>
        </is>
      </c>
      <c r="B589" s="41" t="inlineStr">
        <is>
          <t>Pháo hạm AC-130</t>
        </is>
      </c>
      <c r="C589" s="41" t="inlineStr">
        <is>
          <t>Nổ khi bị phá (bán kính)</t>
        </is>
      </c>
      <c r="D589" s="41" t="inlineStr">
        <is>
          <t>11 m · 440 sát thương</t>
        </is>
      </c>
      <c r="E589" s="49" t="inlineStr">
        <is>
          <t>Giữ</t>
        </is>
      </c>
      <c r="F589" s="41" t="n"/>
      <c r="G589" s="41" t="inlineStr">
        <is>
          <t>Hợp với cỡ xe.</t>
        </is>
      </c>
      <c r="H589" s="41" t="n"/>
    </row>
    <row r="590" ht="32.25" customHeight="1" s="32">
      <c r="A590" s="39" t="inlineStr">
        <is>
          <t>sky_gunship</t>
        </is>
      </c>
      <c r="B590" s="39" t="inlineStr">
        <is>
          <t>Pháo hạm AC-130</t>
        </is>
      </c>
      <c r="C590" s="39" t="inlineStr">
        <is>
          <t>Tham khảo / model</t>
        </is>
      </c>
      <c r="D590" s="39" t="inlineStr">
        <is>
          <t>AC-130U Spooky (M102 105 mm, Bofors 40 mm, GAU-12 25 mm) — Pháo hạm bay bắn sang trái, dàn</t>
        </is>
      </c>
      <c r="E590" s="49" t="inlineStr">
        <is>
          <t>Giữ</t>
        </is>
      </c>
      <c r="F590" s="39" t="n"/>
      <c r="G590" s="39" t="inlineStr">
        <is>
          <t>Khớp vũ khí và vai trò.</t>
        </is>
      </c>
      <c r="H590" s="39" t="n"/>
    </row>
    <row r="591" ht="21.75" customHeight="1" s="32">
      <c r="A591" s="41"/>
      <c r="B591" s="41"/>
      <c r="C591" s="41"/>
      <c r="D591" s="41"/>
      <c r="E591" s="47"/>
      <c r="F591" s="41"/>
      <c r="G591" s="41"/>
      <c r="H591" s="49"/>
    </row>
    <row r="592" ht="15" customHeight="1" s="32">
      <c r="A592" s="39"/>
      <c r="B592" s="39"/>
      <c r="C592" s="39"/>
      <c r="D592" s="42"/>
      <c r="E592" s="49"/>
      <c r="F592" s="39"/>
      <c r="G592" s="39"/>
      <c r="H592" s="39"/>
    </row>
    <row r="593" ht="15" customHeight="1" s="32">
      <c r="A593" s="41"/>
      <c r="B593" s="41"/>
      <c r="C593" s="41"/>
      <c r="D593" s="41"/>
      <c r="E593" s="49"/>
      <c r="F593" s="41"/>
      <c r="G593" s="41"/>
      <c r="H593" s="41"/>
    </row>
    <row r="594" ht="15" customHeight="1" s="32">
      <c r="A594" s="39"/>
      <c r="B594" s="39"/>
      <c r="C594" s="39"/>
      <c r="D594" s="42"/>
      <c r="E594" s="49"/>
      <c r="F594" s="39"/>
      <c r="G594" s="39"/>
      <c r="H594" s="39"/>
    </row>
    <row r="595" ht="15" customHeight="1" s="32">
      <c r="A595" s="41"/>
      <c r="B595" s="41"/>
      <c r="C595" s="41"/>
      <c r="D595" s="41"/>
      <c r="E595" s="49"/>
      <c r="F595" s="41"/>
      <c r="G595" s="41"/>
      <c r="H595" s="41"/>
    </row>
    <row r="596" ht="15" customHeight="1" s="32">
      <c r="A596" s="39"/>
      <c r="B596" s="39"/>
      <c r="C596" s="39"/>
      <c r="D596" s="39"/>
      <c r="E596" s="49"/>
      <c r="F596" s="39"/>
      <c r="G596" s="39"/>
      <c r="H596" s="39"/>
    </row>
    <row r="597" ht="15" customHeight="1" s="32">
      <c r="A597" s="41"/>
      <c r="B597" s="41"/>
      <c r="C597" s="41"/>
      <c r="D597" s="43"/>
      <c r="E597" s="49"/>
      <c r="F597" s="41"/>
      <c r="G597" s="41"/>
      <c r="H597" s="41"/>
    </row>
    <row r="598" ht="15" customHeight="1" s="32">
      <c r="A598" s="39"/>
      <c r="B598" s="39"/>
      <c r="C598" s="39"/>
      <c r="D598" s="39"/>
      <c r="E598" s="49"/>
      <c r="F598" s="39"/>
      <c r="G598" s="39"/>
      <c r="H598" s="39"/>
    </row>
    <row r="599" ht="15" customHeight="1" s="32">
      <c r="A599" s="41"/>
      <c r="B599" s="41"/>
      <c r="C599" s="41"/>
      <c r="D599" s="43"/>
      <c r="E599" s="49"/>
      <c r="F599" s="41"/>
      <c r="G599" s="41"/>
      <c r="H599" s="41"/>
    </row>
    <row r="600" ht="15" customHeight="1" s="32">
      <c r="A600" s="39"/>
      <c r="B600" s="39"/>
      <c r="C600" s="39"/>
      <c r="D600" s="42"/>
      <c r="E600" s="49"/>
      <c r="F600" s="39"/>
      <c r="G600" s="39"/>
      <c r="H600" s="39"/>
    </row>
    <row r="601" ht="32.25" customHeight="1" s="32">
      <c r="A601" s="41"/>
      <c r="B601" s="41"/>
      <c r="C601" s="41"/>
      <c r="D601" s="41"/>
      <c r="E601" s="49"/>
      <c r="F601" s="41"/>
      <c r="G601" s="41"/>
      <c r="H601" s="41"/>
    </row>
    <row r="602" ht="15" customHeight="1" s="32">
      <c r="A602" s="39"/>
      <c r="B602" s="39"/>
      <c r="C602" s="39"/>
      <c r="D602" s="39"/>
      <c r="E602" s="49"/>
      <c r="F602" s="39"/>
      <c r="G602" s="39"/>
      <c r="H602" s="39"/>
    </row>
    <row r="603" ht="32.25" customHeight="1" s="32">
      <c r="A603" s="41"/>
      <c r="B603" s="41"/>
      <c r="C603" s="41"/>
      <c r="D603" s="41"/>
      <c r="E603" s="49"/>
      <c r="F603" s="41"/>
      <c r="G603" s="41"/>
      <c r="H603" s="41"/>
    </row>
    <row r="604" ht="15" customHeight="1" s="32">
      <c r="A604" s="39" t="inlineStr">
        <is>
          <t>armored_bulldozer</t>
        </is>
      </c>
      <c r="B604" s="39" t="inlineStr">
        <is>
          <t>Xe ủi bọc thép</t>
        </is>
      </c>
      <c r="C604" s="39" t="inlineStr">
        <is>
          <t>Tên</t>
        </is>
      </c>
      <c r="D604" s="39" t="inlineStr">
        <is>
          <t>Xe ủi bọc thép</t>
        </is>
      </c>
      <c r="E604" s="49" t="inlineStr">
        <is>
          <t>Giữ</t>
        </is>
      </c>
      <c r="F604" s="39" t="inlineStr">
        <is>
          <t>Xe ủi bọc thép · ngắn: Xe ủi · EN: Armored Bulldozer</t>
        </is>
      </c>
      <c r="G604" s="39" t="inlineStr">
        <is>
          <t>Giữ.</t>
        </is>
      </c>
      <c r="H604" s="39" t="n"/>
    </row>
    <row r="605" ht="15" customHeight="1" s="32">
      <c r="A605" s="41" t="inlineStr">
        <is>
          <t>armored_bulldozer</t>
        </is>
      </c>
      <c r="B605" s="41" t="inlineStr">
        <is>
          <t>Xe ủi bọc thép</t>
        </is>
      </c>
      <c r="C605" s="41" t="inlineStr">
        <is>
          <t>Máu</t>
        </is>
      </c>
      <c r="D605" s="43" t="n">
        <v>2860</v>
      </c>
      <c r="E605" s="49" t="inlineStr">
        <is>
          <t>Giữ</t>
        </is>
      </c>
      <c r="F605" s="41" t="n"/>
      <c r="G605" s="41" t="inlineStr">
        <is>
          <t>Máu/CP 1.26 × trung vị lớp Hạng nặng.</t>
        </is>
      </c>
      <c r="H605" s="41" t="n"/>
    </row>
    <row r="606" ht="15" customHeight="1" s="32">
      <c r="A606" s="39" t="inlineStr">
        <is>
          <t>armored_bulldozer</t>
        </is>
      </c>
      <c r="B606" s="39" t="inlineStr">
        <is>
          <t>Xe ủi bọc thép</t>
        </is>
      </c>
      <c r="C606" s="39" t="inlineStr">
        <is>
          <t>Giáp (T/H/S/N)</t>
        </is>
      </c>
      <c r="D606" s="39" t="inlineStr">
        <is>
          <t>3/3/2/2</t>
        </is>
      </c>
      <c r="E606" s="49" t="inlineStr">
        <is>
          <t>Giữ</t>
        </is>
      </c>
      <c r="F606" s="39" t="n"/>
      <c r="G606" s="39" t="inlineStr">
        <is>
          <t>Khớp mẫu thật theo thang 0–4.</t>
        </is>
      </c>
      <c r="H606" s="39" t="n"/>
    </row>
    <row r="607" ht="15" customHeight="1" s="32">
      <c r="A607" s="41" t="inlineStr">
        <is>
          <t>armored_bulldozer</t>
        </is>
      </c>
      <c r="B607" s="41" t="inlineStr">
        <is>
          <t>Xe ủi bọc thép</t>
        </is>
      </c>
      <c r="C607" s="41" t="inlineStr">
        <is>
          <t>Tốc độ</t>
        </is>
      </c>
      <c r="D607" s="43" t="n">
        <v>5</v>
      </c>
      <c r="E607" s="47" t="inlineStr">
        <is>
          <t>Đổi</t>
        </is>
      </c>
      <c r="F607" s="41" t="inlineStr">
        <is>
          <t>4 m/s</t>
        </is>
      </c>
      <c r="G607" s="41" t="inlineStr">
        <is>
          <t>D9R thật chỉ ~15 km/h; giữ nhanh hơn thực tế một chút để không kẹt nhịp.</t>
        </is>
      </c>
      <c r="H607" s="48" t="inlineStr">
        <is>
          <t>Trung</t>
        </is>
      </c>
    </row>
    <row r="608" ht="15" customHeight="1" s="32">
      <c r="A608" s="39" t="inlineStr">
        <is>
          <t>armored_bulldozer</t>
        </is>
      </c>
      <c r="B608" s="39" t="inlineStr">
        <is>
          <t>Xe ủi bọc thép</t>
        </is>
      </c>
      <c r="C608" s="39" t="inlineStr">
        <is>
          <t>Tốc độ xoay thân / tháp</t>
        </is>
      </c>
      <c r="D608" s="39" t="inlineStr">
        <is>
          <t>1 / 3</t>
        </is>
      </c>
      <c r="E608" s="49" t="inlineStr">
        <is>
          <t>Giữ</t>
        </is>
      </c>
      <c r="F608" s="39" t="n"/>
      <c r="G608" s="39" t="inlineStr">
        <is>
          <t>Hợp lý so với loại xe.</t>
        </is>
      </c>
      <c r="H608" s="39" t="n"/>
    </row>
    <row r="609" ht="15" customHeight="1" s="32">
      <c r="A609" s="41" t="inlineStr">
        <is>
          <t>armored_bulldozer</t>
        </is>
      </c>
      <c r="B609" s="41" t="inlineStr">
        <is>
          <t>Xe ủi bọc thép</t>
        </is>
      </c>
      <c r="C609" s="41" t="inlineStr">
        <is>
          <t>Kích thước model (dài × rộng × cao)</t>
        </is>
      </c>
      <c r="D609" s="41" t="inlineStr">
        <is>
          <t>6.7 × 3.7 × 4.8</t>
        </is>
      </c>
      <c r="E609" s="49" t="inlineStr">
        <is>
          <t>Giữ</t>
        </is>
      </c>
      <c r="F609" s="41" t="n"/>
      <c r="G609" s="41" t="inlineStr">
        <is>
          <t>Khớp tỷ lệ chung (mẫu thật 8.1 m).</t>
        </is>
      </c>
      <c r="H609" s="41" t="n"/>
    </row>
    <row r="610" ht="15" customHeight="1" s="32">
      <c r="A610" s="39" t="inlineStr">
        <is>
          <t>armored_bulldozer</t>
        </is>
      </c>
      <c r="B610" s="39" t="inlineStr">
        <is>
          <t>Xe ủi bọc thép</t>
        </is>
      </c>
      <c r="C610" s="39" t="inlineStr">
        <is>
          <t>Tầm nhìn</t>
        </is>
      </c>
      <c r="D610" s="42" t="n">
        <v>30</v>
      </c>
      <c r="E610" s="49" t="inlineStr">
        <is>
          <t>Giữ</t>
        </is>
      </c>
      <c r="F610" s="39" t="n"/>
      <c r="G610" s="39" t="inlineStr">
        <is>
          <t>Khớp vai trò.</t>
        </is>
      </c>
      <c r="H610" s="39" t="n"/>
    </row>
    <row r="611" ht="15" customHeight="1" s="32">
      <c r="A611" s="41" t="inlineStr">
        <is>
          <t>armored_bulldozer</t>
        </is>
      </c>
      <c r="B611" s="41" t="inlineStr">
        <is>
          <t>Xe ủi bọc thép</t>
        </is>
      </c>
      <c r="C611" s="41" t="inlineStr">
        <is>
          <t>Tầm bắn</t>
        </is>
      </c>
      <c r="D611" s="41" t="inlineStr">
        <is>
          <t>30</t>
        </is>
      </c>
      <c r="E611" s="49" t="inlineStr">
        <is>
          <t>Giữ</t>
        </is>
      </c>
      <c r="F611" s="41" t="n"/>
      <c r="G611" s="41" t="inlineStr">
        <is>
          <t>Thứ tự tầm hợp lý trong nhóm.</t>
        </is>
      </c>
      <c r="H611" s="41" t="n"/>
    </row>
    <row r="612" ht="15" customHeight="1" s="32">
      <c r="A612" s="39" t="inlineStr">
        <is>
          <t>armored_bulldozer</t>
        </is>
      </c>
      <c r="B612" s="39" t="inlineStr">
        <is>
          <t>Xe ủi bọc thép</t>
        </is>
      </c>
      <c r="C612" s="39" t="inlineStr">
        <is>
          <t>Giá (CP)</t>
        </is>
      </c>
      <c r="D612" s="42" t="n">
        <v>7</v>
      </c>
      <c r="E612" s="49" t="inlineStr">
        <is>
          <t>Giữ</t>
        </is>
      </c>
      <c r="F612" s="39" t="n"/>
      <c r="G612" s="39" t="inlineStr">
        <is>
          <t>Hiệu quả trong khoảng ±25% trung vị, thứ tự giá hợp ngoài đời (sheet Giá CP).</t>
        </is>
      </c>
      <c r="H612" s="39" t="n"/>
    </row>
    <row r="613" ht="15" customHeight="1" s="32">
      <c r="A613" s="41" t="inlineStr">
        <is>
          <t>armored_bulldozer</t>
        </is>
      </c>
      <c r="B613" s="41" t="inlineStr">
        <is>
          <t>Xe ủi bọc thép</t>
        </is>
      </c>
      <c r="C613" s="41" t="inlineStr">
        <is>
          <t>Vũ khí</t>
        </is>
      </c>
      <c r="D613" s="43" t="n">
        <v>2</v>
      </c>
      <c r="E613" s="49" t="inlineStr">
        <is>
          <t>Giữ</t>
        </is>
      </c>
      <c r="F613" s="41" t="n"/>
      <c r="G613" s="41" t="inlineStr">
        <is>
          <t>Bộ vũ khí khớp mẫu thật và vai trò.</t>
        </is>
      </c>
      <c r="H613" s="41" t="n"/>
    </row>
    <row r="614" ht="15" customHeight="1" s="32">
      <c r="A614" s="39" t="inlineStr">
        <is>
          <t>armored_bulldozer</t>
        </is>
      </c>
      <c r="B614" s="39" t="inlineStr">
        <is>
          <t>Xe ủi bọc thép</t>
        </is>
      </c>
      <c r="C614" s="39" t="inlineStr">
        <is>
          <t>Hành vi</t>
        </is>
      </c>
      <c r="D614" s="39" t="inlineStr">
        <is>
          <t>Vừa chạy vừa bắn; Tăng chủ lực</t>
        </is>
      </c>
      <c r="E614" s="49" t="inlineStr">
        <is>
          <t>Giữ</t>
        </is>
      </c>
      <c r="F614" s="39" t="n"/>
      <c r="G614" s="39" t="inlineStr">
        <is>
          <t>Hợp vai trò.</t>
        </is>
      </c>
      <c r="H614" s="39" t="n"/>
    </row>
    <row r="615" ht="15" customHeight="1" s="32">
      <c r="A615" s="41" t="inlineStr">
        <is>
          <t>armored_bulldozer</t>
        </is>
      </c>
      <c r="B615" s="41" t="inlineStr">
        <is>
          <t>Xe ủi bọc thép</t>
        </is>
      </c>
      <c r="C615" s="41" t="inlineStr">
        <is>
          <t>Nổ khi bị phá (bán kính)</t>
        </is>
      </c>
      <c r="D615" s="41" t="inlineStr">
        <is>
          <t>6 m · 180 sát thương</t>
        </is>
      </c>
      <c r="E615" s="49" t="inlineStr">
        <is>
          <t>Giữ</t>
        </is>
      </c>
      <c r="F615" s="41" t="n"/>
      <c r="G615" s="41" t="inlineStr">
        <is>
          <t>Hợp với cỡ xe.</t>
        </is>
      </c>
      <c r="H615" s="41" t="n"/>
    </row>
    <row r="616" ht="21.75" customHeight="1" s="32">
      <c r="A616" s="39" t="inlineStr">
        <is>
          <t>armored_bulldozer</t>
        </is>
      </c>
      <c r="B616" s="39" t="inlineStr">
        <is>
          <t>Xe ủi bọc thép</t>
        </is>
      </c>
      <c r="C616" s="39" t="inlineStr">
        <is>
          <t>Tham khảo / model</t>
        </is>
      </c>
      <c r="D616" s="39" t="inlineStr">
        <is>
          <t>IDF Caterpillar D9R — Xe ủi bọc thép chiến đấu</t>
        </is>
      </c>
      <c r="E616" s="49" t="inlineStr">
        <is>
          <t>Giữ</t>
        </is>
      </c>
      <c r="F616" s="39" t="n"/>
      <c r="G616" s="39" t="inlineStr">
        <is>
          <t>Khớp vũ khí và vai trò.</t>
        </is>
      </c>
      <c r="H616" s="39" t="n"/>
    </row>
    <row r="617" ht="15" customHeight="1" s="32">
      <c r="A617" s="41" t="inlineStr">
        <is>
          <t>main_battle_tank</t>
        </is>
      </c>
      <c r="B617" s="41" t="inlineStr">
        <is>
          <t>Tăng chủ lực</t>
        </is>
      </c>
      <c r="C617" s="41" t="inlineStr">
        <is>
          <t>Tên</t>
        </is>
      </c>
      <c r="D617" s="41" t="inlineStr">
        <is>
          <t>Tăng chủ lực</t>
        </is>
      </c>
      <c r="E617" s="49" t="inlineStr">
        <is>
          <t>Giữ</t>
        </is>
      </c>
      <c r="F617" s="41" t="inlineStr">
        <is>
          <t>Tăng chủ lực · ngắn: Tăng chủ lực · EN: Main Battle Tank</t>
        </is>
      </c>
      <c r="G617" s="41" t="inlineStr">
        <is>
          <t>Giữ.</t>
        </is>
      </c>
      <c r="H617" s="41" t="n"/>
    </row>
    <row r="618" ht="15" customHeight="1" s="32">
      <c r="A618" s="39" t="inlineStr">
        <is>
          <t>main_battle_tank</t>
        </is>
      </c>
      <c r="B618" s="39" t="inlineStr">
        <is>
          <t>Tăng chủ lực</t>
        </is>
      </c>
      <c r="C618" s="39" t="inlineStr">
        <is>
          <t>Máu</t>
        </is>
      </c>
      <c r="D618" s="42" t="n">
        <v>1980</v>
      </c>
      <c r="E618" s="49" t="inlineStr">
        <is>
          <t>Giữ</t>
        </is>
      </c>
      <c r="F618" s="39" t="n"/>
      <c r="G618" s="39" t="inlineStr">
        <is>
          <t>Máu/CP 0.87 × trung vị lớp Hạng nặng.</t>
        </is>
      </c>
      <c r="H618" s="39" t="n"/>
    </row>
    <row r="619" ht="21.75" customHeight="1" s="32">
      <c r="A619" s="41" t="inlineStr">
        <is>
          <t>main_battle_tank</t>
        </is>
      </c>
      <c r="B619" s="41" t="inlineStr">
        <is>
          <t>Tăng chủ lực</t>
        </is>
      </c>
      <c r="C619" s="41" t="inlineStr">
        <is>
          <t>Giáp (T/H/S/N)</t>
        </is>
      </c>
      <c r="D619" s="41" t="inlineStr">
        <is>
          <t>3/2/1/1</t>
        </is>
      </c>
      <c r="E619" s="47" t="inlineStr">
        <is>
          <t>Đổi</t>
        </is>
      </c>
      <c r="F619" s="41" t="inlineStr">
        <is>
          <t>4/2/1/1</t>
        </is>
      </c>
      <c r="G619" s="41" t="inlineStr">
        <is>
          <t>Giáp trước tăng chủ lực hiện đại chịu được tên lửa chống tăng thường (mặt trước tốt nhất trong nhóm xe thường).</t>
        </is>
      </c>
      <c r="H619" s="48" t="inlineStr">
        <is>
          <t>Trung</t>
        </is>
      </c>
    </row>
    <row r="620" ht="15" customHeight="1" s="32">
      <c r="A620" s="39" t="inlineStr">
        <is>
          <t>main_battle_tank</t>
        </is>
      </c>
      <c r="B620" s="39" t="inlineStr">
        <is>
          <t>Tăng chủ lực</t>
        </is>
      </c>
      <c r="C620" s="39" t="inlineStr">
        <is>
          <t>Tốc độ</t>
        </is>
      </c>
      <c r="D620" s="42" t="n">
        <v>6</v>
      </c>
      <c r="E620" s="47" t="inlineStr">
        <is>
          <t>Đổi</t>
        </is>
      </c>
      <c r="F620" s="39" t="inlineStr">
        <is>
          <t>6,5 m/s</t>
        </is>
      </c>
      <c r="G620" s="39" t="inlineStr">
        <is>
          <t>Như trên: kéo gần tăng và IFV.</t>
        </is>
      </c>
      <c r="H620" s="48" t="inlineStr">
        <is>
          <t>Trung</t>
        </is>
      </c>
    </row>
    <row r="621" ht="21.75" customHeight="1" s="32">
      <c r="A621" s="41" t="inlineStr">
        <is>
          <t>main_battle_tank</t>
        </is>
      </c>
      <c r="B621" s="41" t="inlineStr">
        <is>
          <t>Tăng chủ lực</t>
        </is>
      </c>
      <c r="C621" s="41" t="inlineStr">
        <is>
          <t>Tốc độ xoay thân / tháp</t>
        </is>
      </c>
      <c r="D621" s="41" t="inlineStr">
        <is>
          <t>1 / 1</t>
        </is>
      </c>
      <c r="E621" s="47" t="inlineStr">
        <is>
          <t>Đổi</t>
        </is>
      </c>
      <c r="F621" s="41" t="inlineStr">
        <is>
          <t>1 / 2</t>
        </is>
      </c>
      <c r="G621" s="41" t="inlineStr">
        <is>
          <t>Tháp pháo xe tăng thật xoay nhanh hơn thân (~40°/s); hiện bằng thân. Lưu ý: đơn vị ghi °/s nhưng giá trị 1–6 có vẻ là rad/s, cần kiểm lại nhãn.</t>
        </is>
      </c>
      <c r="H621" s="48" t="inlineStr">
        <is>
          <t>Trung</t>
        </is>
      </c>
    </row>
    <row r="622" ht="15" customHeight="1" s="32">
      <c r="A622" s="39" t="inlineStr">
        <is>
          <t>main_battle_tank</t>
        </is>
      </c>
      <c r="B622" s="39" t="inlineStr">
        <is>
          <t>Tăng chủ lực</t>
        </is>
      </c>
      <c r="C622" s="39" t="inlineStr">
        <is>
          <t>Kích thước model (dài × rộng × cao)</t>
        </is>
      </c>
      <c r="D622" s="39" t="inlineStr">
        <is>
          <t>6.3 × 2.9 × 2.9</t>
        </is>
      </c>
      <c r="E622" s="49" t="inlineStr">
        <is>
          <t>Giữ</t>
        </is>
      </c>
      <c r="F622" s="39" t="n"/>
      <c r="G622" s="39" t="inlineStr">
        <is>
          <t>Khớp tỷ lệ chung (mẫu thật 9.67 m).</t>
        </is>
      </c>
      <c r="H622" s="39" t="n"/>
    </row>
    <row r="623" ht="15" customHeight="1" s="32">
      <c r="A623" s="41" t="inlineStr">
        <is>
          <t>main_battle_tank</t>
        </is>
      </c>
      <c r="B623" s="41" t="inlineStr">
        <is>
          <t>Tăng chủ lực</t>
        </is>
      </c>
      <c r="C623" s="41" t="inlineStr">
        <is>
          <t>Tầm nhìn</t>
        </is>
      </c>
      <c r="D623" s="43" t="n">
        <v>30</v>
      </c>
      <c r="E623" s="49" t="inlineStr">
        <is>
          <t>Giữ</t>
        </is>
      </c>
      <c r="F623" s="41" t="n"/>
      <c r="G623" s="41" t="inlineStr">
        <is>
          <t>Khớp vai trò.</t>
        </is>
      </c>
      <c r="H623" s="41" t="n"/>
    </row>
    <row r="624" ht="15" customHeight="1" s="32">
      <c r="A624" s="39" t="inlineStr">
        <is>
          <t>main_battle_tank</t>
        </is>
      </c>
      <c r="B624" s="39" t="inlineStr">
        <is>
          <t>Tăng chủ lực</t>
        </is>
      </c>
      <c r="C624" s="39" t="inlineStr">
        <is>
          <t>Tầm bắn</t>
        </is>
      </c>
      <c r="D624" s="39" t="inlineStr">
        <is>
          <t>32</t>
        </is>
      </c>
      <c r="E624" s="49" t="inlineStr">
        <is>
          <t>Giữ</t>
        </is>
      </c>
      <c r="F624" s="39" t="n"/>
      <c r="G624" s="39" t="inlineStr">
        <is>
          <t>Thứ tự tầm hợp lý trong nhóm.</t>
        </is>
      </c>
      <c r="H624" s="39" t="n"/>
    </row>
    <row r="625" ht="15" customHeight="1" s="32">
      <c r="A625" s="41" t="inlineStr">
        <is>
          <t>main_battle_tank</t>
        </is>
      </c>
      <c r="B625" s="41" t="inlineStr">
        <is>
          <t>Tăng chủ lực</t>
        </is>
      </c>
      <c r="C625" s="41" t="inlineStr">
        <is>
          <t>Giá (CP)</t>
        </is>
      </c>
      <c r="D625" s="43" t="n">
        <v>7</v>
      </c>
      <c r="E625" s="49" t="inlineStr">
        <is>
          <t>Giữ</t>
        </is>
      </c>
      <c r="F625" s="41" t="n"/>
      <c r="G625" s="41" t="inlineStr">
        <is>
          <t>Hiệu quả trong khoảng ±25% trung vị, thứ tự giá hợp ngoài đời (sheet Giá CP).</t>
        </is>
      </c>
      <c r="H625" s="41" t="n"/>
    </row>
    <row r="626" ht="15" customHeight="1" s="32">
      <c r="A626" s="39" t="inlineStr">
        <is>
          <t>main_battle_tank</t>
        </is>
      </c>
      <c r="B626" s="39" t="inlineStr">
        <is>
          <t>Tăng chủ lực</t>
        </is>
      </c>
      <c r="C626" s="39" t="inlineStr">
        <is>
          <t>Vũ khí</t>
        </is>
      </c>
      <c r="D626" s="42" t="n">
        <v>3</v>
      </c>
      <c r="E626" s="49" t="inlineStr">
        <is>
          <t>Giữ</t>
        </is>
      </c>
      <c r="F626" s="39" t="n"/>
      <c r="G626" s="39" t="inlineStr">
        <is>
          <t>Bộ vũ khí khớp mẫu thật và vai trò.</t>
        </is>
      </c>
      <c r="H626" s="39" t="n"/>
    </row>
    <row r="627" ht="21.75" customHeight="1" s="32">
      <c r="A627" s="41" t="inlineStr">
        <is>
          <t>main_battle_tank</t>
        </is>
      </c>
      <c r="B627" s="41" t="inlineStr">
        <is>
          <t>Tăng chủ lực</t>
        </is>
      </c>
      <c r="C627" s="41" t="inlineStr">
        <is>
          <t>Hành vi</t>
        </is>
      </c>
      <c r="D627" s="41" t="inlineStr">
        <is>
          <t xml:space="preserve">Vừa chạy vừa bắn                                                                </t>
        </is>
      </c>
      <c r="E627" s="49" t="inlineStr">
        <is>
          <t>Giữ</t>
        </is>
      </c>
      <c r="F627" s="41" t="n"/>
      <c r="G627" s="41" t="inlineStr">
        <is>
          <t>Hợp vai trò.</t>
        </is>
      </c>
      <c r="H627" s="41" t="n"/>
    </row>
    <row r="628" ht="15" customHeight="1" s="32">
      <c r="A628" s="39" t="inlineStr">
        <is>
          <t>main_battle_tank</t>
        </is>
      </c>
      <c r="B628" s="39" t="inlineStr">
        <is>
          <t>Tăng chủ lực</t>
        </is>
      </c>
      <c r="C628" s="39" t="inlineStr">
        <is>
          <t>Nổ khi bị phá (bán kính)</t>
        </is>
      </c>
      <c r="D628" s="39" t="inlineStr">
        <is>
          <t>7 m · 300 sát thương</t>
        </is>
      </c>
      <c r="E628" s="49" t="inlineStr">
        <is>
          <t>Giữ</t>
        </is>
      </c>
      <c r="F628" s="39" t="n"/>
      <c r="G628" s="39" t="inlineStr">
        <is>
          <t>Hợp với cỡ xe.</t>
        </is>
      </c>
      <c r="H628" s="39" t="n"/>
    </row>
    <row r="629" ht="32.25" customHeight="1" s="32">
      <c r="A629" s="41" t="inlineStr">
        <is>
          <t>main_battle_tank</t>
        </is>
      </c>
      <c r="B629" s="41" t="inlineStr">
        <is>
          <t>Tăng chủ lực</t>
        </is>
      </c>
      <c r="C629" s="41" t="inlineStr">
        <is>
          <t>Tham khảo / model</t>
        </is>
      </c>
      <c r="D629" s="41" t="inlineStr">
        <is>
          <t xml:space="preserve">Leopard 2A4 (Rh-120 L/44), M1A1 Abrams (M256 120 mm) — Xe tăng chủ lực pháo nòng trơn 120 </t>
        </is>
      </c>
      <c r="E629" s="49" t="inlineStr">
        <is>
          <t>Giữ</t>
        </is>
      </c>
      <c r="F629" s="41" t="n"/>
      <c r="G629" s="41" t="inlineStr">
        <is>
          <t>Khớp vũ khí và vai trò.</t>
        </is>
      </c>
      <c r="H629" s="41" t="n"/>
    </row>
    <row r="630" ht="15" customHeight="1" s="32">
      <c r="A630" s="39" t="inlineStr">
        <is>
          <t>twin_tank</t>
        </is>
      </c>
      <c r="B630" s="39" t="inlineStr">
        <is>
          <t>Tăng hai nòng</t>
        </is>
      </c>
      <c r="C630" s="39" t="inlineStr">
        <is>
          <t>Tên</t>
        </is>
      </c>
      <c r="D630" s="39" t="inlineStr">
        <is>
          <t>Tăng hai nòng</t>
        </is>
      </c>
      <c r="E630" s="49" t="inlineStr">
        <is>
          <t>Giữ</t>
        </is>
      </c>
      <c r="F630" s="39" t="inlineStr">
        <is>
          <t>Tăng hai nòng · ngắn: Hai nòng · EN: Twin-Gun Tank</t>
        </is>
      </c>
      <c r="G630" s="39" t="inlineStr">
        <is>
          <t>Giữ.</t>
        </is>
      </c>
      <c r="H630" s="39" t="n"/>
    </row>
    <row r="631" ht="15" customHeight="1" s="32">
      <c r="A631" s="41" t="inlineStr">
        <is>
          <t>twin_tank</t>
        </is>
      </c>
      <c r="B631" s="41" t="inlineStr">
        <is>
          <t>Tăng hai nòng</t>
        </is>
      </c>
      <c r="C631" s="41" t="inlineStr">
        <is>
          <t>Máu</t>
        </is>
      </c>
      <c r="D631" s="43" t="n">
        <v>2530</v>
      </c>
      <c r="E631" s="49" t="inlineStr">
        <is>
          <t>Giữ</t>
        </is>
      </c>
      <c r="F631" s="41" t="n"/>
      <c r="G631" s="41" t="inlineStr">
        <is>
          <t>Máu/CP 0.86 × trung vị lớp Hạng nặng.</t>
        </is>
      </c>
      <c r="H631" s="41" t="n"/>
    </row>
    <row r="632" ht="15" customHeight="1" s="32">
      <c r="A632" s="39" t="inlineStr">
        <is>
          <t>twin_tank</t>
        </is>
      </c>
      <c r="B632" s="39" t="inlineStr">
        <is>
          <t>Tăng hai nòng</t>
        </is>
      </c>
      <c r="C632" s="39" t="inlineStr">
        <is>
          <t>Giáp (T/H/S/N)</t>
        </is>
      </c>
      <c r="D632" s="39" t="inlineStr">
        <is>
          <t>3/2/1/1</t>
        </is>
      </c>
      <c r="E632" s="49" t="inlineStr">
        <is>
          <t>Giữ</t>
        </is>
      </c>
      <c r="F632" s="39" t="n"/>
      <c r="G632" s="39" t="inlineStr">
        <is>
          <t>Khớp mẫu thật theo thang 0–4.</t>
        </is>
      </c>
      <c r="H632" s="39" t="n"/>
    </row>
    <row r="633" ht="15" customHeight="1" s="32">
      <c r="A633" s="41" t="inlineStr">
        <is>
          <t>twin_tank</t>
        </is>
      </c>
      <c r="B633" s="41" t="inlineStr">
        <is>
          <t>Tăng hai nòng</t>
        </is>
      </c>
      <c r="C633" s="41" t="inlineStr">
        <is>
          <t>Tốc độ</t>
        </is>
      </c>
      <c r="D633" s="43" t="n">
        <v>6</v>
      </c>
      <c r="E633" s="49" t="inlineStr">
        <is>
          <t>Giữ</t>
        </is>
      </c>
      <c r="F633" s="41" t="n"/>
      <c r="G633" s="41" t="inlineStr">
        <is>
          <t>Giả tưởng; so với xe cùng lớp.</t>
        </is>
      </c>
      <c r="H633" s="41" t="n"/>
    </row>
    <row r="634" ht="21.75" customHeight="1" s="32">
      <c r="A634" s="39" t="inlineStr">
        <is>
          <t>twin_tank</t>
        </is>
      </c>
      <c r="B634" s="39" t="inlineStr">
        <is>
          <t>Tăng hai nòng</t>
        </is>
      </c>
      <c r="C634" s="39" t="inlineStr">
        <is>
          <t>Tốc độ xoay thân / tháp</t>
        </is>
      </c>
      <c r="D634" s="39" t="inlineStr">
        <is>
          <t>1 / 1</t>
        </is>
      </c>
      <c r="E634" s="47" t="inlineStr">
        <is>
          <t>Đổi</t>
        </is>
      </c>
      <c r="F634" s="39" t="inlineStr">
        <is>
          <t>1 / 2</t>
        </is>
      </c>
      <c r="G634" s="39" t="inlineStr">
        <is>
          <t>Tháp pháo xe tăng thật xoay nhanh hơn thân (~40°/s); hiện bằng thân. Lưu ý: đơn vị ghi °/s nhưng giá trị 1–6 có vẻ là rad/s, cần kiểm lại nhãn.</t>
        </is>
      </c>
      <c r="H634" s="48" t="inlineStr">
        <is>
          <t>Trung</t>
        </is>
      </c>
    </row>
    <row r="635" ht="15" customHeight="1" s="32">
      <c r="A635" s="41" t="inlineStr">
        <is>
          <t>twin_tank</t>
        </is>
      </c>
      <c r="B635" s="41" t="inlineStr">
        <is>
          <t>Tăng hai nòng</t>
        </is>
      </c>
      <c r="C635" s="41" t="inlineStr">
        <is>
          <t>Kích thước model (dài × rộng × cao)</t>
        </is>
      </c>
      <c r="D635" s="41" t="inlineStr">
        <is>
          <t>6.9 × 3.0 × 2.9</t>
        </is>
      </c>
      <c r="E635" s="47" t="inlineStr">
        <is>
          <t>Đổi</t>
        </is>
      </c>
      <c r="F635" s="41" t="inlineStr">
        <is>
          <t>dài ≥ 7.2 m</t>
        </is>
      </c>
      <c r="G635" s="41" t="inlineStr">
        <is>
          <t>Phải to hơn rõ rệt so với main_battle_tank (6.3 m), khoảng ×1.15.</t>
        </is>
      </c>
      <c r="H635" s="49" t="inlineStr">
        <is>
          <t>Thấp</t>
        </is>
      </c>
    </row>
    <row r="636" ht="15" customHeight="1" s="32">
      <c r="A636" s="39" t="inlineStr">
        <is>
          <t>twin_tank</t>
        </is>
      </c>
      <c r="B636" s="39" t="inlineStr">
        <is>
          <t>Tăng hai nòng</t>
        </is>
      </c>
      <c r="C636" s="39" t="inlineStr">
        <is>
          <t>Tầm nhìn</t>
        </is>
      </c>
      <c r="D636" s="42" t="n">
        <v>32</v>
      </c>
      <c r="E636" s="49" t="inlineStr">
        <is>
          <t>Giữ</t>
        </is>
      </c>
      <c r="F636" s="39" t="n"/>
      <c r="G636" s="39" t="inlineStr">
        <is>
          <t>Khớp vai trò.</t>
        </is>
      </c>
      <c r="H636" s="39" t="n"/>
    </row>
    <row r="637" ht="15" customHeight="1" s="32">
      <c r="A637" s="41" t="inlineStr">
        <is>
          <t>twin_tank</t>
        </is>
      </c>
      <c r="B637" s="41" t="inlineStr">
        <is>
          <t>Tăng hai nòng</t>
        </is>
      </c>
      <c r="C637" s="41" t="inlineStr">
        <is>
          <t>Tầm bắn</t>
        </is>
      </c>
      <c r="D637" s="41" t="inlineStr">
        <is>
          <t>34</t>
        </is>
      </c>
      <c r="E637" s="49" t="inlineStr">
        <is>
          <t>Giữ</t>
        </is>
      </c>
      <c r="F637" s="41" t="n"/>
      <c r="G637" s="41" t="inlineStr">
        <is>
          <t>Thứ tự tầm hợp lý trong nhóm.</t>
        </is>
      </c>
      <c r="H637" s="41" t="n"/>
    </row>
    <row r="638" ht="15" customHeight="1" s="32">
      <c r="A638" s="39" t="inlineStr">
        <is>
          <t>twin_tank</t>
        </is>
      </c>
      <c r="B638" s="39" t="inlineStr">
        <is>
          <t>Tăng hai nòng</t>
        </is>
      </c>
      <c r="C638" s="39" t="inlineStr">
        <is>
          <t>Giá (CP)</t>
        </is>
      </c>
      <c r="D638" s="42" t="n">
        <v>9</v>
      </c>
      <c r="E638" s="49" t="inlineStr">
        <is>
          <t>Giữ</t>
        </is>
      </c>
      <c r="F638" s="39" t="n"/>
      <c r="G638" s="39" t="inlineStr">
        <is>
          <t>Hiệu quả trong khoảng ±25% trung vị, thứ tự giá hợp ngoài đời (sheet Giá CP).</t>
        </is>
      </c>
      <c r="H638" s="39" t="n"/>
    </row>
    <row r="639" ht="15" customHeight="1" s="32">
      <c r="A639" s="41" t="inlineStr">
        <is>
          <t>twin_tank</t>
        </is>
      </c>
      <c r="B639" s="41" t="inlineStr">
        <is>
          <t>Tăng hai nòng</t>
        </is>
      </c>
      <c r="C639" s="41" t="inlineStr">
        <is>
          <t>Vũ khí</t>
        </is>
      </c>
      <c r="D639" s="43" t="n">
        <v>3</v>
      </c>
      <c r="E639" s="49" t="inlineStr">
        <is>
          <t>Giữ</t>
        </is>
      </c>
      <c r="F639" s="41" t="n"/>
      <c r="G639" s="41" t="inlineStr">
        <is>
          <t>Bộ vũ khí khớp mẫu thật và vai trò.</t>
        </is>
      </c>
      <c r="H639" s="41" t="n"/>
    </row>
    <row r="640" ht="21.75" customHeight="1" s="32">
      <c r="A640" s="39" t="inlineStr">
        <is>
          <t>twin_tank</t>
        </is>
      </c>
      <c r="B640" s="39" t="inlineStr">
        <is>
          <t>Tăng hai nòng</t>
        </is>
      </c>
      <c r="C640" s="39" t="inlineStr">
        <is>
          <t>Hành vi</t>
        </is>
      </c>
      <c r="D640" s="39" t="inlineStr">
        <is>
          <t xml:space="preserve">Vừa chạy vừa bắn                                                                </t>
        </is>
      </c>
      <c r="E640" s="49" t="inlineStr">
        <is>
          <t>Giữ</t>
        </is>
      </c>
      <c r="F640" s="39" t="n"/>
      <c r="G640" s="39" t="inlineStr">
        <is>
          <t>Hợp vai trò.</t>
        </is>
      </c>
      <c r="H640" s="39" t="n"/>
    </row>
    <row r="641" ht="15" customHeight="1" s="32">
      <c r="A641" s="41" t="inlineStr">
        <is>
          <t>twin_tank</t>
        </is>
      </c>
      <c r="B641" s="41" t="inlineStr">
        <is>
          <t>Tăng hai nòng</t>
        </is>
      </c>
      <c r="C641" s="41" t="inlineStr">
        <is>
          <t>Nổ khi bị phá (bán kính)</t>
        </is>
      </c>
      <c r="D641" s="41" t="inlineStr">
        <is>
          <t>8 m · 260 sát thương</t>
        </is>
      </c>
      <c r="E641" s="49" t="inlineStr">
        <is>
          <t>Giữ</t>
        </is>
      </c>
      <c r="F641" s="41" t="n"/>
      <c r="G641" s="41" t="inlineStr">
        <is>
          <t>Hợp với cỡ xe.</t>
        </is>
      </c>
      <c r="H641" s="41" t="n"/>
    </row>
    <row r="642" ht="32.25" customHeight="1" s="32">
      <c r="A642" s="39" t="inlineStr">
        <is>
          <t>twin_tank</t>
        </is>
      </c>
      <c r="B642" s="39" t="inlineStr">
        <is>
          <t>Tăng hai nòng</t>
        </is>
      </c>
      <c r="C642" s="39" t="inlineStr">
        <is>
          <t>Tham khảo / model</t>
        </is>
      </c>
      <c r="D642" s="39" t="inlineStr">
        <is>
          <t>Rh-120 L/44 (hai nòng) · Mammoth Tank (Command &amp; Conquer), Apocalypse Tank (Red Alert 2) —</t>
        </is>
      </c>
      <c r="E642" s="49" t="inlineStr">
        <is>
          <t>Giữ</t>
        </is>
      </c>
      <c r="F642" s="39" t="n"/>
      <c r="G642" s="39" t="inlineStr">
        <is>
          <t>Khớp vũ khí và vai trò.</t>
        </is>
      </c>
      <c r="H642" s="39" t="n"/>
    </row>
    <row r="643" ht="15" customHeight="1" s="32">
      <c r="A643" s="41" t="inlineStr">
        <is>
          <t>heavy_tank</t>
        </is>
      </c>
      <c r="B643" s="41" t="inlineStr">
        <is>
          <t>Tăng hạng nặng</t>
        </is>
      </c>
      <c r="C643" s="41" t="inlineStr">
        <is>
          <t>Tên</t>
        </is>
      </c>
      <c r="D643" s="41" t="inlineStr">
        <is>
          <t>Tăng hạng nặng</t>
        </is>
      </c>
      <c r="E643" s="49" t="inlineStr">
        <is>
          <t>Giữ</t>
        </is>
      </c>
      <c r="F643" s="41" t="inlineStr">
        <is>
          <t>Tăng hạng nặng · ngắn: Tăng nặng · EN: Heavy Tank</t>
        </is>
      </c>
      <c r="G643" s="41" t="inlineStr">
        <is>
          <t>Giữ.</t>
        </is>
      </c>
      <c r="H643" s="41" t="n"/>
    </row>
    <row r="644" ht="15" customHeight="1" s="32">
      <c r="A644" s="39" t="inlineStr">
        <is>
          <t>heavy_tank</t>
        </is>
      </c>
      <c r="B644" s="39" t="inlineStr">
        <is>
          <t>Tăng hạng nặng</t>
        </is>
      </c>
      <c r="C644" s="39" t="inlineStr">
        <is>
          <t>Máu</t>
        </is>
      </c>
      <c r="D644" s="42" t="n">
        <v>3520</v>
      </c>
      <c r="E644" s="49" t="inlineStr">
        <is>
          <t>Giữ</t>
        </is>
      </c>
      <c r="F644" s="39" t="n"/>
      <c r="G644" s="39" t="inlineStr">
        <is>
          <t>Máu/CP 0.90 × trung vị lớp Hạng nặng.</t>
        </is>
      </c>
      <c r="H644" s="39" t="n"/>
    </row>
    <row r="645" ht="15" customHeight="1" s="32">
      <c r="A645" s="41" t="inlineStr">
        <is>
          <t>heavy_tank</t>
        </is>
      </c>
      <c r="B645" s="41" t="inlineStr">
        <is>
          <t>Tăng hạng nặng</t>
        </is>
      </c>
      <c r="C645" s="41" t="inlineStr">
        <is>
          <t>Giáp (T/H/S/N)</t>
        </is>
      </c>
      <c r="D645" s="41" t="inlineStr">
        <is>
          <t>4/3/2/2</t>
        </is>
      </c>
      <c r="E645" s="49" t="inlineStr">
        <is>
          <t>Giữ</t>
        </is>
      </c>
      <c r="F645" s="41" t="n"/>
      <c r="G645" s="41" t="inlineStr">
        <is>
          <t>Khớp mẫu thật theo thang 0–4.</t>
        </is>
      </c>
      <c r="H645" s="41" t="n"/>
    </row>
    <row r="646" ht="15" customHeight="1" s="32">
      <c r="A646" s="39" t="inlineStr">
        <is>
          <t>heavy_tank</t>
        </is>
      </c>
      <c r="B646" s="39" t="inlineStr">
        <is>
          <t>Tăng hạng nặng</t>
        </is>
      </c>
      <c r="C646" s="39" t="inlineStr">
        <is>
          <t>Tốc độ</t>
        </is>
      </c>
      <c r="D646" s="42" t="n">
        <v>4.2</v>
      </c>
      <c r="E646" s="49" t="inlineStr">
        <is>
          <t>Giữ</t>
        </is>
      </c>
      <c r="F646" s="39" t="n"/>
      <c r="G646" s="39" t="inlineStr">
        <is>
          <t>Gần tốc độ thật × hệ số nén (5.5).</t>
        </is>
      </c>
      <c r="H646" s="39" t="n"/>
    </row>
    <row r="647" ht="21.75" customHeight="1" s="32">
      <c r="A647" s="41" t="inlineStr">
        <is>
          <t>heavy_tank</t>
        </is>
      </c>
      <c r="B647" s="41" t="inlineStr">
        <is>
          <t>Tăng hạng nặng</t>
        </is>
      </c>
      <c r="C647" s="41" t="inlineStr">
        <is>
          <t>Tốc độ xoay thân / tháp</t>
        </is>
      </c>
      <c r="D647" s="41" t="inlineStr">
        <is>
          <t>1 / 1</t>
        </is>
      </c>
      <c r="E647" s="47" t="inlineStr">
        <is>
          <t>Đổi</t>
        </is>
      </c>
      <c r="F647" s="41" t="inlineStr">
        <is>
          <t>1 / 2</t>
        </is>
      </c>
      <c r="G647" s="41" t="inlineStr">
        <is>
          <t>Tháp pháo xe tăng thật xoay nhanh hơn thân (~40°/s); hiện bằng thân. Lưu ý: đơn vị ghi °/s nhưng giá trị 1–6 có vẻ là rad/s, cần kiểm lại nhãn.</t>
        </is>
      </c>
      <c r="H647" s="48" t="inlineStr">
        <is>
          <t>Trung</t>
        </is>
      </c>
    </row>
    <row r="648" ht="15" customHeight="1" s="32">
      <c r="A648" s="39" t="inlineStr">
        <is>
          <t>heavy_tank</t>
        </is>
      </c>
      <c r="B648" s="39" t="inlineStr">
        <is>
          <t>Tăng hạng nặng</t>
        </is>
      </c>
      <c r="C648" s="39" t="inlineStr">
        <is>
          <t>Kích thước model (dài × rộng × cao)</t>
        </is>
      </c>
      <c r="D648" s="39" t="inlineStr">
        <is>
          <t>8.8 × 3.2 × 3.5</t>
        </is>
      </c>
      <c r="E648" s="49" t="inlineStr">
        <is>
          <t>Giữ</t>
        </is>
      </c>
      <c r="F648" s="39" t="n"/>
      <c r="G648" s="39" t="inlineStr">
        <is>
          <t>Khớp tỷ lệ chung (mẫu thật 10.0 m).</t>
        </is>
      </c>
      <c r="H648" s="39" t="n"/>
    </row>
    <row r="649" ht="15" customHeight="1" s="32">
      <c r="A649" s="41" t="inlineStr">
        <is>
          <t>heavy_tank</t>
        </is>
      </c>
      <c r="B649" s="41" t="inlineStr">
        <is>
          <t>Tăng hạng nặng</t>
        </is>
      </c>
      <c r="C649" s="41" t="inlineStr">
        <is>
          <t>Tầm nhìn</t>
        </is>
      </c>
      <c r="D649" s="43" t="n">
        <v>30</v>
      </c>
      <c r="E649" s="49" t="inlineStr">
        <is>
          <t>Giữ</t>
        </is>
      </c>
      <c r="F649" s="41" t="n"/>
      <c r="G649" s="41" t="inlineStr">
        <is>
          <t>Khớp vai trò.</t>
        </is>
      </c>
      <c r="H649" s="41" t="n"/>
    </row>
    <row r="650" ht="15" customHeight="1" s="32">
      <c r="A650" s="39" t="inlineStr">
        <is>
          <t>heavy_tank</t>
        </is>
      </c>
      <c r="B650" s="39" t="inlineStr">
        <is>
          <t>Tăng hạng nặng</t>
        </is>
      </c>
      <c r="C650" s="39" t="inlineStr">
        <is>
          <t>Tầm bắn</t>
        </is>
      </c>
      <c r="D650" s="39" t="inlineStr">
        <is>
          <t>34</t>
        </is>
      </c>
      <c r="E650" s="49" t="inlineStr">
        <is>
          <t>Giữ</t>
        </is>
      </c>
      <c r="F650" s="39" t="n"/>
      <c r="G650" s="39" t="inlineStr">
        <is>
          <t>Thứ tự tầm hợp lý trong nhóm.</t>
        </is>
      </c>
      <c r="H650" s="39" t="n"/>
    </row>
    <row r="651" ht="15" customHeight="1" s="32">
      <c r="A651" s="41" t="inlineStr">
        <is>
          <t>heavy_tank</t>
        </is>
      </c>
      <c r="B651" s="41" t="inlineStr">
        <is>
          <t>Tăng hạng nặng</t>
        </is>
      </c>
      <c r="C651" s="41" t="inlineStr">
        <is>
          <t>Giá (CP)</t>
        </is>
      </c>
      <c r="D651" s="43" t="n">
        <v>12</v>
      </c>
      <c r="E651" s="47" t="inlineStr">
        <is>
          <t>Đổi</t>
        </is>
      </c>
      <c r="F651" s="41" t="inlineStr">
        <is>
          <t>13 CP</t>
        </is>
      </c>
      <c r="G651" s="41" t="inlineStr">
        <is>
          <t>Xem sheet Giá CP.</t>
        </is>
      </c>
      <c r="H651" s="47" t="inlineStr">
        <is>
          <t>Cao</t>
        </is>
      </c>
    </row>
    <row r="652" ht="15" customHeight="1" s="32">
      <c r="A652" s="39" t="inlineStr">
        <is>
          <t>heavy_tank</t>
        </is>
      </c>
      <c r="B652" s="39" t="inlineStr">
        <is>
          <t>Tăng hạng nặng</t>
        </is>
      </c>
      <c r="C652" s="39" t="inlineStr">
        <is>
          <t>Vũ khí</t>
        </is>
      </c>
      <c r="D652" s="42" t="n">
        <v>3</v>
      </c>
      <c r="E652" s="49" t="inlineStr">
        <is>
          <t>Giữ</t>
        </is>
      </c>
      <c r="F652" s="39" t="n"/>
      <c r="G652" s="39" t="inlineStr">
        <is>
          <t>Bộ vũ khí khớp mẫu thật và vai trò.</t>
        </is>
      </c>
      <c r="H652" s="39" t="n"/>
    </row>
    <row r="653" ht="21.75" customHeight="1" s="32">
      <c r="A653" s="41" t="inlineStr">
        <is>
          <t>heavy_tank</t>
        </is>
      </c>
      <c r="B653" s="41" t="inlineStr">
        <is>
          <t>Tăng hạng nặng</t>
        </is>
      </c>
      <c r="C653" s="41" t="inlineStr">
        <is>
          <t>Hành vi</t>
        </is>
      </c>
      <c r="D653" s="41" t="inlineStr">
        <is>
          <t xml:space="preserve">Vừa chạy vừa bắn                                                                </t>
        </is>
      </c>
      <c r="E653" s="49" t="inlineStr">
        <is>
          <t>Giữ</t>
        </is>
      </c>
      <c r="F653" s="41" t="n"/>
      <c r="G653" s="41" t="inlineStr">
        <is>
          <t>Hợp vai trò.</t>
        </is>
      </c>
      <c r="H653" s="41" t="n"/>
    </row>
    <row r="654" ht="15" customHeight="1" s="32">
      <c r="A654" s="39" t="inlineStr">
        <is>
          <t>heavy_tank</t>
        </is>
      </c>
      <c r="B654" s="39" t="inlineStr">
        <is>
          <t>Tăng hạng nặng</t>
        </is>
      </c>
      <c r="C654" s="39" t="inlineStr">
        <is>
          <t>Nổ khi bị phá (bán kính)</t>
        </is>
      </c>
      <c r="D654" s="39" t="inlineStr">
        <is>
          <t>9 m · 400 sát thương</t>
        </is>
      </c>
      <c r="E654" s="49" t="inlineStr">
        <is>
          <t>Giữ</t>
        </is>
      </c>
      <c r="F654" s="39" t="n"/>
      <c r="G654" s="39" t="inlineStr">
        <is>
          <t>Hợp với cỡ xe.</t>
        </is>
      </c>
      <c r="H654" s="39" t="n"/>
    </row>
    <row r="655" ht="21.75" customHeight="1" s="32">
      <c r="A655" s="41" t="inlineStr">
        <is>
          <t>heavy_tank</t>
        </is>
      </c>
      <c r="B655" s="41" t="inlineStr">
        <is>
          <t>Tăng hạng nặng</t>
        </is>
      </c>
      <c r="C655" s="41" t="inlineStr">
        <is>
          <t>Tham khảo / model</t>
        </is>
      </c>
      <c r="D655" s="41" t="inlineStr">
        <is>
          <t>tham khảo T-14 (danh sách giữ lại) · 12 CP (hiệu quả 1,16)</t>
        </is>
      </c>
      <c r="E655" s="47" t="inlineStr">
        <is>
          <t>Đổi</t>
        </is>
      </c>
      <c r="F655" s="41" t="inlineStr">
        <is>
          <t>bỏ T-14 khỏi tham khảo, giữ Object 195 / T-95 · giá 13 CP</t>
        </is>
      </c>
      <c r="G655" s="41" t="inlineStr">
        <is>
          <t>Tránh vướng danh sách giữ lại; hơi mạnh so với giá.</t>
        </is>
      </c>
      <c r="H655" s="48" t="inlineStr">
        <is>
          <t>Trung</t>
        </is>
      </c>
    </row>
    <row r="656" ht="15" customHeight="1" s="32">
      <c r="A656" s="39" t="inlineStr">
        <is>
          <t>titan_tank</t>
        </is>
      </c>
      <c r="B656" s="39" t="inlineStr">
        <is>
          <t>Siêu tăng Titan</t>
        </is>
      </c>
      <c r="C656" s="39" t="inlineStr">
        <is>
          <t>Tên</t>
        </is>
      </c>
      <c r="D656" s="39" t="inlineStr">
        <is>
          <t>Siêu tăng Titan</t>
        </is>
      </c>
      <c r="E656" s="47" t="inlineStr">
        <is>
          <t>Đổi</t>
        </is>
      </c>
      <c r="F656" s="39" t="inlineStr">
        <is>
          <t>Siêu tăng · ngắn: Siêu tăng · EN: Super-Heavy Tank</t>
        </is>
      </c>
      <c r="G656" s="39" t="inlineStr">
        <is>
          <t>"Titan" trùng biệt danh tướng Thorne ("Titan"); bỏ để tránh nhầm.</t>
        </is>
      </c>
      <c r="H656" s="49" t="inlineStr">
        <is>
          <t>Thấp</t>
        </is>
      </c>
    </row>
    <row r="657" ht="15" customHeight="1" s="32">
      <c r="A657" s="41" t="inlineStr">
        <is>
          <t>titan_tank</t>
        </is>
      </c>
      <c r="B657" s="41" t="inlineStr">
        <is>
          <t>Siêu tăng Titan</t>
        </is>
      </c>
      <c r="C657" s="41" t="inlineStr">
        <is>
          <t>Máu</t>
        </is>
      </c>
      <c r="D657" s="43" t="n">
        <v>5720</v>
      </c>
      <c r="E657" s="49" t="inlineStr">
        <is>
          <t>Giữ</t>
        </is>
      </c>
      <c r="F657" s="41" t="n"/>
      <c r="G657" s="41" t="inlineStr">
        <is>
          <t>Máu/CP 1.10 × trung vị lớp Hạng nặng.</t>
        </is>
      </c>
      <c r="H657" s="41" t="n"/>
    </row>
    <row r="658" ht="15" customHeight="1" s="32">
      <c r="A658" s="39" t="inlineStr">
        <is>
          <t>titan_tank</t>
        </is>
      </c>
      <c r="B658" s="39" t="inlineStr">
        <is>
          <t>Siêu tăng Titan</t>
        </is>
      </c>
      <c r="C658" s="39" t="inlineStr">
        <is>
          <t>Giáp (T/H/S/N)</t>
        </is>
      </c>
      <c r="D658" s="39" t="inlineStr">
        <is>
          <t>4/3/2/2</t>
        </is>
      </c>
      <c r="E658" s="49" t="inlineStr">
        <is>
          <t>Giữ</t>
        </is>
      </c>
      <c r="F658" s="39" t="n"/>
      <c r="G658" s="39" t="inlineStr">
        <is>
          <t>Khớp mẫu thật theo thang 0–4.</t>
        </is>
      </c>
      <c r="H658" s="39" t="n"/>
    </row>
    <row r="659" ht="15" customHeight="1" s="32">
      <c r="A659" s="41" t="inlineStr">
        <is>
          <t>titan_tank</t>
        </is>
      </c>
      <c r="B659" s="41" t="inlineStr">
        <is>
          <t>Siêu tăng Titan</t>
        </is>
      </c>
      <c r="C659" s="41" t="inlineStr">
        <is>
          <t>Tốc độ</t>
        </is>
      </c>
      <c r="D659" s="43" t="n">
        <v>4.6</v>
      </c>
      <c r="E659" s="47" t="inlineStr">
        <is>
          <t>Đổi</t>
        </is>
      </c>
      <c r="F659" s="41" t="inlineStr">
        <is>
          <t>4,0 m/s · 18 CP</t>
        </is>
      </c>
      <c r="G659" s="41" t="inlineStr">
        <is>
          <t>Nặng hơn Tăng hạng nặng mà chạy nhanh hơn; hiệu quả cao nhất nhóm hạng nặng.</t>
        </is>
      </c>
      <c r="H659" s="48" t="inlineStr">
        <is>
          <t>Trung</t>
        </is>
      </c>
    </row>
    <row r="660" ht="21.75" customHeight="1" s="32">
      <c r="A660" s="39" t="inlineStr">
        <is>
          <t>titan_tank</t>
        </is>
      </c>
      <c r="B660" s="39" t="inlineStr">
        <is>
          <t>Siêu tăng Titan</t>
        </is>
      </c>
      <c r="C660" s="39" t="inlineStr">
        <is>
          <t>Tốc độ xoay thân / tháp</t>
        </is>
      </c>
      <c r="D660" s="39" t="inlineStr">
        <is>
          <t>1 / 1</t>
        </is>
      </c>
      <c r="E660" s="47" t="inlineStr">
        <is>
          <t>Đổi</t>
        </is>
      </c>
      <c r="F660" s="39" t="inlineStr">
        <is>
          <t>1 / 2</t>
        </is>
      </c>
      <c r="G660" s="39" t="inlineStr">
        <is>
          <t>Tháp pháo xe tăng thật xoay nhanh hơn thân (~40°/s); hiện bằng thân. Lưu ý: đơn vị ghi °/s nhưng giá trị 1–6 có vẻ là rad/s, cần kiểm lại nhãn.</t>
        </is>
      </c>
      <c r="H660" s="48" t="inlineStr">
        <is>
          <t>Trung</t>
        </is>
      </c>
    </row>
    <row r="661" ht="15" customHeight="1" s="32">
      <c r="A661" s="41" t="inlineStr">
        <is>
          <t>titan_tank</t>
        </is>
      </c>
      <c r="B661" s="41" t="inlineStr">
        <is>
          <t>Siêu tăng Titan</t>
        </is>
      </c>
      <c r="C661" s="41" t="inlineStr">
        <is>
          <t>Kích thước model (dài × rộng × cao)</t>
        </is>
      </c>
      <c r="D661" s="41" t="inlineStr">
        <is>
          <t>10.4 × 3.6 × 3.5</t>
        </is>
      </c>
      <c r="E661" s="47" t="inlineStr">
        <is>
          <t>Đổi</t>
        </is>
      </c>
      <c r="F661" s="41" t="inlineStr">
        <is>
          <t>dài ≥ 10.6 m</t>
        </is>
      </c>
      <c r="G661" s="41" t="inlineStr">
        <is>
          <t>Phải to hơn rõ rệt so với heavy_tank (8.8 m), khoảng ×1.2.</t>
        </is>
      </c>
      <c r="H661" s="49" t="inlineStr">
        <is>
          <t>Thấp</t>
        </is>
      </c>
    </row>
    <row r="662" ht="15" customHeight="1" s="32">
      <c r="A662" s="39" t="inlineStr">
        <is>
          <t>titan_tank</t>
        </is>
      </c>
      <c r="B662" s="39" t="inlineStr">
        <is>
          <t>Siêu tăng Titan</t>
        </is>
      </c>
      <c r="C662" s="39" t="inlineStr">
        <is>
          <t>Tầm nhìn</t>
        </is>
      </c>
      <c r="D662" s="42" t="n">
        <v>34</v>
      </c>
      <c r="E662" s="49" t="inlineStr">
        <is>
          <t>Giữ</t>
        </is>
      </c>
      <c r="F662" s="39" t="n"/>
      <c r="G662" s="39" t="inlineStr">
        <is>
          <t>Khớp vai trò.</t>
        </is>
      </c>
      <c r="H662" s="39" t="n"/>
    </row>
    <row r="663" ht="15" customHeight="1" s="32">
      <c r="A663" s="41" t="inlineStr">
        <is>
          <t>titan_tank</t>
        </is>
      </c>
      <c r="B663" s="41" t="inlineStr">
        <is>
          <t>Siêu tăng Titan</t>
        </is>
      </c>
      <c r="C663" s="41" t="inlineStr">
        <is>
          <t>Tầm bắn</t>
        </is>
      </c>
      <c r="D663" s="41" t="inlineStr">
        <is>
          <t>40</t>
        </is>
      </c>
      <c r="E663" s="49" t="inlineStr">
        <is>
          <t>Giữ</t>
        </is>
      </c>
      <c r="F663" s="41" t="n"/>
      <c r="G663" s="41" t="inlineStr">
        <is>
          <t>Thứ tự tầm hợp lý trong nhóm.</t>
        </is>
      </c>
      <c r="H663" s="41" t="n"/>
    </row>
    <row r="664" ht="15" customHeight="1" s="32">
      <c r="A664" s="39" t="inlineStr">
        <is>
          <t>titan_tank</t>
        </is>
      </c>
      <c r="B664" s="39" t="inlineStr">
        <is>
          <t>Siêu tăng Titan</t>
        </is>
      </c>
      <c r="C664" s="39" t="inlineStr">
        <is>
          <t>Giá (CP)</t>
        </is>
      </c>
      <c r="D664" s="42" t="n">
        <v>16</v>
      </c>
      <c r="E664" s="47" t="inlineStr">
        <is>
          <t>Đổi</t>
        </is>
      </c>
      <c r="F664" s="39" t="inlineStr">
        <is>
          <t>18 CP</t>
        </is>
      </c>
      <c r="G664" s="39" t="inlineStr">
        <is>
          <t>Xem sheet Giá CP.</t>
        </is>
      </c>
      <c r="H664" s="47" t="inlineStr">
        <is>
          <t>Cao</t>
        </is>
      </c>
    </row>
    <row r="665" ht="15" customHeight="1" s="32">
      <c r="A665" s="41" t="inlineStr">
        <is>
          <t>titan_tank</t>
        </is>
      </c>
      <c r="B665" s="41" t="inlineStr">
        <is>
          <t>Siêu tăng Titan</t>
        </is>
      </c>
      <c r="C665" s="41" t="inlineStr">
        <is>
          <t>Vũ khí</t>
        </is>
      </c>
      <c r="D665" s="43" t="n">
        <v>4</v>
      </c>
      <c r="E665" s="49" t="inlineStr">
        <is>
          <t>Giữ</t>
        </is>
      </c>
      <c r="F665" s="41" t="n"/>
      <c r="G665" s="41" t="inlineStr">
        <is>
          <t>Bộ vũ khí khớp mẫu thật và vai trò.</t>
        </is>
      </c>
      <c r="H665" s="41" t="n"/>
    </row>
    <row r="666" ht="21.75" customHeight="1" s="32">
      <c r="A666" s="39" t="inlineStr">
        <is>
          <t>titan_tank</t>
        </is>
      </c>
      <c r="B666" s="39" t="inlineStr">
        <is>
          <t>Siêu tăng Titan</t>
        </is>
      </c>
      <c r="C666" s="39" t="inlineStr">
        <is>
          <t>Hành vi</t>
        </is>
      </c>
      <c r="D666" s="39" t="inlineStr">
        <is>
          <t>Vừa chạy vừa bắn; Diệt tăng (6); Xe phóng drone FPV</t>
        </is>
      </c>
      <c r="E666" s="49" t="inlineStr">
        <is>
          <t>Giữ</t>
        </is>
      </c>
      <c r="F666" s="39" t="n"/>
      <c r="G666" s="39" t="inlineStr">
        <is>
          <t>Hợp vai trò.</t>
        </is>
      </c>
      <c r="H666" s="39" t="n"/>
    </row>
    <row r="667" ht="15" customHeight="1" s="32">
      <c r="A667" s="41" t="inlineStr">
        <is>
          <t>titan_tank</t>
        </is>
      </c>
      <c r="B667" s="41" t="inlineStr">
        <is>
          <t>Siêu tăng Titan</t>
        </is>
      </c>
      <c r="C667" s="41" t="inlineStr">
        <is>
          <t>Nổ khi bị phá (bán kính)</t>
        </is>
      </c>
      <c r="D667" s="41" t="inlineStr">
        <is>
          <t>12 m · 520 sát thương</t>
        </is>
      </c>
      <c r="E667" s="47" t="inlineStr">
        <is>
          <t>Đổi</t>
        </is>
      </c>
      <c r="F667" s="41" t="inlineStr">
        <is>
          <t>~8 m</t>
        </is>
      </c>
      <c r="G667" s="41" t="inlineStr">
        <is>
          <t>Bán kính nổ khi bị phá nên theo cỡ xe, cộng thêm nếu xe chở nhiều đạn/nhiên liệu.</t>
        </is>
      </c>
      <c r="H667" s="49" t="inlineStr">
        <is>
          <t>Thấp</t>
        </is>
      </c>
    </row>
    <row r="668" ht="32.25" customHeight="1" s="32">
      <c r="A668" s="39" t="inlineStr">
        <is>
          <t>titan_tank</t>
        </is>
      </c>
      <c r="B668" s="39" t="inlineStr">
        <is>
          <t>Siêu tăng Titan</t>
        </is>
      </c>
      <c r="C668" s="39" t="inlineStr">
        <is>
          <t>Tham khảo / model</t>
        </is>
      </c>
      <c r="D668" s="39" t="inlineStr">
        <is>
          <t>Rheinmetall NPzK 140 mm, Landkreuzer P. 1000 Ratte · Mammoth Tank (Command &amp; Conquer) — ướ</t>
        </is>
      </c>
      <c r="E668" s="49" t="inlineStr">
        <is>
          <t>Giữ</t>
        </is>
      </c>
      <c r="F668" s="39" t="n"/>
      <c r="G668" s="39" t="inlineStr">
        <is>
          <t>Khớp vũ khí và vai trò.</t>
        </is>
      </c>
      <c r="H668" s="39" t="n"/>
    </row>
    <row r="669" ht="21.75" customHeight="1" s="32">
      <c r="A669" s="41" t="inlineStr">
        <is>
          <t>fpv_carrier</t>
        </is>
      </c>
      <c r="B669" s="41" t="inlineStr">
        <is>
          <t>Xe phóng drone FPV</t>
        </is>
      </c>
      <c r="C669" s="41" t="inlineStr">
        <is>
          <t>Tên</t>
        </is>
      </c>
      <c r="D669" s="41" t="inlineStr">
        <is>
          <t>Xe phóng drone FPV</t>
        </is>
      </c>
      <c r="E669" s="49" t="inlineStr">
        <is>
          <t>Giữ</t>
        </is>
      </c>
      <c r="F669" s="41" t="inlineStr">
        <is>
          <t>Xe phóng drone FPV · ngắn: Drone FPV · EN: FPV Drone Carrier</t>
        </is>
      </c>
      <c r="G669" s="41" t="inlineStr">
        <is>
          <t>Giữ.</t>
        </is>
      </c>
      <c r="H669" s="41" t="n"/>
    </row>
    <row r="670" ht="15" customHeight="1" s="32">
      <c r="A670" s="39" t="inlineStr">
        <is>
          <t>fpv_carrier</t>
        </is>
      </c>
      <c r="B670" s="39" t="inlineStr">
        <is>
          <t>Xe phóng drone FPV</t>
        </is>
      </c>
      <c r="C670" s="39" t="inlineStr">
        <is>
          <t>Máu</t>
        </is>
      </c>
      <c r="D670" s="42" t="n">
        <v>924</v>
      </c>
      <c r="E670" s="49" t="inlineStr">
        <is>
          <t>Giữ</t>
        </is>
      </c>
      <c r="F670" s="39" t="n"/>
      <c r="G670" s="39" t="inlineStr">
        <is>
          <t>Máu/CP 1.00 × trung vị lớp Diệt tăng.</t>
        </is>
      </c>
      <c r="H670" s="39" t="n"/>
    </row>
    <row r="671" ht="15" customHeight="1" s="32">
      <c r="A671" s="41" t="inlineStr">
        <is>
          <t>fpv_carrier</t>
        </is>
      </c>
      <c r="B671" s="41" t="inlineStr">
        <is>
          <t>Xe phóng drone FPV</t>
        </is>
      </c>
      <c r="C671" s="41" t="inlineStr">
        <is>
          <t>Giáp (T/H/S/N)</t>
        </is>
      </c>
      <c r="D671" s="41" t="inlineStr">
        <is>
          <t>1/0/0/0</t>
        </is>
      </c>
      <c r="E671" s="49" t="inlineStr">
        <is>
          <t>Giữ</t>
        </is>
      </c>
      <c r="F671" s="41" t="n"/>
      <c r="G671" s="41" t="inlineStr">
        <is>
          <t>Giả tưởng / máy bay; khớp vai trò.</t>
        </is>
      </c>
      <c r="H671" s="41" t="n"/>
    </row>
    <row r="672" ht="15" customHeight="1" s="32">
      <c r="A672" s="39" t="inlineStr">
        <is>
          <t>fpv_carrier</t>
        </is>
      </c>
      <c r="B672" s="39" t="inlineStr">
        <is>
          <t>Xe phóng drone FPV</t>
        </is>
      </c>
      <c r="C672" s="39" t="inlineStr">
        <is>
          <t>Tốc độ</t>
        </is>
      </c>
      <c r="D672" s="42" t="n">
        <v>9</v>
      </c>
      <c r="E672" s="49" t="inlineStr">
        <is>
          <t>Giữ</t>
        </is>
      </c>
      <c r="F672" s="39" t="n"/>
      <c r="G672" s="39" t="inlineStr">
        <is>
          <t>Gần tốc độ thật × hệ số nén (11.7).</t>
        </is>
      </c>
      <c r="H672" s="39" t="n"/>
    </row>
    <row r="673" ht="15" customHeight="1" s="32">
      <c r="A673" s="41" t="inlineStr">
        <is>
          <t>fpv_carrier</t>
        </is>
      </c>
      <c r="B673" s="41" t="inlineStr">
        <is>
          <t>Xe phóng drone FPV</t>
        </is>
      </c>
      <c r="C673" s="41" t="inlineStr">
        <is>
          <t>Tốc độ xoay thân / tháp</t>
        </is>
      </c>
      <c r="D673" s="41" t="inlineStr">
        <is>
          <t>2 / 2</t>
        </is>
      </c>
      <c r="E673" s="49" t="inlineStr">
        <is>
          <t>Giữ</t>
        </is>
      </c>
      <c r="F673" s="41" t="n"/>
      <c r="G673" s="41" t="inlineStr">
        <is>
          <t>Hợp lý so với loại xe.</t>
        </is>
      </c>
      <c r="H673" s="41" t="n"/>
    </row>
    <row r="674" ht="21.75" customHeight="1" s="32">
      <c r="A674" s="39" t="inlineStr">
        <is>
          <t>fpv_carrier</t>
        </is>
      </c>
      <c r="B674" s="39" t="inlineStr">
        <is>
          <t>Xe phóng drone FPV</t>
        </is>
      </c>
      <c r="C674" s="39" t="inlineStr">
        <is>
          <t>Kích thước model (dài × rộng × cao)</t>
        </is>
      </c>
      <c r="D674" s="39" t="inlineStr">
        <is>
          <t>7.0 × 2.6 × 3.6</t>
        </is>
      </c>
      <c r="E674" s="47" t="inlineStr">
        <is>
          <t>Đổi</t>
        </is>
      </c>
      <c r="F674" s="39" t="inlineStr">
        <is>
          <t>7.2 × 2.0 × 2.6</t>
        </is>
      </c>
      <c r="G674" s="39" t="inlineStr">
        <is>
          <t>Mẫu thật KamAZ Typhoon-K: 9.0 × 2.55 m; theo tỷ lệ chung (mặt đất 0,8) nên là 7.2 × 2.0 m. Đổi kích thước thì chỉnh vùng va chạm và chạy lại test xe kẹt.</t>
        </is>
      </c>
      <c r="H674" s="49" t="inlineStr">
        <is>
          <t>Thấp</t>
        </is>
      </c>
    </row>
    <row r="675" ht="15" customHeight="1" s="32">
      <c r="A675" s="41" t="inlineStr">
        <is>
          <t>fpv_carrier</t>
        </is>
      </c>
      <c r="B675" s="41" t="inlineStr">
        <is>
          <t>Xe phóng drone FPV</t>
        </is>
      </c>
      <c r="C675" s="41" t="inlineStr">
        <is>
          <t>Tầm nhìn</t>
        </is>
      </c>
      <c r="D675" s="43" t="n">
        <v>48</v>
      </c>
      <c r="E675" s="49" t="inlineStr">
        <is>
          <t>Giữ</t>
        </is>
      </c>
      <c r="F675" s="41" t="n"/>
      <c r="G675" s="41" t="inlineStr">
        <is>
          <t>Khớp vai trò.</t>
        </is>
      </c>
      <c r="H675" s="41" t="n"/>
    </row>
    <row r="676" ht="15" customHeight="1" s="32">
      <c r="A676" s="39" t="inlineStr">
        <is>
          <t>fpv_carrier</t>
        </is>
      </c>
      <c r="B676" s="39" t="inlineStr">
        <is>
          <t>Xe phóng drone FPV</t>
        </is>
      </c>
      <c r="C676" s="39" t="inlineStr">
        <is>
          <t>Tầm bắn</t>
        </is>
      </c>
      <c r="D676" s="39" t="inlineStr">
        <is>
          <t>75</t>
        </is>
      </c>
      <c r="E676" s="49" t="inlineStr">
        <is>
          <t>Giữ</t>
        </is>
      </c>
      <c r="F676" s="39" t="n"/>
      <c r="G676" s="39" t="inlineStr">
        <is>
          <t>Thứ tự tầm hợp lý trong nhóm.</t>
        </is>
      </c>
      <c r="H676" s="39" t="n"/>
    </row>
    <row r="677" ht="15" customHeight="1" s="32">
      <c r="A677" s="41" t="inlineStr">
        <is>
          <t>fpv_carrier</t>
        </is>
      </c>
      <c r="B677" s="41" t="inlineStr">
        <is>
          <t>Xe phóng drone FPV</t>
        </is>
      </c>
      <c r="C677" s="41" t="inlineStr">
        <is>
          <t>Giá (CP)</t>
        </is>
      </c>
      <c r="D677" s="43" t="n">
        <v>6</v>
      </c>
      <c r="E677" s="49" t="inlineStr">
        <is>
          <t>Giữ</t>
        </is>
      </c>
      <c r="F677" s="41" t="n"/>
      <c r="G677" s="41" t="inlineStr">
        <is>
          <t>Hiệu quả trong khoảng ±25% trung vị, thứ tự giá hợp ngoài đời (sheet Giá CP).</t>
        </is>
      </c>
      <c r="H677" s="41" t="n"/>
    </row>
    <row r="678" ht="15" customHeight="1" s="32">
      <c r="A678" s="39" t="inlineStr">
        <is>
          <t>fpv_carrier</t>
        </is>
      </c>
      <c r="B678" s="39" t="inlineStr">
        <is>
          <t>Xe phóng drone FPV</t>
        </is>
      </c>
      <c r="C678" s="39" t="inlineStr">
        <is>
          <t>Vũ khí</t>
        </is>
      </c>
      <c r="D678" s="42" t="n">
        <v>2</v>
      </c>
      <c r="E678" s="49" t="inlineStr">
        <is>
          <t>Giữ</t>
        </is>
      </c>
      <c r="F678" s="39" t="n"/>
      <c r="G678" s="39" t="inlineStr">
        <is>
          <t>Bộ vũ khí khớp mẫu thật và vai trò.</t>
        </is>
      </c>
      <c r="H678" s="39" t="n"/>
    </row>
    <row r="679" ht="32.25" customHeight="1" s="32">
      <c r="A679" s="41" t="inlineStr">
        <is>
          <t>fpv_carrier</t>
        </is>
      </c>
      <c r="B679" s="41" t="inlineStr">
        <is>
          <t>Xe phóng drone FPV</t>
        </is>
      </c>
      <c r="C679" s="41" t="inlineStr">
        <is>
          <t>Hành vi</t>
        </is>
      </c>
      <c r="D679" s="41" t="inlineStr">
        <is>
          <t>Dừng lại mới bắn, từ 12-75 m; cần ta nhìn thấy mục tiêu (tự nó hoặc quân bạn); H</t>
        </is>
      </c>
      <c r="E679" s="49" t="inlineStr">
        <is>
          <t>Giữ</t>
        </is>
      </c>
      <c r="F679" s="41" t="n"/>
      <c r="G679" s="41" t="inlineStr">
        <is>
          <t>Hợp vai trò.</t>
        </is>
      </c>
      <c r="H679" s="41" t="n"/>
    </row>
    <row r="680" ht="15" customHeight="1" s="32">
      <c r="A680" s="39" t="inlineStr">
        <is>
          <t>fpv_carrier</t>
        </is>
      </c>
      <c r="B680" s="39" t="inlineStr">
        <is>
          <t>Xe phóng drone FPV</t>
        </is>
      </c>
      <c r="C680" s="39" t="inlineStr">
        <is>
          <t>Nổ khi bị phá (bán kính)</t>
        </is>
      </c>
      <c r="D680" s="39" t="inlineStr">
        <is>
          <t>7 m · 200 sát thương</t>
        </is>
      </c>
      <c r="E680" s="49" t="inlineStr">
        <is>
          <t>Giữ</t>
        </is>
      </c>
      <c r="F680" s="39" t="n"/>
      <c r="G680" s="39" t="inlineStr">
        <is>
          <t>Hợp với cỡ xe.</t>
        </is>
      </c>
      <c r="H680" s="39" t="n"/>
    </row>
    <row r="681" ht="32.25" customHeight="1" s="32">
      <c r="A681" s="41" t="inlineStr">
        <is>
          <t>fpv_carrier</t>
        </is>
      </c>
      <c r="B681" s="41" t="inlineStr">
        <is>
          <t>Xe phóng drone FPV</t>
        </is>
      </c>
      <c r="C681" s="41" t="inlineStr">
        <is>
          <t>Tham khảo / model</t>
        </is>
      </c>
      <c r="D681" s="41" t="inlineStr">
        <is>
          <t>KamAZ Typhoon-K, RG-33 MRAP, drone FPV (chiến sự Ukraine) — Xe MRAP phóng drone cảm tử FPV</t>
        </is>
      </c>
      <c r="E681" s="49" t="inlineStr">
        <is>
          <t>Giữ</t>
        </is>
      </c>
      <c r="F681" s="41" t="n"/>
      <c r="G681" s="41" t="inlineStr">
        <is>
          <t>Khớp vũ khí và vai trò.</t>
        </is>
      </c>
      <c r="H681" s="41" t="n"/>
    </row>
    <row r="682" ht="21.75" customHeight="1" s="32">
      <c r="A682" s="39"/>
      <c r="B682" s="39"/>
      <c r="C682" s="39"/>
      <c r="D682" s="39"/>
      <c r="E682" s="47"/>
      <c r="F682" s="39"/>
      <c r="G682" s="39"/>
      <c r="H682" s="49"/>
    </row>
    <row r="683" ht="15" customHeight="1" s="32">
      <c r="A683" s="41"/>
      <c r="B683" s="41"/>
      <c r="C683" s="41"/>
      <c r="D683" s="43"/>
      <c r="E683" s="49"/>
      <c r="F683" s="41"/>
      <c r="G683" s="41"/>
      <c r="H683" s="41"/>
    </row>
    <row r="684" ht="15" customHeight="1" s="32">
      <c r="A684" s="39"/>
      <c r="B684" s="39"/>
      <c r="C684" s="39"/>
      <c r="D684" s="39"/>
      <c r="E684" s="49"/>
      <c r="F684" s="39"/>
      <c r="G684" s="39"/>
      <c r="H684" s="39"/>
    </row>
    <row r="685" ht="15" customHeight="1" s="32">
      <c r="A685" s="41"/>
      <c r="B685" s="41"/>
      <c r="C685" s="41"/>
      <c r="D685" s="43"/>
      <c r="E685" s="49"/>
      <c r="F685" s="41"/>
      <c r="G685" s="41"/>
      <c r="H685" s="41"/>
    </row>
    <row r="686" ht="15" customHeight="1" s="32">
      <c r="A686" s="39"/>
      <c r="B686" s="39"/>
      <c r="C686" s="39"/>
      <c r="D686" s="39"/>
      <c r="E686" s="49"/>
      <c r="F686" s="39"/>
      <c r="G686" s="39"/>
      <c r="H686" s="39"/>
    </row>
    <row r="687" ht="21.75" customHeight="1" s="32">
      <c r="A687" s="41"/>
      <c r="B687" s="41"/>
      <c r="C687" s="41"/>
      <c r="D687" s="41"/>
      <c r="E687" s="47"/>
      <c r="F687" s="41"/>
      <c r="G687" s="41"/>
      <c r="H687" s="49"/>
    </row>
    <row r="688" ht="15" customHeight="1" s="32">
      <c r="A688" s="39"/>
      <c r="B688" s="39"/>
      <c r="C688" s="39"/>
      <c r="D688" s="42"/>
      <c r="E688" s="49"/>
      <c r="F688" s="39"/>
      <c r="G688" s="39"/>
      <c r="H688" s="39"/>
    </row>
    <row r="689" ht="15" customHeight="1" s="32">
      <c r="A689" s="41"/>
      <c r="B689" s="41"/>
      <c r="C689" s="41"/>
      <c r="D689" s="41"/>
      <c r="E689" s="49"/>
      <c r="F689" s="41"/>
      <c r="G689" s="41"/>
      <c r="H689" s="41"/>
    </row>
    <row r="690" ht="15" customHeight="1" s="32">
      <c r="A690" s="39"/>
      <c r="B690" s="39"/>
      <c r="C690" s="39"/>
      <c r="D690" s="42"/>
      <c r="E690" s="49"/>
      <c r="F690" s="39"/>
      <c r="G690" s="39"/>
      <c r="H690" s="39"/>
    </row>
    <row r="691" ht="15" customHeight="1" s="32">
      <c r="A691" s="41"/>
      <c r="B691" s="41"/>
      <c r="C691" s="41"/>
      <c r="D691" s="43"/>
      <c r="E691" s="49"/>
      <c r="F691" s="41"/>
      <c r="G691" s="41"/>
      <c r="H691" s="41"/>
    </row>
    <row r="692" ht="32.25" customHeight="1" s="32">
      <c r="A692" s="39"/>
      <c r="B692" s="39"/>
      <c r="C692" s="39"/>
      <c r="D692" s="39"/>
      <c r="E692" s="49"/>
      <c r="F692" s="39"/>
      <c r="G692" s="39"/>
      <c r="H692" s="39"/>
    </row>
    <row r="693" ht="21.75" customHeight="1" s="32">
      <c r="A693" s="41"/>
      <c r="B693" s="41"/>
      <c r="C693" s="41"/>
      <c r="D693" s="41"/>
      <c r="E693" s="47"/>
      <c r="F693" s="41"/>
      <c r="G693" s="41"/>
      <c r="H693" s="49"/>
    </row>
    <row r="694" ht="32.25" customHeight="1" s="32">
      <c r="A694" s="39"/>
      <c r="B694" s="39"/>
      <c r="C694" s="39"/>
      <c r="D694" s="39"/>
      <c r="E694" s="49"/>
      <c r="F694" s="39"/>
      <c r="G694" s="39"/>
      <c r="H694" s="39"/>
    </row>
    <row r="695" ht="21.75" customHeight="1" s="32">
      <c r="A695" s="41" t="inlineStr">
        <is>
          <t>wheeled_gun</t>
        </is>
      </c>
      <c r="B695" s="41" t="inlineStr">
        <is>
          <t>Pháo bánh lốp diệt tăng</t>
        </is>
      </c>
      <c r="C695" s="41" t="inlineStr">
        <is>
          <t>Tên</t>
        </is>
      </c>
      <c r="D695" s="41" t="inlineStr">
        <is>
          <t>Pháo bánh lốp diệt tăng</t>
        </is>
      </c>
      <c r="E695" s="47" t="inlineStr">
        <is>
          <t>Đổi</t>
        </is>
      </c>
      <c r="F695" s="41" t="inlineStr">
        <is>
          <t>Pháo xung kích bánh lốp · ngắn: Bánh lốp diệt tăng · EN: Wheeled Tank Destroyer</t>
        </is>
      </c>
      <c r="G695" s="41" t="inlineStr">
        <is>
          <t>Tên hiện dài và lặp "pháo"; "xung kích" nói rõ vai trò đánh nhanh.</t>
        </is>
      </c>
      <c r="H695" s="49" t="inlineStr">
        <is>
          <t>Thấp</t>
        </is>
      </c>
    </row>
    <row r="696" ht="15" customHeight="1" s="32">
      <c r="A696" s="39" t="inlineStr">
        <is>
          <t>wheeled_gun</t>
        </is>
      </c>
      <c r="B696" s="39" t="inlineStr">
        <is>
          <t>Pháo bánh lốp diệt tăng</t>
        </is>
      </c>
      <c r="C696" s="39" t="inlineStr">
        <is>
          <t>Máu</t>
        </is>
      </c>
      <c r="D696" s="42" t="n">
        <v>1914</v>
      </c>
      <c r="E696" s="47" t="inlineStr">
        <is>
          <t>Đổi</t>
        </is>
      </c>
      <c r="F696" s="39" t="inlineStr">
        <is>
          <t>1.500</t>
        </is>
      </c>
      <c r="G696" s="39" t="inlineStr">
        <is>
          <t>Xe bánh lốp giáp nhẹ không thể trâu như tăng.</t>
        </is>
      </c>
      <c r="H696" s="47" t="inlineStr">
        <is>
          <t>Cao</t>
        </is>
      </c>
    </row>
    <row r="697" ht="15" customHeight="1" s="32">
      <c r="A697" s="41" t="inlineStr">
        <is>
          <t>wheeled_gun</t>
        </is>
      </c>
      <c r="B697" s="41" t="inlineStr">
        <is>
          <t>Pháo bánh lốp diệt tăng</t>
        </is>
      </c>
      <c r="C697" s="41" t="inlineStr">
        <is>
          <t>Giáp (T/H/S/N)</t>
        </is>
      </c>
      <c r="D697" s="41" t="inlineStr">
        <is>
          <t>2/1/0/0</t>
        </is>
      </c>
      <c r="E697" s="49" t="inlineStr">
        <is>
          <t>Giữ</t>
        </is>
      </c>
      <c r="F697" s="41" t="n"/>
      <c r="G697" s="41" t="inlineStr">
        <is>
          <t>Khớp mẫu thật theo thang 0–4.</t>
        </is>
      </c>
      <c r="H697" s="41" t="n"/>
    </row>
    <row r="698" ht="15" customHeight="1" s="32">
      <c r="A698" s="39" t="inlineStr">
        <is>
          <t>wheeled_gun</t>
        </is>
      </c>
      <c r="B698" s="39" t="inlineStr">
        <is>
          <t>Pháo bánh lốp diệt tăng</t>
        </is>
      </c>
      <c r="C698" s="39" t="inlineStr">
        <is>
          <t>Tốc độ</t>
        </is>
      </c>
      <c r="D698" s="42" t="n">
        <v>12</v>
      </c>
      <c r="E698" s="49" t="inlineStr">
        <is>
          <t>Giữ</t>
        </is>
      </c>
      <c r="F698" s="39" t="n"/>
      <c r="G698" s="39" t="inlineStr">
        <is>
          <t>Gần tốc độ thật × hệ số nén (11.7).</t>
        </is>
      </c>
      <c r="H698" s="39" t="n"/>
    </row>
    <row r="699" ht="15" customHeight="1" s="32">
      <c r="A699" s="41" t="inlineStr">
        <is>
          <t>wheeled_gun</t>
        </is>
      </c>
      <c r="B699" s="41" t="inlineStr">
        <is>
          <t>Pháo bánh lốp diệt tăng</t>
        </is>
      </c>
      <c r="C699" s="41" t="inlineStr">
        <is>
          <t>Tốc độ xoay thân / tháp</t>
        </is>
      </c>
      <c r="D699" s="41" t="inlineStr">
        <is>
          <t>2 / 2</t>
        </is>
      </c>
      <c r="E699" s="49" t="inlineStr">
        <is>
          <t>Giữ</t>
        </is>
      </c>
      <c r="F699" s="41" t="n"/>
      <c r="G699" s="41" t="inlineStr">
        <is>
          <t>Hợp lý so với loại xe.</t>
        </is>
      </c>
      <c r="H699" s="41" t="n"/>
    </row>
    <row r="700" ht="15" customHeight="1" s="32">
      <c r="A700" s="39" t="inlineStr">
        <is>
          <t>wheeled_gun</t>
        </is>
      </c>
      <c r="B700" s="39" t="inlineStr">
        <is>
          <t>Pháo bánh lốp diệt tăng</t>
        </is>
      </c>
      <c r="C700" s="39" t="inlineStr">
        <is>
          <t>Kích thước model (dài × rộng × cao)</t>
        </is>
      </c>
      <c r="D700" s="39" t="inlineStr">
        <is>
          <t>9.4 × 2.6 × 3.1</t>
        </is>
      </c>
      <c r="E700" s="49" t="inlineStr">
        <is>
          <t>Giữ</t>
        </is>
      </c>
      <c r="F700" s="39" t="n"/>
      <c r="G700" s="39" t="inlineStr">
        <is>
          <t>Khớp tỷ lệ chung (mẫu thật 9.9 m).</t>
        </is>
      </c>
      <c r="H700" s="39" t="n"/>
    </row>
    <row r="701" ht="15" customHeight="1" s="32">
      <c r="A701" s="41" t="inlineStr">
        <is>
          <t>wheeled_gun</t>
        </is>
      </c>
      <c r="B701" s="41" t="inlineStr">
        <is>
          <t>Pháo bánh lốp diệt tăng</t>
        </is>
      </c>
      <c r="C701" s="41" t="inlineStr">
        <is>
          <t>Tầm nhìn</t>
        </is>
      </c>
      <c r="D701" s="43" t="n">
        <v>38</v>
      </c>
      <c r="E701" s="49" t="inlineStr">
        <is>
          <t>Giữ</t>
        </is>
      </c>
      <c r="F701" s="41" t="n"/>
      <c r="G701" s="41" t="inlineStr">
        <is>
          <t>Khớp vai trò.</t>
        </is>
      </c>
      <c r="H701" s="41" t="n"/>
    </row>
    <row r="702" ht="15" customHeight="1" s="32">
      <c r="A702" s="39" t="inlineStr">
        <is>
          <t>wheeled_gun</t>
        </is>
      </c>
      <c r="B702" s="39" t="inlineStr">
        <is>
          <t>Pháo bánh lốp diệt tăng</t>
        </is>
      </c>
      <c r="C702" s="39" t="inlineStr">
        <is>
          <t>Tầm bắn</t>
        </is>
      </c>
      <c r="D702" s="39" t="inlineStr">
        <is>
          <t>38</t>
        </is>
      </c>
      <c r="E702" s="49" t="inlineStr">
        <is>
          <t>Giữ</t>
        </is>
      </c>
      <c r="F702" s="39" t="n"/>
      <c r="G702" s="39" t="inlineStr">
        <is>
          <t>Thứ tự tầm hợp lý trong nhóm.</t>
        </is>
      </c>
      <c r="H702" s="39" t="n"/>
    </row>
    <row r="703" ht="15" customHeight="1" s="32">
      <c r="A703" s="41" t="inlineStr">
        <is>
          <t>wheeled_gun</t>
        </is>
      </c>
      <c r="B703" s="41" t="inlineStr">
        <is>
          <t>Pháo bánh lốp diệt tăng</t>
        </is>
      </c>
      <c r="C703" s="41" t="inlineStr">
        <is>
          <t>Giá (CP)</t>
        </is>
      </c>
      <c r="D703" s="43" t="n">
        <v>6</v>
      </c>
      <c r="E703" s="49" t="inlineStr">
        <is>
          <t>Giữ</t>
        </is>
      </c>
      <c r="F703" s="41" t="n"/>
      <c r="G703" s="41" t="inlineStr">
        <is>
          <t>Hiệu quả trong khoảng ±25% trung vị, thứ tự giá hợp ngoài đời (sheet Giá CP).</t>
        </is>
      </c>
      <c r="H703" s="41" t="n"/>
    </row>
    <row r="704" ht="21.75" customHeight="1" s="32">
      <c r="A704" s="39" t="inlineStr">
        <is>
          <t>wheeled_gun</t>
        </is>
      </c>
      <c r="B704" s="39" t="inlineStr">
        <is>
          <t>Pháo bánh lốp diệt tăng</t>
        </is>
      </c>
      <c r="C704" s="39" t="inlineStr">
        <is>
          <t>Vũ khí: 120 mm</t>
        </is>
      </c>
      <c r="D704" s="39" t="inlineStr">
        <is>
          <t>0,36 phát/s (nạp 2,8 s, nhanh hơn MBT)</t>
        </is>
      </c>
      <c r="E704" s="47" t="inlineStr">
        <is>
          <t>Đổi</t>
        </is>
      </c>
      <c r="F704" s="39" t="inlineStr">
        <is>
          <t>0,27 phát/s (DPS duy trì 94→~70)</t>
        </is>
      </c>
      <c r="G704" s="39" t="inlineStr">
        <is>
          <t>Nạp tay không thể nhanh hơn tăng chủ lực; đang lấn át Pháo chống tăng.</t>
        </is>
      </c>
      <c r="H704" s="47" t="inlineStr">
        <is>
          <t>Cao</t>
        </is>
      </c>
    </row>
    <row r="705" ht="15" customHeight="1" s="32">
      <c r="A705" s="41" t="inlineStr">
        <is>
          <t>wheeled_gun</t>
        </is>
      </c>
      <c r="B705" s="41" t="inlineStr">
        <is>
          <t>Pháo bánh lốp diệt tăng</t>
        </is>
      </c>
      <c r="C705" s="41" t="inlineStr">
        <is>
          <t>Hành vi</t>
        </is>
      </c>
      <c r="D705" s="41" t="inlineStr">
        <is>
          <t>Vừa chạy vừa bắn; Pháo chống tăng</t>
        </is>
      </c>
      <c r="E705" s="49" t="inlineStr">
        <is>
          <t>Giữ</t>
        </is>
      </c>
      <c r="F705" s="41" t="n"/>
      <c r="G705" s="41" t="inlineStr">
        <is>
          <t>Hợp vai trò.</t>
        </is>
      </c>
      <c r="H705" s="41" t="n"/>
    </row>
    <row r="706" ht="15" customHeight="1" s="32">
      <c r="A706" s="39" t="inlineStr">
        <is>
          <t>wheeled_gun</t>
        </is>
      </c>
      <c r="B706" s="39" t="inlineStr">
        <is>
          <t>Pháo bánh lốp diệt tăng</t>
        </is>
      </c>
      <c r="C706" s="39" t="inlineStr">
        <is>
          <t>Nổ khi bị phá (bán kính)</t>
        </is>
      </c>
      <c r="D706" s="39" t="inlineStr">
        <is>
          <t>7 m · 200 sát thương</t>
        </is>
      </c>
      <c r="E706" s="49" t="inlineStr">
        <is>
          <t>Giữ</t>
        </is>
      </c>
      <c r="F706" s="39" t="n"/>
      <c r="G706" s="39" t="inlineStr">
        <is>
          <t>Hợp với cỡ xe.</t>
        </is>
      </c>
      <c r="H706" s="39" t="n"/>
    </row>
    <row r="707" ht="32.25" customHeight="1" s="32">
      <c r="A707" s="41" t="inlineStr">
        <is>
          <t>wheeled_gun</t>
        </is>
      </c>
      <c r="B707" s="41" t="inlineStr">
        <is>
          <t>Pháo bánh lốp diệt tăng</t>
        </is>
      </c>
      <c r="C707" s="41" t="inlineStr">
        <is>
          <t>Tham khảo / model</t>
        </is>
      </c>
      <c r="D707" s="41" t="inlineStr">
        <is>
          <t>Centauro B1 / Centauro II 120 mm, M1128 MGS, Rooikat — Pháo chống tăng bánh lốp 8x8</t>
        </is>
      </c>
      <c r="E707" s="49" t="inlineStr">
        <is>
          <t>Giữ</t>
        </is>
      </c>
      <c r="F707" s="41" t="n"/>
      <c r="G707" s="41" t="inlineStr">
        <is>
          <t>Khớp vũ khí và vai trò.</t>
        </is>
      </c>
      <c r="H707" s="41" t="n"/>
    </row>
    <row r="708" ht="21.75" customHeight="1" s="32">
      <c r="A708" s="39" t="inlineStr">
        <is>
          <t>tank_destroyer</t>
        </is>
      </c>
      <c r="B708" s="39" t="inlineStr">
        <is>
          <t>Pháo chống tăng</t>
        </is>
      </c>
      <c r="C708" s="39" t="inlineStr">
        <is>
          <t>Tên</t>
        </is>
      </c>
      <c r="D708" s="39" t="inlineStr">
        <is>
          <t>Pháo chống tăng</t>
        </is>
      </c>
      <c r="E708" s="47" t="inlineStr">
        <is>
          <t>Đổi</t>
        </is>
      </c>
      <c r="F708" s="39" t="inlineStr">
        <is>
          <t>Pháo chống tăng tự hành · ngắn: Chống tăng · EN: Tank Destroyer</t>
        </is>
      </c>
      <c r="G708" s="39" t="inlineStr">
        <is>
          <t>Giữ nghĩa.</t>
        </is>
      </c>
      <c r="H708" s="49" t="inlineStr">
        <is>
          <t>Thấp</t>
        </is>
      </c>
    </row>
    <row r="709" ht="15" customHeight="1" s="32">
      <c r="A709" s="41" t="inlineStr">
        <is>
          <t>tank_destroyer</t>
        </is>
      </c>
      <c r="B709" s="41" t="inlineStr">
        <is>
          <t>Pháo chống tăng</t>
        </is>
      </c>
      <c r="C709" s="41" t="inlineStr">
        <is>
          <t>Máu</t>
        </is>
      </c>
      <c r="D709" s="43" t="n">
        <v>1364</v>
      </c>
      <c r="E709" s="49" t="inlineStr">
        <is>
          <t>Giữ</t>
        </is>
      </c>
      <c r="F709" s="41" t="n"/>
      <c r="G709" s="41" t="inlineStr">
        <is>
          <t>Máu/CP 1.27 × trung vị lớp Diệt tăng.</t>
        </is>
      </c>
      <c r="H709" s="41" t="n"/>
    </row>
    <row r="710" ht="15" customHeight="1" s="32">
      <c r="A710" s="39" t="inlineStr">
        <is>
          <t>tank_destroyer</t>
        </is>
      </c>
      <c r="B710" s="39" t="inlineStr">
        <is>
          <t>Pháo chống tăng</t>
        </is>
      </c>
      <c r="C710" s="39" t="inlineStr">
        <is>
          <t>Giáp (T/H/S/N)</t>
        </is>
      </c>
      <c r="D710" s="39" t="inlineStr">
        <is>
          <t>3/2/1/1</t>
        </is>
      </c>
      <c r="E710" s="47" t="inlineStr">
        <is>
          <t>Đổi</t>
        </is>
      </c>
      <c r="F710" s="39" t="inlineStr">
        <is>
          <t>trước 2 / hông 1 / sau 1 / nóc 0</t>
        </is>
      </c>
      <c r="G710" s="39" t="inlineStr">
        <is>
          <t>2S25 Sprut-SD là pháo chống tăng thả dù, giáp rất mỏng.</t>
        </is>
      </c>
      <c r="H710" s="48" t="inlineStr">
        <is>
          <t>Trung</t>
        </is>
      </c>
    </row>
    <row r="711" ht="15" customHeight="1" s="32">
      <c r="A711" s="41" t="inlineStr">
        <is>
          <t>tank_destroyer</t>
        </is>
      </c>
      <c r="B711" s="41" t="inlineStr">
        <is>
          <t>Pháo chống tăng</t>
        </is>
      </c>
      <c r="C711" s="41" t="inlineStr">
        <is>
          <t>Tốc độ</t>
        </is>
      </c>
      <c r="D711" s="43" t="n">
        <v>7</v>
      </c>
      <c r="E711" s="49" t="inlineStr">
        <is>
          <t>Giữ</t>
        </is>
      </c>
      <c r="F711" s="41" t="n"/>
      <c r="G711" s="41" t="inlineStr">
        <is>
          <t>Gần tốc độ thật × hệ số nén (6.4).</t>
        </is>
      </c>
      <c r="H711" s="41" t="n"/>
    </row>
    <row r="712" ht="15" customHeight="1" s="32">
      <c r="A712" s="39" t="inlineStr">
        <is>
          <t>tank_destroyer</t>
        </is>
      </c>
      <c r="B712" s="39" t="inlineStr">
        <is>
          <t>Pháo chống tăng</t>
        </is>
      </c>
      <c r="C712" s="39" t="inlineStr">
        <is>
          <t>Tốc độ xoay thân / tháp</t>
        </is>
      </c>
      <c r="D712" s="39" t="inlineStr">
        <is>
          <t>1 / 1</t>
        </is>
      </c>
      <c r="E712" s="49" t="inlineStr">
        <is>
          <t>Giữ</t>
        </is>
      </c>
      <c r="F712" s="39" t="n"/>
      <c r="G712" s="39" t="inlineStr">
        <is>
          <t>Hợp lý so với loại xe.</t>
        </is>
      </c>
      <c r="H712" s="39" t="n"/>
    </row>
    <row r="713" ht="15" customHeight="1" s="32">
      <c r="A713" s="41" t="inlineStr">
        <is>
          <t>tank_destroyer</t>
        </is>
      </c>
      <c r="B713" s="41" t="inlineStr">
        <is>
          <t>Pháo chống tăng</t>
        </is>
      </c>
      <c r="C713" s="41" t="inlineStr">
        <is>
          <t>Kích thước model (dài × rộng × cao)</t>
        </is>
      </c>
      <c r="D713" s="41" t="inlineStr">
        <is>
          <t>9.2 × 2.7 × 2.2</t>
        </is>
      </c>
      <c r="E713" s="49" t="inlineStr">
        <is>
          <t>Giữ</t>
        </is>
      </c>
      <c r="F713" s="41" t="n"/>
      <c r="G713" s="41" t="inlineStr">
        <is>
          <t>Khớp tỷ lệ chung (mẫu thật 9.77 m).</t>
        </is>
      </c>
      <c r="H713" s="41" t="n"/>
    </row>
    <row r="714" ht="15" customHeight="1" s="32">
      <c r="A714" s="39" t="inlineStr">
        <is>
          <t>tank_destroyer</t>
        </is>
      </c>
      <c r="B714" s="39" t="inlineStr">
        <is>
          <t>Pháo chống tăng</t>
        </is>
      </c>
      <c r="C714" s="39" t="inlineStr">
        <is>
          <t>Tầm nhìn</t>
        </is>
      </c>
      <c r="D714" s="42" t="n">
        <v>34</v>
      </c>
      <c r="E714" s="49" t="inlineStr">
        <is>
          <t>Giữ</t>
        </is>
      </c>
      <c r="F714" s="39" t="n"/>
      <c r="G714" s="39" t="inlineStr">
        <is>
          <t>Khớp vai trò.</t>
        </is>
      </c>
      <c r="H714" s="39" t="n"/>
    </row>
    <row r="715" ht="15" customHeight="1" s="32">
      <c r="A715" s="41" t="inlineStr">
        <is>
          <t>tank_destroyer</t>
        </is>
      </c>
      <c r="B715" s="41" t="inlineStr">
        <is>
          <t>Pháo chống tăng</t>
        </is>
      </c>
      <c r="C715" s="41" t="inlineStr">
        <is>
          <t>Tầm bắn</t>
        </is>
      </c>
      <c r="D715" s="41" t="inlineStr">
        <is>
          <t>40</t>
        </is>
      </c>
      <c r="E715" s="47" t="inlineStr">
        <is>
          <t>Đổi</t>
        </is>
      </c>
      <c r="F715" s="41" t="inlineStr">
        <is>
          <t>tầm 46 · 0,30 phát/s · 6 CP</t>
        </is>
      </c>
      <c r="G715" s="41" t="inlineStr">
        <is>
          <t>Bù lại giáp mỏng bằng tầm bắn tỉa; hiện kém các xe diệt tăng khác.</t>
        </is>
      </c>
      <c r="H715" s="48" t="inlineStr">
        <is>
          <t>Trung</t>
        </is>
      </c>
    </row>
    <row r="716" ht="15" customHeight="1" s="32">
      <c r="A716" s="39" t="inlineStr">
        <is>
          <t>tank_destroyer</t>
        </is>
      </c>
      <c r="B716" s="39" t="inlineStr">
        <is>
          <t>Pháo chống tăng</t>
        </is>
      </c>
      <c r="C716" s="39" t="inlineStr">
        <is>
          <t>Giá (CP)</t>
        </is>
      </c>
      <c r="D716" s="42" t="n">
        <v>7</v>
      </c>
      <c r="E716" s="47" t="inlineStr">
        <is>
          <t>Đổi</t>
        </is>
      </c>
      <c r="F716" s="39" t="inlineStr">
        <is>
          <t>6 CP</t>
        </is>
      </c>
      <c r="G716" s="39" t="inlineStr">
        <is>
          <t>2S25 Sprut-SD là pháo chống tăng thả dù, giáp rất mỏng.</t>
        </is>
      </c>
      <c r="H716" s="48" t="inlineStr">
        <is>
          <t>Trung</t>
        </is>
      </c>
    </row>
    <row r="717" ht="15" customHeight="1" s="32">
      <c r="A717" s="41" t="inlineStr">
        <is>
          <t>tank_destroyer</t>
        </is>
      </c>
      <c r="B717" s="41" t="inlineStr">
        <is>
          <t>Pháo chống tăng</t>
        </is>
      </c>
      <c r="C717" s="41" t="inlineStr">
        <is>
          <t>Vũ khí</t>
        </is>
      </c>
      <c r="D717" s="43" t="n">
        <v>2</v>
      </c>
      <c r="E717" s="49" t="inlineStr">
        <is>
          <t>Giữ</t>
        </is>
      </c>
      <c r="F717" s="41" t="n"/>
      <c r="G717" s="41" t="inlineStr">
        <is>
          <t>Bộ vũ khí khớp mẫu thật và vai trò.</t>
        </is>
      </c>
      <c r="H717" s="41" t="n"/>
    </row>
    <row r="718" ht="15" customHeight="1" s="32">
      <c r="A718" s="39" t="inlineStr">
        <is>
          <t>tank_destroyer</t>
        </is>
      </c>
      <c r="B718" s="39" t="inlineStr">
        <is>
          <t>Pháo chống tăng</t>
        </is>
      </c>
      <c r="C718" s="39" t="inlineStr">
        <is>
          <t>Hành vi</t>
        </is>
      </c>
      <c r="D718" s="39" t="inlineStr">
        <is>
          <t>Vừa chạy vừa bắn; Xe súng điện từ</t>
        </is>
      </c>
      <c r="E718" s="49" t="inlineStr">
        <is>
          <t>Giữ</t>
        </is>
      </c>
      <c r="F718" s="39" t="n"/>
      <c r="G718" s="39" t="inlineStr">
        <is>
          <t>Hợp vai trò.</t>
        </is>
      </c>
      <c r="H718" s="39" t="n"/>
    </row>
    <row r="719" ht="15" customHeight="1" s="32">
      <c r="A719" s="41" t="inlineStr">
        <is>
          <t>tank_destroyer</t>
        </is>
      </c>
      <c r="B719" s="41" t="inlineStr">
        <is>
          <t>Pháo chống tăng</t>
        </is>
      </c>
      <c r="C719" s="41" t="inlineStr">
        <is>
          <t>Nổ khi bị phá (bán kính)</t>
        </is>
      </c>
      <c r="D719" s="41" t="inlineStr">
        <is>
          <t>6 m · 140 sát thương</t>
        </is>
      </c>
      <c r="E719" s="49" t="inlineStr">
        <is>
          <t>Giữ</t>
        </is>
      </c>
      <c r="F719" s="41" t="n"/>
      <c r="G719" s="41" t="inlineStr">
        <is>
          <t>Hợp với cỡ xe.</t>
        </is>
      </c>
      <c r="H719" s="41" t="n"/>
    </row>
    <row r="720" ht="32.25" customHeight="1" s="32">
      <c r="A720" s="39" t="inlineStr">
        <is>
          <t>tank_destroyer</t>
        </is>
      </c>
      <c r="B720" s="39" t="inlineStr">
        <is>
          <t>Pháo chống tăng</t>
        </is>
      </c>
      <c r="C720" s="39" t="inlineStr">
        <is>
          <t>Tham khảo / model</t>
        </is>
      </c>
      <c r="D720" s="39" t="inlineStr">
        <is>
          <t>2S25 Sprut-SD (2A75 125 mm) — Pháo chống tăng thân thấp, tháp hở, nòng rất dài</t>
        </is>
      </c>
      <c r="E720" s="49" t="inlineStr">
        <is>
          <t>Giữ</t>
        </is>
      </c>
      <c r="F720" s="39" t="n"/>
      <c r="G720" s="39" t="inlineStr">
        <is>
          <t>Khớp vũ khí và vai trò.</t>
        </is>
      </c>
      <c r="H720" s="39" t="n"/>
    </row>
    <row r="721" ht="15" customHeight="1" s="32">
      <c r="A721" s="41" t="inlineStr">
        <is>
          <t>railgun_truck</t>
        </is>
      </c>
      <c r="B721" s="41" t="inlineStr">
        <is>
          <t>Xe súng điện từ</t>
        </is>
      </c>
      <c r="C721" s="41" t="inlineStr">
        <is>
          <t>Tên</t>
        </is>
      </c>
      <c r="D721" s="41" t="inlineStr">
        <is>
          <t>Xe súng điện từ</t>
        </is>
      </c>
      <c r="E721" s="47" t="inlineStr">
        <is>
          <t>Đổi</t>
        </is>
      </c>
      <c r="F721" s="41" t="inlineStr">
        <is>
          <t>Xe pháo điện từ · ngắn: Pháo điện từ · EN: Railgun Truck</t>
        </is>
      </c>
      <c r="G721" s="41" t="inlineStr">
        <is>
          <t>Thẻ ghi "Xe súng điện từ", bảng DPS ghi "Pháo điện từ": thống nhất.</t>
        </is>
      </c>
      <c r="H721" s="49" t="inlineStr">
        <is>
          <t>Thấp</t>
        </is>
      </c>
    </row>
    <row r="722" ht="15" customHeight="1" s="32">
      <c r="A722" s="39" t="inlineStr">
        <is>
          <t>railgun_truck</t>
        </is>
      </c>
      <c r="B722" s="39" t="inlineStr">
        <is>
          <t>Xe súng điện từ</t>
        </is>
      </c>
      <c r="C722" s="39" t="inlineStr">
        <is>
          <t>Máu</t>
        </is>
      </c>
      <c r="D722" s="42" t="n">
        <v>924</v>
      </c>
      <c r="E722" s="49" t="inlineStr">
        <is>
          <t>Giữ</t>
        </is>
      </c>
      <c r="F722" s="39" t="n"/>
      <c r="G722" s="39" t="inlineStr">
        <is>
          <t>Máu/CP 0.67 × trung vị lớp Diệt tăng.</t>
        </is>
      </c>
      <c r="H722" s="39" t="n"/>
    </row>
    <row r="723" ht="15" customHeight="1" s="32">
      <c r="A723" s="41" t="inlineStr">
        <is>
          <t>railgun_truck</t>
        </is>
      </c>
      <c r="B723" s="41" t="inlineStr">
        <is>
          <t>Xe súng điện từ</t>
        </is>
      </c>
      <c r="C723" s="41" t="inlineStr">
        <is>
          <t>Giáp (T/H/S/N)</t>
        </is>
      </c>
      <c r="D723" s="41" t="inlineStr">
        <is>
          <t>1/0/0/0</t>
        </is>
      </c>
      <c r="E723" s="49" t="inlineStr">
        <is>
          <t>Giữ</t>
        </is>
      </c>
      <c r="F723" s="41" t="n"/>
      <c r="G723" s="41" t="inlineStr">
        <is>
          <t>Giả tưởng / máy bay; khớp vai trò.</t>
        </is>
      </c>
      <c r="H723" s="41" t="n"/>
    </row>
    <row r="724" ht="15" customHeight="1" s="32">
      <c r="A724" s="39" t="inlineStr">
        <is>
          <t>railgun_truck</t>
        </is>
      </c>
      <c r="B724" s="39" t="inlineStr">
        <is>
          <t>Xe súng điện từ</t>
        </is>
      </c>
      <c r="C724" s="39" t="inlineStr">
        <is>
          <t>Tốc độ</t>
        </is>
      </c>
      <c r="D724" s="42" t="n">
        <v>6.5</v>
      </c>
      <c r="E724" s="49" t="inlineStr">
        <is>
          <t>Giữ</t>
        </is>
      </c>
      <c r="F724" s="39" t="n"/>
      <c r="G724" s="39" t="inlineStr">
        <is>
          <t>Giả tưởng; so với xe cùng lớp.</t>
        </is>
      </c>
      <c r="H724" s="39" t="n"/>
    </row>
    <row r="725" ht="15" customHeight="1" s="32">
      <c r="A725" s="41" t="inlineStr">
        <is>
          <t>railgun_truck</t>
        </is>
      </c>
      <c r="B725" s="41" t="inlineStr">
        <is>
          <t>Xe súng điện từ</t>
        </is>
      </c>
      <c r="C725" s="41" t="inlineStr">
        <is>
          <t>Tốc độ xoay thân / tháp</t>
        </is>
      </c>
      <c r="D725" s="41" t="inlineStr">
        <is>
          <t>1 / 1</t>
        </is>
      </c>
      <c r="E725" s="49" t="inlineStr">
        <is>
          <t>Giữ</t>
        </is>
      </c>
      <c r="F725" s="41" t="n"/>
      <c r="G725" s="41" t="inlineStr">
        <is>
          <t>Hợp lý so với loại xe.</t>
        </is>
      </c>
      <c r="H725" s="41" t="n"/>
    </row>
    <row r="726" ht="15" customHeight="1" s="32">
      <c r="A726" s="39" t="inlineStr">
        <is>
          <t>railgun_truck</t>
        </is>
      </c>
      <c r="B726" s="39" t="inlineStr">
        <is>
          <t>Xe súng điện từ</t>
        </is>
      </c>
      <c r="C726" s="39" t="inlineStr">
        <is>
          <t>Kích thước model (dài × rộng × cao)</t>
        </is>
      </c>
      <c r="D726" s="39" t="inlineStr">
        <is>
          <t>9.7 × 2.9 × 3.7</t>
        </is>
      </c>
      <c r="E726" s="49" t="inlineStr">
        <is>
          <t>Giữ</t>
        </is>
      </c>
      <c r="F726" s="39" t="n"/>
      <c r="G726" s="39" t="inlineStr">
        <is>
          <t>Giả tưởng; so với xe cùng lớp.</t>
        </is>
      </c>
      <c r="H726" s="39" t="n"/>
    </row>
    <row r="727" ht="15" customHeight="1" s="32">
      <c r="A727" s="41" t="inlineStr">
        <is>
          <t>railgun_truck</t>
        </is>
      </c>
      <c r="B727" s="41" t="inlineStr">
        <is>
          <t>Xe súng điện từ</t>
        </is>
      </c>
      <c r="C727" s="41" t="inlineStr">
        <is>
          <t>Tầm nhìn</t>
        </is>
      </c>
      <c r="D727" s="43" t="n">
        <v>40</v>
      </c>
      <c r="E727" s="49" t="inlineStr">
        <is>
          <t>Giữ</t>
        </is>
      </c>
      <c r="F727" s="41" t="n"/>
      <c r="G727" s="41" t="inlineStr">
        <is>
          <t>Khớp vai trò.</t>
        </is>
      </c>
      <c r="H727" s="41" t="n"/>
    </row>
    <row r="728" ht="15" customHeight="1" s="32">
      <c r="A728" s="39" t="inlineStr">
        <is>
          <t>railgun_truck</t>
        </is>
      </c>
      <c r="B728" s="39" t="inlineStr">
        <is>
          <t>Xe súng điện từ</t>
        </is>
      </c>
      <c r="C728" s="39" t="inlineStr">
        <is>
          <t>Tầm bắn</t>
        </is>
      </c>
      <c r="D728" s="39" t="inlineStr">
        <is>
          <t>90</t>
        </is>
      </c>
      <c r="E728" s="49" t="inlineStr">
        <is>
          <t>Giữ</t>
        </is>
      </c>
      <c r="F728" s="39" t="n"/>
      <c r="G728" s="39" t="inlineStr">
        <is>
          <t>Thứ tự tầm hợp lý trong nhóm.</t>
        </is>
      </c>
      <c r="H728" s="39" t="n"/>
    </row>
    <row r="729" ht="15" customHeight="1" s="32">
      <c r="A729" s="41" t="inlineStr">
        <is>
          <t>railgun_truck</t>
        </is>
      </c>
      <c r="B729" s="41" t="inlineStr">
        <is>
          <t>Xe súng điện từ</t>
        </is>
      </c>
      <c r="C729" s="41" t="inlineStr">
        <is>
          <t>Giá (CP)</t>
        </is>
      </c>
      <c r="D729" s="43" t="n">
        <v>9</v>
      </c>
      <c r="E729" s="47" t="inlineStr">
        <is>
          <t>Đổi</t>
        </is>
      </c>
      <c r="F729" s="41" t="inlineStr">
        <is>
          <t>10 CP</t>
        </is>
      </c>
      <c r="G729" s="41" t="inlineStr">
        <is>
          <t>Mạnh nhất nhóm diệt tăng.</t>
        </is>
      </c>
      <c r="H729" s="49" t="inlineStr">
        <is>
          <t>Thấp</t>
        </is>
      </c>
    </row>
    <row r="730" ht="15" customHeight="1" s="32">
      <c r="A730" s="39" t="inlineStr">
        <is>
          <t>railgun_truck</t>
        </is>
      </c>
      <c r="B730" s="39" t="inlineStr">
        <is>
          <t>Xe súng điện từ</t>
        </is>
      </c>
      <c r="C730" s="39" t="inlineStr">
        <is>
          <t>Vũ khí</t>
        </is>
      </c>
      <c r="D730" s="42" t="n">
        <v>1</v>
      </c>
      <c r="E730" s="49" t="inlineStr">
        <is>
          <t>Giữ</t>
        </is>
      </c>
      <c r="F730" s="39" t="n"/>
      <c r="G730" s="39" t="inlineStr">
        <is>
          <t>Bộ vũ khí khớp mẫu thật và vai trò.</t>
        </is>
      </c>
      <c r="H730" s="39" t="n"/>
    </row>
    <row r="731" ht="15" customHeight="1" s="32">
      <c r="A731" s="41" t="inlineStr">
        <is>
          <t>railgun_truck</t>
        </is>
      </c>
      <c r="B731" s="41" t="inlineStr">
        <is>
          <t>Xe súng điện từ</t>
        </is>
      </c>
      <c r="C731" s="41" t="inlineStr">
        <is>
          <t>Hành vi</t>
        </is>
      </c>
      <c r="D731" s="41" t="inlineStr">
        <is>
          <t>Dừng lại mới bắn; Xe la-de tập trung</t>
        </is>
      </c>
      <c r="E731" s="49" t="inlineStr">
        <is>
          <t>Giữ</t>
        </is>
      </c>
      <c r="F731" s="41" t="n"/>
      <c r="G731" s="41" t="inlineStr">
        <is>
          <t>Hợp vai trò.</t>
        </is>
      </c>
      <c r="H731" s="41" t="n"/>
    </row>
    <row r="732" ht="15" customHeight="1" s="32">
      <c r="A732" s="39" t="inlineStr">
        <is>
          <t>railgun_truck</t>
        </is>
      </c>
      <c r="B732" s="39" t="inlineStr">
        <is>
          <t>Xe súng điện từ</t>
        </is>
      </c>
      <c r="C732" s="39" t="inlineStr">
        <is>
          <t>Nổ khi bị phá (bán kính)</t>
        </is>
      </c>
      <c r="D732" s="39" t="inlineStr">
        <is>
          <t>7 m · 240 sát thương</t>
        </is>
      </c>
      <c r="E732" s="49" t="inlineStr">
        <is>
          <t>Giữ</t>
        </is>
      </c>
      <c r="F732" s="39" t="n"/>
      <c r="G732" s="39" t="inlineStr">
        <is>
          <t>Hợp với cỡ xe.</t>
        </is>
      </c>
      <c r="H732" s="39" t="n"/>
    </row>
    <row r="733" ht="32.25" customHeight="1" s="32">
      <c r="A733" s="41" t="inlineStr">
        <is>
          <t>railgun_truck</t>
        </is>
      </c>
      <c r="B733" s="41" t="inlineStr">
        <is>
          <t>Xe súng điện từ</t>
        </is>
      </c>
      <c r="C733" s="41" t="inlineStr">
        <is>
          <t>Tham khảo / model</t>
        </is>
      </c>
      <c r="D733" s="41" t="inlineStr">
        <is>
          <t>ATLA railgun (Nhật Bản), US Navy EMRG — Xe tải 8x8 mang pháo điện từ ray kép</t>
        </is>
      </c>
      <c r="E733" s="49" t="inlineStr">
        <is>
          <t>Giữ</t>
        </is>
      </c>
      <c r="F733" s="41" t="n"/>
      <c r="G733" s="41" t="inlineStr">
        <is>
          <t>Khớp vũ khí và vai trò.</t>
        </is>
      </c>
      <c r="H733" s="41" t="n"/>
    </row>
    <row r="734" ht="21.75" customHeight="1" s="32">
      <c r="A734" s="39" t="inlineStr">
        <is>
          <t>laser_tank</t>
        </is>
      </c>
      <c r="B734" s="39" t="inlineStr">
        <is>
          <t>Xe la-de tập trung</t>
        </is>
      </c>
      <c r="C734" s="39" t="inlineStr">
        <is>
          <t>Tên</t>
        </is>
      </c>
      <c r="D734" s="39" t="inlineStr">
        <is>
          <t>Xe la-de tập trung</t>
        </is>
      </c>
      <c r="E734" s="47" t="inlineStr">
        <is>
          <t>Đổi</t>
        </is>
      </c>
      <c r="F734" s="39" t="inlineStr">
        <is>
          <t>Xe la-de diệt tăng · ngắn: La-de diệt tăng · EN: Laser Tank Destroyer</t>
        </is>
      </c>
      <c r="G734" s="39" t="inlineStr">
        <is>
          <t>"Tập trung" không nói lên vai trò.</t>
        </is>
      </c>
      <c r="H734" s="49" t="inlineStr">
        <is>
          <t>Thấp</t>
        </is>
      </c>
    </row>
    <row r="735" ht="15" customHeight="1" s="32">
      <c r="A735" s="41" t="inlineStr">
        <is>
          <t>laser_tank</t>
        </is>
      </c>
      <c r="B735" s="41" t="inlineStr">
        <is>
          <t>Xe la-de tập trung</t>
        </is>
      </c>
      <c r="C735" s="41" t="inlineStr">
        <is>
          <t>Máu</t>
        </is>
      </c>
      <c r="D735" s="43" t="n">
        <v>1540</v>
      </c>
      <c r="E735" s="49" t="inlineStr">
        <is>
          <t>Giữ</t>
        </is>
      </c>
      <c r="F735" s="41" t="n"/>
      <c r="G735" s="41" t="inlineStr">
        <is>
          <t>Máu/CP 1.00 × trung vị lớp Diệt tăng.</t>
        </is>
      </c>
      <c r="H735" s="41" t="n"/>
    </row>
    <row r="736" ht="15" customHeight="1" s="32">
      <c r="A736" s="39" t="inlineStr">
        <is>
          <t>laser_tank</t>
        </is>
      </c>
      <c r="B736" s="39" t="inlineStr">
        <is>
          <t>Xe la-de tập trung</t>
        </is>
      </c>
      <c r="C736" s="39" t="inlineStr">
        <is>
          <t>Giáp (T/H/S/N)</t>
        </is>
      </c>
      <c r="D736" s="39" t="inlineStr">
        <is>
          <t>3/2/1/1</t>
        </is>
      </c>
      <c r="E736" s="47" t="inlineStr">
        <is>
          <t>Đổi</t>
        </is>
      </c>
      <c r="F736" s="39" t="inlineStr">
        <is>
          <t>2/1/1/1</t>
        </is>
      </c>
      <c r="G736" s="39" t="inlineStr">
        <is>
          <t>Xe mang laser không phải xe tăng hạng nặng.</t>
        </is>
      </c>
      <c r="H736" s="48" t="inlineStr">
        <is>
          <t>Trung</t>
        </is>
      </c>
    </row>
    <row r="737" ht="15" customHeight="1" s="32">
      <c r="A737" s="41" t="inlineStr">
        <is>
          <t>laser_tank</t>
        </is>
      </c>
      <c r="B737" s="41" t="inlineStr">
        <is>
          <t>Xe la-de tập trung</t>
        </is>
      </c>
      <c r="C737" s="41" t="inlineStr">
        <is>
          <t>Tốc độ</t>
        </is>
      </c>
      <c r="D737" s="43" t="n">
        <v>6.5</v>
      </c>
      <c r="E737" s="49" t="inlineStr">
        <is>
          <t>Giữ</t>
        </is>
      </c>
      <c r="F737" s="41" t="n"/>
      <c r="G737" s="41" t="inlineStr">
        <is>
          <t>Giả tưởng; so với xe cùng lớp.</t>
        </is>
      </c>
      <c r="H737" s="41" t="n"/>
    </row>
    <row r="738" ht="15" customHeight="1" s="32">
      <c r="A738" s="39" t="inlineStr">
        <is>
          <t>laser_tank</t>
        </is>
      </c>
      <c r="B738" s="39" t="inlineStr">
        <is>
          <t>Xe la-de tập trung</t>
        </is>
      </c>
      <c r="C738" s="39" t="inlineStr">
        <is>
          <t>Tốc độ xoay thân / tháp</t>
        </is>
      </c>
      <c r="D738" s="39" t="inlineStr">
        <is>
          <t>1 / 1</t>
        </is>
      </c>
      <c r="E738" s="49" t="inlineStr">
        <is>
          <t>Giữ</t>
        </is>
      </c>
      <c r="F738" s="39" t="n"/>
      <c r="G738" s="39" t="inlineStr">
        <is>
          <t>Hợp lý so với loại xe.</t>
        </is>
      </c>
      <c r="H738" s="39" t="n"/>
    </row>
    <row r="739" ht="15" customHeight="1" s="32">
      <c r="A739" s="41" t="inlineStr">
        <is>
          <t>laser_tank</t>
        </is>
      </c>
      <c r="B739" s="41" t="inlineStr">
        <is>
          <t>Xe la-de tập trung</t>
        </is>
      </c>
      <c r="C739" s="41" t="inlineStr">
        <is>
          <t>Kích thước model (dài × rộng × cao)</t>
        </is>
      </c>
      <c r="D739" s="41" t="inlineStr">
        <is>
          <t>6.3 × 2.7 × 2.6</t>
        </is>
      </c>
      <c r="E739" s="49" t="inlineStr">
        <is>
          <t>Giữ</t>
        </is>
      </c>
      <c r="F739" s="41" t="n"/>
      <c r="G739" s="41" t="inlineStr">
        <is>
          <t>Giả tưởng; so với xe cùng lớp.</t>
        </is>
      </c>
      <c r="H739" s="41" t="n"/>
    </row>
    <row r="740" ht="15" customHeight="1" s="32">
      <c r="A740" s="39" t="inlineStr">
        <is>
          <t>laser_tank</t>
        </is>
      </c>
      <c r="B740" s="39" t="inlineStr">
        <is>
          <t>Xe la-de tập trung</t>
        </is>
      </c>
      <c r="C740" s="39" t="inlineStr">
        <is>
          <t>Tầm nhìn</t>
        </is>
      </c>
      <c r="D740" s="42" t="n">
        <v>38</v>
      </c>
      <c r="E740" s="49" t="inlineStr">
        <is>
          <t>Giữ</t>
        </is>
      </c>
      <c r="F740" s="39" t="n"/>
      <c r="G740" s="39" t="inlineStr">
        <is>
          <t>Khớp vai trò.</t>
        </is>
      </c>
      <c r="H740" s="39" t="n"/>
    </row>
    <row r="741" ht="15" customHeight="1" s="32">
      <c r="A741" s="41" t="inlineStr">
        <is>
          <t>laser_tank</t>
        </is>
      </c>
      <c r="B741" s="41" t="inlineStr">
        <is>
          <t>Xe la-de tập trung</t>
        </is>
      </c>
      <c r="C741" s="41" t="inlineStr">
        <is>
          <t>Tầm bắn</t>
        </is>
      </c>
      <c r="D741" s="41" t="inlineStr">
        <is>
          <t>40</t>
        </is>
      </c>
      <c r="E741" s="49" t="inlineStr">
        <is>
          <t>Giữ</t>
        </is>
      </c>
      <c r="F741" s="41" t="n"/>
      <c r="G741" s="41" t="inlineStr">
        <is>
          <t>Thứ tự tầm hợp lý trong nhóm.</t>
        </is>
      </c>
      <c r="H741" s="41" t="n"/>
    </row>
    <row r="742" ht="15" customHeight="1" s="32">
      <c r="A742" s="39" t="inlineStr">
        <is>
          <t>laser_tank</t>
        </is>
      </c>
      <c r="B742" s="39" t="inlineStr">
        <is>
          <t>Xe la-de tập trung</t>
        </is>
      </c>
      <c r="C742" s="39" t="inlineStr">
        <is>
          <t>Giá (CP)</t>
        </is>
      </c>
      <c r="D742" s="42" t="n">
        <v>10</v>
      </c>
      <c r="E742" s="47" t="inlineStr">
        <is>
          <t>Đổi</t>
        </is>
      </c>
      <c r="F742" s="39" t="inlineStr">
        <is>
          <t>9 CP</t>
        </is>
      </c>
      <c r="G742" s="39" t="inlineStr">
        <is>
          <t>Kém Pháo điện từ rẻ hơn ở chính vai trò diệt tăng.</t>
        </is>
      </c>
      <c r="H742" s="48" t="inlineStr">
        <is>
          <t>Trung</t>
        </is>
      </c>
    </row>
    <row r="743" ht="15" customHeight="1" s="32">
      <c r="A743" s="41" t="inlineStr">
        <is>
          <t>laser_tank</t>
        </is>
      </c>
      <c r="B743" s="41" t="inlineStr">
        <is>
          <t>Xe la-de tập trung</t>
        </is>
      </c>
      <c r="C743" s="41" t="inlineStr">
        <is>
          <t>Vũ khí</t>
        </is>
      </c>
      <c r="D743" s="43" t="n">
        <v>1</v>
      </c>
      <c r="E743" s="49" t="inlineStr">
        <is>
          <t>Giữ</t>
        </is>
      </c>
      <c r="F743" s="41" t="n"/>
      <c r="G743" s="41" t="inlineStr">
        <is>
          <t>Bộ vũ khí khớp mẫu thật và vai trò.</t>
        </is>
      </c>
      <c r="H743" s="41" t="n"/>
    </row>
    <row r="744" ht="32.25" customHeight="1" s="32">
      <c r="A744" s="39" t="inlineStr">
        <is>
          <t>laser_tank</t>
        </is>
      </c>
      <c r="B744" s="39" t="inlineStr">
        <is>
          <t>Xe la-de tập trung</t>
        </is>
      </c>
      <c r="C744" s="39" t="inlineStr">
        <is>
          <t>Hành vi</t>
        </is>
      </c>
      <c r="D744" s="39" t="inlineStr">
        <is>
          <t>Vừa chạy vừa bắn; Bắn hết 80 viên thì thay băng; Ưu tiên tăng hạng nặng, xe tăng</t>
        </is>
      </c>
      <c r="E744" s="49" t="inlineStr">
        <is>
          <t>Giữ</t>
        </is>
      </c>
      <c r="F744" s="39" t="n"/>
      <c r="G744" s="39" t="inlineStr">
        <is>
          <t>Hợp vai trò.</t>
        </is>
      </c>
      <c r="H744" s="39" t="n"/>
    </row>
    <row r="745" ht="15" customHeight="1" s="32">
      <c r="A745" s="41" t="inlineStr">
        <is>
          <t>laser_tank</t>
        </is>
      </c>
      <c r="B745" s="41" t="inlineStr">
        <is>
          <t>Xe la-de tập trung</t>
        </is>
      </c>
      <c r="C745" s="41" t="inlineStr">
        <is>
          <t>Nổ khi bị phá (bán kính)</t>
        </is>
      </c>
      <c r="D745" s="41" t="inlineStr">
        <is>
          <t>7 m · 220 sát thương</t>
        </is>
      </c>
      <c r="E745" s="49" t="inlineStr">
        <is>
          <t>Giữ</t>
        </is>
      </c>
      <c r="F745" s="41" t="n"/>
      <c r="G745" s="41" t="inlineStr">
        <is>
          <t>Hợp với cỡ xe.</t>
        </is>
      </c>
      <c r="H745" s="41" t="n"/>
    </row>
    <row r="746" ht="32.25" customHeight="1" s="32">
      <c r="A746" s="39" t="inlineStr">
        <is>
          <t>laser_tank</t>
        </is>
      </c>
      <c r="B746" s="39" t="inlineStr">
        <is>
          <t>Xe la-de tập trung</t>
        </is>
      </c>
      <c r="C746" s="39" t="inlineStr">
        <is>
          <t>Tham khảo / model</t>
        </is>
      </c>
      <c r="D746" s="39" t="inlineStr">
        <is>
          <t>Rheinmetall HEL, DE M-SHORAD (laser trên Stryker) — Pháo chống tăng laser: đầu phát tia tr</t>
        </is>
      </c>
      <c r="E746" s="49" t="inlineStr">
        <is>
          <t>Giữ</t>
        </is>
      </c>
      <c r="F746" s="39" t="n"/>
      <c r="G746" s="39" t="inlineStr">
        <is>
          <t>Khớp vũ khí và vai trò.</t>
        </is>
      </c>
      <c r="H746" s="39" t="n"/>
    </row>
    <row r="747" ht="15" customHeight="1" s="32">
      <c r="A747" s="41" t="inlineStr">
        <is>
          <t>aa_turret</t>
        </is>
      </c>
      <c r="B747" s="41" t="inlineStr">
        <is>
          <t>Tháp phòng không</t>
        </is>
      </c>
      <c r="C747" s="41" t="inlineStr">
        <is>
          <t>Tên</t>
        </is>
      </c>
      <c r="D747" s="41" t="inlineStr">
        <is>
          <t>Tháp phòng không</t>
        </is>
      </c>
      <c r="E747" s="49" t="inlineStr">
        <is>
          <t>Giữ</t>
        </is>
      </c>
      <c r="F747" s="41" t="n"/>
      <c r="G747" s="41" t="inlineStr">
        <is>
          <t>Tên rõ vai trò.</t>
        </is>
      </c>
      <c r="H747" s="41" t="n"/>
    </row>
    <row r="748" ht="15" customHeight="1" s="32">
      <c r="A748" s="39" t="inlineStr">
        <is>
          <t>aa_turret</t>
        </is>
      </c>
      <c r="B748" s="39" t="inlineStr">
        <is>
          <t>Tháp phòng không</t>
        </is>
      </c>
      <c r="C748" s="39" t="inlineStr">
        <is>
          <t>Ô</t>
        </is>
      </c>
      <c r="D748" s="39" t="inlineStr">
        <is>
          <t>Nhỏ</t>
        </is>
      </c>
      <c r="E748" s="49" t="inlineStr">
        <is>
          <t>Giữ</t>
        </is>
      </c>
      <c r="F748" s="39" t="n"/>
      <c r="G748" s="39" t="n"/>
      <c r="H748" s="39" t="n"/>
    </row>
    <row r="749" ht="15" customHeight="1" s="32">
      <c r="A749" s="41" t="inlineStr">
        <is>
          <t>aa_turret</t>
        </is>
      </c>
      <c r="B749" s="41" t="inlineStr">
        <is>
          <t>Tháp phòng không</t>
        </is>
      </c>
      <c r="C749" s="41" t="inlineStr">
        <is>
          <t>Máu</t>
        </is>
      </c>
      <c r="D749" s="43" t="n">
        <v>2420</v>
      </c>
      <c r="E749" s="49" t="inlineStr">
        <is>
          <t>Giữ</t>
        </is>
      </c>
      <c r="F749" s="41" t="n"/>
      <c r="G749" s="41" t="inlineStr">
        <is>
          <t>1.38 × trung vị máu tháp ô nhỏ.</t>
        </is>
      </c>
      <c r="H749" s="41" t="n"/>
    </row>
    <row r="750" ht="15" customHeight="1" s="32">
      <c r="A750" s="39" t="inlineStr">
        <is>
          <t>aa_turret</t>
        </is>
      </c>
      <c r="B750" s="39" t="inlineStr">
        <is>
          <t>Tháp phòng không</t>
        </is>
      </c>
      <c r="C750" s="39" t="inlineStr">
        <is>
          <t>Giáp</t>
        </is>
      </c>
      <c r="D750" s="39" t="inlineStr">
        <is>
          <t>cấp 2 (Vừa) · công trình</t>
        </is>
      </c>
      <c r="E750" s="49" t="inlineStr">
        <is>
          <t>Giữ</t>
        </is>
      </c>
      <c r="F750" s="39" t="n"/>
      <c r="G750" s="39" t="inlineStr">
        <is>
          <t>Công trình; hợp vai trò.</t>
        </is>
      </c>
      <c r="H750" s="39" t="n"/>
    </row>
    <row r="751" ht="15" customHeight="1" s="32">
      <c r="A751" s="41" t="inlineStr">
        <is>
          <t>aa_turret</t>
        </is>
      </c>
      <c r="B751" s="41" t="inlineStr">
        <is>
          <t>Tháp phòng không</t>
        </is>
      </c>
      <c r="C751" s="41" t="inlineStr">
        <is>
          <t>Kích thước</t>
        </is>
      </c>
      <c r="D751" s="41" t="inlineStr">
        <is>
          <t>5.4 × 4.5 × 3.2</t>
        </is>
      </c>
      <c r="E751" s="49" t="inlineStr">
        <is>
          <t>Giữ</t>
        </is>
      </c>
      <c r="F751" s="41" t="n"/>
      <c r="G751" s="41" t="inlineStr">
        <is>
          <t>Vừa cỡ ô.</t>
        </is>
      </c>
      <c r="H751" s="41" t="n"/>
    </row>
    <row r="752" ht="32.25" customHeight="1" s="32">
      <c r="A752" s="39" t="inlineStr">
        <is>
          <t>aa_turret</t>
        </is>
      </c>
      <c r="B752" s="39" t="inlineStr">
        <is>
          <t>Tháp phòng không</t>
        </is>
      </c>
      <c r="C752" s="39" t="inlineStr">
        <is>
          <t>Vũ khí và tham khảo</t>
        </is>
      </c>
      <c r="D752" s="39" t="inlineStr">
        <is>
          <t>tham khảo Oerlikon GDF 35 mm nhưng vũ khí 2A38 30 mm · chống máy bay 300</t>
        </is>
      </c>
      <c r="E752" s="47" t="inlineStr">
        <is>
          <t>Đổi</t>
        </is>
      </c>
      <c r="F752" s="39" t="inlineStr">
        <is>
          <t>chọn một: đổi vũ khí thành Oerlikon 35 mm hoặc đổi tham khảo sang 2A38; chống máy bay 300→240</t>
        </is>
      </c>
      <c r="G752" s="39" t="inlineStr">
        <is>
          <t>Tham khảo lệch vũ khí; tháp ô nhỏ đang mạnh hơn Patriot ô lớn.</t>
        </is>
      </c>
      <c r="H752" s="47" t="inlineStr">
        <is>
          <t>Cao</t>
        </is>
      </c>
    </row>
    <row r="753" ht="15" customHeight="1" s="32">
      <c r="A753" s="41" t="inlineStr">
        <is>
          <t>aa_turret</t>
        </is>
      </c>
      <c r="B753" s="41" t="inlineStr">
        <is>
          <t>Tháp phòng không</t>
        </is>
      </c>
      <c r="C753" s="41" t="inlineStr">
        <is>
          <t>Nổ khi bị phá</t>
        </is>
      </c>
      <c r="D753" s="41" t="inlineStr">
        <is>
          <t>7 m</t>
        </is>
      </c>
      <c r="E753" s="49" t="inlineStr">
        <is>
          <t>Giữ</t>
        </is>
      </c>
      <c r="F753" s="41" t="n"/>
      <c r="G753" s="41" t="inlineStr">
        <is>
          <t>Hợp cỡ.</t>
        </is>
      </c>
      <c r="H753" s="41" t="n"/>
    </row>
    <row r="754" ht="21.75" customHeight="1" s="32">
      <c r="A754" s="39" t="inlineStr">
        <is>
          <t>aa_turret.flak</t>
        </is>
      </c>
      <c r="B754" s="39" t="inlineStr">
        <is>
          <t>Tháp phòng không · nhánh Tháp cao xạ</t>
        </is>
      </c>
      <c r="C754" s="39" t="inlineStr">
        <is>
          <t>Tên</t>
        </is>
      </c>
      <c r="D754" s="39" t="inlineStr">
        <is>
          <t>Tháp phòng không · nhánh Tháp cao xạ</t>
        </is>
      </c>
      <c r="E754" s="49" t="inlineStr">
        <is>
          <t>Giữ</t>
        </is>
      </c>
      <c r="F754" s="39" t="n"/>
      <c r="G754" s="39" t="inlineStr">
        <is>
          <t>Tên rõ vai trò.</t>
        </is>
      </c>
      <c r="H754" s="39" t="n"/>
    </row>
    <row r="755" ht="21.75" customHeight="1" s="32">
      <c r="A755" s="41" t="inlineStr">
        <is>
          <t>aa_turret.flak</t>
        </is>
      </c>
      <c r="B755" s="41" t="inlineStr">
        <is>
          <t>Tháp phòng không · nhánh Tháp cao xạ</t>
        </is>
      </c>
      <c r="C755" s="41" t="inlineStr">
        <is>
          <t>Ô</t>
        </is>
      </c>
      <c r="D755" s="41" t="inlineStr">
        <is>
          <t>Nhỏ</t>
        </is>
      </c>
      <c r="E755" s="49" t="inlineStr">
        <is>
          <t>Giữ</t>
        </is>
      </c>
      <c r="F755" s="41" t="n"/>
      <c r="G755" s="41" t="n"/>
      <c r="H755" s="41" t="n"/>
    </row>
    <row r="756" ht="21.75" customHeight="1" s="32">
      <c r="A756" s="39" t="inlineStr">
        <is>
          <t>aa_turret.flak</t>
        </is>
      </c>
      <c r="B756" s="39" t="inlineStr">
        <is>
          <t>Tháp phòng không · nhánh Tháp cao xạ</t>
        </is>
      </c>
      <c r="C756" s="39" t="inlineStr">
        <is>
          <t>Máu</t>
        </is>
      </c>
      <c r="D756" s="42" t="n">
        <v>2420</v>
      </c>
      <c r="E756" s="49" t="inlineStr">
        <is>
          <t>Giữ</t>
        </is>
      </c>
      <c r="F756" s="39" t="n"/>
      <c r="G756" s="39" t="inlineStr">
        <is>
          <t>1.38 × trung vị máu tháp ô nhỏ.</t>
        </is>
      </c>
      <c r="H756" s="39" t="n"/>
    </row>
    <row r="757" ht="21.75" customHeight="1" s="32">
      <c r="A757" s="41" t="inlineStr">
        <is>
          <t>aa_turret.flak</t>
        </is>
      </c>
      <c r="B757" s="41" t="inlineStr">
        <is>
          <t>Tháp phòng không · nhánh Tháp cao xạ</t>
        </is>
      </c>
      <c r="C757" s="41" t="inlineStr">
        <is>
          <t>Giáp</t>
        </is>
      </c>
      <c r="D757" s="41" t="inlineStr">
        <is>
          <t>cấp 2 (Vừa) · công trình</t>
        </is>
      </c>
      <c r="E757" s="49" t="inlineStr">
        <is>
          <t>Giữ</t>
        </is>
      </c>
      <c r="F757" s="41" t="n"/>
      <c r="G757" s="41" t="inlineStr">
        <is>
          <t>Công trình; hợp vai trò.</t>
        </is>
      </c>
      <c r="H757" s="41" t="n"/>
    </row>
    <row r="758" ht="21.75" customHeight="1" s="32">
      <c r="A758" s="39" t="inlineStr">
        <is>
          <t>aa_turret.flak</t>
        </is>
      </c>
      <c r="B758" s="39" t="inlineStr">
        <is>
          <t>Tháp phòng không · nhánh Tháp cao xạ</t>
        </is>
      </c>
      <c r="C758" s="39" t="inlineStr">
        <is>
          <t>Kích thước</t>
        </is>
      </c>
      <c r="D758" s="39" t="inlineStr">
        <is>
          <t>5.4 × 4.5 × 3.2</t>
        </is>
      </c>
      <c r="E758" s="49" t="inlineStr">
        <is>
          <t>Giữ</t>
        </is>
      </c>
      <c r="F758" s="39" t="n"/>
      <c r="G758" s="39" t="inlineStr">
        <is>
          <t>Vừa cỡ ô.</t>
        </is>
      </c>
      <c r="H758" s="39" t="n"/>
    </row>
    <row r="759" ht="21.75" customHeight="1" s="32">
      <c r="A759" s="41" t="inlineStr">
        <is>
          <t>aa_turret.flak</t>
        </is>
      </c>
      <c r="B759" s="41" t="inlineStr">
        <is>
          <t>Tháp phòng không · nhánh Tháp cao xạ</t>
        </is>
      </c>
      <c r="C759" s="41" t="inlineStr">
        <is>
          <t>Vũ khí / DPS</t>
        </is>
      </c>
      <c r="D759" s="41" t="inlineStr">
        <is>
          <t>100/29/305</t>
        </is>
      </c>
      <c r="E759" s="49" t="inlineStr">
        <is>
          <t>Giữ</t>
        </is>
      </c>
      <c r="F759" s="41" t="n"/>
      <c r="G759" s="41" t="inlineStr">
        <is>
          <t>Trong khoảng mục tiêu của cỡ ô.</t>
        </is>
      </c>
      <c r="H759" s="41" t="n"/>
    </row>
    <row r="760" ht="21.75" customHeight="1" s="32">
      <c r="A760" s="39" t="inlineStr">
        <is>
          <t>aa_turret.flak</t>
        </is>
      </c>
      <c r="B760" s="39" t="inlineStr">
        <is>
          <t>Tháp phòng không · nhánh Tháp cao xạ</t>
        </is>
      </c>
      <c r="C760" s="39" t="inlineStr">
        <is>
          <t>Nổ khi bị phá</t>
        </is>
      </c>
      <c r="D760" s="39" t="inlineStr">
        <is>
          <t>7 m</t>
        </is>
      </c>
      <c r="E760" s="49" t="inlineStr">
        <is>
          <t>Giữ</t>
        </is>
      </c>
      <c r="F760" s="39" t="n"/>
      <c r="G760" s="39" t="inlineStr">
        <is>
          <t>Hợp cỡ.</t>
        </is>
      </c>
      <c r="H760" s="39" t="n"/>
    </row>
    <row r="761" ht="21.75" customHeight="1" s="32">
      <c r="A761" s="41" t="inlineStr">
        <is>
          <t>aa_turret.sam</t>
        </is>
      </c>
      <c r="B761" s="41" t="inlineStr">
        <is>
          <t>Tháp phòng không · nhánh Trạm tên lửa</t>
        </is>
      </c>
      <c r="C761" s="41" t="inlineStr">
        <is>
          <t>Tên</t>
        </is>
      </c>
      <c r="D761" s="41" t="inlineStr">
        <is>
          <t>Tháp phòng không · nhánh Trạm tên lửa</t>
        </is>
      </c>
      <c r="E761" s="49" t="inlineStr">
        <is>
          <t>Giữ</t>
        </is>
      </c>
      <c r="F761" s="41" t="n"/>
      <c r="G761" s="41" t="inlineStr">
        <is>
          <t>Tên rõ vai trò.</t>
        </is>
      </c>
      <c r="H761" s="41" t="n"/>
    </row>
    <row r="762" ht="21.75" customHeight="1" s="32">
      <c r="A762" s="39" t="inlineStr">
        <is>
          <t>aa_turret.sam</t>
        </is>
      </c>
      <c r="B762" s="39" t="inlineStr">
        <is>
          <t>Tháp phòng không · nhánh Trạm tên lửa</t>
        </is>
      </c>
      <c r="C762" s="39" t="inlineStr">
        <is>
          <t>Ô</t>
        </is>
      </c>
      <c r="D762" s="39" t="inlineStr">
        <is>
          <t>Nhỏ</t>
        </is>
      </c>
      <c r="E762" s="49" t="inlineStr">
        <is>
          <t>Giữ</t>
        </is>
      </c>
      <c r="F762" s="39" t="n"/>
      <c r="G762" s="39" t="n"/>
      <c r="H762" s="39" t="n"/>
    </row>
    <row r="763" ht="21.75" customHeight="1" s="32">
      <c r="A763" s="41" t="inlineStr">
        <is>
          <t>aa_turret.sam</t>
        </is>
      </c>
      <c r="B763" s="41" t="inlineStr">
        <is>
          <t>Tháp phòng không · nhánh Trạm tên lửa</t>
        </is>
      </c>
      <c r="C763" s="41" t="inlineStr">
        <is>
          <t>Máu</t>
        </is>
      </c>
      <c r="D763" s="43" t="n">
        <v>2420</v>
      </c>
      <c r="E763" s="49" t="inlineStr">
        <is>
          <t>Giữ</t>
        </is>
      </c>
      <c r="F763" s="41" t="n"/>
      <c r="G763" s="41" t="inlineStr">
        <is>
          <t>1.38 × trung vị máu tháp ô nhỏ.</t>
        </is>
      </c>
      <c r="H763" s="41" t="n"/>
    </row>
    <row r="764" ht="21.75" customHeight="1" s="32">
      <c r="A764" s="39" t="inlineStr">
        <is>
          <t>aa_turret.sam</t>
        </is>
      </c>
      <c r="B764" s="39" t="inlineStr">
        <is>
          <t>Tháp phòng không · nhánh Trạm tên lửa</t>
        </is>
      </c>
      <c r="C764" s="39" t="inlineStr">
        <is>
          <t>Giáp</t>
        </is>
      </c>
      <c r="D764" s="39" t="inlineStr">
        <is>
          <t>cấp 2 (Vừa) · công trình</t>
        </is>
      </c>
      <c r="E764" s="49" t="inlineStr">
        <is>
          <t>Giữ</t>
        </is>
      </c>
      <c r="F764" s="39" t="n"/>
      <c r="G764" s="39" t="inlineStr">
        <is>
          <t>Công trình; hợp vai trò.</t>
        </is>
      </c>
      <c r="H764" s="39" t="n"/>
    </row>
    <row r="765" ht="21.75" customHeight="1" s="32">
      <c r="A765" s="41" t="inlineStr">
        <is>
          <t>aa_turret.sam</t>
        </is>
      </c>
      <c r="B765" s="41" t="inlineStr">
        <is>
          <t>Tháp phòng không · nhánh Trạm tên lửa</t>
        </is>
      </c>
      <c r="C765" s="41" t="inlineStr">
        <is>
          <t>Kích thước</t>
        </is>
      </c>
      <c r="D765" s="41" t="inlineStr">
        <is>
          <t>5.4 × 4.5 × 3.2</t>
        </is>
      </c>
      <c r="E765" s="49" t="inlineStr">
        <is>
          <t>Giữ</t>
        </is>
      </c>
      <c r="F765" s="41" t="n"/>
      <c r="G765" s="41" t="inlineStr">
        <is>
          <t>Vừa cỡ ô.</t>
        </is>
      </c>
      <c r="H765" s="41" t="n"/>
    </row>
    <row r="766" ht="21.75" customHeight="1" s="32">
      <c r="A766" s="39" t="inlineStr">
        <is>
          <t>aa_turret.sam</t>
        </is>
      </c>
      <c r="B766" s="39" t="inlineStr">
        <is>
          <t>Tháp phòng không · nhánh Trạm tên lửa</t>
        </is>
      </c>
      <c r="C766" s="39" t="inlineStr">
        <is>
          <t>Tham khảo</t>
        </is>
      </c>
      <c r="D766" s="39" t="inlineStr">
        <is>
          <t>9K37 Buk (hệ thống lớn)</t>
        </is>
      </c>
      <c r="E766" s="47" t="inlineStr">
        <is>
          <t>Đổi</t>
        </is>
      </c>
      <c r="F766" s="39" t="inlineStr">
        <is>
          <t>Mistral / RBS-70 / Starstreak LML (bệ nhỏ)</t>
        </is>
      </c>
      <c r="G766" s="39" t="inlineStr">
        <is>
          <t>Buk là hệ thống cỡ tiểu đoàn, không hợp tháp ô nhỏ.</t>
        </is>
      </c>
      <c r="H766" s="48" t="inlineStr">
        <is>
          <t>Trung</t>
        </is>
      </c>
    </row>
    <row r="767" ht="21.75" customHeight="1" s="32">
      <c r="A767" s="41" t="inlineStr">
        <is>
          <t>aa_turret.sam</t>
        </is>
      </c>
      <c r="B767" s="41" t="inlineStr">
        <is>
          <t>Tháp phòng không · nhánh Trạm tên lửa</t>
        </is>
      </c>
      <c r="C767" s="41" t="inlineStr">
        <is>
          <t>Nổ khi bị phá</t>
        </is>
      </c>
      <c r="D767" s="41" t="inlineStr">
        <is>
          <t>7 m</t>
        </is>
      </c>
      <c r="E767" s="49" t="inlineStr">
        <is>
          <t>Giữ</t>
        </is>
      </c>
      <c r="F767" s="41" t="n"/>
      <c r="G767" s="41" t="inlineStr">
        <is>
          <t>Hợp cỡ.</t>
        </is>
      </c>
      <c r="H767" s="41" t="n"/>
    </row>
    <row r="768" ht="15" customHeight="1" s="32">
      <c r="A768" s="39" t="inlineStr">
        <is>
          <t>cp_relay</t>
        </is>
      </c>
      <c r="B768" s="39" t="inlineStr">
        <is>
          <t>Trạm tiếp tế CP</t>
        </is>
      </c>
      <c r="C768" s="39" t="inlineStr">
        <is>
          <t>Tên</t>
        </is>
      </c>
      <c r="D768" s="39" t="inlineStr">
        <is>
          <t>Trạm tiếp tế CP</t>
        </is>
      </c>
      <c r="E768" s="49" t="inlineStr">
        <is>
          <t>Giữ</t>
        </is>
      </c>
      <c r="F768" s="39" t="n"/>
      <c r="G768" s="39" t="inlineStr">
        <is>
          <t>Tên rõ vai trò.</t>
        </is>
      </c>
      <c r="H768" s="39" t="n"/>
    </row>
    <row r="769" ht="15" customHeight="1" s="32">
      <c r="A769" s="41" t="inlineStr">
        <is>
          <t>cp_relay</t>
        </is>
      </c>
      <c r="B769" s="41" t="inlineStr">
        <is>
          <t>Trạm tiếp tế CP</t>
        </is>
      </c>
      <c r="C769" s="41" t="inlineStr">
        <is>
          <t>Ô</t>
        </is>
      </c>
      <c r="D769" s="41" t="inlineStr">
        <is>
          <t>Nhỏ</t>
        </is>
      </c>
      <c r="E769" s="49" t="inlineStr">
        <is>
          <t>Giữ</t>
        </is>
      </c>
      <c r="F769" s="41" t="n"/>
      <c r="G769" s="41" t="n"/>
      <c r="H769" s="41" t="n"/>
    </row>
    <row r="770" ht="15" customHeight="1" s="32">
      <c r="A770" s="39" t="inlineStr">
        <is>
          <t>cp_relay</t>
        </is>
      </c>
      <c r="B770" s="39" t="inlineStr">
        <is>
          <t>Trạm tiếp tế CP</t>
        </is>
      </c>
      <c r="C770" s="39" t="inlineStr">
        <is>
          <t>Máu</t>
        </is>
      </c>
      <c r="D770" s="42" t="n">
        <v>1320</v>
      </c>
      <c r="E770" s="49" t="inlineStr">
        <is>
          <t>Giữ</t>
        </is>
      </c>
      <c r="F770" s="39" t="n"/>
      <c r="G770" s="39" t="inlineStr">
        <is>
          <t>0.75 × trung vị máu tháp ô nhỏ.</t>
        </is>
      </c>
      <c r="H770" s="39" t="n"/>
    </row>
    <row r="771" ht="15" customHeight="1" s="32">
      <c r="A771" s="41" t="inlineStr">
        <is>
          <t>cp_relay</t>
        </is>
      </c>
      <c r="B771" s="41" t="inlineStr">
        <is>
          <t>Trạm tiếp tế CP</t>
        </is>
      </c>
      <c r="C771" s="41" t="inlineStr">
        <is>
          <t>Giáp</t>
        </is>
      </c>
      <c r="D771" s="41" t="inlineStr">
        <is>
          <t>cấp 1 (Mỏng) · công trình</t>
        </is>
      </c>
      <c r="E771" s="49" t="inlineStr">
        <is>
          <t>Giữ</t>
        </is>
      </c>
      <c r="F771" s="41" t="n"/>
      <c r="G771" s="41" t="inlineStr">
        <is>
          <t>Công trình; hợp vai trò.</t>
        </is>
      </c>
      <c r="H771" s="41" t="n"/>
    </row>
    <row r="772" ht="15" customHeight="1" s="32">
      <c r="A772" s="39" t="inlineStr">
        <is>
          <t>cp_relay</t>
        </is>
      </c>
      <c r="B772" s="39" t="inlineStr">
        <is>
          <t>Trạm tiếp tế CP</t>
        </is>
      </c>
      <c r="C772" s="39" t="inlineStr">
        <is>
          <t>Kích thước</t>
        </is>
      </c>
      <c r="D772" s="39" t="inlineStr">
        <is>
          <t>4.0 × 4.0 × 7.8</t>
        </is>
      </c>
      <c r="E772" s="49" t="inlineStr">
        <is>
          <t>Giữ</t>
        </is>
      </c>
      <c r="F772" s="39" t="n"/>
      <c r="G772" s="39" t="inlineStr">
        <is>
          <t>Vừa cỡ ô.</t>
        </is>
      </c>
      <c r="H772" s="39" t="n"/>
    </row>
    <row r="773" ht="15" customHeight="1" s="32">
      <c r="A773" s="41" t="inlineStr">
        <is>
          <t>cp_relay</t>
        </is>
      </c>
      <c r="B773" s="41" t="inlineStr">
        <is>
          <t>Trạm tiếp tế CP</t>
        </is>
      </c>
      <c r="C773" s="41" t="inlineStr">
        <is>
          <t>Vũ khí / DPS</t>
        </is>
      </c>
      <c r="D773" s="41" t="inlineStr">
        <is>
          <t>0/0/0</t>
        </is>
      </c>
      <c r="E773" s="49" t="inlineStr">
        <is>
          <t>Giữ</t>
        </is>
      </c>
      <c r="F773" s="41" t="n"/>
      <c r="G773" s="41" t="inlineStr">
        <is>
          <t>Trong khoảng mục tiêu của cỡ ô.</t>
        </is>
      </c>
      <c r="H773" s="41" t="n"/>
    </row>
    <row r="774" ht="15" customHeight="1" s="32">
      <c r="A774" s="39" t="inlineStr">
        <is>
          <t>cp_relay</t>
        </is>
      </c>
      <c r="B774" s="39" t="inlineStr">
        <is>
          <t>Trạm tiếp tế CP</t>
        </is>
      </c>
      <c r="C774" s="39" t="inlineStr">
        <is>
          <t>Nổ khi bị phá</t>
        </is>
      </c>
      <c r="D774" s="39" t="inlineStr">
        <is>
          <t>5 m</t>
        </is>
      </c>
      <c r="E774" s="49" t="inlineStr">
        <is>
          <t>Giữ</t>
        </is>
      </c>
      <c r="F774" s="39" t="n"/>
      <c r="G774" s="39" t="inlineStr">
        <is>
          <t>Hợp cỡ.</t>
        </is>
      </c>
      <c r="H774" s="39" t="n"/>
    </row>
    <row r="775" ht="15" customHeight="1" s="32">
      <c r="A775" s="41" t="inlineStr">
        <is>
          <t>cp_relay.hardened</t>
        </is>
      </c>
      <c r="B775" s="41" t="inlineStr">
        <is>
          <t>Trạm tiếp tế CP · nhánh Trạm tiếp tế</t>
        </is>
      </c>
      <c r="C775" s="41" t="inlineStr">
        <is>
          <t>Tên</t>
        </is>
      </c>
      <c r="D775" s="41" t="inlineStr">
        <is>
          <t>Trạm tiếp tế CP · nhánh Trạm tiếp tế</t>
        </is>
      </c>
      <c r="E775" s="49" t="inlineStr">
        <is>
          <t>Giữ</t>
        </is>
      </c>
      <c r="F775" s="41" t="n"/>
      <c r="G775" s="41" t="inlineStr">
        <is>
          <t>Tên rõ vai trò.</t>
        </is>
      </c>
      <c r="H775" s="41" t="n"/>
    </row>
    <row r="776" ht="15" customHeight="1" s="32">
      <c r="A776" s="39" t="inlineStr">
        <is>
          <t>cp_relay.hardened</t>
        </is>
      </c>
      <c r="B776" s="39" t="inlineStr">
        <is>
          <t>Trạm tiếp tế CP · nhánh Trạm tiếp tế</t>
        </is>
      </c>
      <c r="C776" s="39" t="inlineStr">
        <is>
          <t>Ô</t>
        </is>
      </c>
      <c r="D776" s="39" t="inlineStr">
        <is>
          <t>Nhỏ</t>
        </is>
      </c>
      <c r="E776" s="49" t="inlineStr">
        <is>
          <t>Giữ</t>
        </is>
      </c>
      <c r="F776" s="39" t="n"/>
      <c r="G776" s="39" t="n"/>
      <c r="H776" s="39" t="n"/>
    </row>
    <row r="777" ht="15" customHeight="1" s="32">
      <c r="A777" s="41" t="inlineStr">
        <is>
          <t>cp_relay.hardened</t>
        </is>
      </c>
      <c r="B777" s="41" t="inlineStr">
        <is>
          <t>Trạm tiếp tế CP · nhánh Trạm tiếp tế</t>
        </is>
      </c>
      <c r="C777" s="41" t="inlineStr">
        <is>
          <t>Máu</t>
        </is>
      </c>
      <c r="D777" s="43" t="n">
        <v>2420</v>
      </c>
      <c r="E777" s="49" t="inlineStr">
        <is>
          <t>Giữ</t>
        </is>
      </c>
      <c r="F777" s="41" t="n"/>
      <c r="G777" s="41" t="inlineStr">
        <is>
          <t>1.38 × trung vị máu tháp ô nhỏ.</t>
        </is>
      </c>
      <c r="H777" s="41" t="n"/>
    </row>
    <row r="778" ht="15" customHeight="1" s="32">
      <c r="A778" s="39" t="inlineStr">
        <is>
          <t>cp_relay.hardened</t>
        </is>
      </c>
      <c r="B778" s="39" t="inlineStr">
        <is>
          <t>Trạm tiếp tế CP · nhánh Trạm tiếp tế</t>
        </is>
      </c>
      <c r="C778" s="39" t="inlineStr">
        <is>
          <t>Giáp</t>
        </is>
      </c>
      <c r="D778" s="39" t="inlineStr">
        <is>
          <t>cấp 2 (Vừa) · công trình</t>
        </is>
      </c>
      <c r="E778" s="49" t="inlineStr">
        <is>
          <t>Giữ</t>
        </is>
      </c>
      <c r="F778" s="39" t="n"/>
      <c r="G778" s="39" t="inlineStr">
        <is>
          <t>Công trình; hợp vai trò.</t>
        </is>
      </c>
      <c r="H778" s="39" t="n"/>
    </row>
    <row r="779" ht="15" customHeight="1" s="32">
      <c r="A779" s="41" t="inlineStr">
        <is>
          <t>cp_relay.hardened</t>
        </is>
      </c>
      <c r="B779" s="41" t="inlineStr">
        <is>
          <t>Trạm tiếp tế CP · nhánh Trạm tiếp tế</t>
        </is>
      </c>
      <c r="C779" s="41" t="inlineStr">
        <is>
          <t>Kích thước</t>
        </is>
      </c>
      <c r="D779" s="41" t="inlineStr">
        <is>
          <t>4.0 × 4.0 × 7.8</t>
        </is>
      </c>
      <c r="E779" s="49" t="inlineStr">
        <is>
          <t>Giữ</t>
        </is>
      </c>
      <c r="F779" s="41" t="n"/>
      <c r="G779" s="41" t="inlineStr">
        <is>
          <t>Vừa cỡ ô.</t>
        </is>
      </c>
      <c r="H779" s="41" t="n"/>
    </row>
    <row r="780" ht="15" customHeight="1" s="32">
      <c r="A780" s="39" t="inlineStr">
        <is>
          <t>cp_relay.hardened</t>
        </is>
      </c>
      <c r="B780" s="39" t="inlineStr">
        <is>
          <t>Trạm tiếp tế CP · nhánh Trạm tiếp tế</t>
        </is>
      </c>
      <c r="C780" s="39" t="inlineStr">
        <is>
          <t>Vũ khí / DPS</t>
        </is>
      </c>
      <c r="D780" s="39" t="inlineStr">
        <is>
          <t>0/0/0</t>
        </is>
      </c>
      <c r="E780" s="49" t="inlineStr">
        <is>
          <t>Giữ</t>
        </is>
      </c>
      <c r="F780" s="39" t="n"/>
      <c r="G780" s="39" t="inlineStr">
        <is>
          <t>Trong khoảng mục tiêu của cỡ ô.</t>
        </is>
      </c>
      <c r="H780" s="39" t="n"/>
    </row>
    <row r="781" ht="15" customHeight="1" s="32">
      <c r="A781" s="41" t="inlineStr">
        <is>
          <t>cp_relay.hardened</t>
        </is>
      </c>
      <c r="B781" s="41" t="inlineStr">
        <is>
          <t>Trạm tiếp tế CP · nhánh Trạm tiếp tế</t>
        </is>
      </c>
      <c r="C781" s="41" t="inlineStr">
        <is>
          <t>Nổ khi bị phá</t>
        </is>
      </c>
      <c r="D781" s="41" t="inlineStr">
        <is>
          <t>5 m</t>
        </is>
      </c>
      <c r="E781" s="49" t="inlineStr">
        <is>
          <t>Giữ</t>
        </is>
      </c>
      <c r="F781" s="41" t="n"/>
      <c r="G781" s="41" t="inlineStr">
        <is>
          <t>Hợp cỡ.</t>
        </is>
      </c>
      <c r="H781" s="41" t="n"/>
    </row>
    <row r="782" ht="21.75" customHeight="1" s="32">
      <c r="A782" s="39" t="inlineStr">
        <is>
          <t>cp_relay.loot</t>
        </is>
      </c>
      <c r="B782" s="39" t="inlineStr">
        <is>
          <t>Trạm tiếp tế CP · nhánh Kho chiến lợi phẩm</t>
        </is>
      </c>
      <c r="C782" s="39" t="inlineStr">
        <is>
          <t>Tên</t>
        </is>
      </c>
      <c r="D782" s="39" t="inlineStr">
        <is>
          <t>Trạm tiếp tế CP · nhánh Kho chiến lợi phẩm</t>
        </is>
      </c>
      <c r="E782" s="49" t="inlineStr">
        <is>
          <t>Giữ</t>
        </is>
      </c>
      <c r="F782" s="39" t="n"/>
      <c r="G782" s="39" t="inlineStr">
        <is>
          <t>Tên rõ vai trò.</t>
        </is>
      </c>
      <c r="H782" s="39" t="n"/>
    </row>
    <row r="783" ht="21.75" customHeight="1" s="32">
      <c r="A783" s="41" t="inlineStr">
        <is>
          <t>cp_relay.loot</t>
        </is>
      </c>
      <c r="B783" s="41" t="inlineStr">
        <is>
          <t>Trạm tiếp tế CP · nhánh Kho chiến lợi phẩm</t>
        </is>
      </c>
      <c r="C783" s="41" t="inlineStr">
        <is>
          <t>Ô</t>
        </is>
      </c>
      <c r="D783" s="41" t="inlineStr">
        <is>
          <t>Nhỏ</t>
        </is>
      </c>
      <c r="E783" s="49" t="inlineStr">
        <is>
          <t>Giữ</t>
        </is>
      </c>
      <c r="F783" s="41" t="n"/>
      <c r="G783" s="41" t="n"/>
      <c r="H783" s="41" t="n"/>
    </row>
    <row r="784" ht="21.75" customHeight="1" s="32">
      <c r="A784" s="39" t="inlineStr">
        <is>
          <t>cp_relay.loot</t>
        </is>
      </c>
      <c r="B784" s="39" t="inlineStr">
        <is>
          <t>Trạm tiếp tế CP · nhánh Kho chiến lợi phẩm</t>
        </is>
      </c>
      <c r="C784" s="39" t="inlineStr">
        <is>
          <t>Máu</t>
        </is>
      </c>
      <c r="D784" s="42" t="n">
        <v>1320</v>
      </c>
      <c r="E784" s="49" t="inlineStr">
        <is>
          <t>Giữ</t>
        </is>
      </c>
      <c r="F784" s="39" t="n"/>
      <c r="G784" s="39" t="inlineStr">
        <is>
          <t>0.75 × trung vị máu tháp ô nhỏ.</t>
        </is>
      </c>
      <c r="H784" s="39" t="n"/>
    </row>
    <row r="785" ht="21.75" customHeight="1" s="32">
      <c r="A785" s="41" t="inlineStr">
        <is>
          <t>cp_relay.loot</t>
        </is>
      </c>
      <c r="B785" s="41" t="inlineStr">
        <is>
          <t>Trạm tiếp tế CP · nhánh Kho chiến lợi phẩm</t>
        </is>
      </c>
      <c r="C785" s="41" t="inlineStr">
        <is>
          <t>Giáp</t>
        </is>
      </c>
      <c r="D785" s="41" t="inlineStr">
        <is>
          <t>cấp 1 (Mỏng) · công trình</t>
        </is>
      </c>
      <c r="E785" s="49" t="inlineStr">
        <is>
          <t>Giữ</t>
        </is>
      </c>
      <c r="F785" s="41" t="n"/>
      <c r="G785" s="41" t="inlineStr">
        <is>
          <t>Công trình; hợp vai trò.</t>
        </is>
      </c>
      <c r="H785" s="41" t="n"/>
    </row>
    <row r="786" ht="21.75" customHeight="1" s="32">
      <c r="A786" s="39" t="inlineStr">
        <is>
          <t>cp_relay.loot</t>
        </is>
      </c>
      <c r="B786" s="39" t="inlineStr">
        <is>
          <t>Trạm tiếp tế CP · nhánh Kho chiến lợi phẩm</t>
        </is>
      </c>
      <c r="C786" s="39" t="inlineStr">
        <is>
          <t>Kích thước</t>
        </is>
      </c>
      <c r="D786" s="39" t="inlineStr">
        <is>
          <t>4.0 × 4.0 × 7.8</t>
        </is>
      </c>
      <c r="E786" s="49" t="inlineStr">
        <is>
          <t>Giữ</t>
        </is>
      </c>
      <c r="F786" s="39" t="n"/>
      <c r="G786" s="39" t="inlineStr">
        <is>
          <t>Vừa cỡ ô.</t>
        </is>
      </c>
      <c r="H786" s="39" t="n"/>
    </row>
    <row r="787" ht="21.75" customHeight="1" s="32">
      <c r="A787" s="41" t="inlineStr">
        <is>
          <t>cp_relay.loot</t>
        </is>
      </c>
      <c r="B787" s="41" t="inlineStr">
        <is>
          <t>Trạm tiếp tế CP · nhánh Kho chiến lợi phẩm</t>
        </is>
      </c>
      <c r="C787" s="41" t="inlineStr">
        <is>
          <t>Vũ khí / DPS</t>
        </is>
      </c>
      <c r="D787" s="41" t="inlineStr">
        <is>
          <t>0/0/0</t>
        </is>
      </c>
      <c r="E787" s="49" t="inlineStr">
        <is>
          <t>Giữ</t>
        </is>
      </c>
      <c r="F787" s="41" t="n"/>
      <c r="G787" s="41" t="inlineStr">
        <is>
          <t>Trong khoảng mục tiêu của cỡ ô.</t>
        </is>
      </c>
      <c r="H787" s="41" t="n"/>
    </row>
    <row r="788" ht="21.75" customHeight="1" s="32">
      <c r="A788" s="39" t="inlineStr">
        <is>
          <t>cp_relay.loot</t>
        </is>
      </c>
      <c r="B788" s="39" t="inlineStr">
        <is>
          <t>Trạm tiếp tế CP · nhánh Kho chiến lợi phẩm</t>
        </is>
      </c>
      <c r="C788" s="39" t="inlineStr">
        <is>
          <t>Nổ khi bị phá</t>
        </is>
      </c>
      <c r="D788" s="39" t="inlineStr">
        <is>
          <t>5 m</t>
        </is>
      </c>
      <c r="E788" s="49" t="inlineStr">
        <is>
          <t>Giữ</t>
        </is>
      </c>
      <c r="F788" s="39" t="n"/>
      <c r="G788" s="39" t="inlineStr">
        <is>
          <t>Hợp cỡ.</t>
        </is>
      </c>
      <c r="H788" s="39" t="n"/>
    </row>
    <row r="789" ht="15" customHeight="1" s="32">
      <c r="A789" s="41"/>
      <c r="B789" s="41"/>
      <c r="C789" s="41"/>
      <c r="D789" s="41"/>
      <c r="E789" s="49"/>
      <c r="F789" s="41"/>
      <c r="G789" s="41"/>
      <c r="H789" s="41"/>
    </row>
    <row r="790" ht="15" customHeight="1" s="32">
      <c r="A790" s="39"/>
      <c r="B790" s="39"/>
      <c r="C790" s="39"/>
      <c r="D790" s="39"/>
      <c r="E790" s="49"/>
      <c r="F790" s="39"/>
      <c r="G790" s="39"/>
      <c r="H790" s="39"/>
    </row>
    <row r="791" ht="15" customHeight="1" s="32">
      <c r="A791" s="41"/>
      <c r="B791" s="41"/>
      <c r="C791" s="41"/>
      <c r="D791" s="43"/>
      <c r="E791" s="49"/>
      <c r="F791" s="41"/>
      <c r="G791" s="41"/>
      <c r="H791" s="41"/>
    </row>
    <row r="792" ht="15" customHeight="1" s="32">
      <c r="A792" s="39"/>
      <c r="B792" s="39"/>
      <c r="C792" s="39"/>
      <c r="D792" s="39"/>
      <c r="E792" s="49"/>
      <c r="F792" s="39"/>
      <c r="G792" s="39"/>
      <c r="H792" s="39"/>
    </row>
    <row r="793" ht="15" customHeight="1" s="32">
      <c r="A793" s="41"/>
      <c r="B793" s="41"/>
      <c r="C793" s="41"/>
      <c r="D793" s="41"/>
      <c r="E793" s="49"/>
      <c r="F793" s="41"/>
      <c r="G793" s="41"/>
      <c r="H793" s="41"/>
    </row>
    <row r="794" ht="15" customHeight="1" s="32">
      <c r="A794" s="39"/>
      <c r="B794" s="39"/>
      <c r="C794" s="39"/>
      <c r="D794" s="39"/>
      <c r="E794" s="49"/>
      <c r="F794" s="39"/>
      <c r="G794" s="39"/>
      <c r="H794" s="39"/>
    </row>
    <row r="795" ht="15" customHeight="1" s="32">
      <c r="A795" s="41"/>
      <c r="B795" s="41"/>
      <c r="C795" s="41"/>
      <c r="D795" s="41"/>
      <c r="E795" s="49"/>
      <c r="F795" s="41"/>
      <c r="G795" s="41"/>
      <c r="H795" s="41"/>
    </row>
    <row r="796" ht="15" customHeight="1" s="32">
      <c r="A796" s="39"/>
      <c r="B796" s="39"/>
      <c r="C796" s="39"/>
      <c r="D796" s="39"/>
      <c r="E796" s="49"/>
      <c r="F796" s="39"/>
      <c r="G796" s="39"/>
      <c r="H796" s="39"/>
    </row>
    <row r="797" ht="15" customHeight="1" s="32">
      <c r="A797" s="41"/>
      <c r="B797" s="41"/>
      <c r="C797" s="41"/>
      <c r="D797" s="43"/>
      <c r="E797" s="49"/>
      <c r="F797" s="41"/>
      <c r="G797" s="41"/>
      <c r="H797" s="41"/>
    </row>
    <row r="798" ht="15" customHeight="1" s="32">
      <c r="A798" s="39"/>
      <c r="B798" s="39"/>
      <c r="C798" s="39"/>
      <c r="D798" s="39"/>
      <c r="E798" s="49"/>
      <c r="F798" s="39"/>
      <c r="G798" s="39"/>
      <c r="H798" s="39"/>
    </row>
    <row r="799" ht="15" customHeight="1" s="32">
      <c r="A799" s="41"/>
      <c r="B799" s="41"/>
      <c r="C799" s="41"/>
      <c r="D799" s="41"/>
      <c r="E799" s="49"/>
      <c r="F799" s="41"/>
      <c r="G799" s="41"/>
      <c r="H799" s="41"/>
    </row>
    <row r="800" ht="15" customHeight="1" s="32">
      <c r="A800" s="39"/>
      <c r="B800" s="39"/>
      <c r="C800" s="39"/>
      <c r="D800" s="39"/>
      <c r="E800" s="49"/>
      <c r="F800" s="39"/>
      <c r="G800" s="39"/>
      <c r="H800" s="39"/>
    </row>
    <row r="801" ht="15" customHeight="1" s="32">
      <c r="A801" s="41"/>
      <c r="B801" s="41"/>
      <c r="C801" s="41"/>
      <c r="D801" s="41"/>
      <c r="E801" s="49"/>
      <c r="F801" s="41"/>
      <c r="G801" s="41"/>
      <c r="H801" s="41"/>
    </row>
    <row r="802" ht="15" customHeight="1" s="32">
      <c r="A802" s="39"/>
      <c r="B802" s="39"/>
      <c r="C802" s="39"/>
      <c r="D802" s="39"/>
      <c r="E802" s="49"/>
      <c r="F802" s="39"/>
      <c r="G802" s="39"/>
      <c r="H802" s="39"/>
    </row>
    <row r="803" ht="15" customHeight="1" s="32">
      <c r="A803" s="41"/>
      <c r="B803" s="41"/>
      <c r="C803" s="41"/>
      <c r="D803" s="43"/>
      <c r="E803" s="49"/>
      <c r="F803" s="41"/>
      <c r="G803" s="41"/>
      <c r="H803" s="41"/>
    </row>
    <row r="804" ht="15" customHeight="1" s="32">
      <c r="A804" s="39"/>
      <c r="B804" s="39"/>
      <c r="C804" s="39"/>
      <c r="D804" s="39"/>
      <c r="E804" s="49"/>
      <c r="F804" s="39"/>
      <c r="G804" s="39"/>
      <c r="H804" s="39"/>
    </row>
    <row r="805" ht="15" customHeight="1" s="32">
      <c r="A805" s="41"/>
      <c r="B805" s="41"/>
      <c r="C805" s="41"/>
      <c r="D805" s="41"/>
      <c r="E805" s="49"/>
      <c r="F805" s="41"/>
      <c r="G805" s="41"/>
      <c r="H805" s="41"/>
    </row>
    <row r="806" ht="15" customHeight="1" s="32">
      <c r="A806" s="39"/>
      <c r="B806" s="39"/>
      <c r="C806" s="39"/>
      <c r="D806" s="39"/>
      <c r="E806" s="49"/>
      <c r="F806" s="39"/>
      <c r="G806" s="39"/>
      <c r="H806" s="39"/>
    </row>
    <row r="807" ht="15" customHeight="1" s="32">
      <c r="A807" s="41" t="inlineStr">
        <is>
          <t>ew_tower</t>
        </is>
      </c>
      <c r="B807" s="41" t="inlineStr">
        <is>
          <t>Tháp gây nhiễu EW</t>
        </is>
      </c>
      <c r="C807" s="41" t="inlineStr">
        <is>
          <t>Tên</t>
        </is>
      </c>
      <c r="D807" s="41" t="inlineStr">
        <is>
          <t>Tháp gây nhiễu EW</t>
        </is>
      </c>
      <c r="E807" s="49" t="inlineStr">
        <is>
          <t>Giữ</t>
        </is>
      </c>
      <c r="F807" s="41" t="n"/>
      <c r="G807" s="41" t="inlineStr">
        <is>
          <t>Tên rõ vai trò.</t>
        </is>
      </c>
      <c r="H807" s="41" t="n"/>
    </row>
    <row r="808" ht="15" customHeight="1" s="32">
      <c r="A808" s="39" t="inlineStr">
        <is>
          <t>ew_tower</t>
        </is>
      </c>
      <c r="B808" s="39" t="inlineStr">
        <is>
          <t>Tháp gây nhiễu EW</t>
        </is>
      </c>
      <c r="C808" s="39" t="inlineStr">
        <is>
          <t>Ô</t>
        </is>
      </c>
      <c r="D808" s="39" t="inlineStr">
        <is>
          <t>Nhỏ</t>
        </is>
      </c>
      <c r="E808" s="49" t="inlineStr">
        <is>
          <t>Giữ</t>
        </is>
      </c>
      <c r="F808" s="39" t="n"/>
      <c r="G808" s="39" t="n"/>
      <c r="H808" s="39" t="n"/>
    </row>
    <row r="809" ht="15" customHeight="1" s="32">
      <c r="A809" s="41" t="inlineStr">
        <is>
          <t>ew_tower</t>
        </is>
      </c>
      <c r="B809" s="41" t="inlineStr">
        <is>
          <t>Tháp gây nhiễu EW</t>
        </is>
      </c>
      <c r="C809" s="41" t="inlineStr">
        <is>
          <t>Máu</t>
        </is>
      </c>
      <c r="D809" s="43" t="n">
        <v>1760</v>
      </c>
      <c r="E809" s="49" t="inlineStr">
        <is>
          <t>Giữ</t>
        </is>
      </c>
      <c r="F809" s="41" t="n"/>
      <c r="G809" s="41" t="inlineStr">
        <is>
          <t>1.00 × trung vị máu tháp ô nhỏ.</t>
        </is>
      </c>
      <c r="H809" s="41" t="n"/>
    </row>
    <row r="810" ht="15" customHeight="1" s="32">
      <c r="A810" s="39" t="inlineStr">
        <is>
          <t>ew_tower</t>
        </is>
      </c>
      <c r="B810" s="39" t="inlineStr">
        <is>
          <t>Tháp gây nhiễu EW</t>
        </is>
      </c>
      <c r="C810" s="39" t="inlineStr">
        <is>
          <t>Giáp</t>
        </is>
      </c>
      <c r="D810" s="39" t="inlineStr">
        <is>
          <t>cấp 1 (Mỏng) · công trình</t>
        </is>
      </c>
      <c r="E810" s="49" t="inlineStr">
        <is>
          <t>Giữ</t>
        </is>
      </c>
      <c r="F810" s="39" t="n"/>
      <c r="G810" s="39" t="inlineStr">
        <is>
          <t>Công trình; hợp vai trò.</t>
        </is>
      </c>
      <c r="H810" s="39" t="n"/>
    </row>
    <row r="811" ht="15" customHeight="1" s="32">
      <c r="A811" s="41" t="inlineStr">
        <is>
          <t>ew_tower</t>
        </is>
      </c>
      <c r="B811" s="41" t="inlineStr">
        <is>
          <t>Tháp gây nhiễu EW</t>
        </is>
      </c>
      <c r="C811" s="41" t="inlineStr">
        <is>
          <t>Kích thước</t>
        </is>
      </c>
      <c r="D811" s="41" t="inlineStr">
        <is>
          <t>4.0 × 4.0 × 10.1</t>
        </is>
      </c>
      <c r="E811" s="49" t="inlineStr">
        <is>
          <t>Giữ</t>
        </is>
      </c>
      <c r="F811" s="41" t="n"/>
      <c r="G811" s="41" t="inlineStr">
        <is>
          <t>Vừa cỡ ô.</t>
        </is>
      </c>
      <c r="H811" s="41" t="n"/>
    </row>
    <row r="812" ht="15" customHeight="1" s="32">
      <c r="A812" s="39" t="inlineStr">
        <is>
          <t>ew_tower</t>
        </is>
      </c>
      <c r="B812" s="39" t="inlineStr">
        <is>
          <t>Tháp gây nhiễu EW</t>
        </is>
      </c>
      <c r="C812" s="39" t="inlineStr">
        <is>
          <t>Vũ khí / DPS</t>
        </is>
      </c>
      <c r="D812" s="39" t="inlineStr">
        <is>
          <t>0/0/0</t>
        </is>
      </c>
      <c r="E812" s="49" t="inlineStr">
        <is>
          <t>Giữ</t>
        </is>
      </c>
      <c r="F812" s="39" t="n"/>
      <c r="G812" s="39" t="inlineStr">
        <is>
          <t>Trong khoảng mục tiêu của cỡ ô.</t>
        </is>
      </c>
      <c r="H812" s="39" t="n"/>
    </row>
    <row r="813" ht="15" customHeight="1" s="32">
      <c r="A813" s="41" t="inlineStr">
        <is>
          <t>ew_tower</t>
        </is>
      </c>
      <c r="B813" s="41" t="inlineStr">
        <is>
          <t>Tháp gây nhiễu EW</t>
        </is>
      </c>
      <c r="C813" s="41" t="inlineStr">
        <is>
          <t>Nổ khi bị phá</t>
        </is>
      </c>
      <c r="D813" s="41" t="inlineStr">
        <is>
          <t>5 m</t>
        </is>
      </c>
      <c r="E813" s="49" t="inlineStr">
        <is>
          <t>Giữ</t>
        </is>
      </c>
      <c r="F813" s="41" t="n"/>
      <c r="G813" s="41" t="inlineStr">
        <is>
          <t>Hợp cỡ.</t>
        </is>
      </c>
      <c r="H813" s="41" t="n"/>
    </row>
    <row r="814" ht="21.75" customHeight="1" s="32">
      <c r="A814" s="39" t="inlineStr">
        <is>
          <t>ew_tower.drone</t>
        </is>
      </c>
      <c r="B814" s="39" t="inlineStr">
        <is>
          <t>Tháp gây nhiễu EW · nhánh Máy gây nhiễu drone</t>
        </is>
      </c>
      <c r="C814" s="39" t="inlineStr">
        <is>
          <t>Tên</t>
        </is>
      </c>
      <c r="D814" s="39" t="inlineStr">
        <is>
          <t>Tháp gây nhiễu EW · nhánh Máy gây nhiễu drone</t>
        </is>
      </c>
      <c r="E814" s="49" t="inlineStr">
        <is>
          <t>Giữ</t>
        </is>
      </c>
      <c r="F814" s="39" t="n"/>
      <c r="G814" s="39" t="inlineStr">
        <is>
          <t>Tên rõ vai trò.</t>
        </is>
      </c>
      <c r="H814" s="39" t="n"/>
    </row>
    <row r="815" ht="21.75" customHeight="1" s="32">
      <c r="A815" s="41" t="inlineStr">
        <is>
          <t>ew_tower.drone</t>
        </is>
      </c>
      <c r="B815" s="41" t="inlineStr">
        <is>
          <t>Tháp gây nhiễu EW · nhánh Máy gây nhiễu drone</t>
        </is>
      </c>
      <c r="C815" s="41" t="inlineStr">
        <is>
          <t>Ô</t>
        </is>
      </c>
      <c r="D815" s="41" t="inlineStr">
        <is>
          <t>Nhỏ</t>
        </is>
      </c>
      <c r="E815" s="49" t="inlineStr">
        <is>
          <t>Giữ</t>
        </is>
      </c>
      <c r="F815" s="41" t="n"/>
      <c r="G815" s="41" t="n"/>
      <c r="H815" s="41" t="n"/>
    </row>
    <row r="816" ht="21.75" customHeight="1" s="32">
      <c r="A816" s="39" t="inlineStr">
        <is>
          <t>ew_tower.drone</t>
        </is>
      </c>
      <c r="B816" s="39" t="inlineStr">
        <is>
          <t>Tháp gây nhiễu EW · nhánh Máy gây nhiễu drone</t>
        </is>
      </c>
      <c r="C816" s="39" t="inlineStr">
        <is>
          <t>Máu</t>
        </is>
      </c>
      <c r="D816" s="42" t="n">
        <v>1760</v>
      </c>
      <c r="E816" s="49" t="inlineStr">
        <is>
          <t>Giữ</t>
        </is>
      </c>
      <c r="F816" s="39" t="n"/>
      <c r="G816" s="39" t="inlineStr">
        <is>
          <t>1.00 × trung vị máu tháp ô nhỏ.</t>
        </is>
      </c>
      <c r="H816" s="39" t="n"/>
    </row>
    <row r="817" ht="21.75" customHeight="1" s="32">
      <c r="A817" s="41" t="inlineStr">
        <is>
          <t>ew_tower.drone</t>
        </is>
      </c>
      <c r="B817" s="41" t="inlineStr">
        <is>
          <t>Tháp gây nhiễu EW · nhánh Máy gây nhiễu drone</t>
        </is>
      </c>
      <c r="C817" s="41" t="inlineStr">
        <is>
          <t>Giáp</t>
        </is>
      </c>
      <c r="D817" s="41" t="inlineStr">
        <is>
          <t>cấp 1 (Mỏng) · công trình</t>
        </is>
      </c>
      <c r="E817" s="49" t="inlineStr">
        <is>
          <t>Giữ</t>
        </is>
      </c>
      <c r="F817" s="41" t="n"/>
      <c r="G817" s="41" t="inlineStr">
        <is>
          <t>Công trình; hợp vai trò.</t>
        </is>
      </c>
      <c r="H817" s="41" t="n"/>
    </row>
    <row r="818" ht="21.75" customHeight="1" s="32">
      <c r="A818" s="39" t="inlineStr">
        <is>
          <t>ew_tower.drone</t>
        </is>
      </c>
      <c r="B818" s="39" t="inlineStr">
        <is>
          <t>Tháp gây nhiễu EW · nhánh Máy gây nhiễu drone</t>
        </is>
      </c>
      <c r="C818" s="39" t="inlineStr">
        <is>
          <t>Kích thước</t>
        </is>
      </c>
      <c r="D818" s="39" t="inlineStr">
        <is>
          <t>4.0 × 4.0 × 10.1</t>
        </is>
      </c>
      <c r="E818" s="49" t="inlineStr">
        <is>
          <t>Giữ</t>
        </is>
      </c>
      <c r="F818" s="39" t="n"/>
      <c r="G818" s="39" t="inlineStr">
        <is>
          <t>Vừa cỡ ô.</t>
        </is>
      </c>
      <c r="H818" s="39" t="n"/>
    </row>
    <row r="819" ht="21.75" customHeight="1" s="32">
      <c r="A819" s="41" t="inlineStr">
        <is>
          <t>ew_tower.drone</t>
        </is>
      </c>
      <c r="B819" s="41" t="inlineStr">
        <is>
          <t>Tháp gây nhiễu EW · nhánh Máy gây nhiễu drone</t>
        </is>
      </c>
      <c r="C819" s="41" t="inlineStr">
        <is>
          <t>Vũ khí / DPS</t>
        </is>
      </c>
      <c r="D819" s="41" t="inlineStr">
        <is>
          <t>0/0/0</t>
        </is>
      </c>
      <c r="E819" s="49" t="inlineStr">
        <is>
          <t>Giữ</t>
        </is>
      </c>
      <c r="F819" s="41" t="n"/>
      <c r="G819" s="41" t="inlineStr">
        <is>
          <t>Trong khoảng mục tiêu của cỡ ô.</t>
        </is>
      </c>
      <c r="H819" s="41" t="n"/>
    </row>
    <row r="820" ht="21.75" customHeight="1" s="32">
      <c r="A820" s="39" t="inlineStr">
        <is>
          <t>ew_tower.drone</t>
        </is>
      </c>
      <c r="B820" s="39" t="inlineStr">
        <is>
          <t>Tháp gây nhiễu EW · nhánh Máy gây nhiễu drone</t>
        </is>
      </c>
      <c r="C820" s="39" t="inlineStr">
        <is>
          <t>Nổ khi bị phá</t>
        </is>
      </c>
      <c r="D820" s="39" t="inlineStr">
        <is>
          <t>5 m</t>
        </is>
      </c>
      <c r="E820" s="49" t="inlineStr">
        <is>
          <t>Giữ</t>
        </is>
      </c>
      <c r="F820" s="39" t="n"/>
      <c r="G820" s="39" t="inlineStr">
        <is>
          <t>Hợp cỡ.</t>
        </is>
      </c>
      <c r="H820" s="39" t="n"/>
    </row>
    <row r="821" ht="21.75" customHeight="1" s="32">
      <c r="A821" s="41" t="inlineStr">
        <is>
          <t>ew_tower.spoof</t>
        </is>
      </c>
      <c r="B821" s="41" t="inlineStr">
        <is>
          <t>Tháp gây nhiễu EW · nhánh Máy đánh lừa radar</t>
        </is>
      </c>
      <c r="C821" s="41" t="inlineStr">
        <is>
          <t>Tên</t>
        </is>
      </c>
      <c r="D821" s="41" t="inlineStr">
        <is>
          <t>Tháp gây nhiễu EW · nhánh Máy đánh lừa radar</t>
        </is>
      </c>
      <c r="E821" s="49" t="inlineStr">
        <is>
          <t>Giữ</t>
        </is>
      </c>
      <c r="F821" s="41" t="n"/>
      <c r="G821" s="41" t="inlineStr">
        <is>
          <t>Tên rõ vai trò.</t>
        </is>
      </c>
      <c r="H821" s="41" t="n"/>
    </row>
    <row r="822" ht="21.75" customHeight="1" s="32">
      <c r="A822" s="39" t="inlineStr">
        <is>
          <t>ew_tower.spoof</t>
        </is>
      </c>
      <c r="B822" s="39" t="inlineStr">
        <is>
          <t>Tháp gây nhiễu EW · nhánh Máy đánh lừa radar</t>
        </is>
      </c>
      <c r="C822" s="39" t="inlineStr">
        <is>
          <t>Ô</t>
        </is>
      </c>
      <c r="D822" s="39" t="inlineStr">
        <is>
          <t>Nhỏ</t>
        </is>
      </c>
      <c r="E822" s="49" t="inlineStr">
        <is>
          <t>Giữ</t>
        </is>
      </c>
      <c r="F822" s="39" t="n"/>
      <c r="G822" s="39" t="n"/>
      <c r="H822" s="39" t="n"/>
    </row>
    <row r="823" ht="21.75" customHeight="1" s="32">
      <c r="A823" s="41" t="inlineStr">
        <is>
          <t>ew_tower.spoof</t>
        </is>
      </c>
      <c r="B823" s="41" t="inlineStr">
        <is>
          <t>Tháp gây nhiễu EW · nhánh Máy đánh lừa radar</t>
        </is>
      </c>
      <c r="C823" s="41" t="inlineStr">
        <is>
          <t>Máu</t>
        </is>
      </c>
      <c r="D823" s="43" t="n">
        <v>1760</v>
      </c>
      <c r="E823" s="49" t="inlineStr">
        <is>
          <t>Giữ</t>
        </is>
      </c>
      <c r="F823" s="41" t="n"/>
      <c r="G823" s="41" t="inlineStr">
        <is>
          <t>1.00 × trung vị máu tháp ô nhỏ.</t>
        </is>
      </c>
      <c r="H823" s="41" t="n"/>
    </row>
    <row r="824" ht="21.75" customHeight="1" s="32">
      <c r="A824" s="39" t="inlineStr">
        <is>
          <t>ew_tower.spoof</t>
        </is>
      </c>
      <c r="B824" s="39" t="inlineStr">
        <is>
          <t>Tháp gây nhiễu EW · nhánh Máy đánh lừa radar</t>
        </is>
      </c>
      <c r="C824" s="39" t="inlineStr">
        <is>
          <t>Giáp</t>
        </is>
      </c>
      <c r="D824" s="39" t="inlineStr">
        <is>
          <t>cấp 1 (Mỏng) · công trình</t>
        </is>
      </c>
      <c r="E824" s="49" t="inlineStr">
        <is>
          <t>Giữ</t>
        </is>
      </c>
      <c r="F824" s="39" t="n"/>
      <c r="G824" s="39" t="inlineStr">
        <is>
          <t>Công trình; hợp vai trò.</t>
        </is>
      </c>
      <c r="H824" s="39" t="n"/>
    </row>
    <row r="825" ht="21.75" customHeight="1" s="32">
      <c r="A825" s="41" t="inlineStr">
        <is>
          <t>ew_tower.spoof</t>
        </is>
      </c>
      <c r="B825" s="41" t="inlineStr">
        <is>
          <t>Tháp gây nhiễu EW · nhánh Máy đánh lừa radar</t>
        </is>
      </c>
      <c r="C825" s="41" t="inlineStr">
        <is>
          <t>Kích thước</t>
        </is>
      </c>
      <c r="D825" s="41" t="inlineStr">
        <is>
          <t>4.0 × 4.0 × 10.1</t>
        </is>
      </c>
      <c r="E825" s="49" t="inlineStr">
        <is>
          <t>Giữ</t>
        </is>
      </c>
      <c r="F825" s="41" t="n"/>
      <c r="G825" s="41" t="inlineStr">
        <is>
          <t>Vừa cỡ ô.</t>
        </is>
      </c>
      <c r="H825" s="41" t="n"/>
    </row>
    <row r="826" ht="21.75" customHeight="1" s="32">
      <c r="A826" s="39" t="inlineStr">
        <is>
          <t>ew_tower.spoof</t>
        </is>
      </c>
      <c r="B826" s="39" t="inlineStr">
        <is>
          <t>Tháp gây nhiễu EW · nhánh Máy đánh lừa radar</t>
        </is>
      </c>
      <c r="C826" s="39" t="inlineStr">
        <is>
          <t>Vũ khí / DPS</t>
        </is>
      </c>
      <c r="D826" s="39" t="inlineStr">
        <is>
          <t>0/0/0</t>
        </is>
      </c>
      <c r="E826" s="49" t="inlineStr">
        <is>
          <t>Giữ</t>
        </is>
      </c>
      <c r="F826" s="39" t="n"/>
      <c r="G826" s="39" t="inlineStr">
        <is>
          <t>Trong khoảng mục tiêu của cỡ ô.</t>
        </is>
      </c>
      <c r="H826" s="39" t="n"/>
    </row>
    <row r="827" ht="21.75" customHeight="1" s="32">
      <c r="A827" s="41" t="inlineStr">
        <is>
          <t>ew_tower.spoof</t>
        </is>
      </c>
      <c r="B827" s="41" t="inlineStr">
        <is>
          <t>Tháp gây nhiễu EW · nhánh Máy đánh lừa radar</t>
        </is>
      </c>
      <c r="C827" s="41" t="inlineStr">
        <is>
          <t>Nổ khi bị phá</t>
        </is>
      </c>
      <c r="D827" s="41" t="inlineStr">
        <is>
          <t>5 m</t>
        </is>
      </c>
      <c r="E827" s="49" t="inlineStr">
        <is>
          <t>Giữ</t>
        </is>
      </c>
      <c r="F827" s="41" t="n"/>
      <c r="G827" s="41" t="inlineStr">
        <is>
          <t>Hợp cỡ.</t>
        </is>
      </c>
      <c r="H827" s="41" t="n"/>
    </row>
    <row r="828" ht="15" customHeight="1" s="32">
      <c r="A828" s="39" t="inlineStr">
        <is>
          <t>guard_tower</t>
        </is>
      </c>
      <c r="B828" s="39" t="inlineStr">
        <is>
          <t>Tháp canh</t>
        </is>
      </c>
      <c r="C828" s="39" t="inlineStr">
        <is>
          <t>Tên</t>
        </is>
      </c>
      <c r="D828" s="39" t="inlineStr">
        <is>
          <t>Tháp canh</t>
        </is>
      </c>
      <c r="E828" s="49" t="inlineStr">
        <is>
          <t>Giữ</t>
        </is>
      </c>
      <c r="F828" s="39" t="n"/>
      <c r="G828" s="39" t="inlineStr">
        <is>
          <t>Tên rõ vai trò.</t>
        </is>
      </c>
      <c r="H828" s="39" t="n"/>
    </row>
    <row r="829" ht="15" customHeight="1" s="32">
      <c r="A829" s="41" t="inlineStr">
        <is>
          <t>guard_tower</t>
        </is>
      </c>
      <c r="B829" s="41" t="inlineStr">
        <is>
          <t>Tháp canh</t>
        </is>
      </c>
      <c r="C829" s="41" t="inlineStr">
        <is>
          <t>Ô</t>
        </is>
      </c>
      <c r="D829" s="41" t="inlineStr">
        <is>
          <t>Nhỏ</t>
        </is>
      </c>
      <c r="E829" s="49" t="inlineStr">
        <is>
          <t>Giữ</t>
        </is>
      </c>
      <c r="F829" s="41" t="n"/>
      <c r="G829" s="41" t="n"/>
      <c r="H829" s="41" t="n"/>
    </row>
    <row r="830" ht="15" customHeight="1" s="32">
      <c r="A830" s="39" t="inlineStr">
        <is>
          <t>guard_tower</t>
        </is>
      </c>
      <c r="B830" s="39" t="inlineStr">
        <is>
          <t>Tháp canh</t>
        </is>
      </c>
      <c r="C830" s="39" t="inlineStr">
        <is>
          <t>Máu</t>
        </is>
      </c>
      <c r="D830" s="42" t="n">
        <v>1540</v>
      </c>
      <c r="E830" s="49" t="inlineStr">
        <is>
          <t>Giữ</t>
        </is>
      </c>
      <c r="F830" s="39" t="n"/>
      <c r="G830" s="39" t="inlineStr">
        <is>
          <t>0.88 × trung vị máu tháp ô nhỏ.</t>
        </is>
      </c>
      <c r="H830" s="39" t="n"/>
    </row>
    <row r="831" ht="15" customHeight="1" s="32">
      <c r="A831" s="41" t="inlineStr">
        <is>
          <t>guard_tower</t>
        </is>
      </c>
      <c r="B831" s="41" t="inlineStr">
        <is>
          <t>Tháp canh</t>
        </is>
      </c>
      <c r="C831" s="41" t="inlineStr">
        <is>
          <t>Giáp</t>
        </is>
      </c>
      <c r="D831" s="41" t="inlineStr">
        <is>
          <t>cấp 1 (Mỏng) · công trình</t>
        </is>
      </c>
      <c r="E831" s="49" t="inlineStr">
        <is>
          <t>Giữ</t>
        </is>
      </c>
      <c r="F831" s="41" t="n"/>
      <c r="G831" s="41" t="inlineStr">
        <is>
          <t>Công trình; hợp vai trò.</t>
        </is>
      </c>
      <c r="H831" s="41" t="n"/>
    </row>
    <row r="832" ht="15" customHeight="1" s="32">
      <c r="A832" s="39" t="inlineStr">
        <is>
          <t>guard_tower</t>
        </is>
      </c>
      <c r="B832" s="39" t="inlineStr">
        <is>
          <t>Tháp canh</t>
        </is>
      </c>
      <c r="C832" s="39" t="inlineStr">
        <is>
          <t>Kích thước</t>
        </is>
      </c>
      <c r="D832" s="39" t="inlineStr">
        <is>
          <t>3.5 × 3.8 × 11.6</t>
        </is>
      </c>
      <c r="E832" s="49" t="inlineStr">
        <is>
          <t>Giữ</t>
        </is>
      </c>
      <c r="F832" s="39" t="n"/>
      <c r="G832" s="39" t="inlineStr">
        <is>
          <t>Vừa cỡ ô.</t>
        </is>
      </c>
      <c r="H832" s="39" t="n"/>
    </row>
    <row r="833" ht="15" customHeight="1" s="32">
      <c r="A833" s="41" t="inlineStr">
        <is>
          <t>guard_tower</t>
        </is>
      </c>
      <c r="B833" s="41" t="inlineStr">
        <is>
          <t>Tháp canh</t>
        </is>
      </c>
      <c r="C833" s="41" t="inlineStr">
        <is>
          <t>Vũ khí / DPS</t>
        </is>
      </c>
      <c r="D833" s="41" t="inlineStr">
        <is>
          <t>75/22/27</t>
        </is>
      </c>
      <c r="E833" s="49" t="inlineStr">
        <is>
          <t>Giữ</t>
        </is>
      </c>
      <c r="F833" s="41" t="n"/>
      <c r="G833" s="41" t="inlineStr">
        <is>
          <t>Trong khoảng mục tiêu của cỡ ô.</t>
        </is>
      </c>
      <c r="H833" s="41" t="n"/>
    </row>
    <row r="834" ht="15" customHeight="1" s="32">
      <c r="A834" s="39" t="inlineStr">
        <is>
          <t>guard_tower</t>
        </is>
      </c>
      <c r="B834" s="39" t="inlineStr">
        <is>
          <t>Tháp canh</t>
        </is>
      </c>
      <c r="C834" s="39" t="inlineStr">
        <is>
          <t>Nổ khi bị phá</t>
        </is>
      </c>
      <c r="D834" s="39" t="inlineStr">
        <is>
          <t>5 m</t>
        </is>
      </c>
      <c r="E834" s="49" t="inlineStr">
        <is>
          <t>Giữ</t>
        </is>
      </c>
      <c r="F834" s="39" t="n"/>
      <c r="G834" s="39" t="inlineStr">
        <is>
          <t>Hợp cỡ.</t>
        </is>
      </c>
      <c r="H834" s="39" t="n"/>
    </row>
    <row r="835" ht="15" customHeight="1" s="32">
      <c r="A835" s="41" t="inlineStr">
        <is>
          <t>guard_tower.watch</t>
        </is>
      </c>
      <c r="B835" s="41" t="inlineStr">
        <is>
          <t>Tháp canh · nhánh Tháp quan sát</t>
        </is>
      </c>
      <c r="C835" s="41" t="inlineStr">
        <is>
          <t>Tên</t>
        </is>
      </c>
      <c r="D835" s="41" t="inlineStr">
        <is>
          <t>Tháp canh · nhánh Tháp quan sát</t>
        </is>
      </c>
      <c r="E835" s="49" t="inlineStr">
        <is>
          <t>Giữ</t>
        </is>
      </c>
      <c r="F835" s="41" t="n"/>
      <c r="G835" s="41" t="inlineStr">
        <is>
          <t>Tên rõ vai trò.</t>
        </is>
      </c>
      <c r="H835" s="41" t="n"/>
    </row>
    <row r="836" ht="15" customHeight="1" s="32">
      <c r="A836" s="39" t="inlineStr">
        <is>
          <t>guard_tower.watch</t>
        </is>
      </c>
      <c r="B836" s="39" t="inlineStr">
        <is>
          <t>Tháp canh · nhánh Tháp quan sát</t>
        </is>
      </c>
      <c r="C836" s="39" t="inlineStr">
        <is>
          <t>Ô</t>
        </is>
      </c>
      <c r="D836" s="39" t="inlineStr">
        <is>
          <t>Nhỏ</t>
        </is>
      </c>
      <c r="E836" s="49" t="inlineStr">
        <is>
          <t>Giữ</t>
        </is>
      </c>
      <c r="F836" s="39" t="n"/>
      <c r="G836" s="39" t="n"/>
      <c r="H836" s="39" t="n"/>
    </row>
    <row r="837" ht="15" customHeight="1" s="32">
      <c r="A837" s="41" t="inlineStr">
        <is>
          <t>guard_tower.watch</t>
        </is>
      </c>
      <c r="B837" s="41" t="inlineStr">
        <is>
          <t>Tháp canh · nhánh Tháp quan sát</t>
        </is>
      </c>
      <c r="C837" s="41" t="inlineStr">
        <is>
          <t>Máu</t>
        </is>
      </c>
      <c r="D837" s="43" t="n">
        <v>1540</v>
      </c>
      <c r="E837" s="49" t="inlineStr">
        <is>
          <t>Giữ</t>
        </is>
      </c>
      <c r="F837" s="41" t="n"/>
      <c r="G837" s="41" t="inlineStr">
        <is>
          <t>0.88 × trung vị máu tháp ô nhỏ.</t>
        </is>
      </c>
      <c r="H837" s="41" t="n"/>
    </row>
    <row r="838" ht="15" customHeight="1" s="32">
      <c r="A838" s="39" t="inlineStr">
        <is>
          <t>guard_tower.watch</t>
        </is>
      </c>
      <c r="B838" s="39" t="inlineStr">
        <is>
          <t>Tháp canh · nhánh Tháp quan sát</t>
        </is>
      </c>
      <c r="C838" s="39" t="inlineStr">
        <is>
          <t>Giáp</t>
        </is>
      </c>
      <c r="D838" s="39" t="inlineStr">
        <is>
          <t>cấp 1 (Mỏng) · công trình</t>
        </is>
      </c>
      <c r="E838" s="49" t="inlineStr">
        <is>
          <t>Giữ</t>
        </is>
      </c>
      <c r="F838" s="39" t="n"/>
      <c r="G838" s="39" t="inlineStr">
        <is>
          <t>Công trình; hợp vai trò.</t>
        </is>
      </c>
      <c r="H838" s="39" t="n"/>
    </row>
    <row r="839" ht="15" customHeight="1" s="32">
      <c r="A839" s="41" t="inlineStr">
        <is>
          <t>guard_tower.watch</t>
        </is>
      </c>
      <c r="B839" s="41" t="inlineStr">
        <is>
          <t>Tháp canh · nhánh Tháp quan sát</t>
        </is>
      </c>
      <c r="C839" s="41" t="inlineStr">
        <is>
          <t>Kích thước</t>
        </is>
      </c>
      <c r="D839" s="41" t="inlineStr">
        <is>
          <t>3.5 × 3.8 × 11.6</t>
        </is>
      </c>
      <c r="E839" s="49" t="inlineStr">
        <is>
          <t>Giữ</t>
        </is>
      </c>
      <c r="F839" s="41" t="n"/>
      <c r="G839" s="41" t="inlineStr">
        <is>
          <t>Vừa cỡ ô.</t>
        </is>
      </c>
      <c r="H839" s="41" t="n"/>
    </row>
    <row r="840" ht="15" customHeight="1" s="32">
      <c r="A840" s="39" t="inlineStr">
        <is>
          <t>guard_tower.watch</t>
        </is>
      </c>
      <c r="B840" s="39" t="inlineStr">
        <is>
          <t>Tháp canh · nhánh Tháp quan sát</t>
        </is>
      </c>
      <c r="C840" s="39" t="inlineStr">
        <is>
          <t>Vũ khí / DPS</t>
        </is>
      </c>
      <c r="D840" s="39" t="inlineStr">
        <is>
          <t>75/22/27</t>
        </is>
      </c>
      <c r="E840" s="49" t="inlineStr">
        <is>
          <t>Giữ</t>
        </is>
      </c>
      <c r="F840" s="39" t="n"/>
      <c r="G840" s="39" t="inlineStr">
        <is>
          <t>Trong khoảng mục tiêu của cỡ ô.</t>
        </is>
      </c>
      <c r="H840" s="39" t="n"/>
    </row>
    <row r="841" ht="15" customHeight="1" s="32">
      <c r="A841" s="41" t="inlineStr">
        <is>
          <t>guard_tower.watch</t>
        </is>
      </c>
      <c r="B841" s="41" t="inlineStr">
        <is>
          <t>Tháp canh · nhánh Tháp quan sát</t>
        </is>
      </c>
      <c r="C841" s="41" t="inlineStr">
        <is>
          <t>Nổ khi bị phá</t>
        </is>
      </c>
      <c r="D841" s="41" t="inlineStr">
        <is>
          <t>5 m</t>
        </is>
      </c>
      <c r="E841" s="49" t="inlineStr">
        <is>
          <t>Giữ</t>
        </is>
      </c>
      <c r="F841" s="41" t="n"/>
      <c r="G841" s="41" t="inlineStr">
        <is>
          <t>Hợp cỡ.</t>
        </is>
      </c>
      <c r="H841" s="41" t="n"/>
    </row>
    <row r="842" ht="15" customHeight="1" s="32">
      <c r="A842" s="39" t="inlineStr">
        <is>
          <t>guard_tower.nest</t>
        </is>
      </c>
      <c r="B842" s="39" t="inlineStr">
        <is>
          <t>Tháp canh · nhánh Ổ súng</t>
        </is>
      </c>
      <c r="C842" s="39" t="inlineStr">
        <is>
          <t>Tên</t>
        </is>
      </c>
      <c r="D842" s="39" t="inlineStr">
        <is>
          <t>Tháp canh · nhánh Ổ súng</t>
        </is>
      </c>
      <c r="E842" s="49" t="inlineStr">
        <is>
          <t>Giữ</t>
        </is>
      </c>
      <c r="F842" s="39" t="n"/>
      <c r="G842" s="39" t="inlineStr">
        <is>
          <t>Tên rõ vai trò.</t>
        </is>
      </c>
      <c r="H842" s="39" t="n"/>
    </row>
    <row r="843" ht="15" customHeight="1" s="32">
      <c r="A843" s="41" t="inlineStr">
        <is>
          <t>guard_tower.nest</t>
        </is>
      </c>
      <c r="B843" s="41" t="inlineStr">
        <is>
          <t>Tháp canh · nhánh Ổ súng</t>
        </is>
      </c>
      <c r="C843" s="41" t="inlineStr">
        <is>
          <t>Ô</t>
        </is>
      </c>
      <c r="D843" s="41" t="inlineStr">
        <is>
          <t>Nhỏ</t>
        </is>
      </c>
      <c r="E843" s="49" t="inlineStr">
        <is>
          <t>Giữ</t>
        </is>
      </c>
      <c r="F843" s="41" t="n"/>
      <c r="G843" s="41" t="n"/>
      <c r="H843" s="41" t="n"/>
    </row>
    <row r="844" ht="15" customHeight="1" s="32">
      <c r="A844" s="39" t="inlineStr">
        <is>
          <t>guard_tower.nest</t>
        </is>
      </c>
      <c r="B844" s="39" t="inlineStr">
        <is>
          <t>Tháp canh · nhánh Ổ súng</t>
        </is>
      </c>
      <c r="C844" s="39" t="inlineStr">
        <is>
          <t>Máu</t>
        </is>
      </c>
      <c r="D844" s="42" t="n">
        <v>1540</v>
      </c>
      <c r="E844" s="49" t="inlineStr">
        <is>
          <t>Giữ</t>
        </is>
      </c>
      <c r="F844" s="39" t="n"/>
      <c r="G844" s="39" t="inlineStr">
        <is>
          <t>0.88 × trung vị máu tháp ô nhỏ.</t>
        </is>
      </c>
      <c r="H844" s="39" t="n"/>
    </row>
    <row r="845" ht="15" customHeight="1" s="32">
      <c r="A845" s="41" t="inlineStr">
        <is>
          <t>guard_tower.nest</t>
        </is>
      </c>
      <c r="B845" s="41" t="inlineStr">
        <is>
          <t>Tháp canh · nhánh Ổ súng</t>
        </is>
      </c>
      <c r="C845" s="41" t="inlineStr">
        <is>
          <t>Giáp</t>
        </is>
      </c>
      <c r="D845" s="41" t="inlineStr">
        <is>
          <t>cấp 1 (Mỏng) · công trình</t>
        </is>
      </c>
      <c r="E845" s="49" t="inlineStr">
        <is>
          <t>Giữ</t>
        </is>
      </c>
      <c r="F845" s="41" t="n"/>
      <c r="G845" s="41" t="inlineStr">
        <is>
          <t>Công trình; hợp vai trò.</t>
        </is>
      </c>
      <c r="H845" s="41" t="n"/>
    </row>
    <row r="846" ht="15" customHeight="1" s="32">
      <c r="A846" s="39" t="inlineStr">
        <is>
          <t>guard_tower.nest</t>
        </is>
      </c>
      <c r="B846" s="39" t="inlineStr">
        <is>
          <t>Tháp canh · nhánh Ổ súng</t>
        </is>
      </c>
      <c r="C846" s="39" t="inlineStr">
        <is>
          <t>Kích thước</t>
        </is>
      </c>
      <c r="D846" s="39" t="inlineStr">
        <is>
          <t>3.5 × 3.8 × 11.6</t>
        </is>
      </c>
      <c r="E846" s="49" t="inlineStr">
        <is>
          <t>Giữ</t>
        </is>
      </c>
      <c r="F846" s="39" t="n"/>
      <c r="G846" s="39" t="inlineStr">
        <is>
          <t>Vừa cỡ ô.</t>
        </is>
      </c>
      <c r="H846" s="39" t="n"/>
    </row>
    <row r="847" ht="15" customHeight="1" s="32">
      <c r="A847" s="41" t="inlineStr">
        <is>
          <t>guard_tower.nest</t>
        </is>
      </c>
      <c r="B847" s="41" t="inlineStr">
        <is>
          <t>Tháp canh · nhánh Ổ súng</t>
        </is>
      </c>
      <c r="C847" s="41" t="inlineStr">
        <is>
          <t>Vũ khí / DPS</t>
        </is>
      </c>
      <c r="D847" s="41" t="inlineStr">
        <is>
          <t>69/34/0</t>
        </is>
      </c>
      <c r="E847" s="49" t="inlineStr">
        <is>
          <t>Giữ</t>
        </is>
      </c>
      <c r="F847" s="41" t="n"/>
      <c r="G847" s="41" t="inlineStr">
        <is>
          <t>Trong khoảng mục tiêu của cỡ ô.</t>
        </is>
      </c>
      <c r="H847" s="41" t="n"/>
    </row>
    <row r="848" ht="15" customHeight="1" s="32">
      <c r="A848" s="39" t="inlineStr">
        <is>
          <t>guard_tower.nest</t>
        </is>
      </c>
      <c r="B848" s="39" t="inlineStr">
        <is>
          <t>Tháp canh · nhánh Ổ súng</t>
        </is>
      </c>
      <c r="C848" s="39" t="inlineStr">
        <is>
          <t>Nổ khi bị phá</t>
        </is>
      </c>
      <c r="D848" s="39" t="inlineStr">
        <is>
          <t>5 m</t>
        </is>
      </c>
      <c r="E848" s="49" t="inlineStr">
        <is>
          <t>Giữ</t>
        </is>
      </c>
      <c r="F848" s="39" t="n"/>
      <c r="G848" s="39" t="inlineStr">
        <is>
          <t>Hợp cỡ.</t>
        </is>
      </c>
      <c r="H848" s="39" t="n"/>
    </row>
    <row r="849" ht="15" customHeight="1" s="32">
      <c r="A849" s="41" t="inlineStr">
        <is>
          <t>headquarters</t>
        </is>
      </c>
      <c r="B849" s="41" t="inlineStr">
        <is>
          <t>Sở chỉ huy</t>
        </is>
      </c>
      <c r="C849" s="41" t="inlineStr">
        <is>
          <t>Tên</t>
        </is>
      </c>
      <c r="D849" s="41" t="inlineStr">
        <is>
          <t>Sở chỉ huy</t>
        </is>
      </c>
      <c r="E849" s="49" t="inlineStr">
        <is>
          <t>Giữ</t>
        </is>
      </c>
      <c r="F849" s="41" t="n"/>
      <c r="G849" s="41" t="inlineStr">
        <is>
          <t>Tên rõ vai trò.</t>
        </is>
      </c>
      <c r="H849" s="41" t="n"/>
    </row>
    <row r="850" ht="15" customHeight="1" s="32">
      <c r="A850" s="39" t="inlineStr">
        <is>
          <t>headquarters</t>
        </is>
      </c>
      <c r="B850" s="39" t="inlineStr">
        <is>
          <t>Sở chỉ huy</t>
        </is>
      </c>
      <c r="C850" s="39" t="inlineStr">
        <is>
          <t>Ô</t>
        </is>
      </c>
      <c r="D850" s="39" t="inlineStr">
        <is>
          <t>Khác</t>
        </is>
      </c>
      <c r="E850" s="49" t="inlineStr">
        <is>
          <t>Giữ</t>
        </is>
      </c>
      <c r="F850" s="39" t="n"/>
      <c r="G850" s="39" t="n"/>
      <c r="H850" s="39" t="n"/>
    </row>
    <row r="851" ht="15" customHeight="1" s="32">
      <c r="A851" s="41" t="inlineStr">
        <is>
          <t>headquarters</t>
        </is>
      </c>
      <c r="B851" s="41" t="inlineStr">
        <is>
          <t>Sở chỉ huy</t>
        </is>
      </c>
      <c r="C851" s="41" t="inlineStr">
        <is>
          <t>Máu</t>
        </is>
      </c>
      <c r="D851" s="43" t="n">
        <v>19800</v>
      </c>
      <c r="E851" s="49" t="inlineStr">
        <is>
          <t>Giữ</t>
        </is>
      </c>
      <c r="F851" s="41" t="n"/>
      <c r="G851" s="41" t="inlineStr">
        <is>
          <t>Chướng ngại, sở chỉ huy hoặc công trình nhiệm vụ: máu theo vai trò riêng.</t>
        </is>
      </c>
      <c r="H851" s="41" t="n"/>
    </row>
    <row r="852" ht="15" customHeight="1" s="32">
      <c r="A852" s="39" t="inlineStr">
        <is>
          <t>headquarters</t>
        </is>
      </c>
      <c r="B852" s="39" t="inlineStr">
        <is>
          <t>Sở chỉ huy</t>
        </is>
      </c>
      <c r="C852" s="39" t="inlineStr">
        <is>
          <t>Giáp</t>
        </is>
      </c>
      <c r="D852" s="39" t="inlineStr">
        <is>
          <t>cấp 4 (Rất dày) · công trình</t>
        </is>
      </c>
      <c r="E852" s="49" t="inlineStr">
        <is>
          <t>Giữ</t>
        </is>
      </c>
      <c r="F852" s="39" t="n"/>
      <c r="G852" s="39" t="inlineStr">
        <is>
          <t>Công trình; hợp vai trò.</t>
        </is>
      </c>
      <c r="H852" s="39" t="n"/>
    </row>
    <row r="853" ht="15" customHeight="1" s="32">
      <c r="A853" s="41" t="inlineStr">
        <is>
          <t>headquarters</t>
        </is>
      </c>
      <c r="B853" s="41" t="inlineStr">
        <is>
          <t>Sở chỉ huy</t>
        </is>
      </c>
      <c r="C853" s="41" t="inlineStr">
        <is>
          <t>Kích thước</t>
        </is>
      </c>
      <c r="D853" s="41" t="inlineStr">
        <is>
          <t>12.7 × 14.1 × 9.4</t>
        </is>
      </c>
      <c r="E853" s="49" t="inlineStr">
        <is>
          <t>Giữ</t>
        </is>
      </c>
      <c r="F853" s="41" t="n"/>
      <c r="G853" s="41" t="inlineStr">
        <is>
          <t>Vừa cỡ ô.</t>
        </is>
      </c>
      <c r="H853" s="41" t="n"/>
    </row>
    <row r="854" ht="15" customHeight="1" s="32">
      <c r="A854" s="39" t="inlineStr">
        <is>
          <t>headquarters</t>
        </is>
      </c>
      <c r="B854" s="39" t="inlineStr">
        <is>
          <t>Sở chỉ huy</t>
        </is>
      </c>
      <c r="C854" s="39" t="inlineStr">
        <is>
          <t>Vũ khí / DPS</t>
        </is>
      </c>
      <c r="D854" s="39" t="inlineStr">
        <is>
          <t>327/206/419</t>
        </is>
      </c>
      <c r="E854" s="49" t="inlineStr">
        <is>
          <t>Giữ</t>
        </is>
      </c>
      <c r="F854" s="39" t="n"/>
      <c r="G854" s="39" t="inlineStr">
        <is>
          <t>Trong khoảng mục tiêu của cỡ ô.</t>
        </is>
      </c>
      <c r="H854" s="39" t="n"/>
    </row>
    <row r="855" ht="15" customHeight="1" s="32">
      <c r="A855" s="41" t="inlineStr">
        <is>
          <t>headquarters</t>
        </is>
      </c>
      <c r="B855" s="41" t="inlineStr">
        <is>
          <t>Sở chỉ huy</t>
        </is>
      </c>
      <c r="C855" s="41" t="inlineStr">
        <is>
          <t>Nổ khi bị phá</t>
        </is>
      </c>
      <c r="D855" s="41" t="inlineStr">
        <is>
          <t>14 m</t>
        </is>
      </c>
      <c r="E855" s="49" t="inlineStr">
        <is>
          <t>Giữ</t>
        </is>
      </c>
      <c r="F855" s="41" t="n"/>
      <c r="G855" s="41" t="inlineStr">
        <is>
          <t>Hợp cỡ.</t>
        </is>
      </c>
      <c r="H855" s="41" t="n"/>
    </row>
    <row r="856" ht="15" customHeight="1" s="32">
      <c r="A856" s="39" t="inlineStr">
        <is>
          <t>mg_bunker</t>
        </is>
      </c>
      <c r="B856" s="39" t="inlineStr">
        <is>
          <t>Lô cốt súng máy</t>
        </is>
      </c>
      <c r="C856" s="39" t="inlineStr">
        <is>
          <t>Tên</t>
        </is>
      </c>
      <c r="D856" s="39" t="inlineStr">
        <is>
          <t>Lô cốt súng máy</t>
        </is>
      </c>
      <c r="E856" s="49" t="inlineStr">
        <is>
          <t>Giữ</t>
        </is>
      </c>
      <c r="F856" s="39" t="n"/>
      <c r="G856" s="39" t="inlineStr">
        <is>
          <t>Tên rõ vai trò.</t>
        </is>
      </c>
      <c r="H856" s="39" t="n"/>
    </row>
    <row r="857" ht="15" customHeight="1" s="32">
      <c r="A857" s="41" t="inlineStr">
        <is>
          <t>mg_bunker</t>
        </is>
      </c>
      <c r="B857" s="41" t="inlineStr">
        <is>
          <t>Lô cốt súng máy</t>
        </is>
      </c>
      <c r="C857" s="41" t="inlineStr">
        <is>
          <t>Ô</t>
        </is>
      </c>
      <c r="D857" s="41" t="inlineStr">
        <is>
          <t>Nhỏ</t>
        </is>
      </c>
      <c r="E857" s="49" t="inlineStr">
        <is>
          <t>Giữ</t>
        </is>
      </c>
      <c r="F857" s="41" t="n"/>
      <c r="G857" s="41" t="n"/>
      <c r="H857" s="41" t="n"/>
    </row>
    <row r="858" ht="15" customHeight="1" s="32">
      <c r="A858" s="39" t="inlineStr">
        <is>
          <t>mg_bunker</t>
        </is>
      </c>
      <c r="B858" s="39" t="inlineStr">
        <is>
          <t>Lô cốt súng máy</t>
        </is>
      </c>
      <c r="C858" s="39" t="inlineStr">
        <is>
          <t>Máu</t>
        </is>
      </c>
      <c r="D858" s="42" t="n">
        <v>3300</v>
      </c>
      <c r="E858" s="49" t="inlineStr">
        <is>
          <t>Giữ</t>
        </is>
      </c>
      <c r="F858" s="39" t="n"/>
      <c r="G858" s="39" t="inlineStr">
        <is>
          <t>1.88 × trung vị máu tháp ô nhỏ.</t>
        </is>
      </c>
      <c r="H858" s="39" t="n"/>
    </row>
    <row r="859" ht="15" customHeight="1" s="32">
      <c r="A859" s="41" t="inlineStr">
        <is>
          <t>mg_bunker</t>
        </is>
      </c>
      <c r="B859" s="41" t="inlineStr">
        <is>
          <t>Lô cốt súng máy</t>
        </is>
      </c>
      <c r="C859" s="41" t="inlineStr">
        <is>
          <t>Giáp</t>
        </is>
      </c>
      <c r="D859" s="41" t="inlineStr">
        <is>
          <t>3/2/2/2</t>
        </is>
      </c>
      <c r="E859" s="49" t="inlineStr">
        <is>
          <t>Giữ</t>
        </is>
      </c>
      <c r="F859" s="41" t="n"/>
      <c r="G859" s="41" t="inlineStr">
        <is>
          <t>Công trình; hợp vai trò.</t>
        </is>
      </c>
      <c r="H859" s="41" t="n"/>
    </row>
    <row r="860" ht="15" customHeight="1" s="32">
      <c r="A860" s="39" t="inlineStr">
        <is>
          <t>mg_bunker</t>
        </is>
      </c>
      <c r="B860" s="39" t="inlineStr">
        <is>
          <t>Lô cốt súng máy</t>
        </is>
      </c>
      <c r="C860" s="39" t="inlineStr">
        <is>
          <t>Kích thước</t>
        </is>
      </c>
      <c r="D860" s="39" t="inlineStr">
        <is>
          <t>4.4 × 4.4 × 3.3</t>
        </is>
      </c>
      <c r="E860" s="49" t="inlineStr">
        <is>
          <t>Giữ</t>
        </is>
      </c>
      <c r="F860" s="39" t="n"/>
      <c r="G860" s="39" t="inlineStr">
        <is>
          <t>Vừa cỡ ô.</t>
        </is>
      </c>
      <c r="H860" s="39" t="n"/>
    </row>
    <row r="861" ht="15" customHeight="1" s="32">
      <c r="A861" s="41" t="inlineStr">
        <is>
          <t>mg_bunker</t>
        </is>
      </c>
      <c r="B861" s="41" t="inlineStr">
        <is>
          <t>Lô cốt súng máy</t>
        </is>
      </c>
      <c r="C861" s="41" t="inlineStr">
        <is>
          <t>Vũ khí / DPS</t>
        </is>
      </c>
      <c r="D861" s="41" t="inlineStr">
        <is>
          <t>102/30/36</t>
        </is>
      </c>
      <c r="E861" s="49" t="inlineStr">
        <is>
          <t>Giữ</t>
        </is>
      </c>
      <c r="F861" s="41" t="n"/>
      <c r="G861" s="41" t="inlineStr">
        <is>
          <t>Trong khoảng mục tiêu của cỡ ô.</t>
        </is>
      </c>
      <c r="H861" s="41" t="n"/>
    </row>
    <row r="862" ht="15" customHeight="1" s="32">
      <c r="A862" s="39" t="inlineStr">
        <is>
          <t>mg_bunker</t>
        </is>
      </c>
      <c r="B862" s="39" t="inlineStr">
        <is>
          <t>Lô cốt súng máy</t>
        </is>
      </c>
      <c r="C862" s="39" t="inlineStr">
        <is>
          <t>Nổ khi bị phá</t>
        </is>
      </c>
      <c r="D862" s="39" t="inlineStr">
        <is>
          <t>6 m</t>
        </is>
      </c>
      <c r="E862" s="49" t="inlineStr">
        <is>
          <t>Giữ</t>
        </is>
      </c>
      <c r="F862" s="39" t="n"/>
      <c r="G862" s="39" t="inlineStr">
        <is>
          <t>Hợp cỡ.</t>
        </is>
      </c>
      <c r="H862" s="39" t="n"/>
    </row>
    <row r="863" ht="15" customHeight="1" s="32">
      <c r="A863" s="41" t="inlineStr">
        <is>
          <t>mg_bunker.twin</t>
        </is>
      </c>
      <c r="B863" s="41" t="inlineStr">
        <is>
          <t>Lô cốt súng máy · nhánh Súng máy đôi</t>
        </is>
      </c>
      <c r="C863" s="41" t="inlineStr">
        <is>
          <t>Tên</t>
        </is>
      </c>
      <c r="D863" s="41" t="inlineStr">
        <is>
          <t>Lô cốt súng máy · nhánh Súng máy đôi</t>
        </is>
      </c>
      <c r="E863" s="49" t="inlineStr">
        <is>
          <t>Giữ</t>
        </is>
      </c>
      <c r="F863" s="41" t="n"/>
      <c r="G863" s="41" t="inlineStr">
        <is>
          <t>Tên rõ vai trò.</t>
        </is>
      </c>
      <c r="H863" s="41" t="n"/>
    </row>
    <row r="864" ht="15" customHeight="1" s="32">
      <c r="A864" s="39" t="inlineStr">
        <is>
          <t>mg_bunker.twin</t>
        </is>
      </c>
      <c r="B864" s="39" t="inlineStr">
        <is>
          <t>Lô cốt súng máy · nhánh Súng máy đôi</t>
        </is>
      </c>
      <c r="C864" s="39" t="inlineStr">
        <is>
          <t>Ô</t>
        </is>
      </c>
      <c r="D864" s="39" t="inlineStr">
        <is>
          <t>Nhỏ</t>
        </is>
      </c>
      <c r="E864" s="49" t="inlineStr">
        <is>
          <t>Giữ</t>
        </is>
      </c>
      <c r="F864" s="39" t="n"/>
      <c r="G864" s="39" t="n"/>
      <c r="H864" s="39" t="n"/>
    </row>
    <row r="865" ht="15" customHeight="1" s="32">
      <c r="A865" s="41" t="inlineStr">
        <is>
          <t>mg_bunker.twin</t>
        </is>
      </c>
      <c r="B865" s="41" t="inlineStr">
        <is>
          <t>Lô cốt súng máy · nhánh Súng máy đôi</t>
        </is>
      </c>
      <c r="C865" s="41" t="inlineStr">
        <is>
          <t>Máu</t>
        </is>
      </c>
      <c r="D865" s="43" t="n">
        <v>3300</v>
      </c>
      <c r="E865" s="49" t="inlineStr">
        <is>
          <t>Giữ</t>
        </is>
      </c>
      <c r="F865" s="41" t="n"/>
      <c r="G865" s="41" t="inlineStr">
        <is>
          <t>1.88 × trung vị máu tháp ô nhỏ.</t>
        </is>
      </c>
      <c r="H865" s="41" t="n"/>
    </row>
    <row r="866" ht="15" customHeight="1" s="32">
      <c r="A866" s="39" t="inlineStr">
        <is>
          <t>mg_bunker.twin</t>
        </is>
      </c>
      <c r="B866" s="39" t="inlineStr">
        <is>
          <t>Lô cốt súng máy · nhánh Súng máy đôi</t>
        </is>
      </c>
      <c r="C866" s="39" t="inlineStr">
        <is>
          <t>Giáp</t>
        </is>
      </c>
      <c r="D866" s="39" t="inlineStr">
        <is>
          <t>3/2/2/2</t>
        </is>
      </c>
      <c r="E866" s="49" t="inlineStr">
        <is>
          <t>Giữ</t>
        </is>
      </c>
      <c r="F866" s="39" t="n"/>
      <c r="G866" s="39" t="inlineStr">
        <is>
          <t>Công trình; hợp vai trò.</t>
        </is>
      </c>
      <c r="H866" s="39" t="n"/>
    </row>
    <row r="867" ht="15" customHeight="1" s="32">
      <c r="A867" s="41" t="inlineStr">
        <is>
          <t>mg_bunker.twin</t>
        </is>
      </c>
      <c r="B867" s="41" t="inlineStr">
        <is>
          <t>Lô cốt súng máy · nhánh Súng máy đôi</t>
        </is>
      </c>
      <c r="C867" s="41" t="inlineStr">
        <is>
          <t>Kích thước</t>
        </is>
      </c>
      <c r="D867" s="41" t="inlineStr">
        <is>
          <t>4.4 × 4.4 × 3.3</t>
        </is>
      </c>
      <c r="E867" s="49" t="inlineStr">
        <is>
          <t>Giữ</t>
        </is>
      </c>
      <c r="F867" s="41" t="n"/>
      <c r="G867" s="41" t="inlineStr">
        <is>
          <t>Vừa cỡ ô.</t>
        </is>
      </c>
      <c r="H867" s="41" t="n"/>
    </row>
    <row r="868" ht="15" customHeight="1" s="32">
      <c r="A868" s="39" t="inlineStr">
        <is>
          <t>mg_bunker.twin</t>
        </is>
      </c>
      <c r="B868" s="39" t="inlineStr">
        <is>
          <t>Lô cốt súng máy · nhánh Súng máy đôi</t>
        </is>
      </c>
      <c r="C868" s="39" t="inlineStr">
        <is>
          <t>Vũ khí / DPS</t>
        </is>
      </c>
      <c r="D868" s="39" t="inlineStr">
        <is>
          <t>122/36/43</t>
        </is>
      </c>
      <c r="E868" s="49" t="inlineStr">
        <is>
          <t>Giữ</t>
        </is>
      </c>
      <c r="F868" s="39" t="n"/>
      <c r="G868" s="39" t="inlineStr">
        <is>
          <t>Trong khoảng mục tiêu của cỡ ô.</t>
        </is>
      </c>
      <c r="H868" s="39" t="n"/>
    </row>
    <row r="869" ht="15" customHeight="1" s="32">
      <c r="A869" s="41" t="inlineStr">
        <is>
          <t>mg_bunker.twin</t>
        </is>
      </c>
      <c r="B869" s="41" t="inlineStr">
        <is>
          <t>Lô cốt súng máy · nhánh Súng máy đôi</t>
        </is>
      </c>
      <c r="C869" s="41" t="inlineStr">
        <is>
          <t>Nổ khi bị phá</t>
        </is>
      </c>
      <c r="D869" s="41" t="inlineStr">
        <is>
          <t>6 m</t>
        </is>
      </c>
      <c r="E869" s="49" t="inlineStr">
        <is>
          <t>Giữ</t>
        </is>
      </c>
      <c r="F869" s="41" t="n"/>
      <c r="G869" s="41" t="inlineStr">
        <is>
          <t>Hợp cỡ.</t>
        </is>
      </c>
      <c r="H869" s="41" t="n"/>
    </row>
    <row r="870" ht="21.75" customHeight="1" s="32">
      <c r="A870" s="39" t="inlineStr">
        <is>
          <t>mg_bunker.flame</t>
        </is>
      </c>
      <c r="B870" s="39" t="inlineStr">
        <is>
          <t>Lô cốt súng máy · nhánh Lô cốt phun lửa</t>
        </is>
      </c>
      <c r="C870" s="39" t="inlineStr">
        <is>
          <t>Tên</t>
        </is>
      </c>
      <c r="D870" s="39" t="inlineStr">
        <is>
          <t>Lô cốt súng máy · nhánh Lô cốt phun lửa</t>
        </is>
      </c>
      <c r="E870" s="49" t="inlineStr">
        <is>
          <t>Giữ</t>
        </is>
      </c>
      <c r="F870" s="39" t="n"/>
      <c r="G870" s="39" t="inlineStr">
        <is>
          <t>Tên rõ vai trò.</t>
        </is>
      </c>
      <c r="H870" s="39" t="n"/>
    </row>
    <row r="871" ht="21.75" customHeight="1" s="32">
      <c r="A871" s="41" t="inlineStr">
        <is>
          <t>mg_bunker.flame</t>
        </is>
      </c>
      <c r="B871" s="41" t="inlineStr">
        <is>
          <t>Lô cốt súng máy · nhánh Lô cốt phun lửa</t>
        </is>
      </c>
      <c r="C871" s="41" t="inlineStr">
        <is>
          <t>Ô</t>
        </is>
      </c>
      <c r="D871" s="41" t="inlineStr">
        <is>
          <t>Nhỏ</t>
        </is>
      </c>
      <c r="E871" s="49" t="inlineStr">
        <is>
          <t>Giữ</t>
        </is>
      </c>
      <c r="F871" s="41" t="n"/>
      <c r="G871" s="41" t="n"/>
      <c r="H871" s="41" t="n"/>
    </row>
    <row r="872" ht="21.75" customHeight="1" s="32">
      <c r="A872" s="39" t="inlineStr">
        <is>
          <t>mg_bunker.flame</t>
        </is>
      </c>
      <c r="B872" s="39" t="inlineStr">
        <is>
          <t>Lô cốt súng máy · nhánh Lô cốt phun lửa</t>
        </is>
      </c>
      <c r="C872" s="39" t="inlineStr">
        <is>
          <t>Máu</t>
        </is>
      </c>
      <c r="D872" s="42" t="n">
        <v>3300</v>
      </c>
      <c r="E872" s="49" t="inlineStr">
        <is>
          <t>Giữ</t>
        </is>
      </c>
      <c r="F872" s="39" t="n"/>
      <c r="G872" s="39" t="inlineStr">
        <is>
          <t>1.88 × trung vị máu tháp ô nhỏ.</t>
        </is>
      </c>
      <c r="H872" s="39" t="n"/>
    </row>
    <row r="873" ht="21.75" customHeight="1" s="32">
      <c r="A873" s="41" t="inlineStr">
        <is>
          <t>mg_bunker.flame</t>
        </is>
      </c>
      <c r="B873" s="41" t="inlineStr">
        <is>
          <t>Lô cốt súng máy · nhánh Lô cốt phun lửa</t>
        </is>
      </c>
      <c r="C873" s="41" t="inlineStr">
        <is>
          <t>Giáp</t>
        </is>
      </c>
      <c r="D873" s="41" t="inlineStr">
        <is>
          <t>3/2/2/2</t>
        </is>
      </c>
      <c r="E873" s="49" t="inlineStr">
        <is>
          <t>Giữ</t>
        </is>
      </c>
      <c r="F873" s="41" t="n"/>
      <c r="G873" s="41" t="inlineStr">
        <is>
          <t>Công trình; hợp vai trò.</t>
        </is>
      </c>
      <c r="H873" s="41" t="n"/>
    </row>
    <row r="874" ht="21.75" customHeight="1" s="32">
      <c r="A874" s="39" t="inlineStr">
        <is>
          <t>mg_bunker.flame</t>
        </is>
      </c>
      <c r="B874" s="39" t="inlineStr">
        <is>
          <t>Lô cốt súng máy · nhánh Lô cốt phun lửa</t>
        </is>
      </c>
      <c r="C874" s="39" t="inlineStr">
        <is>
          <t>Kích thước</t>
        </is>
      </c>
      <c r="D874" s="39" t="inlineStr">
        <is>
          <t>4.4 × 4.4 × 3.3</t>
        </is>
      </c>
      <c r="E874" s="49" t="inlineStr">
        <is>
          <t>Giữ</t>
        </is>
      </c>
      <c r="F874" s="39" t="n"/>
      <c r="G874" s="39" t="inlineStr">
        <is>
          <t>Vừa cỡ ô.</t>
        </is>
      </c>
      <c r="H874" s="39" t="n"/>
    </row>
    <row r="875" ht="21.75" customHeight="1" s="32">
      <c r="A875" s="41" t="inlineStr">
        <is>
          <t>mg_bunker.flame</t>
        </is>
      </c>
      <c r="B875" s="41" t="inlineStr">
        <is>
          <t>Lô cốt súng máy · nhánh Lô cốt phun lửa</t>
        </is>
      </c>
      <c r="C875" s="41" t="inlineStr">
        <is>
          <t>Vũ khí / DPS</t>
        </is>
      </c>
      <c r="D875" s="41" t="inlineStr">
        <is>
          <t>170/50/0</t>
        </is>
      </c>
      <c r="E875" s="49" t="inlineStr">
        <is>
          <t>Giữ</t>
        </is>
      </c>
      <c r="F875" s="41" t="n"/>
      <c r="G875" s="41" t="inlineStr">
        <is>
          <t>Trong khoảng mục tiêu của cỡ ô.</t>
        </is>
      </c>
      <c r="H875" s="41" t="n"/>
    </row>
    <row r="876" ht="21.75" customHeight="1" s="32">
      <c r="A876" s="39" t="inlineStr">
        <is>
          <t>mg_bunker.flame</t>
        </is>
      </c>
      <c r="B876" s="39" t="inlineStr">
        <is>
          <t>Lô cốt súng máy · nhánh Lô cốt phun lửa</t>
        </is>
      </c>
      <c r="C876" s="39" t="inlineStr">
        <is>
          <t>Nổ khi bị phá</t>
        </is>
      </c>
      <c r="D876" s="39" t="inlineStr">
        <is>
          <t>6 m</t>
        </is>
      </c>
      <c r="E876" s="49" t="inlineStr">
        <is>
          <t>Giữ</t>
        </is>
      </c>
      <c r="F876" s="39" t="n"/>
      <c r="G876" s="39" t="inlineStr">
        <is>
          <t>Hợp cỡ.</t>
        </is>
      </c>
      <c r="H876" s="39" t="n"/>
    </row>
    <row r="877" ht="15" customHeight="1" s="32">
      <c r="A877" s="41"/>
      <c r="B877" s="41"/>
      <c r="C877" s="41"/>
      <c r="D877" s="41"/>
      <c r="E877" s="49"/>
      <c r="F877" s="41"/>
      <c r="G877" s="41"/>
      <c r="H877" s="41"/>
    </row>
    <row r="878" ht="15" customHeight="1" s="32">
      <c r="A878" s="39"/>
      <c r="B878" s="39"/>
      <c r="C878" s="39"/>
      <c r="D878" s="39"/>
      <c r="E878" s="49"/>
      <c r="F878" s="39"/>
      <c r="G878" s="39"/>
      <c r="H878" s="39"/>
    </row>
    <row r="879" ht="15" customHeight="1" s="32">
      <c r="A879" s="41"/>
      <c r="B879" s="41"/>
      <c r="C879" s="41"/>
      <c r="D879" s="43"/>
      <c r="E879" s="49"/>
      <c r="F879" s="41"/>
      <c r="G879" s="41"/>
      <c r="H879" s="41"/>
    </row>
    <row r="880" ht="15" customHeight="1" s="32">
      <c r="A880" s="39"/>
      <c r="B880" s="39"/>
      <c r="C880" s="39"/>
      <c r="D880" s="39"/>
      <c r="E880" s="49"/>
      <c r="F880" s="39"/>
      <c r="G880" s="39"/>
      <c r="H880" s="39"/>
    </row>
    <row r="881" ht="15" customHeight="1" s="32">
      <c r="A881" s="41"/>
      <c r="B881" s="41"/>
      <c r="C881" s="41"/>
      <c r="D881" s="41"/>
      <c r="E881" s="49"/>
      <c r="F881" s="41"/>
      <c r="G881" s="41"/>
      <c r="H881" s="41"/>
    </row>
    <row r="882" ht="15" customHeight="1" s="32">
      <c r="A882" s="39"/>
      <c r="B882" s="39"/>
      <c r="C882" s="39"/>
      <c r="D882" s="39"/>
      <c r="E882" s="49"/>
      <c r="F882" s="39"/>
      <c r="G882" s="39"/>
      <c r="H882" s="39"/>
    </row>
    <row r="883" ht="15" customHeight="1" s="32">
      <c r="A883" s="41" t="inlineStr">
        <is>
          <t>minefield.at</t>
        </is>
      </c>
      <c r="B883" s="41" t="inlineStr">
        <is>
          <t>Bãi mìn · nhánh Bãi mìn chống tăng</t>
        </is>
      </c>
      <c r="C883" s="41" t="inlineStr">
        <is>
          <t>Tên</t>
        </is>
      </c>
      <c r="D883" s="41" t="inlineStr">
        <is>
          <t>Bãi mìn · nhánh Bãi mìn chống tăng</t>
        </is>
      </c>
      <c r="E883" s="49" t="inlineStr">
        <is>
          <t>Giữ</t>
        </is>
      </c>
      <c r="F883" s="41" t="n"/>
      <c r="G883" s="41" t="inlineStr">
        <is>
          <t>Tên rõ vai trò.</t>
        </is>
      </c>
      <c r="H883" s="41" t="n"/>
    </row>
    <row r="884" ht="15" customHeight="1" s="32">
      <c r="A884" s="39" t="inlineStr">
        <is>
          <t>minefield.at</t>
        </is>
      </c>
      <c r="B884" s="39" t="inlineStr">
        <is>
          <t>Bãi mìn · nhánh Bãi mìn chống tăng</t>
        </is>
      </c>
      <c r="C884" s="39" t="inlineStr">
        <is>
          <t>Ô</t>
        </is>
      </c>
      <c r="D884" s="39" t="inlineStr">
        <is>
          <t>Nhỏ</t>
        </is>
      </c>
      <c r="E884" s="49" t="inlineStr">
        <is>
          <t>Giữ</t>
        </is>
      </c>
      <c r="F884" s="39" t="n"/>
      <c r="G884" s="39" t="n"/>
      <c r="H884" s="39" t="n"/>
    </row>
    <row r="885" ht="15" customHeight="1" s="32">
      <c r="A885" s="41" t="inlineStr">
        <is>
          <t>minefield.at</t>
        </is>
      </c>
      <c r="B885" s="41" t="inlineStr">
        <is>
          <t>Bãi mìn · nhánh Bãi mìn chống tăng</t>
        </is>
      </c>
      <c r="C885" s="41" t="inlineStr">
        <is>
          <t>Máu</t>
        </is>
      </c>
      <c r="D885" s="43" t="n">
        <v>880</v>
      </c>
      <c r="E885" s="49" t="inlineStr">
        <is>
          <t>Giữ</t>
        </is>
      </c>
      <c r="F885" s="41" t="n"/>
      <c r="G885" s="41" t="inlineStr">
        <is>
          <t>Chướng ngại, sở chỉ huy hoặc công trình nhiệm vụ: máu theo vai trò riêng.</t>
        </is>
      </c>
      <c r="H885" s="41" t="n"/>
    </row>
    <row r="886" ht="15" customHeight="1" s="32">
      <c r="A886" s="39" t="inlineStr">
        <is>
          <t>minefield.at</t>
        </is>
      </c>
      <c r="B886" s="39" t="inlineStr">
        <is>
          <t>Bãi mìn · nhánh Bãi mìn chống tăng</t>
        </is>
      </c>
      <c r="C886" s="39" t="inlineStr">
        <is>
          <t>Giáp</t>
        </is>
      </c>
      <c r="D886" s="39" t="inlineStr">
        <is>
          <t>cấp 0 (Không giáp) · công trình</t>
        </is>
      </c>
      <c r="E886" s="49" t="inlineStr">
        <is>
          <t>Giữ</t>
        </is>
      </c>
      <c r="F886" s="39" t="n"/>
      <c r="G886" s="39" t="inlineStr">
        <is>
          <t>Công trình; hợp vai trò.</t>
        </is>
      </c>
      <c r="H886" s="39" t="n"/>
    </row>
    <row r="887" ht="15" customHeight="1" s="32">
      <c r="A887" s="41" t="inlineStr">
        <is>
          <t>minefield.at</t>
        </is>
      </c>
      <c r="B887" s="41" t="inlineStr">
        <is>
          <t>Bãi mìn · nhánh Bãi mìn chống tăng</t>
        </is>
      </c>
      <c r="C887" s="41" t="inlineStr">
        <is>
          <t>Kích thước</t>
        </is>
      </c>
      <c r="D887" s="41" t="inlineStr">
        <is>
          <t>4.9 × 4.9 × 1.1</t>
        </is>
      </c>
      <c r="E887" s="49" t="inlineStr">
        <is>
          <t>Giữ</t>
        </is>
      </c>
      <c r="F887" s="41" t="n"/>
      <c r="G887" s="41" t="inlineStr">
        <is>
          <t>Vừa cỡ ô.</t>
        </is>
      </c>
      <c r="H887" s="41" t="n"/>
    </row>
    <row r="888" ht="15" customHeight="1" s="32">
      <c r="A888" s="39" t="inlineStr">
        <is>
          <t>minefield.at</t>
        </is>
      </c>
      <c r="B888" s="39" t="inlineStr">
        <is>
          <t>Bãi mìn · nhánh Bãi mìn chống tăng</t>
        </is>
      </c>
      <c r="C888" s="39" t="inlineStr">
        <is>
          <t>Vũ khí / DPS</t>
        </is>
      </c>
      <c r="D888" s="39" t="inlineStr">
        <is>
          <t>0/0/0</t>
        </is>
      </c>
      <c r="E888" s="49" t="inlineStr">
        <is>
          <t>Giữ</t>
        </is>
      </c>
      <c r="F888" s="39" t="n"/>
      <c r="G888" s="39" t="inlineStr">
        <is>
          <t>Trong khoảng mục tiêu của cỡ ô.</t>
        </is>
      </c>
      <c r="H888" s="39" t="n"/>
    </row>
    <row r="889" ht="15" customHeight="1" s="32">
      <c r="A889" s="41" t="inlineStr">
        <is>
          <t>minefield.scatter</t>
        </is>
      </c>
      <c r="B889" s="41" t="inlineStr">
        <is>
          <t>Bãi mìn · nhánh Bãi mìn rải</t>
        </is>
      </c>
      <c r="C889" s="41" t="inlineStr">
        <is>
          <t>Tên</t>
        </is>
      </c>
      <c r="D889" s="41" t="inlineStr">
        <is>
          <t>Bãi mìn · nhánh Bãi mìn rải</t>
        </is>
      </c>
      <c r="E889" s="49" t="inlineStr">
        <is>
          <t>Giữ</t>
        </is>
      </c>
      <c r="F889" s="41" t="n"/>
      <c r="G889" s="41" t="inlineStr">
        <is>
          <t>Tên rõ vai trò.</t>
        </is>
      </c>
      <c r="H889" s="41" t="n"/>
    </row>
    <row r="890" ht="15" customHeight="1" s="32">
      <c r="A890" s="39" t="inlineStr">
        <is>
          <t>minefield.scatter</t>
        </is>
      </c>
      <c r="B890" s="39" t="inlineStr">
        <is>
          <t>Bãi mìn · nhánh Bãi mìn rải</t>
        </is>
      </c>
      <c r="C890" s="39" t="inlineStr">
        <is>
          <t>Ô</t>
        </is>
      </c>
      <c r="D890" s="39" t="inlineStr">
        <is>
          <t>Nhỏ</t>
        </is>
      </c>
      <c r="E890" s="49" t="inlineStr">
        <is>
          <t>Giữ</t>
        </is>
      </c>
      <c r="F890" s="39" t="n"/>
      <c r="G890" s="39" t="n"/>
      <c r="H890" s="39" t="n"/>
    </row>
    <row r="891" ht="15" customHeight="1" s="32">
      <c r="A891" s="41" t="inlineStr">
        <is>
          <t>minefield.scatter</t>
        </is>
      </c>
      <c r="B891" s="41" t="inlineStr">
        <is>
          <t>Bãi mìn · nhánh Bãi mìn rải</t>
        </is>
      </c>
      <c r="C891" s="41" t="inlineStr">
        <is>
          <t>Máu</t>
        </is>
      </c>
      <c r="D891" s="43" t="n">
        <v>880</v>
      </c>
      <c r="E891" s="49" t="inlineStr">
        <is>
          <t>Giữ</t>
        </is>
      </c>
      <c r="F891" s="41" t="n"/>
      <c r="G891" s="41" t="inlineStr">
        <is>
          <t>Chướng ngại, sở chỉ huy hoặc công trình nhiệm vụ: máu theo vai trò riêng.</t>
        </is>
      </c>
      <c r="H891" s="41" t="n"/>
    </row>
    <row r="892" ht="15" customHeight="1" s="32">
      <c r="A892" s="39" t="inlineStr">
        <is>
          <t>minefield.scatter</t>
        </is>
      </c>
      <c r="B892" s="39" t="inlineStr">
        <is>
          <t>Bãi mìn · nhánh Bãi mìn rải</t>
        </is>
      </c>
      <c r="C892" s="39" t="inlineStr">
        <is>
          <t>Giáp</t>
        </is>
      </c>
      <c r="D892" s="39" t="inlineStr">
        <is>
          <t>cấp 0 (Không giáp) · công trình</t>
        </is>
      </c>
      <c r="E892" s="49" t="inlineStr">
        <is>
          <t>Giữ</t>
        </is>
      </c>
      <c r="F892" s="39" t="n"/>
      <c r="G892" s="39" t="inlineStr">
        <is>
          <t>Công trình; hợp vai trò.</t>
        </is>
      </c>
      <c r="H892" s="39" t="n"/>
    </row>
    <row r="893" ht="15" customHeight="1" s="32">
      <c r="A893" s="41" t="inlineStr">
        <is>
          <t>minefield.scatter</t>
        </is>
      </c>
      <c r="B893" s="41" t="inlineStr">
        <is>
          <t>Bãi mìn · nhánh Bãi mìn rải</t>
        </is>
      </c>
      <c r="C893" s="41" t="inlineStr">
        <is>
          <t>Kích thước</t>
        </is>
      </c>
      <c r="D893" s="41" t="inlineStr">
        <is>
          <t>4.9 × 4.9 × 1.1</t>
        </is>
      </c>
      <c r="E893" s="49" t="inlineStr">
        <is>
          <t>Giữ</t>
        </is>
      </c>
      <c r="F893" s="41" t="n"/>
      <c r="G893" s="41" t="inlineStr">
        <is>
          <t>Vừa cỡ ô.</t>
        </is>
      </c>
      <c r="H893" s="41" t="n"/>
    </row>
    <row r="894" ht="15" customHeight="1" s="32">
      <c r="A894" s="39" t="inlineStr">
        <is>
          <t>minefield.scatter</t>
        </is>
      </c>
      <c r="B894" s="39" t="inlineStr">
        <is>
          <t>Bãi mìn · nhánh Bãi mìn rải</t>
        </is>
      </c>
      <c r="C894" s="39" t="inlineStr">
        <is>
          <t>Vũ khí / DPS</t>
        </is>
      </c>
      <c r="D894" s="39" t="inlineStr">
        <is>
          <t>0/0/0</t>
        </is>
      </c>
      <c r="E894" s="49" t="inlineStr">
        <is>
          <t>Giữ</t>
        </is>
      </c>
      <c r="F894" s="39" t="n"/>
      <c r="G894" s="39" t="inlineStr">
        <is>
          <t>Trong khoảng mục tiêu của cỡ ô.</t>
        </is>
      </c>
      <c r="H894" s="39" t="n"/>
    </row>
    <row r="895" ht="15" customHeight="1" s="32">
      <c r="A895" s="41" t="inlineStr">
        <is>
          <t>airfield</t>
        </is>
      </c>
      <c r="B895" s="41" t="inlineStr">
        <is>
          <t>Sân bay dã chiến</t>
        </is>
      </c>
      <c r="C895" s="41" t="inlineStr">
        <is>
          <t>Tên</t>
        </is>
      </c>
      <c r="D895" s="41" t="inlineStr">
        <is>
          <t>Sân bay dã chiến</t>
        </is>
      </c>
      <c r="E895" s="49" t="inlineStr">
        <is>
          <t>Giữ</t>
        </is>
      </c>
      <c r="F895" s="41" t="n"/>
      <c r="G895" s="41" t="inlineStr">
        <is>
          <t>Tên rõ vai trò.</t>
        </is>
      </c>
      <c r="H895" s="41" t="n"/>
    </row>
    <row r="896" ht="15" customHeight="1" s="32">
      <c r="A896" s="39" t="inlineStr">
        <is>
          <t>airfield</t>
        </is>
      </c>
      <c r="B896" s="39" t="inlineStr">
        <is>
          <t>Sân bay dã chiến</t>
        </is>
      </c>
      <c r="C896" s="39" t="inlineStr">
        <is>
          <t>Ô</t>
        </is>
      </c>
      <c r="D896" s="39" t="inlineStr">
        <is>
          <t>Khác</t>
        </is>
      </c>
      <c r="E896" s="49" t="inlineStr">
        <is>
          <t>Giữ</t>
        </is>
      </c>
      <c r="F896" s="39" t="n"/>
      <c r="G896" s="39" t="n"/>
      <c r="H896" s="39" t="n"/>
    </row>
    <row r="897" ht="15" customHeight="1" s="32">
      <c r="A897" s="41" t="inlineStr">
        <is>
          <t>airfield</t>
        </is>
      </c>
      <c r="B897" s="41" t="inlineStr">
        <is>
          <t>Sân bay dã chiến</t>
        </is>
      </c>
      <c r="C897" s="41" t="inlineStr">
        <is>
          <t>Máu</t>
        </is>
      </c>
      <c r="D897" s="43" t="n">
        <v>3520</v>
      </c>
      <c r="E897" s="49" t="inlineStr">
        <is>
          <t>Giữ</t>
        </is>
      </c>
      <c r="F897" s="41" t="n"/>
      <c r="G897" s="41" t="inlineStr">
        <is>
          <t>1.00 × trung vị máu tháp ô khác.</t>
        </is>
      </c>
      <c r="H897" s="41" t="n"/>
    </row>
    <row r="898" ht="15" customHeight="1" s="32">
      <c r="A898" s="39" t="inlineStr">
        <is>
          <t>airfield</t>
        </is>
      </c>
      <c r="B898" s="39" t="inlineStr">
        <is>
          <t>Sân bay dã chiến</t>
        </is>
      </c>
      <c r="C898" s="39" t="inlineStr">
        <is>
          <t>Giáp</t>
        </is>
      </c>
      <c r="D898" s="39" t="inlineStr">
        <is>
          <t>cấp 1 (Mỏng) · công trình</t>
        </is>
      </c>
      <c r="E898" s="49" t="inlineStr">
        <is>
          <t>Giữ</t>
        </is>
      </c>
      <c r="F898" s="39" t="n"/>
      <c r="G898" s="39" t="inlineStr">
        <is>
          <t>Công trình; hợp vai trò.</t>
        </is>
      </c>
      <c r="H898" s="39" t="n"/>
    </row>
    <row r="899" ht="15" customHeight="1" s="32">
      <c r="A899" s="41" t="inlineStr">
        <is>
          <t>airfield</t>
        </is>
      </c>
      <c r="B899" s="41" t="inlineStr">
        <is>
          <t>Sân bay dã chiến</t>
        </is>
      </c>
      <c r="C899" s="41" t="inlineStr">
        <is>
          <t>Kích thước</t>
        </is>
      </c>
      <c r="D899" s="41" t="inlineStr">
        <is>
          <t>10.0 × 10.0 × 0.1</t>
        </is>
      </c>
      <c r="E899" s="49" t="inlineStr">
        <is>
          <t>Giữ</t>
        </is>
      </c>
      <c r="F899" s="41" t="n"/>
      <c r="G899" s="41" t="inlineStr">
        <is>
          <t>Vừa cỡ ô.</t>
        </is>
      </c>
      <c r="H899" s="41" t="n"/>
    </row>
    <row r="900" ht="15" customHeight="1" s="32">
      <c r="A900" s="39" t="inlineStr">
        <is>
          <t>airfield</t>
        </is>
      </c>
      <c r="B900" s="39" t="inlineStr">
        <is>
          <t>Sân bay dã chiến</t>
        </is>
      </c>
      <c r="C900" s="39" t="inlineStr">
        <is>
          <t>Vũ khí / DPS</t>
        </is>
      </c>
      <c r="D900" s="39" t="inlineStr">
        <is>
          <t>0/0/0</t>
        </is>
      </c>
      <c r="E900" s="49" t="inlineStr">
        <is>
          <t>Giữ</t>
        </is>
      </c>
      <c r="F900" s="39" t="n"/>
      <c r="G900" s="39" t="inlineStr">
        <is>
          <t>Trong khoảng mục tiêu của cỡ ô.</t>
        </is>
      </c>
      <c r="H900" s="39" t="n"/>
    </row>
    <row r="901" ht="15" customHeight="1" s="32">
      <c r="A901" s="41" t="inlineStr">
        <is>
          <t>airfield.hangar</t>
        </is>
      </c>
      <c r="B901" s="41" t="inlineStr">
        <is>
          <t>Sân bay dã chiến · Nhà chứa máy bay</t>
        </is>
      </c>
      <c r="C901" s="41" t="inlineStr">
        <is>
          <t>Tên</t>
        </is>
      </c>
      <c r="D901" s="41" t="inlineStr">
        <is>
          <t>Sân bay dã chiến · Nhà chứa máy bay</t>
        </is>
      </c>
      <c r="E901" s="49" t="inlineStr">
        <is>
          <t>Giữ</t>
        </is>
      </c>
      <c r="F901" s="41" t="n"/>
      <c r="G901" s="41" t="inlineStr">
        <is>
          <t>Tên rõ vai trò.</t>
        </is>
      </c>
      <c r="H901" s="41" t="n"/>
    </row>
    <row r="902" ht="15" customHeight="1" s="32">
      <c r="A902" s="39" t="inlineStr">
        <is>
          <t>airfield.hangar</t>
        </is>
      </c>
      <c r="B902" s="39" t="inlineStr">
        <is>
          <t>Sân bay dã chiến · Nhà chứa máy bay</t>
        </is>
      </c>
      <c r="C902" s="39" t="inlineStr">
        <is>
          <t>Ô</t>
        </is>
      </c>
      <c r="D902" s="39" t="inlineStr">
        <is>
          <t>Khác</t>
        </is>
      </c>
      <c r="E902" s="49" t="inlineStr">
        <is>
          <t>Giữ</t>
        </is>
      </c>
      <c r="F902" s="39" t="n"/>
      <c r="G902" s="39" t="n"/>
      <c r="H902" s="39" t="n"/>
    </row>
    <row r="903" ht="15" customHeight="1" s="32">
      <c r="A903" s="41" t="inlineStr">
        <is>
          <t>airfield.hangar</t>
        </is>
      </c>
      <c r="B903" s="41" t="inlineStr">
        <is>
          <t>Sân bay dã chiến · Nhà chứa máy bay</t>
        </is>
      </c>
      <c r="C903" s="41" t="inlineStr">
        <is>
          <t>Máu</t>
        </is>
      </c>
      <c r="D903" s="43" t="n">
        <v>3960</v>
      </c>
      <c r="E903" s="49" t="inlineStr">
        <is>
          <t>Giữ</t>
        </is>
      </c>
      <c r="F903" s="41" t="n"/>
      <c r="G903" s="41" t="inlineStr">
        <is>
          <t>1.12 × trung vị máu tháp ô khác.</t>
        </is>
      </c>
      <c r="H903" s="41" t="n"/>
    </row>
    <row r="904" ht="15" customHeight="1" s="32">
      <c r="A904" s="39" t="inlineStr">
        <is>
          <t>airfield.hangar</t>
        </is>
      </c>
      <c r="B904" s="39" t="inlineStr">
        <is>
          <t>Sân bay dã chiến · Nhà chứa máy bay</t>
        </is>
      </c>
      <c r="C904" s="39" t="inlineStr">
        <is>
          <t>Giáp</t>
        </is>
      </c>
      <c r="D904" s="39" t="inlineStr">
        <is>
          <t>cấp 2 (Vừa) · công trình</t>
        </is>
      </c>
      <c r="E904" s="49" t="inlineStr">
        <is>
          <t>Giữ</t>
        </is>
      </c>
      <c r="F904" s="39" t="n"/>
      <c r="G904" s="39" t="inlineStr">
        <is>
          <t>Công trình; hợp vai trò.</t>
        </is>
      </c>
      <c r="H904" s="39" t="n"/>
    </row>
    <row r="905" ht="15" customHeight="1" s="32">
      <c r="A905" s="41" t="inlineStr">
        <is>
          <t>airfield.hangar</t>
        </is>
      </c>
      <c r="B905" s="41" t="inlineStr">
        <is>
          <t>Sân bay dã chiến · Nhà chứa máy bay</t>
        </is>
      </c>
      <c r="C905" s="41" t="inlineStr">
        <is>
          <t>Kích thước</t>
        </is>
      </c>
      <c r="D905" s="41" t="inlineStr">
        <is>
          <t>10.0 × 10.0 × 0.1</t>
        </is>
      </c>
      <c r="E905" s="49" t="inlineStr">
        <is>
          <t>Giữ</t>
        </is>
      </c>
      <c r="F905" s="41" t="n"/>
      <c r="G905" s="41" t="inlineStr">
        <is>
          <t>Vừa cỡ ô.</t>
        </is>
      </c>
      <c r="H905" s="41" t="n"/>
    </row>
    <row r="906" ht="15" customHeight="1" s="32">
      <c r="A906" s="39" t="inlineStr">
        <is>
          <t>airfield.hangar</t>
        </is>
      </c>
      <c r="B906" s="39" t="inlineStr">
        <is>
          <t>Sân bay dã chiến · Nhà chứa máy bay</t>
        </is>
      </c>
      <c r="C906" s="39" t="inlineStr">
        <is>
          <t>Vũ khí / DPS</t>
        </is>
      </c>
      <c r="D906" s="39" t="inlineStr">
        <is>
          <t>0/0/0</t>
        </is>
      </c>
      <c r="E906" s="49" t="inlineStr">
        <is>
          <t>Giữ</t>
        </is>
      </c>
      <c r="F906" s="39" t="n"/>
      <c r="G906" s="39" t="inlineStr">
        <is>
          <t>Trong khoảng mục tiêu của cỡ ô.</t>
        </is>
      </c>
      <c r="H906" s="39" t="n"/>
    </row>
    <row r="907" ht="15" customHeight="1" s="32">
      <c r="A907" s="41" t="inlineStr">
        <is>
          <t>airfield.service</t>
        </is>
      </c>
      <c r="B907" s="41" t="inlineStr">
        <is>
          <t>Sân bay dã chiến · Phục vụ nhanh</t>
        </is>
      </c>
      <c r="C907" s="41" t="inlineStr">
        <is>
          <t>Tên</t>
        </is>
      </c>
      <c r="D907" s="41" t="inlineStr">
        <is>
          <t>Sân bay dã chiến · Phục vụ nhanh</t>
        </is>
      </c>
      <c r="E907" s="49" t="inlineStr">
        <is>
          <t>Giữ</t>
        </is>
      </c>
      <c r="F907" s="41" t="n"/>
      <c r="G907" s="41" t="inlineStr">
        <is>
          <t>Tên rõ vai trò.</t>
        </is>
      </c>
      <c r="H907" s="41" t="n"/>
    </row>
    <row r="908" ht="15" customHeight="1" s="32">
      <c r="A908" s="39" t="inlineStr">
        <is>
          <t>airfield.service</t>
        </is>
      </c>
      <c r="B908" s="39" t="inlineStr">
        <is>
          <t>Sân bay dã chiến · Phục vụ nhanh</t>
        </is>
      </c>
      <c r="C908" s="39" t="inlineStr">
        <is>
          <t>Ô</t>
        </is>
      </c>
      <c r="D908" s="39" t="inlineStr">
        <is>
          <t>Khác</t>
        </is>
      </c>
      <c r="E908" s="49" t="inlineStr">
        <is>
          <t>Giữ</t>
        </is>
      </c>
      <c r="F908" s="39" t="n"/>
      <c r="G908" s="39" t="n"/>
      <c r="H908" s="39" t="n"/>
    </row>
    <row r="909" ht="15" customHeight="1" s="32">
      <c r="A909" s="41" t="inlineStr">
        <is>
          <t>airfield.service</t>
        </is>
      </c>
      <c r="B909" s="41" t="inlineStr">
        <is>
          <t>Sân bay dã chiến · Phục vụ nhanh</t>
        </is>
      </c>
      <c r="C909" s="41" t="inlineStr">
        <is>
          <t>Máu</t>
        </is>
      </c>
      <c r="D909" s="43" t="n">
        <v>3520</v>
      </c>
      <c r="E909" s="49" t="inlineStr">
        <is>
          <t>Giữ</t>
        </is>
      </c>
      <c r="F909" s="41" t="n"/>
      <c r="G909" s="41" t="inlineStr">
        <is>
          <t>1.00 × trung vị máu tháp ô khác.</t>
        </is>
      </c>
      <c r="H909" s="41" t="n"/>
    </row>
    <row r="910" ht="15" customHeight="1" s="32">
      <c r="A910" s="39" t="inlineStr">
        <is>
          <t>airfield.service</t>
        </is>
      </c>
      <c r="B910" s="39" t="inlineStr">
        <is>
          <t>Sân bay dã chiến · Phục vụ nhanh</t>
        </is>
      </c>
      <c r="C910" s="39" t="inlineStr">
        <is>
          <t>Giáp</t>
        </is>
      </c>
      <c r="D910" s="39" t="inlineStr">
        <is>
          <t>cấp 1 (Mỏng) · công trình</t>
        </is>
      </c>
      <c r="E910" s="49" t="inlineStr">
        <is>
          <t>Giữ</t>
        </is>
      </c>
      <c r="F910" s="39" t="n"/>
      <c r="G910" s="39" t="inlineStr">
        <is>
          <t>Công trình; hợp vai trò.</t>
        </is>
      </c>
      <c r="H910" s="39" t="n"/>
    </row>
    <row r="911" ht="15" customHeight="1" s="32">
      <c r="A911" s="41" t="inlineStr">
        <is>
          <t>airfield.service</t>
        </is>
      </c>
      <c r="B911" s="41" t="inlineStr">
        <is>
          <t>Sân bay dã chiến · Phục vụ nhanh</t>
        </is>
      </c>
      <c r="C911" s="41" t="inlineStr">
        <is>
          <t>Kích thước</t>
        </is>
      </c>
      <c r="D911" s="41" t="inlineStr">
        <is>
          <t>10.0 × 10.0 × 0.1</t>
        </is>
      </c>
      <c r="E911" s="49" t="inlineStr">
        <is>
          <t>Giữ</t>
        </is>
      </c>
      <c r="F911" s="41" t="n"/>
      <c r="G911" s="41" t="inlineStr">
        <is>
          <t>Vừa cỡ ô.</t>
        </is>
      </c>
      <c r="H911" s="41" t="n"/>
    </row>
    <row r="912" ht="15" customHeight="1" s="32">
      <c r="A912" s="39" t="inlineStr">
        <is>
          <t>airfield.service</t>
        </is>
      </c>
      <c r="B912" s="39" t="inlineStr">
        <is>
          <t>Sân bay dã chiến · Phục vụ nhanh</t>
        </is>
      </c>
      <c r="C912" s="39" t="inlineStr">
        <is>
          <t>Vũ khí / DPS</t>
        </is>
      </c>
      <c r="D912" s="39" t="inlineStr">
        <is>
          <t>0/0/0</t>
        </is>
      </c>
      <c r="E912" s="49" t="inlineStr">
        <is>
          <t>Giữ</t>
        </is>
      </c>
      <c r="F912" s="39" t="n"/>
      <c r="G912" s="39" t="inlineStr">
        <is>
          <t>Trong khoảng mục tiêu của cỡ ô.</t>
        </is>
      </c>
      <c r="H912" s="39" t="n"/>
    </row>
    <row r="913" ht="15" customHeight="1" s="32">
      <c r="A913" s="41"/>
      <c r="B913" s="41"/>
      <c r="C913" s="41"/>
      <c r="D913" s="41"/>
      <c r="E913" s="49"/>
      <c r="F913" s="41"/>
      <c r="G913" s="41"/>
      <c r="H913" s="41"/>
    </row>
    <row r="914" ht="15" customHeight="1" s="32">
      <c r="A914" s="39"/>
      <c r="B914" s="39"/>
      <c r="C914" s="39"/>
      <c r="D914" s="39"/>
      <c r="E914" s="49"/>
      <c r="F914" s="39"/>
      <c r="G914" s="39"/>
      <c r="H914" s="39"/>
    </row>
    <row r="915" ht="15" customHeight="1" s="32">
      <c r="A915" s="41"/>
      <c r="B915" s="41"/>
      <c r="C915" s="41"/>
      <c r="D915" s="43"/>
      <c r="E915" s="49"/>
      <c r="F915" s="41"/>
      <c r="G915" s="41"/>
      <c r="H915" s="41"/>
    </row>
    <row r="916" ht="15" customHeight="1" s="32">
      <c r="A916" s="39"/>
      <c r="B916" s="39"/>
      <c r="C916" s="39"/>
      <c r="D916" s="39"/>
      <c r="E916" s="49"/>
      <c r="F916" s="39"/>
      <c r="G916" s="39"/>
      <c r="H916" s="39"/>
    </row>
    <row r="917" ht="15" customHeight="1" s="32">
      <c r="A917" s="41"/>
      <c r="B917" s="41"/>
      <c r="C917" s="41"/>
      <c r="D917" s="41"/>
      <c r="E917" s="49"/>
      <c r="F917" s="41"/>
      <c r="G917" s="41"/>
      <c r="H917" s="41"/>
    </row>
    <row r="918" ht="15" customHeight="1" s="32">
      <c r="A918" s="39"/>
      <c r="B918" s="39"/>
      <c r="C918" s="39"/>
      <c r="D918" s="39"/>
      <c r="E918" s="49"/>
      <c r="F918" s="39"/>
      <c r="G918" s="39"/>
      <c r="H918" s="39"/>
    </row>
    <row r="919" ht="15" customHeight="1" s="32">
      <c r="A919" s="41"/>
      <c r="B919" s="41"/>
      <c r="C919" s="41"/>
      <c r="D919" s="41"/>
      <c r="E919" s="47"/>
      <c r="F919" s="41"/>
      <c r="G919" s="41"/>
      <c r="H919" s="49"/>
    </row>
    <row r="920" ht="15" customHeight="1" s="32">
      <c r="A920" s="39" t="inlineStr">
        <is>
          <t>atgm_tower</t>
        </is>
      </c>
      <c r="B920" s="39" t="inlineStr">
        <is>
          <t>Tháp tên lửa chống tăng</t>
        </is>
      </c>
      <c r="C920" s="39" t="inlineStr">
        <is>
          <t>Tên</t>
        </is>
      </c>
      <c r="D920" s="39" t="inlineStr">
        <is>
          <t>Tháp tên lửa chống tăng</t>
        </is>
      </c>
      <c r="E920" s="49" t="inlineStr">
        <is>
          <t>Giữ</t>
        </is>
      </c>
      <c r="F920" s="39" t="n"/>
      <c r="G920" s="39" t="inlineStr">
        <is>
          <t>Tên rõ vai trò.</t>
        </is>
      </c>
      <c r="H920" s="39" t="n"/>
    </row>
    <row r="921" ht="15" customHeight="1" s="32">
      <c r="A921" s="41" t="inlineStr">
        <is>
          <t>atgm_tower</t>
        </is>
      </c>
      <c r="B921" s="41" t="inlineStr">
        <is>
          <t>Tháp tên lửa chống tăng</t>
        </is>
      </c>
      <c r="C921" s="41" t="inlineStr">
        <is>
          <t>Ô</t>
        </is>
      </c>
      <c r="D921" s="41" t="inlineStr">
        <is>
          <t>Vừa</t>
        </is>
      </c>
      <c r="E921" s="49" t="inlineStr">
        <is>
          <t>Giữ</t>
        </is>
      </c>
      <c r="F921" s="41" t="n"/>
      <c r="G921" s="41" t="n"/>
      <c r="H921" s="41" t="n"/>
    </row>
    <row r="922" ht="15" customHeight="1" s="32">
      <c r="A922" s="39" t="inlineStr">
        <is>
          <t>atgm_tower</t>
        </is>
      </c>
      <c r="B922" s="39" t="inlineStr">
        <is>
          <t>Tháp tên lửa chống tăng</t>
        </is>
      </c>
      <c r="C922" s="39" t="inlineStr">
        <is>
          <t>Máu</t>
        </is>
      </c>
      <c r="D922" s="42" t="n">
        <v>1980</v>
      </c>
      <c r="E922" s="49" t="inlineStr">
        <is>
          <t>Giữ</t>
        </is>
      </c>
      <c r="F922" s="39" t="n"/>
      <c r="G922" s="39" t="inlineStr">
        <is>
          <t>0.75 × trung vị máu tháp ô vừa.</t>
        </is>
      </c>
      <c r="H922" s="39" t="n"/>
    </row>
    <row r="923" ht="15" customHeight="1" s="32">
      <c r="A923" s="41" t="inlineStr">
        <is>
          <t>atgm_tower</t>
        </is>
      </c>
      <c r="B923" s="41" t="inlineStr">
        <is>
          <t>Tháp tên lửa chống tăng</t>
        </is>
      </c>
      <c r="C923" s="41" t="inlineStr">
        <is>
          <t>Giáp</t>
        </is>
      </c>
      <c r="D923" s="41" t="inlineStr">
        <is>
          <t>cấp 2 (Vừa) · công trình</t>
        </is>
      </c>
      <c r="E923" s="49" t="inlineStr">
        <is>
          <t>Giữ</t>
        </is>
      </c>
      <c r="F923" s="41" t="n"/>
      <c r="G923" s="41" t="inlineStr">
        <is>
          <t>Công trình; hợp vai trò.</t>
        </is>
      </c>
      <c r="H923" s="41" t="n"/>
    </row>
    <row r="924" ht="15" customHeight="1" s="32">
      <c r="A924" s="39" t="inlineStr">
        <is>
          <t>atgm_tower</t>
        </is>
      </c>
      <c r="B924" s="39" t="inlineStr">
        <is>
          <t>Tháp tên lửa chống tăng</t>
        </is>
      </c>
      <c r="C924" s="39" t="inlineStr">
        <is>
          <t>Kích thước</t>
        </is>
      </c>
      <c r="D924" s="39" t="inlineStr">
        <is>
          <t>5.2 × 5.2 × 5.0</t>
        </is>
      </c>
      <c r="E924" s="49" t="inlineStr">
        <is>
          <t>Giữ</t>
        </is>
      </c>
      <c r="F924" s="39" t="n"/>
      <c r="G924" s="39" t="inlineStr">
        <is>
          <t>Vừa cỡ ô.</t>
        </is>
      </c>
      <c r="H924" s="39" t="n"/>
    </row>
    <row r="925" ht="15" customHeight="1" s="32">
      <c r="A925" s="41" t="inlineStr">
        <is>
          <t>atgm_tower</t>
        </is>
      </c>
      <c r="B925" s="41" t="inlineStr">
        <is>
          <t>Tháp tên lửa chống tăng</t>
        </is>
      </c>
      <c r="C925" s="41" t="inlineStr">
        <is>
          <t>Vũ khí / DPS</t>
        </is>
      </c>
      <c r="D925" s="41" t="inlineStr">
        <is>
          <t>45/93/0</t>
        </is>
      </c>
      <c r="E925" s="49" t="inlineStr">
        <is>
          <t>Giữ</t>
        </is>
      </c>
      <c r="F925" s="41" t="n"/>
      <c r="G925" s="41" t="inlineStr">
        <is>
          <t>Trong khoảng mục tiêu của cỡ ô.</t>
        </is>
      </c>
      <c r="H925" s="41" t="n"/>
    </row>
    <row r="926" ht="15" customHeight="1" s="32">
      <c r="A926" s="39" t="inlineStr">
        <is>
          <t>atgm_tower</t>
        </is>
      </c>
      <c r="B926" s="39" t="inlineStr">
        <is>
          <t>Tháp tên lửa chống tăng</t>
        </is>
      </c>
      <c r="C926" s="39" t="inlineStr">
        <is>
          <t>Nổ khi bị phá</t>
        </is>
      </c>
      <c r="D926" s="39" t="inlineStr">
        <is>
          <t>6 m</t>
        </is>
      </c>
      <c r="E926" s="49" t="inlineStr">
        <is>
          <t>Giữ</t>
        </is>
      </c>
      <c r="F926" s="39" t="n"/>
      <c r="G926" s="39" t="inlineStr">
        <is>
          <t>Hợp cỡ.</t>
        </is>
      </c>
      <c r="H926" s="39" t="n"/>
    </row>
    <row r="927" ht="21.75" customHeight="1" s="32">
      <c r="A927" s="41" t="inlineStr">
        <is>
          <t>atgm_tower.top</t>
        </is>
      </c>
      <c r="B927" s="41" t="inlineStr">
        <is>
          <t>Tháp tên lửa chống tăng · nhánh Tấn công từ trên</t>
        </is>
      </c>
      <c r="C927" s="41" t="inlineStr">
        <is>
          <t>Tên</t>
        </is>
      </c>
      <c r="D927" s="41" t="inlineStr">
        <is>
          <t>Tháp tên lửa chống tăng · nhánh Tấn công từ trên</t>
        </is>
      </c>
      <c r="E927" s="49" t="inlineStr">
        <is>
          <t>Giữ</t>
        </is>
      </c>
      <c r="F927" s="41" t="n"/>
      <c r="G927" s="41" t="inlineStr">
        <is>
          <t>Tên rõ vai trò.</t>
        </is>
      </c>
      <c r="H927" s="41" t="n"/>
    </row>
    <row r="928" ht="21.75" customHeight="1" s="32">
      <c r="A928" s="39" t="inlineStr">
        <is>
          <t>atgm_tower.top</t>
        </is>
      </c>
      <c r="B928" s="39" t="inlineStr">
        <is>
          <t>Tháp tên lửa chống tăng · nhánh Tấn công từ trên</t>
        </is>
      </c>
      <c r="C928" s="39" t="inlineStr">
        <is>
          <t>Ô</t>
        </is>
      </c>
      <c r="D928" s="39" t="inlineStr">
        <is>
          <t>Vừa</t>
        </is>
      </c>
      <c r="E928" s="49" t="inlineStr">
        <is>
          <t>Giữ</t>
        </is>
      </c>
      <c r="F928" s="39" t="n"/>
      <c r="G928" s="39" t="n"/>
      <c r="H928" s="39" t="n"/>
    </row>
    <row r="929" ht="21.75" customHeight="1" s="32">
      <c r="A929" s="41" t="inlineStr">
        <is>
          <t>atgm_tower.top</t>
        </is>
      </c>
      <c r="B929" s="41" t="inlineStr">
        <is>
          <t>Tháp tên lửa chống tăng · nhánh Tấn công từ trên</t>
        </is>
      </c>
      <c r="C929" s="41" t="inlineStr">
        <is>
          <t>Máu</t>
        </is>
      </c>
      <c r="D929" s="43" t="n">
        <v>1980</v>
      </c>
      <c r="E929" s="49" t="inlineStr">
        <is>
          <t>Giữ</t>
        </is>
      </c>
      <c r="F929" s="41" t="n"/>
      <c r="G929" s="41" t="inlineStr">
        <is>
          <t>0.75 × trung vị máu tháp ô vừa.</t>
        </is>
      </c>
      <c r="H929" s="41" t="n"/>
    </row>
    <row r="930" ht="21.75" customHeight="1" s="32">
      <c r="A930" s="39" t="inlineStr">
        <is>
          <t>atgm_tower.top</t>
        </is>
      </c>
      <c r="B930" s="39" t="inlineStr">
        <is>
          <t>Tháp tên lửa chống tăng · nhánh Tấn công từ trên</t>
        </is>
      </c>
      <c r="C930" s="39" t="inlineStr">
        <is>
          <t>Giáp</t>
        </is>
      </c>
      <c r="D930" s="39" t="inlineStr">
        <is>
          <t>cấp 2 (Vừa) · công trình</t>
        </is>
      </c>
      <c r="E930" s="49" t="inlineStr">
        <is>
          <t>Giữ</t>
        </is>
      </c>
      <c r="F930" s="39" t="n"/>
      <c r="G930" s="39" t="inlineStr">
        <is>
          <t>Công trình; hợp vai trò.</t>
        </is>
      </c>
      <c r="H930" s="39" t="n"/>
    </row>
    <row r="931" ht="21.75" customHeight="1" s="32">
      <c r="A931" s="41" t="inlineStr">
        <is>
          <t>atgm_tower.top</t>
        </is>
      </c>
      <c r="B931" s="41" t="inlineStr">
        <is>
          <t>Tháp tên lửa chống tăng · nhánh Tấn công từ trên</t>
        </is>
      </c>
      <c r="C931" s="41" t="inlineStr">
        <is>
          <t>Kích thước</t>
        </is>
      </c>
      <c r="D931" s="41" t="inlineStr">
        <is>
          <t>5.2 × 5.2 × 5.0</t>
        </is>
      </c>
      <c r="E931" s="49" t="inlineStr">
        <is>
          <t>Giữ</t>
        </is>
      </c>
      <c r="F931" s="41" t="n"/>
      <c r="G931" s="41" t="inlineStr">
        <is>
          <t>Vừa cỡ ô.</t>
        </is>
      </c>
      <c r="H931" s="41" t="n"/>
    </row>
    <row r="932" ht="21.75" customHeight="1" s="32">
      <c r="A932" s="39" t="inlineStr">
        <is>
          <t>atgm_tower.top</t>
        </is>
      </c>
      <c r="B932" s="39" t="inlineStr">
        <is>
          <t>Tháp tên lửa chống tăng · nhánh Tấn công từ trên</t>
        </is>
      </c>
      <c r="C932" s="39" t="inlineStr">
        <is>
          <t>Vũ khí / DPS</t>
        </is>
      </c>
      <c r="D932" s="39" t="inlineStr">
        <is>
          <t>40/100/0</t>
        </is>
      </c>
      <c r="E932" s="49" t="inlineStr">
        <is>
          <t>Giữ</t>
        </is>
      </c>
      <c r="F932" s="39" t="n"/>
      <c r="G932" s="39" t="inlineStr">
        <is>
          <t>Trong khoảng mục tiêu của cỡ ô.</t>
        </is>
      </c>
      <c r="H932" s="39" t="n"/>
    </row>
    <row r="933" ht="21.75" customHeight="1" s="32">
      <c r="A933" s="41" t="inlineStr">
        <is>
          <t>atgm_tower.top</t>
        </is>
      </c>
      <c r="B933" s="41" t="inlineStr">
        <is>
          <t>Tháp tên lửa chống tăng · nhánh Tấn công từ trên</t>
        </is>
      </c>
      <c r="C933" s="41" t="inlineStr">
        <is>
          <t>Nổ khi bị phá</t>
        </is>
      </c>
      <c r="D933" s="41" t="inlineStr">
        <is>
          <t>6 m</t>
        </is>
      </c>
      <c r="E933" s="49" t="inlineStr">
        <is>
          <t>Giữ</t>
        </is>
      </c>
      <c r="F933" s="41" t="n"/>
      <c r="G933" s="41" t="inlineStr">
        <is>
          <t>Hợp cỡ.</t>
        </is>
      </c>
      <c r="H933" s="41" t="n"/>
    </row>
    <row r="934" ht="21.75" customHeight="1" s="32">
      <c r="A934" s="39" t="inlineStr">
        <is>
          <t>atgm_tower.multi</t>
        </is>
      </c>
      <c r="B934" s="39" t="inlineStr">
        <is>
          <t>Tháp tên lửa chống tăng · nhánh Đa năng</t>
        </is>
      </c>
      <c r="C934" s="39" t="inlineStr">
        <is>
          <t>Tên</t>
        </is>
      </c>
      <c r="D934" s="39" t="inlineStr">
        <is>
          <t>Tháp tên lửa chống tăng · nhánh Đa năng</t>
        </is>
      </c>
      <c r="E934" s="49" t="inlineStr">
        <is>
          <t>Giữ</t>
        </is>
      </c>
      <c r="F934" s="39" t="n"/>
      <c r="G934" s="39" t="inlineStr">
        <is>
          <t>Tên rõ vai trò.</t>
        </is>
      </c>
      <c r="H934" s="39" t="n"/>
    </row>
    <row r="935" ht="21.75" customHeight="1" s="32">
      <c r="A935" s="41" t="inlineStr">
        <is>
          <t>atgm_tower.multi</t>
        </is>
      </c>
      <c r="B935" s="41" t="inlineStr">
        <is>
          <t>Tháp tên lửa chống tăng · nhánh Đa năng</t>
        </is>
      </c>
      <c r="C935" s="41" t="inlineStr">
        <is>
          <t>Ô</t>
        </is>
      </c>
      <c r="D935" s="41" t="inlineStr">
        <is>
          <t>Vừa</t>
        </is>
      </c>
      <c r="E935" s="49" t="inlineStr">
        <is>
          <t>Giữ</t>
        </is>
      </c>
      <c r="F935" s="41" t="n"/>
      <c r="G935" s="41" t="n"/>
      <c r="H935" s="41" t="n"/>
    </row>
    <row r="936" ht="21.75" customHeight="1" s="32">
      <c r="A936" s="39" t="inlineStr">
        <is>
          <t>atgm_tower.multi</t>
        </is>
      </c>
      <c r="B936" s="39" t="inlineStr">
        <is>
          <t>Tháp tên lửa chống tăng · nhánh Đa năng</t>
        </is>
      </c>
      <c r="C936" s="39" t="inlineStr">
        <is>
          <t>Máu</t>
        </is>
      </c>
      <c r="D936" s="42" t="n">
        <v>1980</v>
      </c>
      <c r="E936" s="49" t="inlineStr">
        <is>
          <t>Giữ</t>
        </is>
      </c>
      <c r="F936" s="39" t="n"/>
      <c r="G936" s="39" t="inlineStr">
        <is>
          <t>0.75 × trung vị máu tháp ô vừa.</t>
        </is>
      </c>
      <c r="H936" s="39" t="n"/>
    </row>
    <row r="937" ht="21.75" customHeight="1" s="32">
      <c r="A937" s="41" t="inlineStr">
        <is>
          <t>atgm_tower.multi</t>
        </is>
      </c>
      <c r="B937" s="41" t="inlineStr">
        <is>
          <t>Tháp tên lửa chống tăng · nhánh Đa năng</t>
        </is>
      </c>
      <c r="C937" s="41" t="inlineStr">
        <is>
          <t>Giáp</t>
        </is>
      </c>
      <c r="D937" s="41" t="inlineStr">
        <is>
          <t>cấp 2 (Vừa) · công trình</t>
        </is>
      </c>
      <c r="E937" s="49" t="inlineStr">
        <is>
          <t>Giữ</t>
        </is>
      </c>
      <c r="F937" s="41" t="n"/>
      <c r="G937" s="41" t="inlineStr">
        <is>
          <t>Công trình; hợp vai trò.</t>
        </is>
      </c>
      <c r="H937" s="41" t="n"/>
    </row>
    <row r="938" ht="21.75" customHeight="1" s="32">
      <c r="A938" s="39" t="inlineStr">
        <is>
          <t>atgm_tower.multi</t>
        </is>
      </c>
      <c r="B938" s="39" t="inlineStr">
        <is>
          <t>Tháp tên lửa chống tăng · nhánh Đa năng</t>
        </is>
      </c>
      <c r="C938" s="39" t="inlineStr">
        <is>
          <t>Kích thước</t>
        </is>
      </c>
      <c r="D938" s="39" t="inlineStr">
        <is>
          <t>5.2 × 5.2 × 5.0</t>
        </is>
      </c>
      <c r="E938" s="49" t="inlineStr">
        <is>
          <t>Giữ</t>
        </is>
      </c>
      <c r="F938" s="39" t="n"/>
      <c r="G938" s="39" t="inlineStr">
        <is>
          <t>Vừa cỡ ô.</t>
        </is>
      </c>
      <c r="H938" s="39" t="n"/>
    </row>
    <row r="939" ht="21.75" customHeight="1" s="32">
      <c r="A939" s="41" t="inlineStr">
        <is>
          <t>atgm_tower.multi</t>
        </is>
      </c>
      <c r="B939" s="41" t="inlineStr">
        <is>
          <t>Tháp tên lửa chống tăng · nhánh Đa năng</t>
        </is>
      </c>
      <c r="C939" s="41" t="inlineStr">
        <is>
          <t>Vũ khí / DPS</t>
        </is>
      </c>
      <c r="D939" s="41" t="inlineStr">
        <is>
          <t>67/79/28</t>
        </is>
      </c>
      <c r="E939" s="49" t="inlineStr">
        <is>
          <t>Giữ</t>
        </is>
      </c>
      <c r="F939" s="41" t="n"/>
      <c r="G939" s="41" t="inlineStr">
        <is>
          <t>Trong khoảng mục tiêu của cỡ ô.</t>
        </is>
      </c>
      <c r="H939" s="41" t="n"/>
    </row>
    <row r="940" ht="21.75" customHeight="1" s="32">
      <c r="A940" s="39" t="inlineStr">
        <is>
          <t>atgm_tower.multi</t>
        </is>
      </c>
      <c r="B940" s="39" t="inlineStr">
        <is>
          <t>Tháp tên lửa chống tăng · nhánh Đa năng</t>
        </is>
      </c>
      <c r="C940" s="39" t="inlineStr">
        <is>
          <t>Nổ khi bị phá</t>
        </is>
      </c>
      <c r="D940" s="39" t="inlineStr">
        <is>
          <t>6 m</t>
        </is>
      </c>
      <c r="E940" s="49" t="inlineStr">
        <is>
          <t>Giữ</t>
        </is>
      </c>
      <c r="F940" s="39" t="n"/>
      <c r="G940" s="39" t="inlineStr">
        <is>
          <t>Hợp cỡ.</t>
        </is>
      </c>
      <c r="H940" s="39" t="n"/>
    </row>
    <row r="941" ht="21.75" customHeight="1" s="32">
      <c r="A941" s="41" t="inlineStr">
        <is>
          <t>c_ram</t>
        </is>
      </c>
      <c r="B941" s="41" t="inlineStr">
        <is>
          <t>Trạm C-RAM</t>
        </is>
      </c>
      <c r="C941" s="41" t="inlineStr">
        <is>
          <t>Tên</t>
        </is>
      </c>
      <c r="D941" s="41" t="inlineStr">
        <is>
          <t>Trạm C-RAM</t>
        </is>
      </c>
      <c r="E941" s="47" t="inlineStr">
        <is>
          <t>Đổi</t>
        </is>
      </c>
      <c r="F941" s="41" t="inlineStr">
        <is>
          <t>Trạm đánh chặn C-RAM · ngắn: C-RAM · EN: C-RAM Interceptor</t>
        </is>
      </c>
      <c r="G941" s="41" t="inlineStr">
        <is>
          <t>Giữ nghĩa.</t>
        </is>
      </c>
      <c r="H941" s="49" t="inlineStr">
        <is>
          <t>Thấp</t>
        </is>
      </c>
    </row>
    <row r="942" ht="15" customHeight="1" s="32">
      <c r="A942" s="39" t="inlineStr">
        <is>
          <t>c_ram</t>
        </is>
      </c>
      <c r="B942" s="39" t="inlineStr">
        <is>
          <t>Trạm C-RAM</t>
        </is>
      </c>
      <c r="C942" s="39" t="inlineStr">
        <is>
          <t>Ô</t>
        </is>
      </c>
      <c r="D942" s="39" t="inlineStr">
        <is>
          <t>Vừa</t>
        </is>
      </c>
      <c r="E942" s="49" t="inlineStr">
        <is>
          <t>Giữ</t>
        </is>
      </c>
      <c r="F942" s="39" t="n"/>
      <c r="G942" s="39" t="n"/>
      <c r="H942" s="39" t="n"/>
    </row>
    <row r="943" ht="15" customHeight="1" s="32">
      <c r="A943" s="41" t="inlineStr">
        <is>
          <t>c_ram</t>
        </is>
      </c>
      <c r="B943" s="41" t="inlineStr">
        <is>
          <t>Trạm C-RAM</t>
        </is>
      </c>
      <c r="C943" s="41" t="inlineStr">
        <is>
          <t>Máu</t>
        </is>
      </c>
      <c r="D943" s="43" t="n">
        <v>2860</v>
      </c>
      <c r="E943" s="49" t="inlineStr">
        <is>
          <t>Giữ</t>
        </is>
      </c>
      <c r="F943" s="41" t="n"/>
      <c r="G943" s="41" t="inlineStr">
        <is>
          <t>1.08 × trung vị máu tháp ô vừa.</t>
        </is>
      </c>
      <c r="H943" s="41" t="n"/>
    </row>
    <row r="944" ht="15" customHeight="1" s="32">
      <c r="A944" s="39" t="inlineStr">
        <is>
          <t>c_ram</t>
        </is>
      </c>
      <c r="B944" s="39" t="inlineStr">
        <is>
          <t>Trạm C-RAM</t>
        </is>
      </c>
      <c r="C944" s="39" t="inlineStr">
        <is>
          <t>Giáp</t>
        </is>
      </c>
      <c r="D944" s="39" t="inlineStr">
        <is>
          <t>cấp 1 (Mỏng) · công trình</t>
        </is>
      </c>
      <c r="E944" s="49" t="inlineStr">
        <is>
          <t>Giữ</t>
        </is>
      </c>
      <c r="F944" s="39" t="n"/>
      <c r="G944" s="39" t="inlineStr">
        <is>
          <t>Công trình; hợp vai trò.</t>
        </is>
      </c>
      <c r="H944" s="39" t="n"/>
    </row>
    <row r="945" ht="15" customHeight="1" s="32">
      <c r="A945" s="41" t="inlineStr">
        <is>
          <t>c_ram</t>
        </is>
      </c>
      <c r="B945" s="41" t="inlineStr">
        <is>
          <t>Trạm C-RAM</t>
        </is>
      </c>
      <c r="C945" s="41" t="inlineStr">
        <is>
          <t>Kích thước</t>
        </is>
      </c>
      <c r="D945" s="41" t="inlineStr">
        <is>
          <t>5.6 × 5.6 × 5.4</t>
        </is>
      </c>
      <c r="E945" s="49" t="inlineStr">
        <is>
          <t>Giữ</t>
        </is>
      </c>
      <c r="F945" s="41" t="n"/>
      <c r="G945" s="41" t="inlineStr">
        <is>
          <t>Vừa cỡ ô.</t>
        </is>
      </c>
      <c r="H945" s="41" t="n"/>
    </row>
    <row r="946" ht="15" customHeight="1" s="32">
      <c r="A946" s="39" t="inlineStr">
        <is>
          <t>c_ram</t>
        </is>
      </c>
      <c r="B946" s="39" t="inlineStr">
        <is>
          <t>Trạm C-RAM</t>
        </is>
      </c>
      <c r="C946" s="39" t="inlineStr">
        <is>
          <t>Vũ khí: Phalanx 20 mm</t>
        </is>
      </c>
      <c r="D946" s="39" t="inlineStr">
        <is>
          <t>13/phát · 8,2 viên/s · băng 23</t>
        </is>
      </c>
      <c r="E946" s="47" t="inlineStr">
        <is>
          <t>Đổi</t>
        </is>
      </c>
      <c r="F946" s="39" t="inlineStr">
        <is>
          <t>2/phát · 50 viên/s · băng 200 (giữ khả năng đánh chặn)</t>
        </is>
      </c>
      <c r="G946" s="39" t="inlineStr">
        <is>
          <t>Không có cảm giác luồng đạn CIWS.</t>
        </is>
      </c>
      <c r="H946" s="48" t="inlineStr">
        <is>
          <t>Trung</t>
        </is>
      </c>
    </row>
    <row r="947" ht="15" customHeight="1" s="32">
      <c r="A947" s="41" t="inlineStr">
        <is>
          <t>c_ram</t>
        </is>
      </c>
      <c r="B947" s="41" t="inlineStr">
        <is>
          <t>Trạm C-RAM</t>
        </is>
      </c>
      <c r="C947" s="41" t="inlineStr">
        <is>
          <t>Nổ khi bị phá</t>
        </is>
      </c>
      <c r="D947" s="41" t="inlineStr">
        <is>
          <t>7 m</t>
        </is>
      </c>
      <c r="E947" s="49" t="inlineStr">
        <is>
          <t>Giữ</t>
        </is>
      </c>
      <c r="F947" s="41" t="n"/>
      <c r="G947" s="41" t="inlineStr">
        <is>
          <t>Hợp cỡ.</t>
        </is>
      </c>
      <c r="H947" s="41" t="n"/>
    </row>
    <row r="948" ht="15" customHeight="1" s="32">
      <c r="A948" s="39" t="inlineStr">
        <is>
          <t>c_ram.centurion</t>
        </is>
      </c>
      <c r="B948" s="39" t="inlineStr">
        <is>
          <t>Trạm C-RAM · nhánh Centurion</t>
        </is>
      </c>
      <c r="C948" s="39" t="inlineStr">
        <is>
          <t>Tên</t>
        </is>
      </c>
      <c r="D948" s="39" t="inlineStr">
        <is>
          <t>Trạm C-RAM · nhánh Centurion</t>
        </is>
      </c>
      <c r="E948" s="49" t="inlineStr">
        <is>
          <t>Giữ</t>
        </is>
      </c>
      <c r="F948" s="39" t="n"/>
      <c r="G948" s="39" t="inlineStr">
        <is>
          <t>Tên rõ vai trò.</t>
        </is>
      </c>
      <c r="H948" s="39" t="n"/>
    </row>
    <row r="949" ht="15" customHeight="1" s="32">
      <c r="A949" s="41" t="inlineStr">
        <is>
          <t>c_ram.centurion</t>
        </is>
      </c>
      <c r="B949" s="41" t="inlineStr">
        <is>
          <t>Trạm C-RAM · nhánh Centurion</t>
        </is>
      </c>
      <c r="C949" s="41" t="inlineStr">
        <is>
          <t>Ô</t>
        </is>
      </c>
      <c r="D949" s="41" t="inlineStr">
        <is>
          <t>Vừa</t>
        </is>
      </c>
      <c r="E949" s="49" t="inlineStr">
        <is>
          <t>Giữ</t>
        </is>
      </c>
      <c r="F949" s="41" t="n"/>
      <c r="G949" s="41" t="n"/>
      <c r="H949" s="41" t="n"/>
    </row>
    <row r="950" ht="15" customHeight="1" s="32">
      <c r="A950" s="39" t="inlineStr">
        <is>
          <t>c_ram.centurion</t>
        </is>
      </c>
      <c r="B950" s="39" t="inlineStr">
        <is>
          <t>Trạm C-RAM · nhánh Centurion</t>
        </is>
      </c>
      <c r="C950" s="39" t="inlineStr">
        <is>
          <t>Máu</t>
        </is>
      </c>
      <c r="D950" s="42" t="n">
        <v>2860</v>
      </c>
      <c r="E950" s="49" t="inlineStr">
        <is>
          <t>Giữ</t>
        </is>
      </c>
      <c r="F950" s="39" t="n"/>
      <c r="G950" s="39" t="inlineStr">
        <is>
          <t>1.08 × trung vị máu tháp ô vừa.</t>
        </is>
      </c>
      <c r="H950" s="39" t="n"/>
    </row>
    <row r="951" ht="15" customHeight="1" s="32">
      <c r="A951" s="41" t="inlineStr">
        <is>
          <t>c_ram.centurion</t>
        </is>
      </c>
      <c r="B951" s="41" t="inlineStr">
        <is>
          <t>Trạm C-RAM · nhánh Centurion</t>
        </is>
      </c>
      <c r="C951" s="41" t="inlineStr">
        <is>
          <t>Giáp</t>
        </is>
      </c>
      <c r="D951" s="41" t="inlineStr">
        <is>
          <t>cấp 1 (Mỏng) · công trình</t>
        </is>
      </c>
      <c r="E951" s="49" t="inlineStr">
        <is>
          <t>Giữ</t>
        </is>
      </c>
      <c r="F951" s="41" t="n"/>
      <c r="G951" s="41" t="inlineStr">
        <is>
          <t>Công trình; hợp vai trò.</t>
        </is>
      </c>
      <c r="H951" s="41" t="n"/>
    </row>
    <row r="952" ht="15" customHeight="1" s="32">
      <c r="A952" s="39" t="inlineStr">
        <is>
          <t>c_ram.centurion</t>
        </is>
      </c>
      <c r="B952" s="39" t="inlineStr">
        <is>
          <t>Trạm C-RAM · nhánh Centurion</t>
        </is>
      </c>
      <c r="C952" s="39" t="inlineStr">
        <is>
          <t>Kích thước</t>
        </is>
      </c>
      <c r="D952" s="39" t="inlineStr">
        <is>
          <t>5.6 × 5.6 × 5.4</t>
        </is>
      </c>
      <c r="E952" s="49" t="inlineStr">
        <is>
          <t>Giữ</t>
        </is>
      </c>
      <c r="F952" s="39" t="n"/>
      <c r="G952" s="39" t="inlineStr">
        <is>
          <t>Vừa cỡ ô.</t>
        </is>
      </c>
      <c r="H952" s="39" t="n"/>
    </row>
    <row r="953" ht="15" customHeight="1" s="32">
      <c r="A953" s="41" t="inlineStr">
        <is>
          <t>c_ram.centurion</t>
        </is>
      </c>
      <c r="B953" s="41" t="inlineStr">
        <is>
          <t>Trạm C-RAM · nhánh Centurion</t>
        </is>
      </c>
      <c r="C953" s="41" t="inlineStr">
        <is>
          <t>Vũ khí / DPS</t>
        </is>
      </c>
      <c r="D953" s="41" t="inlineStr">
        <is>
          <t>0/0/0</t>
        </is>
      </c>
      <c r="E953" s="49" t="inlineStr">
        <is>
          <t>Giữ</t>
        </is>
      </c>
      <c r="F953" s="41" t="n"/>
      <c r="G953" s="41" t="inlineStr">
        <is>
          <t>Trong khoảng mục tiêu của cỡ ô.</t>
        </is>
      </c>
      <c r="H953" s="41" t="n"/>
    </row>
    <row r="954" ht="15" customHeight="1" s="32">
      <c r="A954" s="39" t="inlineStr">
        <is>
          <t>c_ram.centurion</t>
        </is>
      </c>
      <c r="B954" s="39" t="inlineStr">
        <is>
          <t>Trạm C-RAM · nhánh Centurion</t>
        </is>
      </c>
      <c r="C954" s="39" t="inlineStr">
        <is>
          <t>Nổ khi bị phá</t>
        </is>
      </c>
      <c r="D954" s="39" t="inlineStr">
        <is>
          <t>7 m</t>
        </is>
      </c>
      <c r="E954" s="49" t="inlineStr">
        <is>
          <t>Giữ</t>
        </is>
      </c>
      <c r="F954" s="39" t="n"/>
      <c r="G954" s="39" t="inlineStr">
        <is>
          <t>Hợp cỡ.</t>
        </is>
      </c>
      <c r="H954" s="39" t="n"/>
    </row>
    <row r="955" ht="15" customHeight="1" s="32">
      <c r="A955" s="41" t="inlineStr">
        <is>
          <t>c_ram.dome</t>
        </is>
      </c>
      <c r="B955" s="41" t="inlineStr">
        <is>
          <t>Trạm C-RAM · nhánh Vòm Sắt</t>
        </is>
      </c>
      <c r="C955" s="41" t="inlineStr">
        <is>
          <t>Tên</t>
        </is>
      </c>
      <c r="D955" s="41" t="inlineStr">
        <is>
          <t>Trạm C-RAM · nhánh Vòm Sắt</t>
        </is>
      </c>
      <c r="E955" s="49" t="inlineStr">
        <is>
          <t>Giữ</t>
        </is>
      </c>
      <c r="F955" s="41" t="n"/>
      <c r="G955" s="41" t="inlineStr">
        <is>
          <t>Tên rõ vai trò.</t>
        </is>
      </c>
      <c r="H955" s="41" t="n"/>
    </row>
    <row r="956" ht="15" customHeight="1" s="32">
      <c r="A956" s="39" t="inlineStr">
        <is>
          <t>c_ram.dome</t>
        </is>
      </c>
      <c r="B956" s="39" t="inlineStr">
        <is>
          <t>Trạm C-RAM · nhánh Vòm Sắt</t>
        </is>
      </c>
      <c r="C956" s="39" t="inlineStr">
        <is>
          <t>Ô</t>
        </is>
      </c>
      <c r="D956" s="39" t="inlineStr">
        <is>
          <t>Vừa</t>
        </is>
      </c>
      <c r="E956" s="49" t="inlineStr">
        <is>
          <t>Giữ</t>
        </is>
      </c>
      <c r="F956" s="39" t="n"/>
      <c r="G956" s="39" t="n"/>
      <c r="H956" s="39" t="n"/>
    </row>
    <row r="957" ht="15" customHeight="1" s="32">
      <c r="A957" s="41" t="inlineStr">
        <is>
          <t>c_ram.dome</t>
        </is>
      </c>
      <c r="B957" s="41" t="inlineStr">
        <is>
          <t>Trạm C-RAM · nhánh Vòm Sắt</t>
        </is>
      </c>
      <c r="C957" s="41" t="inlineStr">
        <is>
          <t>Máu</t>
        </is>
      </c>
      <c r="D957" s="43" t="n">
        <v>2860</v>
      </c>
      <c r="E957" s="49" t="inlineStr">
        <is>
          <t>Giữ</t>
        </is>
      </c>
      <c r="F957" s="41" t="n"/>
      <c r="G957" s="41" t="inlineStr">
        <is>
          <t>1.08 × trung vị máu tháp ô vừa.</t>
        </is>
      </c>
      <c r="H957" s="41" t="n"/>
    </row>
    <row r="958" ht="15" customHeight="1" s="32">
      <c r="A958" s="39" t="inlineStr">
        <is>
          <t>c_ram.dome</t>
        </is>
      </c>
      <c r="B958" s="39" t="inlineStr">
        <is>
          <t>Trạm C-RAM · nhánh Vòm Sắt</t>
        </is>
      </c>
      <c r="C958" s="39" t="inlineStr">
        <is>
          <t>Giáp</t>
        </is>
      </c>
      <c r="D958" s="39" t="inlineStr">
        <is>
          <t>cấp 1 (Mỏng) · công trình</t>
        </is>
      </c>
      <c r="E958" s="49" t="inlineStr">
        <is>
          <t>Giữ</t>
        </is>
      </c>
      <c r="F958" s="39" t="n"/>
      <c r="G958" s="39" t="inlineStr">
        <is>
          <t>Công trình; hợp vai trò.</t>
        </is>
      </c>
      <c r="H958" s="39" t="n"/>
    </row>
    <row r="959" ht="15" customHeight="1" s="32">
      <c r="A959" s="41" t="inlineStr">
        <is>
          <t>c_ram.dome</t>
        </is>
      </c>
      <c r="B959" s="41" t="inlineStr">
        <is>
          <t>Trạm C-RAM · nhánh Vòm Sắt</t>
        </is>
      </c>
      <c r="C959" s="41" t="inlineStr">
        <is>
          <t>Kích thước</t>
        </is>
      </c>
      <c r="D959" s="41" t="inlineStr">
        <is>
          <t>5.6 × 5.6 × 5.4</t>
        </is>
      </c>
      <c r="E959" s="49" t="inlineStr">
        <is>
          <t>Giữ</t>
        </is>
      </c>
      <c r="F959" s="41" t="n"/>
      <c r="G959" s="41" t="inlineStr">
        <is>
          <t>Vừa cỡ ô.</t>
        </is>
      </c>
      <c r="H959" s="41" t="n"/>
    </row>
    <row r="960" ht="15" customHeight="1" s="32">
      <c r="A960" s="39" t="inlineStr">
        <is>
          <t>c_ram.dome</t>
        </is>
      </c>
      <c r="B960" s="39" t="inlineStr">
        <is>
          <t>Trạm C-RAM · nhánh Vòm Sắt</t>
        </is>
      </c>
      <c r="C960" s="39" t="inlineStr">
        <is>
          <t>Vũ khí / DPS</t>
        </is>
      </c>
      <c r="D960" s="39" t="inlineStr">
        <is>
          <t>0/0/21</t>
        </is>
      </c>
      <c r="E960" s="49" t="inlineStr">
        <is>
          <t>Giữ</t>
        </is>
      </c>
      <c r="F960" s="39" t="n"/>
      <c r="G960" s="39" t="inlineStr">
        <is>
          <t>Trong khoảng mục tiêu của cỡ ô.</t>
        </is>
      </c>
      <c r="H960" s="39" t="n"/>
    </row>
    <row r="961" ht="15" customHeight="1" s="32">
      <c r="A961" s="41" t="inlineStr">
        <is>
          <t>c_ram.dome</t>
        </is>
      </c>
      <c r="B961" s="41" t="inlineStr">
        <is>
          <t>Trạm C-RAM · nhánh Vòm Sắt</t>
        </is>
      </c>
      <c r="C961" s="41" t="inlineStr">
        <is>
          <t>Nổ khi bị phá</t>
        </is>
      </c>
      <c r="D961" s="41" t="inlineStr">
        <is>
          <t>7 m</t>
        </is>
      </c>
      <c r="E961" s="49" t="inlineStr">
        <is>
          <t>Giữ</t>
        </is>
      </c>
      <c r="F961" s="41" t="n"/>
      <c r="G961" s="41" t="inlineStr">
        <is>
          <t>Hợp cỡ.</t>
        </is>
      </c>
      <c r="H961" s="41" t="n"/>
    </row>
    <row r="962" ht="15" customHeight="1" s="32">
      <c r="A962" s="39" t="inlineStr">
        <is>
          <t>gun_turret</t>
        </is>
      </c>
      <c r="B962" s="39" t="inlineStr">
        <is>
          <t>Tháp pháo</t>
        </is>
      </c>
      <c r="C962" s="39" t="inlineStr">
        <is>
          <t>Tên</t>
        </is>
      </c>
      <c r="D962" s="39" t="inlineStr">
        <is>
          <t>Tháp pháo</t>
        </is>
      </c>
      <c r="E962" s="49" t="inlineStr">
        <is>
          <t>Giữ</t>
        </is>
      </c>
      <c r="F962" s="39" t="n"/>
      <c r="G962" s="39" t="inlineStr">
        <is>
          <t>Tên rõ vai trò.</t>
        </is>
      </c>
      <c r="H962" s="39" t="n"/>
    </row>
    <row r="963" ht="15" customHeight="1" s="32">
      <c r="A963" s="41" t="inlineStr">
        <is>
          <t>gun_turret</t>
        </is>
      </c>
      <c r="B963" s="41" t="inlineStr">
        <is>
          <t>Tháp pháo</t>
        </is>
      </c>
      <c r="C963" s="41" t="inlineStr">
        <is>
          <t>Ô</t>
        </is>
      </c>
      <c r="D963" s="41" t="inlineStr">
        <is>
          <t>Vừa</t>
        </is>
      </c>
      <c r="E963" s="49" t="inlineStr">
        <is>
          <t>Giữ</t>
        </is>
      </c>
      <c r="F963" s="41" t="n"/>
      <c r="G963" s="41" t="n"/>
      <c r="H963" s="41" t="n"/>
    </row>
    <row r="964" ht="15" customHeight="1" s="32">
      <c r="A964" s="39" t="inlineStr">
        <is>
          <t>gun_turret</t>
        </is>
      </c>
      <c r="B964" s="39" t="inlineStr">
        <is>
          <t>Tháp pháo</t>
        </is>
      </c>
      <c r="C964" s="39" t="inlineStr">
        <is>
          <t>Máu</t>
        </is>
      </c>
      <c r="D964" s="42" t="n">
        <v>3960</v>
      </c>
      <c r="E964" s="49" t="inlineStr">
        <is>
          <t>Giữ</t>
        </is>
      </c>
      <c r="F964" s="39" t="n"/>
      <c r="G964" s="39" t="inlineStr">
        <is>
          <t>1.50 × trung vị máu tháp ô vừa.</t>
        </is>
      </c>
      <c r="H964" s="39" t="n"/>
    </row>
    <row r="965" ht="15" customHeight="1" s="32">
      <c r="A965" s="41" t="inlineStr">
        <is>
          <t>gun_turret</t>
        </is>
      </c>
      <c r="B965" s="41" t="inlineStr">
        <is>
          <t>Tháp pháo</t>
        </is>
      </c>
      <c r="C965" s="41" t="inlineStr">
        <is>
          <t>Giáp</t>
        </is>
      </c>
      <c r="D965" s="41" t="inlineStr">
        <is>
          <t>cấp 3 (Dày) · công trình</t>
        </is>
      </c>
      <c r="E965" s="49" t="inlineStr">
        <is>
          <t>Giữ</t>
        </is>
      </c>
      <c r="F965" s="41" t="n"/>
      <c r="G965" s="41" t="inlineStr">
        <is>
          <t>Công trình; hợp vai trò.</t>
        </is>
      </c>
      <c r="H965" s="41" t="n"/>
    </row>
    <row r="966" ht="15" customHeight="1" s="32">
      <c r="A966" s="39" t="inlineStr">
        <is>
          <t>gun_turret</t>
        </is>
      </c>
      <c r="B966" s="39" t="inlineStr">
        <is>
          <t>Tháp pháo</t>
        </is>
      </c>
      <c r="C966" s="39" t="inlineStr">
        <is>
          <t>Kích thước</t>
        </is>
      </c>
      <c r="D966" s="39" t="inlineStr">
        <is>
          <t>8.9 × 5.0 × 4.0</t>
        </is>
      </c>
      <c r="E966" s="49" t="inlineStr">
        <is>
          <t>Giữ</t>
        </is>
      </c>
      <c r="F966" s="39" t="n"/>
      <c r="G966" s="39" t="inlineStr">
        <is>
          <t>Vừa cỡ ô.</t>
        </is>
      </c>
      <c r="H966" s="39" t="n"/>
    </row>
    <row r="967" ht="15" customHeight="1" s="32">
      <c r="A967" s="41" t="inlineStr">
        <is>
          <t>gun_turret</t>
        </is>
      </c>
      <c r="B967" s="41" t="inlineStr">
        <is>
          <t>Tháp pháo</t>
        </is>
      </c>
      <c r="C967" s="41" t="inlineStr">
        <is>
          <t>Vũ khí / DPS</t>
        </is>
      </c>
      <c r="D967" s="41" t="inlineStr">
        <is>
          <t>65/83/0</t>
        </is>
      </c>
      <c r="E967" s="49" t="inlineStr">
        <is>
          <t>Giữ</t>
        </is>
      </c>
      <c r="F967" s="41" t="n"/>
      <c r="G967" s="41" t="inlineStr">
        <is>
          <t>Trong khoảng mục tiêu của cỡ ô.</t>
        </is>
      </c>
      <c r="H967" s="41" t="n"/>
    </row>
    <row r="968" ht="15" customHeight="1" s="32">
      <c r="A968" s="39" t="inlineStr">
        <is>
          <t>gun_turret</t>
        </is>
      </c>
      <c r="B968" s="39" t="inlineStr">
        <is>
          <t>Tháp pháo</t>
        </is>
      </c>
      <c r="C968" s="39" t="inlineStr">
        <is>
          <t>Nổ khi bị phá</t>
        </is>
      </c>
      <c r="D968" s="39" t="inlineStr">
        <is>
          <t>8 m</t>
        </is>
      </c>
      <c r="E968" s="49" t="inlineStr">
        <is>
          <t>Giữ</t>
        </is>
      </c>
      <c r="F968" s="39" t="n"/>
      <c r="G968" s="39" t="inlineStr">
        <is>
          <t>Hợp cỡ.</t>
        </is>
      </c>
      <c r="H968" s="39" t="n"/>
    </row>
    <row r="969" ht="15" customHeight="1" s="32">
      <c r="A969" s="41" t="inlineStr">
        <is>
          <t>gun_turret.long</t>
        </is>
      </c>
      <c r="B969" s="41" t="inlineStr">
        <is>
          <t>Tháp pháo · nhánh Pháo bắn tỉa</t>
        </is>
      </c>
      <c r="C969" s="41" t="inlineStr">
        <is>
          <t>Tên</t>
        </is>
      </c>
      <c r="D969" s="41" t="inlineStr">
        <is>
          <t>Tháp pháo · nhánh Pháo bắn tỉa</t>
        </is>
      </c>
      <c r="E969" s="49" t="inlineStr">
        <is>
          <t>Giữ</t>
        </is>
      </c>
      <c r="F969" s="41" t="n"/>
      <c r="G969" s="41" t="inlineStr">
        <is>
          <t>Tên rõ vai trò.</t>
        </is>
      </c>
      <c r="H969" s="41" t="n"/>
    </row>
    <row r="970" ht="15" customHeight="1" s="32">
      <c r="A970" s="39" t="inlineStr">
        <is>
          <t>gun_turret.long</t>
        </is>
      </c>
      <c r="B970" s="39" t="inlineStr">
        <is>
          <t>Tháp pháo · nhánh Pháo bắn tỉa</t>
        </is>
      </c>
      <c r="C970" s="39" t="inlineStr">
        <is>
          <t>Ô</t>
        </is>
      </c>
      <c r="D970" s="39" t="inlineStr">
        <is>
          <t>Vừa</t>
        </is>
      </c>
      <c r="E970" s="49" t="inlineStr">
        <is>
          <t>Giữ</t>
        </is>
      </c>
      <c r="F970" s="39" t="n"/>
      <c r="G970" s="39" t="n"/>
      <c r="H970" s="39" t="n"/>
    </row>
    <row r="971" ht="15" customHeight="1" s="32">
      <c r="A971" s="41" t="inlineStr">
        <is>
          <t>gun_turret.long</t>
        </is>
      </c>
      <c r="B971" s="41" t="inlineStr">
        <is>
          <t>Tháp pháo · nhánh Pháo bắn tỉa</t>
        </is>
      </c>
      <c r="C971" s="41" t="inlineStr">
        <is>
          <t>Máu</t>
        </is>
      </c>
      <c r="D971" s="43" t="n">
        <v>3960</v>
      </c>
      <c r="E971" s="49" t="inlineStr">
        <is>
          <t>Giữ</t>
        </is>
      </c>
      <c r="F971" s="41" t="n"/>
      <c r="G971" s="41" t="inlineStr">
        <is>
          <t>1.50 × trung vị máu tháp ô vừa.</t>
        </is>
      </c>
      <c r="H971" s="41" t="n"/>
    </row>
    <row r="972" ht="15" customHeight="1" s="32">
      <c r="A972" s="39" t="inlineStr">
        <is>
          <t>gun_turret.long</t>
        </is>
      </c>
      <c r="B972" s="39" t="inlineStr">
        <is>
          <t>Tháp pháo · nhánh Pháo bắn tỉa</t>
        </is>
      </c>
      <c r="C972" s="39" t="inlineStr">
        <is>
          <t>Giáp</t>
        </is>
      </c>
      <c r="D972" s="39" t="inlineStr">
        <is>
          <t>cấp 3 (Dày) · công trình</t>
        </is>
      </c>
      <c r="E972" s="49" t="inlineStr">
        <is>
          <t>Giữ</t>
        </is>
      </c>
      <c r="F972" s="39" t="n"/>
      <c r="G972" s="39" t="inlineStr">
        <is>
          <t>Công trình; hợp vai trò.</t>
        </is>
      </c>
      <c r="H972" s="39" t="n"/>
    </row>
    <row r="973" ht="15" customHeight="1" s="32">
      <c r="A973" s="41" t="inlineStr">
        <is>
          <t>gun_turret.long</t>
        </is>
      </c>
      <c r="B973" s="41" t="inlineStr">
        <is>
          <t>Tháp pháo · nhánh Pháo bắn tỉa</t>
        </is>
      </c>
      <c r="C973" s="41" t="inlineStr">
        <is>
          <t>Kích thước</t>
        </is>
      </c>
      <c r="D973" s="41" t="inlineStr">
        <is>
          <t>8.9 × 5.0 × 4.0</t>
        </is>
      </c>
      <c r="E973" s="49" t="inlineStr">
        <is>
          <t>Giữ</t>
        </is>
      </c>
      <c r="F973" s="41" t="n"/>
      <c r="G973" s="41" t="inlineStr">
        <is>
          <t>Vừa cỡ ô.</t>
        </is>
      </c>
      <c r="H973" s="41" t="n"/>
    </row>
    <row r="974" ht="21.75" customHeight="1" s="32">
      <c r="A974" s="39" t="inlineStr">
        <is>
          <t>gun_turret.long</t>
        </is>
      </c>
      <c r="B974" s="39" t="inlineStr">
        <is>
          <t>Tháp pháo · nhánh Pháo bắn tỉa</t>
        </is>
      </c>
      <c r="C974" s="39" t="inlineStr">
        <is>
          <t>Vũ khí: 120 mm L/55</t>
        </is>
      </c>
      <c r="D974" s="39" t="inlineStr">
        <is>
          <t>DPS 48/62 (thấp hơn bản gốc 65/83)</t>
        </is>
      </c>
      <c r="E974" s="47" t="inlineStr">
        <is>
          <t>Đổi</t>
        </is>
      </c>
      <c r="F974" s="39" t="inlineStr">
        <is>
          <t>phát đầu tiên vào mục tiêu mới +50% sát thương, hoặc xuyên +1 cấp</t>
        </is>
      </c>
      <c r="G974" s="39" t="inlineStr">
        <is>
          <t>Nhánh bắn tỉa cần một ưu thế rõ ngoài tầm.</t>
        </is>
      </c>
      <c r="H974" s="48" t="inlineStr">
        <is>
          <t>Trung</t>
        </is>
      </c>
    </row>
    <row r="975" ht="15" customHeight="1" s="32">
      <c r="A975" s="41" t="inlineStr">
        <is>
          <t>gun_turret.long</t>
        </is>
      </c>
      <c r="B975" s="41" t="inlineStr">
        <is>
          <t>Tháp pháo · nhánh Pháo bắn tỉa</t>
        </is>
      </c>
      <c r="C975" s="41" t="inlineStr">
        <is>
          <t>Nổ khi bị phá</t>
        </is>
      </c>
      <c r="D975" s="41" t="inlineStr">
        <is>
          <t>8 m</t>
        </is>
      </c>
      <c r="E975" s="49" t="inlineStr">
        <is>
          <t>Giữ</t>
        </is>
      </c>
      <c r="F975" s="41" t="n"/>
      <c r="G975" s="41" t="inlineStr">
        <is>
          <t>Hợp cỡ.</t>
        </is>
      </c>
      <c r="H975" s="41" t="n"/>
    </row>
    <row r="976" ht="21.75" customHeight="1" s="32">
      <c r="A976" s="39" t="inlineStr">
        <is>
          <t>gun_turret.auto</t>
        </is>
      </c>
      <c r="B976" s="39" t="inlineStr">
        <is>
          <t>Tháp pháo · nhánh Pháo tự động 57 mm</t>
        </is>
      </c>
      <c r="C976" s="39" t="inlineStr">
        <is>
          <t>Tên</t>
        </is>
      </c>
      <c r="D976" s="39" t="inlineStr">
        <is>
          <t>Tháp pháo · nhánh Pháo tự động 57 mm</t>
        </is>
      </c>
      <c r="E976" s="49" t="inlineStr">
        <is>
          <t>Giữ</t>
        </is>
      </c>
      <c r="F976" s="39" t="n"/>
      <c r="G976" s="39" t="inlineStr">
        <is>
          <t>Tên rõ vai trò.</t>
        </is>
      </c>
      <c r="H976" s="39" t="n"/>
    </row>
    <row r="977" ht="21.75" customHeight="1" s="32">
      <c r="A977" s="41" t="inlineStr">
        <is>
          <t>gun_turret.auto</t>
        </is>
      </c>
      <c r="B977" s="41" t="inlineStr">
        <is>
          <t>Tháp pháo · nhánh Pháo tự động 57 mm</t>
        </is>
      </c>
      <c r="C977" s="41" t="inlineStr">
        <is>
          <t>Ô</t>
        </is>
      </c>
      <c r="D977" s="41" t="inlineStr">
        <is>
          <t>Vừa</t>
        </is>
      </c>
      <c r="E977" s="49" t="inlineStr">
        <is>
          <t>Giữ</t>
        </is>
      </c>
      <c r="F977" s="41" t="n"/>
      <c r="G977" s="41" t="n"/>
      <c r="H977" s="41" t="n"/>
    </row>
    <row r="978" ht="21.75" customHeight="1" s="32">
      <c r="A978" s="39" t="inlineStr">
        <is>
          <t>gun_turret.auto</t>
        </is>
      </c>
      <c r="B978" s="39" t="inlineStr">
        <is>
          <t>Tháp pháo · nhánh Pháo tự động 57 mm</t>
        </is>
      </c>
      <c r="C978" s="39" t="inlineStr">
        <is>
          <t>Máu</t>
        </is>
      </c>
      <c r="D978" s="42" t="n">
        <v>3960</v>
      </c>
      <c r="E978" s="49" t="inlineStr">
        <is>
          <t>Giữ</t>
        </is>
      </c>
      <c r="F978" s="39" t="n"/>
      <c r="G978" s="39" t="inlineStr">
        <is>
          <t>1.50 × trung vị máu tháp ô vừa.</t>
        </is>
      </c>
      <c r="H978" s="39" t="n"/>
    </row>
    <row r="979" ht="21.75" customHeight="1" s="32">
      <c r="A979" s="41" t="inlineStr">
        <is>
          <t>gun_turret.auto</t>
        </is>
      </c>
      <c r="B979" s="41" t="inlineStr">
        <is>
          <t>Tháp pháo · nhánh Pháo tự động 57 mm</t>
        </is>
      </c>
      <c r="C979" s="41" t="inlineStr">
        <is>
          <t>Giáp</t>
        </is>
      </c>
      <c r="D979" s="41" t="inlineStr">
        <is>
          <t>cấp 3 (Dày) · công trình</t>
        </is>
      </c>
      <c r="E979" s="49" t="inlineStr">
        <is>
          <t>Giữ</t>
        </is>
      </c>
      <c r="F979" s="41" t="n"/>
      <c r="G979" s="41" t="inlineStr">
        <is>
          <t>Công trình; hợp vai trò.</t>
        </is>
      </c>
      <c r="H979" s="41" t="n"/>
    </row>
    <row r="980" ht="21.75" customHeight="1" s="32">
      <c r="A980" s="39" t="inlineStr">
        <is>
          <t>gun_turret.auto</t>
        </is>
      </c>
      <c r="B980" s="39" t="inlineStr">
        <is>
          <t>Tháp pháo · nhánh Pháo tự động 57 mm</t>
        </is>
      </c>
      <c r="C980" s="39" t="inlineStr">
        <is>
          <t>Kích thước</t>
        </is>
      </c>
      <c r="D980" s="39" t="inlineStr">
        <is>
          <t>8.9 × 5.0 × 4.0</t>
        </is>
      </c>
      <c r="E980" s="49" t="inlineStr">
        <is>
          <t>Giữ</t>
        </is>
      </c>
      <c r="F980" s="39" t="n"/>
      <c r="G980" s="39" t="inlineStr">
        <is>
          <t>Vừa cỡ ô.</t>
        </is>
      </c>
      <c r="H980" s="39" t="n"/>
    </row>
    <row r="981" ht="21.75" customHeight="1" s="32">
      <c r="A981" s="41" t="inlineStr">
        <is>
          <t>gun_turret.auto</t>
        </is>
      </c>
      <c r="B981" s="41" t="inlineStr">
        <is>
          <t>Tháp pháo · nhánh Pháo tự động 57 mm</t>
        </is>
      </c>
      <c r="C981" s="41" t="inlineStr">
        <is>
          <t>Vũ khí / DPS</t>
        </is>
      </c>
      <c r="D981" s="41" t="inlineStr">
        <is>
          <t>86/43/111</t>
        </is>
      </c>
      <c r="E981" s="49" t="inlineStr">
        <is>
          <t>Giữ</t>
        </is>
      </c>
      <c r="F981" s="41" t="n"/>
      <c r="G981" s="41" t="inlineStr">
        <is>
          <t>Trong khoảng mục tiêu của cỡ ô.</t>
        </is>
      </c>
      <c r="H981" s="41" t="n"/>
    </row>
    <row r="982" ht="21.75" customHeight="1" s="32">
      <c r="A982" s="39" t="inlineStr">
        <is>
          <t>gun_turret.auto</t>
        </is>
      </c>
      <c r="B982" s="39" t="inlineStr">
        <is>
          <t>Tháp pháo · nhánh Pháo tự động 57 mm</t>
        </is>
      </c>
      <c r="C982" s="39" t="inlineStr">
        <is>
          <t>Nổ khi bị phá</t>
        </is>
      </c>
      <c r="D982" s="39" t="inlineStr">
        <is>
          <t>8 m</t>
        </is>
      </c>
      <c r="E982" s="49" t="inlineStr">
        <is>
          <t>Giữ</t>
        </is>
      </c>
      <c r="F982" s="39" t="n"/>
      <c r="G982" s="39" t="inlineStr">
        <is>
          <t>Hợp cỡ.</t>
        </is>
      </c>
      <c r="H982" s="39" t="n"/>
    </row>
    <row r="983" ht="15" customHeight="1" s="32">
      <c r="A983" s="41" t="inlineStr">
        <is>
          <t>logistics_station</t>
        </is>
      </c>
      <c r="B983" s="41" t="inlineStr">
        <is>
          <t>Trạm hậu cần</t>
        </is>
      </c>
      <c r="C983" s="41" t="inlineStr">
        <is>
          <t>Tên</t>
        </is>
      </c>
      <c r="D983" s="41" t="inlineStr">
        <is>
          <t>Trạm hậu cần</t>
        </is>
      </c>
      <c r="E983" s="49" t="inlineStr">
        <is>
          <t>Giữ</t>
        </is>
      </c>
      <c r="F983" s="41" t="n"/>
      <c r="G983" s="41" t="inlineStr">
        <is>
          <t>Tên rõ vai trò.</t>
        </is>
      </c>
      <c r="H983" s="41" t="n"/>
    </row>
    <row r="984" ht="15" customHeight="1" s="32">
      <c r="A984" s="39" t="inlineStr">
        <is>
          <t>logistics_station</t>
        </is>
      </c>
      <c r="B984" s="39" t="inlineStr">
        <is>
          <t>Trạm hậu cần</t>
        </is>
      </c>
      <c r="C984" s="39" t="inlineStr">
        <is>
          <t>Ô</t>
        </is>
      </c>
      <c r="D984" s="39" t="inlineStr">
        <is>
          <t>Khác</t>
        </is>
      </c>
      <c r="E984" s="49" t="inlineStr">
        <is>
          <t>Giữ</t>
        </is>
      </c>
      <c r="F984" s="39" t="n"/>
      <c r="G984" s="39" t="n"/>
      <c r="H984" s="39" t="n"/>
    </row>
    <row r="985" ht="15" customHeight="1" s="32">
      <c r="A985" s="41" t="inlineStr">
        <is>
          <t>logistics_station</t>
        </is>
      </c>
      <c r="B985" s="41" t="inlineStr">
        <is>
          <t>Trạm hậu cần</t>
        </is>
      </c>
      <c r="C985" s="41" t="inlineStr">
        <is>
          <t>Máu</t>
        </is>
      </c>
      <c r="D985" s="43" t="n">
        <v>3080</v>
      </c>
      <c r="E985" s="49" t="inlineStr">
        <is>
          <t>Giữ</t>
        </is>
      </c>
      <c r="F985" s="41" t="n"/>
      <c r="G985" s="41" t="inlineStr">
        <is>
          <t>0.88 × trung vị máu tháp ô khác.</t>
        </is>
      </c>
      <c r="H985" s="41" t="n"/>
    </row>
    <row r="986" ht="15" customHeight="1" s="32">
      <c r="A986" s="39" t="inlineStr">
        <is>
          <t>logistics_station</t>
        </is>
      </c>
      <c r="B986" s="39" t="inlineStr">
        <is>
          <t>Trạm hậu cần</t>
        </is>
      </c>
      <c r="C986" s="39" t="inlineStr">
        <is>
          <t>Giáp</t>
        </is>
      </c>
      <c r="D986" s="39" t="inlineStr">
        <is>
          <t>cấp 1 (Mỏng) · công trình</t>
        </is>
      </c>
      <c r="E986" s="49" t="inlineStr">
        <is>
          <t>Giữ</t>
        </is>
      </c>
      <c r="F986" s="39" t="n"/>
      <c r="G986" s="39" t="inlineStr">
        <is>
          <t>Công trình; hợp vai trò.</t>
        </is>
      </c>
      <c r="H986" s="39" t="n"/>
    </row>
    <row r="987" ht="15" customHeight="1" s="32">
      <c r="A987" s="41" t="inlineStr">
        <is>
          <t>logistics_station</t>
        </is>
      </c>
      <c r="B987" s="41" t="inlineStr">
        <is>
          <t>Trạm hậu cần</t>
        </is>
      </c>
      <c r="C987" s="41" t="inlineStr">
        <is>
          <t>Kích thước</t>
        </is>
      </c>
      <c r="D987" s="41" t="inlineStr">
        <is>
          <t>8.0 × 10.0 × 3.8</t>
        </is>
      </c>
      <c r="E987" s="49" t="inlineStr">
        <is>
          <t>Giữ</t>
        </is>
      </c>
      <c r="F987" s="41" t="n"/>
      <c r="G987" s="41" t="inlineStr">
        <is>
          <t>Vừa cỡ ô.</t>
        </is>
      </c>
      <c r="H987" s="41" t="n"/>
    </row>
    <row r="988" ht="15" customHeight="1" s="32">
      <c r="A988" s="39" t="inlineStr">
        <is>
          <t>logistics_station</t>
        </is>
      </c>
      <c r="B988" s="39" t="inlineStr">
        <is>
          <t>Trạm hậu cần</t>
        </is>
      </c>
      <c r="C988" s="39" t="inlineStr">
        <is>
          <t>Vũ khí / DPS</t>
        </is>
      </c>
      <c r="D988" s="39" t="inlineStr">
        <is>
          <t>0/0/0</t>
        </is>
      </c>
      <c r="E988" s="49" t="inlineStr">
        <is>
          <t>Giữ</t>
        </is>
      </c>
      <c r="F988" s="39" t="n"/>
      <c r="G988" s="39" t="inlineStr">
        <is>
          <t>Trong khoảng mục tiêu của cỡ ô.</t>
        </is>
      </c>
      <c r="H988" s="39" t="n"/>
    </row>
    <row r="989" ht="15" customHeight="1" s="32">
      <c r="A989" s="41" t="inlineStr">
        <is>
          <t>logistics_station</t>
        </is>
      </c>
      <c r="B989" s="41" t="inlineStr">
        <is>
          <t>Trạm hậu cần</t>
        </is>
      </c>
      <c r="C989" s="41" t="inlineStr">
        <is>
          <t>Nổ khi bị phá</t>
        </is>
      </c>
      <c r="D989" s="41" t="inlineStr">
        <is>
          <t>9 m</t>
        </is>
      </c>
      <c r="E989" s="49" t="inlineStr">
        <is>
          <t>Giữ</t>
        </is>
      </c>
      <c r="F989" s="41" t="n"/>
      <c r="G989" s="41" t="inlineStr">
        <is>
          <t>Hợp cỡ.</t>
        </is>
      </c>
      <c r="H989" s="41" t="n"/>
    </row>
    <row r="990" ht="15" customHeight="1" s="32">
      <c r="A990" s="39"/>
      <c r="B990" s="39"/>
      <c r="C990" s="39"/>
      <c r="D990" s="39"/>
      <c r="E990" s="49"/>
      <c r="F990" s="39"/>
      <c r="G990" s="39"/>
      <c r="H990" s="39"/>
    </row>
    <row r="991" ht="15" customHeight="1" s="32">
      <c r="A991" s="41"/>
      <c r="B991" s="41"/>
      <c r="C991" s="41"/>
      <c r="D991" s="41"/>
      <c r="E991" s="49"/>
      <c r="F991" s="41"/>
      <c r="G991" s="41"/>
      <c r="H991" s="41"/>
    </row>
    <row r="992" ht="15" customHeight="1" s="32">
      <c r="A992" s="39"/>
      <c r="B992" s="39"/>
      <c r="C992" s="39"/>
      <c r="D992" s="42"/>
      <c r="E992" s="49"/>
      <c r="F992" s="39"/>
      <c r="G992" s="39"/>
      <c r="H992" s="39"/>
    </row>
    <row r="993" ht="15" customHeight="1" s="32">
      <c r="A993" s="41"/>
      <c r="B993" s="41"/>
      <c r="C993" s="41"/>
      <c r="D993" s="41"/>
      <c r="E993" s="49"/>
      <c r="F993" s="41"/>
      <c r="G993" s="41"/>
      <c r="H993" s="41"/>
    </row>
    <row r="994" ht="15" customHeight="1" s="32">
      <c r="A994" s="39"/>
      <c r="B994" s="39"/>
      <c r="C994" s="39"/>
      <c r="D994" s="39"/>
      <c r="E994" s="49"/>
      <c r="F994" s="39"/>
      <c r="G994" s="39"/>
      <c r="H994" s="39"/>
    </row>
    <row r="995" ht="15" customHeight="1" s="32">
      <c r="A995" s="41"/>
      <c r="B995" s="41"/>
      <c r="C995" s="41"/>
      <c r="D995" s="41"/>
      <c r="E995" s="49"/>
      <c r="F995" s="41"/>
      <c r="G995" s="41"/>
      <c r="H995" s="41"/>
    </row>
    <row r="996" ht="15" customHeight="1" s="32">
      <c r="A996" s="39" t="inlineStr">
        <is>
          <t>repair_bay</t>
        </is>
      </c>
      <c r="B996" s="39" t="inlineStr">
        <is>
          <t>Xưởng sửa chữa</t>
        </is>
      </c>
      <c r="C996" s="39" t="inlineStr">
        <is>
          <t>Tên</t>
        </is>
      </c>
      <c r="D996" s="39" t="inlineStr">
        <is>
          <t>Xưởng sửa chữa</t>
        </is>
      </c>
      <c r="E996" s="49" t="inlineStr">
        <is>
          <t>Giữ</t>
        </is>
      </c>
      <c r="F996" s="39" t="n"/>
      <c r="G996" s="39" t="inlineStr">
        <is>
          <t>Tên rõ vai trò.</t>
        </is>
      </c>
      <c r="H996" s="39" t="n"/>
    </row>
    <row r="997" ht="15" customHeight="1" s="32">
      <c r="A997" s="41" t="inlineStr">
        <is>
          <t>repair_bay</t>
        </is>
      </c>
      <c r="B997" s="41" t="inlineStr">
        <is>
          <t>Xưởng sửa chữa</t>
        </is>
      </c>
      <c r="C997" s="41" t="inlineStr">
        <is>
          <t>Ô</t>
        </is>
      </c>
      <c r="D997" s="41" t="inlineStr">
        <is>
          <t>Khác</t>
        </is>
      </c>
      <c r="E997" s="49" t="inlineStr">
        <is>
          <t>Giữ</t>
        </is>
      </c>
      <c r="F997" s="41" t="n"/>
      <c r="G997" s="41" t="n"/>
      <c r="H997" s="41" t="n"/>
    </row>
    <row r="998" ht="15" customHeight="1" s="32">
      <c r="A998" s="39" t="inlineStr">
        <is>
          <t>repair_bay</t>
        </is>
      </c>
      <c r="B998" s="39" t="inlineStr">
        <is>
          <t>Xưởng sửa chữa</t>
        </is>
      </c>
      <c r="C998" s="39" t="inlineStr">
        <is>
          <t>Máu</t>
        </is>
      </c>
      <c r="D998" s="42" t="n">
        <v>3520</v>
      </c>
      <c r="E998" s="49" t="inlineStr">
        <is>
          <t>Giữ</t>
        </is>
      </c>
      <c r="F998" s="39" t="n"/>
      <c r="G998" s="39" t="inlineStr">
        <is>
          <t>1.00 × trung vị máu tháp ô khác.</t>
        </is>
      </c>
      <c r="H998" s="39" t="n"/>
    </row>
    <row r="999" ht="15" customHeight="1" s="32">
      <c r="A999" s="41" t="inlineStr">
        <is>
          <t>repair_bay</t>
        </is>
      </c>
      <c r="B999" s="41" t="inlineStr">
        <is>
          <t>Xưởng sửa chữa</t>
        </is>
      </c>
      <c r="C999" s="41" t="inlineStr">
        <is>
          <t>Giáp</t>
        </is>
      </c>
      <c r="D999" s="41" t="inlineStr">
        <is>
          <t>cấp 2 (Vừa) · công trình</t>
        </is>
      </c>
      <c r="E999" s="49" t="inlineStr">
        <is>
          <t>Giữ</t>
        </is>
      </c>
      <c r="F999" s="41" t="n"/>
      <c r="G999" s="41" t="inlineStr">
        <is>
          <t>Công trình; hợp vai trò.</t>
        </is>
      </c>
      <c r="H999" s="41" t="n"/>
    </row>
    <row r="1000" ht="15" customHeight="1" s="32">
      <c r="A1000" s="39" t="inlineStr">
        <is>
          <t>repair_bay</t>
        </is>
      </c>
      <c r="B1000" s="39" t="inlineStr">
        <is>
          <t>Xưởng sửa chữa</t>
        </is>
      </c>
      <c r="C1000" s="39" t="inlineStr">
        <is>
          <t>Kích thước</t>
        </is>
      </c>
      <c r="D1000" s="39" t="inlineStr">
        <is>
          <t>10.1 × 14.2 × 6.4</t>
        </is>
      </c>
      <c r="E1000" s="49" t="inlineStr">
        <is>
          <t>Giữ</t>
        </is>
      </c>
      <c r="F1000" s="39" t="n"/>
      <c r="G1000" s="39" t="inlineStr">
        <is>
          <t>Vừa cỡ ô.</t>
        </is>
      </c>
      <c r="H1000" s="39" t="n"/>
    </row>
    <row r="1001" ht="15" customHeight="1" s="32">
      <c r="A1001" s="41" t="inlineStr">
        <is>
          <t>repair_bay</t>
        </is>
      </c>
      <c r="B1001" s="41" t="inlineStr">
        <is>
          <t>Xưởng sửa chữa</t>
        </is>
      </c>
      <c r="C1001" s="41" t="inlineStr">
        <is>
          <t>Vũ khí / DPS</t>
        </is>
      </c>
      <c r="D1001" s="41" t="inlineStr">
        <is>
          <t>0/0/0</t>
        </is>
      </c>
      <c r="E1001" s="49" t="inlineStr">
        <is>
          <t>Giữ</t>
        </is>
      </c>
      <c r="F1001" s="41" t="n"/>
      <c r="G1001" s="41" t="inlineStr">
        <is>
          <t>Trong khoảng mục tiêu của cỡ ô.</t>
        </is>
      </c>
      <c r="H1001" s="41" t="n"/>
    </row>
    <row r="1002" ht="15" customHeight="1" s="32">
      <c r="A1002" s="39" t="inlineStr">
        <is>
          <t>rocket_turret</t>
        </is>
      </c>
      <c r="B1002" s="39" t="inlineStr">
        <is>
          <t>Dàn rốc-két</t>
        </is>
      </c>
      <c r="C1002" s="39" t="inlineStr">
        <is>
          <t>Tên</t>
        </is>
      </c>
      <c r="D1002" s="39" t="inlineStr">
        <is>
          <t>Dàn rốc-két</t>
        </is>
      </c>
      <c r="E1002" s="49" t="inlineStr">
        <is>
          <t>Giữ</t>
        </is>
      </c>
      <c r="F1002" s="39" t="n"/>
      <c r="G1002" s="39" t="inlineStr">
        <is>
          <t>Tên rõ vai trò.</t>
        </is>
      </c>
      <c r="H1002" s="39" t="n"/>
    </row>
    <row r="1003" ht="15" customHeight="1" s="32">
      <c r="A1003" s="41" t="inlineStr">
        <is>
          <t>rocket_turret</t>
        </is>
      </c>
      <c r="B1003" s="41" t="inlineStr">
        <is>
          <t>Dàn rốc-két</t>
        </is>
      </c>
      <c r="C1003" s="41" t="inlineStr">
        <is>
          <t>Ô</t>
        </is>
      </c>
      <c r="D1003" s="41" t="inlineStr">
        <is>
          <t>Vừa</t>
        </is>
      </c>
      <c r="E1003" s="49" t="inlineStr">
        <is>
          <t>Giữ</t>
        </is>
      </c>
      <c r="F1003" s="41" t="n"/>
      <c r="G1003" s="41" t="n"/>
      <c r="H1003" s="41" t="n"/>
    </row>
    <row r="1004" ht="15" customHeight="1" s="32">
      <c r="A1004" s="39" t="inlineStr">
        <is>
          <t>rocket_turret</t>
        </is>
      </c>
      <c r="B1004" s="39" t="inlineStr">
        <is>
          <t>Dàn rốc-két</t>
        </is>
      </c>
      <c r="C1004" s="39" t="inlineStr">
        <is>
          <t>Máu</t>
        </is>
      </c>
      <c r="D1004" s="42" t="n">
        <v>2420</v>
      </c>
      <c r="E1004" s="49" t="inlineStr">
        <is>
          <t>Giữ</t>
        </is>
      </c>
      <c r="F1004" s="39" t="n"/>
      <c r="G1004" s="39" t="inlineStr">
        <is>
          <t>0.92 × trung vị máu tháp ô vừa.</t>
        </is>
      </c>
      <c r="H1004" s="39" t="n"/>
    </row>
    <row r="1005" ht="15" customHeight="1" s="32">
      <c r="A1005" s="41" t="inlineStr">
        <is>
          <t>rocket_turret</t>
        </is>
      </c>
      <c r="B1005" s="41" t="inlineStr">
        <is>
          <t>Dàn rốc-két</t>
        </is>
      </c>
      <c r="C1005" s="41" t="inlineStr">
        <is>
          <t>Giáp</t>
        </is>
      </c>
      <c r="D1005" s="41" t="inlineStr">
        <is>
          <t>cấp 1 (Mỏng) · công trình</t>
        </is>
      </c>
      <c r="E1005" s="49" t="inlineStr">
        <is>
          <t>Giữ</t>
        </is>
      </c>
      <c r="F1005" s="41" t="n"/>
      <c r="G1005" s="41" t="inlineStr">
        <is>
          <t>Công trình; hợp vai trò.</t>
        </is>
      </c>
      <c r="H1005" s="41" t="n"/>
    </row>
    <row r="1006" ht="15" customHeight="1" s="32">
      <c r="A1006" s="39" t="inlineStr">
        <is>
          <t>rocket_turret</t>
        </is>
      </c>
      <c r="B1006" s="39" t="inlineStr">
        <is>
          <t>Dàn rốc-két</t>
        </is>
      </c>
      <c r="C1006" s="39" t="inlineStr">
        <is>
          <t>Kích thước</t>
        </is>
      </c>
      <c r="D1006" s="39" t="inlineStr">
        <is>
          <t>4.7 × 4.7 × 3.4</t>
        </is>
      </c>
      <c r="E1006" s="49" t="inlineStr">
        <is>
          <t>Giữ</t>
        </is>
      </c>
      <c r="F1006" s="39" t="n"/>
      <c r="G1006" s="39" t="inlineStr">
        <is>
          <t>Vừa cỡ ô.</t>
        </is>
      </c>
      <c r="H1006" s="39" t="n"/>
    </row>
    <row r="1007" ht="15" customHeight="1" s="32">
      <c r="A1007" s="41" t="inlineStr">
        <is>
          <t>rocket_turret</t>
        </is>
      </c>
      <c r="B1007" s="41" t="inlineStr">
        <is>
          <t>Dàn rốc-két</t>
        </is>
      </c>
      <c r="C1007" s="41" t="inlineStr">
        <is>
          <t>Vũ khí: Grad</t>
        </is>
      </c>
      <c r="D1007" s="41" t="inlineStr">
        <is>
          <t>87/40</t>
        </is>
      </c>
      <c r="E1007" s="47" t="inlineStr">
        <is>
          <t>Đổi</t>
        </is>
      </c>
      <c r="F1007" s="41" t="inlineStr">
        <is>
          <t>+15% sát thương hoặc nạp 3,35→2,9 s</t>
        </is>
      </c>
      <c r="G1007" s="41" t="inlineStr">
        <is>
          <t>Hơi dưới mục tiêu 110/45.</t>
        </is>
      </c>
      <c r="H1007" s="49" t="inlineStr">
        <is>
          <t>Thấp</t>
        </is>
      </c>
    </row>
    <row r="1008" ht="15" customHeight="1" s="32">
      <c r="A1008" s="39" t="inlineStr">
        <is>
          <t>rocket_turret</t>
        </is>
      </c>
      <c r="B1008" s="39" t="inlineStr">
        <is>
          <t>Dàn rốc-két</t>
        </is>
      </c>
      <c r="C1008" s="39" t="inlineStr">
        <is>
          <t>Nổ khi bị phá</t>
        </is>
      </c>
      <c r="D1008" s="39" t="inlineStr">
        <is>
          <t>9 m</t>
        </is>
      </c>
      <c r="E1008" s="49" t="inlineStr">
        <is>
          <t>Giữ</t>
        </is>
      </c>
      <c r="F1008" s="39" t="n"/>
      <c r="G1008" s="39" t="inlineStr">
        <is>
          <t>Hợp cỡ.</t>
        </is>
      </c>
      <c r="H1008" s="39" t="n"/>
    </row>
    <row r="1009" ht="15" customHeight="1" s="32">
      <c r="A1009" s="41" t="inlineStr">
        <is>
          <t>rocket_turret.cluster</t>
        </is>
      </c>
      <c r="B1009" s="41" t="inlineStr">
        <is>
          <t>Dàn rốc-két · nhánh Rốc-két chùm</t>
        </is>
      </c>
      <c r="C1009" s="41" t="inlineStr">
        <is>
          <t>Tên</t>
        </is>
      </c>
      <c r="D1009" s="41" t="inlineStr">
        <is>
          <t>Dàn rốc-két · nhánh Rốc-két chùm</t>
        </is>
      </c>
      <c r="E1009" s="49" t="inlineStr">
        <is>
          <t>Giữ</t>
        </is>
      </c>
      <c r="F1009" s="41" t="n"/>
      <c r="G1009" s="41" t="inlineStr">
        <is>
          <t>Tên rõ vai trò.</t>
        </is>
      </c>
      <c r="H1009" s="41" t="n"/>
    </row>
    <row r="1010" ht="15" customHeight="1" s="32">
      <c r="A1010" s="39" t="inlineStr">
        <is>
          <t>rocket_turret.cluster</t>
        </is>
      </c>
      <c r="B1010" s="39" t="inlineStr">
        <is>
          <t>Dàn rốc-két · nhánh Rốc-két chùm</t>
        </is>
      </c>
      <c r="C1010" s="39" t="inlineStr">
        <is>
          <t>Ô</t>
        </is>
      </c>
      <c r="D1010" s="39" t="inlineStr">
        <is>
          <t>Vừa</t>
        </is>
      </c>
      <c r="E1010" s="49" t="inlineStr">
        <is>
          <t>Giữ</t>
        </is>
      </c>
      <c r="F1010" s="39" t="n"/>
      <c r="G1010" s="39" t="n"/>
      <c r="H1010" s="39" t="n"/>
    </row>
    <row r="1011" ht="15" customHeight="1" s="32">
      <c r="A1011" s="41" t="inlineStr">
        <is>
          <t>rocket_turret.cluster</t>
        </is>
      </c>
      <c r="B1011" s="41" t="inlineStr">
        <is>
          <t>Dàn rốc-két · nhánh Rốc-két chùm</t>
        </is>
      </c>
      <c r="C1011" s="41" t="inlineStr">
        <is>
          <t>Máu</t>
        </is>
      </c>
      <c r="D1011" s="43" t="n">
        <v>2420</v>
      </c>
      <c r="E1011" s="49" t="inlineStr">
        <is>
          <t>Giữ</t>
        </is>
      </c>
      <c r="F1011" s="41" t="n"/>
      <c r="G1011" s="41" t="inlineStr">
        <is>
          <t>0.92 × trung vị máu tháp ô vừa.</t>
        </is>
      </c>
      <c r="H1011" s="41" t="n"/>
    </row>
    <row r="1012" ht="15" customHeight="1" s="32">
      <c r="A1012" s="39" t="inlineStr">
        <is>
          <t>rocket_turret.cluster</t>
        </is>
      </c>
      <c r="B1012" s="39" t="inlineStr">
        <is>
          <t>Dàn rốc-két · nhánh Rốc-két chùm</t>
        </is>
      </c>
      <c r="C1012" s="39" t="inlineStr">
        <is>
          <t>Giáp</t>
        </is>
      </c>
      <c r="D1012" s="39" t="inlineStr">
        <is>
          <t>cấp 1 (Mỏng) · công trình</t>
        </is>
      </c>
      <c r="E1012" s="49" t="inlineStr">
        <is>
          <t>Giữ</t>
        </is>
      </c>
      <c r="F1012" s="39" t="n"/>
      <c r="G1012" s="39" t="inlineStr">
        <is>
          <t>Công trình; hợp vai trò.</t>
        </is>
      </c>
      <c r="H1012" s="39" t="n"/>
    </row>
    <row r="1013" ht="15" customHeight="1" s="32">
      <c r="A1013" s="41" t="inlineStr">
        <is>
          <t>rocket_turret.cluster</t>
        </is>
      </c>
      <c r="B1013" s="41" t="inlineStr">
        <is>
          <t>Dàn rốc-két · nhánh Rốc-két chùm</t>
        </is>
      </c>
      <c r="C1013" s="41" t="inlineStr">
        <is>
          <t>Kích thước</t>
        </is>
      </c>
      <c r="D1013" s="41" t="inlineStr">
        <is>
          <t>4.7 × 4.7 × 3.4</t>
        </is>
      </c>
      <c r="E1013" s="49" t="inlineStr">
        <is>
          <t>Giữ</t>
        </is>
      </c>
      <c r="F1013" s="41" t="n"/>
      <c r="G1013" s="41" t="inlineStr">
        <is>
          <t>Vừa cỡ ô.</t>
        </is>
      </c>
      <c r="H1013" s="41" t="n"/>
    </row>
    <row r="1014" ht="15" customHeight="1" s="32">
      <c r="A1014" s="39" t="inlineStr">
        <is>
          <t>rocket_turret.cluster</t>
        </is>
      </c>
      <c r="B1014" s="39" t="inlineStr">
        <is>
          <t>Dàn rốc-két · nhánh Rốc-két chùm</t>
        </is>
      </c>
      <c r="C1014" s="39" t="inlineStr">
        <is>
          <t>Vũ khí / DPS</t>
        </is>
      </c>
      <c r="D1014" s="39" t="inlineStr">
        <is>
          <t>90/41/0</t>
        </is>
      </c>
      <c r="E1014" s="49" t="inlineStr">
        <is>
          <t>Giữ</t>
        </is>
      </c>
      <c r="F1014" s="39" t="n"/>
      <c r="G1014" s="39" t="inlineStr">
        <is>
          <t>Trong khoảng mục tiêu của cỡ ô.</t>
        </is>
      </c>
      <c r="H1014" s="39" t="n"/>
    </row>
    <row r="1015" ht="15" customHeight="1" s="32">
      <c r="A1015" s="41" t="inlineStr">
        <is>
          <t>rocket_turret.cluster</t>
        </is>
      </c>
      <c r="B1015" s="41" t="inlineStr">
        <is>
          <t>Dàn rốc-két · nhánh Rốc-két chùm</t>
        </is>
      </c>
      <c r="C1015" s="41" t="inlineStr">
        <is>
          <t>Nổ khi bị phá</t>
        </is>
      </c>
      <c r="D1015" s="41" t="inlineStr">
        <is>
          <t>9 m</t>
        </is>
      </c>
      <c r="E1015" s="49" t="inlineStr">
        <is>
          <t>Giữ</t>
        </is>
      </c>
      <c r="F1015" s="41" t="n"/>
      <c r="G1015" s="41" t="inlineStr">
        <is>
          <t>Hợp cỡ.</t>
        </is>
      </c>
      <c r="H1015" s="41" t="n"/>
    </row>
    <row r="1016" ht="21.75" customHeight="1" s="32">
      <c r="A1016" s="39" t="inlineStr">
        <is>
          <t>rocket_turret.guided</t>
        </is>
      </c>
      <c r="B1016" s="39" t="inlineStr">
        <is>
          <t>Dàn rốc-két · nhánh Rốc-két dẫn đường</t>
        </is>
      </c>
      <c r="C1016" s="39" t="inlineStr">
        <is>
          <t>Tên</t>
        </is>
      </c>
      <c r="D1016" s="39" t="inlineStr">
        <is>
          <t>Dàn rốc-két · nhánh Rốc-két dẫn đường</t>
        </is>
      </c>
      <c r="E1016" s="49" t="inlineStr">
        <is>
          <t>Giữ</t>
        </is>
      </c>
      <c r="F1016" s="39" t="n"/>
      <c r="G1016" s="39" t="inlineStr">
        <is>
          <t>Tên rõ vai trò.</t>
        </is>
      </c>
      <c r="H1016" s="39" t="n"/>
    </row>
    <row r="1017" ht="21.75" customHeight="1" s="32">
      <c r="A1017" s="41" t="inlineStr">
        <is>
          <t>rocket_turret.guided</t>
        </is>
      </c>
      <c r="B1017" s="41" t="inlineStr">
        <is>
          <t>Dàn rốc-két · nhánh Rốc-két dẫn đường</t>
        </is>
      </c>
      <c r="C1017" s="41" t="inlineStr">
        <is>
          <t>Ô</t>
        </is>
      </c>
      <c r="D1017" s="41" t="inlineStr">
        <is>
          <t>Vừa</t>
        </is>
      </c>
      <c r="E1017" s="49" t="inlineStr">
        <is>
          <t>Giữ</t>
        </is>
      </c>
      <c r="F1017" s="41" t="n"/>
      <c r="G1017" s="41" t="n"/>
      <c r="H1017" s="41" t="n"/>
    </row>
    <row r="1018" ht="21.75" customHeight="1" s="32">
      <c r="A1018" s="39" t="inlineStr">
        <is>
          <t>rocket_turret.guided</t>
        </is>
      </c>
      <c r="B1018" s="39" t="inlineStr">
        <is>
          <t>Dàn rốc-két · nhánh Rốc-két dẫn đường</t>
        </is>
      </c>
      <c r="C1018" s="39" t="inlineStr">
        <is>
          <t>Máu</t>
        </is>
      </c>
      <c r="D1018" s="42" t="n">
        <v>2420</v>
      </c>
      <c r="E1018" s="49" t="inlineStr">
        <is>
          <t>Giữ</t>
        </is>
      </c>
      <c r="F1018" s="39" t="n"/>
      <c r="G1018" s="39" t="inlineStr">
        <is>
          <t>0.92 × trung vị máu tháp ô vừa.</t>
        </is>
      </c>
      <c r="H1018" s="39" t="n"/>
    </row>
    <row r="1019" ht="21.75" customHeight="1" s="32">
      <c r="A1019" s="41" t="inlineStr">
        <is>
          <t>rocket_turret.guided</t>
        </is>
      </c>
      <c r="B1019" s="41" t="inlineStr">
        <is>
          <t>Dàn rốc-két · nhánh Rốc-két dẫn đường</t>
        </is>
      </c>
      <c r="C1019" s="41" t="inlineStr">
        <is>
          <t>Giáp</t>
        </is>
      </c>
      <c r="D1019" s="41" t="inlineStr">
        <is>
          <t>cấp 1 (Mỏng) · công trình</t>
        </is>
      </c>
      <c r="E1019" s="49" t="inlineStr">
        <is>
          <t>Giữ</t>
        </is>
      </c>
      <c r="F1019" s="41" t="n"/>
      <c r="G1019" s="41" t="inlineStr">
        <is>
          <t>Công trình; hợp vai trò.</t>
        </is>
      </c>
      <c r="H1019" s="41" t="n"/>
    </row>
    <row r="1020" ht="21.75" customHeight="1" s="32">
      <c r="A1020" s="39" t="inlineStr">
        <is>
          <t>rocket_turret.guided</t>
        </is>
      </c>
      <c r="B1020" s="39" t="inlineStr">
        <is>
          <t>Dàn rốc-két · nhánh Rốc-két dẫn đường</t>
        </is>
      </c>
      <c r="C1020" s="39" t="inlineStr">
        <is>
          <t>Kích thước</t>
        </is>
      </c>
      <c r="D1020" s="39" t="inlineStr">
        <is>
          <t>4.7 × 4.7 × 3.4</t>
        </is>
      </c>
      <c r="E1020" s="49" t="inlineStr">
        <is>
          <t>Giữ</t>
        </is>
      </c>
      <c r="F1020" s="39" t="n"/>
      <c r="G1020" s="39" t="inlineStr">
        <is>
          <t>Vừa cỡ ô.</t>
        </is>
      </c>
      <c r="H1020" s="39" t="n"/>
    </row>
    <row r="1021" ht="21.75" customHeight="1" s="32">
      <c r="A1021" s="41" t="inlineStr">
        <is>
          <t>rocket_turret.guided</t>
        </is>
      </c>
      <c r="B1021" s="41" t="inlineStr">
        <is>
          <t>Dàn rốc-két · nhánh Rốc-két dẫn đường</t>
        </is>
      </c>
      <c r="C1021" s="41" t="inlineStr">
        <is>
          <t>Vũ khí: GMLRS dẫn đường</t>
        </is>
      </c>
      <c r="D1021" s="41" t="inlineStr">
        <is>
          <t>100/phát · nổ lan 3 m · tốc độ 24 · DPS 27/27</t>
        </is>
      </c>
      <c r="E1021" s="47" t="inlineStr">
        <is>
          <t>Đổi</t>
        </is>
      </c>
      <c r="F1021" s="41" t="inlineStr">
        <is>
          <t>160/phát · nổ lan 4,5 m · tốc độ 50 · mục tiêu ~60/60</t>
        </is>
      </c>
      <c r="G1021" s="41" t="inlineStr">
        <is>
          <t>Nhánh gần như vô dụng; GMLRS thật chính xác và mạnh với công trình.</t>
        </is>
      </c>
      <c r="H1021" s="47" t="inlineStr">
        <is>
          <t>Cao</t>
        </is>
      </c>
    </row>
    <row r="1022" ht="21.75" customHeight="1" s="32">
      <c r="A1022" s="39" t="inlineStr">
        <is>
          <t>rocket_turret.guided</t>
        </is>
      </c>
      <c r="B1022" s="39" t="inlineStr">
        <is>
          <t>Dàn rốc-két · nhánh Rốc-két dẫn đường</t>
        </is>
      </c>
      <c r="C1022" s="39" t="inlineStr">
        <is>
          <t>Nổ khi bị phá</t>
        </is>
      </c>
      <c r="D1022" s="39" t="inlineStr">
        <is>
          <t>9 m</t>
        </is>
      </c>
      <c r="E1022" s="49" t="inlineStr">
        <is>
          <t>Giữ</t>
        </is>
      </c>
      <c r="F1022" s="39" t="n"/>
      <c r="G1022" s="39" t="inlineStr">
        <is>
          <t>Hợp cỡ.</t>
        </is>
      </c>
      <c r="H1022" s="39" t="n"/>
    </row>
    <row r="1023" ht="15" customHeight="1" s="32">
      <c r="A1023" s="41"/>
      <c r="B1023" s="41"/>
      <c r="C1023" s="41"/>
      <c r="D1023" s="41"/>
      <c r="E1023" s="49"/>
      <c r="F1023" s="41"/>
      <c r="G1023" s="41"/>
      <c r="H1023" s="41"/>
    </row>
    <row r="1024" ht="15" customHeight="1" s="32">
      <c r="A1024" s="39"/>
      <c r="B1024" s="39"/>
      <c r="C1024" s="39"/>
      <c r="D1024" s="39"/>
      <c r="E1024" s="49"/>
      <c r="F1024" s="39"/>
      <c r="G1024" s="39"/>
      <c r="H1024" s="39"/>
    </row>
    <row r="1025" ht="15" customHeight="1" s="32">
      <c r="A1025" s="41"/>
      <c r="B1025" s="41"/>
      <c r="C1025" s="41"/>
      <c r="D1025" s="43"/>
      <c r="E1025" s="49"/>
      <c r="F1025" s="41"/>
      <c r="G1025" s="41"/>
      <c r="H1025" s="41"/>
    </row>
    <row r="1026" ht="15" customHeight="1" s="32">
      <c r="A1026" s="39"/>
      <c r="B1026" s="39"/>
      <c r="C1026" s="39"/>
      <c r="D1026" s="39"/>
      <c r="E1026" s="49"/>
      <c r="F1026" s="39"/>
      <c r="G1026" s="39"/>
      <c r="H1026" s="39"/>
    </row>
    <row r="1027" ht="15" customHeight="1" s="32">
      <c r="A1027" s="41"/>
      <c r="B1027" s="41"/>
      <c r="C1027" s="41"/>
      <c r="D1027" s="41"/>
      <c r="E1027" s="49"/>
      <c r="F1027" s="41"/>
      <c r="G1027" s="41"/>
      <c r="H1027" s="41"/>
    </row>
    <row r="1028" ht="15" customHeight="1" s="32">
      <c r="A1028" s="39"/>
      <c r="B1028" s="39"/>
      <c r="C1028" s="39"/>
      <c r="D1028" s="39"/>
      <c r="E1028" s="49"/>
      <c r="F1028" s="39"/>
      <c r="G1028" s="39"/>
      <c r="H1028" s="39"/>
    </row>
    <row r="1029" ht="15" customHeight="1" s="32">
      <c r="A1029" s="41"/>
      <c r="B1029" s="41"/>
      <c r="C1029" s="41"/>
      <c r="D1029" s="41"/>
      <c r="E1029" s="49"/>
      <c r="F1029" s="41"/>
      <c r="G1029" s="41"/>
      <c r="H1029" s="41"/>
    </row>
    <row r="1030" ht="15" customHeight="1" s="32">
      <c r="A1030" s="39"/>
      <c r="B1030" s="39"/>
      <c r="C1030" s="39"/>
      <c r="D1030" s="39"/>
      <c r="E1030" s="49"/>
      <c r="F1030" s="39"/>
      <c r="G1030" s="39"/>
      <c r="H1030" s="39"/>
    </row>
    <row r="1031" ht="15" customHeight="1" s="32">
      <c r="A1031" s="41"/>
      <c r="B1031" s="41"/>
      <c r="C1031" s="41"/>
      <c r="D1031" s="41"/>
      <c r="E1031" s="49"/>
      <c r="F1031" s="41"/>
      <c r="G1031" s="41"/>
      <c r="H1031" s="41"/>
    </row>
    <row r="1032" ht="15" customHeight="1" s="32">
      <c r="A1032" s="39"/>
      <c r="B1032" s="39"/>
      <c r="C1032" s="39"/>
      <c r="D1032" s="42"/>
      <c r="E1032" s="49"/>
      <c r="F1032" s="39"/>
      <c r="G1032" s="39"/>
      <c r="H1032" s="39"/>
    </row>
    <row r="1033" ht="15" customHeight="1" s="32">
      <c r="A1033" s="41"/>
      <c r="B1033" s="41"/>
      <c r="C1033" s="41"/>
      <c r="D1033" s="41"/>
      <c r="E1033" s="49"/>
      <c r="F1033" s="41"/>
      <c r="G1033" s="41"/>
      <c r="H1033" s="41"/>
    </row>
    <row r="1034" ht="15" customHeight="1" s="32">
      <c r="A1034" s="39"/>
      <c r="B1034" s="39"/>
      <c r="C1034" s="39"/>
      <c r="D1034" s="39"/>
      <c r="E1034" s="49"/>
      <c r="F1034" s="39"/>
      <c r="G1034" s="39"/>
      <c r="H1034" s="39"/>
    </row>
    <row r="1035" ht="15" customHeight="1" s="32">
      <c r="A1035" s="41"/>
      <c r="B1035" s="41"/>
      <c r="C1035" s="41"/>
      <c r="D1035" s="41"/>
      <c r="E1035" s="49"/>
      <c r="F1035" s="41"/>
      <c r="G1035" s="41"/>
      <c r="H1035" s="41"/>
    </row>
    <row r="1036" ht="15" customHeight="1" s="32">
      <c r="A1036" s="39"/>
      <c r="B1036" s="39"/>
      <c r="C1036" s="39"/>
      <c r="D1036" s="39"/>
      <c r="E1036" s="49"/>
      <c r="F1036" s="39"/>
      <c r="G1036" s="39"/>
      <c r="H1036" s="39"/>
    </row>
    <row r="1037" ht="21.75" customHeight="1" s="32">
      <c r="A1037" s="41"/>
      <c r="B1037" s="41"/>
      <c r="C1037" s="41"/>
      <c r="D1037" s="41"/>
      <c r="E1037" s="49"/>
      <c r="F1037" s="41"/>
      <c r="G1037" s="41"/>
      <c r="H1037" s="41"/>
    </row>
    <row r="1038" ht="21.75" customHeight="1" s="32">
      <c r="A1038" s="39"/>
      <c r="B1038" s="39"/>
      <c r="C1038" s="39"/>
      <c r="D1038" s="39"/>
      <c r="E1038" s="49"/>
      <c r="F1038" s="39"/>
      <c r="G1038" s="39"/>
      <c r="H1038" s="39"/>
    </row>
    <row r="1039" ht="21.75" customHeight="1" s="32">
      <c r="A1039" s="41"/>
      <c r="B1039" s="41"/>
      <c r="C1039" s="41"/>
      <c r="D1039" s="43"/>
      <c r="E1039" s="49"/>
      <c r="F1039" s="41"/>
      <c r="G1039" s="41"/>
      <c r="H1039" s="41"/>
    </row>
    <row r="1040" ht="21.75" customHeight="1" s="32">
      <c r="A1040" s="39"/>
      <c r="B1040" s="39"/>
      <c r="C1040" s="39"/>
      <c r="D1040" s="39"/>
      <c r="E1040" s="49"/>
      <c r="F1040" s="39"/>
      <c r="G1040" s="39"/>
      <c r="H1040" s="39"/>
    </row>
    <row r="1041" ht="21.75" customHeight="1" s="32">
      <c r="A1041" s="41"/>
      <c r="B1041" s="41"/>
      <c r="C1041" s="41"/>
      <c r="D1041" s="41"/>
      <c r="E1041" s="49"/>
      <c r="F1041" s="41"/>
      <c r="G1041" s="41"/>
      <c r="H1041" s="41"/>
    </row>
    <row r="1042" ht="21.75" customHeight="1" s="32">
      <c r="A1042" s="39"/>
      <c r="B1042" s="39"/>
      <c r="C1042" s="39"/>
      <c r="D1042" s="39"/>
      <c r="E1042" s="47"/>
      <c r="F1042" s="39"/>
      <c r="G1042" s="39"/>
      <c r="H1042" s="48"/>
    </row>
    <row r="1043" ht="21.75" customHeight="1" s="32">
      <c r="A1043" s="41"/>
      <c r="B1043" s="41"/>
      <c r="C1043" s="41"/>
      <c r="D1043" s="41"/>
      <c r="E1043" s="49"/>
      <c r="F1043" s="41"/>
      <c r="G1043" s="41"/>
      <c r="H1043" s="41"/>
    </row>
    <row r="1044" ht="21.75" customHeight="1" s="32">
      <c r="A1044" s="39" t="inlineStr">
        <is>
          <t>drone_hangar</t>
        </is>
      </c>
      <c r="B1044" s="39" t="inlineStr">
        <is>
          <t>Nhà chứa drone</t>
        </is>
      </c>
      <c r="C1044" s="39" t="inlineStr">
        <is>
          <t>Tên</t>
        </is>
      </c>
      <c r="D1044" s="39" t="inlineStr">
        <is>
          <t>Nhà chứa drone</t>
        </is>
      </c>
      <c r="E1044" s="47" t="inlineStr">
        <is>
          <t>Đổi</t>
        </is>
      </c>
      <c r="F1044" s="39" t="inlineStr">
        <is>
          <t>Nhà chứa drone · ngắn: Nhà chứa drone · EN: Drone Hangar</t>
        </is>
      </c>
      <c r="G1044" s="39" t="inlineStr">
        <is>
          <t>Giữ.</t>
        </is>
      </c>
      <c r="H1044" s="49" t="inlineStr">
        <is>
          <t>Thấp</t>
        </is>
      </c>
    </row>
    <row r="1045" ht="15" customHeight="1" s="32">
      <c r="A1045" s="41" t="inlineStr">
        <is>
          <t>drone_hangar</t>
        </is>
      </c>
      <c r="B1045" s="41" t="inlineStr">
        <is>
          <t>Nhà chứa drone</t>
        </is>
      </c>
      <c r="C1045" s="41" t="inlineStr">
        <is>
          <t>Ô</t>
        </is>
      </c>
      <c r="D1045" s="41" t="inlineStr">
        <is>
          <t>Lớn</t>
        </is>
      </c>
      <c r="E1045" s="49" t="inlineStr">
        <is>
          <t>Giữ</t>
        </is>
      </c>
      <c r="F1045" s="41" t="n"/>
      <c r="G1045" s="41" t="n"/>
      <c r="H1045" s="41" t="n"/>
    </row>
    <row r="1046" ht="15" customHeight="1" s="32">
      <c r="A1046" s="39" t="inlineStr">
        <is>
          <t>drone_hangar</t>
        </is>
      </c>
      <c r="B1046" s="39" t="inlineStr">
        <is>
          <t>Nhà chứa drone</t>
        </is>
      </c>
      <c r="C1046" s="39" t="inlineStr">
        <is>
          <t>Máu</t>
        </is>
      </c>
      <c r="D1046" s="42" t="n">
        <v>4840</v>
      </c>
      <c r="E1046" s="49" t="inlineStr">
        <is>
          <t>Giữ</t>
        </is>
      </c>
      <c r="F1046" s="39" t="n"/>
      <c r="G1046" s="39" t="inlineStr">
        <is>
          <t>1.10 × trung vị máu tháp ô lớn.</t>
        </is>
      </c>
      <c r="H1046" s="39" t="n"/>
    </row>
    <row r="1047" ht="15" customHeight="1" s="32">
      <c r="A1047" s="41" t="inlineStr">
        <is>
          <t>drone_hangar</t>
        </is>
      </c>
      <c r="B1047" s="41" t="inlineStr">
        <is>
          <t>Nhà chứa drone</t>
        </is>
      </c>
      <c r="C1047" s="41" t="inlineStr">
        <is>
          <t>Giáp</t>
        </is>
      </c>
      <c r="D1047" s="41" t="inlineStr">
        <is>
          <t>cấp 2 (Vừa) · công trình</t>
        </is>
      </c>
      <c r="E1047" s="49" t="inlineStr">
        <is>
          <t>Giữ</t>
        </is>
      </c>
      <c r="F1047" s="41" t="n"/>
      <c r="G1047" s="41" t="inlineStr">
        <is>
          <t>Công trình; hợp vai trò.</t>
        </is>
      </c>
      <c r="H1047" s="41" t="n"/>
    </row>
    <row r="1048" ht="15" customHeight="1" s="32">
      <c r="A1048" s="39" t="inlineStr">
        <is>
          <t>drone_hangar</t>
        </is>
      </c>
      <c r="B1048" s="39" t="inlineStr">
        <is>
          <t>Nhà chứa drone</t>
        </is>
      </c>
      <c r="C1048" s="39" t="inlineStr">
        <is>
          <t>Kích thước</t>
        </is>
      </c>
      <c r="D1048" s="39" t="inlineStr">
        <is>
          <t>8.0 × 8.0 × 5.0</t>
        </is>
      </c>
      <c r="E1048" s="49" t="inlineStr">
        <is>
          <t>Giữ</t>
        </is>
      </c>
      <c r="F1048" s="39" t="n"/>
      <c r="G1048" s="39" t="inlineStr">
        <is>
          <t>Vừa cỡ ô.</t>
        </is>
      </c>
      <c r="H1048" s="39" t="n"/>
    </row>
    <row r="1049" ht="15" customHeight="1" s="32">
      <c r="A1049" s="41" t="inlineStr">
        <is>
          <t>drone_hangar</t>
        </is>
      </c>
      <c r="B1049" s="41" t="inlineStr">
        <is>
          <t>Nhà chứa drone</t>
        </is>
      </c>
      <c r="C1049" s="41" t="inlineStr">
        <is>
          <t>Vũ khí / DPS</t>
        </is>
      </c>
      <c r="D1049" s="41" t="inlineStr">
        <is>
          <t>59/59/0</t>
        </is>
      </c>
      <c r="E1049" s="49" t="inlineStr">
        <is>
          <t>Giữ</t>
        </is>
      </c>
      <c r="F1049" s="41" t="n"/>
      <c r="G1049" s="41" t="inlineStr">
        <is>
          <t>Trong khoảng mục tiêu của cỡ ô.</t>
        </is>
      </c>
      <c r="H1049" s="41" t="n"/>
    </row>
    <row r="1050" ht="15" customHeight="1" s="32">
      <c r="A1050" s="39" t="inlineStr">
        <is>
          <t>drone_hangar</t>
        </is>
      </c>
      <c r="B1050" s="39" t="inlineStr">
        <is>
          <t>Nhà chứa drone</t>
        </is>
      </c>
      <c r="C1050" s="39" t="inlineStr">
        <is>
          <t>Nổ khi bị phá</t>
        </is>
      </c>
      <c r="D1050" s="39" t="inlineStr">
        <is>
          <t>10 m</t>
        </is>
      </c>
      <c r="E1050" s="49" t="inlineStr">
        <is>
          <t>Giữ</t>
        </is>
      </c>
      <c r="F1050" s="39" t="n"/>
      <c r="G1050" s="39" t="inlineStr">
        <is>
          <t>Hợp cỡ.</t>
        </is>
      </c>
      <c r="H1050" s="39" t="n"/>
    </row>
    <row r="1051" ht="21.75" customHeight="1" s="32">
      <c r="A1051" s="41" t="inlineStr">
        <is>
          <t>drone_hangar.lancet</t>
        </is>
      </c>
      <c r="B1051" s="41" t="inlineStr">
        <is>
          <t>Nhà chứa drone · nhánh Nhà chứa Lancet</t>
        </is>
      </c>
      <c r="C1051" s="41" t="inlineStr">
        <is>
          <t>Tên</t>
        </is>
      </c>
      <c r="D1051" s="41" t="inlineStr">
        <is>
          <t>Nhà chứa drone · nhánh Nhà chứa Lancet</t>
        </is>
      </c>
      <c r="E1051" s="49" t="inlineStr">
        <is>
          <t>Giữ</t>
        </is>
      </c>
      <c r="F1051" s="41" t="n"/>
      <c r="G1051" s="41" t="inlineStr">
        <is>
          <t>Tên rõ vai trò.</t>
        </is>
      </c>
      <c r="H1051" s="41" t="n"/>
    </row>
    <row r="1052" ht="21.75" customHeight="1" s="32">
      <c r="A1052" s="39" t="inlineStr">
        <is>
          <t>drone_hangar.lancet</t>
        </is>
      </c>
      <c r="B1052" s="39" t="inlineStr">
        <is>
          <t>Nhà chứa drone · nhánh Nhà chứa Lancet</t>
        </is>
      </c>
      <c r="C1052" s="39" t="inlineStr">
        <is>
          <t>Ô</t>
        </is>
      </c>
      <c r="D1052" s="39" t="inlineStr">
        <is>
          <t>Lớn</t>
        </is>
      </c>
      <c r="E1052" s="49" t="inlineStr">
        <is>
          <t>Giữ</t>
        </is>
      </c>
      <c r="F1052" s="39" t="n"/>
      <c r="G1052" s="39" t="n"/>
      <c r="H1052" s="39" t="n"/>
    </row>
    <row r="1053" ht="21.75" customHeight="1" s="32">
      <c r="A1053" s="41" t="inlineStr">
        <is>
          <t>drone_hangar.lancet</t>
        </is>
      </c>
      <c r="B1053" s="41" t="inlineStr">
        <is>
          <t>Nhà chứa drone · nhánh Nhà chứa Lancet</t>
        </is>
      </c>
      <c r="C1053" s="41" t="inlineStr">
        <is>
          <t>Máu</t>
        </is>
      </c>
      <c r="D1053" s="43" t="n">
        <v>4840</v>
      </c>
      <c r="E1053" s="49" t="inlineStr">
        <is>
          <t>Giữ</t>
        </is>
      </c>
      <c r="F1053" s="41" t="n"/>
      <c r="G1053" s="41" t="inlineStr">
        <is>
          <t>1.10 × trung vị máu tháp ô lớn.</t>
        </is>
      </c>
      <c r="H1053" s="41" t="n"/>
    </row>
    <row r="1054" ht="21.75" customHeight="1" s="32">
      <c r="A1054" s="39" t="inlineStr">
        <is>
          <t>drone_hangar.lancet</t>
        </is>
      </c>
      <c r="B1054" s="39" t="inlineStr">
        <is>
          <t>Nhà chứa drone · nhánh Nhà chứa Lancet</t>
        </is>
      </c>
      <c r="C1054" s="39" t="inlineStr">
        <is>
          <t>Giáp</t>
        </is>
      </c>
      <c r="D1054" s="39" t="inlineStr">
        <is>
          <t>cấp 2 (Vừa) · công trình</t>
        </is>
      </c>
      <c r="E1054" s="49" t="inlineStr">
        <is>
          <t>Giữ</t>
        </is>
      </c>
      <c r="F1054" s="39" t="n"/>
      <c r="G1054" s="39" t="inlineStr">
        <is>
          <t>Công trình; hợp vai trò.</t>
        </is>
      </c>
      <c r="H1054" s="39" t="n"/>
    </row>
    <row r="1055" ht="21.75" customHeight="1" s="32">
      <c r="A1055" s="41" t="inlineStr">
        <is>
          <t>drone_hangar.lancet</t>
        </is>
      </c>
      <c r="B1055" s="41" t="inlineStr">
        <is>
          <t>Nhà chứa drone · nhánh Nhà chứa Lancet</t>
        </is>
      </c>
      <c r="C1055" s="41" t="inlineStr">
        <is>
          <t>Kích thước</t>
        </is>
      </c>
      <c r="D1055" s="41" t="inlineStr">
        <is>
          <t>8.0 × 8.0 × 5.0</t>
        </is>
      </c>
      <c r="E1055" s="49" t="inlineStr">
        <is>
          <t>Giữ</t>
        </is>
      </c>
      <c r="F1055" s="41" t="n"/>
      <c r="G1055" s="41" t="inlineStr">
        <is>
          <t>Vừa cỡ ô.</t>
        </is>
      </c>
      <c r="H1055" s="41" t="n"/>
    </row>
    <row r="1056" ht="21.75" customHeight="1" s="32">
      <c r="A1056" s="39" t="inlineStr">
        <is>
          <t>drone_hangar.lancet</t>
        </is>
      </c>
      <c r="B1056" s="39" t="inlineStr">
        <is>
          <t>Nhà chứa drone · nhánh Nhà chứa Lancet</t>
        </is>
      </c>
      <c r="C1056" s="39" t="inlineStr">
        <is>
          <t>Vũ khí / DPS</t>
        </is>
      </c>
      <c r="D1056" s="39" t="inlineStr">
        <is>
          <t>67/67/0</t>
        </is>
      </c>
      <c r="E1056" s="49" t="inlineStr">
        <is>
          <t>Giữ</t>
        </is>
      </c>
      <c r="F1056" s="39" t="n"/>
      <c r="G1056" s="39" t="inlineStr">
        <is>
          <t>Trong khoảng mục tiêu của cỡ ô.</t>
        </is>
      </c>
      <c r="H1056" s="39" t="n"/>
    </row>
    <row r="1057" ht="21.75" customHeight="1" s="32">
      <c r="A1057" s="41" t="inlineStr">
        <is>
          <t>drone_hangar.lancet</t>
        </is>
      </c>
      <c r="B1057" s="41" t="inlineStr">
        <is>
          <t>Nhà chứa drone · nhánh Nhà chứa Lancet</t>
        </is>
      </c>
      <c r="C1057" s="41" t="inlineStr">
        <is>
          <t>Nổ khi bị phá</t>
        </is>
      </c>
      <c r="D1057" s="41" t="inlineStr">
        <is>
          <t>10 m</t>
        </is>
      </c>
      <c r="E1057" s="49" t="inlineStr">
        <is>
          <t>Giữ</t>
        </is>
      </c>
      <c r="F1057" s="41" t="n"/>
      <c r="G1057" s="41" t="inlineStr">
        <is>
          <t>Hợp cỡ.</t>
        </is>
      </c>
      <c r="H1057" s="41" t="n"/>
    </row>
    <row r="1058" ht="15" customHeight="1" s="32">
      <c r="A1058" s="39" t="inlineStr">
        <is>
          <t>drone_hangar.swarm</t>
        </is>
      </c>
      <c r="B1058" s="39" t="inlineStr">
        <is>
          <t>Nhà chứa drone · nhánh Bầy đàn</t>
        </is>
      </c>
      <c r="C1058" s="39" t="inlineStr">
        <is>
          <t>Tên</t>
        </is>
      </c>
      <c r="D1058" s="39" t="inlineStr">
        <is>
          <t>Nhà chứa drone · nhánh Bầy đàn</t>
        </is>
      </c>
      <c r="E1058" s="49" t="inlineStr">
        <is>
          <t>Giữ</t>
        </is>
      </c>
      <c r="F1058" s="39" t="n"/>
      <c r="G1058" s="39" t="inlineStr">
        <is>
          <t>Tên rõ vai trò.</t>
        </is>
      </c>
      <c r="H1058" s="39" t="n"/>
    </row>
    <row r="1059" ht="15" customHeight="1" s="32">
      <c r="A1059" s="41" t="inlineStr">
        <is>
          <t>drone_hangar.swarm</t>
        </is>
      </c>
      <c r="B1059" s="41" t="inlineStr">
        <is>
          <t>Nhà chứa drone · nhánh Bầy đàn</t>
        </is>
      </c>
      <c r="C1059" s="41" t="inlineStr">
        <is>
          <t>Ô</t>
        </is>
      </c>
      <c r="D1059" s="41" t="inlineStr">
        <is>
          <t>Lớn</t>
        </is>
      </c>
      <c r="E1059" s="49" t="inlineStr">
        <is>
          <t>Giữ</t>
        </is>
      </c>
      <c r="F1059" s="41" t="n"/>
      <c r="G1059" s="41" t="n"/>
      <c r="H1059" s="41" t="n"/>
    </row>
    <row r="1060" ht="15" customHeight="1" s="32">
      <c r="A1060" s="39" t="inlineStr">
        <is>
          <t>drone_hangar.swarm</t>
        </is>
      </c>
      <c r="B1060" s="39" t="inlineStr">
        <is>
          <t>Nhà chứa drone · nhánh Bầy đàn</t>
        </is>
      </c>
      <c r="C1060" s="39" t="inlineStr">
        <is>
          <t>Máu</t>
        </is>
      </c>
      <c r="D1060" s="42" t="n">
        <v>4840</v>
      </c>
      <c r="E1060" s="49" t="inlineStr">
        <is>
          <t>Giữ</t>
        </is>
      </c>
      <c r="F1060" s="39" t="n"/>
      <c r="G1060" s="39" t="inlineStr">
        <is>
          <t>1.10 × trung vị máu tháp ô lớn.</t>
        </is>
      </c>
      <c r="H1060" s="39" t="n"/>
    </row>
    <row r="1061" ht="15" customHeight="1" s="32">
      <c r="A1061" s="41" t="inlineStr">
        <is>
          <t>drone_hangar.swarm</t>
        </is>
      </c>
      <c r="B1061" s="41" t="inlineStr">
        <is>
          <t>Nhà chứa drone · nhánh Bầy đàn</t>
        </is>
      </c>
      <c r="C1061" s="41" t="inlineStr">
        <is>
          <t>Giáp</t>
        </is>
      </c>
      <c r="D1061" s="41" t="inlineStr">
        <is>
          <t>cấp 2 (Vừa) · công trình</t>
        </is>
      </c>
      <c r="E1061" s="49" t="inlineStr">
        <is>
          <t>Giữ</t>
        </is>
      </c>
      <c r="F1061" s="41" t="n"/>
      <c r="G1061" s="41" t="inlineStr">
        <is>
          <t>Công trình; hợp vai trò.</t>
        </is>
      </c>
      <c r="H1061" s="41" t="n"/>
    </row>
    <row r="1062" ht="15" customHeight="1" s="32">
      <c r="A1062" s="39" t="inlineStr">
        <is>
          <t>drone_hangar.swarm</t>
        </is>
      </c>
      <c r="B1062" s="39" t="inlineStr">
        <is>
          <t>Nhà chứa drone · nhánh Bầy đàn</t>
        </is>
      </c>
      <c r="C1062" s="39" t="inlineStr">
        <is>
          <t>Kích thước</t>
        </is>
      </c>
      <c r="D1062" s="39" t="inlineStr">
        <is>
          <t>8.0 × 8.0 × 5.0</t>
        </is>
      </c>
      <c r="E1062" s="49" t="inlineStr">
        <is>
          <t>Giữ</t>
        </is>
      </c>
      <c r="F1062" s="39" t="n"/>
      <c r="G1062" s="39" t="inlineStr">
        <is>
          <t>Vừa cỡ ô.</t>
        </is>
      </c>
      <c r="H1062" s="39" t="n"/>
    </row>
    <row r="1063" ht="15" customHeight="1" s="32">
      <c r="A1063" s="41" t="inlineStr">
        <is>
          <t>drone_hangar.swarm</t>
        </is>
      </c>
      <c r="B1063" s="41" t="inlineStr">
        <is>
          <t>Nhà chứa drone · nhánh Bầy đàn</t>
        </is>
      </c>
      <c r="C1063" s="41" t="inlineStr">
        <is>
          <t>Vũ khí / DPS</t>
        </is>
      </c>
      <c r="D1063" s="41" t="inlineStr">
        <is>
          <t>77/77/0</t>
        </is>
      </c>
      <c r="E1063" s="49" t="inlineStr">
        <is>
          <t>Giữ</t>
        </is>
      </c>
      <c r="F1063" s="41" t="n"/>
      <c r="G1063" s="41" t="inlineStr">
        <is>
          <t>Trong khoảng mục tiêu của cỡ ô.</t>
        </is>
      </c>
      <c r="H1063" s="41" t="n"/>
    </row>
    <row r="1064" ht="15" customHeight="1" s="32">
      <c r="A1064" s="39" t="inlineStr">
        <is>
          <t>drone_hangar.swarm</t>
        </is>
      </c>
      <c r="B1064" s="39" t="inlineStr">
        <is>
          <t>Nhà chứa drone · nhánh Bầy đàn</t>
        </is>
      </c>
      <c r="C1064" s="39" t="inlineStr">
        <is>
          <t>Nổ khi bị phá</t>
        </is>
      </c>
      <c r="D1064" s="39" t="inlineStr">
        <is>
          <t>10 m</t>
        </is>
      </c>
      <c r="E1064" s="49" t="inlineStr">
        <is>
          <t>Giữ</t>
        </is>
      </c>
      <c r="F1064" s="39" t="n"/>
      <c r="G1064" s="39" t="inlineStr">
        <is>
          <t>Hợp cỡ.</t>
        </is>
      </c>
      <c r="H1064" s="39" t="n"/>
    </row>
    <row r="1065" ht="21.75" customHeight="1" s="32">
      <c r="A1065" s="41" t="inlineStr">
        <is>
          <t>heavy_turret</t>
        </is>
      </c>
      <c r="B1065" s="41" t="inlineStr">
        <is>
          <t>Pháo đài hạng nặng</t>
        </is>
      </c>
      <c r="C1065" s="41" t="inlineStr">
        <is>
          <t>Tên</t>
        </is>
      </c>
      <c r="D1065" s="41" t="inlineStr">
        <is>
          <t>Pháo đài hạng nặng</t>
        </is>
      </c>
      <c r="E1065" s="47" t="inlineStr">
        <is>
          <t>Đổi</t>
        </is>
      </c>
      <c r="F1065" s="41" t="inlineStr">
        <is>
          <t>Tháp pháo hạng nặng · ngắn: Pháo hạng nặng · EN: Heavy Gun Turret</t>
        </is>
      </c>
      <c r="G1065" s="41" t="inlineStr">
        <is>
          <t>"Pháo đài" dễ nhầm với boss Bastion và pháo đài trong Công thành.</t>
        </is>
      </c>
      <c r="H1065" s="49" t="inlineStr">
        <is>
          <t>Thấp</t>
        </is>
      </c>
    </row>
    <row r="1066" ht="15" customHeight="1" s="32">
      <c r="A1066" s="39" t="inlineStr">
        <is>
          <t>heavy_turret</t>
        </is>
      </c>
      <c r="B1066" s="39" t="inlineStr">
        <is>
          <t>Pháo đài hạng nặng</t>
        </is>
      </c>
      <c r="C1066" s="39" t="inlineStr">
        <is>
          <t>Ô</t>
        </is>
      </c>
      <c r="D1066" s="39" t="inlineStr">
        <is>
          <t>Lớn</t>
        </is>
      </c>
      <c r="E1066" s="49" t="inlineStr">
        <is>
          <t>Giữ</t>
        </is>
      </c>
      <c r="F1066" s="39" t="n"/>
      <c r="G1066" s="39" t="n"/>
      <c r="H1066" s="39" t="n"/>
    </row>
    <row r="1067" ht="15" customHeight="1" s="32">
      <c r="A1067" s="41" t="inlineStr">
        <is>
          <t>heavy_turret</t>
        </is>
      </c>
      <c r="B1067" s="41" t="inlineStr">
        <is>
          <t>Pháo đài hạng nặng</t>
        </is>
      </c>
      <c r="C1067" s="41" t="inlineStr">
        <is>
          <t>Máu</t>
        </is>
      </c>
      <c r="D1067" s="43" t="n">
        <v>6160</v>
      </c>
      <c r="E1067" s="49" t="inlineStr">
        <is>
          <t>Giữ</t>
        </is>
      </c>
      <c r="F1067" s="41" t="n"/>
      <c r="G1067" s="41" t="inlineStr">
        <is>
          <t>1.40 × trung vị máu tháp ô lớn.</t>
        </is>
      </c>
      <c r="H1067" s="41" t="n"/>
    </row>
    <row r="1068" ht="15" customHeight="1" s="32">
      <c r="A1068" s="39" t="inlineStr">
        <is>
          <t>heavy_turret</t>
        </is>
      </c>
      <c r="B1068" s="39" t="inlineStr">
        <is>
          <t>Pháo đài hạng nặng</t>
        </is>
      </c>
      <c r="C1068" s="39" t="inlineStr">
        <is>
          <t>Giáp</t>
        </is>
      </c>
      <c r="D1068" s="39" t="inlineStr">
        <is>
          <t>4/3/3/3</t>
        </is>
      </c>
      <c r="E1068" s="49" t="inlineStr">
        <is>
          <t>Giữ</t>
        </is>
      </c>
      <c r="F1068" s="39" t="n"/>
      <c r="G1068" s="39" t="inlineStr">
        <is>
          <t>Công trình; hợp vai trò.</t>
        </is>
      </c>
      <c r="H1068" s="39" t="n"/>
    </row>
    <row r="1069" ht="15" customHeight="1" s="32">
      <c r="A1069" s="41" t="inlineStr">
        <is>
          <t>heavy_turret</t>
        </is>
      </c>
      <c r="B1069" s="41" t="inlineStr">
        <is>
          <t>Pháo đài hạng nặng</t>
        </is>
      </c>
      <c r="C1069" s="41" t="inlineStr">
        <is>
          <t>Kích thước</t>
        </is>
      </c>
      <c r="D1069" s="41" t="inlineStr">
        <is>
          <t>10.3 × 8.0 × 6.1</t>
        </is>
      </c>
      <c r="E1069" s="49" t="inlineStr">
        <is>
          <t>Giữ</t>
        </is>
      </c>
      <c r="F1069" s="41" t="n"/>
      <c r="G1069" s="41" t="inlineStr">
        <is>
          <t>Vừa cỡ ô.</t>
        </is>
      </c>
      <c r="H1069" s="41" t="n"/>
    </row>
    <row r="1070" ht="21.75" customHeight="1" s="32">
      <c r="A1070" s="39" t="inlineStr">
        <is>
          <t>heavy_turret</t>
        </is>
      </c>
      <c r="B1070" s="39" t="inlineStr">
        <is>
          <t>Pháo đài hạng nặng</t>
        </is>
      </c>
      <c r="C1070" s="39" t="inlineStr">
        <is>
          <t>Vũ khí: 155 mm đôi</t>
        </is>
      </c>
      <c r="D1070" s="39" t="inlineStr">
        <is>
          <t>138/98 · chỉ đạn nổ mạnh (xuyên 3)</t>
        </is>
      </c>
      <c r="E1070" s="47" t="inlineStr">
        <is>
          <t>Đổi</t>
        </is>
      </c>
      <c r="F1070" s="39" t="inlineStr">
        <is>
          <t>thêm đạn xuyên 155 mm (xuyên 4, ~300/phát), tự đổi như Tăng hạng nặng; nổ lan 4,5→7 m</t>
        </is>
      </c>
      <c r="G1070" s="39" t="inlineStr">
        <is>
          <t>Chống xe nặng dưới mục tiêu 140; bán kính nổ lệch các khẩu 155 khác.</t>
        </is>
      </c>
      <c r="H1070" s="48" t="inlineStr">
        <is>
          <t>Trung</t>
        </is>
      </c>
    </row>
    <row r="1071" ht="15" customHeight="1" s="32">
      <c r="A1071" s="41" t="inlineStr">
        <is>
          <t>heavy_turret</t>
        </is>
      </c>
      <c r="B1071" s="41" t="inlineStr">
        <is>
          <t>Pháo đài hạng nặng</t>
        </is>
      </c>
      <c r="C1071" s="41" t="inlineStr">
        <is>
          <t>Nổ khi bị phá</t>
        </is>
      </c>
      <c r="D1071" s="41" t="inlineStr">
        <is>
          <t>12 m</t>
        </is>
      </c>
      <c r="E1071" s="49" t="inlineStr">
        <is>
          <t>Giữ</t>
        </is>
      </c>
      <c r="F1071" s="41" t="n"/>
      <c r="G1071" s="41" t="inlineStr">
        <is>
          <t>Hợp cỡ.</t>
        </is>
      </c>
      <c r="H1071" s="41" t="n"/>
    </row>
    <row r="1072" ht="21.75" customHeight="1" s="32">
      <c r="A1072" s="39" t="inlineStr">
        <is>
          <t>heavy_turret.coastal</t>
        </is>
      </c>
      <c r="B1072" s="39" t="inlineStr">
        <is>
          <t>Pháo đài hạng nặng · nhánh Pháo bờ biển tầm xa</t>
        </is>
      </c>
      <c r="C1072" s="39" t="inlineStr">
        <is>
          <t>Tên</t>
        </is>
      </c>
      <c r="D1072" s="39" t="inlineStr">
        <is>
          <t>Pháo đài hạng nặng · nhánh Pháo bờ biển tầm xa</t>
        </is>
      </c>
      <c r="E1072" s="49" t="inlineStr">
        <is>
          <t>Giữ</t>
        </is>
      </c>
      <c r="F1072" s="39" t="n"/>
      <c r="G1072" s="39" t="inlineStr">
        <is>
          <t>Tên rõ vai trò.</t>
        </is>
      </c>
      <c r="H1072" s="39" t="n"/>
    </row>
    <row r="1073" ht="21.75" customHeight="1" s="32">
      <c r="A1073" s="41" t="inlineStr">
        <is>
          <t>heavy_turret.coastal</t>
        </is>
      </c>
      <c r="B1073" s="41" t="inlineStr">
        <is>
          <t>Pháo đài hạng nặng · nhánh Pháo bờ biển tầm xa</t>
        </is>
      </c>
      <c r="C1073" s="41" t="inlineStr">
        <is>
          <t>Ô</t>
        </is>
      </c>
      <c r="D1073" s="41" t="inlineStr">
        <is>
          <t>Lớn</t>
        </is>
      </c>
      <c r="E1073" s="49" t="inlineStr">
        <is>
          <t>Giữ</t>
        </is>
      </c>
      <c r="F1073" s="41" t="n"/>
      <c r="G1073" s="41" t="n"/>
      <c r="H1073" s="41" t="n"/>
    </row>
    <row r="1074" ht="21.75" customHeight="1" s="32">
      <c r="A1074" s="39" t="inlineStr">
        <is>
          <t>heavy_turret.coastal</t>
        </is>
      </c>
      <c r="B1074" s="39" t="inlineStr">
        <is>
          <t>Pháo đài hạng nặng · nhánh Pháo bờ biển tầm xa</t>
        </is>
      </c>
      <c r="C1074" s="39" t="inlineStr">
        <is>
          <t>Máu</t>
        </is>
      </c>
      <c r="D1074" s="42" t="n">
        <v>6160</v>
      </c>
      <c r="E1074" s="49" t="inlineStr">
        <is>
          <t>Giữ</t>
        </is>
      </c>
      <c r="F1074" s="39" t="n"/>
      <c r="G1074" s="39" t="inlineStr">
        <is>
          <t>1.40 × trung vị máu tháp ô lớn.</t>
        </is>
      </c>
      <c r="H1074" s="39" t="n"/>
    </row>
    <row r="1075" ht="21.75" customHeight="1" s="32">
      <c r="A1075" s="41" t="inlineStr">
        <is>
          <t>heavy_turret.coastal</t>
        </is>
      </c>
      <c r="B1075" s="41" t="inlineStr">
        <is>
          <t>Pháo đài hạng nặng · nhánh Pháo bờ biển tầm xa</t>
        </is>
      </c>
      <c r="C1075" s="41" t="inlineStr">
        <is>
          <t>Giáp</t>
        </is>
      </c>
      <c r="D1075" s="41" t="inlineStr">
        <is>
          <t>4/3/3/3</t>
        </is>
      </c>
      <c r="E1075" s="49" t="inlineStr">
        <is>
          <t>Giữ</t>
        </is>
      </c>
      <c r="F1075" s="41" t="n"/>
      <c r="G1075" s="41" t="inlineStr">
        <is>
          <t>Công trình; hợp vai trò.</t>
        </is>
      </c>
      <c r="H1075" s="41" t="n"/>
    </row>
    <row r="1076" ht="21.75" customHeight="1" s="32">
      <c r="A1076" s="39" t="inlineStr">
        <is>
          <t>heavy_turret.coastal</t>
        </is>
      </c>
      <c r="B1076" s="39" t="inlineStr">
        <is>
          <t>Pháo đài hạng nặng · nhánh Pháo bờ biển tầm xa</t>
        </is>
      </c>
      <c r="C1076" s="39" t="inlineStr">
        <is>
          <t>Kích thước</t>
        </is>
      </c>
      <c r="D1076" s="39" t="inlineStr">
        <is>
          <t>10.3 × 8.0 × 6.1</t>
        </is>
      </c>
      <c r="E1076" s="49" t="inlineStr">
        <is>
          <t>Giữ</t>
        </is>
      </c>
      <c r="F1076" s="39" t="n"/>
      <c r="G1076" s="39" t="inlineStr">
        <is>
          <t>Vừa cỡ ô.</t>
        </is>
      </c>
      <c r="H1076" s="39" t="n"/>
    </row>
    <row r="1077" ht="21.75" customHeight="1" s="32">
      <c r="A1077" s="41" t="inlineStr">
        <is>
          <t>heavy_turret.coastal</t>
        </is>
      </c>
      <c r="B1077" s="41" t="inlineStr">
        <is>
          <t>Pháo đài hạng nặng · nhánh Pháo bờ biển tầm xa</t>
        </is>
      </c>
      <c r="C1077" s="41" t="inlineStr">
        <is>
          <t>Vũ khí / DPS</t>
        </is>
      </c>
      <c r="D1077" s="41" t="inlineStr">
        <is>
          <t>138/98/0</t>
        </is>
      </c>
      <c r="E1077" s="49" t="inlineStr">
        <is>
          <t>Giữ</t>
        </is>
      </c>
      <c r="F1077" s="41" t="n"/>
      <c r="G1077" s="41" t="inlineStr">
        <is>
          <t>Trong khoảng mục tiêu của cỡ ô.</t>
        </is>
      </c>
      <c r="H1077" s="41" t="n"/>
    </row>
    <row r="1078" ht="21.75" customHeight="1" s="32">
      <c r="A1078" s="39" t="inlineStr">
        <is>
          <t>heavy_turret.coastal</t>
        </is>
      </c>
      <c r="B1078" s="39" t="inlineStr">
        <is>
          <t>Pháo đài hạng nặng · nhánh Pháo bờ biển tầm xa</t>
        </is>
      </c>
      <c r="C1078" s="39" t="inlineStr">
        <is>
          <t>Nổ khi bị phá</t>
        </is>
      </c>
      <c r="D1078" s="39" t="inlineStr">
        <is>
          <t>12 m</t>
        </is>
      </c>
      <c r="E1078" s="49" t="inlineStr">
        <is>
          <t>Giữ</t>
        </is>
      </c>
      <c r="F1078" s="39" t="n"/>
      <c r="G1078" s="39" t="inlineStr">
        <is>
          <t>Hợp cỡ.</t>
        </is>
      </c>
      <c r="H1078" s="39" t="n"/>
    </row>
    <row r="1079" ht="21.75" customHeight="1" s="32">
      <c r="A1079" s="41" t="inlineStr">
        <is>
          <t>heavy_turret.bastion</t>
        </is>
      </c>
      <c r="B1079" s="41" t="inlineStr">
        <is>
          <t>Pháo đài hạng nặng · nhánh Pháo đài thép</t>
        </is>
      </c>
      <c r="C1079" s="41" t="inlineStr">
        <is>
          <t>Tên</t>
        </is>
      </c>
      <c r="D1079" s="41" t="inlineStr">
        <is>
          <t>Pháo đài hạng nặng · nhánh Pháo đài thép</t>
        </is>
      </c>
      <c r="E1079" s="49" t="inlineStr">
        <is>
          <t>Giữ</t>
        </is>
      </c>
      <c r="F1079" s="41" t="n"/>
      <c r="G1079" s="41" t="inlineStr">
        <is>
          <t>Tên rõ vai trò.</t>
        </is>
      </c>
      <c r="H1079" s="41" t="n"/>
    </row>
    <row r="1080" ht="21.75" customHeight="1" s="32">
      <c r="A1080" s="39" t="inlineStr">
        <is>
          <t>heavy_turret.bastion</t>
        </is>
      </c>
      <c r="B1080" s="39" t="inlineStr">
        <is>
          <t>Pháo đài hạng nặng · nhánh Pháo đài thép</t>
        </is>
      </c>
      <c r="C1080" s="39" t="inlineStr">
        <is>
          <t>Ô</t>
        </is>
      </c>
      <c r="D1080" s="39" t="inlineStr">
        <is>
          <t>Lớn</t>
        </is>
      </c>
      <c r="E1080" s="49" t="inlineStr">
        <is>
          <t>Giữ</t>
        </is>
      </c>
      <c r="F1080" s="39" t="n"/>
      <c r="G1080" s="39" t="n"/>
      <c r="H1080" s="39" t="n"/>
    </row>
    <row r="1081" ht="21.75" customHeight="1" s="32">
      <c r="A1081" s="41" t="inlineStr">
        <is>
          <t>heavy_turret.bastion</t>
        </is>
      </c>
      <c r="B1081" s="41" t="inlineStr">
        <is>
          <t>Pháo đài hạng nặng · nhánh Pháo đài thép</t>
        </is>
      </c>
      <c r="C1081" s="41" t="inlineStr">
        <is>
          <t>Máu</t>
        </is>
      </c>
      <c r="D1081" s="43" t="n">
        <v>9548</v>
      </c>
      <c r="E1081" s="49" t="inlineStr">
        <is>
          <t>Giữ</t>
        </is>
      </c>
      <c r="F1081" s="41" t="n"/>
      <c r="G1081" s="41" t="inlineStr">
        <is>
          <t>2.17 × trung vị máu tháp ô lớn.</t>
        </is>
      </c>
      <c r="H1081" s="41" t="n"/>
    </row>
    <row r="1082" ht="21.75" customHeight="1" s="32">
      <c r="A1082" s="39" t="inlineStr">
        <is>
          <t>heavy_turret.bastion</t>
        </is>
      </c>
      <c r="B1082" s="39" t="inlineStr">
        <is>
          <t>Pháo đài hạng nặng · nhánh Pháo đài thép</t>
        </is>
      </c>
      <c r="C1082" s="39" t="inlineStr">
        <is>
          <t>Giáp</t>
        </is>
      </c>
      <c r="D1082" s="39" t="inlineStr">
        <is>
          <t>4/3/3/3</t>
        </is>
      </c>
      <c r="E1082" s="49" t="inlineStr">
        <is>
          <t>Giữ</t>
        </is>
      </c>
      <c r="F1082" s="39" t="n"/>
      <c r="G1082" s="39" t="inlineStr">
        <is>
          <t>Công trình; hợp vai trò.</t>
        </is>
      </c>
      <c r="H1082" s="39" t="n"/>
    </row>
    <row r="1083" ht="21.75" customHeight="1" s="32">
      <c r="A1083" s="41" t="inlineStr">
        <is>
          <t>heavy_turret.bastion</t>
        </is>
      </c>
      <c r="B1083" s="41" t="inlineStr">
        <is>
          <t>Pháo đài hạng nặng · nhánh Pháo đài thép</t>
        </is>
      </c>
      <c r="C1083" s="41" t="inlineStr">
        <is>
          <t>Kích thước</t>
        </is>
      </c>
      <c r="D1083" s="41" t="inlineStr">
        <is>
          <t>10.3 × 8.0 × 6.1</t>
        </is>
      </c>
      <c r="E1083" s="49" t="inlineStr">
        <is>
          <t>Giữ</t>
        </is>
      </c>
      <c r="F1083" s="41" t="n"/>
      <c r="G1083" s="41" t="inlineStr">
        <is>
          <t>Vừa cỡ ô.</t>
        </is>
      </c>
      <c r="H1083" s="41" t="n"/>
    </row>
    <row r="1084" ht="21.75" customHeight="1" s="32">
      <c r="A1084" s="39" t="inlineStr">
        <is>
          <t>heavy_turret.bastion</t>
        </is>
      </c>
      <c r="B1084" s="39" t="inlineStr">
        <is>
          <t>Pháo đài hạng nặng · nhánh Pháo đài thép</t>
        </is>
      </c>
      <c r="C1084" s="39" t="inlineStr">
        <is>
          <t>Vũ khí / DPS</t>
        </is>
      </c>
      <c r="D1084" s="39" t="inlineStr">
        <is>
          <t>229/125/32</t>
        </is>
      </c>
      <c r="E1084" s="49" t="inlineStr">
        <is>
          <t>Giữ</t>
        </is>
      </c>
      <c r="F1084" s="39" t="n"/>
      <c r="G1084" s="39" t="inlineStr">
        <is>
          <t>Trong khoảng mục tiêu của cỡ ô.</t>
        </is>
      </c>
      <c r="H1084" s="39" t="n"/>
    </row>
    <row r="1085" ht="21.75" customHeight="1" s="32">
      <c r="A1085" s="41" t="inlineStr">
        <is>
          <t>heavy_turret.bastion</t>
        </is>
      </c>
      <c r="B1085" s="41" t="inlineStr">
        <is>
          <t>Pháo đài hạng nặng · nhánh Pháo đài thép</t>
        </is>
      </c>
      <c r="C1085" s="41" t="inlineStr">
        <is>
          <t>Nổ khi bị phá</t>
        </is>
      </c>
      <c r="D1085" s="41" t="inlineStr">
        <is>
          <t>12 m</t>
        </is>
      </c>
      <c r="E1085" s="49" t="inlineStr">
        <is>
          <t>Giữ</t>
        </is>
      </c>
      <c r="F1085" s="41" t="n"/>
      <c r="G1085" s="41" t="inlineStr">
        <is>
          <t>Hợp cỡ.</t>
        </is>
      </c>
      <c r="H1085" s="41" t="n"/>
    </row>
    <row r="1086" ht="21.75" customHeight="1" s="32">
      <c r="A1086" s="39" t="inlineStr">
        <is>
          <t>missile_battery</t>
        </is>
      </c>
      <c r="B1086" s="39" t="inlineStr">
        <is>
          <t>Tên lửa Patriot tầm xa</t>
        </is>
      </c>
      <c r="C1086" s="39" t="inlineStr">
        <is>
          <t>Tên</t>
        </is>
      </c>
      <c r="D1086" s="39" t="inlineStr">
        <is>
          <t>Tên lửa Patriot tầm xa</t>
        </is>
      </c>
      <c r="E1086" s="47" t="inlineStr">
        <is>
          <t>Đổi</t>
        </is>
      </c>
      <c r="F1086" s="39" t="inlineStr">
        <is>
          <t>Trạm tên lửa phòng không tầm xa · ngắn: PK tầm xa · EN: Long-range SAM Site</t>
        </is>
      </c>
      <c r="G1086" s="39" t="inlineStr">
        <is>
          <t>Bỏ tên thật "Patriot" khỏi tên thẻ.</t>
        </is>
      </c>
      <c r="H1086" s="49" t="inlineStr">
        <is>
          <t>Thấp</t>
        </is>
      </c>
    </row>
    <row r="1087" ht="15" customHeight="1" s="32">
      <c r="A1087" s="41" t="inlineStr">
        <is>
          <t>missile_battery</t>
        </is>
      </c>
      <c r="B1087" s="41" t="inlineStr">
        <is>
          <t>Tên lửa Patriot tầm xa</t>
        </is>
      </c>
      <c r="C1087" s="41" t="inlineStr">
        <is>
          <t>Ô</t>
        </is>
      </c>
      <c r="D1087" s="41" t="inlineStr">
        <is>
          <t>Lớn</t>
        </is>
      </c>
      <c r="E1087" s="49" t="inlineStr">
        <is>
          <t>Giữ</t>
        </is>
      </c>
      <c r="F1087" s="41" t="n"/>
      <c r="G1087" s="41" t="n"/>
      <c r="H1087" s="41" t="n"/>
    </row>
    <row r="1088" ht="15" customHeight="1" s="32">
      <c r="A1088" s="39" t="inlineStr">
        <is>
          <t>missile_battery</t>
        </is>
      </c>
      <c r="B1088" s="39" t="inlineStr">
        <is>
          <t>Tên lửa Patriot tầm xa</t>
        </is>
      </c>
      <c r="C1088" s="39" t="inlineStr">
        <is>
          <t>Máu</t>
        </is>
      </c>
      <c r="D1088" s="42" t="n">
        <v>4180</v>
      </c>
      <c r="E1088" s="49" t="inlineStr">
        <is>
          <t>Giữ</t>
        </is>
      </c>
      <c r="F1088" s="39" t="n"/>
      <c r="G1088" s="39" t="inlineStr">
        <is>
          <t>0.95 × trung vị máu tháp ô lớn.</t>
        </is>
      </c>
      <c r="H1088" s="39" t="n"/>
    </row>
    <row r="1089" ht="15" customHeight="1" s="32">
      <c r="A1089" s="41" t="inlineStr">
        <is>
          <t>missile_battery</t>
        </is>
      </c>
      <c r="B1089" s="41" t="inlineStr">
        <is>
          <t>Tên lửa Patriot tầm xa</t>
        </is>
      </c>
      <c r="C1089" s="41" t="inlineStr">
        <is>
          <t>Giáp</t>
        </is>
      </c>
      <c r="D1089" s="41" t="inlineStr">
        <is>
          <t>cấp 1 (Mỏng) · công trình</t>
        </is>
      </c>
      <c r="E1089" s="49" t="inlineStr">
        <is>
          <t>Giữ</t>
        </is>
      </c>
      <c r="F1089" s="41" t="n"/>
      <c r="G1089" s="41" t="inlineStr">
        <is>
          <t>Công trình; hợp vai trò.</t>
        </is>
      </c>
      <c r="H1089" s="41" t="n"/>
    </row>
    <row r="1090" ht="15" customHeight="1" s="32">
      <c r="A1090" s="39" t="inlineStr">
        <is>
          <t>missile_battery</t>
        </is>
      </c>
      <c r="B1090" s="39" t="inlineStr">
        <is>
          <t>Tên lửa Patriot tầm xa</t>
        </is>
      </c>
      <c r="C1090" s="39" t="inlineStr">
        <is>
          <t>Kích thước</t>
        </is>
      </c>
      <c r="D1090" s="39" t="inlineStr">
        <is>
          <t>7.0 × 9.1 × 7.3</t>
        </is>
      </c>
      <c r="E1090" s="49" t="inlineStr">
        <is>
          <t>Giữ</t>
        </is>
      </c>
      <c r="F1090" s="39" t="n"/>
      <c r="G1090" s="39" t="inlineStr">
        <is>
          <t>Vừa cỡ ô.</t>
        </is>
      </c>
      <c r="H1090" s="39" t="n"/>
    </row>
    <row r="1091" ht="21.75" customHeight="1" s="32">
      <c r="A1091" s="41" t="inlineStr">
        <is>
          <t>missile_battery</t>
        </is>
      </c>
      <c r="B1091" s="41" t="inlineStr">
        <is>
          <t>Tên lửa Patriot tầm xa</t>
        </is>
      </c>
      <c r="C1091" s="41" t="inlineStr">
        <is>
          <t>Vũ khí: Patriot PAC-2</t>
        </is>
      </c>
      <c r="D1091" s="41" t="inlineStr">
        <is>
          <t>chống máy bay 188 · tốc độ 24 (bay 3,75 s)</t>
        </is>
      </c>
      <c r="E1091" s="47" t="inlineStr">
        <is>
          <t>Đổi</t>
        </is>
      </c>
      <c r="F1091" s="41" t="inlineStr">
        <is>
          <t>chống máy bay 300 · tốc độ 60 (bay 1,5 s)</t>
        </is>
      </c>
      <c r="G1091" s="41" t="inlineStr">
        <is>
          <t>Tháp ô lớn phải mạnh hơn tháp ô nhỏ; tên lửa phải bắt kịp máy bay.</t>
        </is>
      </c>
      <c r="H1091" s="47" t="inlineStr">
        <is>
          <t>Cao</t>
        </is>
      </c>
    </row>
    <row r="1092" ht="15" customHeight="1" s="32">
      <c r="A1092" s="39" t="inlineStr">
        <is>
          <t>missile_battery</t>
        </is>
      </c>
      <c r="B1092" s="39" t="inlineStr">
        <is>
          <t>Tên lửa Patriot tầm xa</t>
        </is>
      </c>
      <c r="C1092" s="39" t="inlineStr">
        <is>
          <t>Nổ khi bị phá</t>
        </is>
      </c>
      <c r="D1092" s="39" t="inlineStr">
        <is>
          <t>12 m</t>
        </is>
      </c>
      <c r="E1092" s="49" t="inlineStr">
        <is>
          <t>Giữ</t>
        </is>
      </c>
      <c r="F1092" s="39" t="n"/>
      <c r="G1092" s="39" t="inlineStr">
        <is>
          <t>Hợp cỡ.</t>
        </is>
      </c>
      <c r="H1092" s="39" t="n"/>
    </row>
    <row r="1093" ht="21.75" customHeight="1" s="32">
      <c r="A1093" s="41" t="inlineStr">
        <is>
          <t>missile_battery.pac3</t>
        </is>
      </c>
      <c r="B1093" s="41" t="inlineStr">
        <is>
          <t>Tên lửa Patriot tầm xa · nhánh PAC-3 đánh chặn</t>
        </is>
      </c>
      <c r="C1093" s="41" t="inlineStr">
        <is>
          <t>Tên</t>
        </is>
      </c>
      <c r="D1093" s="41" t="inlineStr">
        <is>
          <t>Tên lửa Patriot tầm xa · nhánh PAC-3 đánh chặn</t>
        </is>
      </c>
      <c r="E1093" s="49" t="inlineStr">
        <is>
          <t>Giữ</t>
        </is>
      </c>
      <c r="F1093" s="41" t="n"/>
      <c r="G1093" s="41" t="inlineStr">
        <is>
          <t>Tên rõ vai trò.</t>
        </is>
      </c>
      <c r="H1093" s="41" t="n"/>
    </row>
    <row r="1094" ht="21.75" customHeight="1" s="32">
      <c r="A1094" s="39" t="inlineStr">
        <is>
          <t>missile_battery.pac3</t>
        </is>
      </c>
      <c r="B1094" s="39" t="inlineStr">
        <is>
          <t>Tên lửa Patriot tầm xa · nhánh PAC-3 đánh chặn</t>
        </is>
      </c>
      <c r="C1094" s="39" t="inlineStr">
        <is>
          <t>Ô</t>
        </is>
      </c>
      <c r="D1094" s="39" t="inlineStr">
        <is>
          <t>Lớn</t>
        </is>
      </c>
      <c r="E1094" s="49" t="inlineStr">
        <is>
          <t>Giữ</t>
        </is>
      </c>
      <c r="F1094" s="39" t="n"/>
      <c r="G1094" s="39" t="n"/>
      <c r="H1094" s="39" t="n"/>
    </row>
    <row r="1095" ht="21.75" customHeight="1" s="32">
      <c r="A1095" s="41" t="inlineStr">
        <is>
          <t>missile_battery.pac3</t>
        </is>
      </c>
      <c r="B1095" s="41" t="inlineStr">
        <is>
          <t>Tên lửa Patriot tầm xa · nhánh PAC-3 đánh chặn</t>
        </is>
      </c>
      <c r="C1095" s="41" t="inlineStr">
        <is>
          <t>Máu</t>
        </is>
      </c>
      <c r="D1095" s="43" t="n">
        <v>4180</v>
      </c>
      <c r="E1095" s="49" t="inlineStr">
        <is>
          <t>Giữ</t>
        </is>
      </c>
      <c r="F1095" s="41" t="n"/>
      <c r="G1095" s="41" t="inlineStr">
        <is>
          <t>0.95 × trung vị máu tháp ô lớn.</t>
        </is>
      </c>
      <c r="H1095" s="41" t="n"/>
    </row>
    <row r="1096" ht="21.75" customHeight="1" s="32">
      <c r="A1096" s="39" t="inlineStr">
        <is>
          <t>missile_battery.pac3</t>
        </is>
      </c>
      <c r="B1096" s="39" t="inlineStr">
        <is>
          <t>Tên lửa Patriot tầm xa · nhánh PAC-3 đánh chặn</t>
        </is>
      </c>
      <c r="C1096" s="39" t="inlineStr">
        <is>
          <t>Giáp</t>
        </is>
      </c>
      <c r="D1096" s="39" t="inlineStr">
        <is>
          <t>cấp 1 (Mỏng) · công trình</t>
        </is>
      </c>
      <c r="E1096" s="49" t="inlineStr">
        <is>
          <t>Giữ</t>
        </is>
      </c>
      <c r="F1096" s="39" t="n"/>
      <c r="G1096" s="39" t="inlineStr">
        <is>
          <t>Công trình; hợp vai trò.</t>
        </is>
      </c>
      <c r="H1096" s="39" t="n"/>
    </row>
    <row r="1097" ht="21.75" customHeight="1" s="32">
      <c r="A1097" s="41" t="inlineStr">
        <is>
          <t>missile_battery.pac3</t>
        </is>
      </c>
      <c r="B1097" s="41" t="inlineStr">
        <is>
          <t>Tên lửa Patriot tầm xa · nhánh PAC-3 đánh chặn</t>
        </is>
      </c>
      <c r="C1097" s="41" t="inlineStr">
        <is>
          <t>Kích thước</t>
        </is>
      </c>
      <c r="D1097" s="41" t="inlineStr">
        <is>
          <t>7.0 × 9.1 × 7.3</t>
        </is>
      </c>
      <c r="E1097" s="49" t="inlineStr">
        <is>
          <t>Giữ</t>
        </is>
      </c>
      <c r="F1097" s="41" t="n"/>
      <c r="G1097" s="41" t="inlineStr">
        <is>
          <t>Vừa cỡ ô.</t>
        </is>
      </c>
      <c r="H1097" s="41" t="n"/>
    </row>
    <row r="1098" ht="21.75" customHeight="1" s="32">
      <c r="A1098" s="39" t="inlineStr">
        <is>
          <t>missile_battery.pac3</t>
        </is>
      </c>
      <c r="B1098" s="39" t="inlineStr">
        <is>
          <t>Tên lửa Patriot tầm xa · nhánh PAC-3 đánh chặn</t>
        </is>
      </c>
      <c r="C1098" s="39" t="inlineStr">
        <is>
          <t>Vũ khí: PAC-3</t>
        </is>
      </c>
      <c r="D1098" s="39" t="inlineStr">
        <is>
          <t>tốc độ 24</t>
        </is>
      </c>
      <c r="E1098" s="47" t="inlineStr">
        <is>
          <t>Đổi</t>
        </is>
      </c>
      <c r="F1098" s="39" t="inlineStr">
        <is>
          <t>tốc độ 65; đo số tên lửa đòn lớn boss bắn hạ được</t>
        </is>
      </c>
      <c r="G1098" s="39" t="inlineStr">
        <is>
          <t>Tên lửa đánh chặn phải nhanh hơn tên lửa hành trình và đạn đạo.</t>
        </is>
      </c>
      <c r="H1098" s="48" t="inlineStr">
        <is>
          <t>Trung</t>
        </is>
      </c>
    </row>
    <row r="1099" ht="21.75" customHeight="1" s="32">
      <c r="A1099" s="41" t="inlineStr">
        <is>
          <t>missile_battery.pac3</t>
        </is>
      </c>
      <c r="B1099" s="41" t="inlineStr">
        <is>
          <t>Tên lửa Patriot tầm xa · nhánh PAC-3 đánh chặn</t>
        </is>
      </c>
      <c r="C1099" s="41" t="inlineStr">
        <is>
          <t>Nổ khi bị phá</t>
        </is>
      </c>
      <c r="D1099" s="41" t="inlineStr">
        <is>
          <t>12 m</t>
        </is>
      </c>
      <c r="E1099" s="49" t="inlineStr">
        <is>
          <t>Giữ</t>
        </is>
      </c>
      <c r="F1099" s="41" t="n"/>
      <c r="G1099" s="41" t="inlineStr">
        <is>
          <t>Hợp cỡ.</t>
        </is>
      </c>
      <c r="H1099" s="41" t="n"/>
    </row>
    <row r="1100" ht="21.75" customHeight="1" s="32">
      <c r="A1100" s="39" t="inlineStr">
        <is>
          <t>missile_battery.lrr</t>
        </is>
      </c>
      <c r="B1100" s="39" t="inlineStr">
        <is>
          <t>Tên lửa Patriot tầm xa · nhánh Radar tầm xa</t>
        </is>
      </c>
      <c r="C1100" s="39" t="inlineStr">
        <is>
          <t>Tên</t>
        </is>
      </c>
      <c r="D1100" s="39" t="inlineStr">
        <is>
          <t>Tên lửa Patriot tầm xa · nhánh Radar tầm xa</t>
        </is>
      </c>
      <c r="E1100" s="49" t="inlineStr">
        <is>
          <t>Giữ</t>
        </is>
      </c>
      <c r="F1100" s="39" t="n"/>
      <c r="G1100" s="39" t="inlineStr">
        <is>
          <t>Tên rõ vai trò.</t>
        </is>
      </c>
      <c r="H1100" s="39" t="n"/>
    </row>
    <row r="1101" ht="21.75" customHeight="1" s="32">
      <c r="A1101" s="41" t="inlineStr">
        <is>
          <t>missile_battery.lrr</t>
        </is>
      </c>
      <c r="B1101" s="41" t="inlineStr">
        <is>
          <t>Tên lửa Patriot tầm xa · nhánh Radar tầm xa</t>
        </is>
      </c>
      <c r="C1101" s="41" t="inlineStr">
        <is>
          <t>Ô</t>
        </is>
      </c>
      <c r="D1101" s="41" t="inlineStr">
        <is>
          <t>Lớn</t>
        </is>
      </c>
      <c r="E1101" s="49" t="inlineStr">
        <is>
          <t>Giữ</t>
        </is>
      </c>
      <c r="F1101" s="41" t="n"/>
      <c r="G1101" s="41" t="n"/>
      <c r="H1101" s="41" t="n"/>
    </row>
    <row r="1102" ht="21.75" customHeight="1" s="32">
      <c r="A1102" s="39" t="inlineStr">
        <is>
          <t>missile_battery.lrr</t>
        </is>
      </c>
      <c r="B1102" s="39" t="inlineStr">
        <is>
          <t>Tên lửa Patriot tầm xa · nhánh Radar tầm xa</t>
        </is>
      </c>
      <c r="C1102" s="39" t="inlineStr">
        <is>
          <t>Máu</t>
        </is>
      </c>
      <c r="D1102" s="42" t="n">
        <v>4180</v>
      </c>
      <c r="E1102" s="49" t="inlineStr">
        <is>
          <t>Giữ</t>
        </is>
      </c>
      <c r="F1102" s="39" t="n"/>
      <c r="G1102" s="39" t="inlineStr">
        <is>
          <t>0.95 × trung vị máu tháp ô lớn.</t>
        </is>
      </c>
      <c r="H1102" s="39" t="n"/>
    </row>
    <row r="1103" ht="21.75" customHeight="1" s="32">
      <c r="A1103" s="41" t="inlineStr">
        <is>
          <t>missile_battery.lrr</t>
        </is>
      </c>
      <c r="B1103" s="41" t="inlineStr">
        <is>
          <t>Tên lửa Patriot tầm xa · nhánh Radar tầm xa</t>
        </is>
      </c>
      <c r="C1103" s="41" t="inlineStr">
        <is>
          <t>Giáp</t>
        </is>
      </c>
      <c r="D1103" s="41" t="inlineStr">
        <is>
          <t>cấp 1 (Mỏng) · công trình</t>
        </is>
      </c>
      <c r="E1103" s="49" t="inlineStr">
        <is>
          <t>Giữ</t>
        </is>
      </c>
      <c r="F1103" s="41" t="n"/>
      <c r="G1103" s="41" t="inlineStr">
        <is>
          <t>Công trình; hợp vai trò.</t>
        </is>
      </c>
      <c r="H1103" s="41" t="n"/>
    </row>
    <row r="1104" ht="21.75" customHeight="1" s="32">
      <c r="A1104" s="39" t="inlineStr">
        <is>
          <t>missile_battery.lrr</t>
        </is>
      </c>
      <c r="B1104" s="39" t="inlineStr">
        <is>
          <t>Tên lửa Patriot tầm xa · nhánh Radar tầm xa</t>
        </is>
      </c>
      <c r="C1104" s="39" t="inlineStr">
        <is>
          <t>Kích thước</t>
        </is>
      </c>
      <c r="D1104" s="39" t="inlineStr">
        <is>
          <t>7.0 × 9.1 × 7.3</t>
        </is>
      </c>
      <c r="E1104" s="49" t="inlineStr">
        <is>
          <t>Giữ</t>
        </is>
      </c>
      <c r="F1104" s="39" t="n"/>
      <c r="G1104" s="39" t="inlineStr">
        <is>
          <t>Vừa cỡ ô.</t>
        </is>
      </c>
      <c r="H1104" s="39" t="n"/>
    </row>
    <row r="1105" ht="21.75" customHeight="1" s="32">
      <c r="A1105" s="41" t="inlineStr">
        <is>
          <t>missile_battery.lrr</t>
        </is>
      </c>
      <c r="B1105" s="41" t="inlineStr">
        <is>
          <t>Tên lửa Patriot tầm xa · nhánh Radar tầm xa</t>
        </is>
      </c>
      <c r="C1105" s="41" t="inlineStr">
        <is>
          <t>Vũ khí</t>
        </is>
      </c>
      <c r="D1105" s="41" t="inlineStr">
        <is>
          <t>chống máy bay 186 · tầm 100</t>
        </is>
      </c>
      <c r="E1105" s="47" t="inlineStr">
        <is>
          <t>Đổi</t>
        </is>
      </c>
      <c r="F1105" s="41" t="inlineStr">
        <is>
          <t>chống máy bay 260</t>
        </is>
      </c>
      <c r="G1105" s="41" t="inlineStr">
        <is>
          <t>Nhánh chống máy bay phải mạnh hơn nhánh đánh chặn ở vai trò chống máy bay.</t>
        </is>
      </c>
      <c r="H1105" s="48" t="inlineStr">
        <is>
          <t>Trung</t>
        </is>
      </c>
    </row>
    <row r="1106" ht="21.75" customHeight="1" s="32">
      <c r="A1106" s="39" t="inlineStr">
        <is>
          <t>missile_battery.lrr</t>
        </is>
      </c>
      <c r="B1106" s="39" t="inlineStr">
        <is>
          <t>Tên lửa Patriot tầm xa · nhánh Radar tầm xa</t>
        </is>
      </c>
      <c r="C1106" s="39" t="inlineStr">
        <is>
          <t>Nổ khi bị phá</t>
        </is>
      </c>
      <c r="D1106" s="39" t="inlineStr">
        <is>
          <t>12 m</t>
        </is>
      </c>
      <c r="E1106" s="49" t="inlineStr">
        <is>
          <t>Giữ</t>
        </is>
      </c>
      <c r="F1106" s="39" t="n"/>
      <c r="G1106" s="39" t="inlineStr">
        <is>
          <t>Hợp cỡ.</t>
        </is>
      </c>
      <c r="H1106" s="39" t="n"/>
    </row>
    <row r="1107" ht="15" customHeight="1" s="32">
      <c r="A1107" s="41" t="inlineStr">
        <is>
          <t>shield_tower</t>
        </is>
      </c>
      <c r="B1107" s="41" t="inlineStr">
        <is>
          <t>Máy phát khiên</t>
        </is>
      </c>
      <c r="C1107" s="41" t="inlineStr">
        <is>
          <t>Tên</t>
        </is>
      </c>
      <c r="D1107" s="41" t="inlineStr">
        <is>
          <t>Máy phát khiên</t>
        </is>
      </c>
      <c r="E1107" s="49" t="inlineStr">
        <is>
          <t>Giữ</t>
        </is>
      </c>
      <c r="F1107" s="41" t="n"/>
      <c r="G1107" s="41" t="inlineStr">
        <is>
          <t>Tên rõ vai trò.</t>
        </is>
      </c>
      <c r="H1107" s="41" t="n"/>
    </row>
    <row r="1108" ht="15" customHeight="1" s="32">
      <c r="A1108" s="39" t="inlineStr">
        <is>
          <t>shield_tower</t>
        </is>
      </c>
      <c r="B1108" s="39" t="inlineStr">
        <is>
          <t>Máy phát khiên</t>
        </is>
      </c>
      <c r="C1108" s="39" t="inlineStr">
        <is>
          <t>Ô</t>
        </is>
      </c>
      <c r="D1108" s="39" t="inlineStr">
        <is>
          <t>Lớn</t>
        </is>
      </c>
      <c r="E1108" s="49" t="inlineStr">
        <is>
          <t>Giữ</t>
        </is>
      </c>
      <c r="F1108" s="39" t="n"/>
      <c r="G1108" s="39" t="n"/>
      <c r="H1108" s="39" t="n"/>
    </row>
    <row r="1109" ht="15" customHeight="1" s="32">
      <c r="A1109" s="41" t="inlineStr">
        <is>
          <t>shield_tower</t>
        </is>
      </c>
      <c r="B1109" s="41" t="inlineStr">
        <is>
          <t>Máy phát khiên</t>
        </is>
      </c>
      <c r="C1109" s="41" t="inlineStr">
        <is>
          <t>Máu</t>
        </is>
      </c>
      <c r="D1109" s="43" t="n">
        <v>4400</v>
      </c>
      <c r="E1109" s="49" t="inlineStr">
        <is>
          <t>Giữ</t>
        </is>
      </c>
      <c r="F1109" s="41" t="n"/>
      <c r="G1109" s="41" t="inlineStr">
        <is>
          <t>1.00 × trung vị máu tháp ô lớn.</t>
        </is>
      </c>
      <c r="H1109" s="41" t="n"/>
    </row>
    <row r="1110" ht="15" customHeight="1" s="32">
      <c r="A1110" s="39" t="inlineStr">
        <is>
          <t>shield_tower</t>
        </is>
      </c>
      <c r="B1110" s="39" t="inlineStr">
        <is>
          <t>Máy phát khiên</t>
        </is>
      </c>
      <c r="C1110" s="39" t="inlineStr">
        <is>
          <t>Giáp</t>
        </is>
      </c>
      <c r="D1110" s="39" t="inlineStr">
        <is>
          <t>cấp 2 (Vừa) · công trình</t>
        </is>
      </c>
      <c r="E1110" s="49" t="inlineStr">
        <is>
          <t>Giữ</t>
        </is>
      </c>
      <c r="F1110" s="39" t="n"/>
      <c r="G1110" s="39" t="inlineStr">
        <is>
          <t>Công trình; hợp vai trò.</t>
        </is>
      </c>
      <c r="H1110" s="39" t="n"/>
    </row>
    <row r="1111" ht="15" customHeight="1" s="32">
      <c r="A1111" s="41" t="inlineStr">
        <is>
          <t>shield_tower</t>
        </is>
      </c>
      <c r="B1111" s="41" t="inlineStr">
        <is>
          <t>Máy phát khiên</t>
        </is>
      </c>
      <c r="C1111" s="41" t="inlineStr">
        <is>
          <t>Kích thước</t>
        </is>
      </c>
      <c r="D1111" s="41" t="inlineStr">
        <is>
          <t>7.2 × 7.2 × 9.2</t>
        </is>
      </c>
      <c r="E1111" s="49" t="inlineStr">
        <is>
          <t>Giữ</t>
        </is>
      </c>
      <c r="F1111" s="41" t="n"/>
      <c r="G1111" s="41" t="inlineStr">
        <is>
          <t>Vừa cỡ ô.</t>
        </is>
      </c>
      <c r="H1111" s="41" t="n"/>
    </row>
    <row r="1112" ht="15" customHeight="1" s="32">
      <c r="A1112" s="39" t="inlineStr">
        <is>
          <t>shield_tower</t>
        </is>
      </c>
      <c r="B1112" s="39" t="inlineStr">
        <is>
          <t>Máy phát khiên</t>
        </is>
      </c>
      <c r="C1112" s="39" t="inlineStr">
        <is>
          <t>Vũ khí / DPS</t>
        </is>
      </c>
      <c r="D1112" s="39" t="inlineStr">
        <is>
          <t>0/0/0</t>
        </is>
      </c>
      <c r="E1112" s="49" t="inlineStr">
        <is>
          <t>Giữ</t>
        </is>
      </c>
      <c r="F1112" s="39" t="n"/>
      <c r="G1112" s="39" t="inlineStr">
        <is>
          <t>Trong khoảng mục tiêu của cỡ ô.</t>
        </is>
      </c>
      <c r="H1112" s="39" t="n"/>
    </row>
    <row r="1113" ht="15" customHeight="1" s="32">
      <c r="A1113" s="41" t="inlineStr">
        <is>
          <t>shield_tower</t>
        </is>
      </c>
      <c r="B1113" s="41" t="inlineStr">
        <is>
          <t>Máy phát khiên</t>
        </is>
      </c>
      <c r="C1113" s="41" t="inlineStr">
        <is>
          <t>Nổ khi bị phá</t>
        </is>
      </c>
      <c r="D1113" s="41" t="inlineStr">
        <is>
          <t>9 m</t>
        </is>
      </c>
      <c r="E1113" s="49" t="inlineStr">
        <is>
          <t>Giữ</t>
        </is>
      </c>
      <c r="F1113" s="41" t="n"/>
      <c r="G1113" s="41" t="inlineStr">
        <is>
          <t>Hợp cỡ.</t>
        </is>
      </c>
      <c r="H1113" s="41" t="n"/>
    </row>
    <row r="1114" ht="15" customHeight="1" s="32">
      <c r="A1114" s="39" t="inlineStr">
        <is>
          <t>shield_tower.bulwark</t>
        </is>
      </c>
      <c r="B1114" s="39" t="inlineStr">
        <is>
          <t>Máy phát khiên · nhánh Vòm khiên</t>
        </is>
      </c>
      <c r="C1114" s="39" t="inlineStr">
        <is>
          <t>Tên</t>
        </is>
      </c>
      <c r="D1114" s="39" t="inlineStr">
        <is>
          <t>Máy phát khiên · nhánh Vòm khiên</t>
        </is>
      </c>
      <c r="E1114" s="49" t="inlineStr">
        <is>
          <t>Giữ</t>
        </is>
      </c>
      <c r="F1114" s="39" t="n"/>
      <c r="G1114" s="39" t="inlineStr">
        <is>
          <t>Tên rõ vai trò.</t>
        </is>
      </c>
      <c r="H1114" s="39" t="n"/>
    </row>
    <row r="1115" ht="15" customHeight="1" s="32">
      <c r="A1115" s="41" t="inlineStr">
        <is>
          <t>shield_tower.bulwark</t>
        </is>
      </c>
      <c r="B1115" s="41" t="inlineStr">
        <is>
          <t>Máy phát khiên · nhánh Vòm khiên</t>
        </is>
      </c>
      <c r="C1115" s="41" t="inlineStr">
        <is>
          <t>Ô</t>
        </is>
      </c>
      <c r="D1115" s="41" t="inlineStr">
        <is>
          <t>Lớn</t>
        </is>
      </c>
      <c r="E1115" s="49" t="inlineStr">
        <is>
          <t>Giữ</t>
        </is>
      </c>
      <c r="F1115" s="41" t="n"/>
      <c r="G1115" s="41" t="n"/>
      <c r="H1115" s="41" t="n"/>
    </row>
    <row r="1116" ht="15" customHeight="1" s="32">
      <c r="A1116" s="39" t="inlineStr">
        <is>
          <t>shield_tower.bulwark</t>
        </is>
      </c>
      <c r="B1116" s="39" t="inlineStr">
        <is>
          <t>Máy phát khiên · nhánh Vòm khiên</t>
        </is>
      </c>
      <c r="C1116" s="39" t="inlineStr">
        <is>
          <t>Máu</t>
        </is>
      </c>
      <c r="D1116" s="42" t="n">
        <v>4400</v>
      </c>
      <c r="E1116" s="49" t="inlineStr">
        <is>
          <t>Giữ</t>
        </is>
      </c>
      <c r="F1116" s="39" t="n"/>
      <c r="G1116" s="39" t="inlineStr">
        <is>
          <t>1.00 × trung vị máu tháp ô lớn.</t>
        </is>
      </c>
      <c r="H1116" s="39" t="n"/>
    </row>
    <row r="1117" ht="15" customHeight="1" s="32">
      <c r="A1117" s="41" t="inlineStr">
        <is>
          <t>shield_tower.bulwark</t>
        </is>
      </c>
      <c r="B1117" s="41" t="inlineStr">
        <is>
          <t>Máy phát khiên · nhánh Vòm khiên</t>
        </is>
      </c>
      <c r="C1117" s="41" t="inlineStr">
        <is>
          <t>Giáp</t>
        </is>
      </c>
      <c r="D1117" s="41" t="inlineStr">
        <is>
          <t>cấp 2 (Vừa) · công trình</t>
        </is>
      </c>
      <c r="E1117" s="49" t="inlineStr">
        <is>
          <t>Giữ</t>
        </is>
      </c>
      <c r="F1117" s="41" t="n"/>
      <c r="G1117" s="41" t="inlineStr">
        <is>
          <t>Công trình; hợp vai trò.</t>
        </is>
      </c>
      <c r="H1117" s="41" t="n"/>
    </row>
    <row r="1118" ht="15" customHeight="1" s="32">
      <c r="A1118" s="39" t="inlineStr">
        <is>
          <t>shield_tower.bulwark</t>
        </is>
      </c>
      <c r="B1118" s="39" t="inlineStr">
        <is>
          <t>Máy phát khiên · nhánh Vòm khiên</t>
        </is>
      </c>
      <c r="C1118" s="39" t="inlineStr">
        <is>
          <t>Kích thước</t>
        </is>
      </c>
      <c r="D1118" s="39" t="inlineStr">
        <is>
          <t>7.2 × 7.2 × 9.2</t>
        </is>
      </c>
      <c r="E1118" s="49" t="inlineStr">
        <is>
          <t>Giữ</t>
        </is>
      </c>
      <c r="F1118" s="39" t="n"/>
      <c r="G1118" s="39" t="inlineStr">
        <is>
          <t>Vừa cỡ ô.</t>
        </is>
      </c>
      <c r="H1118" s="39" t="n"/>
    </row>
    <row r="1119" ht="15" customHeight="1" s="32">
      <c r="A1119" s="41" t="inlineStr">
        <is>
          <t>shield_tower.bulwark</t>
        </is>
      </c>
      <c r="B1119" s="41" t="inlineStr">
        <is>
          <t>Máy phát khiên · nhánh Vòm khiên</t>
        </is>
      </c>
      <c r="C1119" s="41" t="inlineStr">
        <is>
          <t>Vũ khí / DPS</t>
        </is>
      </c>
      <c r="D1119" s="41" t="inlineStr">
        <is>
          <t>0/0/0</t>
        </is>
      </c>
      <c r="E1119" s="49" t="inlineStr">
        <is>
          <t>Giữ</t>
        </is>
      </c>
      <c r="F1119" s="41" t="n"/>
      <c r="G1119" s="41" t="inlineStr">
        <is>
          <t>Trong khoảng mục tiêu của cỡ ô.</t>
        </is>
      </c>
      <c r="H1119" s="41" t="n"/>
    </row>
    <row r="1120" ht="15" customHeight="1" s="32">
      <c r="A1120" s="39" t="inlineStr">
        <is>
          <t>shield_tower.bulwark</t>
        </is>
      </c>
      <c r="B1120" s="39" t="inlineStr">
        <is>
          <t>Máy phát khiên · nhánh Vòm khiên</t>
        </is>
      </c>
      <c r="C1120" s="39" t="inlineStr">
        <is>
          <t>Nổ khi bị phá</t>
        </is>
      </c>
      <c r="D1120" s="39" t="inlineStr">
        <is>
          <t>9 m</t>
        </is>
      </c>
      <c r="E1120" s="49" t="inlineStr">
        <is>
          <t>Giữ</t>
        </is>
      </c>
      <c r="F1120" s="39" t="n"/>
      <c r="G1120" s="39" t="inlineStr">
        <is>
          <t>Hợp cỡ.</t>
        </is>
      </c>
      <c r="H1120" s="39" t="n"/>
    </row>
    <row r="1121" ht="15" customHeight="1" s="32">
      <c r="A1121" s="41" t="inlineStr">
        <is>
          <t>shield_tower.ward</t>
        </is>
      </c>
      <c r="B1121" s="41" t="inlineStr">
        <is>
          <t>Máy phát khiên · nhánh Lá chắn tháp</t>
        </is>
      </c>
      <c r="C1121" s="41" t="inlineStr">
        <is>
          <t>Tên</t>
        </is>
      </c>
      <c r="D1121" s="41" t="inlineStr">
        <is>
          <t>Máy phát khiên · nhánh Lá chắn tháp</t>
        </is>
      </c>
      <c r="E1121" s="49" t="inlineStr">
        <is>
          <t>Giữ</t>
        </is>
      </c>
      <c r="F1121" s="41" t="n"/>
      <c r="G1121" s="41" t="inlineStr">
        <is>
          <t>Tên rõ vai trò.</t>
        </is>
      </c>
      <c r="H1121" s="41" t="n"/>
    </row>
    <row r="1122" ht="15" customHeight="1" s="32">
      <c r="A1122" s="39" t="inlineStr">
        <is>
          <t>shield_tower.ward</t>
        </is>
      </c>
      <c r="B1122" s="39" t="inlineStr">
        <is>
          <t>Máy phát khiên · nhánh Lá chắn tháp</t>
        </is>
      </c>
      <c r="C1122" s="39" t="inlineStr">
        <is>
          <t>Ô</t>
        </is>
      </c>
      <c r="D1122" s="39" t="inlineStr">
        <is>
          <t>Lớn</t>
        </is>
      </c>
      <c r="E1122" s="49" t="inlineStr">
        <is>
          <t>Giữ</t>
        </is>
      </c>
      <c r="F1122" s="39" t="n"/>
      <c r="G1122" s="39" t="n"/>
      <c r="H1122" s="39" t="n"/>
    </row>
    <row r="1123" ht="15" customHeight="1" s="32">
      <c r="A1123" s="41" t="inlineStr">
        <is>
          <t>shield_tower.ward</t>
        </is>
      </c>
      <c r="B1123" s="41" t="inlineStr">
        <is>
          <t>Máy phát khiên · nhánh Lá chắn tháp</t>
        </is>
      </c>
      <c r="C1123" s="41" t="inlineStr">
        <is>
          <t>Máu</t>
        </is>
      </c>
      <c r="D1123" s="43" t="n">
        <v>4400</v>
      </c>
      <c r="E1123" s="49" t="inlineStr">
        <is>
          <t>Giữ</t>
        </is>
      </c>
      <c r="F1123" s="41" t="n"/>
      <c r="G1123" s="41" t="inlineStr">
        <is>
          <t>1.00 × trung vị máu tháp ô lớn.</t>
        </is>
      </c>
      <c r="H1123" s="41" t="n"/>
    </row>
    <row r="1124" ht="15" customHeight="1" s="32">
      <c r="A1124" s="39" t="inlineStr">
        <is>
          <t>shield_tower.ward</t>
        </is>
      </c>
      <c r="B1124" s="39" t="inlineStr">
        <is>
          <t>Máy phát khiên · nhánh Lá chắn tháp</t>
        </is>
      </c>
      <c r="C1124" s="39" t="inlineStr">
        <is>
          <t>Giáp</t>
        </is>
      </c>
      <c r="D1124" s="39" t="inlineStr">
        <is>
          <t>cấp 2 (Vừa) · công trình</t>
        </is>
      </c>
      <c r="E1124" s="49" t="inlineStr">
        <is>
          <t>Giữ</t>
        </is>
      </c>
      <c r="F1124" s="39" t="n"/>
      <c r="G1124" s="39" t="inlineStr">
        <is>
          <t>Công trình; hợp vai trò.</t>
        </is>
      </c>
      <c r="H1124" s="39" t="n"/>
    </row>
    <row r="1125" ht="15" customHeight="1" s="32">
      <c r="A1125" s="41" t="inlineStr">
        <is>
          <t>shield_tower.ward</t>
        </is>
      </c>
      <c r="B1125" s="41" t="inlineStr">
        <is>
          <t>Máy phát khiên · nhánh Lá chắn tháp</t>
        </is>
      </c>
      <c r="C1125" s="41" t="inlineStr">
        <is>
          <t>Kích thước</t>
        </is>
      </c>
      <c r="D1125" s="41" t="inlineStr">
        <is>
          <t>7.2 × 7.2 × 9.2</t>
        </is>
      </c>
      <c r="E1125" s="49" t="inlineStr">
        <is>
          <t>Giữ</t>
        </is>
      </c>
      <c r="F1125" s="41" t="n"/>
      <c r="G1125" s="41" t="inlineStr">
        <is>
          <t>Vừa cỡ ô.</t>
        </is>
      </c>
      <c r="H1125" s="41" t="n"/>
    </row>
    <row r="1126" ht="15" customHeight="1" s="32">
      <c r="A1126" s="39" t="inlineStr">
        <is>
          <t>shield_tower.ward</t>
        </is>
      </c>
      <c r="B1126" s="39" t="inlineStr">
        <is>
          <t>Máy phát khiên · nhánh Lá chắn tháp</t>
        </is>
      </c>
      <c r="C1126" s="39" t="inlineStr">
        <is>
          <t>Vũ khí / DPS</t>
        </is>
      </c>
      <c r="D1126" s="39" t="inlineStr">
        <is>
          <t>0/0/0</t>
        </is>
      </c>
      <c r="E1126" s="49" t="inlineStr">
        <is>
          <t>Giữ</t>
        </is>
      </c>
      <c r="F1126" s="39" t="n"/>
      <c r="G1126" s="39" t="inlineStr">
        <is>
          <t>Trong khoảng mục tiêu của cỡ ô.</t>
        </is>
      </c>
      <c r="H1126" s="39" t="n"/>
    </row>
    <row r="1127" ht="15" customHeight="1" s="32">
      <c r="A1127" s="41" t="inlineStr">
        <is>
          <t>shield_tower.ward</t>
        </is>
      </c>
      <c r="B1127" s="41" t="inlineStr">
        <is>
          <t>Máy phát khiên · nhánh Lá chắn tháp</t>
        </is>
      </c>
      <c r="C1127" s="41" t="inlineStr">
        <is>
          <t>Nổ khi bị phá</t>
        </is>
      </c>
      <c r="D1127" s="41" t="inlineStr">
        <is>
          <t>9 m</t>
        </is>
      </c>
      <c r="E1127" s="49" t="inlineStr">
        <is>
          <t>Giữ</t>
        </is>
      </c>
      <c r="F1127" s="41" t="n"/>
      <c r="G1127" s="41" t="inlineStr">
        <is>
          <t>Hợp cỡ.</t>
        </is>
      </c>
      <c r="H1127" s="41" t="n"/>
    </row>
    <row r="1128" ht="15" customHeight="1" s="32">
      <c r="A1128" s="39" t="inlineStr">
        <is>
          <t>bulwark_post</t>
        </is>
      </c>
      <c r="B1128" s="39" t="inlineStr">
        <is>
          <t>Ụ súng tạm</t>
        </is>
      </c>
      <c r="C1128" s="39" t="inlineStr">
        <is>
          <t>Tên</t>
        </is>
      </c>
      <c r="D1128" s="39" t="inlineStr">
        <is>
          <t>Ụ súng tạm</t>
        </is>
      </c>
      <c r="E1128" s="47" t="inlineStr">
        <is>
          <t>Đổi</t>
        </is>
      </c>
      <c r="F1128" s="39" t="inlineStr">
        <is>
          <t>Ụ súng dã chiến · ngắn: Ụ súng · EN: Field Gun Post</t>
        </is>
      </c>
      <c r="G1128" s="39" t="inlineStr">
        <is>
          <t>"Tạm" nghe như lỗi.</t>
        </is>
      </c>
      <c r="H1128" s="49" t="inlineStr">
        <is>
          <t>Thấp</t>
        </is>
      </c>
    </row>
    <row r="1129" ht="15" customHeight="1" s="32">
      <c r="A1129" s="41" t="inlineStr">
        <is>
          <t>bulwark_post</t>
        </is>
      </c>
      <c r="B1129" s="41" t="inlineStr">
        <is>
          <t>Ụ súng tạm</t>
        </is>
      </c>
      <c r="C1129" s="41" t="inlineStr">
        <is>
          <t>Ô</t>
        </is>
      </c>
      <c r="D1129" s="41" t="inlineStr">
        <is>
          <t>Khác</t>
        </is>
      </c>
      <c r="E1129" s="49" t="inlineStr">
        <is>
          <t>Giữ</t>
        </is>
      </c>
      <c r="F1129" s="41" t="n"/>
      <c r="G1129" s="41" t="n"/>
      <c r="H1129" s="41" t="n"/>
    </row>
    <row r="1130" ht="15" customHeight="1" s="32">
      <c r="A1130" s="39" t="inlineStr">
        <is>
          <t>bulwark_post</t>
        </is>
      </c>
      <c r="B1130" s="39" t="inlineStr">
        <is>
          <t>Ụ súng tạm</t>
        </is>
      </c>
      <c r="C1130" s="39" t="inlineStr">
        <is>
          <t>Máu</t>
        </is>
      </c>
      <c r="D1130" s="42" t="n">
        <v>1100</v>
      </c>
      <c r="E1130" s="49" t="inlineStr">
        <is>
          <t>Giữ</t>
        </is>
      </c>
      <c r="F1130" s="39" t="n"/>
      <c r="G1130" s="39" t="inlineStr">
        <is>
          <t>Chướng ngại, sở chỉ huy hoặc công trình nhiệm vụ: máu theo vai trò riêng.</t>
        </is>
      </c>
      <c r="H1130" s="39" t="n"/>
    </row>
    <row r="1131" ht="15" customHeight="1" s="32">
      <c r="A1131" s="41" t="inlineStr">
        <is>
          <t>bulwark_post</t>
        </is>
      </c>
      <c r="B1131" s="41" t="inlineStr">
        <is>
          <t>Ụ súng tạm</t>
        </is>
      </c>
      <c r="C1131" s="41" t="inlineStr">
        <is>
          <t>Giáp</t>
        </is>
      </c>
      <c r="D1131" s="41" t="inlineStr">
        <is>
          <t>cấp 1 (Mỏng) · công trình</t>
        </is>
      </c>
      <c r="E1131" s="49" t="inlineStr">
        <is>
          <t>Giữ</t>
        </is>
      </c>
      <c r="F1131" s="41" t="n"/>
      <c r="G1131" s="41" t="inlineStr">
        <is>
          <t>Công trình; hợp vai trò.</t>
        </is>
      </c>
      <c r="H1131" s="41" t="n"/>
    </row>
    <row r="1132" ht="15" customHeight="1" s="32">
      <c r="A1132" s="39" t="inlineStr">
        <is>
          <t>bulwark_post</t>
        </is>
      </c>
      <c r="B1132" s="39" t="inlineStr">
        <is>
          <t>Ụ súng tạm</t>
        </is>
      </c>
      <c r="C1132" s="39" t="inlineStr">
        <is>
          <t>Kích thước</t>
        </is>
      </c>
      <c r="D1132" s="39" t="inlineStr">
        <is>
          <t>3.5 × 3.5 × 2.7</t>
        </is>
      </c>
      <c r="E1132" s="49" t="inlineStr">
        <is>
          <t>Giữ</t>
        </is>
      </c>
      <c r="F1132" s="39" t="n"/>
      <c r="G1132" s="39" t="inlineStr">
        <is>
          <t>Vừa cỡ ô.</t>
        </is>
      </c>
      <c r="H1132" s="39" t="n"/>
    </row>
    <row r="1133" ht="15" customHeight="1" s="32">
      <c r="A1133" s="41" t="inlineStr">
        <is>
          <t>bulwark_post</t>
        </is>
      </c>
      <c r="B1133" s="41" t="inlineStr">
        <is>
          <t>Ụ súng tạm</t>
        </is>
      </c>
      <c r="C1133" s="41" t="inlineStr">
        <is>
          <t>Vũ khí / DPS</t>
        </is>
      </c>
      <c r="D1133" s="41" t="inlineStr">
        <is>
          <t>102/30/36</t>
        </is>
      </c>
      <c r="E1133" s="49" t="inlineStr">
        <is>
          <t>Giữ</t>
        </is>
      </c>
      <c r="F1133" s="41" t="n"/>
      <c r="G1133" s="41" t="inlineStr">
        <is>
          <t>Trong khoảng mục tiêu của cỡ ô.</t>
        </is>
      </c>
      <c r="H1133" s="41" t="n"/>
    </row>
    <row r="1134" ht="15" customHeight="1" s="32">
      <c r="A1134" s="39" t="inlineStr">
        <is>
          <t>bulwark_post</t>
        </is>
      </c>
      <c r="B1134" s="39" t="inlineStr">
        <is>
          <t>Ụ súng tạm</t>
        </is>
      </c>
      <c r="C1134" s="39" t="inlineStr">
        <is>
          <t>Nổ khi bị phá</t>
        </is>
      </c>
      <c r="D1134" s="39" t="inlineStr">
        <is>
          <t>4 m</t>
        </is>
      </c>
      <c r="E1134" s="49" t="inlineStr">
        <is>
          <t>Giữ</t>
        </is>
      </c>
      <c r="F1134" s="39" t="n"/>
      <c r="G1134" s="39" t="inlineStr">
        <is>
          <t>Hợp cỡ.</t>
        </is>
      </c>
      <c r="H1134" s="39" t="n"/>
    </row>
    <row r="1135" ht="15" customHeight="1" s="32">
      <c r="A1135" s="41" t="inlineStr">
        <is>
          <t>coastal_battery</t>
        </is>
      </c>
      <c r="B1135" s="41" t="inlineStr">
        <is>
          <t>Trận địa pháo bờ biển</t>
        </is>
      </c>
      <c r="C1135" s="41" t="inlineStr">
        <is>
          <t>Tên</t>
        </is>
      </c>
      <c r="D1135" s="41" t="inlineStr">
        <is>
          <t>Trận địa pháo bờ biển</t>
        </is>
      </c>
      <c r="E1135" s="49" t="inlineStr">
        <is>
          <t>Giữ</t>
        </is>
      </c>
      <c r="F1135" s="41" t="n"/>
      <c r="G1135" s="41" t="inlineStr">
        <is>
          <t>Tên rõ vai trò.</t>
        </is>
      </c>
      <c r="H1135" s="41" t="n"/>
    </row>
    <row r="1136" ht="15" customHeight="1" s="32">
      <c r="A1136" s="39" t="inlineStr">
        <is>
          <t>coastal_battery</t>
        </is>
      </c>
      <c r="B1136" s="39" t="inlineStr">
        <is>
          <t>Trận địa pháo bờ biển</t>
        </is>
      </c>
      <c r="C1136" s="39" t="inlineStr">
        <is>
          <t>Ô</t>
        </is>
      </c>
      <c r="D1136" s="39" t="inlineStr">
        <is>
          <t>Khác</t>
        </is>
      </c>
      <c r="E1136" s="49" t="inlineStr">
        <is>
          <t>Giữ</t>
        </is>
      </c>
      <c r="F1136" s="39" t="n"/>
      <c r="G1136" s="39" t="n"/>
      <c r="H1136" s="39" t="n"/>
    </row>
    <row r="1137" ht="15" customHeight="1" s="32">
      <c r="A1137" s="41" t="inlineStr">
        <is>
          <t>coastal_battery</t>
        </is>
      </c>
      <c r="B1137" s="41" t="inlineStr">
        <is>
          <t>Trận địa pháo bờ biển</t>
        </is>
      </c>
      <c r="C1137" s="41" t="inlineStr">
        <is>
          <t>Máu</t>
        </is>
      </c>
      <c r="D1137" s="43" t="n">
        <v>6600</v>
      </c>
      <c r="E1137" s="49" t="inlineStr">
        <is>
          <t>Giữ</t>
        </is>
      </c>
      <c r="F1137" s="41" t="n"/>
      <c r="G1137" s="41" t="inlineStr">
        <is>
          <t>1.88 × trung vị máu tháp ô khác.</t>
        </is>
      </c>
      <c r="H1137" s="41" t="n"/>
    </row>
    <row r="1138" ht="15" customHeight="1" s="32">
      <c r="A1138" s="39" t="inlineStr">
        <is>
          <t>coastal_battery</t>
        </is>
      </c>
      <c r="B1138" s="39" t="inlineStr">
        <is>
          <t>Trận địa pháo bờ biển</t>
        </is>
      </c>
      <c r="C1138" s="39" t="inlineStr">
        <is>
          <t>Giáp</t>
        </is>
      </c>
      <c r="D1138" s="39" t="inlineStr">
        <is>
          <t>4/3/3/3</t>
        </is>
      </c>
      <c r="E1138" s="49" t="inlineStr">
        <is>
          <t>Giữ</t>
        </is>
      </c>
      <c r="F1138" s="39" t="n"/>
      <c r="G1138" s="39" t="inlineStr">
        <is>
          <t>Công trình; hợp vai trò.</t>
        </is>
      </c>
      <c r="H1138" s="39" t="n"/>
    </row>
    <row r="1139" ht="15" customHeight="1" s="32">
      <c r="A1139" s="41" t="inlineStr">
        <is>
          <t>coastal_battery</t>
        </is>
      </c>
      <c r="B1139" s="41" t="inlineStr">
        <is>
          <t>Trận địa pháo bờ biển</t>
        </is>
      </c>
      <c r="C1139" s="41" t="inlineStr">
        <is>
          <t>Kích thước</t>
        </is>
      </c>
      <c r="D1139" s="41" t="inlineStr">
        <is>
          <t>10.3 × 8.0 × 6.1</t>
        </is>
      </c>
      <c r="E1139" s="49" t="inlineStr">
        <is>
          <t>Giữ</t>
        </is>
      </c>
      <c r="F1139" s="41" t="n"/>
      <c r="G1139" s="41" t="inlineStr">
        <is>
          <t>Vừa cỡ ô.</t>
        </is>
      </c>
      <c r="H1139" s="41" t="n"/>
    </row>
    <row r="1140" ht="15" customHeight="1" s="32">
      <c r="A1140" s="39" t="inlineStr">
        <is>
          <t>coastal_battery</t>
        </is>
      </c>
      <c r="B1140" s="39" t="inlineStr">
        <is>
          <t>Trận địa pháo bờ biển</t>
        </is>
      </c>
      <c r="C1140" s="39" t="inlineStr">
        <is>
          <t>Vũ khí / DPS</t>
        </is>
      </c>
      <c r="D1140" s="39" t="inlineStr">
        <is>
          <t>87/62/0</t>
        </is>
      </c>
      <c r="E1140" s="49" t="inlineStr">
        <is>
          <t>Giữ</t>
        </is>
      </c>
      <c r="F1140" s="39" t="n"/>
      <c r="G1140" s="39" t="inlineStr">
        <is>
          <t>Trong khoảng mục tiêu của cỡ ô.</t>
        </is>
      </c>
      <c r="H1140" s="39" t="n"/>
    </row>
    <row r="1141" ht="15" customHeight="1" s="32">
      <c r="A1141" s="41" t="inlineStr">
        <is>
          <t>coastal_battery</t>
        </is>
      </c>
      <c r="B1141" s="41" t="inlineStr">
        <is>
          <t>Trận địa pháo bờ biển</t>
        </is>
      </c>
      <c r="C1141" s="41" t="inlineStr">
        <is>
          <t>Nổ khi bị phá</t>
        </is>
      </c>
      <c r="D1141" s="41" t="inlineStr">
        <is>
          <t>12 m</t>
        </is>
      </c>
      <c r="E1141" s="49" t="inlineStr">
        <is>
          <t>Giữ</t>
        </is>
      </c>
      <c r="F1141" s="41" t="n"/>
      <c r="G1141" s="41" t="inlineStr">
        <is>
          <t>Hợp cỡ.</t>
        </is>
      </c>
      <c r="H1141" s="41" t="n"/>
    </row>
    <row r="1142" ht="15" customHeight="1" s="32">
      <c r="A1142" s="39" t="inlineStr">
        <is>
          <t>spawn_bastion</t>
        </is>
      </c>
      <c r="B1142" s="39" t="inlineStr">
        <is>
          <t>Tháp căn cứ</t>
        </is>
      </c>
      <c r="C1142" s="39" t="inlineStr">
        <is>
          <t>Tên</t>
        </is>
      </c>
      <c r="D1142" s="39" t="inlineStr">
        <is>
          <t>Tháp căn cứ</t>
        </is>
      </c>
      <c r="E1142" s="47" t="inlineStr">
        <is>
          <t>Đổi</t>
        </is>
      </c>
      <c r="F1142" s="39" t="inlineStr">
        <is>
          <t>(kiểm tra còn dùng không) · ngắn: — · EN: —</t>
        </is>
      </c>
      <c r="G1142" s="39" t="inlineStr">
        <is>
          <t>Tên của hệ căn cứ cũ.</t>
        </is>
      </c>
      <c r="H1142" s="49" t="inlineStr">
        <is>
          <t>Thấp</t>
        </is>
      </c>
    </row>
    <row r="1143" ht="15" customHeight="1" s="32">
      <c r="A1143" s="41" t="inlineStr">
        <is>
          <t>spawn_bastion</t>
        </is>
      </c>
      <c r="B1143" s="41" t="inlineStr">
        <is>
          <t>Tháp căn cứ</t>
        </is>
      </c>
      <c r="C1143" s="41" t="inlineStr">
        <is>
          <t>Ô</t>
        </is>
      </c>
      <c r="D1143" s="41" t="inlineStr">
        <is>
          <t>Khác</t>
        </is>
      </c>
      <c r="E1143" s="49" t="inlineStr">
        <is>
          <t>Giữ</t>
        </is>
      </c>
      <c r="F1143" s="41" t="n"/>
      <c r="G1143" s="41" t="n"/>
      <c r="H1143" s="41" t="n"/>
    </row>
    <row r="1144" ht="15" customHeight="1" s="32">
      <c r="A1144" s="39" t="inlineStr">
        <is>
          <t>spawn_bastion</t>
        </is>
      </c>
      <c r="B1144" s="39" t="inlineStr">
        <is>
          <t>Tháp căn cứ</t>
        </is>
      </c>
      <c r="C1144" s="39" t="inlineStr">
        <is>
          <t>Máu</t>
        </is>
      </c>
      <c r="D1144" s="42" t="n">
        <v>11000</v>
      </c>
      <c r="E1144" s="49" t="inlineStr">
        <is>
          <t>Giữ</t>
        </is>
      </c>
      <c r="F1144" s="39" t="n"/>
      <c r="G1144" s="39" t="inlineStr">
        <is>
          <t>Chướng ngại, sở chỉ huy hoặc công trình nhiệm vụ: máu theo vai trò riêng.</t>
        </is>
      </c>
      <c r="H1144" s="39" t="n"/>
    </row>
    <row r="1145" ht="15" customHeight="1" s="32">
      <c r="A1145" s="41" t="inlineStr">
        <is>
          <t>spawn_bastion</t>
        </is>
      </c>
      <c r="B1145" s="41" t="inlineStr">
        <is>
          <t>Tháp căn cứ</t>
        </is>
      </c>
      <c r="C1145" s="41" t="inlineStr">
        <is>
          <t>Giáp</t>
        </is>
      </c>
      <c r="D1145" s="41" t="inlineStr">
        <is>
          <t>4/3/3/3</t>
        </is>
      </c>
      <c r="E1145" s="49" t="inlineStr">
        <is>
          <t>Giữ</t>
        </is>
      </c>
      <c r="F1145" s="41" t="n"/>
      <c r="G1145" s="41" t="inlineStr">
        <is>
          <t>Công trình; hợp vai trò.</t>
        </is>
      </c>
      <c r="H1145" s="41" t="n"/>
    </row>
    <row r="1146" ht="15" customHeight="1" s="32">
      <c r="A1146" s="39" t="inlineStr">
        <is>
          <t>spawn_bastion</t>
        </is>
      </c>
      <c r="B1146" s="39" t="inlineStr">
        <is>
          <t>Tháp căn cứ</t>
        </is>
      </c>
      <c r="C1146" s="39" t="inlineStr">
        <is>
          <t>Kích thước</t>
        </is>
      </c>
      <c r="D1146" s="39" t="inlineStr">
        <is>
          <t>10.3 × 8.0 × 6.1</t>
        </is>
      </c>
      <c r="E1146" s="49" t="inlineStr">
        <is>
          <t>Giữ</t>
        </is>
      </c>
      <c r="F1146" s="39" t="n"/>
      <c r="G1146" s="39" t="inlineStr">
        <is>
          <t>Vừa cỡ ô.</t>
        </is>
      </c>
      <c r="H1146" s="39" t="n"/>
    </row>
    <row r="1147" ht="15" customHeight="1" s="32">
      <c r="A1147" s="41" t="inlineStr">
        <is>
          <t>spawn_bastion</t>
        </is>
      </c>
      <c r="B1147" s="41" t="inlineStr">
        <is>
          <t>Tháp căn cứ</t>
        </is>
      </c>
      <c r="C1147" s="41" t="inlineStr">
        <is>
          <t>Vũ khí / DPS</t>
        </is>
      </c>
      <c r="D1147" s="41" t="inlineStr">
        <is>
          <t>147/123/0</t>
        </is>
      </c>
      <c r="E1147" s="49" t="inlineStr">
        <is>
          <t>Giữ</t>
        </is>
      </c>
      <c r="F1147" s="41" t="n"/>
      <c r="G1147" s="41" t="inlineStr">
        <is>
          <t>Trong khoảng mục tiêu của cỡ ô.</t>
        </is>
      </c>
      <c r="H1147" s="41" t="n"/>
    </row>
    <row r="1148" ht="15" customHeight="1" s="32">
      <c r="A1148" s="39" t="inlineStr">
        <is>
          <t>super_gun</t>
        </is>
      </c>
      <c r="B1148" s="39" t="inlineStr">
        <is>
          <t>Siêu pháo</t>
        </is>
      </c>
      <c r="C1148" s="39" t="inlineStr">
        <is>
          <t>Tên</t>
        </is>
      </c>
      <c r="D1148" s="39" t="inlineStr">
        <is>
          <t>Siêu pháo</t>
        </is>
      </c>
      <c r="E1148" s="49" t="inlineStr">
        <is>
          <t>Giữ</t>
        </is>
      </c>
      <c r="F1148" s="39" t="n"/>
      <c r="G1148" s="39" t="inlineStr">
        <is>
          <t>Tên rõ vai trò.</t>
        </is>
      </c>
      <c r="H1148" s="39" t="n"/>
    </row>
    <row r="1149" ht="15" customHeight="1" s="32">
      <c r="A1149" s="41" t="inlineStr">
        <is>
          <t>super_gun</t>
        </is>
      </c>
      <c r="B1149" s="41" t="inlineStr">
        <is>
          <t>Siêu pháo</t>
        </is>
      </c>
      <c r="C1149" s="41" t="inlineStr">
        <is>
          <t>Ô</t>
        </is>
      </c>
      <c r="D1149" s="41" t="inlineStr">
        <is>
          <t>Khác</t>
        </is>
      </c>
      <c r="E1149" s="49" t="inlineStr">
        <is>
          <t>Giữ</t>
        </is>
      </c>
      <c r="F1149" s="41" t="n"/>
      <c r="G1149" s="41" t="n"/>
      <c r="H1149" s="41" t="n"/>
    </row>
    <row r="1150" ht="15" customHeight="1" s="32">
      <c r="A1150" s="39" t="inlineStr">
        <is>
          <t>super_gun</t>
        </is>
      </c>
      <c r="B1150" s="39" t="inlineStr">
        <is>
          <t>Siêu pháo</t>
        </is>
      </c>
      <c r="C1150" s="39" t="inlineStr">
        <is>
          <t>Máu</t>
        </is>
      </c>
      <c r="D1150" s="42" t="n">
        <v>11440</v>
      </c>
      <c r="E1150" s="49" t="inlineStr">
        <is>
          <t>Giữ</t>
        </is>
      </c>
      <c r="F1150" s="39" t="n"/>
      <c r="G1150" s="39" t="inlineStr">
        <is>
          <t>Chướng ngại, sở chỉ huy hoặc công trình nhiệm vụ: máu theo vai trò riêng.</t>
        </is>
      </c>
      <c r="H1150" s="39" t="n"/>
    </row>
    <row r="1151" ht="15" customHeight="1" s="32">
      <c r="A1151" s="41" t="inlineStr">
        <is>
          <t>super_gun</t>
        </is>
      </c>
      <c r="B1151" s="41" t="inlineStr">
        <is>
          <t>Siêu pháo</t>
        </is>
      </c>
      <c r="C1151" s="41" t="inlineStr">
        <is>
          <t>Giáp</t>
        </is>
      </c>
      <c r="D1151" s="41" t="inlineStr">
        <is>
          <t>cấp 3 (Dày) · công trình</t>
        </is>
      </c>
      <c r="E1151" s="49" t="inlineStr">
        <is>
          <t>Giữ</t>
        </is>
      </c>
      <c r="F1151" s="41" t="n"/>
      <c r="G1151" s="41" t="inlineStr">
        <is>
          <t>Công trình; hợp vai trò.</t>
        </is>
      </c>
      <c r="H1151" s="41" t="n"/>
    </row>
    <row r="1152" ht="15" customHeight="1" s="32">
      <c r="A1152" s="39" t="inlineStr">
        <is>
          <t>super_gun</t>
        </is>
      </c>
      <c r="B1152" s="39" t="inlineStr">
        <is>
          <t>Siêu pháo</t>
        </is>
      </c>
      <c r="C1152" s="39" t="inlineStr">
        <is>
          <t>Kích thước</t>
        </is>
      </c>
      <c r="D1152" s="39" t="inlineStr">
        <is>
          <t>18.5 × 14.4 × 11.0</t>
        </is>
      </c>
      <c r="E1152" s="49" t="inlineStr">
        <is>
          <t>Giữ</t>
        </is>
      </c>
      <c r="F1152" s="39" t="n"/>
      <c r="G1152" s="39" t="inlineStr">
        <is>
          <t>Vừa cỡ ô.</t>
        </is>
      </c>
      <c r="H1152" s="39" t="n"/>
    </row>
    <row r="1153" ht="15" customHeight="1" s="32">
      <c r="A1153" s="41" t="inlineStr">
        <is>
          <t>super_gun</t>
        </is>
      </c>
      <c r="B1153" s="41" t="inlineStr">
        <is>
          <t>Siêu pháo</t>
        </is>
      </c>
      <c r="C1153" s="41" t="inlineStr">
        <is>
          <t>Vũ khí / DPS</t>
        </is>
      </c>
      <c r="D1153" s="41" t="inlineStr">
        <is>
          <t>0/0/0</t>
        </is>
      </c>
      <c r="E1153" s="49" t="inlineStr">
        <is>
          <t>Giữ</t>
        </is>
      </c>
      <c r="F1153" s="41" t="n"/>
      <c r="G1153" s="41" t="inlineStr">
        <is>
          <t>Trong khoảng mục tiêu của cỡ ô.</t>
        </is>
      </c>
      <c r="H1153" s="41" t="n"/>
    </row>
    <row r="1154" ht="15" customHeight="1" s="32">
      <c r="A1154" s="39" t="inlineStr">
        <is>
          <t>super_gun</t>
        </is>
      </c>
      <c r="B1154" s="39" t="inlineStr">
        <is>
          <t>Siêu pháo</t>
        </is>
      </c>
      <c r="C1154" s="39" t="inlineStr">
        <is>
          <t>Nổ khi bị phá</t>
        </is>
      </c>
      <c r="D1154" s="39" t="inlineStr">
        <is>
          <t>18 m</t>
        </is>
      </c>
      <c r="E1154" s="49" t="inlineStr">
        <is>
          <t>Giữ</t>
        </is>
      </c>
      <c r="F1154" s="39" t="n"/>
      <c r="G1154" s="39" t="inlineStr">
        <is>
          <t>Hợp cỡ.</t>
        </is>
      </c>
      <c r="H1154" s="39" t="n"/>
    </row>
    <row r="1155" ht="15" customHeight="1" s="32">
      <c r="A1155" s="41" t="inlineStr">
        <is>
          <t>targeting_station</t>
        </is>
      </c>
      <c r="B1155" s="41" t="inlineStr">
        <is>
          <t>Trạm chỉ thị mục tiêu</t>
        </is>
      </c>
      <c r="C1155" s="41" t="inlineStr">
        <is>
          <t>Tên</t>
        </is>
      </c>
      <c r="D1155" s="41" t="inlineStr">
        <is>
          <t>Trạm chỉ thị mục tiêu</t>
        </is>
      </c>
      <c r="E1155" s="49" t="inlineStr">
        <is>
          <t>Giữ</t>
        </is>
      </c>
      <c r="F1155" s="41" t="n"/>
      <c r="G1155" s="41" t="inlineStr">
        <is>
          <t>Tên rõ vai trò.</t>
        </is>
      </c>
      <c r="H1155" s="41" t="n"/>
    </row>
    <row r="1156" ht="15" customHeight="1" s="32">
      <c r="A1156" s="39" t="inlineStr">
        <is>
          <t>targeting_station</t>
        </is>
      </c>
      <c r="B1156" s="39" t="inlineStr">
        <is>
          <t>Trạm chỉ thị mục tiêu</t>
        </is>
      </c>
      <c r="C1156" s="39" t="inlineStr">
        <is>
          <t>Ô</t>
        </is>
      </c>
      <c r="D1156" s="39" t="inlineStr">
        <is>
          <t>Khác</t>
        </is>
      </c>
      <c r="E1156" s="49" t="inlineStr">
        <is>
          <t>Giữ</t>
        </is>
      </c>
      <c r="F1156" s="39" t="n"/>
      <c r="G1156" s="39" t="n"/>
      <c r="H1156" s="39" t="n"/>
    </row>
    <row r="1157" ht="15" customHeight="1" s="32">
      <c r="A1157" s="41" t="inlineStr">
        <is>
          <t>targeting_station</t>
        </is>
      </c>
      <c r="B1157" s="41" t="inlineStr">
        <is>
          <t>Trạm chỉ thị mục tiêu</t>
        </is>
      </c>
      <c r="C1157" s="41" t="inlineStr">
        <is>
          <t>Máu</t>
        </is>
      </c>
      <c r="D1157" s="43" t="n">
        <v>1540</v>
      </c>
      <c r="E1157" s="49" t="inlineStr">
        <is>
          <t>Giữ</t>
        </is>
      </c>
      <c r="F1157" s="41" t="n"/>
      <c r="G1157" s="41" t="inlineStr">
        <is>
          <t>Chướng ngại, sở chỉ huy hoặc công trình nhiệm vụ: máu theo vai trò riêng.</t>
        </is>
      </c>
      <c r="H1157" s="41" t="n"/>
    </row>
    <row r="1158" ht="15" customHeight="1" s="32">
      <c r="A1158" s="39" t="inlineStr">
        <is>
          <t>targeting_station</t>
        </is>
      </c>
      <c r="B1158" s="39" t="inlineStr">
        <is>
          <t>Trạm chỉ thị mục tiêu</t>
        </is>
      </c>
      <c r="C1158" s="39" t="inlineStr">
        <is>
          <t>Giáp</t>
        </is>
      </c>
      <c r="D1158" s="39" t="inlineStr">
        <is>
          <t>cấp 1 (Mỏng) · công trình</t>
        </is>
      </c>
      <c r="E1158" s="49" t="inlineStr">
        <is>
          <t>Giữ</t>
        </is>
      </c>
      <c r="F1158" s="39" t="n"/>
      <c r="G1158" s="39" t="inlineStr">
        <is>
          <t>Công trình; hợp vai trò.</t>
        </is>
      </c>
      <c r="H1158" s="39" t="n"/>
    </row>
    <row r="1159" ht="15" customHeight="1" s="32">
      <c r="A1159" s="41" t="inlineStr">
        <is>
          <t>targeting_station</t>
        </is>
      </c>
      <c r="B1159" s="41" t="inlineStr">
        <is>
          <t>Trạm chỉ thị mục tiêu</t>
        </is>
      </c>
      <c r="C1159" s="41" t="inlineStr">
        <is>
          <t>Kích thước</t>
        </is>
      </c>
      <c r="D1159" s="41" t="inlineStr">
        <is>
          <t>6.5 × 8.2 × 11.0</t>
        </is>
      </c>
      <c r="E1159" s="49" t="inlineStr">
        <is>
          <t>Giữ</t>
        </is>
      </c>
      <c r="F1159" s="41" t="n"/>
      <c r="G1159" s="41" t="inlineStr">
        <is>
          <t>Vừa cỡ ô.</t>
        </is>
      </c>
      <c r="H1159" s="41" t="n"/>
    </row>
    <row r="1160" ht="15" customHeight="1" s="32">
      <c r="A1160" s="39" t="inlineStr">
        <is>
          <t>targeting_station</t>
        </is>
      </c>
      <c r="B1160" s="39" t="inlineStr">
        <is>
          <t>Trạm chỉ thị mục tiêu</t>
        </is>
      </c>
      <c r="C1160" s="39" t="inlineStr">
        <is>
          <t>Vũ khí / DPS</t>
        </is>
      </c>
      <c r="D1160" s="39" t="inlineStr">
        <is>
          <t>0/0/0</t>
        </is>
      </c>
      <c r="E1160" s="49" t="inlineStr">
        <is>
          <t>Giữ</t>
        </is>
      </c>
      <c r="F1160" s="39" t="n"/>
      <c r="G1160" s="39" t="inlineStr">
        <is>
          <t>Trong khoảng mục tiêu của cỡ ô.</t>
        </is>
      </c>
      <c r="H1160" s="39" t="n"/>
    </row>
    <row r="1161" ht="15" customHeight="1" s="32">
      <c r="A1161" s="41" t="inlineStr">
        <is>
          <t>targeting_station</t>
        </is>
      </c>
      <c r="B1161" s="41" t="inlineStr">
        <is>
          <t>Trạm chỉ thị mục tiêu</t>
        </is>
      </c>
      <c r="C1161" s="41" t="inlineStr">
        <is>
          <t>Nổ khi bị phá</t>
        </is>
      </c>
      <c r="D1161" s="41" t="inlineStr">
        <is>
          <t>6 m</t>
        </is>
      </c>
      <c r="E1161" s="49" t="inlineStr">
        <is>
          <t>Giữ</t>
        </is>
      </c>
      <c r="F1161" s="41" t="n"/>
      <c r="G1161" s="41" t="inlineStr">
        <is>
          <t>Hợp cỡ.</t>
        </is>
      </c>
      <c r="H1161" s="41" t="n"/>
    </row>
    <row r="1162" ht="21.75" customHeight="1" s="32">
      <c r="A1162" s="39" t="inlineStr">
        <is>
          <t>rail_supergun</t>
        </is>
      </c>
      <c r="B1162" s="39" t="inlineStr">
        <is>
          <t>Gungnir · Pháo đường ray</t>
        </is>
      </c>
      <c r="C1162" s="39" t="inlineStr">
        <is>
          <t>Máu</t>
        </is>
      </c>
      <c r="D1162" s="42" t="n">
        <v>6942</v>
      </c>
      <c r="E1162" s="47" t="inlineStr">
        <is>
          <t>Đổi</t>
        </is>
      </c>
      <c r="F1162" s="39" t="inlineStr">
        <is>
          <t>10800–14400</t>
        </is>
      </c>
      <c r="G1162" s="39" t="inlineStr">
        <is>
          <t>Theo thang máu boss mới (Tổng quan): mini boss bằng 45–60% boss chủ lực chương 11. Máu gốc trước scale chiến dịch.</t>
        </is>
      </c>
      <c r="H1162" s="48" t="inlineStr">
        <is>
          <t>Trung</t>
        </is>
      </c>
    </row>
    <row r="1163" ht="15" customHeight="1" s="32">
      <c r="A1163" s="41" t="inlineStr">
        <is>
          <t>rail_supergun</t>
        </is>
      </c>
      <c r="B1163" s="41" t="inlineStr">
        <is>
          <t>Gungnir · Pháo đường ray</t>
        </is>
      </c>
      <c r="C1163" s="41" t="inlineStr">
        <is>
          <t>Giáp</t>
        </is>
      </c>
      <c r="D1163" s="41" t="inlineStr">
        <is>
          <t>3/2/1/1</t>
        </is>
      </c>
      <c r="E1163" s="49" t="inlineStr">
        <is>
          <t>Giữ</t>
        </is>
      </c>
      <c r="F1163" s="41" t="n"/>
      <c r="G1163" s="41" t="n"/>
      <c r="H1163" s="41" t="n"/>
    </row>
    <row r="1164" ht="15" customHeight="1" s="32">
      <c r="A1164" s="39" t="inlineStr">
        <is>
          <t>rail_supergun</t>
        </is>
      </c>
      <c r="B1164" s="39" t="inlineStr">
        <is>
          <t>Gungnir · Pháo đường ray</t>
        </is>
      </c>
      <c r="C1164" s="39" t="inlineStr">
        <is>
          <t>Kích thước</t>
        </is>
      </c>
      <c r="D1164" s="39" t="inlineStr">
        <is>
          <t>54.3 × 7.5 × 14.0</t>
        </is>
      </c>
      <c r="E1164" s="49" t="inlineStr">
        <is>
          <t>Giữ</t>
        </is>
      </c>
      <c r="F1164" s="39" t="n"/>
      <c r="G1164" s="39" t="inlineStr">
        <is>
          <t>Hợp cấp boss.</t>
        </is>
      </c>
      <c r="H1164" s="39" t="n"/>
    </row>
    <row r="1165" ht="21.75" customHeight="1" s="32">
      <c r="A1165" s="41" t="inlineStr">
        <is>
          <t>rail_supergun</t>
        </is>
      </c>
      <c r="B1165" s="41" t="inlineStr">
        <is>
          <t>Gungnir · Pháo đường ray</t>
        </is>
      </c>
      <c r="C1165" s="41" t="inlineStr">
        <is>
          <t>Dữ liệu vũ khí</t>
        </is>
      </c>
      <c r="D1165" s="41" t="inlineStr">
        <is>
          <t>pháo 80 cm không có trong danh sách vũ khí</t>
        </is>
      </c>
      <c r="E1165" s="47" t="inlineStr">
        <is>
          <t>Đổi</t>
        </is>
      </c>
      <c r="F1165" s="41" t="inlineStr">
        <is>
          <t>thêm khẩu pháo chính thành một vũ khí</t>
        </is>
      </c>
      <c r="G1165" s="41" t="inlineStr">
        <is>
          <t>Người chơi và tài liệu không thấy vũ khí chính.</t>
        </is>
      </c>
      <c r="H1165" s="48" t="inlineStr">
        <is>
          <t>Trung</t>
        </is>
      </c>
    </row>
    <row r="1166" ht="21.75" customHeight="1" s="32">
      <c r="A1166" s="39" t="inlineStr">
        <is>
          <t>behemoth_mk0</t>
        </is>
      </c>
      <c r="B1166" s="39" t="inlineStr">
        <is>
          <t>Behemoth Mk.0 · Behemoth nguyên mẫu</t>
        </is>
      </c>
      <c r="C1166" s="39" t="inlineStr">
        <is>
          <t>Giáp</t>
        </is>
      </c>
      <c r="D1166" s="39" t="inlineStr">
        <is>
          <t>3/3/2/1</t>
        </is>
      </c>
      <c r="E1166" s="49" t="inlineStr">
        <is>
          <t>Giữ</t>
        </is>
      </c>
      <c r="F1166" s="39" t="n"/>
      <c r="G1166" s="39" t="n"/>
      <c r="H1166" s="39" t="n"/>
    </row>
    <row r="1167" ht="21.75" customHeight="1" s="32">
      <c r="A1167" s="41" t="inlineStr">
        <is>
          <t>behemoth_mk0</t>
        </is>
      </c>
      <c r="B1167" s="41" t="inlineStr">
        <is>
          <t>Behemoth Mk.0 · Behemoth nguyên mẫu</t>
        </is>
      </c>
      <c r="C1167" s="41" t="inlineStr">
        <is>
          <t>Kích thước</t>
        </is>
      </c>
      <c r="D1167" s="41" t="inlineStr">
        <is>
          <t>15.6 × 9.3 ×</t>
        </is>
      </c>
      <c r="E1167" s="49" t="inlineStr">
        <is>
          <t>Giữ</t>
        </is>
      </c>
      <c r="F1167" s="41" t="n"/>
      <c r="G1167" s="41" t="inlineStr">
        <is>
          <t>Hợp cấp boss.</t>
        </is>
      </c>
      <c r="H1167" s="41" t="n"/>
    </row>
    <row r="1168" ht="21.75" customHeight="1" s="32">
      <c r="A1168" s="39" t="inlineStr">
        <is>
          <t>behemoth_mk0</t>
        </is>
      </c>
      <c r="B1168" s="39" t="inlineStr">
        <is>
          <t>Behemoth Mk.0 · Behemoth nguyên mẫu</t>
        </is>
      </c>
      <c r="C1168" s="39" t="inlineStr">
        <is>
          <t>Vũ khí</t>
        </is>
      </c>
      <c r="D1168" s="42" t="n">
        <v>4</v>
      </c>
      <c r="E1168" s="49" t="inlineStr">
        <is>
          <t>Giữ</t>
        </is>
      </c>
      <c r="F1168" s="39" t="n"/>
      <c r="G1168" s="39" t="inlineStr">
        <is>
          <t>Khớp thiết kế.</t>
        </is>
      </c>
      <c r="H1168" s="39" t="n"/>
    </row>
    <row r="1169" ht="21.75" customHeight="1" s="32">
      <c r="A1169" s="41" t="inlineStr">
        <is>
          <t>armored_train</t>
        </is>
      </c>
      <c r="B1169" s="41" t="inlineStr">
        <is>
          <t>Juggernaut · Đoàn tàu bọc thép</t>
        </is>
      </c>
      <c r="C1169" s="41" t="inlineStr">
        <is>
          <t>Máu</t>
        </is>
      </c>
      <c r="D1169" s="43" t="n">
        <v>5820</v>
      </c>
      <c r="E1169" s="47" t="inlineStr">
        <is>
          <t>Đổi</t>
        </is>
      </c>
      <c r="F1169" s="41" t="inlineStr">
        <is>
          <t>7650–10200</t>
        </is>
      </c>
      <c r="G1169" s="41" t="inlineStr">
        <is>
          <t>Theo thang máu boss mới (Tổng quan): mini boss bằng 45–60% boss chủ lực chương 4. Máu gốc trước scale chiến dịch.</t>
        </is>
      </c>
      <c r="H1169" s="48" t="inlineStr">
        <is>
          <t>Trung</t>
        </is>
      </c>
    </row>
    <row r="1170" ht="15" customHeight="1" s="32">
      <c r="A1170" s="39" t="inlineStr">
        <is>
          <t>armored_train</t>
        </is>
      </c>
      <c r="B1170" s="39" t="inlineStr">
        <is>
          <t>Juggernaut · Đoàn tàu bọc thép</t>
        </is>
      </c>
      <c r="C1170" s="39" t="inlineStr">
        <is>
          <t>Giáp</t>
        </is>
      </c>
      <c r="D1170" s="39" t="inlineStr">
        <is>
          <t>5/3/3/2</t>
        </is>
      </c>
      <c r="E1170" s="47" t="inlineStr">
        <is>
          <t>Đổi</t>
        </is>
      </c>
      <c r="F1170" s="39" t="inlineStr">
        <is>
          <t>4/3/3/2</t>
        </is>
      </c>
      <c r="G1170" s="39" t="inlineStr">
        <is>
          <t>Mini boss không có giáp trước 5 (chỉ boss chủ lực).</t>
        </is>
      </c>
      <c r="H1170" s="49" t="inlineStr">
        <is>
          <t>Thấp</t>
        </is>
      </c>
    </row>
    <row r="1171" ht="15" customHeight="1" s="32">
      <c r="A1171" s="41" t="inlineStr">
        <is>
          <t>armored_train</t>
        </is>
      </c>
      <c r="B1171" s="41" t="inlineStr">
        <is>
          <t>Juggernaut · Đoàn tàu bọc thép</t>
        </is>
      </c>
      <c r="C1171" s="41" t="inlineStr">
        <is>
          <t>Kích thước</t>
        </is>
      </c>
      <c r="D1171" s="41" t="inlineStr">
        <is>
          <t>24.5 × 3.3 × 4.8</t>
        </is>
      </c>
      <c r="E1171" s="49" t="inlineStr">
        <is>
          <t>Giữ</t>
        </is>
      </c>
      <c r="F1171" s="41" t="n"/>
      <c r="G1171" s="41" t="inlineStr">
        <is>
          <t>Hợp cấp boss.</t>
        </is>
      </c>
      <c r="H1171" s="41" t="n"/>
    </row>
    <row r="1172" ht="15" customHeight="1" s="32">
      <c r="A1172" s="39" t="inlineStr">
        <is>
          <t>armored_train</t>
        </is>
      </c>
      <c r="B1172" s="39" t="inlineStr">
        <is>
          <t>Juggernaut · Đoàn tàu bọc thép</t>
        </is>
      </c>
      <c r="C1172" s="39" t="inlineStr">
        <is>
          <t>Giáp</t>
        </is>
      </c>
      <c r="D1172" s="39" t="inlineStr">
        <is>
          <t>trước 5</t>
        </is>
      </c>
      <c r="E1172" s="47" t="inlineStr">
        <is>
          <t>Đổi</t>
        </is>
      </c>
      <c r="F1172" s="39" t="inlineStr">
        <is>
          <t>trước 4</t>
        </is>
      </c>
      <c r="G1172" s="39" t="inlineStr">
        <is>
          <t>Mini boss giáp ngang boss chủ lực.</t>
        </is>
      </c>
      <c r="H1172" s="49" t="inlineStr">
        <is>
          <t>Thấp</t>
        </is>
      </c>
    </row>
    <row r="1173" ht="21.75" customHeight="1" s="32">
      <c r="A1173" s="41" t="inlineStr">
        <is>
          <t>behemoth_tempest</t>
        </is>
      </c>
      <c r="B1173" s="41" t="inlineStr">
        <is>
          <t>Tempest · Behemoth pháo điện từ</t>
        </is>
      </c>
      <c r="C1173" s="41" t="inlineStr">
        <is>
          <t>Máu</t>
        </is>
      </c>
      <c r="D1173" s="43" t="n">
        <v>5820</v>
      </c>
      <c r="E1173" s="47" t="inlineStr">
        <is>
          <t>Đổi</t>
        </is>
      </c>
      <c r="F1173" s="41" t="inlineStr">
        <is>
          <t>7650–10200</t>
        </is>
      </c>
      <c r="G1173" s="41" t="inlineStr">
        <is>
          <t>Theo thang máu boss mới (Tổng quan): mini boss bằng 45–60% boss chủ lực chương 4. Máu gốc trước scale chiến dịch.</t>
        </is>
      </c>
      <c r="H1173" s="48" t="inlineStr">
        <is>
          <t>Trung</t>
        </is>
      </c>
    </row>
    <row r="1174" ht="15" customHeight="1" s="32">
      <c r="A1174" s="39" t="inlineStr">
        <is>
          <t>behemoth_tempest</t>
        </is>
      </c>
      <c r="B1174" s="39" t="inlineStr">
        <is>
          <t>Tempest · Behemoth pháo điện từ</t>
        </is>
      </c>
      <c r="C1174" s="39" t="inlineStr">
        <is>
          <t>Giáp</t>
        </is>
      </c>
      <c r="D1174" s="39" t="inlineStr">
        <is>
          <t>5/3/2/2</t>
        </is>
      </c>
      <c r="E1174" s="47" t="inlineStr">
        <is>
          <t>Đổi</t>
        </is>
      </c>
      <c r="F1174" s="39" t="inlineStr">
        <is>
          <t>4/3/2/2</t>
        </is>
      </c>
      <c r="G1174" s="39" t="inlineStr">
        <is>
          <t>Mini boss không có giáp trước 5 (chỉ boss chủ lực).</t>
        </is>
      </c>
      <c r="H1174" s="49" t="inlineStr">
        <is>
          <t>Thấp</t>
        </is>
      </c>
    </row>
    <row r="1175" ht="15" customHeight="1" s="32">
      <c r="A1175" s="41" t="inlineStr">
        <is>
          <t>behemoth_tempest</t>
        </is>
      </c>
      <c r="B1175" s="41" t="inlineStr">
        <is>
          <t>Tempest · Behemoth pháo điện từ</t>
        </is>
      </c>
      <c r="C1175" s="41" t="inlineStr">
        <is>
          <t>Kích thước</t>
        </is>
      </c>
      <c r="D1175" s="41" t="inlineStr">
        <is>
          <t>16.2 × 6.6 × 6.4</t>
        </is>
      </c>
      <c r="E1175" s="49" t="inlineStr">
        <is>
          <t>Giữ</t>
        </is>
      </c>
      <c r="F1175" s="41" t="n"/>
      <c r="G1175" s="41" t="inlineStr">
        <is>
          <t>Hợp cấp boss.</t>
        </is>
      </c>
      <c r="H1175" s="41" t="n"/>
    </row>
    <row r="1176" ht="15" customHeight="1" s="32">
      <c r="A1176" s="39" t="inlineStr">
        <is>
          <t>behemoth_tempest</t>
        </is>
      </c>
      <c r="B1176" s="39" t="inlineStr">
        <is>
          <t>Tempest · Behemoth pháo điện từ</t>
        </is>
      </c>
      <c r="C1176" s="39" t="inlineStr">
        <is>
          <t>Vũ khí</t>
        </is>
      </c>
      <c r="D1176" s="42" t="n">
        <v>3</v>
      </c>
      <c r="E1176" s="49" t="inlineStr">
        <is>
          <t>Giữ</t>
        </is>
      </c>
      <c r="F1176" s="39" t="n"/>
      <c r="G1176" s="39" t="inlineStr">
        <is>
          <t>Khớp thiết kế.</t>
        </is>
      </c>
      <c r="H1176" s="39" t="n"/>
    </row>
    <row r="1177" ht="21.75" customHeight="1" s="32">
      <c r="A1177" s="41" t="inlineStr">
        <is>
          <t>locust</t>
        </is>
      </c>
      <c r="B1177" s="41" t="inlineStr">
        <is>
          <t>Locust · Tàu con drone</t>
        </is>
      </c>
      <c r="C1177" s="41" t="inlineStr">
        <is>
          <t>Máu</t>
        </is>
      </c>
      <c r="D1177" s="43" t="n">
        <v>6311</v>
      </c>
      <c r="E1177" s="47" t="inlineStr">
        <is>
          <t>Đổi</t>
        </is>
      </c>
      <c r="F1177" s="41" t="inlineStr">
        <is>
          <t>8100–10800</t>
        </is>
      </c>
      <c r="G1177" s="41" t="inlineStr">
        <is>
          <t>Theo thang máu boss mới (Tổng quan): mini boss bằng 45–60% boss chủ lực chương 5. Máu gốc trước scale chiến dịch.</t>
        </is>
      </c>
      <c r="H1177" s="48" t="inlineStr">
        <is>
          <t>Trung</t>
        </is>
      </c>
    </row>
    <row r="1178" ht="15" customHeight="1" s="32">
      <c r="A1178" s="39" t="inlineStr">
        <is>
          <t>locust</t>
        </is>
      </c>
      <c r="B1178" s="39" t="inlineStr">
        <is>
          <t>Locust · Tàu con drone</t>
        </is>
      </c>
      <c r="C1178" s="39" t="inlineStr">
        <is>
          <t>Giáp</t>
        </is>
      </c>
      <c r="D1178" s="39" t="inlineStr">
        <is>
          <t>cấp 1 (Mỏng)</t>
        </is>
      </c>
      <c r="E1178" s="49" t="inlineStr">
        <is>
          <t>Giữ</t>
        </is>
      </c>
      <c r="F1178" s="39" t="n"/>
      <c r="G1178" s="39" t="n"/>
      <c r="H1178" s="39" t="n"/>
    </row>
    <row r="1179" ht="15" customHeight="1" s="32">
      <c r="A1179" s="41" t="inlineStr">
        <is>
          <t>locust</t>
        </is>
      </c>
      <c r="B1179" s="41" t="inlineStr">
        <is>
          <t>Locust · Tàu con drone</t>
        </is>
      </c>
      <c r="C1179" s="41" t="inlineStr">
        <is>
          <t>Kích thước</t>
        </is>
      </c>
      <c r="D1179" s="41" t="inlineStr">
        <is>
          <t>25.4 × 12.6 × 10.6</t>
        </is>
      </c>
      <c r="E1179" s="49" t="inlineStr">
        <is>
          <t>Giữ</t>
        </is>
      </c>
      <c r="F1179" s="41" t="n"/>
      <c r="G1179" s="41" t="inlineStr">
        <is>
          <t>Hợp cấp boss.</t>
        </is>
      </c>
      <c r="H1179" s="41" t="n"/>
    </row>
    <row r="1180" ht="15" customHeight="1" s="32">
      <c r="A1180" s="39" t="inlineStr">
        <is>
          <t>locust</t>
        </is>
      </c>
      <c r="B1180" s="39" t="inlineStr">
        <is>
          <t>Locust · Tàu con drone</t>
        </is>
      </c>
      <c r="C1180" s="39" t="inlineStr">
        <is>
          <t>Vũ khí</t>
        </is>
      </c>
      <c r="D1180" s="42" t="n">
        <v>2</v>
      </c>
      <c r="E1180" s="49" t="inlineStr">
        <is>
          <t>Giữ</t>
        </is>
      </c>
      <c r="F1180" s="39" t="n"/>
      <c r="G1180" s="39" t="inlineStr">
        <is>
          <t>Khớp thiết kế.</t>
        </is>
      </c>
      <c r="H1180" s="39" t="n"/>
    </row>
    <row r="1181" ht="15" customHeight="1" s="32">
      <c r="A1181" s="41" t="inlineStr">
        <is>
          <t>morrigan</t>
        </is>
      </c>
      <c r="B1181" s="41" t="inlineStr">
        <is>
          <t>Morrigan · Tiêm kích của Raven</t>
        </is>
      </c>
      <c r="C1181" s="41" t="inlineStr">
        <is>
          <t>Giáp</t>
        </is>
      </c>
      <c r="D1181" s="41" t="inlineStr">
        <is>
          <t>cấp 1 (Mỏng)</t>
        </is>
      </c>
      <c r="E1181" s="49" t="inlineStr">
        <is>
          <t>Giữ</t>
        </is>
      </c>
      <c r="F1181" s="41" t="n"/>
      <c r="G1181" s="41" t="n"/>
      <c r="H1181" s="41" t="n"/>
    </row>
    <row r="1182" ht="15" customHeight="1" s="32">
      <c r="A1182" s="39" t="inlineStr">
        <is>
          <t>morrigan</t>
        </is>
      </c>
      <c r="B1182" s="39" t="inlineStr">
        <is>
          <t>Morrigan · Tiêm kích của Raven</t>
        </is>
      </c>
      <c r="C1182" s="39" t="inlineStr">
        <is>
          <t>Kích thước</t>
        </is>
      </c>
      <c r="D1182" s="39" t="inlineStr">
        <is>
          <t>12.9 × 8.4 × 2.2</t>
        </is>
      </c>
      <c r="E1182" s="49" t="inlineStr">
        <is>
          <t>Giữ</t>
        </is>
      </c>
      <c r="F1182" s="39" t="n"/>
      <c r="G1182" s="39" t="inlineStr">
        <is>
          <t>Hợp cấp boss.</t>
        </is>
      </c>
      <c r="H1182" s="39" t="n"/>
    </row>
    <row r="1183" ht="21.75" customHeight="1" s="32">
      <c r="A1183" s="41" t="inlineStr">
        <is>
          <t>morrigan</t>
        </is>
      </c>
      <c r="B1183" s="41" t="inlineStr">
        <is>
          <t>Morrigan · Tiêm kích của Raven</t>
        </is>
      </c>
      <c r="C1183" s="41" t="inlineStr">
        <is>
          <t>Tham khảo</t>
        </is>
      </c>
      <c r="D1183" s="41" t="inlineStr">
        <is>
          <t>trống</t>
        </is>
      </c>
      <c r="E1183" s="47" t="inlineStr">
        <is>
          <t>Đổi</t>
        </is>
      </c>
      <c r="F1183" s="41" t="inlineStr">
        <is>
          <t>tiêm kích tàng hình tùy biến (Su-57 / F-22), phong cách Ace Combat</t>
        </is>
      </c>
      <c r="G1183" s="41" t="inlineStr">
        <is>
          <t>Thiếu dữ liệu.</t>
        </is>
      </c>
      <c r="H1183" s="49" t="inlineStr">
        <is>
          <t>Thấp</t>
        </is>
      </c>
    </row>
    <row r="1184" ht="21.75" customHeight="1" s="32">
      <c r="A1184" s="39" t="inlineStr">
        <is>
          <t>behemoth_mk2</t>
        </is>
      </c>
      <c r="B1184" s="39" t="inlineStr">
        <is>
          <t>Behemoth Mk.II · Behemoth nâng cấp</t>
        </is>
      </c>
      <c r="C1184" s="39" t="inlineStr">
        <is>
          <t>Máu</t>
        </is>
      </c>
      <c r="D1184" s="42" t="n">
        <v>6942</v>
      </c>
      <c r="E1184" s="47" t="inlineStr">
        <is>
          <t>Đổi</t>
        </is>
      </c>
      <c r="F1184" s="39" t="inlineStr">
        <is>
          <t>8550–11400</t>
        </is>
      </c>
      <c r="G1184" s="39" t="inlineStr">
        <is>
          <t>Theo thang máu boss mới (Tổng quan): mini boss bằng 45–60% boss chủ lực chương 6. Máu gốc trước scale chiến dịch.</t>
        </is>
      </c>
      <c r="H1184" s="48" t="inlineStr">
        <is>
          <t>Trung</t>
        </is>
      </c>
    </row>
    <row r="1185" ht="15" customHeight="1" s="32">
      <c r="A1185" s="41" t="inlineStr">
        <is>
          <t>behemoth_mk2</t>
        </is>
      </c>
      <c r="B1185" s="41" t="inlineStr">
        <is>
          <t>Behemoth Mk.II · Behemoth nâng cấp</t>
        </is>
      </c>
      <c r="C1185" s="41" t="inlineStr">
        <is>
          <t>Giáp</t>
        </is>
      </c>
      <c r="D1185" s="41" t="inlineStr">
        <is>
          <t>5/3/2/2</t>
        </is>
      </c>
      <c r="E1185" s="47" t="inlineStr">
        <is>
          <t>Đổi</t>
        </is>
      </c>
      <c r="F1185" s="41" t="inlineStr">
        <is>
          <t>4/3/2/2</t>
        </is>
      </c>
      <c r="G1185" s="41" t="inlineStr">
        <is>
          <t>Mini boss không có giáp trước 5 (chỉ boss chủ lực).</t>
        </is>
      </c>
      <c r="H1185" s="49" t="inlineStr">
        <is>
          <t>Thấp</t>
        </is>
      </c>
    </row>
    <row r="1186" ht="15" customHeight="1" s="32">
      <c r="A1186" s="39" t="inlineStr">
        <is>
          <t>behemoth_mk2</t>
        </is>
      </c>
      <c r="B1186" s="39" t="inlineStr">
        <is>
          <t>Behemoth Mk.II · Behemoth nâng cấp</t>
        </is>
      </c>
      <c r="C1186" s="39" t="inlineStr">
        <is>
          <t>Kích thước</t>
        </is>
      </c>
      <c r="D1186" s="39" t="inlineStr">
        <is>
          <t>16.1 × 9.6 ×</t>
        </is>
      </c>
      <c r="E1186" s="49" t="inlineStr">
        <is>
          <t>Giữ</t>
        </is>
      </c>
      <c r="F1186" s="39" t="n"/>
      <c r="G1186" s="39" t="inlineStr">
        <is>
          <t>Hợp cấp boss.</t>
        </is>
      </c>
      <c r="H1186" s="39" t="n"/>
    </row>
    <row r="1187" ht="15" customHeight="1" s="32">
      <c r="A1187" s="41" t="inlineStr">
        <is>
          <t>behemoth_mk2</t>
        </is>
      </c>
      <c r="B1187" s="41" t="inlineStr">
        <is>
          <t>Behemoth Mk.II · Behemoth nâng cấp</t>
        </is>
      </c>
      <c r="C1187" s="41" t="inlineStr">
        <is>
          <t>Vũ khí</t>
        </is>
      </c>
      <c r="D1187" s="43" t="n">
        <v>3</v>
      </c>
      <c r="E1187" s="49" t="inlineStr">
        <is>
          <t>Giữ</t>
        </is>
      </c>
      <c r="F1187" s="41" t="n"/>
      <c r="G1187" s="41" t="inlineStr">
        <is>
          <t>Khớp thiết kế.</t>
        </is>
      </c>
      <c r="H1187" s="41" t="n"/>
    </row>
    <row r="1188" ht="21.75" customHeight="1" s="32">
      <c r="A1188" s="39" t="inlineStr">
        <is>
          <t>landing_hovercraft</t>
        </is>
      </c>
      <c r="B1188" s="39" t="inlineStr">
        <is>
          <t>Charybdis · Tàu đệm khí đổ bộ</t>
        </is>
      </c>
      <c r="C1188" s="39" t="inlineStr">
        <is>
          <t>Máu</t>
        </is>
      </c>
      <c r="D1188" s="42" t="n">
        <v>7293</v>
      </c>
      <c r="E1188" s="47" t="inlineStr">
        <is>
          <t>Đổi</t>
        </is>
      </c>
      <c r="F1188" s="39" t="inlineStr">
        <is>
          <t>8550–11400</t>
        </is>
      </c>
      <c r="G1188" s="39" t="inlineStr">
        <is>
          <t>Theo thang máu boss mới (Tổng quan): mini boss bằng 45–60% boss chủ lực chương 6. Máu gốc trước scale chiến dịch.</t>
        </is>
      </c>
      <c r="H1188" s="48" t="inlineStr">
        <is>
          <t>Trung</t>
        </is>
      </c>
    </row>
    <row r="1189" ht="15" customHeight="1" s="32">
      <c r="A1189" s="41" t="inlineStr">
        <is>
          <t>landing_hovercraft</t>
        </is>
      </c>
      <c r="B1189" s="41" t="inlineStr">
        <is>
          <t>Charybdis · Tàu đệm khí đổ bộ</t>
        </is>
      </c>
      <c r="C1189" s="41" t="inlineStr">
        <is>
          <t>Giáp</t>
        </is>
      </c>
      <c r="D1189" s="41" t="inlineStr">
        <is>
          <t>3/2/1/1</t>
        </is>
      </c>
      <c r="E1189" s="49" t="inlineStr">
        <is>
          <t>Giữ</t>
        </is>
      </c>
      <c r="F1189" s="41" t="n"/>
      <c r="G1189" s="41" t="n"/>
      <c r="H1189" s="41" t="n"/>
    </row>
    <row r="1190" ht="15" customHeight="1" s="32">
      <c r="A1190" s="39" t="inlineStr">
        <is>
          <t>landing_hovercraft</t>
        </is>
      </c>
      <c r="B1190" s="39" t="inlineStr">
        <is>
          <t>Charybdis · Tàu đệm khí đổ bộ</t>
        </is>
      </c>
      <c r="C1190" s="39" t="inlineStr">
        <is>
          <t>Kích thước</t>
        </is>
      </c>
      <c r="D1190" s="39" t="inlineStr">
        <is>
          <t>24.9 × 13.5 × 7.7</t>
        </is>
      </c>
      <c r="E1190" s="49" t="inlineStr">
        <is>
          <t>Giữ</t>
        </is>
      </c>
      <c r="F1190" s="39" t="n"/>
      <c r="G1190" s="39" t="inlineStr">
        <is>
          <t>Hợp cấp boss.</t>
        </is>
      </c>
      <c r="H1190" s="39" t="n"/>
    </row>
    <row r="1191" ht="15" customHeight="1" s="32">
      <c r="A1191" s="41" t="inlineStr">
        <is>
          <t>landing_hovercraft</t>
        </is>
      </c>
      <c r="B1191" s="41" t="inlineStr">
        <is>
          <t>Charybdis · Tàu đệm khí đổ bộ</t>
        </is>
      </c>
      <c r="C1191" s="41" t="inlineStr">
        <is>
          <t>Vũ khí</t>
        </is>
      </c>
      <c r="D1191" s="43" t="n">
        <v>5</v>
      </c>
      <c r="E1191" s="49" t="inlineStr">
        <is>
          <t>Giữ</t>
        </is>
      </c>
      <c r="F1191" s="41" t="n"/>
      <c r="G1191" s="41" t="inlineStr">
        <is>
          <t>Khớp thiết kế.</t>
        </is>
      </c>
      <c r="H1191" s="41" t="n"/>
    </row>
    <row r="1192" ht="21.75" customHeight="1" s="32">
      <c r="A1192" s="39" t="inlineStr">
        <is>
          <t>argus</t>
        </is>
      </c>
      <c r="B1192" s="39" t="inlineStr">
        <is>
          <t>Argus · Khí cầu trinh sát</t>
        </is>
      </c>
      <c r="C1192" s="39" t="inlineStr">
        <is>
          <t>Máu</t>
        </is>
      </c>
      <c r="D1192" s="42" t="n">
        <v>7410</v>
      </c>
      <c r="E1192" s="47" t="inlineStr">
        <is>
          <t>Đổi</t>
        </is>
      </c>
      <c r="F1192" s="39" t="inlineStr">
        <is>
          <t>10350–13800</t>
        </is>
      </c>
      <c r="G1192" s="39" t="inlineStr">
        <is>
          <t>Theo thang máu boss mới (Tổng quan): mini boss bằng 45–60% boss chủ lực chương 10. Máu gốc trước scale chiến dịch.</t>
        </is>
      </c>
      <c r="H1192" s="48" t="inlineStr">
        <is>
          <t>Trung</t>
        </is>
      </c>
    </row>
    <row r="1193" ht="15" customHeight="1" s="32">
      <c r="A1193" s="41" t="inlineStr">
        <is>
          <t>argus</t>
        </is>
      </c>
      <c r="B1193" s="41" t="inlineStr">
        <is>
          <t>Argus · Khí cầu trinh sát</t>
        </is>
      </c>
      <c r="C1193" s="41" t="inlineStr">
        <is>
          <t>Giáp</t>
        </is>
      </c>
      <c r="D1193" s="41" t="inlineStr">
        <is>
          <t>cấp 2 (Vừa)</t>
        </is>
      </c>
      <c r="E1193" s="49" t="inlineStr">
        <is>
          <t>Giữ</t>
        </is>
      </c>
      <c r="F1193" s="41" t="n"/>
      <c r="G1193" s="41" t="n"/>
      <c r="H1193" s="41" t="n"/>
    </row>
    <row r="1194" ht="15" customHeight="1" s="32">
      <c r="A1194" s="39" t="inlineStr">
        <is>
          <t>argus</t>
        </is>
      </c>
      <c r="B1194" s="39" t="inlineStr">
        <is>
          <t>Argus · Khí cầu trinh sát</t>
        </is>
      </c>
      <c r="C1194" s="39" t="inlineStr">
        <is>
          <t>Kích thước</t>
        </is>
      </c>
      <c r="D1194" s="39" t="inlineStr">
        <is>
          <t>29.6 × 20.5 × 10.5</t>
        </is>
      </c>
      <c r="E1194" s="49" t="inlineStr">
        <is>
          <t>Giữ</t>
        </is>
      </c>
      <c r="F1194" s="39" t="n"/>
      <c r="G1194" s="39" t="inlineStr">
        <is>
          <t>Hợp cấp boss.</t>
        </is>
      </c>
      <c r="H1194" s="39" t="n"/>
    </row>
    <row r="1195" ht="15" customHeight="1" s="32">
      <c r="A1195" s="41" t="inlineStr">
        <is>
          <t>argus</t>
        </is>
      </c>
      <c r="B1195" s="41" t="inlineStr">
        <is>
          <t>Argus · Khí cầu trinh sát</t>
        </is>
      </c>
      <c r="C1195" s="41" t="inlineStr">
        <is>
          <t>Vũ khí</t>
        </is>
      </c>
      <c r="D1195" s="43" t="n">
        <v>2</v>
      </c>
      <c r="E1195" s="49" t="inlineStr">
        <is>
          <t>Giữ</t>
        </is>
      </c>
      <c r="F1195" s="41" t="n"/>
      <c r="G1195" s="41" t="inlineStr">
        <is>
          <t>Khớp thiết kế.</t>
        </is>
      </c>
      <c r="H1195" s="41" t="n"/>
    </row>
    <row r="1196" ht="21.75" customHeight="1" s="32">
      <c r="A1196" s="39" t="inlineStr">
        <is>
          <t>ixion</t>
        </is>
      </c>
      <c r="B1196" s="39" t="inlineStr">
        <is>
          <t>Ixion · Xe bánh khổng lồ</t>
        </is>
      </c>
      <c r="C1196" s="39" t="inlineStr">
        <is>
          <t>Máu</t>
        </is>
      </c>
      <c r="D1196" s="42" t="n">
        <v>7574</v>
      </c>
      <c r="E1196" s="47" t="inlineStr">
        <is>
          <t>Đổi</t>
        </is>
      </c>
      <c r="F1196" s="39" t="inlineStr">
        <is>
          <t>9450–12600</t>
        </is>
      </c>
      <c r="G1196" s="39" t="inlineStr">
        <is>
          <t>Theo thang máu boss mới (Tổng quan): mini boss bằng 45–60% boss chủ lực chương 8. Máu gốc trước scale chiến dịch.</t>
        </is>
      </c>
      <c r="H1196" s="48" t="inlineStr">
        <is>
          <t>Trung</t>
        </is>
      </c>
    </row>
    <row r="1197" ht="15" customHeight="1" s="32">
      <c r="A1197" s="41" t="inlineStr">
        <is>
          <t>ixion</t>
        </is>
      </c>
      <c r="B1197" s="41" t="inlineStr">
        <is>
          <t>Ixion · Xe bánh khổng lồ</t>
        </is>
      </c>
      <c r="C1197" s="41" t="inlineStr">
        <is>
          <t>Giáp</t>
        </is>
      </c>
      <c r="D1197" s="41" t="inlineStr">
        <is>
          <t>3/2/1/1</t>
        </is>
      </c>
      <c r="E1197" s="49" t="inlineStr">
        <is>
          <t>Giữ</t>
        </is>
      </c>
      <c r="F1197" s="41" t="n"/>
      <c r="G1197" s="41" t="n"/>
      <c r="H1197" s="41" t="n"/>
    </row>
    <row r="1198" ht="15" customHeight="1" s="32">
      <c r="A1198" s="39" t="inlineStr">
        <is>
          <t>ixion</t>
        </is>
      </c>
      <c r="B1198" s="39" t="inlineStr">
        <is>
          <t>Ixion · Xe bánh khổng lồ</t>
        </is>
      </c>
      <c r="C1198" s="39" t="inlineStr">
        <is>
          <t>Kích thước</t>
        </is>
      </c>
      <c r="D1198" s="39" t="inlineStr">
        <is>
          <t>21.7 × 19.0 × 11.9</t>
        </is>
      </c>
      <c r="E1198" s="49" t="inlineStr">
        <is>
          <t>Giữ</t>
        </is>
      </c>
      <c r="F1198" s="39" t="n"/>
      <c r="G1198" s="39" t="inlineStr">
        <is>
          <t>Hợp cấp boss.</t>
        </is>
      </c>
      <c r="H1198" s="39" t="n"/>
    </row>
    <row r="1199" ht="15" customHeight="1" s="32">
      <c r="A1199" s="41" t="inlineStr">
        <is>
          <t>ixion</t>
        </is>
      </c>
      <c r="B1199" s="41" t="inlineStr">
        <is>
          <t>Ixion · Xe bánh khổng lồ</t>
        </is>
      </c>
      <c r="C1199" s="41" t="inlineStr">
        <is>
          <t>Vũ khí</t>
        </is>
      </c>
      <c r="D1199" s="43" t="n">
        <v>1</v>
      </c>
      <c r="E1199" s="49" t="inlineStr">
        <is>
          <t>Giữ</t>
        </is>
      </c>
      <c r="F1199" s="41" t="n"/>
      <c r="G1199" s="41" t="inlineStr">
        <is>
          <t>Khớp thiết kế.</t>
        </is>
      </c>
      <c r="H1199" s="41" t="n"/>
    </row>
    <row r="1200" ht="21.75" customHeight="1" s="32">
      <c r="A1200" s="39" t="inlineStr">
        <is>
          <t>fortress_hive</t>
        </is>
      </c>
      <c r="B1200" s="39" t="inlineStr">
        <is>
          <t>Hive · Pháo đài drone</t>
        </is>
      </c>
      <c r="C1200" s="39" t="inlineStr">
        <is>
          <t>Máu</t>
        </is>
      </c>
      <c r="D1200" s="42" t="n">
        <v>7597</v>
      </c>
      <c r="E1200" s="47" t="inlineStr">
        <is>
          <t>Đổi</t>
        </is>
      </c>
      <c r="F1200" s="39" t="inlineStr">
        <is>
          <t>8100–10800</t>
        </is>
      </c>
      <c r="G1200" s="39" t="inlineStr">
        <is>
          <t>Theo thang máu boss mới (Tổng quan): mini boss bằng 45–60% boss chủ lực chương 5. Máu gốc trước scale chiến dịch.</t>
        </is>
      </c>
      <c r="H1200" s="48" t="inlineStr">
        <is>
          <t>Trung</t>
        </is>
      </c>
    </row>
    <row r="1201" ht="15" customHeight="1" s="32">
      <c r="A1201" s="41" t="inlineStr">
        <is>
          <t>fortress_hive</t>
        </is>
      </c>
      <c r="B1201" s="41" t="inlineStr">
        <is>
          <t>Hive · Pháo đài drone</t>
        </is>
      </c>
      <c r="C1201" s="41" t="inlineStr">
        <is>
          <t>Giáp</t>
        </is>
      </c>
      <c r="D1201" s="41" t="inlineStr">
        <is>
          <t>4/3/2/2</t>
        </is>
      </c>
      <c r="E1201" s="49" t="inlineStr">
        <is>
          <t>Giữ</t>
        </is>
      </c>
      <c r="F1201" s="41" t="n"/>
      <c r="G1201" s="41" t="n"/>
      <c r="H1201" s="41" t="n"/>
    </row>
    <row r="1202" ht="15" customHeight="1" s="32">
      <c r="A1202" s="39" t="inlineStr">
        <is>
          <t>fortress_hive</t>
        </is>
      </c>
      <c r="B1202" s="39" t="inlineStr">
        <is>
          <t>Hive · Pháo đài drone</t>
        </is>
      </c>
      <c r="C1202" s="39" t="inlineStr">
        <is>
          <t>Kích thước</t>
        </is>
      </c>
      <c r="D1202" s="39" t="inlineStr">
        <is>
          <t>16.4 × 9.3 × 8.5</t>
        </is>
      </c>
      <c r="E1202" s="49" t="inlineStr">
        <is>
          <t>Giữ</t>
        </is>
      </c>
      <c r="F1202" s="39" t="n"/>
      <c r="G1202" s="39" t="inlineStr">
        <is>
          <t>Hợp cấp boss.</t>
        </is>
      </c>
      <c r="H1202" s="39" t="n"/>
    </row>
    <row r="1203" ht="15" customHeight="1" s="32">
      <c r="A1203" s="41" t="inlineStr">
        <is>
          <t>fortress_hive</t>
        </is>
      </c>
      <c r="B1203" s="41" t="inlineStr">
        <is>
          <t>Hive · Pháo đài drone</t>
        </is>
      </c>
      <c r="C1203" s="41" t="inlineStr">
        <is>
          <t>Vũ khí</t>
        </is>
      </c>
      <c r="D1203" s="43" t="n">
        <v>4</v>
      </c>
      <c r="E1203" s="49" t="inlineStr">
        <is>
          <t>Giữ</t>
        </is>
      </c>
      <c r="F1203" s="41" t="n"/>
      <c r="G1203" s="41" t="inlineStr">
        <is>
          <t>Khớp thiết kế.</t>
        </is>
      </c>
      <c r="H1203" s="41" t="n"/>
    </row>
    <row r="1204" ht="21.75" customHeight="1" s="32">
      <c r="A1204" s="39" t="inlineStr">
        <is>
          <t>caspian</t>
        </is>
      </c>
      <c r="B1204" s="39" t="inlineStr">
        <is>
          <t>Caspian · Tàu bay sát mặt nước</t>
        </is>
      </c>
      <c r="C1204" s="39" t="inlineStr">
        <is>
          <t>Máu</t>
        </is>
      </c>
      <c r="D1204" s="42" t="n">
        <v>7597</v>
      </c>
      <c r="E1204" s="47" t="inlineStr">
        <is>
          <t>Đổi</t>
        </is>
      </c>
      <c r="F1204" s="39" t="inlineStr">
        <is>
          <t>9900–13200</t>
        </is>
      </c>
      <c r="G1204" s="39" t="inlineStr">
        <is>
          <t>Theo thang máu boss mới (Tổng quan): mini boss bằng 45–60% boss chủ lực chương 9. Máu gốc trước scale chiến dịch.</t>
        </is>
      </c>
      <c r="H1204" s="48" t="inlineStr">
        <is>
          <t>Trung</t>
        </is>
      </c>
    </row>
    <row r="1205" ht="15" customHeight="1" s="32">
      <c r="A1205" s="41" t="inlineStr">
        <is>
          <t>caspian</t>
        </is>
      </c>
      <c r="B1205" s="41" t="inlineStr">
        <is>
          <t>Caspian · Tàu bay sát mặt nước</t>
        </is>
      </c>
      <c r="C1205" s="41" t="inlineStr">
        <is>
          <t>Giáp</t>
        </is>
      </c>
      <c r="D1205" s="41" t="inlineStr">
        <is>
          <t>2/2/2/1</t>
        </is>
      </c>
      <c r="E1205" s="49" t="inlineStr">
        <is>
          <t>Giữ</t>
        </is>
      </c>
      <c r="F1205" s="41" t="n"/>
      <c r="G1205" s="41" t="n"/>
      <c r="H1205" s="41" t="n"/>
    </row>
    <row r="1206" ht="15" customHeight="1" s="32">
      <c r="A1206" s="39" t="inlineStr">
        <is>
          <t>caspian</t>
        </is>
      </c>
      <c r="B1206" s="39" t="inlineStr">
        <is>
          <t>Caspian · Tàu bay sát mặt nước</t>
        </is>
      </c>
      <c r="C1206" s="39" t="inlineStr">
        <is>
          <t>Kích thước</t>
        </is>
      </c>
      <c r="D1206" s="39" t="inlineStr">
        <is>
          <t>52.9 × 39.0 × 16.0</t>
        </is>
      </c>
      <c r="E1206" s="49" t="inlineStr">
        <is>
          <t>Giữ</t>
        </is>
      </c>
      <c r="F1206" s="39" t="n"/>
      <c r="G1206" s="39" t="inlineStr">
        <is>
          <t>Hợp cấp boss.</t>
        </is>
      </c>
      <c r="H1206" s="39" t="n"/>
    </row>
    <row r="1207" ht="21.75" customHeight="1" s="32">
      <c r="A1207" s="41" t="inlineStr">
        <is>
          <t>caspian</t>
        </is>
      </c>
      <c r="B1207" s="41" t="inlineStr">
        <is>
          <t>Caspian · Tàu bay sát mặt nước</t>
        </is>
      </c>
      <c r="C1207" s="41" t="inlineStr">
        <is>
          <t>Vũ khí</t>
        </is>
      </c>
      <c r="D1207" s="41" t="inlineStr">
        <is>
          <t>chỉ AK-630 · DPS 22/11/7</t>
        </is>
      </c>
      <c r="E1207" s="47" t="inlineStr">
        <is>
          <t>Đổi</t>
        </is>
      </c>
      <c r="F1207" s="41" t="inlineStr">
        <is>
          <t>thêm 2 tháp 23 mm đôi và 1 tên lửa chống hạm bắn thường mỗi lượt lướt</t>
        </is>
      </c>
      <c r="G1207" s="41" t="inlineStr">
        <is>
          <t>Mini boss gần như không có vũ khí ngoài đòn lớn.</t>
        </is>
      </c>
      <c r="H1207" s="47" t="inlineStr">
        <is>
          <t>Cao</t>
        </is>
      </c>
    </row>
    <row r="1208" ht="21.75" customHeight="1" s="32">
      <c r="A1208" s="39" t="inlineStr">
        <is>
          <t>supreme_command</t>
        </is>
      </c>
      <c r="B1208" s="39" t="inlineStr">
        <is>
          <t>Atlas · Xe chỉ huy siêu nặng</t>
        </is>
      </c>
      <c r="C1208" s="39" t="inlineStr">
        <is>
          <t>Máu</t>
        </is>
      </c>
      <c r="D1208" s="42" t="n">
        <v>8205</v>
      </c>
      <c r="E1208" s="47" t="inlineStr">
        <is>
          <t>Đổi</t>
        </is>
      </c>
      <c r="F1208" s="39" t="inlineStr">
        <is>
          <t>9000–12000</t>
        </is>
      </c>
      <c r="G1208" s="39" t="inlineStr">
        <is>
          <t>Theo thang máu boss mới (Tổng quan): mini boss bằng 45–60% boss chủ lực chương 7. Máu gốc trước scale chiến dịch.</t>
        </is>
      </c>
      <c r="H1208" s="48" t="inlineStr">
        <is>
          <t>Trung</t>
        </is>
      </c>
    </row>
    <row r="1209" ht="15" customHeight="1" s="32">
      <c r="A1209" s="41" t="inlineStr">
        <is>
          <t>supreme_command</t>
        </is>
      </c>
      <c r="B1209" s="41" t="inlineStr">
        <is>
          <t>Atlas · Xe chỉ huy siêu nặng</t>
        </is>
      </c>
      <c r="C1209" s="41" t="inlineStr">
        <is>
          <t>Giáp</t>
        </is>
      </c>
      <c r="D1209" s="41" t="inlineStr">
        <is>
          <t>5/3/2/2</t>
        </is>
      </c>
      <c r="E1209" s="47" t="inlineStr">
        <is>
          <t>Đổi</t>
        </is>
      </c>
      <c r="F1209" s="41" t="inlineStr">
        <is>
          <t>4/3/2/2</t>
        </is>
      </c>
      <c r="G1209" s="41" t="inlineStr">
        <is>
          <t>Mini boss không có giáp trước 5 (chỉ boss chủ lực).</t>
        </is>
      </c>
      <c r="H1209" s="49" t="inlineStr">
        <is>
          <t>Thấp</t>
        </is>
      </c>
    </row>
    <row r="1210" ht="15" customHeight="1" s="32">
      <c r="A1210" s="39" t="inlineStr">
        <is>
          <t>supreme_command</t>
        </is>
      </c>
      <c r="B1210" s="39" t="inlineStr">
        <is>
          <t>Atlas · Xe chỉ huy siêu nặng</t>
        </is>
      </c>
      <c r="C1210" s="39" t="inlineStr">
        <is>
          <t>Kích thước</t>
        </is>
      </c>
      <c r="D1210" s="39" t="inlineStr">
        <is>
          <t>12.4 × 4.3 × 9.5</t>
        </is>
      </c>
      <c r="E1210" s="49" t="inlineStr">
        <is>
          <t>Giữ</t>
        </is>
      </c>
      <c r="F1210" s="39" t="n"/>
      <c r="G1210" s="39" t="inlineStr">
        <is>
          <t>Hợp cấp boss.</t>
        </is>
      </c>
      <c r="H1210" s="39" t="n"/>
    </row>
    <row r="1211" ht="15" customHeight="1" s="32">
      <c r="A1211" s="41" t="inlineStr">
        <is>
          <t>supreme_command</t>
        </is>
      </c>
      <c r="B1211" s="41" t="inlineStr">
        <is>
          <t>Atlas · Xe chỉ huy siêu nặng</t>
        </is>
      </c>
      <c r="C1211" s="41" t="inlineStr">
        <is>
          <t>Vũ khí</t>
        </is>
      </c>
      <c r="D1211" s="43" t="n">
        <v>2</v>
      </c>
      <c r="E1211" s="49" t="inlineStr">
        <is>
          <t>Giữ</t>
        </is>
      </c>
      <c r="F1211" s="41" t="n"/>
      <c r="G1211" s="41" t="inlineStr">
        <is>
          <t>Khớp thiết kế.</t>
        </is>
      </c>
      <c r="H1211" s="41" t="n"/>
    </row>
    <row r="1212" ht="21.75" customHeight="1" s="32">
      <c r="A1212" s="39" t="inlineStr">
        <is>
          <t>sky_fortress</t>
        </is>
      </c>
      <c r="B1212" s="39" t="inlineStr">
        <is>
          <t>Spectre · Máy bay pháo</t>
        </is>
      </c>
      <c r="C1212" s="39" t="inlineStr">
        <is>
          <t>Máu</t>
        </is>
      </c>
      <c r="D1212" s="42" t="n">
        <v>8508</v>
      </c>
      <c r="E1212" s="47" t="inlineStr">
        <is>
          <t>Đổi</t>
        </is>
      </c>
      <c r="F1212" s="39" t="inlineStr">
        <is>
          <t>10350–13800</t>
        </is>
      </c>
      <c r="G1212" s="39" t="inlineStr">
        <is>
          <t>Theo thang máu boss mới (Tổng quan): mini boss bằng 45–60% boss chủ lực chương 10. Máu gốc trước scale chiến dịch.</t>
        </is>
      </c>
      <c r="H1212" s="48" t="inlineStr">
        <is>
          <t>Trung</t>
        </is>
      </c>
    </row>
    <row r="1213" ht="15" customHeight="1" s="32">
      <c r="A1213" s="41" t="inlineStr">
        <is>
          <t>sky_fortress</t>
        </is>
      </c>
      <c r="B1213" s="41" t="inlineStr">
        <is>
          <t>Spectre · Máy bay pháo</t>
        </is>
      </c>
      <c r="C1213" s="41" t="inlineStr">
        <is>
          <t>Giáp</t>
        </is>
      </c>
      <c r="D1213" s="41" t="inlineStr">
        <is>
          <t>cấp 2 (Vừa)</t>
        </is>
      </c>
      <c r="E1213" s="49" t="inlineStr">
        <is>
          <t>Giữ</t>
        </is>
      </c>
      <c r="F1213" s="41" t="n"/>
      <c r="G1213" s="41" t="n"/>
      <c r="H1213" s="41" t="n"/>
    </row>
    <row r="1214" ht="15" customHeight="1" s="32">
      <c r="A1214" s="39" t="inlineStr">
        <is>
          <t>sky_fortress</t>
        </is>
      </c>
      <c r="B1214" s="39" t="inlineStr">
        <is>
          <t>Spectre · Máy bay pháo</t>
        </is>
      </c>
      <c r="C1214" s="39" t="inlineStr">
        <is>
          <t>Kích thước</t>
        </is>
      </c>
      <c r="D1214" s="39" t="inlineStr">
        <is>
          <t>19.4 × 24.6 × 7.7</t>
        </is>
      </c>
      <c r="E1214" s="49" t="inlineStr">
        <is>
          <t>Giữ</t>
        </is>
      </c>
      <c r="F1214" s="39" t="n"/>
      <c r="G1214" s="39" t="inlineStr">
        <is>
          <t>Hợp cấp boss.</t>
        </is>
      </c>
      <c r="H1214" s="39" t="n"/>
    </row>
    <row r="1215" ht="15" customHeight="1" s="32">
      <c r="A1215" s="41" t="inlineStr">
        <is>
          <t>sky_fortress</t>
        </is>
      </c>
      <c r="B1215" s="41" t="inlineStr">
        <is>
          <t>Spectre · Máy bay pháo</t>
        </is>
      </c>
      <c r="C1215" s="41" t="inlineStr">
        <is>
          <t>Vũ khí</t>
        </is>
      </c>
      <c r="D1215" s="43" t="n">
        <v>4</v>
      </c>
      <c r="E1215" s="49" t="inlineStr">
        <is>
          <t>Giữ</t>
        </is>
      </c>
      <c r="F1215" s="41" t="n"/>
      <c r="G1215" s="41" t="inlineStr">
        <is>
          <t>Khớp thiết kế.</t>
        </is>
      </c>
      <c r="H1215" s="41" t="n"/>
    </row>
    <row r="1216" ht="21.75" customHeight="1" s="32">
      <c r="A1216" s="39" t="inlineStr">
        <is>
          <t>icarus_mk0</t>
        </is>
      </c>
      <c r="B1216" s="39" t="inlineStr">
        <is>
          <t>Icarus Mk.0 · Phi thuyền nguyên mẫu</t>
        </is>
      </c>
      <c r="C1216" s="39" t="inlineStr">
        <is>
          <t>Máu</t>
        </is>
      </c>
      <c r="D1216" s="42" t="n">
        <v>8696</v>
      </c>
      <c r="E1216" s="47" t="inlineStr">
        <is>
          <t>Đổi</t>
        </is>
      </c>
      <c r="F1216" s="39" t="inlineStr">
        <is>
          <t>10350–13800</t>
        </is>
      </c>
      <c r="G1216" s="39" t="inlineStr">
        <is>
          <t>Theo thang máu boss mới (Tổng quan): mini boss bằng 45–60% boss chủ lực chương 10. Máu gốc trước scale chiến dịch.</t>
        </is>
      </c>
      <c r="H1216" s="48" t="inlineStr">
        <is>
          <t>Trung</t>
        </is>
      </c>
    </row>
    <row r="1217" ht="15" customHeight="1" s="32">
      <c r="A1217" s="41" t="inlineStr">
        <is>
          <t>icarus_mk0</t>
        </is>
      </c>
      <c r="B1217" s="41" t="inlineStr">
        <is>
          <t>Icarus Mk.0 · Phi thuyền nguyên mẫu</t>
        </is>
      </c>
      <c r="C1217" s="41" t="inlineStr">
        <is>
          <t>Giáp</t>
        </is>
      </c>
      <c r="D1217" s="41" t="inlineStr">
        <is>
          <t>cấp 4 (Rất dày)</t>
        </is>
      </c>
      <c r="E1217" s="49" t="inlineStr">
        <is>
          <t>Giữ</t>
        </is>
      </c>
      <c r="F1217" s="41" t="n"/>
      <c r="G1217" s="41" t="n"/>
      <c r="H1217" s="41" t="n"/>
    </row>
    <row r="1218" ht="15" customHeight="1" s="32">
      <c r="A1218" s="39" t="inlineStr">
        <is>
          <t>icarus_mk0</t>
        </is>
      </c>
      <c r="B1218" s="39" t="inlineStr">
        <is>
          <t>Icarus Mk.0 · Phi thuyền nguyên mẫu</t>
        </is>
      </c>
      <c r="C1218" s="39" t="inlineStr">
        <is>
          <t>Kích thước</t>
        </is>
      </c>
      <c r="D1218" s="39" t="inlineStr">
        <is>
          <t>24.1 × 16.2 × 5.8</t>
        </is>
      </c>
      <c r="E1218" s="49" t="inlineStr">
        <is>
          <t>Giữ</t>
        </is>
      </c>
      <c r="F1218" s="39" t="n"/>
      <c r="G1218" s="39" t="inlineStr">
        <is>
          <t>Hợp cấp boss.</t>
        </is>
      </c>
      <c r="H1218" s="39" t="n"/>
    </row>
    <row r="1219" ht="15" customHeight="1" s="32">
      <c r="A1219" s="41" t="inlineStr">
        <is>
          <t>icarus_mk0</t>
        </is>
      </c>
      <c r="B1219" s="41" t="inlineStr">
        <is>
          <t>Icarus Mk.0 · Phi thuyền nguyên mẫu</t>
        </is>
      </c>
      <c r="C1219" s="41" t="inlineStr">
        <is>
          <t>Vũ khí</t>
        </is>
      </c>
      <c r="D1219" s="43" t="n">
        <v>1</v>
      </c>
      <c r="E1219" s="49" t="inlineStr">
        <is>
          <t>Giữ</t>
        </is>
      </c>
      <c r="F1219" s="41" t="n"/>
      <c r="G1219" s="41" t="inlineStr">
        <is>
          <t>Khớp thiết kế.</t>
        </is>
      </c>
      <c r="H1219" s="41" t="n"/>
    </row>
    <row r="1220" ht="21.75" customHeight="1" s="32">
      <c r="A1220" s="39" t="inlineStr">
        <is>
          <t>behemoth_inferno</t>
        </is>
      </c>
      <c r="B1220" s="39" t="inlineStr">
        <is>
          <t>Inferno · Behemoth phun lửa</t>
        </is>
      </c>
      <c r="C1220" s="39" t="inlineStr">
        <is>
          <t>Máu</t>
        </is>
      </c>
      <c r="D1220" s="42" t="n">
        <v>8836</v>
      </c>
      <c r="E1220" s="49" t="inlineStr">
        <is>
          <t>Giữ</t>
        </is>
      </c>
      <c r="F1220" s="39" t="n"/>
      <c r="G1220" s="39" t="inlineStr">
        <is>
          <t>Theo thang máu boss mới (Tổng quan): mini boss bằng 45–60% boss chủ lực chương 2. Máu gốc trước scale chiến dịch.</t>
        </is>
      </c>
      <c r="H1220" s="39" t="n"/>
    </row>
    <row r="1221" ht="15" customHeight="1" s="32">
      <c r="A1221" s="41" t="inlineStr">
        <is>
          <t>behemoth_inferno</t>
        </is>
      </c>
      <c r="B1221" s="41" t="inlineStr">
        <is>
          <t>Inferno · Behemoth phun lửa</t>
        </is>
      </c>
      <c r="C1221" s="41" t="inlineStr">
        <is>
          <t>Giáp</t>
        </is>
      </c>
      <c r="D1221" s="41" t="inlineStr">
        <is>
          <t>5/3/2/2</t>
        </is>
      </c>
      <c r="E1221" s="47" t="inlineStr">
        <is>
          <t>Đổi</t>
        </is>
      </c>
      <c r="F1221" s="41" t="inlineStr">
        <is>
          <t>4/3/2/2</t>
        </is>
      </c>
      <c r="G1221" s="41" t="inlineStr">
        <is>
          <t>Mini boss không có giáp trước 5 (chỉ boss chủ lực).</t>
        </is>
      </c>
      <c r="H1221" s="49" t="inlineStr">
        <is>
          <t>Thấp</t>
        </is>
      </c>
    </row>
    <row r="1222" ht="15" customHeight="1" s="32">
      <c r="A1222" s="39" t="inlineStr">
        <is>
          <t>behemoth_inferno</t>
        </is>
      </c>
      <c r="B1222" s="39" t="inlineStr">
        <is>
          <t>Inferno · Behemoth phun lửa</t>
        </is>
      </c>
      <c r="C1222" s="39" t="inlineStr">
        <is>
          <t>Kích thước</t>
        </is>
      </c>
      <c r="D1222" s="39" t="inlineStr">
        <is>
          <t>12.8 × 6.6 × 5.6</t>
        </is>
      </c>
      <c r="E1222" s="49" t="inlineStr">
        <is>
          <t>Giữ</t>
        </is>
      </c>
      <c r="F1222" s="39" t="n"/>
      <c r="G1222" s="39" t="inlineStr">
        <is>
          <t>Hợp cấp boss.</t>
        </is>
      </c>
      <c r="H1222" s="39" t="n"/>
    </row>
    <row r="1223" ht="15" customHeight="1" s="32">
      <c r="A1223" s="41" t="inlineStr">
        <is>
          <t>behemoth_inferno</t>
        </is>
      </c>
      <c r="B1223" s="41" t="inlineStr">
        <is>
          <t>Inferno · Behemoth phun lửa</t>
        </is>
      </c>
      <c r="C1223" s="41" t="inlineStr">
        <is>
          <t>Vũ khí</t>
        </is>
      </c>
      <c r="D1223" s="43" t="n">
        <v>3</v>
      </c>
      <c r="E1223" s="49" t="inlineStr">
        <is>
          <t>Giữ</t>
        </is>
      </c>
      <c r="F1223" s="41" t="n"/>
      <c r="G1223" s="41" t="inlineStr">
        <is>
          <t>Khớp thiết kế.</t>
        </is>
      </c>
      <c r="H1223" s="41" t="n"/>
    </row>
    <row r="1224" ht="21.75" customHeight="1" s="32">
      <c r="A1224" s="39" t="inlineStr">
        <is>
          <t>fenrir</t>
        </is>
      </c>
      <c r="B1224" s="39" t="inlineStr">
        <is>
          <t>Fenrir · Xe tiên phong</t>
        </is>
      </c>
      <c r="C1224" s="39" t="inlineStr">
        <is>
          <t>Máu</t>
        </is>
      </c>
      <c r="D1224" s="42" t="n">
        <v>9163</v>
      </c>
      <c r="E1224" s="49" t="inlineStr">
        <is>
          <t>Giữ</t>
        </is>
      </c>
      <c r="F1224" s="39" t="n"/>
      <c r="G1224" s="39" t="inlineStr">
        <is>
          <t>Theo thang máu boss mới (Tổng quan): mini boss bằng 45–60% boss chủ lực chương 3. Máu gốc trước scale chiến dịch.</t>
        </is>
      </c>
      <c r="H1224" s="39" t="n"/>
    </row>
    <row r="1225" ht="15" customHeight="1" s="32">
      <c r="A1225" s="41" t="inlineStr">
        <is>
          <t>fenrir</t>
        </is>
      </c>
      <c r="B1225" s="41" t="inlineStr">
        <is>
          <t>Fenrir · Xe tiên phong</t>
        </is>
      </c>
      <c r="C1225" s="41" t="inlineStr">
        <is>
          <t>Giáp</t>
        </is>
      </c>
      <c r="D1225" s="41" t="inlineStr">
        <is>
          <t>5/4/3/2</t>
        </is>
      </c>
      <c r="E1225" s="47" t="inlineStr">
        <is>
          <t>Đổi</t>
        </is>
      </c>
      <c r="F1225" s="41" t="inlineStr">
        <is>
          <t>4/4/3/2</t>
        </is>
      </c>
      <c r="G1225" s="41" t="inlineStr">
        <is>
          <t>Mini boss không có giáp trước 5 (chỉ boss chủ lực).</t>
        </is>
      </c>
      <c r="H1225" s="49" t="inlineStr">
        <is>
          <t>Thấp</t>
        </is>
      </c>
    </row>
    <row r="1226" ht="15" customHeight="1" s="32">
      <c r="A1226" s="39" t="inlineStr">
        <is>
          <t>fenrir</t>
        </is>
      </c>
      <c r="B1226" s="39" t="inlineStr">
        <is>
          <t>Fenrir · Xe tiên phong</t>
        </is>
      </c>
      <c r="C1226" s="39" t="inlineStr">
        <is>
          <t>Kích thước</t>
        </is>
      </c>
      <c r="D1226" s="39" t="inlineStr">
        <is>
          <t>16.2 × 9.1 × 8.3</t>
        </is>
      </c>
      <c r="E1226" s="49" t="inlineStr">
        <is>
          <t>Giữ</t>
        </is>
      </c>
      <c r="F1226" s="39" t="n"/>
      <c r="G1226" s="39" t="inlineStr">
        <is>
          <t>Hợp cấp boss.</t>
        </is>
      </c>
      <c r="H1226" s="39" t="n"/>
    </row>
    <row r="1227" ht="15" customHeight="1" s="32">
      <c r="A1227" s="41" t="inlineStr">
        <is>
          <t>fenrir</t>
        </is>
      </c>
      <c r="B1227" s="41" t="inlineStr">
        <is>
          <t>Fenrir · Xe tiên phong</t>
        </is>
      </c>
      <c r="C1227" s="41" t="inlineStr">
        <is>
          <t>Giáp</t>
        </is>
      </c>
      <c r="D1227" s="41" t="inlineStr">
        <is>
          <t>trước 5</t>
        </is>
      </c>
      <c r="E1227" s="47" t="inlineStr">
        <is>
          <t>Đổi</t>
        </is>
      </c>
      <c r="F1227" s="41" t="inlineStr">
        <is>
          <t>trước 4</t>
        </is>
      </c>
      <c r="G1227" s="41" t="inlineStr">
        <is>
          <t>Như trên.</t>
        </is>
      </c>
      <c r="H1227" s="49" t="inlineStr">
        <is>
          <t>Thấp</t>
        </is>
      </c>
    </row>
    <row r="1228" ht="21.75" customHeight="1" s="32">
      <c r="A1228" s="39" t="inlineStr">
        <is>
          <t>daedalus</t>
        </is>
      </c>
      <c r="B1228" s="39" t="inlineStr">
        <is>
          <t>Daedalus · Tàu đổ bộ quỹ đạo</t>
        </is>
      </c>
      <c r="C1228" s="39" t="inlineStr">
        <is>
          <t>Máu</t>
        </is>
      </c>
      <c r="D1228" s="42" t="n">
        <v>9435</v>
      </c>
      <c r="E1228" s="47" t="inlineStr">
        <is>
          <t>Đổi</t>
        </is>
      </c>
      <c r="F1228" s="39" t="inlineStr">
        <is>
          <t>~24.000 · thêm 2 tháp laser phòng thủ điểm và 2 pháo 57 mm dưới bụng</t>
        </is>
      </c>
      <c r="G1228" s="39" t="inlineStr">
        <is>
          <t>Boss chủ lực chương 11 yếu hơn nhiều mini boss.</t>
        </is>
      </c>
      <c r="H1228" s="47" t="inlineStr">
        <is>
          <t>Cao</t>
        </is>
      </c>
    </row>
    <row r="1229" ht="15" customHeight="1" s="32">
      <c r="A1229" s="41" t="inlineStr">
        <is>
          <t>daedalus</t>
        </is>
      </c>
      <c r="B1229" s="41" t="inlineStr">
        <is>
          <t>Daedalus · Tàu đổ bộ quỹ đạo</t>
        </is>
      </c>
      <c r="C1229" s="41" t="inlineStr">
        <is>
          <t>Giáp</t>
        </is>
      </c>
      <c r="D1229" s="41" t="inlineStr">
        <is>
          <t>cấp 3 (Dày)</t>
        </is>
      </c>
      <c r="E1229" s="49" t="inlineStr">
        <is>
          <t>Giữ</t>
        </is>
      </c>
      <c r="F1229" s="41" t="n"/>
      <c r="G1229" s="41" t="n"/>
      <c r="H1229" s="41" t="n"/>
    </row>
    <row r="1230" ht="15" customHeight="1" s="32">
      <c r="A1230" s="39" t="inlineStr">
        <is>
          <t>daedalus</t>
        </is>
      </c>
      <c r="B1230" s="39" t="inlineStr">
        <is>
          <t>Daedalus · Tàu đổ bộ quỹ đạo</t>
        </is>
      </c>
      <c r="C1230" s="39" t="inlineStr">
        <is>
          <t>Kích thước</t>
        </is>
      </c>
      <c r="D1230" s="39" t="inlineStr">
        <is>
          <t>36.4 × 20.4 × 11.8</t>
        </is>
      </c>
      <c r="E1230" s="47" t="inlineStr">
        <is>
          <t>Đổi</t>
        </is>
      </c>
      <c r="F1230" s="39" t="inlineStr">
        <is>
          <t>~45 × 26 m</t>
        </is>
      </c>
      <c r="G1230" s="39" t="inlineStr">
        <is>
          <t>Boss chủ lực chương 11 nhỏ hơn mini boss Caspian.</t>
        </is>
      </c>
      <c r="H1230" s="48" t="inlineStr">
        <is>
          <t>Trung</t>
        </is>
      </c>
    </row>
    <row r="1231" ht="15" customHeight="1" s="32">
      <c r="A1231" s="41" t="inlineStr">
        <is>
          <t>daedalus</t>
        </is>
      </c>
      <c r="B1231" s="41" t="inlineStr">
        <is>
          <t>Daedalus · Tàu đổ bộ quỹ đạo</t>
        </is>
      </c>
      <c r="C1231" s="41" t="inlineStr">
        <is>
          <t>Vũ khí</t>
        </is>
      </c>
      <c r="D1231" s="43" t="n">
        <v>2</v>
      </c>
      <c r="E1231" s="49" t="inlineStr">
        <is>
          <t>Giữ</t>
        </is>
      </c>
      <c r="F1231" s="41" t="n"/>
      <c r="G1231" s="41" t="inlineStr">
        <is>
          <t>Khớp thiết kế.</t>
        </is>
      </c>
      <c r="H1231" s="41" t="n"/>
    </row>
    <row r="1232" ht="21.75" customHeight="1" s="32">
      <c r="A1232" s="39" t="inlineStr">
        <is>
          <t>mega_gunship</t>
        </is>
      </c>
      <c r="B1232" s="39" t="inlineStr">
        <is>
          <t>Harpy · Trực thăng khổng lồ</t>
        </is>
      </c>
      <c r="C1232" s="39" t="inlineStr">
        <is>
          <t>Máu</t>
        </is>
      </c>
      <c r="D1232" s="42" t="n">
        <v>9677</v>
      </c>
      <c r="E1232" s="49" t="inlineStr">
        <is>
          <t>Giữ</t>
        </is>
      </c>
      <c r="F1232" s="39" t="n"/>
      <c r="G1232" s="39" t="inlineStr">
        <is>
          <t>Theo thang máu boss mới (Tổng quan): mini boss bằng 45–60% boss chủ lực chương 3. Máu gốc trước scale chiến dịch.</t>
        </is>
      </c>
      <c r="H1232" s="39" t="n"/>
    </row>
    <row r="1233" ht="15" customHeight="1" s="32">
      <c r="A1233" s="41" t="inlineStr">
        <is>
          <t>mega_gunship</t>
        </is>
      </c>
      <c r="B1233" s="41" t="inlineStr">
        <is>
          <t>Harpy · Trực thăng khổng lồ</t>
        </is>
      </c>
      <c r="C1233" s="41" t="inlineStr">
        <is>
          <t>Giáp</t>
        </is>
      </c>
      <c r="D1233" s="41" t="inlineStr">
        <is>
          <t>cấp 2 (Vừa)</t>
        </is>
      </c>
      <c r="E1233" s="49" t="inlineStr">
        <is>
          <t>Giữ</t>
        </is>
      </c>
      <c r="F1233" s="41" t="n"/>
      <c r="G1233" s="41" t="n"/>
      <c r="H1233" s="41" t="n"/>
    </row>
    <row r="1234" ht="15" customHeight="1" s="32">
      <c r="A1234" s="39" t="inlineStr">
        <is>
          <t>mega_gunship</t>
        </is>
      </c>
      <c r="B1234" s="39" t="inlineStr">
        <is>
          <t>Harpy · Trực thăng khổng lồ</t>
        </is>
      </c>
      <c r="C1234" s="39" t="inlineStr">
        <is>
          <t>Kích thước</t>
        </is>
      </c>
      <c r="D1234" s="39" t="inlineStr">
        <is>
          <t>23.6 × 15.3 × 7.0</t>
        </is>
      </c>
      <c r="E1234" s="49" t="inlineStr">
        <is>
          <t>Giữ</t>
        </is>
      </c>
      <c r="F1234" s="39" t="n"/>
      <c r="G1234" s="39" t="inlineStr">
        <is>
          <t>Hợp cấp boss.</t>
        </is>
      </c>
      <c r="H1234" s="39" t="n"/>
    </row>
    <row r="1235" ht="15" customHeight="1" s="32">
      <c r="A1235" s="41" t="inlineStr">
        <is>
          <t>mega_gunship</t>
        </is>
      </c>
      <c r="B1235" s="41" t="inlineStr">
        <is>
          <t>Harpy · Trực thăng khổng lồ</t>
        </is>
      </c>
      <c r="C1235" s="41" t="inlineStr">
        <is>
          <t>Vũ khí</t>
        </is>
      </c>
      <c r="D1235" s="43" t="n">
        <v>5</v>
      </c>
      <c r="E1235" s="49" t="inlineStr">
        <is>
          <t>Giữ</t>
        </is>
      </c>
      <c r="F1235" s="41" t="n"/>
      <c r="G1235" s="41" t="inlineStr">
        <is>
          <t>Khớp thiết kế.</t>
        </is>
      </c>
      <c r="H1235" s="41" t="n"/>
    </row>
    <row r="1236" ht="15" customHeight="1" s="32">
      <c r="A1236" s="39" t="inlineStr">
        <is>
          <t>behemoth</t>
        </is>
      </c>
      <c r="B1236" s="39" t="inlineStr">
        <is>
          <t>Behemoth · Quái vật thép</t>
        </is>
      </c>
      <c r="C1236" s="39" t="inlineStr">
        <is>
          <t>Máu</t>
        </is>
      </c>
      <c r="D1236" s="42" t="n">
        <v>10115</v>
      </c>
      <c r="E1236" s="47" t="inlineStr">
        <is>
          <t>Đổi</t>
        </is>
      </c>
      <c r="F1236" s="39" t="inlineStr">
        <is>
          <t>~13.000</t>
        </is>
      </c>
      <c r="G1236" s="39" t="inlineStr">
        <is>
          <t>Boss chủ lực chương 2 ít máu hơn mini boss chương 1.</t>
        </is>
      </c>
      <c r="H1236" s="48" t="inlineStr">
        <is>
          <t>Trung</t>
        </is>
      </c>
    </row>
    <row r="1237" ht="15" customHeight="1" s="32">
      <c r="A1237" s="41" t="inlineStr">
        <is>
          <t>behemoth</t>
        </is>
      </c>
      <c r="B1237" s="41" t="inlineStr">
        <is>
          <t>Behemoth · Quái vật thép</t>
        </is>
      </c>
      <c r="C1237" s="41" t="inlineStr">
        <is>
          <t>Giáp</t>
        </is>
      </c>
      <c r="D1237" s="41" t="inlineStr">
        <is>
          <t>5/4/3/2</t>
        </is>
      </c>
      <c r="E1237" s="49" t="inlineStr">
        <is>
          <t>Giữ</t>
        </is>
      </c>
      <c r="F1237" s="41" t="n"/>
      <c r="G1237" s="41" t="n"/>
      <c r="H1237" s="41" t="n"/>
    </row>
    <row r="1238" ht="15" customHeight="1" s="32">
      <c r="A1238" s="39" t="inlineStr">
        <is>
          <t>behemoth</t>
        </is>
      </c>
      <c r="B1238" s="39" t="inlineStr">
        <is>
          <t>Behemoth · Quái vật thép</t>
        </is>
      </c>
      <c r="C1238" s="39" t="inlineStr">
        <is>
          <t>Kích thước</t>
        </is>
      </c>
      <c r="D1238" s="39" t="inlineStr">
        <is>
          <t>22.3 × 13.3 × 9.6</t>
        </is>
      </c>
      <c r="E1238" s="49" t="inlineStr">
        <is>
          <t>Giữ</t>
        </is>
      </c>
      <c r="F1238" s="39" t="n"/>
      <c r="G1238" s="39" t="inlineStr">
        <is>
          <t>Hợp cấp boss.</t>
        </is>
      </c>
      <c r="H1238" s="39" t="n"/>
    </row>
    <row r="1239" ht="15" customHeight="1" s="32">
      <c r="A1239" s="41" t="inlineStr">
        <is>
          <t>behemoth</t>
        </is>
      </c>
      <c r="B1239" s="41" t="inlineStr">
        <is>
          <t>Behemoth · Quái vật thép</t>
        </is>
      </c>
      <c r="C1239" s="41" t="inlineStr">
        <is>
          <t>Vũ khí</t>
        </is>
      </c>
      <c r="D1239" s="43" t="n">
        <v>9</v>
      </c>
      <c r="E1239" s="49" t="inlineStr">
        <is>
          <t>Giữ</t>
        </is>
      </c>
      <c r="F1239" s="41" t="n"/>
      <c r="G1239" s="41" t="inlineStr">
        <is>
          <t>Khớp thiết kế.</t>
        </is>
      </c>
      <c r="H1239" s="41" t="n"/>
    </row>
    <row r="1240" ht="15" customHeight="1" s="32">
      <c r="A1240" s="39" t="inlineStr">
        <is>
          <t>earth_borer</t>
        </is>
      </c>
      <c r="B1240" s="39" t="inlineStr">
        <is>
          <t>Tartarus · Máy khoan</t>
        </is>
      </c>
      <c r="C1240" s="39" t="inlineStr">
        <is>
          <t>Máu</t>
        </is>
      </c>
      <c r="D1240" s="42" t="n">
        <v>11430</v>
      </c>
      <c r="E1240" s="47" t="inlineStr">
        <is>
          <t>Đổi</t>
        </is>
      </c>
      <c r="F1240" s="39" t="inlineStr">
        <is>
          <t>~10.000 (mini chương 8)</t>
        </is>
      </c>
      <c r="G1240" s="39" t="inlineStr">
        <is>
          <t>Mini boss nhiều máu hơn boss chủ lực chương 2 và 11.</t>
        </is>
      </c>
      <c r="H1240" s="49" t="inlineStr">
        <is>
          <t>Thấp</t>
        </is>
      </c>
    </row>
    <row r="1241" ht="15" customHeight="1" s="32">
      <c r="A1241" s="41" t="inlineStr">
        <is>
          <t>earth_borer</t>
        </is>
      </c>
      <c r="B1241" s="41" t="inlineStr">
        <is>
          <t>Tartarus · Máy khoan</t>
        </is>
      </c>
      <c r="C1241" s="41" t="inlineStr">
        <is>
          <t>Giáp</t>
        </is>
      </c>
      <c r="D1241" s="41" t="inlineStr">
        <is>
          <t>4/3/2/2</t>
        </is>
      </c>
      <c r="E1241" s="49" t="inlineStr">
        <is>
          <t>Giữ</t>
        </is>
      </c>
      <c r="F1241" s="41" t="n"/>
      <c r="G1241" s="41" t="n"/>
      <c r="H1241" s="41" t="n"/>
    </row>
    <row r="1242" ht="15" customHeight="1" s="32">
      <c r="A1242" s="39" t="inlineStr">
        <is>
          <t>earth_borer</t>
        </is>
      </c>
      <c r="B1242" s="39" t="inlineStr">
        <is>
          <t>Tartarus · Máy khoan</t>
        </is>
      </c>
      <c r="C1242" s="39" t="inlineStr">
        <is>
          <t>Kích thước</t>
        </is>
      </c>
      <c r="D1242" s="39" t="inlineStr">
        <is>
          <t>19.9 × 4.9 × 5.9</t>
        </is>
      </c>
      <c r="E1242" s="49" t="inlineStr">
        <is>
          <t>Giữ</t>
        </is>
      </c>
      <c r="F1242" s="39" t="n"/>
      <c r="G1242" s="39" t="inlineStr">
        <is>
          <t>Hợp cấp boss.</t>
        </is>
      </c>
      <c r="H1242" s="39" t="n"/>
    </row>
    <row r="1243" ht="15" customHeight="1" s="32">
      <c r="A1243" s="41" t="inlineStr">
        <is>
          <t>earth_borer</t>
        </is>
      </c>
      <c r="B1243" s="41" t="inlineStr">
        <is>
          <t>Tartarus · Máy khoan</t>
        </is>
      </c>
      <c r="C1243" s="41" t="inlineStr">
        <is>
          <t>Vũ khí</t>
        </is>
      </c>
      <c r="D1243" s="43" t="n">
        <v>3</v>
      </c>
      <c r="E1243" s="49" t="inlineStr">
        <is>
          <t>Giữ</t>
        </is>
      </c>
      <c r="F1243" s="41" t="n"/>
      <c r="G1243" s="41" t="inlineStr">
        <is>
          <t>Khớp thiết kế.</t>
        </is>
      </c>
      <c r="H1243" s="41" t="n"/>
    </row>
    <row r="1244" ht="15" customHeight="1" s="32">
      <c r="A1244" s="39" t="inlineStr">
        <is>
          <t>bastion_mk0</t>
        </is>
      </c>
      <c r="B1244" s="39" t="inlineStr">
        <is>
          <t>Bastion Mk.0 · Pháo đài nguyên mẫu</t>
        </is>
      </c>
      <c r="C1244" s="39" t="inlineStr">
        <is>
          <t>Máu</t>
        </is>
      </c>
      <c r="D1244" s="42" t="n">
        <v>12576</v>
      </c>
      <c r="E1244" s="47" t="inlineStr">
        <is>
          <t>Đổi</t>
        </is>
      </c>
      <c r="F1244" s="39" t="inlineStr">
        <is>
          <t>~6.000 · trước 5→4</t>
        </is>
      </c>
      <c r="G1244" s="39" t="inlineStr">
        <is>
          <t>Mini boss chương 1 nhiều máu hơn boss chủ lực chương 2.</t>
        </is>
      </c>
      <c r="H1244" s="48" t="inlineStr">
        <is>
          <t>Trung</t>
        </is>
      </c>
    </row>
    <row r="1245" ht="15" customHeight="1" s="32">
      <c r="A1245" s="41" t="inlineStr">
        <is>
          <t>bastion_mk0</t>
        </is>
      </c>
      <c r="B1245" s="41" t="inlineStr">
        <is>
          <t>Bastion Mk.0 · Pháo đài nguyên mẫu</t>
        </is>
      </c>
      <c r="C1245" s="41" t="inlineStr">
        <is>
          <t>Giáp</t>
        </is>
      </c>
      <c r="D1245" s="41" t="inlineStr">
        <is>
          <t>5/4/4/3</t>
        </is>
      </c>
      <c r="E1245" s="47" t="inlineStr">
        <is>
          <t>Đổi</t>
        </is>
      </c>
      <c r="F1245" s="41" t="inlineStr">
        <is>
          <t>4/4/4/3</t>
        </is>
      </c>
      <c r="G1245" s="41" t="inlineStr">
        <is>
          <t>Mini boss không có giáp trước 5 (chỉ boss chủ lực).</t>
        </is>
      </c>
      <c r="H1245" s="49" t="inlineStr">
        <is>
          <t>Thấp</t>
        </is>
      </c>
    </row>
    <row r="1246" ht="15" customHeight="1" s="32">
      <c r="A1246" s="39" t="inlineStr">
        <is>
          <t>bastion_mk0</t>
        </is>
      </c>
      <c r="B1246" s="39" t="inlineStr">
        <is>
          <t>Bastion Mk.0 · Pháo đài nguyên mẫu</t>
        </is>
      </c>
      <c r="C1246" s="39" t="inlineStr">
        <is>
          <t>Kích thước</t>
        </is>
      </c>
      <c r="D1246" s="39" t="inlineStr">
        <is>
          <t>25.0 × 10.3 × 10.1</t>
        </is>
      </c>
      <c r="E1246" s="49" t="inlineStr">
        <is>
          <t>Giữ</t>
        </is>
      </c>
      <c r="F1246" s="39" t="n"/>
      <c r="G1246" s="39" t="inlineStr">
        <is>
          <t>Hợp cấp boss.</t>
        </is>
      </c>
      <c r="H1246" s="39" t="n"/>
    </row>
    <row r="1247" ht="15" customHeight="1" s="32">
      <c r="A1247" s="41" t="inlineStr">
        <is>
          <t>bastion_mk0</t>
        </is>
      </c>
      <c r="B1247" s="41" t="inlineStr">
        <is>
          <t>Bastion Mk.0 · Pháo đài nguyên mẫu</t>
        </is>
      </c>
      <c r="C1247" s="41" t="inlineStr">
        <is>
          <t>Vũ khí</t>
        </is>
      </c>
      <c r="D1247" s="43" t="n">
        <v>3</v>
      </c>
      <c r="E1247" s="49" t="inlineStr">
        <is>
          <t>Giữ</t>
        </is>
      </c>
      <c r="F1247" s="41" t="n"/>
      <c r="G1247" s="41" t="inlineStr">
        <is>
          <t>Khớp thiết kế.</t>
        </is>
      </c>
      <c r="H1247" s="41" t="n"/>
    </row>
    <row r="1248" ht="21.75" customHeight="1" s="32">
      <c r="A1248" s="39" t="inlineStr">
        <is>
          <t>nuke_train</t>
        </is>
      </c>
      <c r="B1248" s="39" t="inlineStr">
        <is>
          <t>Nemesis · Đoàn tàu tên lửa</t>
        </is>
      </c>
      <c r="C1248" s="39" t="inlineStr">
        <is>
          <t>Máu</t>
        </is>
      </c>
      <c r="D1248" s="42" t="n">
        <v>13260</v>
      </c>
      <c r="E1248" s="47" t="inlineStr">
        <is>
          <t>Đổi</t>
        </is>
      </c>
      <c r="F1248" s="39" t="inlineStr">
        <is>
          <t>18000–22000</t>
        </is>
      </c>
      <c r="G1248" s="39" t="inlineStr">
        <is>
          <t>Theo thang máu boss mới (Tổng quan): boss chủ lực chương 7. Máu gốc trước scale chiến dịch.</t>
        </is>
      </c>
      <c r="H1248" s="48" t="inlineStr">
        <is>
          <t>Trung</t>
        </is>
      </c>
    </row>
    <row r="1249" ht="15" customHeight="1" s="32">
      <c r="A1249" s="41" t="inlineStr">
        <is>
          <t>nuke_train</t>
        </is>
      </c>
      <c r="B1249" s="41" t="inlineStr">
        <is>
          <t>Nemesis · Đoàn tàu tên lửa</t>
        </is>
      </c>
      <c r="C1249" s="41" t="inlineStr">
        <is>
          <t>Giáp</t>
        </is>
      </c>
      <c r="D1249" s="41" t="inlineStr">
        <is>
          <t>5/4/3/2</t>
        </is>
      </c>
      <c r="E1249" s="49" t="inlineStr">
        <is>
          <t>Giữ</t>
        </is>
      </c>
      <c r="F1249" s="41" t="n"/>
      <c r="G1249" s="41" t="n"/>
      <c r="H1249" s="41" t="n"/>
    </row>
    <row r="1250" ht="15" customHeight="1" s="32">
      <c r="A1250" s="39" t="inlineStr">
        <is>
          <t>nuke_train</t>
        </is>
      </c>
      <c r="B1250" s="39" t="inlineStr">
        <is>
          <t>Nemesis · Đoàn tàu tên lửa</t>
        </is>
      </c>
      <c r="C1250" s="39" t="inlineStr">
        <is>
          <t>Kích thước</t>
        </is>
      </c>
      <c r="D1250" s="39" t="inlineStr">
        <is>
          <t>61.6 × 5.1 × 7.4</t>
        </is>
      </c>
      <c r="E1250" s="49" t="inlineStr">
        <is>
          <t>Giữ</t>
        </is>
      </c>
      <c r="F1250" s="39" t="n"/>
      <c r="G1250" s="39" t="inlineStr">
        <is>
          <t>Hợp cấp boss.</t>
        </is>
      </c>
      <c r="H1250" s="39" t="n"/>
    </row>
    <row r="1251" ht="15" customHeight="1" s="32">
      <c r="A1251" s="41" t="inlineStr">
        <is>
          <t>nuke_train</t>
        </is>
      </c>
      <c r="B1251" s="41" t="inlineStr">
        <is>
          <t>Nemesis · Đoàn tàu tên lửa</t>
        </is>
      </c>
      <c r="C1251" s="41" t="inlineStr">
        <is>
          <t>Vũ khí</t>
        </is>
      </c>
      <c r="D1251" s="43" t="n">
        <v>4</v>
      </c>
      <c r="E1251" s="49" t="inlineStr">
        <is>
          <t>Giữ</t>
        </is>
      </c>
      <c r="F1251" s="41" t="n"/>
      <c r="G1251" s="41" t="inlineStr">
        <is>
          <t>Khớp thiết kế.</t>
        </is>
      </c>
      <c r="H1251" s="41" t="n"/>
    </row>
    <row r="1252" ht="21.75" customHeight="1" s="32">
      <c r="A1252" s="39" t="inlineStr">
        <is>
          <t>scylla</t>
        </is>
      </c>
      <c r="B1252" s="39" t="inlineStr">
        <is>
          <t>Scylla · Tàu khu trục</t>
        </is>
      </c>
      <c r="C1252" s="39" t="inlineStr">
        <is>
          <t>Máu</t>
        </is>
      </c>
      <c r="D1252" s="42" t="n">
        <v>13370</v>
      </c>
      <c r="E1252" s="47" t="inlineStr">
        <is>
          <t>Đổi</t>
        </is>
      </c>
      <c r="F1252" s="39" t="inlineStr">
        <is>
          <t>pháo 130 mm AK-130 đôi + bệ tên lửa chống hạm + CIWS · ~9.000 máu</t>
        </is>
      </c>
      <c r="G1252" s="39" t="inlineStr">
        <is>
          <t>Tàu khu trục mini boss mang pháo thiết giáp hạm, máu cao hơn boss chủ lực.</t>
        </is>
      </c>
      <c r="H1252" s="47" t="inlineStr">
        <is>
          <t>Cao</t>
        </is>
      </c>
    </row>
    <row r="1253" ht="15" customHeight="1" s="32">
      <c r="A1253" s="41" t="inlineStr">
        <is>
          <t>scylla</t>
        </is>
      </c>
      <c r="B1253" s="41" t="inlineStr">
        <is>
          <t>Scylla · Tàu khu trục</t>
        </is>
      </c>
      <c r="C1253" s="41" t="inlineStr">
        <is>
          <t>Giáp</t>
        </is>
      </c>
      <c r="D1253" s="41" t="inlineStr">
        <is>
          <t>5/4/3/2</t>
        </is>
      </c>
      <c r="E1253" s="47" t="inlineStr">
        <is>
          <t>Đổi</t>
        </is>
      </c>
      <c r="F1253" s="41" t="inlineStr">
        <is>
          <t>4/4/3/2</t>
        </is>
      </c>
      <c r="G1253" s="41" t="inlineStr">
        <is>
          <t>Mini boss không có giáp trước 5 (chỉ boss chủ lực).</t>
        </is>
      </c>
      <c r="H1253" s="49" t="inlineStr">
        <is>
          <t>Thấp</t>
        </is>
      </c>
    </row>
    <row r="1254" ht="15" customHeight="1" s="32">
      <c r="A1254" s="39" t="inlineStr">
        <is>
          <t>scylla</t>
        </is>
      </c>
      <c r="B1254" s="39" t="inlineStr">
        <is>
          <t>Scylla · Tàu khu trục</t>
        </is>
      </c>
      <c r="C1254" s="39" t="inlineStr">
        <is>
          <t>Kích thước</t>
        </is>
      </c>
      <c r="D1254" s="39" t="inlineStr">
        <is>
          <t>48.8 × 9.2 × 14.2</t>
        </is>
      </c>
      <c r="E1254" s="49" t="inlineStr">
        <is>
          <t>Giữ</t>
        </is>
      </c>
      <c r="F1254" s="39" t="n"/>
      <c r="G1254" s="39" t="inlineStr">
        <is>
          <t>Hợp cấp boss.</t>
        </is>
      </c>
      <c r="H1254" s="39" t="n"/>
    </row>
    <row r="1255" ht="21.75" customHeight="1" s="32">
      <c r="A1255" s="41" t="inlineStr">
        <is>
          <t>scylla</t>
        </is>
      </c>
      <c r="B1255" s="41" t="inlineStr">
        <is>
          <t>Scylla · Tàu khu trục</t>
        </is>
      </c>
      <c r="C1255" s="41" t="inlineStr">
        <is>
          <t>Vũ khí, máu</t>
        </is>
      </c>
      <c r="D1255" s="41" t="inlineStr">
        <is>
          <t>pháo 460 mm (của Yamato) · 13.370 máu</t>
        </is>
      </c>
      <c r="E1255" s="47" t="inlineStr">
        <is>
          <t>Đổi</t>
        </is>
      </c>
      <c r="F1255" s="41" t="inlineStr">
        <is>
          <t>pháo 130 mm AK-130 đôi + bệ tên lửa chống hạm + CIWS · ~9.000 máu</t>
        </is>
      </c>
      <c r="G1255" s="41" t="inlineStr">
        <is>
          <t>Tàu khu trục mini boss mang pháo thiết giáp hạm, máu cao hơn boss chủ lực.</t>
        </is>
      </c>
      <c r="H1255" s="47" t="inlineStr">
        <is>
          <t>Cao</t>
        </is>
      </c>
    </row>
    <row r="1256" ht="15" customHeight="1" s="32">
      <c r="A1256" s="39" t="inlineStr">
        <is>
          <t>silver_bug</t>
        </is>
      </c>
      <c r="B1256" s="39" t="inlineStr">
        <is>
          <t>Icarus · Phi thuyền quỹ đạo</t>
        </is>
      </c>
      <c r="C1256" s="39" t="inlineStr">
        <is>
          <t>Máu</t>
        </is>
      </c>
      <c r="D1256" s="42" t="n">
        <v>13388</v>
      </c>
      <c r="E1256" s="47" t="inlineStr">
        <is>
          <t>Đổi</t>
        </is>
      </c>
      <c r="F1256" s="39" t="inlineStr">
        <is>
          <t>~26.000 (cao nhất game)</t>
        </is>
      </c>
      <c r="G1256" s="39" t="inlineStr">
        <is>
          <t>Trùm cuối phải có nhiều máu nhất.</t>
        </is>
      </c>
      <c r="H1256" s="47" t="inlineStr">
        <is>
          <t>Cao</t>
        </is>
      </c>
    </row>
    <row r="1257" ht="15" customHeight="1" s="32">
      <c r="A1257" s="41" t="inlineStr">
        <is>
          <t>silver_bug</t>
        </is>
      </c>
      <c r="B1257" s="41" t="inlineStr">
        <is>
          <t>Icarus · Phi thuyền quỹ đạo</t>
        </is>
      </c>
      <c r="C1257" s="41" t="inlineStr">
        <is>
          <t>Giáp</t>
        </is>
      </c>
      <c r="D1257" s="41" t="inlineStr">
        <is>
          <t>cấp 4 (Rất dày)</t>
        </is>
      </c>
      <c r="E1257" s="49" t="inlineStr">
        <is>
          <t>Giữ</t>
        </is>
      </c>
      <c r="F1257" s="41" t="n"/>
      <c r="G1257" s="41" t="n"/>
      <c r="H1257" s="41" t="n"/>
    </row>
    <row r="1258" ht="21.75" customHeight="1" s="32">
      <c r="A1258" s="39" t="inlineStr">
        <is>
          <t>silver_bug</t>
        </is>
      </c>
      <c r="B1258" s="39" t="inlineStr">
        <is>
          <t>Icarus · Phi thuyền quỹ đạo</t>
        </is>
      </c>
      <c r="C1258" s="39" t="inlineStr">
        <is>
          <t>Kích thước</t>
        </is>
      </c>
      <c r="D1258" s="39" t="inlineStr">
        <is>
          <t>37.0 × 25.0 × 8.9</t>
        </is>
      </c>
      <c r="E1258" s="47" t="inlineStr">
        <is>
          <t>Đổi</t>
        </is>
      </c>
      <c r="F1258" s="39" t="inlineStr">
        <is>
          <t>~60 × 40 m</t>
        </is>
      </c>
      <c r="G1258" s="39" t="inlineStr">
        <is>
          <t>Trùm cuối nhỏ hơn Roc, Typhon, Nemesis, Kronos và cả mini boss Caspian; phi thuyền quỹ đạo nên là vật thể lớn nhất trên trời.</t>
        </is>
      </c>
      <c r="H1258" s="48" t="inlineStr">
        <is>
          <t>Trung</t>
        </is>
      </c>
    </row>
    <row r="1259" ht="21.75" customHeight="1" s="32">
      <c r="A1259" s="41" t="inlineStr">
        <is>
          <t>silver_bug</t>
        </is>
      </c>
      <c r="B1259" s="41" t="inlineStr">
        <is>
          <t>Icarus · Phi thuyền quỹ đạo</t>
        </is>
      </c>
      <c r="C1259" s="41" t="inlineStr">
        <is>
          <t>Vũ khí</t>
        </is>
      </c>
      <c r="D1259" s="41" t="inlineStr">
        <is>
          <t>2 pháo Rh-120 xe tăng, 2 Oerlikon 35, 2 Bofors 40</t>
        </is>
      </c>
      <c r="E1259" s="47" t="inlineStr">
        <is>
          <t>Đổi</t>
        </is>
      </c>
      <c r="F1259" s="41" t="inlineStr">
        <is>
          <t>thay bằng 2 coilgun và 2 tháp laser phòng thủ điểm; pháo thông thường chỉ ở tháp phụ pha 3 (xác rơi)</t>
        </is>
      </c>
      <c r="G1259" s="41" t="inlineStr">
        <is>
          <t>Phi thuyền quỹ đạo mang pháo xe tăng là vô lý.</t>
        </is>
      </c>
      <c r="H1259" s="47" t="inlineStr">
        <is>
          <t>Cao</t>
        </is>
      </c>
    </row>
    <row r="1260" ht="21.75" customHeight="1" s="32">
      <c r="A1260" s="39" t="inlineStr">
        <is>
          <t>mobile_fortress</t>
        </is>
      </c>
      <c r="B1260" s="39" t="inlineStr">
        <is>
          <t>Jötunn · Pháo đài di động</t>
        </is>
      </c>
      <c r="C1260" s="39" t="inlineStr">
        <is>
          <t>Máu</t>
        </is>
      </c>
      <c r="D1260" s="42" t="n">
        <v>15470</v>
      </c>
      <c r="E1260" s="49" t="inlineStr">
        <is>
          <t>Giữ</t>
        </is>
      </c>
      <c r="F1260" s="39" t="n"/>
      <c r="G1260" s="39" t="inlineStr">
        <is>
          <t>Theo thang máu boss mới (Tổng quan): boss chủ lực chương 3. Máu gốc trước scale chiến dịch.</t>
        </is>
      </c>
      <c r="H1260" s="39" t="n"/>
    </row>
    <row r="1261" ht="15" customHeight="1" s="32">
      <c r="A1261" s="41" t="inlineStr">
        <is>
          <t>mobile_fortress</t>
        </is>
      </c>
      <c r="B1261" s="41" t="inlineStr">
        <is>
          <t>Jötunn · Pháo đài di động</t>
        </is>
      </c>
      <c r="C1261" s="41" t="inlineStr">
        <is>
          <t>Giáp</t>
        </is>
      </c>
      <c r="D1261" s="41" t="inlineStr">
        <is>
          <t>5/4/3/2</t>
        </is>
      </c>
      <c r="E1261" s="49" t="inlineStr">
        <is>
          <t>Giữ</t>
        </is>
      </c>
      <c r="F1261" s="41" t="n"/>
      <c r="G1261" s="41" t="n"/>
      <c r="H1261" s="41" t="n"/>
    </row>
    <row r="1262" ht="15" customHeight="1" s="32">
      <c r="A1262" s="39" t="inlineStr">
        <is>
          <t>mobile_fortress</t>
        </is>
      </c>
      <c r="B1262" s="39" t="inlineStr">
        <is>
          <t>Jötunn · Pháo đài di động</t>
        </is>
      </c>
      <c r="C1262" s="39" t="inlineStr">
        <is>
          <t>Kích thước</t>
        </is>
      </c>
      <c r="D1262" s="39" t="inlineStr">
        <is>
          <t>26.1 × 14.7 × 13.5</t>
        </is>
      </c>
      <c r="E1262" s="49" t="inlineStr">
        <is>
          <t>Giữ</t>
        </is>
      </c>
      <c r="F1262" s="39" t="n"/>
      <c r="G1262" s="39" t="inlineStr">
        <is>
          <t>Hợp cấp boss.</t>
        </is>
      </c>
      <c r="H1262" s="39" t="n"/>
    </row>
    <row r="1263" ht="15" customHeight="1" s="32">
      <c r="A1263" s="41" t="inlineStr">
        <is>
          <t>mobile_fortress</t>
        </is>
      </c>
      <c r="B1263" s="41" t="inlineStr">
        <is>
          <t>Jötunn · Pháo đài di động</t>
        </is>
      </c>
      <c r="C1263" s="41" t="inlineStr">
        <is>
          <t>Vũ khí</t>
        </is>
      </c>
      <c r="D1263" s="43" t="n">
        <v>8</v>
      </c>
      <c r="E1263" s="49" t="inlineStr">
        <is>
          <t>Giữ</t>
        </is>
      </c>
      <c r="F1263" s="41" t="n"/>
      <c r="G1263" s="41" t="inlineStr">
        <is>
          <t>Khớp thiết kế.</t>
        </is>
      </c>
      <c r="H1263" s="41" t="n"/>
    </row>
    <row r="1264" ht="21.75" customHeight="1" s="32">
      <c r="A1264" s="39" t="inlineStr">
        <is>
          <t>command_airship</t>
        </is>
      </c>
      <c r="B1264" s="39" t="inlineStr">
        <is>
          <t>Roc · Khí cầu chỉ huy</t>
        </is>
      </c>
      <c r="C1264" s="39" t="inlineStr">
        <is>
          <t>Máu</t>
        </is>
      </c>
      <c r="D1264" s="42" t="n">
        <v>16575</v>
      </c>
      <c r="E1264" s="47" t="inlineStr">
        <is>
          <t>Đổi</t>
        </is>
      </c>
      <c r="F1264" s="39" t="inlineStr">
        <is>
          <t>20700–25300</t>
        </is>
      </c>
      <c r="G1264" s="39" t="inlineStr">
        <is>
          <t>Theo thang máu boss mới (Tổng quan): boss chủ lực chương 10. Máu gốc trước scale chiến dịch.</t>
        </is>
      </c>
      <c r="H1264" s="48" t="inlineStr">
        <is>
          <t>Trung</t>
        </is>
      </c>
    </row>
    <row r="1265" ht="15" customHeight="1" s="32">
      <c r="A1265" s="41" t="inlineStr">
        <is>
          <t>command_airship</t>
        </is>
      </c>
      <c r="B1265" s="41" t="inlineStr">
        <is>
          <t>Roc · Khí cầu chỉ huy</t>
        </is>
      </c>
      <c r="C1265" s="41" t="inlineStr">
        <is>
          <t>Giáp</t>
        </is>
      </c>
      <c r="D1265" s="41" t="inlineStr">
        <is>
          <t>cấp 2 (Vừa)</t>
        </is>
      </c>
      <c r="E1265" s="49" t="inlineStr">
        <is>
          <t>Giữ</t>
        </is>
      </c>
      <c r="F1265" s="41" t="n"/>
      <c r="G1265" s="41" t="n"/>
      <c r="H1265" s="41" t="n"/>
    </row>
    <row r="1266" ht="15" customHeight="1" s="32">
      <c r="A1266" s="39" t="inlineStr">
        <is>
          <t>command_airship</t>
        </is>
      </c>
      <c r="B1266" s="39" t="inlineStr">
        <is>
          <t>Roc · Khí cầu chỉ huy</t>
        </is>
      </c>
      <c r="C1266" s="39" t="inlineStr">
        <is>
          <t>Kích thước</t>
        </is>
      </c>
      <c r="D1266" s="39" t="inlineStr">
        <is>
          <t>59.2 × 41.0 × 20.9</t>
        </is>
      </c>
      <c r="E1266" s="49" t="inlineStr">
        <is>
          <t>Giữ</t>
        </is>
      </c>
      <c r="F1266" s="39" t="n"/>
      <c r="G1266" s="39" t="inlineStr">
        <is>
          <t>Hợp cấp boss.</t>
        </is>
      </c>
      <c r="H1266" s="39" t="n"/>
    </row>
    <row r="1267" ht="15" customHeight="1" s="32">
      <c r="A1267" s="41" t="inlineStr">
        <is>
          <t>command_airship</t>
        </is>
      </c>
      <c r="B1267" s="41" t="inlineStr">
        <is>
          <t>Roc · Khí cầu chỉ huy</t>
        </is>
      </c>
      <c r="C1267" s="41" t="inlineStr">
        <is>
          <t>Vũ khí</t>
        </is>
      </c>
      <c r="D1267" s="43" t="n">
        <v>6</v>
      </c>
      <c r="E1267" s="49" t="inlineStr">
        <is>
          <t>Giữ</t>
        </is>
      </c>
      <c r="F1267" s="41" t="n"/>
      <c r="G1267" s="41" t="inlineStr">
        <is>
          <t>Khớp thiết kế.</t>
        </is>
      </c>
      <c r="H1267" s="41" t="n"/>
    </row>
    <row r="1268" ht="21.75" customHeight="1" s="32">
      <c r="A1268" s="39" t="inlineStr">
        <is>
          <t>moloch</t>
        </is>
      </c>
      <c r="B1268" s="39" t="inlineStr">
        <is>
          <t>Moloch · Nhà máy di động</t>
        </is>
      </c>
      <c r="C1268" s="39" t="inlineStr">
        <is>
          <t>Máu</t>
        </is>
      </c>
      <c r="D1268" s="42" t="n">
        <v>17212</v>
      </c>
      <c r="E1268" s="49" t="inlineStr">
        <is>
          <t>Giữ</t>
        </is>
      </c>
      <c r="F1268" s="39" t="n"/>
      <c r="G1268" s="39" t="inlineStr">
        <is>
          <t>Theo thang máu boss mới (Tổng quan): boss chủ lực chương 6. Máu gốc trước scale chiến dịch.</t>
        </is>
      </c>
      <c r="H1268" s="39" t="n"/>
    </row>
    <row r="1269" ht="15" customHeight="1" s="32">
      <c r="A1269" s="41" t="inlineStr">
        <is>
          <t>moloch</t>
        </is>
      </c>
      <c r="B1269" s="41" t="inlineStr">
        <is>
          <t>Moloch · Nhà máy di động</t>
        </is>
      </c>
      <c r="C1269" s="41" t="inlineStr">
        <is>
          <t>Giáp</t>
        </is>
      </c>
      <c r="D1269" s="41" t="inlineStr">
        <is>
          <t>5/4/3/2</t>
        </is>
      </c>
      <c r="E1269" s="49" t="inlineStr">
        <is>
          <t>Giữ</t>
        </is>
      </c>
      <c r="F1269" s="41" t="n"/>
      <c r="G1269" s="41" t="n"/>
      <c r="H1269" s="41" t="n"/>
    </row>
    <row r="1270" ht="15" customHeight="1" s="32">
      <c r="A1270" s="39" t="inlineStr">
        <is>
          <t>moloch</t>
        </is>
      </c>
      <c r="B1270" s="39" t="inlineStr">
        <is>
          <t>Moloch · Nhà máy di động</t>
        </is>
      </c>
      <c r="C1270" s="39" t="inlineStr">
        <is>
          <t>Kích thước</t>
        </is>
      </c>
      <c r="D1270" s="39" t="inlineStr">
        <is>
          <t>26.5 × 14.4 × 12.0</t>
        </is>
      </c>
      <c r="E1270" s="49" t="inlineStr">
        <is>
          <t>Giữ</t>
        </is>
      </c>
      <c r="F1270" s="39" t="n"/>
      <c r="G1270" s="39" t="inlineStr">
        <is>
          <t>Hợp cấp boss.</t>
        </is>
      </c>
      <c r="H1270" s="39" t="n"/>
    </row>
    <row r="1271" ht="15" customHeight="1" s="32">
      <c r="A1271" s="41" t="inlineStr">
        <is>
          <t>moloch</t>
        </is>
      </c>
      <c r="B1271" s="41" t="inlineStr">
        <is>
          <t>Moloch · Nhà máy di động</t>
        </is>
      </c>
      <c r="C1271" s="41" t="inlineStr">
        <is>
          <t>Vũ khí</t>
        </is>
      </c>
      <c r="D1271" s="43" t="n">
        <v>5</v>
      </c>
      <c r="E1271" s="49" t="inlineStr">
        <is>
          <t>Giữ</t>
        </is>
      </c>
      <c r="F1271" s="41" t="n"/>
      <c r="G1271" s="41" t="inlineStr">
        <is>
          <t>Khớp thiết kế.</t>
        </is>
      </c>
      <c r="H1271" s="41" t="n"/>
    </row>
    <row r="1272" ht="15" customHeight="1" s="32">
      <c r="A1272" s="39" t="inlineStr">
        <is>
          <t>fortress_bastion</t>
        </is>
      </c>
      <c r="B1272" s="39" t="inlineStr">
        <is>
          <t>Bastion · Pháo đài</t>
        </is>
      </c>
      <c r="C1272" s="39" t="inlineStr">
        <is>
          <t>Máu</t>
        </is>
      </c>
      <c r="D1272" s="42" t="n">
        <v>17935</v>
      </c>
      <c r="E1272" s="47" t="inlineStr">
        <is>
          <t>Đổi</t>
        </is>
      </c>
      <c r="F1272" s="39" t="inlineStr">
        <is>
          <t>~12.000</t>
        </is>
      </c>
      <c r="G1272" s="39" t="inlineStr">
        <is>
          <t>Boss chương 1 gần bằng boss chương 9–12.</t>
        </is>
      </c>
      <c r="H1272" s="48" t="inlineStr">
        <is>
          <t>Trung</t>
        </is>
      </c>
    </row>
    <row r="1273" ht="15" customHeight="1" s="32">
      <c r="A1273" s="41" t="inlineStr">
        <is>
          <t>fortress_bastion</t>
        </is>
      </c>
      <c r="B1273" s="41" t="inlineStr">
        <is>
          <t>Bastion · Pháo đài</t>
        </is>
      </c>
      <c r="C1273" s="41" t="inlineStr">
        <is>
          <t>Giáp</t>
        </is>
      </c>
      <c r="D1273" s="41" t="inlineStr">
        <is>
          <t>5/4/4/3</t>
        </is>
      </c>
      <c r="E1273" s="49" t="inlineStr">
        <is>
          <t>Giữ</t>
        </is>
      </c>
      <c r="F1273" s="41" t="n"/>
      <c r="G1273" s="41" t="n"/>
      <c r="H1273" s="41" t="n"/>
    </row>
    <row r="1274" ht="15" customHeight="1" s="32">
      <c r="A1274" s="39" t="inlineStr">
        <is>
          <t>fortress_bastion</t>
        </is>
      </c>
      <c r="B1274" s="39" t="inlineStr">
        <is>
          <t>Bastion · Pháo đài</t>
        </is>
      </c>
      <c r="C1274" s="39" t="inlineStr">
        <is>
          <t>Kích thước</t>
        </is>
      </c>
      <c r="D1274" s="39" t="inlineStr">
        <is>
          <t>35.8 × 14.7 × 14.4</t>
        </is>
      </c>
      <c r="E1274" s="49" t="inlineStr">
        <is>
          <t>Giữ</t>
        </is>
      </c>
      <c r="F1274" s="39" t="n"/>
      <c r="G1274" s="39" t="inlineStr">
        <is>
          <t>Hợp cấp boss.</t>
        </is>
      </c>
      <c r="H1274" s="39" t="n"/>
    </row>
    <row r="1275" ht="15" customHeight="1" s="32">
      <c r="A1275" s="41" t="inlineStr">
        <is>
          <t>fortress_bastion</t>
        </is>
      </c>
      <c r="B1275" s="41" t="inlineStr">
        <is>
          <t>Bastion · Pháo đài</t>
        </is>
      </c>
      <c r="C1275" s="41" t="inlineStr">
        <is>
          <t>Vũ khí</t>
        </is>
      </c>
      <c r="D1275" s="43" t="n">
        <v>9</v>
      </c>
      <c r="E1275" s="49" t="inlineStr">
        <is>
          <t>Giữ</t>
        </is>
      </c>
      <c r="F1275" s="41" t="n"/>
      <c r="G1275" s="41" t="inlineStr">
        <is>
          <t>Khớp thiết kế.</t>
        </is>
      </c>
      <c r="H1275" s="41" t="n"/>
    </row>
    <row r="1276" ht="21.75" customHeight="1" s="32">
      <c r="A1276" s="39" t="inlineStr">
        <is>
          <t>typhon</t>
        </is>
      </c>
      <c r="B1276" s="39" t="inlineStr">
        <is>
          <t>Typhon · Tàu ngầm tên lửa</t>
        </is>
      </c>
      <c r="C1276" s="39" t="inlineStr">
        <is>
          <t>Máu</t>
        </is>
      </c>
      <c r="D1276" s="42" t="n">
        <v>17935</v>
      </c>
      <c r="E1276" s="47" t="inlineStr">
        <is>
          <t>Đổi</t>
        </is>
      </c>
      <c r="F1276" s="39" t="inlineStr">
        <is>
          <t>19800–24200</t>
        </is>
      </c>
      <c r="G1276" s="39" t="inlineStr">
        <is>
          <t>Theo thang máu boss mới (Tổng quan): boss chủ lực chương 9. Máu gốc trước scale chiến dịch.</t>
        </is>
      </c>
      <c r="H1276" s="48" t="inlineStr">
        <is>
          <t>Trung</t>
        </is>
      </c>
    </row>
    <row r="1277" ht="15" customHeight="1" s="32">
      <c r="A1277" s="41" t="inlineStr">
        <is>
          <t>typhon</t>
        </is>
      </c>
      <c r="B1277" s="41" t="inlineStr">
        <is>
          <t>Typhon · Tàu ngầm tên lửa</t>
        </is>
      </c>
      <c r="C1277" s="41" t="inlineStr">
        <is>
          <t>Giáp</t>
        </is>
      </c>
      <c r="D1277" s="41" t="inlineStr">
        <is>
          <t>5/4/4/2</t>
        </is>
      </c>
      <c r="E1277" s="49" t="inlineStr">
        <is>
          <t>Giữ</t>
        </is>
      </c>
      <c r="F1277" s="41" t="n"/>
      <c r="G1277" s="41" t="n"/>
      <c r="H1277" s="41" t="n"/>
    </row>
    <row r="1278" ht="15" customHeight="1" s="32">
      <c r="A1278" s="39" t="inlineStr">
        <is>
          <t>typhon</t>
        </is>
      </c>
      <c r="B1278" s="39" t="inlineStr">
        <is>
          <t>Typhon · Tàu ngầm tên lửa</t>
        </is>
      </c>
      <c r="C1278" s="39" t="inlineStr">
        <is>
          <t>Kích thước</t>
        </is>
      </c>
      <c r="D1278" s="39" t="inlineStr">
        <is>
          <t>59.0 × 12.2 × 14.1</t>
        </is>
      </c>
      <c r="E1278" s="49" t="inlineStr">
        <is>
          <t>Giữ</t>
        </is>
      </c>
      <c r="F1278" s="39" t="n"/>
      <c r="G1278" s="39" t="inlineStr">
        <is>
          <t>Hợp cấp boss.</t>
        </is>
      </c>
      <c r="H1278" s="39" t="n"/>
    </row>
    <row r="1279" ht="15" customHeight="1" s="32">
      <c r="A1279" s="41" t="inlineStr">
        <is>
          <t>typhon</t>
        </is>
      </c>
      <c r="B1279" s="41" t="inlineStr">
        <is>
          <t>Typhon · Tàu ngầm tên lửa</t>
        </is>
      </c>
      <c r="C1279" s="41" t="inlineStr">
        <is>
          <t>Vũ khí</t>
        </is>
      </c>
      <c r="D1279" s="41" t="inlineStr">
        <is>
          <t>Buk + AK-100</t>
        </is>
      </c>
      <c r="E1279" s="47" t="inlineStr">
        <is>
          <t>Đổi</t>
        </is>
      </c>
      <c r="F1279" s="41" t="inlineStr">
        <is>
          <t>thêm tên lửa hành trình tầm ngắn bắn thường</t>
        </is>
      </c>
      <c r="G1279" s="41" t="inlineStr">
        <is>
          <t>Thiết kế có nhưng dữ liệu chưa có.</t>
        </is>
      </c>
      <c r="H1279" s="48" t="inlineStr">
        <is>
          <t>Trung</t>
        </is>
      </c>
    </row>
    <row r="1280" ht="21.75" customHeight="1" s="32">
      <c r="A1280" s="39" t="inlineStr">
        <is>
          <t>kronos</t>
        </is>
      </c>
      <c r="B1280" s="39" t="inlineStr">
        <is>
          <t>Kronos · Máy xúc mỏ</t>
        </is>
      </c>
      <c r="C1280" s="39" t="inlineStr">
        <is>
          <t>Máu</t>
        </is>
      </c>
      <c r="D1280" s="42" t="n">
        <v>18360</v>
      </c>
      <c r="E1280" s="47" t="inlineStr">
        <is>
          <t>Đổi</t>
        </is>
      </c>
      <c r="F1280" s="39" t="inlineStr">
        <is>
          <t>18900–23100</t>
        </is>
      </c>
      <c r="G1280" s="39" t="inlineStr">
        <is>
          <t>Theo thang máu boss mới (Tổng quan): boss chủ lực chương 8. Máu gốc trước scale chiến dịch.</t>
        </is>
      </c>
      <c r="H1280" s="48" t="inlineStr">
        <is>
          <t>Trung</t>
        </is>
      </c>
    </row>
    <row r="1281" ht="15" customHeight="1" s="32">
      <c r="A1281" s="41" t="inlineStr">
        <is>
          <t>kronos</t>
        </is>
      </c>
      <c r="B1281" s="41" t="inlineStr">
        <is>
          <t>Kronos · Máy xúc mỏ</t>
        </is>
      </c>
      <c r="C1281" s="41" t="inlineStr">
        <is>
          <t>Giáp</t>
        </is>
      </c>
      <c r="D1281" s="41" t="inlineStr">
        <is>
          <t>4/4/3/2</t>
        </is>
      </c>
      <c r="E1281" s="49" t="inlineStr">
        <is>
          <t>Giữ</t>
        </is>
      </c>
      <c r="F1281" s="41" t="n"/>
      <c r="G1281" s="41" t="n"/>
      <c r="H1281" s="41" t="n"/>
    </row>
    <row r="1282" ht="15" customHeight="1" s="32">
      <c r="A1282" s="39" t="inlineStr">
        <is>
          <t>kronos</t>
        </is>
      </c>
      <c r="B1282" s="39" t="inlineStr">
        <is>
          <t>Kronos · Máy xúc mỏ</t>
        </is>
      </c>
      <c r="C1282" s="39" t="inlineStr">
        <is>
          <t>Kích thước</t>
        </is>
      </c>
      <c r="D1282" s="39" t="inlineStr">
        <is>
          <t>48.5 × 16.2 × 16.0</t>
        </is>
      </c>
      <c r="E1282" s="49" t="inlineStr">
        <is>
          <t>Giữ</t>
        </is>
      </c>
      <c r="F1282" s="39" t="n"/>
      <c r="G1282" s="39" t="inlineStr">
        <is>
          <t>Hợp cấp boss.</t>
        </is>
      </c>
      <c r="H1282" s="39" t="n"/>
    </row>
    <row r="1283" ht="21.75" customHeight="1" s="32">
      <c r="A1283" s="41" t="inlineStr">
        <is>
          <t>kronos</t>
        </is>
      </c>
      <c r="B1283" s="41" t="inlineStr">
        <is>
          <t>Kronos · Máy xúc mỏ</t>
        </is>
      </c>
      <c r="C1283" s="41" t="inlineStr">
        <is>
          <t>Dữ liệu vũ khí</t>
        </is>
      </c>
      <c r="D1283" s="41" t="inlineStr">
        <is>
          <t>bánh gầu không có trong danh sách vũ khí</t>
        </is>
      </c>
      <c r="E1283" s="47" t="inlineStr">
        <is>
          <t>Đổi</t>
        </is>
      </c>
      <c r="F1283" s="41" t="inlineStr">
        <is>
          <t>thêm bánh gầu thành một vũ khí</t>
        </is>
      </c>
      <c r="G1283" s="41" t="inlineStr">
        <is>
          <t>Như trên.</t>
        </is>
      </c>
      <c r="H1283" s="49" t="inlineStr">
        <is>
          <t>Thấp</t>
        </is>
      </c>
    </row>
    <row r="1284" ht="21.75" customHeight="1" s="32">
      <c r="A1284" s="39" t="inlineStr">
        <is>
          <t>leviathan</t>
        </is>
      </c>
      <c r="B1284" s="39" t="inlineStr">
        <is>
          <t>Leviathan · Thiết giáp hạm</t>
        </is>
      </c>
      <c r="C1284" s="39" t="inlineStr">
        <is>
          <t>Máu</t>
        </is>
      </c>
      <c r="D1284" s="42" t="n">
        <v>18700</v>
      </c>
      <c r="E1284" s="49" t="inlineStr">
        <is>
          <t>Giữ</t>
        </is>
      </c>
      <c r="F1284" s="39" t="n"/>
      <c r="G1284" s="39" t="inlineStr">
        <is>
          <t>Theo thang máu boss mới (Tổng quan): boss chủ lực chương 4. Máu gốc trước scale chiến dịch.</t>
        </is>
      </c>
      <c r="H1284" s="39" t="n"/>
    </row>
    <row r="1285" ht="15" customHeight="1" s="32">
      <c r="A1285" s="41" t="inlineStr">
        <is>
          <t>leviathan</t>
        </is>
      </c>
      <c r="B1285" s="41" t="inlineStr">
        <is>
          <t>Leviathan · Thiết giáp hạm</t>
        </is>
      </c>
      <c r="C1285" s="41" t="inlineStr">
        <is>
          <t>Giáp</t>
        </is>
      </c>
      <c r="D1285" s="41" t="inlineStr">
        <is>
          <t>5/4/3/2</t>
        </is>
      </c>
      <c r="E1285" s="49" t="inlineStr">
        <is>
          <t>Giữ</t>
        </is>
      </c>
      <c r="F1285" s="41" t="n"/>
      <c r="G1285" s="41" t="n"/>
      <c r="H1285" s="41" t="n"/>
    </row>
    <row r="1286" ht="15" customHeight="1" s="32">
      <c r="A1286" s="39" t="inlineStr">
        <is>
          <t>leviathan</t>
        </is>
      </c>
      <c r="B1286" s="39" t="inlineStr">
        <is>
          <t>Leviathan · Thiết giáp hạm</t>
        </is>
      </c>
      <c r="C1286" s="39" t="inlineStr">
        <is>
          <t>Kích thước</t>
        </is>
      </c>
      <c r="D1286" s="39" t="inlineStr">
        <is>
          <t>97.6 × 18.5 × 28.5</t>
        </is>
      </c>
      <c r="E1286" s="49" t="inlineStr">
        <is>
          <t>Giữ</t>
        </is>
      </c>
      <c r="F1286" s="39" t="n"/>
      <c r="G1286" s="39" t="inlineStr">
        <is>
          <t>Hợp cấp boss.</t>
        </is>
      </c>
      <c r="H1286" s="39" t="n"/>
    </row>
    <row r="1287" ht="15" customHeight="1" s="32">
      <c r="A1287" s="41" t="inlineStr">
        <is>
          <t>leviathan</t>
        </is>
      </c>
      <c r="B1287" s="41" t="inlineStr">
        <is>
          <t>Leviathan · Thiết giáp hạm</t>
        </is>
      </c>
      <c r="C1287" s="41" t="inlineStr">
        <is>
          <t>Vũ khí: 460 mm</t>
        </is>
      </c>
      <c r="D1287" s="41" t="inlineStr">
        <is>
          <t>nổ lan 7 m</t>
        </is>
      </c>
      <c r="E1287" s="47" t="inlineStr">
        <is>
          <t>Đổi</t>
        </is>
      </c>
      <c r="F1287" s="41" t="inlineStr">
        <is>
          <t>nổ lan 13 m</t>
        </is>
      </c>
      <c r="G1287" s="41" t="inlineStr">
        <is>
          <t>Đạn 1,46 tấn đang nổ nhỏ hơn cối 240 mm.</t>
        </is>
      </c>
      <c r="H1287" s="48" t="inlineStr">
        <is>
          <t>Trung</t>
        </is>
      </c>
    </row>
    <row r="1288" ht="21.75" customHeight="1" s="32">
      <c r="A1288" s="39" t="inlineStr">
        <is>
          <t>drone_mothership</t>
        </is>
      </c>
      <c r="B1288" s="39" t="inlineStr">
        <is>
          <t>Matriarch · Tàu mẹ drone</t>
        </is>
      </c>
      <c r="C1288" s="39" t="inlineStr">
        <is>
          <t>Máu</t>
        </is>
      </c>
      <c r="D1288" s="42" t="n">
        <v>18828</v>
      </c>
      <c r="E1288" s="49" t="inlineStr">
        <is>
          <t>Giữ</t>
        </is>
      </c>
      <c r="F1288" s="39" t="n"/>
      <c r="G1288" s="39" t="inlineStr">
        <is>
          <t>Theo thang máu boss mới (Tổng quan): boss chủ lực chương 5. Máu gốc trước scale chiến dịch.</t>
        </is>
      </c>
      <c r="H1288" s="39" t="n"/>
    </row>
    <row r="1289" ht="15" customHeight="1" s="32">
      <c r="A1289" s="41" t="inlineStr">
        <is>
          <t>drone_mothership</t>
        </is>
      </c>
      <c r="B1289" s="41" t="inlineStr">
        <is>
          <t>Matriarch · Tàu mẹ drone</t>
        </is>
      </c>
      <c r="C1289" s="41" t="inlineStr">
        <is>
          <t>Giáp</t>
        </is>
      </c>
      <c r="D1289" s="41" t="inlineStr">
        <is>
          <t>cấp 2 (Vừa)</t>
        </is>
      </c>
      <c r="E1289" s="49" t="inlineStr">
        <is>
          <t>Giữ</t>
        </is>
      </c>
      <c r="F1289" s="41" t="n"/>
      <c r="G1289" s="41" t="n"/>
      <c r="H1289" s="41" t="n"/>
    </row>
    <row r="1290" ht="15" customHeight="1" s="32">
      <c r="A1290" s="39" t="inlineStr">
        <is>
          <t>drone_mothership</t>
        </is>
      </c>
      <c r="B1290" s="39" t="inlineStr">
        <is>
          <t>Matriarch · Tàu mẹ drone</t>
        </is>
      </c>
      <c r="C1290" s="39" t="inlineStr">
        <is>
          <t>Kích thước</t>
        </is>
      </c>
      <c r="D1290" s="39" t="inlineStr">
        <is>
          <t>42.3 × 21.0 × 17.7</t>
        </is>
      </c>
      <c r="E1290" s="49" t="inlineStr">
        <is>
          <t>Giữ</t>
        </is>
      </c>
      <c r="F1290" s="39" t="n"/>
      <c r="G1290" s="39" t="inlineStr">
        <is>
          <t>Hợp cấp boss.</t>
        </is>
      </c>
      <c r="H1290" s="39" t="n"/>
    </row>
    <row r="1291" ht="15" customHeight="1" s="32">
      <c r="A1291" s="41" t="inlineStr">
        <is>
          <t>drone_mothership</t>
        </is>
      </c>
      <c r="B1291" s="41" t="inlineStr">
        <is>
          <t>Matriarch · Tàu mẹ drone</t>
        </is>
      </c>
      <c r="C1291" s="41" t="inlineStr">
        <is>
          <t>Vũ khí</t>
        </is>
      </c>
      <c r="D1291" s="43" t="n">
        <v>8</v>
      </c>
      <c r="E1291" s="49" t="inlineStr">
        <is>
          <t>Giữ</t>
        </is>
      </c>
      <c r="F1291" s="41" t="n"/>
      <c r="G1291" s="41" t="inlineStr">
        <is>
          <t>Khớp thiết kế.</t>
        </is>
      </c>
      <c r="H1291" s="41" t="n"/>
    </row>
  </sheetData>
  <autoFilter ref="A1:H129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5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31" min="1" max="1"/>
    <col width="30" customWidth="1" style="31" min="2" max="2"/>
    <col width="11" customWidth="1" style="31" min="3" max="3"/>
    <col width="8" customWidth="1" style="31" min="4" max="4"/>
    <col width="9" customWidth="1" style="31" min="5" max="5"/>
    <col width="11" customWidth="1" style="31" min="6" max="7"/>
    <col width="12" customWidth="1" style="31" min="8" max="8"/>
    <col width="11" customWidth="1" style="31" min="9" max="9"/>
    <col width="10" customWidth="1" style="31" min="10" max="10"/>
    <col width="70" customWidth="1" style="31" min="11" max="11"/>
  </cols>
  <sheetData>
    <row r="1" ht="42" customHeight="1" s="32">
      <c r="A1" s="37" t="inlineStr">
        <is>
          <t>id</t>
        </is>
      </c>
      <c r="B1" s="37" t="inlineStr">
        <is>
          <t>Đơn vị</t>
        </is>
      </c>
      <c r="C1" s="37" t="inlineStr">
        <is>
          <t>Nhóm (9b)</t>
        </is>
      </c>
      <c r="D1" s="44" t="inlineStr">
        <is>
          <t>CP hiện</t>
        </is>
      </c>
      <c r="E1" s="45" t="inlineStr">
        <is>
          <t>CP sau đợt 1</t>
        </is>
      </c>
      <c r="F1" s="45" t="inlineStr">
        <is>
          <t>DPS lý thuyết đề xuất / CP</t>
        </is>
      </c>
      <c r="G1" s="37" t="inlineStr">
        <is>
          <t>Hệ số so trung vị nhóm (DPS)</t>
        </is>
      </c>
      <c r="H1" s="37" t="inlineStr">
        <is>
          <t>Giá trị thực chiến / CP (sau đổi giá)</t>
        </is>
      </c>
      <c r="I1" s="37" t="inlineStr">
        <is>
          <t>Hệ số so trung vị nhóm (thực chiến)</t>
        </is>
      </c>
      <c r="J1" s="46" t="inlineStr">
        <is>
          <t>Kết luận</t>
        </is>
      </c>
      <c r="K1" s="45" t="inlineStr">
        <is>
          <t>Đề xuất đợt 2</t>
        </is>
      </c>
    </row>
    <row r="2" ht="15" customHeight="1" s="32">
      <c r="A2" s="39" t="inlineStr">
        <is>
          <t>armored_car</t>
        </is>
      </c>
      <c r="B2" s="39" t="inlineStr">
        <is>
          <t>Xe bọc thép</t>
        </is>
      </c>
      <c r="C2" s="39" t="inlineStr">
        <is>
          <t>Light</t>
        </is>
      </c>
      <c r="D2" s="42" t="n">
        <v>3</v>
      </c>
      <c r="E2" s="42" t="n">
        <v>3</v>
      </c>
      <c r="F2" s="42" t="n">
        <v>17.4</v>
      </c>
      <c r="G2" s="42" t="n">
        <v>1.05</v>
      </c>
      <c r="H2" s="42" t="n">
        <v>138</v>
      </c>
      <c r="I2" s="42" t="n">
        <v>0.88</v>
      </c>
      <c r="J2" s="49" t="inlineStr">
        <is>
          <t>Ổn</t>
        </is>
      </c>
      <c r="K2" s="39" t="inlineStr">
        <is>
          <t>Trong khoảng mục tiêu.</t>
        </is>
      </c>
    </row>
    <row r="3" ht="15" customHeight="1" s="32">
      <c r="A3" s="41" t="inlineStr">
        <is>
          <t>ifv</t>
        </is>
      </c>
      <c r="B3" s="41" t="inlineStr">
        <is>
          <t>Xe chiến đấu bộ binh</t>
        </is>
      </c>
      <c r="C3" s="41" t="inlineStr">
        <is>
          <t>Light</t>
        </is>
      </c>
      <c r="D3" s="43" t="n">
        <v>6</v>
      </c>
      <c r="E3" s="43" t="n">
        <v>6</v>
      </c>
      <c r="F3" s="43" t="n">
        <v>15.6</v>
      </c>
      <c r="G3" s="43" t="n">
        <v>0.95</v>
      </c>
      <c r="H3" s="43" t="n">
        <v>174</v>
      </c>
      <c r="I3" s="43" t="n">
        <v>1.12</v>
      </c>
      <c r="J3" s="49" t="inlineStr">
        <is>
          <t>Ổn</t>
        </is>
      </c>
      <c r="K3" s="41" t="inlineStr">
        <is>
          <t>Trong khoảng mục tiêu.</t>
        </is>
      </c>
    </row>
    <row r="4" ht="15" customHeight="1" s="32">
      <c r="A4" s="39" t="inlineStr">
        <is>
          <t>engineer_vehicle</t>
        </is>
      </c>
      <c r="B4" s="39" t="inlineStr">
        <is>
          <t>Xe công binh</t>
        </is>
      </c>
      <c r="C4" s="39" t="inlineStr">
        <is>
          <t>Support</t>
        </is>
      </c>
      <c r="D4" s="42" t="n">
        <v>3</v>
      </c>
      <c r="E4" s="42" t="n">
        <v>3</v>
      </c>
      <c r="F4" s="42" t="n">
        <v>16.7</v>
      </c>
      <c r="G4" s="42" t="n">
        <v>1.67</v>
      </c>
      <c r="H4" s="42" t="n">
        <v>0</v>
      </c>
      <c r="I4" s="42" t="n">
        <v>0</v>
      </c>
      <c r="J4" s="49" t="inlineStr">
        <is>
          <t>Ổn</t>
        </is>
      </c>
      <c r="K4" s="39" t="inlineStr">
        <is>
          <t>Xe hỗ trợ: giá trị chiến đấu thấp là đúng.</t>
        </is>
      </c>
    </row>
    <row r="5" ht="15" customHeight="1" s="32">
      <c r="A5" s="41"/>
      <c r="B5" s="41"/>
      <c r="C5" s="41"/>
      <c r="D5" s="43"/>
      <c r="E5" s="43"/>
      <c r="F5" s="43"/>
      <c r="G5" s="43"/>
      <c r="H5" s="43"/>
      <c r="I5" s="43"/>
      <c r="J5" s="49"/>
      <c r="K5" s="41"/>
    </row>
    <row r="6" ht="15" customHeight="1" s="32">
      <c r="A6" s="39" t="inlineStr">
        <is>
          <t>ammo_carrier</t>
        </is>
      </c>
      <c r="B6" s="39" t="inlineStr">
        <is>
          <t>Xe tiếp đạn</t>
        </is>
      </c>
      <c r="C6" s="39" t="inlineStr">
        <is>
          <t>Support</t>
        </is>
      </c>
      <c r="D6" s="42" t="n">
        <v>4</v>
      </c>
      <c r="E6" s="42" t="n">
        <v>4</v>
      </c>
      <c r="F6" s="42" t="n">
        <v>12.5</v>
      </c>
      <c r="G6" s="42" t="n">
        <v>1.25</v>
      </c>
      <c r="H6" s="42" t="n">
        <v>0</v>
      </c>
      <c r="I6" s="42" t="n">
        <v>0</v>
      </c>
      <c r="J6" s="49" t="inlineStr">
        <is>
          <t>Ổn</t>
        </is>
      </c>
      <c r="K6" s="39" t="inlineStr">
        <is>
          <t>Xe hỗ trợ: giá trị chiến đấu thấp là đúng.</t>
        </is>
      </c>
    </row>
    <row r="7" ht="15" customHeight="1" s="32">
      <c r="A7" s="41"/>
      <c r="B7" s="41"/>
      <c r="C7" s="41"/>
      <c r="D7" s="43"/>
      <c r="E7" s="43"/>
      <c r="F7" s="43"/>
      <c r="G7" s="43"/>
      <c r="H7" s="43"/>
      <c r="I7" s="43"/>
      <c r="J7" s="49"/>
      <c r="K7" s="41"/>
    </row>
    <row r="8" ht="15" customHeight="1" s="32">
      <c r="A8" s="39" t="inlineStr">
        <is>
          <t>ew_jammer</t>
        </is>
      </c>
      <c r="B8" s="39" t="inlineStr">
        <is>
          <t>Xe tác chiến điện tử</t>
        </is>
      </c>
      <c r="C8" s="39" t="inlineStr">
        <is>
          <t>Support</t>
        </is>
      </c>
      <c r="D8" s="42" t="n">
        <v>5</v>
      </c>
      <c r="E8" s="42" t="n">
        <v>5</v>
      </c>
      <c r="F8" s="42" t="n">
        <v>10</v>
      </c>
      <c r="G8" s="42" t="n">
        <v>1</v>
      </c>
      <c r="H8" s="42" t="n">
        <v>0</v>
      </c>
      <c r="I8" s="42" t="n">
        <v>0</v>
      </c>
      <c r="J8" s="49" t="inlineStr">
        <is>
          <t>Ổn</t>
        </is>
      </c>
      <c r="K8" s="39" t="inlineStr">
        <is>
          <t>Xe hỗ trợ: giá trị chiến đấu thấp là đúng.</t>
        </is>
      </c>
    </row>
    <row r="9" ht="15" customHeight="1" s="32">
      <c r="A9" s="41" t="inlineStr">
        <is>
          <t>mine_layer</t>
        </is>
      </c>
      <c r="B9" s="41" t="inlineStr">
        <is>
          <t>Xe rải mìn</t>
        </is>
      </c>
      <c r="C9" s="41" t="inlineStr">
        <is>
          <t>Support</t>
        </is>
      </c>
      <c r="D9" s="43" t="n">
        <v>5</v>
      </c>
      <c r="E9" s="43" t="n">
        <v>5</v>
      </c>
      <c r="F9" s="43" t="n">
        <v>10</v>
      </c>
      <c r="G9" s="43" t="n">
        <v>1</v>
      </c>
      <c r="H9" s="43" t="n">
        <v>102</v>
      </c>
      <c r="I9" s="43" t="n">
        <v>0.62</v>
      </c>
      <c r="J9" s="49" t="inlineStr">
        <is>
          <t>Ổn</t>
        </is>
      </c>
      <c r="K9" s="41" t="inlineStr">
        <is>
          <t>Xe hỗ trợ: giá trị chiến đấu thấp là đúng.</t>
        </is>
      </c>
    </row>
    <row r="10" ht="15" customHeight="1" s="32">
      <c r="A10" s="39" t="inlineStr">
        <is>
          <t>command_vehicle</t>
        </is>
      </c>
      <c r="B10" s="39" t="inlineStr">
        <is>
          <t>Xe chỉ huy</t>
        </is>
      </c>
      <c r="C10" s="39" t="inlineStr">
        <is>
          <t>Support</t>
        </is>
      </c>
      <c r="D10" s="42" t="n">
        <v>6</v>
      </c>
      <c r="E10" s="42" t="n">
        <v>6</v>
      </c>
      <c r="F10" s="42" t="n">
        <v>8.4</v>
      </c>
      <c r="G10" s="42" t="n">
        <v>0.83</v>
      </c>
      <c r="H10" s="42" t="n">
        <v>0</v>
      </c>
      <c r="I10" s="42" t="n">
        <v>0</v>
      </c>
      <c r="J10" s="49" t="inlineStr">
        <is>
          <t>Ổn</t>
        </is>
      </c>
      <c r="K10" s="39" t="inlineStr">
        <is>
          <t>Xe hỗ trợ: giá trị chiến đấu thấp là đúng.</t>
        </is>
      </c>
    </row>
    <row r="11" ht="15" customHeight="1" s="32">
      <c r="A11" s="41" t="inlineStr">
        <is>
          <t>shield_carrier</t>
        </is>
      </c>
      <c r="B11" s="41" t="inlineStr">
        <is>
          <t>Xe phát khiên</t>
        </is>
      </c>
      <c r="C11" s="41" t="inlineStr">
        <is>
          <t>Support</t>
        </is>
      </c>
      <c r="D11" s="43" t="n">
        <v>7</v>
      </c>
      <c r="E11" s="43" t="n">
        <v>7</v>
      </c>
      <c r="F11" s="43" t="n">
        <v>7.2</v>
      </c>
      <c r="G11" s="43" t="n">
        <v>0.71</v>
      </c>
      <c r="H11" s="43" t="n">
        <v>0</v>
      </c>
      <c r="I11" s="43" t="n">
        <v>0</v>
      </c>
      <c r="J11" s="49" t="inlineStr">
        <is>
          <t>Ổn</t>
        </is>
      </c>
      <c r="K11" s="41" t="inlineStr">
        <is>
          <t>Xe hỗ trợ: giá trị chiến đấu thấp là đúng.</t>
        </is>
      </c>
    </row>
    <row r="12" ht="15" customHeight="1" s="32">
      <c r="A12" s="39" t="inlineStr">
        <is>
          <t>scout_jeep</t>
        </is>
      </c>
      <c r="B12" s="39" t="inlineStr">
        <is>
          <t>Xe trinh sát</t>
        </is>
      </c>
      <c r="C12" s="39" t="inlineStr">
        <is>
          <t>Scout</t>
        </is>
      </c>
      <c r="D12" s="42" t="n">
        <v>2</v>
      </c>
      <c r="E12" s="42" t="n">
        <v>2</v>
      </c>
      <c r="F12" s="42" t="n">
        <v>25.1</v>
      </c>
      <c r="G12" s="42" t="n">
        <v>0.15</v>
      </c>
      <c r="H12" s="42" t="n">
        <v>84</v>
      </c>
      <c r="I12" s="42" t="n">
        <v>1.04</v>
      </c>
      <c r="J12" s="49" t="inlineStr">
        <is>
          <t>Ổn</t>
        </is>
      </c>
      <c r="K12" s="39" t="inlineStr">
        <is>
          <t>Trinh sát: đo bằng tầm nhìn và thời gian sống, không phải DPS.</t>
        </is>
      </c>
    </row>
    <row r="13" ht="15" customHeight="1" s="32">
      <c r="A13" s="41" t="inlineStr">
        <is>
          <t>vbied</t>
        </is>
      </c>
      <c r="B13" s="41" t="inlineStr">
        <is>
          <t>Xe bom tự sát bọc thép</t>
        </is>
      </c>
      <c r="C13" s="41" t="inlineStr">
        <is>
          <t>Scout</t>
        </is>
      </c>
      <c r="D13" s="43" t="n">
        <v>3</v>
      </c>
      <c r="E13" s="43" t="n">
        <v>3</v>
      </c>
      <c r="F13" s="43" t="n">
        <v>308</v>
      </c>
      <c r="G13" s="43" t="n">
        <v>1.85</v>
      </c>
      <c r="H13" s="43" t="n">
        <v>78</v>
      </c>
      <c r="I13" s="43" t="n">
        <v>0.96</v>
      </c>
      <c r="J13" s="49" t="inlineStr">
        <is>
          <t>Ổn</t>
        </is>
      </c>
      <c r="K13" s="41" t="inlineStr">
        <is>
          <t>Trinh sát: đo bằng tầm nhìn và thời gian sống, không phải DPS.</t>
        </is>
      </c>
    </row>
    <row r="14" ht="15" customHeight="1" s="32">
      <c r="A14" s="39" t="inlineStr">
        <is>
          <t>light_tank</t>
        </is>
      </c>
      <c r="B14" s="39" t="inlineStr">
        <is>
          <t>Tăng hạng nhẹ</t>
        </is>
      </c>
      <c r="C14" s="39" t="inlineStr">
        <is>
          <t>Tank</t>
        </is>
      </c>
      <c r="D14" s="42" t="n">
        <v>3</v>
      </c>
      <c r="E14" s="42" t="n">
        <v>3</v>
      </c>
      <c r="F14" s="42" t="n">
        <v>13</v>
      </c>
      <c r="G14" s="42" t="n">
        <v>1</v>
      </c>
      <c r="H14" s="42" t="n">
        <v>222</v>
      </c>
      <c r="I14" s="42" t="n">
        <v>0.48</v>
      </c>
      <c r="J14" s="49" t="inlineStr">
        <is>
          <t>Ổn</t>
        </is>
      </c>
      <c r="K14" s="39" t="inlineStr">
        <is>
          <t>Trong khoảng mục tiêu.</t>
        </is>
      </c>
    </row>
    <row r="15" ht="15" customHeight="1" s="32">
      <c r="A15" s="41" t="inlineStr">
        <is>
          <t>flame_tank</t>
        </is>
      </c>
      <c r="B15" s="41" t="inlineStr">
        <is>
          <t>Tăng phun lửa</t>
        </is>
      </c>
      <c r="C15" s="41" t="inlineStr">
        <is>
          <t>Heavy</t>
        </is>
      </c>
      <c r="D15" s="43" t="n">
        <v>5</v>
      </c>
      <c r="E15" s="43" t="n">
        <v>5</v>
      </c>
      <c r="F15" s="43" t="n">
        <v>14.3</v>
      </c>
      <c r="G15" s="43" t="n">
        <v>1.18</v>
      </c>
      <c r="H15" s="43" t="n">
        <v>258</v>
      </c>
      <c r="I15" s="43" t="n">
        <v>0.66</v>
      </c>
      <c r="J15" s="49" t="inlineStr">
        <is>
          <t>Ổn</t>
        </is>
      </c>
      <c r="K15" s="41" t="inlineStr">
        <is>
          <t>Trong khoảng mục tiêu.</t>
        </is>
      </c>
    </row>
    <row r="16" ht="15" customHeight="1" s="32">
      <c r="A16" s="39"/>
      <c r="B16" s="39"/>
      <c r="C16" s="39"/>
      <c r="D16" s="42"/>
      <c r="E16" s="42"/>
      <c r="F16" s="42"/>
      <c r="G16" s="42"/>
      <c r="H16" s="42"/>
      <c r="I16" s="42"/>
      <c r="J16" s="49"/>
      <c r="K16" s="39"/>
    </row>
    <row r="17" ht="15" customHeight="1" s="32">
      <c r="A17" s="41"/>
      <c r="B17" s="41"/>
      <c r="C17" s="41"/>
      <c r="D17" s="43"/>
      <c r="E17" s="43"/>
      <c r="F17" s="43"/>
      <c r="G17" s="43"/>
      <c r="H17" s="43"/>
      <c r="I17" s="43"/>
      <c r="J17" s="49"/>
      <c r="K17" s="41"/>
    </row>
    <row r="18" ht="22.35" customHeight="1" s="32">
      <c r="A18" s="39" t="inlineStr">
        <is>
          <t>rocket_technical</t>
        </is>
      </c>
      <c r="B18" s="39" t="inlineStr">
        <is>
          <t>Bán tải rốc-két</t>
        </is>
      </c>
      <c r="C18" s="39" t="inlineStr">
        <is>
          <t>Artillery</t>
        </is>
      </c>
      <c r="D18" s="42" t="n">
        <v>3</v>
      </c>
      <c r="E18" s="42" t="n">
        <v>3</v>
      </c>
      <c r="F18" s="42" t="n">
        <v>15</v>
      </c>
      <c r="G18" s="42" t="n">
        <v>1.6</v>
      </c>
      <c r="H18" s="42" t="n">
        <v>253</v>
      </c>
      <c r="I18" s="42" t="n">
        <v>0.59</v>
      </c>
      <c r="J18" s="48" t="inlineStr">
        <is>
          <t>Theo dõi</t>
        </is>
      </c>
      <c r="K18" s="39" t="inlineStr">
        <is>
          <t>Hai phép đo lệch nhau (DPS lý thuyết khác giá trị thực chiến): nguyên nhân thường là thời gian sống, thời gian bắn hoặc tầm; chạy mô phỏng trước khi đổi.</t>
        </is>
      </c>
    </row>
    <row r="19" ht="15" customHeight="1" s="32">
      <c r="A19" s="41" t="inlineStr">
        <is>
          <t>mortar_carrier</t>
        </is>
      </c>
      <c r="B19" s="41" t="inlineStr">
        <is>
          <t>Xe súng cối</t>
        </is>
      </c>
      <c r="C19" s="41" t="inlineStr">
        <is>
          <t>Artillery</t>
        </is>
      </c>
      <c r="D19" s="43" t="n">
        <v>4</v>
      </c>
      <c r="E19" s="43" t="n">
        <v>4</v>
      </c>
      <c r="F19" s="43" t="n">
        <v>10.7</v>
      </c>
      <c r="G19" s="43" t="n">
        <v>1.14</v>
      </c>
      <c r="H19" s="43" t="n">
        <v>324</v>
      </c>
      <c r="I19" s="43" t="n">
        <v>0.75</v>
      </c>
      <c r="J19" s="49" t="inlineStr">
        <is>
          <t>Ổn</t>
        </is>
      </c>
      <c r="K19" s="41" t="inlineStr">
        <is>
          <t>Trong khoảng mục tiêu.</t>
        </is>
      </c>
    </row>
    <row r="20" ht="15" customHeight="1" s="32">
      <c r="A20" s="39" t="inlineStr">
        <is>
          <t>artillery</t>
        </is>
      </c>
      <c r="B20" s="39" t="inlineStr">
        <is>
          <t>Pháo tự hành</t>
        </is>
      </c>
      <c r="C20" s="39" t="inlineStr">
        <is>
          <t>Artillery</t>
        </is>
      </c>
      <c r="D20" s="42" t="n">
        <v>6</v>
      </c>
      <c r="E20" s="42" t="n">
        <v>6</v>
      </c>
      <c r="F20" s="42" t="n">
        <v>11.5</v>
      </c>
      <c r="G20" s="42" t="n">
        <v>1.22</v>
      </c>
      <c r="H20" s="42" t="n">
        <v>331</v>
      </c>
      <c r="I20" s="42" t="n">
        <v>0.77</v>
      </c>
      <c r="J20" s="49" t="inlineStr">
        <is>
          <t>Ổn</t>
        </is>
      </c>
      <c r="K20" s="39" t="inlineStr">
        <is>
          <t>Trong khoảng mục tiêu.</t>
        </is>
      </c>
    </row>
    <row r="21" ht="15" customHeight="1" s="32">
      <c r="A21" s="41" t="inlineStr">
        <is>
          <t>mlrs</t>
        </is>
      </c>
      <c r="B21" s="41" t="inlineStr">
        <is>
          <t>Pháo phản lực</t>
        </is>
      </c>
      <c r="C21" s="41" t="inlineStr">
        <is>
          <t>Artillery</t>
        </is>
      </c>
      <c r="D21" s="43" t="n">
        <v>6</v>
      </c>
      <c r="E21" s="43" t="n">
        <v>7</v>
      </c>
      <c r="F21" s="43" t="n">
        <v>7.3</v>
      </c>
      <c r="G21" s="43" t="n">
        <v>0.78</v>
      </c>
      <c r="H21" s="43" t="n">
        <v>437</v>
      </c>
      <c r="I21" s="43" t="n">
        <v>1.01</v>
      </c>
      <c r="J21" s="49" t="inlineStr">
        <is>
          <t>Ổn</t>
        </is>
      </c>
      <c r="K21" s="41" t="inlineStr">
        <is>
          <t>Trong khoảng mục tiêu.</t>
        </is>
      </c>
    </row>
    <row r="22" ht="15" customHeight="1" s="32">
      <c r="A22" s="39" t="inlineStr">
        <is>
          <t>shahed_truck</t>
        </is>
      </c>
      <c r="B22" s="39" t="inlineStr">
        <is>
          <t>Xe phóng Shahed</t>
        </is>
      </c>
      <c r="C22" s="39" t="inlineStr">
        <is>
          <t>Artillery</t>
        </is>
      </c>
      <c r="D22" s="42" t="n">
        <v>8</v>
      </c>
      <c r="E22" s="42" t="n">
        <v>8</v>
      </c>
      <c r="F22" s="42" t="n">
        <v>8.1</v>
      </c>
      <c r="G22" s="42" t="n">
        <v>0.86</v>
      </c>
      <c r="H22" s="42" t="n">
        <v>472</v>
      </c>
      <c r="I22" s="42" t="n">
        <v>1.09</v>
      </c>
      <c r="J22" s="49" t="inlineStr">
        <is>
          <t>Ổn</t>
        </is>
      </c>
      <c r="K22" s="39" t="inlineStr">
        <is>
          <t>Trong khoảng mục tiêu.</t>
        </is>
      </c>
    </row>
    <row r="23" ht="15" customHeight="1" s="32">
      <c r="A23" s="41" t="inlineStr">
        <is>
          <t>thermobaric_launcher</t>
        </is>
      </c>
      <c r="B23" s="41" t="inlineStr">
        <is>
          <t>Pháo phản lực nhiệt áp</t>
        </is>
      </c>
      <c r="C23" s="41" t="inlineStr">
        <is>
          <t>Artillery</t>
        </is>
      </c>
      <c r="D23" s="43" t="n">
        <v>8</v>
      </c>
      <c r="E23" s="43" t="n">
        <v>9</v>
      </c>
      <c r="F23" s="43" t="n">
        <v>10.4</v>
      </c>
      <c r="G23" s="43" t="n">
        <v>1.1</v>
      </c>
      <c r="H23" s="43" t="n">
        <v>464</v>
      </c>
      <c r="I23" s="43" t="n">
        <v>1.07</v>
      </c>
      <c r="J23" s="49" t="inlineStr">
        <is>
          <t>Ổn</t>
        </is>
      </c>
      <c r="K23" s="41" t="inlineStr">
        <is>
          <t>Trong khoảng mục tiêu.</t>
        </is>
      </c>
    </row>
    <row r="24" ht="15" customHeight="1" s="32">
      <c r="A24" s="39" t="inlineStr">
        <is>
          <t>ballistic_launcher</t>
        </is>
      </c>
      <c r="B24" s="39" t="inlineStr">
        <is>
          <t>Xe phóng tên lửa đạn đạo</t>
        </is>
      </c>
      <c r="C24" s="39" t="inlineStr">
        <is>
          <t>Artillery</t>
        </is>
      </c>
      <c r="D24" s="42" t="n">
        <v>11</v>
      </c>
      <c r="E24" s="42" t="n">
        <v>11</v>
      </c>
      <c r="F24" s="42" t="n">
        <v>6.6</v>
      </c>
      <c r="G24" s="42" t="n">
        <v>0.7</v>
      </c>
      <c r="H24" s="42" t="n">
        <v>427</v>
      </c>
      <c r="I24" s="42" t="n">
        <v>0.99</v>
      </c>
      <c r="J24" s="49" t="inlineStr">
        <is>
          <t>Ổn</t>
        </is>
      </c>
      <c r="K24" s="39" t="inlineStr">
        <is>
          <t>Trong khoảng mục tiêu.</t>
        </is>
      </c>
    </row>
    <row r="25" ht="15" customHeight="1" s="32">
      <c r="A25" s="41" t="inlineStr">
        <is>
          <t>heavy_rocket_artillery</t>
        </is>
      </c>
      <c r="B25" s="41" t="inlineStr">
        <is>
          <t>Pháo phản lực hạng nặng</t>
        </is>
      </c>
      <c r="C25" s="41" t="inlineStr">
        <is>
          <t>Artillery</t>
        </is>
      </c>
      <c r="D25" s="43" t="n">
        <v>11</v>
      </c>
      <c r="E25" s="43" t="n">
        <v>12</v>
      </c>
      <c r="F25" s="43" t="n">
        <v>8.4</v>
      </c>
      <c r="G25" s="43" t="n">
        <v>0.9</v>
      </c>
      <c r="H25" s="43" t="n">
        <v>478</v>
      </c>
      <c r="I25" s="43" t="n">
        <v>1.11</v>
      </c>
      <c r="J25" s="49" t="inlineStr">
        <is>
          <t>Ổn</t>
        </is>
      </c>
      <c r="K25" s="41" t="inlineStr">
        <is>
          <t>Trong khoảng mục tiêu.</t>
        </is>
      </c>
    </row>
    <row r="26" ht="15" customHeight="1" s="32">
      <c r="A26" s="39" t="inlineStr">
        <is>
          <t>siege_tank</t>
        </is>
      </c>
      <c r="B26" s="39" t="inlineStr">
        <is>
          <t>Tăng công thành</t>
        </is>
      </c>
      <c r="C26" s="39" t="inlineStr">
        <is>
          <t>Heavy</t>
        </is>
      </c>
      <c r="D26" s="42" t="n">
        <v>12</v>
      </c>
      <c r="E26" s="42" t="n">
        <v>12</v>
      </c>
      <c r="F26" s="42" t="n">
        <v>12.2</v>
      </c>
      <c r="G26" s="42" t="n">
        <v>1</v>
      </c>
      <c r="H26" s="42" t="n">
        <v>414</v>
      </c>
      <c r="I26" s="42" t="n">
        <v>1.05</v>
      </c>
      <c r="J26" s="49" t="inlineStr">
        <is>
          <t>Ổn</t>
        </is>
      </c>
      <c r="K26" s="39" t="inlineStr">
        <is>
          <t>Trong khoảng mục tiêu.</t>
        </is>
      </c>
    </row>
    <row r="27" ht="15" customHeight="1" s="32">
      <c r="A27" s="41" t="inlineStr">
        <is>
          <t>zu23_technical</t>
        </is>
      </c>
      <c r="B27" s="41" t="inlineStr">
        <is>
          <t>Bán tải ZU-23</t>
        </is>
      </c>
      <c r="C27" s="41" t="inlineStr">
        <is>
          <t>AntiAir</t>
        </is>
      </c>
      <c r="D27" s="43" t="n">
        <v>3</v>
      </c>
      <c r="E27" s="43" t="n">
        <v>3</v>
      </c>
      <c r="F27" s="43" t="n">
        <v>30.3</v>
      </c>
      <c r="G27" s="43" t="n">
        <v>0.8100000000000001</v>
      </c>
      <c r="H27" s="43" t="n">
        <v>62</v>
      </c>
      <c r="I27" s="43" t="n">
        <v>0.26</v>
      </c>
      <c r="J27" s="49" t="inlineStr">
        <is>
          <t>Ổn</t>
        </is>
      </c>
      <c r="K27" s="41" t="inlineStr">
        <is>
          <t>Trong khoảng mục tiêu.</t>
        </is>
      </c>
    </row>
    <row r="28" ht="15" customHeight="1" s="32">
      <c r="A28" s="39" t="inlineStr">
        <is>
          <t>aa_vehicle</t>
        </is>
      </c>
      <c r="B28" s="39" t="inlineStr">
        <is>
          <t>Xe phòng không</t>
        </is>
      </c>
      <c r="C28" s="39" t="inlineStr">
        <is>
          <t>AntiAir</t>
        </is>
      </c>
      <c r="D28" s="42" t="n">
        <v>4</v>
      </c>
      <c r="E28" s="42" t="n">
        <v>4</v>
      </c>
      <c r="F28" s="42" t="n">
        <v>40.8</v>
      </c>
      <c r="G28" s="42" t="n">
        <v>1.09</v>
      </c>
      <c r="H28" s="42" t="n">
        <v>226</v>
      </c>
      <c r="I28" s="42" t="n">
        <v>0.9399999999999999</v>
      </c>
      <c r="J28" s="49" t="inlineStr">
        <is>
          <t>Ổn</t>
        </is>
      </c>
      <c r="K28" s="39" t="inlineStr">
        <is>
          <t>Trong khoảng mục tiêu.</t>
        </is>
      </c>
    </row>
    <row r="29" ht="15" customHeight="1" s="32">
      <c r="A29" s="41" t="inlineStr">
        <is>
          <t>sam_launcher</t>
        </is>
      </c>
      <c r="B29" s="41" t="inlineStr">
        <is>
          <t>Tên lửa phòng không</t>
        </is>
      </c>
      <c r="C29" s="41" t="inlineStr">
        <is>
          <t>AntiAir</t>
        </is>
      </c>
      <c r="D29" s="43" t="n">
        <v>5</v>
      </c>
      <c r="E29" s="43" t="n">
        <v>7</v>
      </c>
      <c r="F29" s="43" t="n">
        <v>36</v>
      </c>
      <c r="G29" s="43" t="n">
        <v>0.96</v>
      </c>
      <c r="H29" s="43" t="n">
        <v>302</v>
      </c>
      <c r="I29" s="43" t="n">
        <v>1.25</v>
      </c>
      <c r="J29" s="49" t="inlineStr">
        <is>
          <t>Ổn</t>
        </is>
      </c>
      <c r="K29" s="41" t="inlineStr">
        <is>
          <t>Trong khoảng mục tiêu.</t>
        </is>
      </c>
    </row>
    <row r="30" ht="15" customHeight="1" s="32">
      <c r="A30" s="39" t="inlineStr">
        <is>
          <t>heavy_aa</t>
        </is>
      </c>
      <c r="B30" s="39" t="inlineStr">
        <is>
          <t>Pháo tên lửa phòng không</t>
        </is>
      </c>
      <c r="C30" s="39" t="inlineStr">
        <is>
          <t>AntiAir</t>
        </is>
      </c>
      <c r="D30" s="42" t="n">
        <v>6</v>
      </c>
      <c r="E30" s="42" t="n">
        <v>7</v>
      </c>
      <c r="F30" s="42" t="n">
        <v>38.8</v>
      </c>
      <c r="G30" s="42" t="n">
        <v>1.04</v>
      </c>
      <c r="H30" s="42" t="n">
        <v>257</v>
      </c>
      <c r="I30" s="42" t="n">
        <v>1.06</v>
      </c>
      <c r="J30" s="49" t="inlineStr">
        <is>
          <t>Ổn</t>
        </is>
      </c>
      <c r="K30" s="39" t="inlineStr">
        <is>
          <t>Trong khoảng mục tiêu.</t>
        </is>
      </c>
    </row>
    <row r="31" ht="15" customHeight="1" s="32">
      <c r="A31" s="41" t="inlineStr">
        <is>
          <t>iron_beam</t>
        </is>
      </c>
      <c r="B31" s="41" t="inlineStr">
        <is>
          <t>La-de phòng không</t>
        </is>
      </c>
      <c r="C31" s="41" t="inlineStr">
        <is>
          <t>AntiAir</t>
        </is>
      </c>
      <c r="D31" s="43" t="n">
        <v>7</v>
      </c>
      <c r="E31" s="43" t="n">
        <v>6</v>
      </c>
      <c r="F31" s="43" t="n">
        <v>47.6</v>
      </c>
      <c r="G31" s="43" t="n">
        <v>1.27</v>
      </c>
      <c r="H31" s="43" t="n">
        <v>102</v>
      </c>
      <c r="I31" s="43" t="n">
        <v>0.42</v>
      </c>
      <c r="J31" s="49" t="inlineStr">
        <is>
          <t>Ổn</t>
        </is>
      </c>
      <c r="K31" s="41" t="inlineStr">
        <is>
          <t>Trong khoảng mục tiêu.</t>
        </is>
      </c>
    </row>
    <row r="32" ht="22.35" customHeight="1" s="32">
      <c r="A32" s="39" t="inlineStr">
        <is>
          <t>long_sam</t>
        </is>
      </c>
      <c r="B32" s="39" t="inlineStr">
        <is>
          <t>Tên lửa phòng không tầm xa</t>
        </is>
      </c>
      <c r="C32" s="39" t="inlineStr">
        <is>
          <t>AntiAir</t>
        </is>
      </c>
      <c r="D32" s="42" t="n">
        <v>11</v>
      </c>
      <c r="E32" s="42" t="n">
        <v>14</v>
      </c>
      <c r="F32" s="42" t="n">
        <v>8.199999999999999</v>
      </c>
      <c r="G32" s="42" t="n">
        <v>0.22</v>
      </c>
      <c r="H32" s="42" t="n">
        <v>472</v>
      </c>
      <c r="I32" s="42" t="n">
        <v>1.95</v>
      </c>
      <c r="J32" s="48" t="inlineStr">
        <is>
          <t>Theo dõi</t>
        </is>
      </c>
      <c r="K32" s="39" t="inlineStr">
        <is>
          <t>Hai phép đo lệch nhau (DPS lý thuyết khác giá trị thực chiến): nguyên nhân thường là thời gian sống, thời gian bắn hoặc tầm; chạy mô phỏng trước khi đổi.</t>
        </is>
      </c>
    </row>
    <row r="33" ht="15" customHeight="1" s="32">
      <c r="A33" s="41" t="inlineStr">
        <is>
          <t>scout_heli</t>
        </is>
      </c>
      <c r="B33" s="41" t="inlineStr">
        <is>
          <t>Trực thăng trinh sát</t>
        </is>
      </c>
      <c r="C33" s="41" t="inlineStr">
        <is>
          <t>Helicopter</t>
        </is>
      </c>
      <c r="D33" s="43" t="n">
        <v>4</v>
      </c>
      <c r="E33" s="43" t="n">
        <v>5</v>
      </c>
      <c r="F33" s="43" t="n">
        <v>14.5</v>
      </c>
      <c r="G33" s="43" t="n">
        <v>1</v>
      </c>
      <c r="H33" s="43" t="n">
        <v>407</v>
      </c>
      <c r="I33" s="43" t="n">
        <v>0.99</v>
      </c>
      <c r="J33" s="49" t="inlineStr">
        <is>
          <t>Ổn</t>
        </is>
      </c>
      <c r="K33" s="41" t="inlineStr">
        <is>
          <t>Trong khoảng mục tiêu.</t>
        </is>
      </c>
    </row>
    <row r="34" ht="15" customHeight="1" s="32">
      <c r="A34" s="39" t="inlineStr">
        <is>
          <t>recon_drone</t>
        </is>
      </c>
      <c r="B34" s="39" t="inlineStr">
        <is>
          <t>UAV trinh sát</t>
        </is>
      </c>
      <c r="C34" s="39" t="inlineStr">
        <is>
          <t>Plane</t>
        </is>
      </c>
      <c r="D34" s="42" t="n">
        <v>6</v>
      </c>
      <c r="E34" s="42" t="n">
        <v>6</v>
      </c>
      <c r="F34" s="42" t="n">
        <v>2.4</v>
      </c>
      <c r="G34" s="42" t="n">
        <v>0.24</v>
      </c>
      <c r="H34" s="42" t="n">
        <v>111</v>
      </c>
      <c r="I34" s="42" t="n">
        <v>0.22</v>
      </c>
      <c r="J34" s="49" t="inlineStr">
        <is>
          <t>Ổn</t>
        </is>
      </c>
      <c r="K34" s="39" t="inlineStr">
        <is>
          <t>UAV trinh sát: đo bằng tầm nhìn 90 m và thời gian sống, không phải DPS.</t>
        </is>
      </c>
    </row>
    <row r="35" ht="15" customHeight="1" s="32">
      <c r="A35" s="41"/>
      <c r="B35" s="41"/>
      <c r="C35" s="41"/>
      <c r="D35" s="43"/>
      <c r="E35" s="43"/>
      <c r="F35" s="43"/>
      <c r="G35" s="43"/>
      <c r="H35" s="43"/>
      <c r="I35" s="43"/>
      <c r="J35" s="49"/>
      <c r="K35" s="41"/>
    </row>
    <row r="36" ht="15" customHeight="1" s="32">
      <c r="A36" s="39" t="inlineStr">
        <is>
          <t>strike_drone</t>
        </is>
      </c>
      <c r="B36" s="39" t="inlineStr">
        <is>
          <t>UAV tấn công</t>
        </is>
      </c>
      <c r="C36" s="39" t="inlineStr">
        <is>
          <t>Plane</t>
        </is>
      </c>
      <c r="D36" s="42" t="n">
        <v>8</v>
      </c>
      <c r="E36" s="42" t="n">
        <v>9</v>
      </c>
      <c r="F36" s="42" t="n">
        <v>12</v>
      </c>
      <c r="G36" s="42" t="n">
        <v>1.2</v>
      </c>
      <c r="H36" s="42" t="n">
        <v>555</v>
      </c>
      <c r="I36" s="42" t="n">
        <v>1.11</v>
      </c>
      <c r="J36" s="49" t="inlineStr">
        <is>
          <t>Ổn</t>
        </is>
      </c>
      <c r="K36" s="39" t="inlineStr">
        <is>
          <t>Trong khoảng mục tiêu.</t>
        </is>
      </c>
    </row>
    <row r="37" ht="15" customHeight="1" s="32">
      <c r="A37" s="41" t="inlineStr">
        <is>
          <t>swarm_carrier</t>
        </is>
      </c>
      <c r="B37" s="41" t="inlineStr">
        <is>
          <t>Máy bay mẹ thả drone</t>
        </is>
      </c>
      <c r="C37" s="41" t="inlineStr">
        <is>
          <t>Plane</t>
        </is>
      </c>
      <c r="D37" s="43" t="n">
        <v>8</v>
      </c>
      <c r="E37" s="43" t="n">
        <v>13</v>
      </c>
      <c r="F37" s="43" t="n">
        <v>10</v>
      </c>
      <c r="G37" s="43" t="n">
        <v>1</v>
      </c>
      <c r="H37" s="43" t="n">
        <v>272</v>
      </c>
      <c r="I37" s="43" t="n">
        <v>0.55</v>
      </c>
      <c r="J37" s="49" t="inlineStr">
        <is>
          <t>Ổn</t>
        </is>
      </c>
      <c r="K37" s="41" t="inlineStr">
        <is>
          <t>Trong khoảng mục tiêu.</t>
        </is>
      </c>
    </row>
    <row r="38" ht="15" customHeight="1" s="32">
      <c r="A38" s="39" t="inlineStr">
        <is>
          <t>attack_helicopter</t>
        </is>
      </c>
      <c r="B38" s="39" t="inlineStr">
        <is>
          <t>Trực thăng tấn công</t>
        </is>
      </c>
      <c r="C38" s="39" t="inlineStr">
        <is>
          <t>Helicopter</t>
        </is>
      </c>
      <c r="D38" s="42" t="n">
        <v>11</v>
      </c>
      <c r="E38" s="42" t="n">
        <v>9</v>
      </c>
      <c r="F38" s="42" t="n">
        <v>18.3</v>
      </c>
      <c r="G38" s="42" t="n">
        <v>1.26</v>
      </c>
      <c r="H38" s="42" t="n">
        <v>414</v>
      </c>
      <c r="I38" s="42" t="n">
        <v>1</v>
      </c>
      <c r="J38" s="49" t="inlineStr">
        <is>
          <t>Ổn</t>
        </is>
      </c>
      <c r="K38" s="39" t="inlineStr">
        <is>
          <t>Trong khoảng mục tiêu.</t>
        </is>
      </c>
    </row>
    <row r="39" ht="15" customHeight="1" s="32">
      <c r="A39" s="41" t="inlineStr">
        <is>
          <t>fighter_jet</t>
        </is>
      </c>
      <c r="B39" s="41" t="inlineStr">
        <is>
          <t>Tiêm kích</t>
        </is>
      </c>
      <c r="C39" s="41" t="inlineStr">
        <is>
          <t>Plane</t>
        </is>
      </c>
      <c r="D39" s="43" t="n">
        <v>12</v>
      </c>
      <c r="E39" s="43" t="n">
        <v>12</v>
      </c>
      <c r="F39" s="43" t="n">
        <v>7.9</v>
      </c>
      <c r="G39" s="43" t="n">
        <v>0.79</v>
      </c>
      <c r="H39" s="43" t="n">
        <v>0</v>
      </c>
      <c r="I39" s="43" t="n">
        <v>0</v>
      </c>
      <c r="J39" s="49" t="inlineStr">
        <is>
          <t>Ổn</t>
        </is>
      </c>
      <c r="K39" s="41" t="inlineStr">
        <is>
          <t>Trong khoảng mục tiêu.</t>
        </is>
      </c>
    </row>
    <row r="40" ht="15" customHeight="1" s="32">
      <c r="A40" s="39" t="inlineStr">
        <is>
          <t>stealth_fighter</t>
        </is>
      </c>
      <c r="B40" s="39" t="inlineStr">
        <is>
          <t>Tiêm kích tàng hình</t>
        </is>
      </c>
      <c r="C40" s="39" t="inlineStr">
        <is>
          <t>Plane</t>
        </is>
      </c>
      <c r="D40" s="42" t="n">
        <v>14</v>
      </c>
      <c r="E40" s="42" t="n">
        <v>13</v>
      </c>
      <c r="F40" s="42" t="n">
        <v>7.9</v>
      </c>
      <c r="G40" s="42" t="n">
        <v>0.79</v>
      </c>
      <c r="H40" s="42" t="n">
        <v>205</v>
      </c>
      <c r="I40" s="42" t="n">
        <v>0.41</v>
      </c>
      <c r="J40" s="49" t="inlineStr">
        <is>
          <t>Ổn</t>
        </is>
      </c>
      <c r="K40" s="39" t="inlineStr">
        <is>
          <t>Trong khoảng mục tiêu.</t>
        </is>
      </c>
    </row>
    <row r="41" ht="15" customHeight="1" s="32">
      <c r="A41" s="41"/>
      <c r="B41" s="41"/>
      <c r="C41" s="41"/>
      <c r="D41" s="43"/>
      <c r="E41" s="43"/>
      <c r="F41" s="43"/>
      <c r="G41" s="43"/>
      <c r="H41" s="43"/>
      <c r="I41" s="43"/>
      <c r="J41" s="49"/>
      <c r="K41" s="41"/>
    </row>
    <row r="42" ht="22.35" customHeight="1" s="32">
      <c r="A42" s="39" t="inlineStr">
        <is>
          <t>attack_jet</t>
        </is>
      </c>
      <c r="B42" s="39" t="inlineStr">
        <is>
          <t>Máy bay cường kích</t>
        </is>
      </c>
      <c r="C42" s="39" t="inlineStr">
        <is>
          <t>Plane</t>
        </is>
      </c>
      <c r="D42" s="42" t="n">
        <v>16</v>
      </c>
      <c r="E42" s="42" t="n">
        <v>18</v>
      </c>
      <c r="F42" s="42" t="n">
        <v>20.5</v>
      </c>
      <c r="G42" s="42" t="n">
        <v>2.05</v>
      </c>
      <c r="H42" s="42" t="n">
        <v>658</v>
      </c>
      <c r="I42" s="42" t="n">
        <v>1.32</v>
      </c>
      <c r="J42" s="48" t="inlineStr">
        <is>
          <t>Đã giảm ở đợt 2</t>
        </is>
      </c>
      <c r="K42" s="39" t="inlineStr">
        <is>
          <t>Đã giảm thêm ở đợt 2 (xem Thay đổi chi tiết). Cột giá trị thực chiến là số đo mô phỏng cũ, cần chạy lại mô phỏng để xác nhận.</t>
        </is>
      </c>
    </row>
    <row r="43" ht="15" customHeight="1" s="32">
      <c r="A43" s="41" t="inlineStr">
        <is>
          <t>stealth_bomber</t>
        </is>
      </c>
      <c r="B43" s="41" t="inlineStr">
        <is>
          <t>Máy bay ném bom tàng hình</t>
        </is>
      </c>
      <c r="C43" s="41" t="inlineStr">
        <is>
          <t>Plane</t>
        </is>
      </c>
      <c r="D43" s="43" t="n">
        <v>18</v>
      </c>
      <c r="E43" s="43" t="n">
        <v>21</v>
      </c>
      <c r="F43" s="43" t="n">
        <v>12.2</v>
      </c>
      <c r="G43" s="43" t="n">
        <v>1.22</v>
      </c>
      <c r="H43" s="43" t="n">
        <v>498</v>
      </c>
      <c r="I43" s="43" t="n">
        <v>1</v>
      </c>
      <c r="J43" s="49" t="inlineStr">
        <is>
          <t>Ổn</t>
        </is>
      </c>
      <c r="K43" s="41" t="inlineStr">
        <is>
          <t>Trong khoảng mục tiêu.</t>
        </is>
      </c>
    </row>
    <row r="44" ht="22.35" customHeight="1" s="32">
      <c r="A44" s="39" t="inlineStr">
        <is>
          <t>heavy_bomber</t>
        </is>
      </c>
      <c r="B44" s="39" t="inlineStr">
        <is>
          <t>Oanh tạc cơ hạng nặng</t>
        </is>
      </c>
      <c r="C44" s="39" t="inlineStr">
        <is>
          <t>Plane</t>
        </is>
      </c>
      <c r="D44" s="42" t="n">
        <v>22</v>
      </c>
      <c r="E44" s="42" t="n">
        <v>22</v>
      </c>
      <c r="F44" s="42" t="n">
        <v>16.2</v>
      </c>
      <c r="G44" s="42" t="n">
        <v>1.62</v>
      </c>
      <c r="H44" s="42" t="n">
        <v>657</v>
      </c>
      <c r="I44" s="42" t="n">
        <v>1.32</v>
      </c>
      <c r="J44" s="48" t="inlineStr">
        <is>
          <t>Đã giảm ở đợt 2</t>
        </is>
      </c>
      <c r="K44" s="39" t="inlineStr">
        <is>
          <t>Đã giảm thêm ở đợt 2 (xem Thay đổi chi tiết). Cột giá trị thực chiến là số đo mô phỏng cũ, cần chạy lại mô phỏng để xác nhận.</t>
        </is>
      </c>
    </row>
    <row r="45" ht="15" customHeight="1" s="32">
      <c r="A45" s="41"/>
      <c r="B45" s="41"/>
      <c r="C45" s="41"/>
      <c r="D45" s="43"/>
      <c r="E45" s="43"/>
      <c r="F45" s="43"/>
      <c r="G45" s="43"/>
      <c r="H45" s="43"/>
      <c r="I45" s="43"/>
      <c r="J45" s="49"/>
      <c r="K45" s="41"/>
    </row>
    <row r="46" ht="15" customHeight="1" s="32">
      <c r="A46" s="39" t="inlineStr">
        <is>
          <t>armored_bulldozer</t>
        </is>
      </c>
      <c r="B46" s="39" t="inlineStr">
        <is>
          <t>Xe ủi bọc thép</t>
        </is>
      </c>
      <c r="C46" s="39" t="inlineStr">
        <is>
          <t>Heavy</t>
        </is>
      </c>
      <c r="D46" s="42" t="n">
        <v>7</v>
      </c>
      <c r="E46" s="42" t="n">
        <v>7</v>
      </c>
      <c r="F46" s="42" t="n">
        <v>12.6</v>
      </c>
      <c r="G46" s="42" t="n">
        <v>1.04</v>
      </c>
      <c r="H46" s="42" t="n">
        <v>376</v>
      </c>
      <c r="I46" s="42" t="n">
        <v>0.96</v>
      </c>
      <c r="J46" s="49" t="inlineStr">
        <is>
          <t>Ổn</t>
        </is>
      </c>
      <c r="K46" s="39" t="inlineStr">
        <is>
          <t>Trong khoảng mục tiêu.</t>
        </is>
      </c>
    </row>
    <row r="47" ht="15" customHeight="1" s="32">
      <c r="A47" s="41" t="inlineStr">
        <is>
          <t>main_battle_tank</t>
        </is>
      </c>
      <c r="B47" s="41" t="inlineStr">
        <is>
          <t>Tăng chủ lực</t>
        </is>
      </c>
      <c r="C47" s="41" t="inlineStr">
        <is>
          <t>Heavy</t>
        </is>
      </c>
      <c r="D47" s="43" t="n">
        <v>7</v>
      </c>
      <c r="E47" s="43" t="n">
        <v>7</v>
      </c>
      <c r="F47" s="43" t="n">
        <v>12.1</v>
      </c>
      <c r="G47" s="43" t="n">
        <v>1</v>
      </c>
      <c r="H47" s="43" t="n">
        <v>332</v>
      </c>
      <c r="I47" s="43" t="n">
        <v>0.84</v>
      </c>
      <c r="J47" s="49" t="inlineStr">
        <is>
          <t>Ổn</t>
        </is>
      </c>
      <c r="K47" s="41" t="inlineStr">
        <is>
          <t>Trong khoảng mục tiêu.</t>
        </is>
      </c>
    </row>
    <row r="48" ht="15" customHeight="1" s="32">
      <c r="A48" s="39" t="inlineStr">
        <is>
          <t>twin_tank</t>
        </is>
      </c>
      <c r="B48" s="39" t="inlineStr">
        <is>
          <t>Tăng hai nòng</t>
        </is>
      </c>
      <c r="C48" s="39" t="inlineStr">
        <is>
          <t>Heavy</t>
        </is>
      </c>
      <c r="D48" s="42" t="n">
        <v>9</v>
      </c>
      <c r="E48" s="42" t="n">
        <v>9</v>
      </c>
      <c r="F48" s="42" t="n">
        <v>14.3</v>
      </c>
      <c r="G48" s="42" t="n">
        <v>1.18</v>
      </c>
      <c r="H48" s="42" t="n">
        <v>410</v>
      </c>
      <c r="I48" s="42" t="n">
        <v>1.04</v>
      </c>
      <c r="J48" s="49" t="inlineStr">
        <is>
          <t>Ổn</t>
        </is>
      </c>
      <c r="K48" s="39" t="inlineStr">
        <is>
          <t>Trong khoảng mục tiêu.</t>
        </is>
      </c>
    </row>
    <row r="49" ht="15" customHeight="1" s="32">
      <c r="A49" s="41" t="inlineStr">
        <is>
          <t>heavy_tank</t>
        </is>
      </c>
      <c r="B49" s="41" t="inlineStr">
        <is>
          <t>Tăng hạng nặng</t>
        </is>
      </c>
      <c r="C49" s="41" t="inlineStr">
        <is>
          <t>Heavy</t>
        </is>
      </c>
      <c r="D49" s="43" t="n">
        <v>12</v>
      </c>
      <c r="E49" s="43" t="n">
        <v>13</v>
      </c>
      <c r="F49" s="43" t="n">
        <v>10.7</v>
      </c>
      <c r="G49" s="43" t="n">
        <v>0.88</v>
      </c>
      <c r="H49" s="43" t="n">
        <v>420</v>
      </c>
      <c r="I49" s="43" t="n">
        <v>1.07</v>
      </c>
      <c r="J49" s="49" t="inlineStr">
        <is>
          <t>Ổn</t>
        </is>
      </c>
      <c r="K49" s="41" t="inlineStr">
        <is>
          <t>Trong khoảng mục tiêu.</t>
        </is>
      </c>
    </row>
    <row r="50" ht="15" customHeight="1" s="32">
      <c r="A50" s="39" t="inlineStr">
        <is>
          <t>titan_tank</t>
        </is>
      </c>
      <c r="B50" s="39" t="inlineStr">
        <is>
          <t>Siêu tăng Titan</t>
        </is>
      </c>
      <c r="C50" s="39" t="inlineStr">
        <is>
          <t>Heavy</t>
        </is>
      </c>
      <c r="D50" s="42" t="n">
        <v>16</v>
      </c>
      <c r="E50" s="42" t="n">
        <v>18</v>
      </c>
      <c r="F50" s="42" t="n">
        <v>9.800000000000001</v>
      </c>
      <c r="G50" s="42" t="n">
        <v>0.8100000000000001</v>
      </c>
      <c r="H50" s="42" t="n">
        <v>475</v>
      </c>
      <c r="I50" s="42" t="n">
        <v>1.21</v>
      </c>
      <c r="J50" s="49" t="inlineStr">
        <is>
          <t>Ổn</t>
        </is>
      </c>
      <c r="K50" s="39" t="inlineStr">
        <is>
          <t>Trong khoảng mục tiêu.</t>
        </is>
      </c>
    </row>
    <row r="51" ht="15" customHeight="1" s="32">
      <c r="A51" s="41" t="inlineStr">
        <is>
          <t>fpv_carrier</t>
        </is>
      </c>
      <c r="B51" s="41" t="inlineStr">
        <is>
          <t>Xe phóng drone FPV</t>
        </is>
      </c>
      <c r="C51" s="41" t="inlineStr">
        <is>
          <t>TankHunter</t>
        </is>
      </c>
      <c r="D51" s="43" t="n">
        <v>6</v>
      </c>
      <c r="E51" s="43" t="n">
        <v>6</v>
      </c>
      <c r="F51" s="43" t="n">
        <v>9.6</v>
      </c>
      <c r="G51" s="43" t="n">
        <v>0.9</v>
      </c>
      <c r="H51" s="43" t="n">
        <v>500</v>
      </c>
      <c r="I51" s="43" t="n">
        <v>1.07</v>
      </c>
      <c r="J51" s="49" t="inlineStr">
        <is>
          <t>Ổn</t>
        </is>
      </c>
      <c r="K51" s="41" t="inlineStr">
        <is>
          <t>Trong khoảng mục tiêu.</t>
        </is>
      </c>
    </row>
    <row r="52" ht="15" customHeight="1" s="32">
      <c r="A52" s="39"/>
      <c r="B52" s="39"/>
      <c r="C52" s="39"/>
      <c r="D52" s="42"/>
      <c r="E52" s="42"/>
      <c r="F52" s="42"/>
      <c r="G52" s="42"/>
      <c r="H52" s="42"/>
      <c r="I52" s="42"/>
      <c r="J52" s="49"/>
      <c r="K52" s="39"/>
    </row>
    <row r="53" ht="15" customHeight="1" s="32">
      <c r="A53" s="41" t="inlineStr">
        <is>
          <t>wheeled_gun</t>
        </is>
      </c>
      <c r="B53" s="41" t="inlineStr">
        <is>
          <t>Pháo bánh lốp diệt tăng</t>
        </is>
      </c>
      <c r="C53" s="41" t="inlineStr">
        <is>
          <t>TankHunter</t>
        </is>
      </c>
      <c r="D53" s="43" t="n">
        <v>6</v>
      </c>
      <c r="E53" s="43" t="n">
        <v>6</v>
      </c>
      <c r="F53" s="43" t="n">
        <v>14.8</v>
      </c>
      <c r="G53" s="43" t="n">
        <v>1.39</v>
      </c>
      <c r="H53" s="43" t="n">
        <v>469</v>
      </c>
      <c r="I53" s="43" t="n">
        <v>1.01</v>
      </c>
      <c r="J53" s="49" t="inlineStr">
        <is>
          <t>Ổn</t>
        </is>
      </c>
      <c r="K53" s="41" t="inlineStr">
        <is>
          <t>Trong khoảng mục tiêu.</t>
        </is>
      </c>
    </row>
    <row r="54" ht="15" customHeight="1" s="32">
      <c r="A54" s="39" t="inlineStr">
        <is>
          <t>tank_destroyer</t>
        </is>
      </c>
      <c r="B54" s="39" t="inlineStr">
        <is>
          <t>Pháo chống tăng</t>
        </is>
      </c>
      <c r="C54" s="39" t="inlineStr">
        <is>
          <t>TankHunter</t>
        </is>
      </c>
      <c r="D54" s="42" t="n">
        <v>7</v>
      </c>
      <c r="E54" s="42" t="n">
        <v>6</v>
      </c>
      <c r="F54" s="42" t="n">
        <v>15.5</v>
      </c>
      <c r="G54" s="42" t="n">
        <v>1.45</v>
      </c>
      <c r="H54" s="42" t="n">
        <v>427</v>
      </c>
      <c r="I54" s="42" t="n">
        <v>0.92</v>
      </c>
      <c r="J54" s="49" t="inlineStr">
        <is>
          <t>Ổn</t>
        </is>
      </c>
      <c r="K54" s="39" t="inlineStr">
        <is>
          <t>Trong khoảng mục tiêu.</t>
        </is>
      </c>
    </row>
    <row r="55" ht="15" customHeight="1" s="32">
      <c r="A55" s="41" t="inlineStr">
        <is>
          <t>railgun_truck</t>
        </is>
      </c>
      <c r="B55" s="41" t="inlineStr">
        <is>
          <t>Xe súng điện từ</t>
        </is>
      </c>
      <c r="C55" s="41" t="inlineStr">
        <is>
          <t>TankHunter</t>
        </is>
      </c>
      <c r="D55" s="43" t="n">
        <v>9</v>
      </c>
      <c r="E55" s="43" t="n">
        <v>10</v>
      </c>
      <c r="F55" s="43" t="n">
        <v>7.3</v>
      </c>
      <c r="G55" s="43" t="n">
        <v>0.68</v>
      </c>
      <c r="H55" s="43" t="n">
        <v>513</v>
      </c>
      <c r="I55" s="43" t="n">
        <v>1.1</v>
      </c>
      <c r="J55" s="49" t="inlineStr">
        <is>
          <t>Ổn</t>
        </is>
      </c>
      <c r="K55" s="41" t="inlineStr">
        <is>
          <t>Trong khoảng mục tiêu.</t>
        </is>
      </c>
    </row>
    <row r="56" ht="15" customHeight="1" s="32">
      <c r="A56" s="39" t="inlineStr">
        <is>
          <t>laser_tank</t>
        </is>
      </c>
      <c r="B56" s="39" t="inlineStr">
        <is>
          <t>Xe la-de tập trung</t>
        </is>
      </c>
      <c r="C56" s="39" t="inlineStr">
        <is>
          <t>TankHunter</t>
        </is>
      </c>
      <c r="D56" s="42" t="n">
        <v>10</v>
      </c>
      <c r="E56" s="42" t="n">
        <v>9</v>
      </c>
      <c r="F56" s="42" t="n">
        <v>11.7</v>
      </c>
      <c r="G56" s="42" t="n">
        <v>1.1</v>
      </c>
      <c r="H56" s="42" t="n">
        <v>372</v>
      </c>
      <c r="I56" s="42" t="n">
        <v>0.8</v>
      </c>
      <c r="J56" s="49" t="inlineStr">
        <is>
          <t>Ổn</t>
        </is>
      </c>
      <c r="K56" s="39" t="inlineStr">
        <is>
          <t>Trong khoảng mục tiêu.</t>
        </is>
      </c>
    </row>
    <row r="57" ht="53.7" customHeight="1" s="32">
      <c r="A57" s="41" t="inlineStr">
        <is>
          <t>Ngoài đời · kiểm tra lại</t>
        </is>
      </c>
      <c r="B57" s="41" t="inlineStr">
        <is>
          <t>—</t>
        </is>
      </c>
      <c r="C57" s="41" t="inlineStr">
        <is>
          <t>—</t>
        </is>
      </c>
      <c r="D57" s="41" t="n"/>
      <c r="E57" s="41" t="n"/>
      <c r="F57" s="41" t="n"/>
      <c r="G57" s="41" t="n"/>
      <c r="H57" s="41" t="n"/>
      <c r="I57" s="41" t="n"/>
      <c r="J57" s="41" t="inlineStr">
        <is>
          <t>Còn lại</t>
        </is>
      </c>
      <c r="K57" s="41" t="inlineStr">
        <is>
          <t>Sau khi áp đợt 1: (1) tên lửa phòng không nhanh hơn mọi máy bay; (2) mọi đạn cùng loại cùng tốc độ và bán kính; (3) nhịp bắn các pháo CIWS và cao xạ đã thành luồng; (4) các xe bỏ súng máy không có thật (Buk, Iskander, Smerch, HIMARS) cần hộ tống — theo dõi tỷ lệ bị xe nhẹ áp sát diệt; (5) kích thước đổi theo tỷ lệ 0,8/0,4 phải chạy lại test xe kẹt và vùng va chạm; (6) máu boss mới là máu gốc trước scale chiến dịch.</t>
        </is>
      </c>
    </row>
  </sheetData>
  <autoFilter ref="A1:K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6" customWidth="1" style="31" min="1" max="1"/>
    <col width="12" customWidth="1" style="31" min="2" max="2"/>
    <col width="80" customWidth="1" style="31" min="3" max="3"/>
    <col width="28" customWidth="1" style="31" min="4" max="4"/>
    <col width="50" customWidth="1" style="31" min="5" max="5"/>
    <col width="8" customWidth="1" style="31" min="6" max="6"/>
  </cols>
  <sheetData>
    <row r="1" ht="42" customHeight="1" s="32">
      <c r="A1" s="37" t="inlineStr">
        <is>
          <t>Mã</t>
        </is>
      </c>
      <c r="B1" s="37" t="inlineStr">
        <is>
          <t>Nhóm</t>
        </is>
      </c>
      <c r="C1" s="37" t="inlineStr">
        <is>
          <t>Việc</t>
        </is>
      </c>
      <c r="D1" s="37" t="inlineStr">
        <is>
          <t>Sheet nguồn</t>
        </is>
      </c>
      <c r="E1" s="37" t="inlineStr">
        <is>
          <t>Tiêu chí đạt</t>
        </is>
      </c>
      <c r="F1" s="46" t="inlineStr">
        <is>
          <t>Ưu tiên</t>
        </is>
      </c>
    </row>
    <row r="2" ht="21.75" customHeight="1" s="32">
      <c r="A2" s="39" t="inlineStr">
        <is>
          <t>A1</t>
        </is>
      </c>
      <c r="B2" s="39" t="inlineStr">
        <is>
          <t>Dữ liệu</t>
        </is>
      </c>
      <c r="C2" s="39" t="inlineStr">
        <is>
          <t>Áp mọi dòng của sheet Thay đổi chi tiết vào balance.json theo thứ tự ưu tiên Cao → Trung → Thấp; mỗi nhóm một commit.</t>
        </is>
      </c>
      <c r="D2" s="39" t="inlineStr">
        <is>
          <t>Thay đổi chi tiết</t>
        </is>
      </c>
      <c r="E2" s="39" t="inlineStr">
        <is>
          <t>Test cũ pass; bảng 9 và 9b tạo lại từ dữ liệu mới</t>
        </is>
      </c>
      <c r="F2" s="47" t="inlineStr">
        <is>
          <t>Cao</t>
        </is>
      </c>
    </row>
    <row r="3" ht="21.75" customHeight="1" s="32">
      <c r="A3" s="41" t="inlineStr">
        <is>
          <t>A2</t>
        </is>
      </c>
      <c r="B3" s="41" t="inlineStr">
        <is>
          <t>Dữ liệu</t>
        </is>
      </c>
      <c r="C3" s="41" t="inlineStr">
        <is>
          <t>Áp các cột "đề xuất" của sheet Vũ khí đề xuất (sát thương, chế độ, viên/s, băng/loạt, nạp, tầm, tốc độ, nổ lan, xuyên).</t>
        </is>
      </c>
      <c r="D3" s="41" t="inlineStr">
        <is>
          <t>Vũ khí đề xuất</t>
        </is>
      </c>
      <c r="E3" s="41" t="inlineStr">
        <is>
          <t>DPS duy trì trong game khớp cột DPS đề xuất ±5%</t>
        </is>
      </c>
      <c r="F3" s="47" t="inlineStr">
        <is>
          <t>Cao</t>
        </is>
      </c>
    </row>
    <row r="4" ht="21.75" customHeight="1" s="32">
      <c r="A4" s="39" t="inlineStr">
        <is>
          <t>A3</t>
        </is>
      </c>
      <c r="B4" s="39" t="inlineStr">
        <is>
          <t>Dữ liệu</t>
        </is>
      </c>
      <c r="C4" s="39" t="inlineStr">
        <is>
          <t>Thống nhất mọi vũ khí cùng loại (cùng tên thật) về cùng tốc độ bay, bán kính nổ, model đạn; gom thành "họ vũ khí" trong dữ liệu để sửa một chỗ.</t>
        </is>
      </c>
      <c r="D4" s="39" t="inlineStr">
        <is>
          <t>Tốc độ tên lửa, Vũ khí đề xuất</t>
        </is>
      </c>
      <c r="E4" s="39" t="inlineStr">
        <is>
          <t>Test quét: không có hai vũ khí cùng tên thật khác tốc độ hoặc bán kính</t>
        </is>
      </c>
      <c r="F4" s="47" t="inlineStr">
        <is>
          <t>Cao</t>
        </is>
      </c>
    </row>
    <row r="5" ht="21.75" customHeight="1" s="32">
      <c r="A5" s="41" t="inlineStr">
        <is>
          <t>A4</t>
        </is>
      </c>
      <c r="B5" s="41" t="inlineStr">
        <is>
          <t>Hệ thống</t>
        </is>
      </c>
      <c r="C5" s="41" t="inlineStr">
        <is>
          <t>Luật tên lửa phòng không: tốc độ ≥ 1,3 × mục tiêu nhanh nhất; test tự động bắn tiêm kích và drone hộ vệ ở tầm tối đa.</t>
        </is>
      </c>
      <c r="D5" s="41" t="inlineStr">
        <is>
          <t>Tốc độ tên lửa</t>
        </is>
      </c>
      <c r="E5" s="41" t="inlineStr">
        <is>
          <t>Tỷ lệ trúng khi không có pháo sáng ≥ 90%</t>
        </is>
      </c>
      <c r="F5" s="47" t="inlineStr">
        <is>
          <t>Cao</t>
        </is>
      </c>
    </row>
    <row r="6" ht="21.75" customHeight="1" s="32">
      <c r="A6" s="39" t="inlineStr">
        <is>
          <t>A5</t>
        </is>
      </c>
      <c r="B6" s="39" t="inlineStr">
        <is>
          <t>Hệ thống</t>
        </is>
      </c>
      <c r="C6" s="39" t="inlineStr">
        <is>
          <t>Bán kính nổ tính từ khối lượng thuốc nổ (luật ở Tổng quan) và hiệu ứng nổ trên màn hình bằng đúng bán kính gây sát thương.</t>
        </is>
      </c>
      <c r="D6" s="39" t="inlineStr">
        <is>
          <t>Tổng quan, Vũ khí đề xuất</t>
        </is>
      </c>
      <c r="E6" s="39" t="inlineStr">
        <is>
          <t>Test so hiệu ứng với bán kính</t>
        </is>
      </c>
      <c r="F6" s="48" t="inlineStr">
        <is>
          <t>Trung</t>
        </is>
      </c>
    </row>
    <row r="7" ht="21.75" customHeight="1" s="32">
      <c r="A7" s="41" t="inlineStr">
        <is>
          <t>B1</t>
        </is>
      </c>
      <c r="B7" s="41" t="inlineStr">
        <is>
          <t>Model</t>
        </is>
      </c>
      <c r="C7" s="41" t="inlineStr">
        <is>
          <t>Đổi kích thước theo tỷ lệ chung (mặt đất 0,8, trên không 0,4) cho các dòng "Kích thước" cần đổi; cập nhật vùng va chạm; chạy lại test xe kẹt trên mọi map.</t>
        </is>
      </c>
      <c r="D7" s="41" t="inlineStr">
        <is>
          <t>Kiểm tra từng mục</t>
        </is>
      </c>
      <c r="E7" s="41" t="inlineStr">
        <is>
          <t>Không xe kẹt; thứ tự to nhỏ đúng trong cùng lớp</t>
        </is>
      </c>
      <c r="F7" s="47" t="inlineStr">
        <is>
          <t>Cao</t>
        </is>
      </c>
    </row>
    <row r="8" ht="21.75" customHeight="1" s="32">
      <c r="A8" s="39" t="inlineStr">
        <is>
          <t>B2</t>
        </is>
      </c>
      <c r="B8" s="39" t="inlineStr">
        <is>
          <t>Model</t>
        </is>
      </c>
      <c r="C8" s="39" t="inlineStr">
        <is>
          <t>Dựng lại model theo cột Hình dạng và sheet Hướng dẫn vẽ; ưu tiên: Tăng chủ lực, Su-27, máy bay mẹ (cùng khung với pháo hạm), Apache, Icarus, Daedalus.</t>
        </is>
      </c>
      <c r="D8" s="39" t="inlineStr">
        <is>
          <t>Phương tiện, Boss, Hướng dẫn vẽ</t>
        </is>
      </c>
      <c r="E8" s="39" t="inlineStr">
        <is>
          <t>Ảnh bóng từ trên xuống nhận ra được; lưu ảnh trước/sau</t>
        </is>
      </c>
      <c r="F8" s="48" t="inlineStr">
        <is>
          <t>Trung</t>
        </is>
      </c>
    </row>
    <row r="9" ht="21.75" customHeight="1" s="32">
      <c r="A9" s="41" t="inlineStr">
        <is>
          <t>B3</t>
        </is>
      </c>
      <c r="B9" s="41" t="inlineStr">
        <is>
          <t>Model</t>
        </is>
      </c>
      <c r="C9" s="41" t="inlineStr">
        <is>
          <t>Model đạn riêng cho Kh-29L và GBU-39 SDB; đạn 203 mm dùng tỷ lệ 1,3; kích thước đạn theo sheet Kích thước đạn.</t>
        </is>
      </c>
      <c r="D9" s="41" t="inlineStr">
        <is>
          <t>Kích thước đạn</t>
        </is>
      </c>
      <c r="E9" s="41" t="inlineStr">
        <is>
          <t>Không vũ khí nào dùng nhầm model</t>
        </is>
      </c>
      <c r="F9" s="49" t="inlineStr">
        <is>
          <t>Thấp</t>
        </is>
      </c>
    </row>
    <row r="10" ht="21.75" customHeight="1" s="32">
      <c r="A10" s="39" t="inlineStr">
        <is>
          <t>C1</t>
        </is>
      </c>
      <c r="B10" s="39" t="inlineStr">
        <is>
          <t>Boss</t>
        </is>
      </c>
      <c r="C10" s="39" t="inlineStr">
        <is>
          <t>Áp máu và DPS theo sheet Boss đề xuất; chỉ boss chủ lực có siêu vũ khí; bỏ đòn lớn của mini boss.</t>
        </is>
      </c>
      <c r="D10" s="39" t="inlineStr">
        <is>
          <t>Boss đề xuất</t>
        </is>
      </c>
      <c r="E10" s="39" t="inlineStr">
        <is>
          <t>Test: mini boss không có siêu vũ khí; chu kỳ siêu vũ khí đúng; thời lượng trận trong mục tiêu</t>
        </is>
      </c>
      <c r="F10" s="47" t="inlineStr">
        <is>
          <t>Cao</t>
        </is>
      </c>
    </row>
    <row r="11" ht="15" customHeight="1" s="32">
      <c r="A11" s="41" t="inlineStr">
        <is>
          <t>C2</t>
        </is>
      </c>
      <c r="B11" s="41" t="inlineStr">
        <is>
          <t>Boss</t>
        </is>
      </c>
      <c r="C11" s="41" t="inlineStr">
        <is>
          <t>Hiển thị vũ khí chính còn thiếu (pháo 80 cm của Gungnir, bánh gầu của Kronos) trong dữ liệu và tài liệu.</t>
        </is>
      </c>
      <c r="D11" s="41" t="inlineStr">
        <is>
          <t>Boss</t>
        </is>
      </c>
      <c r="E11" s="41" t="inlineStr">
        <is>
          <t>Có trong bảng vũ khí</t>
        </is>
      </c>
      <c r="F11" s="49" t="inlineStr">
        <is>
          <t>Thấp</t>
        </is>
      </c>
    </row>
    <row r="12" ht="15" customHeight="1" s="32">
      <c r="A12" s="39" t="inlineStr">
        <is>
          <t>D1</t>
        </is>
      </c>
      <c r="B12" s="39" t="inlineStr">
        <is>
          <t>Tên</t>
        </is>
      </c>
      <c r="C12" s="39" t="inlineStr">
        <is>
          <t>Áp sheet Tên đề xuất vào localization (tên đầy đủ, tên ngắn, tiếng Anh); một đơn vị một tên ở mọi bảng.</t>
        </is>
      </c>
      <c r="D12" s="39" t="inlineStr">
        <is>
          <t>Tên đề xuất</t>
        </is>
      </c>
      <c r="E12" s="39" t="inlineStr">
        <is>
          <t>Test quét: không còn tên cũ, không có hai tên cho một id</t>
        </is>
      </c>
      <c r="F12" s="48" t="inlineStr">
        <is>
          <t>Trung</t>
        </is>
      </c>
    </row>
    <row r="13" ht="21.75" customHeight="1" s="32">
      <c r="A13" s="41" t="inlineStr">
        <is>
          <t>D2</t>
        </is>
      </c>
      <c r="B13" s="41" t="inlineStr">
        <is>
          <t>Mở khóa</t>
        </is>
      </c>
      <c r="C13" s="41" t="inlineStr">
        <is>
          <t>Áp cột Mở khóa đề xuất và giá mua sớm; chiến lợi phẩm cốt truyện không mua sớm được; nội dung mới bán trong Cửa hàng theo giá ở sheet Đề xuất thêm.</t>
        </is>
      </c>
      <c r="D13" s="41" t="inlineStr">
        <is>
          <t>Phương tiện, Đề xuất thêm</t>
        </is>
      </c>
      <c r="E13" s="41" t="inlineStr">
        <is>
          <t>Mọi thẻ có đúng một nguồn mở khóa; tính lại đường cong kinh tế</t>
        </is>
      </c>
      <c r="F13" s="48" t="inlineStr">
        <is>
          <t>Trung</t>
        </is>
      </c>
    </row>
    <row r="14" ht="15" customHeight="1" s="32">
      <c r="A14" s="39" t="inlineStr">
        <is>
          <t>E1</t>
        </is>
      </c>
      <c r="B14" s="39" t="inlineStr">
        <is>
          <t>Cân bằng</t>
        </is>
      </c>
      <c r="C14" s="39" t="inlineStr">
        <is>
          <t>Chạy mô phỏng 5 seed sau khi áp A1–C1; so với sheet Cân bằng lần 2; xử lý các dòng "Theo dõi".</t>
        </is>
      </c>
      <c r="D14" s="39" t="inlineStr">
        <is>
          <t>Cân bằng lần 2</t>
        </is>
      </c>
      <c r="E14" s="39" t="inlineStr">
        <is>
          <t>Mọi vai trò trong ±15% trung vị trừ ngoại lệ có ghi lý do</t>
        </is>
      </c>
      <c r="F14" s="47" t="inlineStr">
        <is>
          <t>Cao</t>
        </is>
      </c>
    </row>
    <row r="15" ht="21.75" customHeight="1" s="32">
      <c r="A15" s="41" t="inlineStr">
        <is>
          <t>E2</t>
        </is>
      </c>
      <c r="B15" s="41" t="inlineStr">
        <is>
          <t>Cân bằng</t>
        </is>
      </c>
      <c r="C15" s="41" t="inlineStr">
        <is>
          <t>Thêm chỉ số "giá trị hỗ trợ" vào bảng 9b cho xe hỗ trợ (máu sửa, đạn nạp, tên lửa hút, sát thương khiên chặn).</t>
        </is>
      </c>
      <c r="D15" s="41" t="inlineStr">
        <is>
          <t>Tổng quan</t>
        </is>
      </c>
      <c r="E15" s="41" t="inlineStr">
        <is>
          <t>Xe hỗ trợ có số đo khác 0</t>
        </is>
      </c>
      <c r="F15" s="48" t="inlineStr">
        <is>
          <t>Trung</t>
        </is>
      </c>
    </row>
    <row r="16" ht="15" customHeight="1" s="32">
      <c r="A16" s="39" t="inlineStr">
        <is>
          <t>E3</t>
        </is>
      </c>
      <c r="B16" s="39" t="inlineStr">
        <is>
          <t>Cân bằng</t>
        </is>
      </c>
      <c r="C16" s="39" t="inlineStr">
        <is>
          <t>Tính DPS gồm cả nổ lan lên cụm mục tiêu (5 xe cách nhau 4 m) để so đúng pháo, rốc-két, bom.</t>
        </is>
      </c>
      <c r="D16" s="39" t="inlineStr">
        <is>
          <t>Vũ khí đề xuất</t>
        </is>
      </c>
      <c r="E16" s="39" t="inlineStr">
        <is>
          <t>Bảng 9b có cột "vs cụm xe"</t>
        </is>
      </c>
      <c r="F16" s="48" t="inlineStr">
        <is>
          <t>Trung</t>
        </is>
      </c>
    </row>
    <row r="17" ht="21.75" customHeight="1" s="32">
      <c r="A17" s="41" t="inlineStr">
        <is>
          <t>F1</t>
        </is>
      </c>
      <c r="B17" s="41" t="inlineStr">
        <is>
          <t>Tài liệu</t>
        </is>
      </c>
      <c r="C17" s="41" t="inlineStr">
        <is>
          <t>Tạo tài liệu thiết kế từ dữ liệu: thêm cột miêu tả, hình dạng, mở khóa; bảng DPS theo cấp giáp; đơn vị tốc độ xoay ghi đúng (°/s hay rad/s).</t>
        </is>
      </c>
      <c r="D17" s="41" t="inlineStr">
        <is>
          <t>Toàn bộ</t>
        </is>
      </c>
      <c r="E17" s="41" t="inlineStr">
        <is>
          <t>Tài liệu khớp dữ liệu; không còn bảng cũ</t>
        </is>
      </c>
      <c r="F17" s="48" t="inlineStr">
        <is>
          <t>Trung</t>
        </is>
      </c>
    </row>
    <row r="18" ht="21.75" customHeight="1" s="32">
      <c r="A18" s="39" t="inlineStr">
        <is>
          <t>F2</t>
        </is>
      </c>
      <c r="B18" s="39" t="inlineStr">
        <is>
          <t>Nội dung mới</t>
        </is>
      </c>
      <c r="C18" s="39" t="inlineStr">
        <is>
          <t>Làm theo thứ tự ưu tiên: công trình Cao (Tường chắn đạn, Mồi nhử, Trung tâm điều khiển hỏa lực, Ụ pháo chống tăng, Flak 88) rồi thẻ hỗ trợ mới rồi xe mới.</t>
        </is>
      </c>
      <c r="D18" s="39" t="inlineStr">
        <is>
          <t>Công trình mới, Thẻ hỗ trợ mới, Đề xuất thêm</t>
        </is>
      </c>
      <c r="E18" s="39" t="inlineStr">
        <is>
          <t>Mỗi thứ mới có test hành vi, thẻ Hướng dẫn, model</t>
        </is>
      </c>
      <c r="F18" s="49" t="inlineStr">
        <is>
          <t>Thấp</t>
        </is>
      </c>
    </row>
  </sheetData>
  <autoFilter ref="A1:F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J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24" customWidth="1" style="31" min="2" max="2"/>
    <col width="12" customWidth="1" style="31" min="3" max="3"/>
    <col width="50" customWidth="1" style="31" min="4" max="4"/>
    <col width="70" customWidth="1" style="31" min="5" max="5"/>
    <col width="34" customWidth="1" style="31" min="6" max="6"/>
    <col width="30" customWidth="1" style="31" min="7" max="7"/>
    <col width="14" customWidth="1" style="31" min="8" max="8"/>
    <col width="6" customWidth="1" style="31" min="9" max="9"/>
    <col width="8" customWidth="1" style="31" min="10" max="10"/>
    <col width="11" customWidth="1" style="31" min="11" max="11"/>
    <col width="8" customWidth="1" style="31" min="12" max="13"/>
    <col width="7" customWidth="1" style="31" min="14" max="16"/>
    <col width="8" customWidth="1" style="31" min="17" max="25"/>
    <col width="7" customWidth="1" style="31" min="26" max="26"/>
    <col width="10" customWidth="1" style="31" min="27" max="27"/>
    <col width="40" customWidth="1" style="31" min="28" max="28"/>
    <col width="24" customWidth="1" style="31" min="29" max="29"/>
    <col width="30" customWidth="1" style="31" min="30" max="30"/>
    <col width="40" customWidth="1" style="31" min="31" max="32"/>
    <col width="60" customWidth="1" style="31" min="33" max="33"/>
    <col width="55" customWidth="1" style="31" min="34" max="35"/>
    <col width="8" customWidth="1" style="31" min="36" max="36"/>
  </cols>
  <sheetData>
    <row r="1" ht="42" customHeight="1" s="32">
      <c r="A1" s="37" t="inlineStr">
        <is>
          <t>id</t>
        </is>
      </c>
      <c r="B1" s="37" t="inlineStr">
        <is>
          <t>Tên</t>
        </is>
      </c>
      <c r="C1" s="37" t="inlineStr">
        <is>
          <t>Lớp</t>
        </is>
      </c>
      <c r="D1" s="37" t="inlineStr">
        <is>
          <t>Miêu tả</t>
        </is>
      </c>
      <c r="E1" s="37" t="inlineStr">
        <is>
          <t>Hình dạng (cho AI vẽ)</t>
        </is>
      </c>
      <c r="F1" s="44" t="inlineStr">
        <is>
          <t>Mở khóa hiện tại</t>
        </is>
      </c>
      <c r="G1" s="45" t="inlineStr">
        <is>
          <t>Mở khóa đề xuất</t>
        </is>
      </c>
      <c r="H1" s="37" t="inlineStr">
        <is>
          <t>Mua sớm</t>
        </is>
      </c>
      <c r="I1" s="37" t="inlineStr">
        <is>
          <t>CP</t>
        </is>
      </c>
      <c r="J1" s="37" t="inlineStr">
        <is>
          <t>Máu</t>
        </is>
      </c>
      <c r="K1" s="37" t="inlineStr">
        <is>
          <t>Giáp T/H/S/N</t>
        </is>
      </c>
      <c r="L1" s="37" t="inlineStr">
        <is>
          <t>Tốc độ (m/s)</t>
        </is>
      </c>
      <c r="M1" s="37" t="inlineStr">
        <is>
          <t>Tầm nhìn (m)</t>
        </is>
      </c>
      <c r="N1" s="37" t="inlineStr">
        <is>
          <t>DPS nhẹ</t>
        </is>
      </c>
      <c r="O1" s="37" t="inlineStr">
        <is>
          <t>DPS nặng</t>
        </is>
      </c>
      <c r="P1" s="37" t="inlineStr">
        <is>
          <t>DPS bay</t>
        </is>
      </c>
      <c r="Q1" s="37" t="inlineStr">
        <is>
          <t>DPS công trình</t>
        </is>
      </c>
      <c r="R1" s="37" t="inlineStr">
        <is>
          <t>DPS nặng / CP</t>
        </is>
      </c>
      <c r="S1" s="37" t="inlineStr">
        <is>
          <t>Máu / CP</t>
        </is>
      </c>
      <c r="T1" s="37" t="inlineStr">
        <is>
          <t>Giá trị vs xe nhẹ</t>
        </is>
      </c>
      <c r="U1" s="37" t="inlineStr">
        <is>
          <t>vs xe tăng</t>
        </is>
      </c>
      <c r="V1" s="37" t="inlineStr">
        <is>
          <t>vs công sự</t>
        </is>
      </c>
      <c r="W1" s="37" t="inlineStr">
        <is>
          <t>vs máy bay</t>
        </is>
      </c>
      <c r="X1" s="37" t="inlineStr">
        <is>
          <t>vs tăng + PK</t>
        </is>
      </c>
      <c r="Y1" s="37" t="inlineStr">
        <is>
          <t>Thời gian bắn</t>
        </is>
      </c>
      <c r="Z1" s="37" t="inlineStr">
        <is>
          <t>Sống (s)</t>
        </is>
      </c>
      <c r="AA1" s="37" t="inlineStr">
        <is>
          <t>Hiệu quả so với trung vị vai trò</t>
        </is>
      </c>
      <c r="AB1" s="37" t="inlineStr">
        <is>
          <t>Tham khảo (ngoài đời / game)</t>
        </is>
      </c>
      <c r="AC1" s="37" t="inlineStr">
        <is>
          <t>Mạnh với</t>
        </is>
      </c>
      <c r="AD1" s="37" t="inlineStr">
        <is>
          <t>Yếu trước</t>
        </is>
      </c>
      <c r="AE1" s="37" t="inlineStr">
        <is>
          <t>Cách đánh</t>
        </is>
      </c>
      <c r="AF1" s="37" t="inlineStr">
        <is>
          <t>Hành vi</t>
        </is>
      </c>
      <c r="AG1" s="37" t="inlineStr">
        <is>
          <t>Vũ khí</t>
        </is>
      </c>
      <c r="AH1" s="45" t="inlineStr">
        <is>
          <t>Đề xuất</t>
        </is>
      </c>
      <c r="AI1" s="46" t="inlineStr">
        <is>
          <t>Lý do thay đổi</t>
        </is>
      </c>
      <c r="AJ1" s="46" t="inlineStr">
        <is>
          <t>Ưu tiên</t>
        </is>
      </c>
    </row>
    <row r="2" ht="42.75" customHeight="1" s="32">
      <c r="A2" s="39" t="inlineStr">
        <is>
          <t>hover_gunboat</t>
        </is>
      </c>
      <c r="B2" s="39" t="inlineStr">
        <is>
          <t>Xuồng cao tốc đệm khí</t>
        </is>
      </c>
      <c r="C2" s="39" t="inlineStr">
        <is>
          <t>Xe nhẹ</t>
        </is>
      </c>
      <c r="D2" s="39" t="inlineStr">
        <is>
          <t>pháo 30 mm sáu nòng trên thân đệm khí nhỏ; nó chạy cạnh tàu đệm khí đổ bộ trên cả đất liền lẫn mặt nước. nhanh, khó bắt, nhưng giáp mỏng: xe tăng hay pháo tự động nào cũng hạ được.</t>
        </is>
      </c>
      <c r="E2" s="39" t="inlineStr">
        <is>
          <t>Thân xuồng đệm khí thấp, váy cao su đen quanh đáy, 2 quạt đẩy lớn phía sau trong vòng bảo vệ, tháp pháo 6 nòng nhỏ phía trước. Từ trên xuống: hình giọt nước, hai vòng quạt tròn ở đuôi. Kích thước hiện 14.0 × 3.9 × 4.4 m. Vũ khí nhìn thấy: AK-630 30 mm. Vạch màu phe trên nóc và hai hông; không dùng phù hiệu, cờ hay logo quốc gia thật.</t>
        </is>
      </c>
      <c r="F2" s="39" t="inlineStr">
        <is>
          <t>thắng màn mở khóa trong chiến dịch, hoặc mua sớm 300 xu</t>
        </is>
      </c>
      <c r="G2" s="39" t="inlineStr">
        <is>
          <t>Không mở (hộ tống boss)</t>
        </is>
      </c>
      <c r="H2" s="39" t="inlineStr">
        <is>
          <t>—</t>
        </is>
      </c>
      <c r="I2" s="42" t="n">
        <v>0</v>
      </c>
      <c r="J2" s="42" t="n">
        <v>1144</v>
      </c>
      <c r="K2" s="39" t="inlineStr">
        <is>
          <t>1/0/0/0</t>
        </is>
      </c>
      <c r="L2" s="42" t="n">
        <v>8.5</v>
      </c>
      <c r="M2" s="42" t="n">
        <v>46</v>
      </c>
      <c r="N2" s="42" t="n">
        <v>22</v>
      </c>
      <c r="O2" s="42" t="n">
        <v>11</v>
      </c>
      <c r="P2" s="42" t="n">
        <v>7</v>
      </c>
      <c r="Q2" s="42" t="n">
        <v>11</v>
      </c>
      <c r="R2" s="50">
        <f>IFERROR(O2/I2,"")</f>
        <v/>
      </c>
      <c r="S2" s="50">
        <f>IFERROR(J2/I2,"")</f>
        <v/>
      </c>
      <c r="T2" s="39" t="n"/>
      <c r="U2" s="39" t="n"/>
      <c r="V2" s="39" t="n"/>
      <c r="W2" s="39" t="n"/>
      <c r="X2" s="39" t="n"/>
      <c r="Y2" s="39" t="n"/>
      <c r="Z2" s="39" t="n"/>
      <c r="AA2" s="39" t="n"/>
      <c r="AB2" s="39" t="inlineStr">
        <is>
          <t>tàu tấn công nhanh vỏ lướt, AK-630 30 mm — Xuồng pháo hộ tống tàu đệm khí</t>
        </is>
      </c>
      <c r="AC2" s="39" t="inlineStr">
        <is>
          <t>giáp 0, giáp 1, giáp 2</t>
        </is>
      </c>
      <c r="AD2" s="39" t="inlineStr">
        <is>
          <t>súng máy hạng nặng, lửa, pháo tự động, nổ mạnh, năng lượng, đánh nóc, nổ lõm, pháo xe tăng</t>
        </is>
      </c>
      <c r="AE2" s="39" t="inlineStr">
        <is>
          <t>pháo 30 mm sáu nòng trên thân đệm khí nhỏ; nó chạy cạnh tàu đệm khí đổ bộ trên cả đất liền lẫn mặt nước.</t>
        </is>
      </c>
      <c r="AF2" s="39" t="inlineStr">
        <is>
          <t>Vừa chạy vừa bắn; Bắn hết 15 viên thì thay băng; Xe bọc thép</t>
        </is>
      </c>
      <c r="AG2" s="39" t="inlineStr">
        <is>
          <t>AK-630 30 mm [Động năng, xuyên 2, đạn pháo động năng (pháo tự động)] 22/phát · băng 15 viên, 60 viên/s, thay 14.71 s · tầm 34 m · Tất cả</t>
        </is>
      </c>
      <c r="AH2" s="39" t="inlineStr">
        <is>
          <t>• Vũ khí: AK-630 30 mm: 12/phát · 60 viên/s · băng 60 · nạp 5 s · DPS duy trì ~85</t>
        </is>
      </c>
      <c r="AI2" s="39" t="inlineStr">
        <is>
          <t>• Vũ khí: AK-630 30 mm: Bắn 0,25 s rồi im 14,7 s: không giống CIWS, và hộ tống boss gần như vô hại.</t>
        </is>
      </c>
      <c r="AJ2" s="49" t="inlineStr">
        <is>
          <t>Thấp</t>
        </is>
      </c>
    </row>
    <row r="3" ht="53.25" customHeight="1" s="32">
      <c r="A3" s="41" t="inlineStr">
        <is>
          <t>armored_car</t>
        </is>
      </c>
      <c r="B3" s="41" t="inlineStr">
        <is>
          <t>Xe bọc thép</t>
        </is>
      </c>
      <c r="C3" s="41" t="inlineStr">
        <is>
          <t>Xe nhẹ</t>
        </is>
      </c>
      <c r="D3" s="41" t="inlineStr">
        <is>
          <t>pháo 25 mm vừa chạy vừa bắn cả đất lẫn trời, mạnh nhất với xe nhẹ và trực thăng; chiếm cứ điểm nhanh gấp đôi. thắng trinh sát, pháo binh, xe phòng không và xe hỗ trợ; đạn nảy khỏi xe tăng và tháp canh nên thua chúng.</t>
        </is>
      </c>
      <c r="E3" s="41" t="inlineStr">
        <is>
          <t>Xe 6 bánh lộ ngoài, thân hình hộp vát nghiêng phía trước, tháp pháo nhỏ ở giữa với nòng 25 mm dài. Từ trên xuống: chữ nhật hẹp, 3 cặp bánh nhô ra hai bên, tháp tròn giữa thân. Kích thước đề xuất khoảng 4.6 × 2.0 × 1.4 m (dài × rộng × cao; 0,8 × mẫu thật Pandur I 6x6). Vũ khí nhìn thấy: M242 Bushmaster 25 mm, PKT / M240 7.62 mm. Vạch màu phe trên nóc và hai hông; không dùng phù hiệu, cờ hay logo quốc gia thật.</t>
        </is>
      </c>
      <c r="F3" s="41" t="inlineStr">
        <is>
          <t>có sẵn từ đầu</t>
        </is>
      </c>
      <c r="G3" s="41" t="inlineStr">
        <is>
          <t>Có sẵn</t>
        </is>
      </c>
      <c r="H3" s="41" t="inlineStr">
        <is>
          <t>—</t>
        </is>
      </c>
      <c r="I3" s="43" t="n">
        <v>3</v>
      </c>
      <c r="J3" s="43" t="n">
        <v>660</v>
      </c>
      <c r="K3" s="41" t="inlineStr">
        <is>
          <t>1/0/0/0</t>
        </is>
      </c>
      <c r="L3" s="43" t="n">
        <v>11.5</v>
      </c>
      <c r="M3" s="43" t="n">
        <v>36</v>
      </c>
      <c r="N3" s="43" t="n">
        <v>78</v>
      </c>
      <c r="O3" s="43" t="n">
        <v>32</v>
      </c>
      <c r="P3" s="43" t="n">
        <v>12</v>
      </c>
      <c r="Q3" s="43" t="n">
        <v>35</v>
      </c>
      <c r="R3" s="51">
        <f>IFERROR(O3/I3,"")</f>
        <v/>
      </c>
      <c r="S3" s="51">
        <f>IFERROR(J3/I3,"")</f>
        <v/>
      </c>
      <c r="T3" s="43" t="n">
        <v>207</v>
      </c>
      <c r="U3" s="43" t="n">
        <v>69</v>
      </c>
      <c r="V3" s="43" t="n">
        <v>43</v>
      </c>
      <c r="W3" s="43" t="n">
        <v>2</v>
      </c>
      <c r="X3" s="43" t="n">
        <v>84</v>
      </c>
      <c r="Y3" s="41" t="inlineStr">
        <is>
          <t>59%</t>
        </is>
      </c>
      <c r="Z3" s="43" t="n">
        <v>22</v>
      </c>
      <c r="AA3" s="43" t="n">
        <v>0.88</v>
      </c>
      <c r="AB3" s="41" t="inlineStr">
        <is>
          <t>Pandur I 6x6, M242 Bushmaster 25 mm — ước đoán: xe bọc thép 6x6 bánh lộ ngoài, tháp pháo tự động nhỏ</t>
        </is>
      </c>
      <c r="AC3" s="41" t="inlineStr">
        <is>
          <t>giáp 0, giáp 1, giáp 2</t>
        </is>
      </c>
      <c r="AD3" s="41" t="inlineStr">
        <is>
          <t>súng máy hạng nặng, lửa, pháo tự động, nổ mạnh, năng lượng, đánh nóc, nổ lõm, pháo xe tăng</t>
        </is>
      </c>
      <c r="AE3" s="41" t="inlineStr">
        <is>
          <t>pháo 25 mm vừa chạy vừa bắn cả đất lẫn trời, mạnh nhất với xe nhẹ và trực thăng; chiếm cứ điểm nhanh gấp đôi.</t>
        </is>
      </c>
      <c r="AF3" s="41" t="inlineStr">
        <is>
          <t>Vừa chạy vừa bắn; Bắn hết 19 viên thì thay băng; Xe chiến đấu bộ binh</t>
        </is>
      </c>
      <c r="AG3" s="41" t="inlineStr">
        <is>
          <t>M242 Bushmaster 25 mm [Động năng, xuyên 2, đạn pháo động năng (pháo tự động)] 17/phát · băng 19 viên, 4 viên/s, thay 1 s · tầm 30 m · Mặt đất
PKT / M240 7.62 mm [Động năng, xuyên 0, đạn súng] 6/phát · băng 41 viên, 12 viên/s, thay 1.59 s · tầm 20 m · Tất cả</t>
        </is>
      </c>
      <c r="AH3" s="41" t="inlineStr">
        <is>
          <t>• Tầm nhìn: 42 m</t>
        </is>
      </c>
      <c r="AI3" s="41" t="inlineStr">
        <is>
          <t>• Tầm nhìn: Xe bánh lốp trinh sát đi trước tuyến; hiện nhìn kém cả xuồng (46).</t>
        </is>
      </c>
      <c r="AJ3" s="49" t="inlineStr">
        <is>
          <t>Thấp</t>
        </is>
      </c>
    </row>
    <row r="4" ht="63.75" customHeight="1" s="32">
      <c r="A4" s="39" t="inlineStr">
        <is>
          <t>ifv</t>
        </is>
      </c>
      <c r="B4" s="39" t="inlineStr">
        <is>
          <t>Xe chiến đấu bộ binh</t>
        </is>
      </c>
      <c r="C4" s="39" t="inlineStr">
        <is>
          <t>Xe nhẹ</t>
        </is>
      </c>
      <c r="D4" s="39" t="inlineStr">
        <is>
          <t>pháo tự động vừa chạy vừa bắn xe nhẹ và máy bay, kèm tên lửa chống tăng TOW (34 m) cho xe tăng; chiếm cứ điểm nhanh gấp 3, thắng trinh sát, xe nhẹ, pháo binh và phòng không, gây sát thương cả xe tăng; đấu tay đôi với tăng vẫn thua.</t>
        </is>
      </c>
      <c r="E4" s="39" t="inlineStr">
        <is>
          <t>Xe xích 6 bánh chịu lực, thân cao hơn tăng, tháp lệch trái có nòng 30 mm ngắn và hộp phóng TOW gắn bên hông tháp, cửa đuôi lớn. Từ trên xuống: thân chữ nhật, hộp tên lửa vuông bên hông tháp. Kích thước đề xuất khoảng 5.2 × 2.9 × 2.4 m (dài × rộng × cao; 0,8 × mẫu thật M2 Bradley). Vũ khí nhìn thấy: 2A42 30 mm, PKT / M240 7.62 mm, BGM-71 TOW-2. Vạch màu phe trên nóc và hai hông; không dùng phù hiệu, cờ hay logo quốc gia thật.</t>
        </is>
      </c>
      <c r="F4" s="39" t="inlineStr">
        <is>
          <t>có sẵn từ đầu</t>
        </is>
      </c>
      <c r="G4" s="39" t="inlineStr">
        <is>
          <t>Có sẵn</t>
        </is>
      </c>
      <c r="H4" s="39" t="inlineStr">
        <is>
          <t>—</t>
        </is>
      </c>
      <c r="I4" s="42" t="n">
        <v>6</v>
      </c>
      <c r="J4" s="42" t="n">
        <v>1144</v>
      </c>
      <c r="K4" s="39" t="inlineStr">
        <is>
          <t>2/1/0/0</t>
        </is>
      </c>
      <c r="L4" s="42" t="n">
        <v>9</v>
      </c>
      <c r="M4" s="42" t="n">
        <v>34</v>
      </c>
      <c r="N4" s="42" t="n">
        <v>136</v>
      </c>
      <c r="O4" s="42" t="n">
        <v>67</v>
      </c>
      <c r="P4" s="42" t="n">
        <v>12</v>
      </c>
      <c r="Q4" s="42" t="n">
        <v>66</v>
      </c>
      <c r="R4" s="50">
        <f>IFERROR(O4/I4,"")</f>
        <v/>
      </c>
      <c r="S4" s="50">
        <f>IFERROR(J4/I4,"")</f>
        <v/>
      </c>
      <c r="T4" s="42" t="n">
        <v>238</v>
      </c>
      <c r="U4" s="42" t="n">
        <v>110</v>
      </c>
      <c r="V4" s="42" t="n">
        <v>53</v>
      </c>
      <c r="W4" s="42" t="n">
        <v>1</v>
      </c>
      <c r="X4" s="42" t="n">
        <v>129</v>
      </c>
      <c r="Y4" s="39" t="inlineStr">
        <is>
          <t>51%</t>
        </is>
      </c>
      <c r="Z4" s="42" t="n">
        <v>32</v>
      </c>
      <c r="AA4" s="42" t="n">
        <v>1.12</v>
      </c>
      <c r="AB4" s="39" t="inlineStr">
        <is>
          <t>M2 Bradley, BMP-3, 2A42 30 mm, BGM-71 TOW-2 — Xe chiến đấu bộ binh bánh xích, pháo 30 mm và bệ TOW</t>
        </is>
      </c>
      <c r="AC4" s="39" t="inlineStr">
        <is>
          <t>giáp 0, giáp 1, giáp 2, giáp 3, giáp 4, công trình</t>
        </is>
      </c>
      <c r="AD4" s="39" t="inlineStr">
        <is>
          <t>lửa, pháo tự động, nổ mạnh, năng lượng, đánh nóc, nổ lõm, pháo xe tăng</t>
        </is>
      </c>
      <c r="AE4" s="39" t="inlineStr">
        <is>
          <t>pháo tự động vừa chạy vừa bắn xe nhẹ và máy bay, kèm tên lửa chống tăng TOW (34 m) cho xe tăng; chiếm cứ điểm nhanh gấp 3,</t>
        </is>
      </c>
      <c r="AF4" s="39" t="inlineStr">
        <is>
          <t>Vừa chạy vừa bắn; Bắn hết 26 viên thì thay băng; Khói: khi bị bắn (mỗi 30 giây); Hỗ trợ (9); Xe tiếp tế</t>
        </is>
      </c>
      <c r="AG4" s="39" t="inlineStr">
        <is>
          <t>2A42 30 mm [Động năng, xuyên 2, đạn pháo động năng (pháo tự động)] 22/phát · băng 26 viên, 5 viên/s, thay 1 s · tầm 30 m · Mặt đất
PKT / M240 7.62 mm [Động năng, xuyên 0, đạn súng] 6/phát · băng 41 viên, 12 viên/s, thay 1.59 s · tầm 20 m · Tất cả
BGM-71 TOW-2 [Nổ lõm, xuyên 4, tên lửa chống tăng dẫn đường] 190/phát · hồi 12.33 s · tầm 34 m · Mặt đất</t>
        </is>
      </c>
      <c r="AH4" s="39" t="inlineStr">
        <is>
          <t>• Vũ khí: 2A42 30 mm: 22/phát · loạt 10 viên ở 9 viên/s · nghỉ 1,5 s · DPS duy trì giữ ~94
• Vũ khí: TOW-2: tầm 40 m · tốc độ 20 (bay 2,0 s tới tầm tối đa)</t>
        </is>
      </c>
      <c r="AI4" s="39" t="inlineStr">
        <is>
          <t>• Vũ khí: 2A42 30 mm: Ngoài đời 2A42 bắn loạt nhanh; cảm giác "xả loạt" khác súng máy.
• Vũ khí: TOW-2: Tên lửa chống tăng phải bắn xa hơn pháo xe tăng (34 m), nếu không thì không có lý do mang.</t>
        </is>
      </c>
      <c r="AJ4" s="48" t="inlineStr">
        <is>
          <t>Trung</t>
        </is>
      </c>
    </row>
    <row r="5" ht="53.25" customHeight="1" s="32">
      <c r="A5" s="41" t="inlineStr">
        <is>
          <t>supply_truck</t>
        </is>
      </c>
      <c r="B5" s="41" t="inlineStr">
        <is>
          <t>Xe tiếp tế</t>
        </is>
      </c>
      <c r="C5" s="41" t="inlineStr">
        <is>
          <t>Hỗ trợ</t>
        </is>
      </c>
      <c r="D5" s="41" t="inlineStr">
        <is>
          <t>chỉ có súng máy nhẹ; nó chạy theo lộ trình tới kho và không chiếm được cứ điểm. đủ giáp để chịu vài phát, nhưng không đánh lại được thứ gì đáng kể.</t>
        </is>
      </c>
      <c r="E5" s="41" t="inlineStr">
        <is>
          <t>Xe tải 8 bánh, ca-bin phía trước, thùng hàng phủ bạt với thùng gỗ và thùng đạn nhìn thấy, súng máy trên vòng nóc ca-bin. Từ trên xuống: dài, ca-bin nhỏ, thùng hàng chiếm 2/3. Kích thước đề xuất khoảng 8.2 × 2.0 × 2.1 m (dài × rộng × cao; 0,8 × mẫu thật M977 HEMTT). Vũ khí nhìn thấy: M2 Browning 12.7 mm. Vạch màu phe trên nóc và hai hông; không dùng phù hiệu, cờ hay logo quốc gia thật.</t>
        </is>
      </c>
      <c r="F5" s="41" t="inlineStr">
        <is>
          <t>thắng màn mở khóa trong chiến dịch, hoặc mua sớm 300 xu</t>
        </is>
      </c>
      <c r="G5" s="41" t="inlineStr">
        <is>
          <t>Nhiệm vụ (không vào bộ bài)</t>
        </is>
      </c>
      <c r="H5" s="41" t="inlineStr">
        <is>
          <t>—</t>
        </is>
      </c>
      <c r="I5" s="43" t="n">
        <v>0</v>
      </c>
      <c r="J5" s="43" t="n">
        <v>1540</v>
      </c>
      <c r="K5" s="41" t="inlineStr">
        <is>
          <t>cấp 0 (Không giáp)</t>
        </is>
      </c>
      <c r="L5" s="43" t="n">
        <v>3.6</v>
      </c>
      <c r="M5" s="43" t="n">
        <v>26</v>
      </c>
      <c r="N5" s="43" t="n">
        <v>46</v>
      </c>
      <c r="O5" s="43" t="n">
        <v>14</v>
      </c>
      <c r="P5" s="43" t="n">
        <v>16</v>
      </c>
      <c r="Q5" s="43" t="n">
        <v>16</v>
      </c>
      <c r="R5" s="51">
        <f>IFERROR(O5/I5,"")</f>
        <v/>
      </c>
      <c r="S5" s="51">
        <f>IFERROR(J5/I5,"")</f>
        <v/>
      </c>
      <c r="T5" s="41" t="n"/>
      <c r="U5" s="41" t="n"/>
      <c r="V5" s="41" t="n"/>
      <c r="W5" s="41" t="n"/>
      <c r="X5" s="41" t="n"/>
      <c r="Y5" s="41" t="n"/>
      <c r="Z5" s="41" t="n"/>
      <c r="AA5" s="41" t="n"/>
      <c r="AB5" s="41" t="inlineStr">
        <is>
          <t>M977 HEMTT, KamAZ-5350, M2 Browning 12,7 mm — ước đoán: xe tải tiếp tế, súng máy trên vòng nóc</t>
        </is>
      </c>
      <c r="AC5" s="41" t="inlineStr">
        <is>
          <t>giáp 0, giáp 1</t>
        </is>
      </c>
      <c r="AD5" s="41" t="inlineStr">
        <is>
          <t>súng bộ binh, súng máy hạng nặng, lửa, mảnh, pháo tự động, nổ mạnh, năng lượng, nổ lõm, pháo xe tăng</t>
        </is>
      </c>
      <c r="AE5" s="41" t="inlineStr">
        <is>
          <t>chỉ có súng máy nhẹ; nó chạy theo lộ trình tới kho và không chiếm được cứ điểm.</t>
        </is>
      </c>
      <c r="AF5" s="41" t="inlineStr">
        <is>
          <t>Đi sau tuyến đầu, cạnh các xe nó phục vụ; Bắn hết 28 viên thì thay băng; Xe công binh</t>
        </is>
      </c>
      <c r="AG5" s="41" t="inlineStr">
        <is>
          <t>M2 Browning 12.7 mm [Động năng, xuyên 1, đạn súng (cỡ lớn)] 10/phát · băng 28 viên, 9 viên/s, thay 1.94 s · tầm 22 m · Tất cả</t>
        </is>
      </c>
      <c r="AH5" s="41" t="inlineStr">
        <is>
          <t>Giữ.</t>
        </is>
      </c>
      <c r="AI5" s="41" t="inlineStr">
        <is>
          <t>Xe hỗ trợ, chưa có chỉ số đo; giữ.</t>
        </is>
      </c>
      <c r="AJ5" s="49" t="inlineStr">
        <is>
          <t>Thấp</t>
        </is>
      </c>
    </row>
    <row r="6" ht="42.75" customHeight="1" s="32">
      <c r="A6" s="39" t="inlineStr">
        <is>
          <t>engineer_vehicle</t>
        </is>
      </c>
      <c r="B6" s="39" t="inlineStr">
        <is>
          <t>Xe công binh</t>
        </is>
      </c>
      <c r="C6" s="39" t="inlineStr">
        <is>
          <t>Hỗ trợ</t>
        </is>
      </c>
      <c r="D6" s="39" t="inlineStr">
        <is>
          <t>chỉ có súng máy nóc; sửa chữa xe ta trong vòng 14 m (2,5% máu mỗi giây) và tháp ta chậm bằng nửa, gỡ mìn nó thấy, phá vật cản giúp tuyến xe tăng và căn cứ đang giữ trụ lâu hơn hẳn; tự đánh thì yếu, trinh sát và xe bọc thép dễ bắt nạt nó.</t>
        </is>
      </c>
      <c r="E6" s="39" t="inlineStr">
        <is>
          <t>Khung xe tăng không tháp, cần cẩu gập trên nóc, lưỡi ủi phía trước. Từ trên xuống: cần cẩu chéo dọc thân, lưỡi ủi rộng hơn thân. Kích thước đề xuất khoảng 6.9 × 3.0 × 2.6 m (dài × rộng × cao; 0,8 × mẫu thật M88A2 / BREM-1). Vũ khí nhìn thấy: M2 Browning 12.7 mm. Vạch màu phe trên nóc và hai hông; không dùng phù hiệu, cờ hay logo quốc gia thật.</t>
        </is>
      </c>
      <c r="F6" s="39" t="inlineStr">
        <is>
          <t>thắng màn mở khóa trong chiến dịch, hoặc mua sớm 750 xu</t>
        </is>
      </c>
      <c r="G6" s="39" t="inlineStr">
        <is>
          <t>Chương 1</t>
        </is>
      </c>
      <c r="H6" s="39" t="inlineStr">
        <is>
          <t>300 xu</t>
        </is>
      </c>
      <c r="I6" s="42" t="n">
        <v>3</v>
      </c>
      <c r="J6" s="42" t="n">
        <v>1760</v>
      </c>
      <c r="K6" s="39" t="inlineStr">
        <is>
          <t>2/1/0/0</t>
        </is>
      </c>
      <c r="L6" s="42" t="n">
        <v>7</v>
      </c>
      <c r="M6" s="42" t="n">
        <v>30</v>
      </c>
      <c r="N6" s="42" t="n">
        <v>46</v>
      </c>
      <c r="O6" s="42" t="n">
        <v>13</v>
      </c>
      <c r="P6" s="42" t="n">
        <v>16</v>
      </c>
      <c r="Q6" s="42" t="n">
        <v>16</v>
      </c>
      <c r="R6" s="50">
        <f>IFERROR(O6/I6,"")</f>
        <v/>
      </c>
      <c r="S6" s="50">
        <f>IFERROR(J6/I6,"")</f>
        <v/>
      </c>
      <c r="T6" s="42" t="n">
        <v>0</v>
      </c>
      <c r="U6" s="42" t="n">
        <v>0</v>
      </c>
      <c r="V6" s="42" t="n">
        <v>0</v>
      </c>
      <c r="W6" s="42" t="n">
        <v>0</v>
      </c>
      <c r="X6" s="42" t="n">
        <v>0</v>
      </c>
      <c r="Y6" s="39" t="inlineStr">
        <is>
          <t>0%</t>
        </is>
      </c>
      <c r="Z6" s="42" t="n">
        <v>90</v>
      </c>
      <c r="AA6" s="39" t="n"/>
      <c r="AB6" s="39" t="inlineStr">
        <is>
          <t>BREM-1, M88 Hercules — Xe cứu kéo công binh có lưỡi ủi và cần cẩu</t>
        </is>
      </c>
      <c r="AC6" s="39" t="inlineStr">
        <is>
          <t>giáp 0, giáp 1</t>
        </is>
      </c>
      <c r="AD6" s="39" t="inlineStr">
        <is>
          <t>lửa, pháo tự động, nổ mạnh, năng lượng, đánh nóc, nổ lõm, pháo xe tăng</t>
        </is>
      </c>
      <c r="AE6" s="39" t="inlineStr">
        <is>
          <t>chỉ có súng máy nóc; sửa chữa xe ta trong vòng 14 m (2,5% máu mỗi giây) và tháp ta chậm bằng nửa, gỡ mìn nó thấy, phá vật cản</t>
        </is>
      </c>
      <c r="AF6" s="39" t="inlineStr">
        <is>
          <t>Đi sau tuyến đầu, cạnh các xe nó phục vụ; Bắn hết 28 viên thì thay băng; Sửa xe ta trong 14 m (2,5% máu mỗi giây; tháp một nửa); Xe tạo khói</t>
        </is>
      </c>
      <c r="AG6" s="39" t="inlineStr">
        <is>
          <t>M2 Browning 12.7 mm [Động năng, xuyên 1, đạn súng (cỡ lớn)] 10/phát · băng 28 viên, 9 viên/s, thay 2.02 s · tầm 15 m · Tất cả</t>
        </is>
      </c>
      <c r="AH6" s="39" t="inlineStr">
        <is>
          <t>Giữ.</t>
        </is>
      </c>
      <c r="AI6" s="39" t="inlineStr">
        <is>
          <t>Xe hỗ trợ, chưa có chỉ số đo; giữ.</t>
        </is>
      </c>
      <c r="AJ6" s="49" t="inlineStr">
        <is>
          <t>Thấp</t>
        </is>
      </c>
    </row>
    <row r="7" ht="53.25" customHeight="1" s="32">
      <c r="A7" s="41"/>
      <c r="B7" s="41"/>
      <c r="C7" s="41"/>
      <c r="D7" s="41"/>
      <c r="E7" s="41"/>
      <c r="F7" s="41"/>
      <c r="G7" s="41"/>
      <c r="H7" s="41"/>
      <c r="I7" s="43"/>
      <c r="J7" s="43"/>
      <c r="K7" s="41"/>
      <c r="L7" s="43"/>
      <c r="M7" s="43"/>
      <c r="N7" s="43"/>
      <c r="O7" s="43"/>
      <c r="P7" s="43"/>
      <c r="Q7" s="43"/>
      <c r="R7" s="51"/>
      <c r="S7" s="51"/>
      <c r="T7" s="43"/>
      <c r="U7" s="43"/>
      <c r="V7" s="43"/>
      <c r="W7" s="43"/>
      <c r="X7" s="43"/>
      <c r="Y7" s="41"/>
      <c r="Z7" s="43"/>
      <c r="AA7" s="43"/>
      <c r="AB7" s="41"/>
      <c r="AC7" s="41"/>
      <c r="AD7" s="41"/>
      <c r="AE7" s="41"/>
      <c r="AF7" s="41"/>
      <c r="AG7" s="41"/>
      <c r="AH7" s="41"/>
      <c r="AI7" s="41"/>
      <c r="AJ7" s="48"/>
    </row>
    <row r="8" ht="74.25" customHeight="1" s="32">
      <c r="A8" s="39" t="inlineStr">
        <is>
          <t>ammo_carrier</t>
        </is>
      </c>
      <c r="B8" s="39" t="inlineStr">
        <is>
          <t>Xe tiếp đạn</t>
        </is>
      </c>
      <c r="C8" s="39" t="inlineStr">
        <is>
          <t>Hỗ trợ</t>
        </is>
      </c>
      <c r="D8" s="39" t="inlineStr">
        <is>
          <t>chỉ có súng máy nóc; bệ phóng và xe tên lửa hết đạn trong vòng 14 m nạp nhanh gấp ba, trực thăng trong vòng 12 m hồi tên lửa và giữ pháo phản lực và trực thăng bắn liên tục; giáp mỏng và nổ rất mạnh, nên giữ xa chỗ giao tranh.</t>
        </is>
      </c>
      <c r="E8" s="39" t="inlineStr">
        <is>
          <t>Xe tải 8 bánh chở giá đạn kim loại mở, thùng đạn xếp tầng màu ô-liu, cần cẩu nhỏ phía sau. Từ trên xuống: các thùng đạn xếp lưới. Kích thước đề xuất khoảng 8.2 × 2.0 × 2.1 m (dài × rộng × cao; 0,8 × mẫu thật M977 HEMTT). Vũ khí nhìn thấy: M2 Browning 12.7 mm. Vạch màu phe trên nóc và hai hông; không dùng phù hiệu, cờ hay logo quốc gia thật.</t>
        </is>
      </c>
      <c r="F8" s="39" t="inlineStr">
        <is>
          <t>thắng màn mở khóa trong chiến dịch, hoặc mua sớm 900 xu</t>
        </is>
      </c>
      <c r="G8" s="39" t="inlineStr">
        <is>
          <t>Chương 2</t>
        </is>
      </c>
      <c r="H8" s="39" t="inlineStr">
        <is>
          <t>300 xu</t>
        </is>
      </c>
      <c r="I8" s="42" t="n">
        <v>4</v>
      </c>
      <c r="J8" s="42" t="n">
        <v>1144</v>
      </c>
      <c r="K8" s="39" t="inlineStr">
        <is>
          <t>cấp 0 (Không giáp)</t>
        </is>
      </c>
      <c r="L8" s="42" t="n">
        <v>8.5</v>
      </c>
      <c r="M8" s="42" t="n">
        <v>30</v>
      </c>
      <c r="N8" s="42" t="n">
        <v>46</v>
      </c>
      <c r="O8" s="42" t="n">
        <v>13</v>
      </c>
      <c r="P8" s="42" t="n">
        <v>16</v>
      </c>
      <c r="Q8" s="42" t="n">
        <v>16</v>
      </c>
      <c r="R8" s="50">
        <f>IFERROR(O8/I8,"")</f>
        <v/>
      </c>
      <c r="S8" s="50">
        <f>IFERROR(J8/I8,"")</f>
        <v/>
      </c>
      <c r="T8" s="42" t="n">
        <v>0</v>
      </c>
      <c r="U8" s="42" t="n">
        <v>0</v>
      </c>
      <c r="V8" s="42" t="n">
        <v>0</v>
      </c>
      <c r="W8" s="42" t="n">
        <v>0</v>
      </c>
      <c r="X8" s="42" t="n">
        <v>0</v>
      </c>
      <c r="Y8" s="39" t="inlineStr">
        <is>
          <t>0%</t>
        </is>
      </c>
      <c r="Z8" s="42" t="n">
        <v>90</v>
      </c>
      <c r="AA8" s="39" t="n"/>
      <c r="AB8" s="39" t="inlineStr">
        <is>
          <t>M977 HEMTT, KamAZ-5350, M2 Browning 12,7 mm — ước đoán: xe tải hậu cần chở đạn, súng máy trên vòng nóc</t>
        </is>
      </c>
      <c r="AC8" s="39" t="inlineStr">
        <is>
          <t>giáp 0, giáp 1</t>
        </is>
      </c>
      <c r="AD8" s="39" t="inlineStr">
        <is>
          <t>súng bộ binh, súng máy hạng nặng, lửa, mảnh, pháo tự động, nổ mạnh, năng lượng, nổ lõm, pháo xe tăng</t>
        </is>
      </c>
      <c r="AE8" s="39" t="inlineStr">
        <is>
          <t>chỉ có súng máy nóc; bệ phóng và xe tên lửa hết đạn trong vòng 14 m nạp nhanh gấp ba, trực thăng trong vòng 12 m hồi tên lửa và</t>
        </is>
      </c>
      <c r="AF8" s="39" t="inlineStr">
        <is>
          <t>Đi sau tuyến đầu, cạnh các xe nó phục vụ                                                           M2; Bắn hết 28 viên thì thay băng                                                                      Sá; Xe phóng trong 14 m được thêm một phát mỗi 4 giây ngoài tốc độ nạp của nó                          Bă; Trực thăng trong 12 m hồi đạn nhanh gấp 2 lần                                                      Tầ; M2; Radar phản pháo</t>
        </is>
      </c>
      <c r="AG8" s="39" t="inlineStr">
        <is>
          <t>M2 Browning 12.7 mm [Động năng, xuyên 1, đạn súng (cỡ lớn)] 10/phát · băng 28 viên, 9 viên/s, thay 2.02 s · tầm 15 m · Tất cả</t>
        </is>
      </c>
      <c r="AH8" s="39" t="inlineStr">
        <is>
          <t>Giữ.</t>
        </is>
      </c>
      <c r="AI8" s="39" t="inlineStr">
        <is>
          <t>Xe hỗ trợ, chưa có chỉ số đo; giữ.</t>
        </is>
      </c>
      <c r="AJ8" s="49" t="inlineStr">
        <is>
          <t>Thấp</t>
        </is>
      </c>
    </row>
    <row r="9" ht="63.75" customHeight="1" s="32">
      <c r="A9" s="41"/>
      <c r="B9" s="41"/>
      <c r="C9" s="41"/>
      <c r="D9" s="41"/>
      <c r="E9" s="41"/>
      <c r="F9" s="41"/>
      <c r="G9" s="41"/>
      <c r="H9" s="41"/>
      <c r="I9" s="43"/>
      <c r="J9" s="43"/>
      <c r="K9" s="41"/>
      <c r="L9" s="43"/>
      <c r="M9" s="43"/>
      <c r="N9" s="43"/>
      <c r="O9" s="43"/>
      <c r="P9" s="43"/>
      <c r="Q9" s="43"/>
      <c r="R9" s="51"/>
      <c r="S9" s="51"/>
      <c r="T9" s="43"/>
      <c r="U9" s="43"/>
      <c r="V9" s="43"/>
      <c r="W9" s="43"/>
      <c r="X9" s="43"/>
      <c r="Y9" s="41"/>
      <c r="Z9" s="43"/>
      <c r="AA9" s="41"/>
      <c r="AB9" s="41"/>
      <c r="AC9" s="41"/>
      <c r="AD9" s="41"/>
      <c r="AE9" s="41"/>
      <c r="AF9" s="41"/>
      <c r="AG9" s="41"/>
      <c r="AH9" s="41"/>
      <c r="AI9" s="41"/>
      <c r="AJ9" s="49"/>
    </row>
    <row r="10" ht="63.75" customHeight="1" s="32">
      <c r="A10" s="39" t="inlineStr">
        <is>
          <t>ew_jammer</t>
        </is>
      </c>
      <c r="B10" s="39" t="inlineStr">
        <is>
          <t>Xe tác chiến điện tử</t>
        </is>
      </c>
      <c r="C10" s="39" t="inlineStr">
        <is>
          <t>Hỗ trợ</t>
        </is>
      </c>
      <c r="D10" s="39" t="inlineStr">
        <is>
          <t>chỉ có súng máy nóc; tên lửa, drone và hỏa lực yểm trợ của địch nhắm vào vùng gây nhiễu 32 m đều bị lệch. khắc chế xe tên lửa chống tăng, xe drone, trực thăng và đòn yểm trợ địch; vô dụng trước súng và đạn pháo thường.</t>
        </is>
      </c>
      <c r="E10" s="39" t="inlineStr">
        <is>
          <t>Xe tải 8 bánh mang đĩa ăng-ten lớn hình chảo hoặc cột ăng-ten lưới cao, thân phẳng. Từ trên xuống: chảo tròn lớn. Kích thước đề xuất khoảng 8.8 × 2.4 × 3.2 m (dài × rộng × cao; 0,8 × mẫu thật Krasukha-4 (BAZ-6910)). Vũ khí nhìn thấy: M2 Browning 12.7 mm. Vạch màu phe trên nóc và hai hông; không dùng phù hiệu, cờ hay logo quốc gia thật.</t>
        </is>
      </c>
      <c r="F10" s="39" t="inlineStr">
        <is>
          <t>thắng màn mở khóa trong chiến dịch, hoặc mua sớm 1.050 xu</t>
        </is>
      </c>
      <c r="G10" s="39" t="inlineStr">
        <is>
          <t>Chương 5</t>
        </is>
      </c>
      <c r="H10" s="39" t="inlineStr">
        <is>
          <t>800 xu</t>
        </is>
      </c>
      <c r="I10" s="42" t="n">
        <v>5</v>
      </c>
      <c r="J10" s="42" t="n">
        <v>836</v>
      </c>
      <c r="K10" s="39" t="inlineStr">
        <is>
          <t>1/0/0/0</t>
        </is>
      </c>
      <c r="L10" s="42" t="n">
        <v>8</v>
      </c>
      <c r="M10" s="42" t="n">
        <v>40</v>
      </c>
      <c r="N10" s="42" t="n">
        <v>46</v>
      </c>
      <c r="O10" s="42" t="n">
        <v>13</v>
      </c>
      <c r="P10" s="42" t="n">
        <v>16</v>
      </c>
      <c r="Q10" s="42" t="n">
        <v>16</v>
      </c>
      <c r="R10" s="50">
        <f>IFERROR(O10/I10,"")</f>
        <v/>
      </c>
      <c r="S10" s="50">
        <f>IFERROR(J10/I10,"")</f>
        <v/>
      </c>
      <c r="T10" s="42" t="n">
        <v>0</v>
      </c>
      <c r="U10" s="42" t="n">
        <v>0</v>
      </c>
      <c r="V10" s="42" t="n">
        <v>0</v>
      </c>
      <c r="W10" s="42" t="n">
        <v>0</v>
      </c>
      <c r="X10" s="42" t="n">
        <v>0</v>
      </c>
      <c r="Y10" s="39" t="inlineStr">
        <is>
          <t>0%</t>
        </is>
      </c>
      <c r="Z10" s="42" t="n">
        <v>90</v>
      </c>
      <c r="AA10" s="39" t="n"/>
      <c r="AB10" s="39" t="inlineStr">
        <is>
          <t>Krasukha-4, Leer-3 — Xe tác chiến điện tử 6x6, cột ăng-ten gây nhiễu</t>
        </is>
      </c>
      <c r="AC10" s="39" t="inlineStr">
        <is>
          <t>giáp 0, giáp 1</t>
        </is>
      </c>
      <c r="AD10" s="39" t="inlineStr">
        <is>
          <t>súng máy hạng nặng, lửa, pháo tự động, nổ mạnh, năng lượng, đánh nóc, nổ lõm, pháo xe tăng</t>
        </is>
      </c>
      <c r="AE10" s="39" t="inlineStr">
        <is>
          <t>chỉ có súng máy nóc; tên lửa, drone và hỏa lực yểm trợ của địch nhắm vào vùng gây nhiễu 32 m đều bị lệch.</t>
        </is>
      </c>
      <c r="AF10" s="39" t="inlineStr">
        <is>
          <t>Đi sau tuyến đầu, cạnh các xe nó phục vụ                                                            M; Bắn hết 28 viên thì thay băng                                                                       S; Gây nhiễu vũ khí dẫn đường và hỏa lực yểm trợ địch trong 32 m                                       B; T; M; Xe rải mìn</t>
        </is>
      </c>
      <c r="AG10" s="39" t="inlineStr">
        <is>
          <t>M2 Browning 12.7 mm [Động năng, xuyên 1, đạn súng (cỡ lớn)] 10/phát · băng 28 viên, 9 viên/s, thay 2.02 s · tầm 15 m · Tất cả</t>
        </is>
      </c>
      <c r="AH10" s="39" t="inlineStr">
        <is>
          <t>Giữ.</t>
        </is>
      </c>
      <c r="AI10" s="39" t="inlineStr">
        <is>
          <t>Xe hỗ trợ, chưa có chỉ số đo; giữ.</t>
        </is>
      </c>
      <c r="AJ10" s="49" t="inlineStr">
        <is>
          <t>Thấp</t>
        </is>
      </c>
    </row>
    <row r="11" ht="53.25" customHeight="1" s="32">
      <c r="A11" s="41" t="inlineStr">
        <is>
          <t>mine_layer</t>
        </is>
      </c>
      <c r="B11" s="41" t="inlineStr">
        <is>
          <t>Xe rải mìn</t>
        </is>
      </c>
      <c r="C11" s="41" t="inlineStr">
        <is>
          <t>Hỗ trợ</t>
        </is>
      </c>
      <c r="D11" s="41" t="inlineStr">
        <is>
          <t>có súng máy nóc; khi chạy, cứ 6 giây thả một quả mìn chống tăng (tối đa 8), xe địch cán phải là nổ tung. trừng phạt xe tăng và đoàn xe đi theo một lối; xe tăng rùa có trục lăn phá mìn, máy bay thì không sợ.</t>
        </is>
      </c>
      <c r="E11" s="41" t="inlineStr">
        <is>
          <t>Khung xích thấp, máng thả mìn nghiêng ở đuôi, thùng mìn xếp trên nóc. Từ trên xuống: máng dài ở sau. Kích thước đề xuất khoảng 7.4 × 2.6 × 2.0 m (dài × rộng × cao; 0,8 × mẫu thật GMZ-3). Vũ khí nhìn thấy: M2 Browning 12.7 mm. Vạch màu phe trên nóc và hai hông; không dùng phù hiệu, cờ hay logo quốc gia thật.</t>
        </is>
      </c>
      <c r="F11" s="41" t="inlineStr">
        <is>
          <t>thắng màn mở khóa trong chiến dịch, hoặc mua sớm 1.050 xu</t>
        </is>
      </c>
      <c r="G11" s="41" t="inlineStr">
        <is>
          <t>Chương 3</t>
        </is>
      </c>
      <c r="H11" s="41" t="inlineStr">
        <is>
          <t>300 xu</t>
        </is>
      </c>
      <c r="I11" s="43" t="n">
        <v>5</v>
      </c>
      <c r="J11" s="43" t="n">
        <v>924</v>
      </c>
      <c r="K11" s="41" t="inlineStr">
        <is>
          <t>1/0/0/0</t>
        </is>
      </c>
      <c r="L11" s="43" t="n">
        <v>8</v>
      </c>
      <c r="M11" s="43" t="n">
        <v>30</v>
      </c>
      <c r="N11" s="43" t="n">
        <v>46</v>
      </c>
      <c r="O11" s="43" t="n">
        <v>13</v>
      </c>
      <c r="P11" s="43" t="n">
        <v>16</v>
      </c>
      <c r="Q11" s="43" t="n">
        <v>16</v>
      </c>
      <c r="R11" s="51">
        <f>IFERROR(O11/I11,"")</f>
        <v/>
      </c>
      <c r="S11" s="51">
        <f>IFERROR(J11/I11,"")</f>
        <v/>
      </c>
      <c r="T11" s="43" t="n">
        <v>102</v>
      </c>
      <c r="U11" s="43" t="n">
        <v>77</v>
      </c>
      <c r="V11" s="43" t="n">
        <v>9</v>
      </c>
      <c r="W11" s="43" t="n">
        <v>7</v>
      </c>
      <c r="X11" s="43" t="n">
        <v>102</v>
      </c>
      <c r="Y11" s="41" t="inlineStr">
        <is>
          <t>51%</t>
        </is>
      </c>
      <c r="Z11" s="43" t="n">
        <v>28</v>
      </c>
      <c r="AA11" s="43" t="n">
        <v>0.62</v>
      </c>
      <c r="AB11" s="41" t="inlineStr">
        <is>
          <t>GMZ-3, MT-LB — Xe rải mìn bánh xích, máng thả mìn phía sau</t>
        </is>
      </c>
      <c r="AC11" s="41" t="inlineStr">
        <is>
          <t>giáp 0, giáp 1</t>
        </is>
      </c>
      <c r="AD11" s="41" t="inlineStr">
        <is>
          <t>súng máy hạng nặng, lửa, pháo tự động, nổ mạnh, năng lượng, đánh nóc, nổ lõm, pháo xe tăng</t>
        </is>
      </c>
      <c r="AE11" s="41" t="inlineStr">
        <is>
          <t>có súng máy nóc; khi chạy, cứ 6 giây thả một quả mìn chống tăng (tối đa 8), xe địch cán phải là nổ tung.</t>
        </is>
      </c>
      <c r="AF11" s="41" t="inlineStr">
        <is>
          <t>Đi sau tuyến đầu, cạnh các xe nó phục vụ                                                            M; Bắn hết 28 viên thì thay băng                                                                       S; Rải một quả mìn mỗi 6 giây (tối đa 8)                                                               B; T; M; Xe chỉ huy</t>
        </is>
      </c>
      <c r="AG11" s="41" t="inlineStr">
        <is>
          <t>M2 Browning 12.7 mm [Động năng, xuyên 1, đạn súng (cỡ lớn)] 10/phát · băng 28 viên, 9 viên/s, thay 2.02 s · tầm 15 m · Tất cả</t>
        </is>
      </c>
      <c r="AH11" s="41" t="inlineStr">
        <is>
          <t>Giữ.</t>
        </is>
      </c>
      <c r="AI11" s="41" t="inlineStr">
        <is>
          <t>Giá trị thực chiến nằm trong khoảng mục tiêu (hiệu quả 0.62 × trung vị vai trò).</t>
        </is>
      </c>
      <c r="AJ11" s="49" t="inlineStr">
        <is>
          <t>Thấp</t>
        </is>
      </c>
    </row>
    <row r="12" ht="42.75" customHeight="1" s="32">
      <c r="A12" s="39" t="inlineStr">
        <is>
          <t>command_vehicle</t>
        </is>
      </c>
      <c r="B12" s="39" t="inlineStr">
        <is>
          <t>Xe chỉ huy</t>
        </is>
      </c>
      <c r="C12" s="39" t="inlineStr">
        <is>
          <t>Hỗ trợ</t>
        </is>
      </c>
      <c r="D12" s="39" t="inlineStr">
        <is>
          <t>chỉ có súng máy trên nóc; quân ta trong 25 m bắn nhanh hơn 10%; đứng yên 5 giây là thành bãi thả dù tiền tuyến, quân mới đáp làm mọi cụm quân quanh nó mạnh hơn và đưa quân tiếp viện ra tận tiền tuyến; thứ gì với tới cũng hạ nó nhanh.</t>
        </is>
      </c>
      <c r="E12" s="39" t="inlineStr">
        <is>
          <t>Xe 8 bánh, thân cao, nhiều cột ăng-ten roi và một cột kính viễn vọng gập, lều chỉ huy gắn sau. Từ trên xuống: nhiều chấm ăng-ten, cột dài nằm dọc. Kích thước đề xuất khoảng 5.6 × 2.2 × 2.1 m (dài × rộng × cao; 0,8 × mẫu thật Stryker CV). Vũ khí nhìn thấy: M2 Browning 12.7 mm. Vạch màu phe trên nóc và hai hông; không dùng phù hiệu, cờ hay logo quốc gia thật.</t>
        </is>
      </c>
      <c r="F12" s="39" t="inlineStr">
        <is>
          <t>thắng màn mở khóa trong chiến dịch, hoặc mua sớm 1.200 xu</t>
        </is>
      </c>
      <c r="G12" s="39" t="inlineStr">
        <is>
          <t>Chương 4</t>
        </is>
      </c>
      <c r="H12" s="39" t="inlineStr">
        <is>
          <t>800 xu</t>
        </is>
      </c>
      <c r="I12" s="42" t="n">
        <v>6</v>
      </c>
      <c r="J12" s="42" t="n">
        <v>1232</v>
      </c>
      <c r="K12" s="39" t="inlineStr">
        <is>
          <t>2/1/0/0</t>
        </is>
      </c>
      <c r="L12" s="42" t="n">
        <v>8</v>
      </c>
      <c r="M12" s="42" t="n">
        <v>44</v>
      </c>
      <c r="N12" s="42" t="n">
        <v>46</v>
      </c>
      <c r="O12" s="42" t="n">
        <v>13</v>
      </c>
      <c r="P12" s="42" t="n">
        <v>16</v>
      </c>
      <c r="Q12" s="42" t="n">
        <v>16</v>
      </c>
      <c r="R12" s="50">
        <f>IFERROR(O12/I12,"")</f>
        <v/>
      </c>
      <c r="S12" s="50">
        <f>IFERROR(J12/I12,"")</f>
        <v/>
      </c>
      <c r="T12" s="42" t="n">
        <v>0</v>
      </c>
      <c r="U12" s="42" t="n">
        <v>0</v>
      </c>
      <c r="V12" s="42" t="n">
        <v>0</v>
      </c>
      <c r="W12" s="42" t="n">
        <v>0</v>
      </c>
      <c r="X12" s="42" t="n">
        <v>0</v>
      </c>
      <c r="Y12" s="39" t="inlineStr">
        <is>
          <t>0%</t>
        </is>
      </c>
      <c r="Z12" s="42" t="n">
        <v>90</v>
      </c>
      <c r="AA12" s="39" t="n"/>
      <c r="AB12" s="39" t="inlineStr">
        <is>
          <t>M1130 Stryker CV, BTR-80 KShM, LAV-C2 — Xe chỉ huy 8x8, cột ăng-ten kính viễn vọng gập</t>
        </is>
      </c>
      <c r="AC12" s="39" t="inlineStr">
        <is>
          <t>giáp 0, giáp 1</t>
        </is>
      </c>
      <c r="AD12" s="39" t="inlineStr">
        <is>
          <t>lửa, pháo tự động, nổ mạnh, năng lượng, đánh nóc, nổ lõm, pháo xe tăng</t>
        </is>
      </c>
      <c r="AE12" s="39" t="inlineStr">
        <is>
          <t>chỉ có súng máy trên nóc; quân ta trong 25 m bắn nhanh hơn 10%; đứng yên 5 giây là thành bãi thả dù tiền tuyến, quân mới đáp</t>
        </is>
      </c>
      <c r="AF12" s="39" t="inlineStr">
        <is>
          <t>Đi sau tuyến đầu, cạnh các xe nó phục vụ; Bắn hết 28 viên thì thay băng; Xe phát khiên</t>
        </is>
      </c>
      <c r="AG12" s="39" t="inlineStr">
        <is>
          <t>M2 Browning 12.7 mm [Động năng, xuyên 1, đạn súng (cỡ lớn)] 10/phát · băng 28 viên, 9 viên/s, thay 2.02 s · tầm 15 m · Tất cả</t>
        </is>
      </c>
      <c r="AH12" s="39" t="inlineStr">
        <is>
          <t>Giữ.</t>
        </is>
      </c>
      <c r="AI12" s="39" t="inlineStr">
        <is>
          <t>Xe hỗ trợ, chưa có chỉ số đo; giữ.</t>
        </is>
      </c>
      <c r="AJ12" s="49" t="inlineStr">
        <is>
          <t>Thấp</t>
        </is>
      </c>
    </row>
    <row r="13" ht="53.25" customHeight="1" s="32">
      <c r="A13" s="41" t="inlineStr">
        <is>
          <t>shield_carrier</t>
        </is>
      </c>
      <c r="B13" s="41" t="inlineStr">
        <is>
          <t>Xe phát khiên</t>
        </is>
      </c>
      <c r="C13" s="41" t="inlineStr">
        <is>
          <t>Hỗ trợ</t>
        </is>
      </c>
      <c r="D13" s="41" t="inlineStr">
        <is>
          <t>vòm khiên 12 m quanh xe hấp thụ 1.000 sát thương từ đạn pháo, đạn súng, bom và tên lửa cho mọi đơn vị phe ta bên trong, rồi vỡ; giúp tuyến xe tăng áp sát dưới làn đạn; vũ khí năng lượng xuyên thẳng qua, nhiều vòm không cộng dồn, và bản thân xe giáp mỏng.</t>
        </is>
      </c>
      <c r="E13" s="41" t="inlineStr">
        <is>
          <t>Xe 8 bánh mang bệ phát khiên hình vòm/kim loại có vòng phát sáng màu phe; khi hoạt động có vòm bán trong suốt 12 m. Từ trên xuống: đĩa tròn phát sáng giữa thân. Kích thước đề xuất khoảng 6.3 × 2.4 × 1.9 m (dài × rộng × cao; 0,8 × mẫu thật Boxer 8x8 (khung)). Vũ khí nhìn thấy: M2 Browning 12.7 mm. Vạch màu phe trên nóc và hai hông; không dùng phù hiệu, cờ hay logo quốc gia thật.</t>
        </is>
      </c>
      <c r="F13" s="41" t="inlineStr">
        <is>
          <t>thắng màn mở khóa trong chiến dịch, hoặc mua sớm 1.350 xu</t>
        </is>
      </c>
      <c r="G13" s="41" t="inlineStr">
        <is>
          <t>Xen kẽ II</t>
        </is>
      </c>
      <c r="H13" s="41" t="inlineStr">
        <is>
          <t>1.500 xu</t>
        </is>
      </c>
      <c r="I13" s="43" t="n">
        <v>7</v>
      </c>
      <c r="J13" s="43" t="n">
        <v>1056</v>
      </c>
      <c r="K13" s="41" t="inlineStr">
        <is>
          <t>1/0/0/0</t>
        </is>
      </c>
      <c r="L13" s="43" t="n">
        <v>8.5</v>
      </c>
      <c r="M13" s="43" t="n">
        <v>36</v>
      </c>
      <c r="N13" s="43" t="n">
        <v>46</v>
      </c>
      <c r="O13" s="43" t="n">
        <v>13</v>
      </c>
      <c r="P13" s="43" t="n">
        <v>16</v>
      </c>
      <c r="Q13" s="43" t="n">
        <v>16</v>
      </c>
      <c r="R13" s="51">
        <f>IFERROR(O13/I13,"")</f>
        <v/>
      </c>
      <c r="S13" s="51">
        <f>IFERROR(J13/I13,"")</f>
        <v/>
      </c>
      <c r="T13" s="43" t="n">
        <v>0</v>
      </c>
      <c r="U13" s="43" t="n">
        <v>0</v>
      </c>
      <c r="V13" s="43" t="n">
        <v>0</v>
      </c>
      <c r="W13" s="43" t="n">
        <v>0</v>
      </c>
      <c r="X13" s="43" t="n">
        <v>0</v>
      </c>
      <c r="Y13" s="41" t="inlineStr">
        <is>
          <t>0%</t>
        </is>
      </c>
      <c r="Z13" s="43" t="n">
        <v>90</v>
      </c>
      <c r="AA13" s="41" t="n"/>
      <c r="AB13" s="41" t="inlineStr">
        <is>
          <t>xe 8x8 kiểu Boxer / Stryker · Shield Battery (StarCraft II), Bubble Shield (Halo 3) — ước đoán: xe 8x8 mang máy phát khiên năng lượng</t>
        </is>
      </c>
      <c r="AC13" s="41" t="inlineStr">
        <is>
          <t>giáp 0, giáp 1</t>
        </is>
      </c>
      <c r="AD13" s="41" t="inlineStr">
        <is>
          <t>súng máy hạng nặng, lửa, pháo tự động, nổ mạnh, năng lượng, đánh nóc, nổ lõm, pháo xe tăng</t>
        </is>
      </c>
      <c r="AE13" s="41" t="inlineStr">
        <is>
          <t>vòm khiên 12 m quanh xe hấp thụ 1.000 sát thương từ đạn pháo, đạn súng, bom và tên lửa cho mọi đơn vị phe ta bên trong, rồi vỡ;</t>
        </is>
      </c>
      <c r="AF13" s="41" t="inlineStr">
        <is>
          <t>Đi sau tuyến đầu, cạnh các xe nó phục vụ; Bắn hết 28 viên thì thay băng; Vòm khiên 12 m: hấp thụ 1000 sát thương cho phe ta bên trong (trừ năng lượng), hồi lại 20; giây sau đòn cuối; các vòm không cộng dồn; Trinh sát (2); Xe trinh sát</t>
        </is>
      </c>
      <c r="AG13" s="41" t="inlineStr">
        <is>
          <t>M2 Browning 12.7 mm [Động năng, xuyên 1, đạn súng (cỡ lớn)] 10/phát · băng 28 viên, 9 viên/s, thay 2.02 s · tầm 15 m · Tất cả</t>
        </is>
      </c>
      <c r="AH13" s="41" t="inlineStr">
        <is>
          <t>Giữ.</t>
        </is>
      </c>
      <c r="AI13" s="41" t="inlineStr">
        <is>
          <t>Xe hỗ trợ, chưa có chỉ số đo; giữ.</t>
        </is>
      </c>
      <c r="AJ13" s="49" t="inlineStr">
        <is>
          <t>Thấp</t>
        </is>
      </c>
    </row>
    <row r="14" ht="42.75" customHeight="1" s="32">
      <c r="A14" s="39" t="inlineStr">
        <is>
          <t>scout_jeep</t>
        </is>
      </c>
      <c r="B14" s="39" t="inlineStr">
        <is>
          <t>Xe trinh sát</t>
        </is>
      </c>
      <c r="C14" s="39" t="inlineStr">
        <is>
          <t>Trinh sát</t>
        </is>
      </c>
      <c r="D14" s="39" t="inlineStr">
        <is>
          <t>súng máy tầm gần, vừa chạy vừa bắn. Nhìn xa để phát hiện địch cho cả quân, chiếm cứ điểm nhanh gấp đôi. diệt được pháo binh và xe hỗ trợ đi lẻ; thua mọi xe bọc thép, xe tăng và tháp canh.</t>
        </is>
      </c>
      <c r="E14" s="39" t="inlineStr">
        <is>
          <t>Xe 4x4 mui trần nhỏ, khung chống lật, súng máy trên chốt giữa, can nhiên liệu sau. Từ trên xuống: nhỏ nhất game, thấy rõ người lái và súng. Kích thước đề xuất khoảng 2.7 × 1.3 × 1.4 m (dài × rộng × cao; 0,8 × mẫu thật M151 / LRV). Vũ khí nhìn thấy: M2 Browning 12.7 mm. Vạch màu phe trên nóc và hai hông; không dùng phù hiệu, cờ hay logo quốc gia thật.</t>
        </is>
      </c>
      <c r="F14" s="39" t="inlineStr">
        <is>
          <t>có sẵn từ đầu</t>
        </is>
      </c>
      <c r="G14" s="39" t="inlineStr">
        <is>
          <t>Có sẵn</t>
        </is>
      </c>
      <c r="H14" s="39" t="inlineStr">
        <is>
          <t>—</t>
        </is>
      </c>
      <c r="I14" s="42" t="n">
        <v>2</v>
      </c>
      <c r="J14" s="42" t="n">
        <v>264</v>
      </c>
      <c r="K14" s="39" t="inlineStr">
        <is>
          <t>cấp 0 (Không giáp)</t>
        </is>
      </c>
      <c r="L14" s="42" t="n">
        <v>12</v>
      </c>
      <c r="M14" s="42" t="n">
        <v>35</v>
      </c>
      <c r="N14" s="42" t="n">
        <v>46</v>
      </c>
      <c r="O14" s="42" t="n">
        <v>14</v>
      </c>
      <c r="P14" s="42" t="n">
        <v>16</v>
      </c>
      <c r="Q14" s="42" t="n">
        <v>16</v>
      </c>
      <c r="R14" s="50">
        <f>IFERROR(O14/I14,"")</f>
        <v/>
      </c>
      <c r="S14" s="50">
        <f>IFERROR(J14/I14,"")</f>
        <v/>
      </c>
      <c r="T14" s="42" t="n">
        <v>84</v>
      </c>
      <c r="U14" s="42" t="n">
        <v>9</v>
      </c>
      <c r="V14" s="42" t="n">
        <v>7</v>
      </c>
      <c r="W14" s="42" t="n">
        <v>3</v>
      </c>
      <c r="X14" s="42" t="n">
        <v>19</v>
      </c>
      <c r="Y14" s="39" t="inlineStr">
        <is>
          <t>34%</t>
        </is>
      </c>
      <c r="Z14" s="42" t="n">
        <v>12</v>
      </c>
      <c r="AA14" s="42" t="n">
        <v>1.04</v>
      </c>
      <c r="AB14" s="39" t="inlineStr">
        <is>
          <t>M151 MUTT, Land Rover WMIK, M2 Browning 12,7 mm — ước đoán: xe trinh sát 4x4 mui trần gắn súng máy trên chốt</t>
        </is>
      </c>
      <c r="AC14" s="39" t="inlineStr">
        <is>
          <t>giáp 0, giáp 1</t>
        </is>
      </c>
      <c r="AD14" s="39" t="inlineStr">
        <is>
          <t>súng bộ binh, súng máy hạng nặng, lửa, mảnh, pháo tự động, nổ mạnh, năng lượng, nổ lõm, pháo xe tăng</t>
        </is>
      </c>
      <c r="AE14" s="39" t="inlineStr">
        <is>
          <t>súng máy tầm gần, vừa chạy vừa bắn. Nhìn xa để phát hiện địch cho cả quân, chiếm cứ điểm nhanh gấp đôi.</t>
        </is>
      </c>
      <c r="AF14" s="39" t="inlineStr">
        <is>
          <t>Vừa chạy vừa bắn; Bắn hết 28 viên thì thay băng; Xe bom tự sát bọc thép</t>
        </is>
      </c>
      <c r="AG14" s="39" t="inlineStr">
        <is>
          <t>M2 Browning 12.7 mm [Động năng, xuyên 1, đạn súng (cỡ lớn)] 10/phát · băng 28 viên, 9 viên/s, thay 1.94 s · tầm 22 m · Tất cả</t>
        </is>
      </c>
      <c r="AH14" s="39" t="inlineStr">
        <is>
          <t>• Tầm nhìn: 55 m
• Hành vi: Ẩn khi đứng yên (chỉ lộ ở 60% tầm nhìn địch), lộ khi bắn</t>
        </is>
      </c>
      <c r="AI14" s="39" t="inlineStr">
        <is>
          <t>• Tầm nhìn: Trinh sát đang nhìn kém xe bọc thép; không làm được việc trinh sát.
• Hành vi: Trinh sát thật dựa vào ngụy trang và đứng quan sát.</t>
        </is>
      </c>
      <c r="AJ14" s="47" t="inlineStr">
        <is>
          <t>Cao</t>
        </is>
      </c>
    </row>
    <row r="15" ht="53.25" customHeight="1" s="32">
      <c r="A15" s="41" t="inlineStr">
        <is>
          <t>vbied</t>
        </is>
      </c>
      <c r="B15" s="41" t="inlineStr">
        <is>
          <t>Xe bom tự sát bọc thép</t>
        </is>
      </c>
      <c r="C15" s="41" t="inlineStr">
        <is>
          <t>Trinh sát</t>
        </is>
      </c>
      <c r="D15" s="41" t="inlineStr">
        <is>
          <t>lao thẳng vào địch rồi tự nổ: 700 sát thương trong bán kính 7,5 m, một nửa lên tháp và công trình. Bị bắn hạ giữa đường thì nổ phá nát pháo binh, xe hỗ trợ và cụm xe nhẹ; súng bắn nhanh và xe bọc thép chặn được nó, và căn cứ chịu được cả dòng xe bom.</t>
        </is>
      </c>
      <c r="E15" s="41" t="inlineStr">
        <is>
          <t>Bán tải dân sự hàn tấm thép chắp vá phủ gần kín, khe nhìn nhỏ, tấm thép mặt trước dày hơn, không vũ khí nhìn thấy. Từ trên xuống: hộp thép thô, mép tấm không đều. Kích thước đề xuất khoảng 4.2 × 1.5 × 1.8 m (dài × rộng × cao; 0,8 × mẫu thật bán tải bọc thép chắp vá). Vũ khí nhìn thấy: car bomb (900 kg) 900 mm. Vạch màu phe trên nóc và hai hông; không dùng phù hiệu, cờ hay logo quốc gia thật.</t>
        </is>
      </c>
      <c r="F15" s="41" t="inlineStr">
        <is>
          <t>thắng màn mở khóa trong chiến dịch, hoặc mua sớm 750 xu</t>
        </is>
      </c>
      <c r="G15" s="41" t="inlineStr">
        <is>
          <t>Chương 2</t>
        </is>
      </c>
      <c r="H15" s="41" t="inlineStr">
        <is>
          <t>300 xu</t>
        </is>
      </c>
      <c r="I15" s="43" t="n">
        <v>3</v>
      </c>
      <c r="J15" s="43" t="n">
        <v>572</v>
      </c>
      <c r="K15" s="41" t="inlineStr">
        <is>
          <t>cấp 0 (Không giáp)</t>
        </is>
      </c>
      <c r="L15" s="43" t="n">
        <v>13</v>
      </c>
      <c r="M15" s="43" t="n">
        <v>30</v>
      </c>
      <c r="N15" s="43" t="n">
        <v>924</v>
      </c>
      <c r="O15" s="43" t="n">
        <v>770</v>
      </c>
      <c r="P15" s="43" t="n">
        <v>0</v>
      </c>
      <c r="Q15" s="43" t="n">
        <v>693</v>
      </c>
      <c r="R15" s="51">
        <f>IFERROR(O15/I15,"")</f>
        <v/>
      </c>
      <c r="S15" s="51">
        <f>IFERROR(J15/I15,"")</f>
        <v/>
      </c>
      <c r="T15" s="43" t="n">
        <v>78</v>
      </c>
      <c r="U15" s="43" t="n">
        <v>29</v>
      </c>
      <c r="V15" s="43" t="n">
        <v>128</v>
      </c>
      <c r="W15" s="43" t="n">
        <v>0</v>
      </c>
      <c r="X15" s="43" t="n">
        <v>25</v>
      </c>
      <c r="Y15" s="41" t="inlineStr">
        <is>
          <t>4%</t>
        </is>
      </c>
      <c r="Z15" s="43" t="n">
        <v>10</v>
      </c>
      <c r="AA15" s="43" t="n">
        <v>0.96</v>
      </c>
      <c r="AB15" s="41" t="inlineStr">
        <is>
          <t>xe bom tự sát bọc thép ở Mosul 2016-17 ('Iron Coffin') — Xe bán tải bom tự sát bọc thép hàn chắp vá</t>
        </is>
      </c>
      <c r="AC15" s="41" t="inlineStr">
        <is>
          <t>giáp 0, giáp 1, giáp 2, giáp 3, giáp 4, công trình</t>
        </is>
      </c>
      <c r="AD15" s="41" t="inlineStr">
        <is>
          <t>súng bộ binh, súng máy hạng nặng, lửa, mảnh, pháo tự động, nổ mạnh, năng lượng, nổ lõm, pháo xe tăng</t>
        </is>
      </c>
      <c r="AE15" s="41" t="inlineStr">
        <is>
          <t>lao thẳng vào địch rồi tự nổ: 700 sát thương trong bán kính 7,5 m, một nửa lên tháp và công trình. Bị bắn hạ giữa đường thì nổ</t>
        </is>
      </c>
      <c r="AF15" s="41" t="inlineStr">
        <is>
          <t>Lao thẳng vào mục tiêu và tự nổ; Xe tăng (4); Tăng hạng nhẹ</t>
        </is>
      </c>
      <c r="AG15" s="41" t="inlineStr">
        <is>
          <t>car bomb (900 kg) 900 mm [Nổ mạnh, xuyên 4, bom hạng nặng (xe bom) nổ lan] 770/phát · hồi 1 s · tầm 3m · Mặt đất</t>
        </is>
      </c>
      <c r="AH15" s="41" t="inlineStr">
        <is>
          <t>• Giáp: trước 2 / hông 1 / sau 0 / nóc 0
• Máu, nổ lan: 800 máu · nổ lan 10 m</t>
        </is>
      </c>
      <c r="AI15" s="41" t="inlineStr">
        <is>
          <t>• Giáp: Tên "bọc thép" nhưng giáp 0; chỉ gây sát thương 4% thời gian vì chết trước khi tới.
• Máu, nổ lan: Cần sống đủ tới mục tiêu; 900 kg thuốc nổ theo thang bom phải nổ rộng hơn bom 250 kg (8 m).</t>
        </is>
      </c>
      <c r="AJ15" s="48" t="inlineStr">
        <is>
          <t>Trung</t>
        </is>
      </c>
    </row>
    <row r="16" ht="53.25" customHeight="1" s="32">
      <c r="A16" s="39" t="inlineStr">
        <is>
          <t>light_tank</t>
        </is>
      </c>
      <c r="B16" s="39" t="inlineStr">
        <is>
          <t>Tăng hạng nhẹ</t>
        </is>
      </c>
      <c r="C16" s="39" t="inlineStr">
        <is>
          <t>Xe tăng</t>
        </is>
      </c>
      <c r="D16" s="39" t="inlineStr">
        <is>
          <t>pháo 57 mm xuyên giáp vừa chạy vừa bắn, tầm ngắn nhất trong các xe tăng; súng đồng trục bắn máy bay khi mặt đất đã sạch. thắng xe nhẹ, trinh sát và xe phòng không; thua tăng nặng hơn, xe diệt tăng và trực thăng tấn công.</t>
        </is>
      </c>
      <c r="E16" s="39" t="inlineStr">
        <is>
          <t>Tăng nhẹ thân thấp dạng thuyền (lội nước), tháp nhỏ đặt lệch trước, nòng 57 mm dài và mảnh. Từ trên xuống: mũi vát như thuyền. Kích thước đề xuất khoảng 6.1 × 2.6 × 1.8 m (dài × rộng × cao; 0,8 × mẫu thật PT-76 / ZBD-05). Vũ khí nhìn thấy: S-60 57 mm (2A91), PKT / M240 7.62 mm. Vạch màu phe trên nóc và hai hông; không dùng phù hiệu, cờ hay logo quốc gia thật.</t>
        </is>
      </c>
      <c r="F16" s="39" t="inlineStr">
        <is>
          <t>có sẵn từ đầu</t>
        </is>
      </c>
      <c r="G16" s="39" t="inlineStr">
        <is>
          <t>Chương 1</t>
        </is>
      </c>
      <c r="H16" s="39" t="inlineStr">
        <is>
          <t>300 xu</t>
        </is>
      </c>
      <c r="I16" s="42" t="n">
        <v>3</v>
      </c>
      <c r="J16" s="42" t="n">
        <v>1012</v>
      </c>
      <c r="K16" s="39" t="inlineStr">
        <is>
          <t>2/1/0/0</t>
        </is>
      </c>
      <c r="L16" s="42" t="n">
        <v>9</v>
      </c>
      <c r="M16" s="42" t="n">
        <v>30</v>
      </c>
      <c r="N16" s="42" t="n">
        <v>54</v>
      </c>
      <c r="O16" s="42" t="n">
        <v>20</v>
      </c>
      <c r="P16" s="42" t="n">
        <v>12</v>
      </c>
      <c r="Q16" s="42" t="n">
        <v>23</v>
      </c>
      <c r="R16" s="50">
        <f>IFERROR(O16/I16,"")</f>
        <v/>
      </c>
      <c r="S16" s="50">
        <f>IFERROR(J16/I16,"")</f>
        <v/>
      </c>
      <c r="T16" s="42" t="n">
        <v>354</v>
      </c>
      <c r="U16" s="42" t="n">
        <v>90</v>
      </c>
      <c r="V16" s="42" t="n">
        <v>47</v>
      </c>
      <c r="W16" s="42" t="n">
        <v>2</v>
      </c>
      <c r="X16" s="42" t="n">
        <v>114</v>
      </c>
      <c r="Y16" s="39" t="inlineStr">
        <is>
          <t>57%</t>
        </is>
      </c>
      <c r="Z16" s="42" t="n">
        <v>45</v>
      </c>
      <c r="AA16" s="42" t="n">
        <v>0.48</v>
      </c>
      <c r="AB16" s="39" t="inlineStr">
        <is>
          <t>PT-76, ZBD-05, AU-220M 57 mm (mô-đun không người lái) — Xe tăng nhẹ lội nước, mô-đun 57 mm đặt lệch về trước</t>
        </is>
      </c>
      <c r="AC16" s="39" t="inlineStr">
        <is>
          <t>giáp 0, giáp 1, giáp 2</t>
        </is>
      </c>
      <c r="AD16" s="39" t="inlineStr">
        <is>
          <t>lửa, pháo tự động, nổ mạnh, năng lượng, đánh nóc, nổ lõm, pháo xe tăng</t>
        </is>
      </c>
      <c r="AE16" s="39" t="inlineStr">
        <is>
          <t>pháo 57 mm xuyên giáp vừa chạy vừa bắn, tầm ngắn nhất trong các xe tăng; súng đồng trục bắn máy bay khi mặt đất đã sạch.</t>
        </is>
      </c>
      <c r="AF16" s="39" t="inlineStr">
        <is>
          <t>Vừa chạy vừa bắn; Tăng phun lửa</t>
        </is>
      </c>
      <c r="AG16" s="39" t="inlineStr">
        <is>
          <t>S-60 57 mm (2A91) [Động năng, xuyên 2, đạn pháo động năng] 77/phát · hồi 2.53 s · tầm 28 m · Mặt đất
PKT / M240 7.62 mm [Động năng, xuyên 0, đạn súng] 6/phát · băng 41 viên, 12 viên/s, thay 1.59 s · tầm 20 m · Tất cả</t>
        </is>
      </c>
      <c r="AH16" s="39" t="inlineStr">
        <is>
          <t>• Vũ khí: 57 mm: 77/phát · loạt 2 phát ở 2 phát/s · nghỉ 3,5 s · DPS duy trì ~35
• Tầm nhìn: 36 m</t>
        </is>
      </c>
      <c r="AI16" s="39" t="inlineStr">
        <is>
          <t>• Vũ khí: 57 mm: Pháo 57 mm tự động nhưng đang bắn như pháo nạp tay.
• Tầm nhìn: Tăng nhẹ lội nước thường làm trinh sát cho tuyến.</t>
        </is>
      </c>
      <c r="AJ16" s="49" t="inlineStr">
        <is>
          <t>Thấp</t>
        </is>
      </c>
    </row>
    <row r="17" ht="53.25" customHeight="1" s="32">
      <c r="A17" s="41" t="inlineStr">
        <is>
          <t>flame_tank</t>
        </is>
      </c>
      <c r="B17" s="41" t="inlineStr">
        <is>
          <t>Tăng phun lửa</t>
        </is>
      </c>
      <c r="C17" s="41" t="inlineStr">
        <is>
          <t>Xe tăng</t>
        </is>
      </c>
      <c r="D17" s="41" t="inlineStr">
        <is>
          <t>súng phun lửa phải áp sát mới bắn; luồng lửa lan ra cả nhóm, cực mạnh với xe nhẹ và lô cốt. thiêu rụi xe nhẹ, trinh sát và tháp canh khi áp sát; xe tăng và mọi thứ bắn xa hơn hạ nó trước khi tới nơi.</t>
        </is>
      </c>
      <c r="E17" s="41" t="inlineStr">
        <is>
          <t>Tăng thân T-55, tháp tròn, vòi phun ngắn to thay nòng pháo, 2 bình nhiên liệu bọc giáp trên sàn sau. Từ trên xuống: vòi ngắn, hai bình tròn đỏ sẫm ở đuôi. Kích thước đề xuất khoảng 7.2 × 2.6 × 1.9 m (dài × rộng × cao; 0,8 × mẫu thật TO-55 (khung T-55)). Vũ khí nhìn thấy: flamethrower, PKT / M240 7.62 mm. Vạch màu phe trên nóc và hai hông; không dùng phù hiệu, cờ hay logo quốc gia thật.</t>
        </is>
      </c>
      <c r="F17" s="41" t="inlineStr">
        <is>
          <t>thắng màn mở khóa trong chiến dịch, hoặc mua sớm 1.050 xu</t>
        </is>
      </c>
      <c r="G17" s="41" t="inlineStr">
        <is>
          <t>Chương 2</t>
        </is>
      </c>
      <c r="H17" s="41" t="inlineStr">
        <is>
          <t>300 xu</t>
        </is>
      </c>
      <c r="I17" s="43" t="n">
        <v>5</v>
      </c>
      <c r="J17" s="43" t="n">
        <v>1320</v>
      </c>
      <c r="K17" s="41" t="inlineStr">
        <is>
          <t>3/2/1/1</t>
        </is>
      </c>
      <c r="L17" s="43" t="n">
        <v>6.5</v>
      </c>
      <c r="M17" s="43" t="n">
        <v>26</v>
      </c>
      <c r="N17" s="43" t="n">
        <v>143</v>
      </c>
      <c r="O17" s="43" t="n">
        <v>40</v>
      </c>
      <c r="P17" s="43" t="n">
        <v>12</v>
      </c>
      <c r="Q17" s="43" t="n">
        <v>54</v>
      </c>
      <c r="R17" s="51">
        <f>IFERROR(O17/I17,"")</f>
        <v/>
      </c>
      <c r="S17" s="51">
        <f>IFERROR(J17/I17,"")</f>
        <v/>
      </c>
      <c r="T17" s="43" t="n">
        <v>587</v>
      </c>
      <c r="U17" s="43" t="n">
        <v>133</v>
      </c>
      <c r="V17" s="43" t="n">
        <v>53</v>
      </c>
      <c r="W17" s="43" t="n">
        <v>2</v>
      </c>
      <c r="X17" s="43" t="n">
        <v>105</v>
      </c>
      <c r="Y17" s="41" t="inlineStr">
        <is>
          <t>48%</t>
        </is>
      </c>
      <c r="Z17" s="43" t="n">
        <v>50</v>
      </c>
      <c r="AA17" s="43" t="n">
        <v>0.66</v>
      </c>
      <c r="AB17" s="41" t="inlineStr">
        <is>
          <t>M67 Zippo, TO-55 · Flame Tank (Command &amp; Conquer) — ước đoán: xe tăng phun lửa, thùng nhiên liệu bọc giáp sau tháp</t>
        </is>
      </c>
      <c r="AC17" s="41" t="inlineStr">
        <is>
          <t>giáp 0, giáp 1, giáp 2</t>
        </is>
      </c>
      <c r="AD17" s="41" t="inlineStr">
        <is>
          <t>nổ mạnh, đánh nóc, nổ lõm, pháo xe tăng</t>
        </is>
      </c>
      <c r="AE17" s="41" t="inlineStr">
        <is>
          <t>súng phun lửa phải áp sát mới bắn; luồng lửa lan ra cả nhóm, cực mạnh với xe nhẹ và lô cốt.</t>
        </is>
      </c>
      <c r="AF17" s="41" t="inlineStr">
        <is>
          <t>Vừa chạy vừa bắn; Xe tăng rùa</t>
        </is>
      </c>
      <c r="AG17" s="41" t="inlineStr">
        <is>
          <t>flamethrower [Lửa, xuyên 1, lửa nổ lan] 24/phát · hồi 0.25 s · tầm 13 m · Mặt đất
PKT / M240 7.62 mm [Động năng, xuyên 0, đạn súng] 6/phát · băng 41 viên, 12 viên/s, thay 1.59 s · tầm 20 m · Tất cả</t>
        </is>
      </c>
      <c r="AH17" s="41" t="inlineStr">
        <is>
          <t>• Vũ khí: súng phun lửa: sát thương −10% lên xe nhẹ; giữ giá 5 CP</t>
        </is>
      </c>
      <c r="AI17" s="41" t="inlineStr">
        <is>
          <t>• Vũ khí: súng phun lửa: Mạnh nhất theo CP khi đánh gần xe nhẹ; nhưng yếu với tăng và công sự nên giữ giá.</t>
        </is>
      </c>
      <c r="AJ17" s="49" t="inlineStr">
        <is>
          <t>Thấp</t>
        </is>
      </c>
    </row>
    <row r="18" ht="53.25" customHeight="1" s="32">
      <c r="A18" s="39"/>
      <c r="B18" s="39"/>
      <c r="C18" s="39"/>
      <c r="D18" s="39"/>
      <c r="E18" s="39"/>
      <c r="F18" s="39"/>
      <c r="G18" s="39"/>
      <c r="H18" s="39"/>
      <c r="I18" s="42"/>
      <c r="J18" s="42"/>
      <c r="K18" s="39"/>
      <c r="L18" s="42"/>
      <c r="M18" s="42"/>
      <c r="N18" s="42"/>
      <c r="O18" s="42"/>
      <c r="P18" s="42"/>
      <c r="Q18" s="42"/>
      <c r="R18" s="50"/>
      <c r="S18" s="50"/>
      <c r="T18" s="42"/>
      <c r="U18" s="42"/>
      <c r="V18" s="42"/>
      <c r="W18" s="42"/>
      <c r="X18" s="42"/>
      <c r="Y18" s="39"/>
      <c r="Z18" s="42"/>
      <c r="AA18" s="42"/>
      <c r="AB18" s="39"/>
      <c r="AC18" s="39"/>
      <c r="AD18" s="39"/>
      <c r="AE18" s="39"/>
      <c r="AF18" s="39"/>
      <c r="AG18" s="39"/>
      <c r="AH18" s="39"/>
      <c r="AI18" s="39"/>
      <c r="AJ18" s="49"/>
    </row>
    <row r="19" ht="105.75" customHeight="1" s="32">
      <c r="A19" s="41"/>
      <c r="B19" s="41"/>
      <c r="C19" s="41"/>
      <c r="D19" s="41"/>
      <c r="E19" s="41"/>
      <c r="F19" s="41"/>
      <c r="G19" s="41"/>
      <c r="H19" s="41"/>
      <c r="I19" s="43"/>
      <c r="J19" s="43"/>
      <c r="K19" s="41"/>
      <c r="L19" s="43"/>
      <c r="M19" s="43"/>
      <c r="N19" s="43"/>
      <c r="O19" s="43"/>
      <c r="P19" s="43"/>
      <c r="Q19" s="43"/>
      <c r="R19" s="51"/>
      <c r="S19" s="51"/>
      <c r="T19" s="43"/>
      <c r="U19" s="43"/>
      <c r="V19" s="43"/>
      <c r="W19" s="43"/>
      <c r="X19" s="43"/>
      <c r="Y19" s="41"/>
      <c r="Z19" s="43"/>
      <c r="AA19" s="43"/>
      <c r="AB19" s="41"/>
      <c r="AC19" s="41"/>
      <c r="AD19" s="41"/>
      <c r="AE19" s="41"/>
      <c r="AF19" s="41"/>
      <c r="AG19" s="41"/>
      <c r="AH19" s="41"/>
      <c r="AI19" s="41"/>
      <c r="AJ19" s="48"/>
    </row>
    <row r="20" ht="42.75" customHeight="1" s="32">
      <c r="A20" s="39" t="inlineStr">
        <is>
          <t>rocket_technical</t>
        </is>
      </c>
      <c r="B20" s="39" t="inlineStr">
        <is>
          <t>Bán tải rốc-két</t>
        </is>
      </c>
      <c r="C20" s="39" t="inlineStr">
        <is>
          <t>Pháo binh</t>
        </is>
      </c>
      <c r="D20" s="39" t="inlineStr">
        <is>
          <t>dừng lại rồi phóng một loạt tám rốc-két khá tản mát tới 48 m; hết sáu loạt phải đứng yên nạp lại. Có thêm súng máy. phá tháp canh và cụm địch với giá rẻ; chết trước gần như mọi khẩu súng với tới nó.</t>
        </is>
      </c>
      <c r="E20" s="39" t="inlineStr">
        <is>
          <t>Bán tải dân sự, giàn rốc-két 12 ống nhỏ trên thùng sau. Từ trên xuống: lưới ống tròn nhỏ ở thùng sau. Kích thước đề xuất khoảng 4.2 × 1.4 × 1.6 m (dài × rộng × cao; 0,8 × mẫu thật Toyota Hilux + Type 63). Vũ khí nhìn thấy: Type 63 107 mm, M2 Browning 12.7 mm. Vạch màu phe trên nóc và hai hông; không dùng phù hiệu, cờ hay logo quốc gia thật.</t>
        </is>
      </c>
      <c r="F20" s="39" t="inlineStr">
        <is>
          <t>thắng màn mở khóa trong chiến dịch, hoặc mua sớm 750 xu</t>
        </is>
      </c>
      <c r="G20" s="39" t="inlineStr">
        <is>
          <t>Chương 1</t>
        </is>
      </c>
      <c r="H20" s="39" t="inlineStr">
        <is>
          <t>300 xu</t>
        </is>
      </c>
      <c r="I20" s="42" t="n">
        <v>3</v>
      </c>
      <c r="J20" s="42" t="n">
        <v>506</v>
      </c>
      <c r="K20" s="39" t="inlineStr">
        <is>
          <t>cấp 0 (Không giáp)</t>
        </is>
      </c>
      <c r="L20" s="42" t="n">
        <v>13</v>
      </c>
      <c r="M20" s="42" t="n">
        <v>30</v>
      </c>
      <c r="N20" s="42" t="n">
        <v>71</v>
      </c>
      <c r="O20" s="42" t="n">
        <v>38</v>
      </c>
      <c r="P20" s="42" t="n">
        <v>16</v>
      </c>
      <c r="Q20" s="42" t="n">
        <v>35</v>
      </c>
      <c r="R20" s="50">
        <f>IFERROR(O20/I20,"")</f>
        <v/>
      </c>
      <c r="S20" s="50">
        <f>IFERROR(J20/I20,"")</f>
        <v/>
      </c>
      <c r="T20" s="42" t="n">
        <v>204</v>
      </c>
      <c r="U20" s="42" t="n">
        <v>184</v>
      </c>
      <c r="V20" s="42" t="n">
        <v>322</v>
      </c>
      <c r="W20" s="42" t="n">
        <v>2</v>
      </c>
      <c r="X20" s="42" t="n">
        <v>38</v>
      </c>
      <c r="Y20" s="39" t="inlineStr">
        <is>
          <t>48%</t>
        </is>
      </c>
      <c r="Z20" s="42" t="n">
        <v>51</v>
      </c>
      <c r="AA20" s="42" t="n">
        <v>0.5600000000000001</v>
      </c>
      <c r="AB20" s="39" t="inlineStr">
        <is>
          <t>Toyota Hilux 'technical', Type 63 107 mm — Xe bán tải dân sự gắn giàn rốc-két 12 ống</t>
        </is>
      </c>
      <c r="AC20" s="39" t="inlineStr">
        <is>
          <t>giáp 0, giáp 1, giáp 2, công trình</t>
        </is>
      </c>
      <c r="AD20" s="39" t="inlineStr">
        <is>
          <t>súng bộ binh, súng máy hạng nặng, lửa, mảnh, pháo tự động, nổ mạnh, năng lượng, nổ lõm, pháo xe tăng</t>
        </is>
      </c>
      <c r="AE20" s="39" t="inlineStr">
        <is>
          <t>dừng lại rồi phóng một loạt tám rốc-két khá tản mát tới 48 m; hết sáu loạt phải đứng yên nạp lại. Có thêm súng máy.</t>
        </is>
      </c>
      <c r="AF20" s="39" t="inlineStr">
        <is>
          <t>Dừng lại mới bắn, từ 12-48 m; cần ta nhìn thấy mục tiêu (tự nó hoặc quân bạn); Hết đạn thì nạp lại tại chỗ, hoặc tới Xe tiếp đạn hay về nhà khi nhanh hơn; Xe súng cối</t>
        </is>
      </c>
      <c r="AG20" s="39" t="inlineStr">
        <is>
          <t>Type 63 107 mm [Nổ mạnh, xuyên 2, rốc-két đánh nóc] nổ lan/phát · 50 · tầm loạt 5, hồi 5.1 s · 48 m (tối thiểu 12)
M2 Browning 12.7 mm [Động năng, xuyên 1, đạn súng (cỡ lớn)] 10/phát · băng 28 viên, 9 viên/s, thay 1.94 s · tầm 13 m · Tất cả</t>
        </is>
      </c>
      <c r="AH20" s="39" t="inlineStr">
        <is>
          <t>Giữ.</t>
        </is>
      </c>
      <c r="AI20" s="39" t="inlineStr">
        <is>
          <t>Giá trị thực chiến nằm trong khoảng mục tiêu (hiệu quả 0.56 × trung vị vai trò).</t>
        </is>
      </c>
      <c r="AJ20" s="49" t="inlineStr">
        <is>
          <t>Thấp</t>
        </is>
      </c>
    </row>
    <row r="21" ht="42.75" customHeight="1" s="32">
      <c r="A21" s="41" t="inlineStr">
        <is>
          <t>mortar_carrier</t>
        </is>
      </c>
      <c r="B21" s="41" t="inlineStr">
        <is>
          <t>Xe súng cối</t>
        </is>
      </c>
      <c r="C21" s="41" t="inlineStr">
        <is>
          <t>Pháo binh</t>
        </is>
      </c>
      <c r="D21" s="41" t="inlineStr">
        <is>
          <t>dừng lại rồi bắn đạn cối 120 mm nổ mạnh qua tường và nhà; tầm nhìn ngắn nên bắn vào mục tiêu đồng đội phát hiện. tốt với tháp canh, xe diệt tăng và thiết giáp đứng yên; bó tay khi bị áp sát.</t>
        </is>
      </c>
      <c r="E21" s="41" t="inlineStr">
        <is>
          <t>Khung M113, cửa nóc sau mở rộng, cối 120 mm chĩa lên qua cửa. Từ trên xuống: lỗ cửa nóc lớn và nòng cối. Kích thước đề xuất khoảng 3.9 × 2.2 × 2.0 m (dài × rộng × cao; 0,8 × mẫu thật M1064 (M113)). Vũ khí nhìn thấy: 2B11 120 mm, M2 Browning 12.7 mm. Vạch màu phe trên nóc và hai hông; không dùng phù hiệu, cờ hay logo quốc gia thật.</t>
        </is>
      </c>
      <c r="F21" s="41" t="inlineStr">
        <is>
          <t>thắng màn mở khóa trong chiến dịch, hoặc mua sớm 900 xu</t>
        </is>
      </c>
      <c r="G21" s="41" t="inlineStr">
        <is>
          <t>Chương 1</t>
        </is>
      </c>
      <c r="H21" s="41" t="inlineStr">
        <is>
          <t>300 xu</t>
        </is>
      </c>
      <c r="I21" s="43" t="n">
        <v>4</v>
      </c>
      <c r="J21" s="43" t="n">
        <v>704</v>
      </c>
      <c r="K21" s="41" t="inlineStr">
        <is>
          <t>1/0/0/0</t>
        </is>
      </c>
      <c r="L21" s="43" t="n">
        <v>8</v>
      </c>
      <c r="M21" s="43" t="n">
        <v>26</v>
      </c>
      <c r="N21" s="43" t="n">
        <v>65</v>
      </c>
      <c r="O21" s="43" t="n">
        <v>33</v>
      </c>
      <c r="P21" s="43" t="n">
        <v>16</v>
      </c>
      <c r="Q21" s="43" t="n">
        <v>41</v>
      </c>
      <c r="R21" s="51">
        <f>IFERROR(O21/I21,"")</f>
        <v/>
      </c>
      <c r="S21" s="51">
        <f>IFERROR(J21/I21,"")</f>
        <v/>
      </c>
      <c r="T21" s="43" t="n">
        <v>280</v>
      </c>
      <c r="U21" s="43" t="n">
        <v>307</v>
      </c>
      <c r="V21" s="43" t="n">
        <v>342</v>
      </c>
      <c r="W21" s="43" t="n">
        <v>4</v>
      </c>
      <c r="X21" s="43" t="n">
        <v>206</v>
      </c>
      <c r="Y21" s="41" t="inlineStr">
        <is>
          <t>78%</t>
        </is>
      </c>
      <c r="Z21" s="43" t="n">
        <v>77</v>
      </c>
      <c r="AA21" s="43" t="n">
        <v>0.72</v>
      </c>
      <c r="AB21" s="41" t="inlineStr">
        <is>
          <t>M1064 (M113 mang cối 120 mm), 2B11 120 mm — Xe bọc thép M113 bắn cối qua cửa nóc</t>
        </is>
      </c>
      <c r="AC21" s="41" t="inlineStr">
        <is>
          <t>giáp 0, giáp 1, giáp 2, công trình</t>
        </is>
      </c>
      <c r="AD21" s="41" t="inlineStr">
        <is>
          <t>súng máy hạng nặng, lửa, pháo tự động, nổ mạnh, năng lượng, đánh nóc, nổ lõm, pháo xe tăng</t>
        </is>
      </c>
      <c r="AE21" s="41" t="inlineStr">
        <is>
          <t>dừng lại rồi bắn đạn cối 120 mm nổ mạnh qua tường và nhà; tầm nhìn ngắn nên bắn vào mục tiêu đồng đội phát hiện.</t>
        </is>
      </c>
      <c r="AF21" s="41" t="inlineStr">
        <is>
          <t>Dừng lại mới bắn, từ 10-55 m; cần ta nhìn thấy mục tiêu (tự nó hoặc quân bạn); Hết đạn thì nạp lại tại chỗ, hoặc tới Xe tiếp đạn hay về nhà khi nhanh hơn; Pháo tự hành</t>
        </is>
      </c>
      <c r="AG21" s="41" t="inlineStr">
        <is>
          <t>2B11 120 mm [Nổ mạnh, xuyên 2, đạn pháo nổ mạnh (cối) đánh nóc] nổ lan/phát · 150 · tầm hồi 5.827 s · 55 m (tối thiểu 10)
M2 Browning 12.7 mm [Động năng, xuyên 1, đạn súng (cỡ lớn)] 10/phát · băng 28 viên, 9 viên/s, thay 2.02 s · tầm 18 m · Tất cả</t>
        </is>
      </c>
      <c r="AH21" s="41" t="inlineStr">
        <is>
          <t>• Vũ khí: cối 120 mm: 0,2 phát/s</t>
        </is>
      </c>
      <c r="AI21" s="41" t="inlineStr">
        <is>
          <t>• Vũ khí: cối 120 mm: Cối 120 bắn nhanh ngoài đời; cảm giác "mưa cối".</t>
        </is>
      </c>
      <c r="AJ21" s="49" t="inlineStr">
        <is>
          <t>Thấp</t>
        </is>
      </c>
    </row>
    <row r="22" ht="53.25" customHeight="1" s="32">
      <c r="A22" s="39" t="inlineStr">
        <is>
          <t>artillery</t>
        </is>
      </c>
      <c r="B22" s="39" t="inlineStr">
        <is>
          <t>Pháo tự hành</t>
        </is>
      </c>
      <c r="C22" s="39" t="inlineStr">
        <is>
          <t>Pháo binh</t>
        </is>
      </c>
      <c r="D22" s="39" t="inlineStr">
        <is>
          <t>dừng lại, nã ba quả đạn 155 mm nổ mạnh cầu vồng qua vật cản rồi dời 15–20 m mới bắn tiếp, nên đạn phản pháo rơi vào chỗ phá công sự, tăng hạng nặng và xe diệt tăng từ xa, bắn mục tiêu bị đánh dấu (chỉ thị la-de, radar phản pháo, UAV quét) gần như</t>
        </is>
      </c>
      <c r="E22" s="39" t="inlineStr">
        <is>
          <t>Lựu pháo tự hành xích (M109A7): tháp lớn vuông phía sau, nòng 155 mm rất dài (hơn nửa chiều dài xe), giá đỡ nòng ở mũi. Từ trên xuống: tháp to, nòng dài vượt mũi xe. Kích thước đề xuất khoảng 7.8 × 3.1 × 2.9 m (dài × rộng × cao; 0,8 × mẫu thật M109A7 (đề xuất đổi từ CAESAR)). Vũ khí nhìn thấy: M284 155 mm, M2 Browning 12.7 mm. Vạch màu phe trên nóc và hai hông; không dùng phù hiệu, cờ hay logo quốc gia thật.</t>
        </is>
      </c>
      <c r="F22" s="39" t="inlineStr">
        <is>
          <t>có sẵn từ đầu</t>
        </is>
      </c>
      <c r="G22" s="39" t="inlineStr">
        <is>
          <t>Chương 2</t>
        </is>
      </c>
      <c r="H22" s="39" t="inlineStr">
        <is>
          <t>300 xu</t>
        </is>
      </c>
      <c r="I22" s="42" t="n">
        <v>6</v>
      </c>
      <c r="J22" s="42" t="n">
        <v>660</v>
      </c>
      <c r="K22" s="39" t="inlineStr">
        <is>
          <t>1/0/0/0</t>
        </is>
      </c>
      <c r="L22" s="42" t="n">
        <v>7</v>
      </c>
      <c r="M22" s="42" t="n">
        <v>30</v>
      </c>
      <c r="N22" s="42" t="n">
        <v>72</v>
      </c>
      <c r="O22" s="42" t="n">
        <v>40</v>
      </c>
      <c r="P22" s="42" t="n">
        <v>16</v>
      </c>
      <c r="Q22" s="42" t="n">
        <v>0</v>
      </c>
      <c r="R22" s="50">
        <f>IFERROR(O22/I22,"")</f>
        <v/>
      </c>
      <c r="S22" s="50">
        <f>IFERROR(J22/I22,"")</f>
        <v/>
      </c>
      <c r="T22" s="42" t="n">
        <v>269</v>
      </c>
      <c r="U22" s="42" t="n">
        <v>265</v>
      </c>
      <c r="V22" s="42" t="n">
        <v>397</v>
      </c>
      <c r="W22" s="42" t="n">
        <v>0</v>
      </c>
      <c r="X22" s="42" t="n">
        <v>271</v>
      </c>
      <c r="Y22" s="39" t="inlineStr">
        <is>
          <t>84%</t>
        </is>
      </c>
      <c r="Z22" s="42" t="n">
        <v>90</v>
      </c>
      <c r="AA22" s="42" t="n">
        <v>0.74</v>
      </c>
      <c r="AB22" s="39" t="inlineStr">
        <is>
          <t>CAESAR 155 mm, M284 155 mm (M109A6/A7) — Lựu pháo tự hành bánh lốp 6x6, nòng 155 mm đặt sau sàn xe</t>
        </is>
      </c>
      <c r="AC22" s="39" t="inlineStr">
        <is>
          <t>giáp 0, giáp 1, giáp 2, giáp 3, công trình</t>
        </is>
      </c>
      <c r="AD22" s="39" t="inlineStr">
        <is>
          <t>súng máy hạng nặng, lửa, pháo tự động, nổ mạnh, năng lượng, đánh nóc, nổ lõm, pháo xe tăng</t>
        </is>
      </c>
      <c r="AE22" s="39" t="inlineStr">
        <is>
          <t>dừng lại, nã ba quả đạn 155 mm nổ mạnh cầu vồng qua vật cản rồi dời 15–20 m mới bắn tiếp, nên đạn phản pháo rơi vào chỗ</t>
        </is>
      </c>
      <c r="AF22" s="39" t="inlineStr">
        <is>
          <t>Dừng lại mới bắn, từ 25-90 m; cần ta nhìn thấy mục tiêu (tự nó hoặc quân bạn); Bắn 3 loạt rồi dời vị trí 15-20 m; Hết đạn thì nạp lại tại chỗ, hoặc tới Xe tiếp đạn hay về nhà khi nhanh hơn; Pháo phản lực</t>
        </is>
      </c>
      <c r="AG22" s="39" t="inlineStr">
        <is>
          <t>M284 155 mm [Nổ mạnh, xuyên 3, đạn pháo nổ mạnh đánh nóc] nổ lan/phát · 320 · tầm hồi 10.23 s · 90 m (tối thiểu 25)
M2 Browning 12.7 mm [Động năng, xuyên 1, đạn súng (cỡ lớn)] 10/phát · băng 28 viên, 9 viên/s, thay 2.02 s · tầm 15 m · Tất cả</t>
        </is>
      </c>
      <c r="AH22" s="39" t="inlineStr">
        <is>
          <t>• Vũ khí: lựu pháo 155 mm: 0,14 phát/s · bắn 3 loạt rồi dời vị trí (giữ)
• Model và tham khảo: Đổi model sang M109A7 xích; giáp trước 1→2; tốc độ 7→6</t>
        </is>
      </c>
      <c r="AI22" s="39" t="inlineStr">
        <is>
          <t>• Vũ khí: lựu pháo 155 mm: Pháo tự hành đang kém hẳn pháo phản lực 6 CP (331 so với 510 theo vai trò).
• Model và tham khảo: Để CAESAR cho thẻ "Pháo bánh lốp bắn rồi chạy" sau này, không vướng danh sách giữ lại.</t>
        </is>
      </c>
      <c r="AJ22" s="47" t="inlineStr">
        <is>
          <t>Cao</t>
        </is>
      </c>
    </row>
    <row r="23" ht="53.25" customHeight="1" s="32">
      <c r="A23" s="41" t="inlineStr">
        <is>
          <t>mlrs</t>
        </is>
      </c>
      <c r="B23" s="41" t="inlineStr">
        <is>
          <t>Pháo phản lực</t>
        </is>
      </c>
      <c r="C23" s="41" t="inlineStr">
        <is>
          <t>Pháo binh</t>
        </is>
      </c>
      <c r="D23" s="41" t="inlineStr">
        <is>
          <t>dừng lại rồi phóng một loạt sáu rốc-két chính xác từ tới 110 m; sau bốn loạt phải đứng yên nạp đạn. phá công sự, tăng hạng nặng và trận địa pháo từ ngoài tầm với; bất kỳ xe nhanh nào áp sát cũng hạ được nó.</t>
        </is>
      </c>
      <c r="E23" s="41" t="inlineStr">
        <is>
          <t>Xe tải 6 bánh, khối 6 ống phóng hình hộp lớn phía sau có thể nâng xoay. Từ trên xuống: hộp phóng chữ nhật chiếm nửa sau. Kích thước đề xuất khoảng 5.6 × 1.9 × 2.6 m (dài × rộng × cao; 0,8 × mẫu thật M142 HIMARS). Vũ khí nhìn thấy: M31 GMLRS 227 mm, M2 Browning 12.7 mm. Vạch màu phe trên nóc và hai hông; không dùng phù hiệu, cờ hay logo quốc gia thật.</t>
        </is>
      </c>
      <c r="F23" s="41" t="inlineStr">
        <is>
          <t>thắng màn mở khóa trong chiến dịch, hoặc mua sớm 1.200 xu</t>
        </is>
      </c>
      <c r="G23" s="41" t="inlineStr">
        <is>
          <t>Chương 4</t>
        </is>
      </c>
      <c r="H23" s="41" t="inlineStr">
        <is>
          <t>800 xu</t>
        </is>
      </c>
      <c r="I23" s="43" t="n">
        <v>6</v>
      </c>
      <c r="J23" s="43" t="n">
        <v>704</v>
      </c>
      <c r="K23" s="41" t="inlineStr">
        <is>
          <t>1/0/0/0</t>
        </is>
      </c>
      <c r="L23" s="43" t="n">
        <v>6</v>
      </c>
      <c r="M23" s="43" t="n">
        <v>30</v>
      </c>
      <c r="N23" s="43" t="n">
        <v>79</v>
      </c>
      <c r="O23" s="43" t="n">
        <v>47</v>
      </c>
      <c r="P23" s="43" t="n">
        <v>16</v>
      </c>
      <c r="Q23" s="43" t="n">
        <v>8</v>
      </c>
      <c r="R23" s="51">
        <f>IFERROR(O23/I23,"")</f>
        <v/>
      </c>
      <c r="S23" s="51">
        <f>IFERROR(J23/I23,"")</f>
        <v/>
      </c>
      <c r="T23" s="43" t="n">
        <v>267</v>
      </c>
      <c r="U23" s="43" t="n">
        <v>452</v>
      </c>
      <c r="V23" s="43" t="n">
        <v>568</v>
      </c>
      <c r="W23" s="43" t="n">
        <v>0</v>
      </c>
      <c r="X23" s="43" t="n">
        <v>426</v>
      </c>
      <c r="Y23" s="41" t="inlineStr">
        <is>
          <t>82%</t>
        </is>
      </c>
      <c r="Z23" s="43" t="n">
        <v>90</v>
      </c>
      <c r="AA23" s="43" t="n">
        <v>1.14</v>
      </c>
      <c r="AB23" s="41" t="inlineStr">
        <is>
          <t>M142 HIMARS, M270 MLRS, M31 GMLRS 227 mm — Xe phóng rốc-két, nâng khối ống lên để bắn</t>
        </is>
      </c>
      <c r="AC23" s="41" t="inlineStr">
        <is>
          <t>giáp 0, giáp 1, giáp 2, giáp 3, công trình</t>
        </is>
      </c>
      <c r="AD23" s="41" t="inlineStr">
        <is>
          <t>súng máy hạng nặng, lửa, pháo tự động, nổ mạnh, năng lượng, đánh nóc, nổ lõm, pháo xe tăng</t>
        </is>
      </c>
      <c r="AE23" s="41" t="inlineStr">
        <is>
          <t>dừng lại rồi phóng một loạt sáu rốc-két chính xác từ tới 110 m; sau bốn loạt phải đứng yên nạp đạn.</t>
        </is>
      </c>
      <c r="AF23" s="41" t="inlineStr">
        <is>
          <t>Dừng lại mới bắn, từ 20-110 m; cần ta nhìn thấy mục tiêu (tự nó hoặc quân bạn); Hết đạn thì nạp lại tại chỗ, hoặc tới Xe tiếp đạn hay về nhà khi nhanh hơn; Xe phóng Shahed</t>
        </is>
      </c>
      <c r="AG23" s="41" t="inlineStr">
        <is>
          <t>M31 GMLRS 227 mm [Nổ mạnh, xuyên 3, rốc-két (cỡ lớn) đánh nóc] nổ lan/phát · 100 · tầm loạt 5, hồi 9.944 s · 110 m (tối thiểu 20)
M2 Browning 12.7 mm [Động năng, xuyên 1, đạn súng (cỡ lớn)] 10/phát · băng 28 viên, 9 viên/s, thay 2.02 s · tầm 15 m · Tất cả</t>
        </is>
      </c>
      <c r="AH23" s="41" t="inlineStr">
        <is>
          <t>• Hành vi: Bắn xong một loạt thì dời vị trí 15–20 m (như Pháo tự hành)
• Giá: 7 CP</t>
        </is>
      </c>
      <c r="AI23" s="41" t="inlineStr">
        <is>
          <t>• Hành vi: HIMARS nổi tiếng với chiến thuật bắn rồi chạy.
• Giá: Mạnh hơn pháo tự hành cùng giá; HIMARS ngoài đời đắt hơn lựu pháo.</t>
        </is>
      </c>
      <c r="AJ23" s="48" t="inlineStr">
        <is>
          <t>Trung</t>
        </is>
      </c>
    </row>
    <row r="24" ht="42.75" customHeight="1" s="32">
      <c r="A24" s="39" t="inlineStr">
        <is>
          <t>shahed_truck</t>
        </is>
      </c>
      <c r="B24" s="39" t="inlineStr">
        <is>
          <t>Xe phóng Shahed</t>
        </is>
      </c>
      <c r="C24" s="39" t="inlineStr">
        <is>
          <t>Pháo binh</t>
        </is>
      </c>
      <c r="D24" s="39" t="inlineStr">
        <is>
          <t>dừng lại rồi phóng lần lượt từng chiếc drone cảm tử bay chậm xa tới 150 m, vài giây một chiếc, chuyên đánh công trình. phá tháp canh, ụ pháo và pháo binh đứng yên ở xa; APS và la-de phòng không bắn hạ drone chậm, xe gây nhiễu làm chúng lạc.</t>
        </is>
      </c>
      <c r="E24" s="39" t="inlineStr">
        <is>
          <t>Xe tải mang giàn 5 ray nghiêng, mỗi ray một drone cánh tam giác trắng. Từ trên xuống: 5 tam giác xếp cạnh nhau. Kích thước đề xuất khoảng 6.4 × 2.0 × 2.8 m (dài × rộng × cao; 0,8 × mẫu thật xe tải phóng Shahed). Vũ khí nhìn thấy: Shahed-136 (50 kg), M2 Browning 12.7 mm. Vạch màu phe trên nóc và hai hông; không dùng phù hiệu, cờ hay logo quốc gia thật.</t>
        </is>
      </c>
      <c r="F24" s="39" t="inlineStr">
        <is>
          <t>thắng màn mở khóa trong chiến dịch, hoặc mua sớm 1.500 xu</t>
        </is>
      </c>
      <c r="G24" s="39" t="inlineStr">
        <is>
          <t>Chương 5</t>
        </is>
      </c>
      <c r="H24" s="39" t="inlineStr">
        <is>
          <t>800 xu</t>
        </is>
      </c>
      <c r="I24" s="42" t="n">
        <v>8</v>
      </c>
      <c r="J24" s="42" t="n">
        <v>880</v>
      </c>
      <c r="K24" s="39" t="inlineStr">
        <is>
          <t>1/0/0/0</t>
        </is>
      </c>
      <c r="L24" s="42" t="n">
        <v>8</v>
      </c>
      <c r="M24" s="42" t="n">
        <v>30</v>
      </c>
      <c r="N24" s="42" t="n">
        <v>79</v>
      </c>
      <c r="O24" s="42" t="n">
        <v>47</v>
      </c>
      <c r="P24" s="42" t="n">
        <v>16</v>
      </c>
      <c r="Q24" s="42" t="n">
        <v>67</v>
      </c>
      <c r="R24" s="50">
        <f>IFERROR(O24/I24,"")</f>
        <v/>
      </c>
      <c r="S24" s="50">
        <f>IFERROR(J24/I24,"")</f>
        <v/>
      </c>
      <c r="T24" s="42" t="n">
        <v>178</v>
      </c>
      <c r="U24" s="42" t="n">
        <v>427</v>
      </c>
      <c r="V24" s="42" t="n">
        <v>516</v>
      </c>
      <c r="W24" s="42" t="n">
        <v>0</v>
      </c>
      <c r="X24" s="42" t="n">
        <v>336</v>
      </c>
      <c r="Y24" s="39" t="inlineStr">
        <is>
          <t>83%</t>
        </is>
      </c>
      <c r="Z24" s="42" t="n">
        <v>90</v>
      </c>
      <c r="AA24" s="42" t="n">
        <v>1.05</v>
      </c>
      <c r="AB24" s="39" t="inlineStr">
        <is>
          <t>Shahed-136 (Geran-2) — Xe tải phóng drone cánh tam giác Shahed trên giàn 5 ray</t>
        </is>
      </c>
      <c r="AC24" s="39" t="inlineStr">
        <is>
          <t>giáp 0, giáp 1, giáp 2, giáp 3, công trình</t>
        </is>
      </c>
      <c r="AD24" s="39" t="inlineStr">
        <is>
          <t>súng máy hạng nặng, lửa, pháo tự động, nổ mạnh, năng lượng, đánh nóc, nổ lõm, pháo xe tăng</t>
        </is>
      </c>
      <c r="AE24" s="39" t="inlineStr">
        <is>
          <t>dừng lại rồi phóng lần lượt từng chiếc drone cảm tử bay chậm xa tới 150 m, vài giây một chiếc, chuyên đánh công trình.</t>
        </is>
      </c>
      <c r="AF24" s="39" t="inlineStr">
        <is>
          <t>Dừng lại mới bắn, từ 20-150 m; cần ta nhìn thấy mục tiêu (tự nó hoặc quân bạn); Hết đạn thì nạp lại tại chỗ, hoặc tới Xe tiếp đạn hay về nhà khi nhanh hơn; Pháo phản lực nhiệt áp</t>
        </is>
      </c>
      <c r="AG24" s="39" t="inlineStr">
        <is>
          <t>Shahed-136 (50 kg) [Nổ mạnh, xuyên 3, drone (Shahed) đánh nóc] dẫn đường/phát · nổ lan · tầm 344 · hồi 8.5 s
M2 Browning 12.7 mm [Động năng, xuyên 1, đạn súng (cỡ lớn)] 10/phát · băng 28 viên, 9 viên/s, thay 2.02 s · tầm 15 m · Tất cả</t>
        </is>
      </c>
      <c r="AH24" s="39" t="inlineStr">
        <is>
          <t>• Vũ khí: Shahed-136: nổ lan 4,5 m</t>
        </is>
      </c>
      <c r="AI24" s="39" t="inlineStr">
        <is>
          <t>• Vũ khí: Shahed-136: Đầu nổ 40–50 kg phải nổ nhỏ hơn bom SDB và FAB-250.</t>
        </is>
      </c>
      <c r="AJ24" s="49" t="inlineStr">
        <is>
          <t>Thấp</t>
        </is>
      </c>
    </row>
    <row r="25" ht="42.75" customHeight="1" s="32">
      <c r="A25" s="41" t="inlineStr">
        <is>
          <t>thermobaric_launcher</t>
        </is>
      </c>
      <c r="B25" s="41" t="inlineStr">
        <is>
          <t>Pháo phản lực nhiệt áp</t>
        </is>
      </c>
      <c r="C25" s="41" t="inlineStr">
        <is>
          <t>Pháo binh</t>
        </is>
      </c>
      <c r="D25" s="41" t="inlineStr">
        <is>
          <t>dừng lại rồi phóng 12 rốc-két nhiệt áp phủ kín một vùng cách 12–38 m; bốn loạt rồi phải đứng yên nạp lại. quét sạch cụm địch, tháp canh và mọi thứ đứng dồn; phải tiến khá gần, dễ bị máy bay bắt.</t>
        </is>
      </c>
      <c r="E25" s="41" t="inlineStr">
        <is>
          <t>Khung T-72, khối 24 ống phóng lớn hình hộp đặt trên bệ nâng giữa thân. Từ trên xuống: khối ống vuông to. Kích thước đề xuất khoảng 7.6 × 2.9 × 1.8 m (dài × rộng × cao; 0,8 × mẫu thật TOS-1A). Vũ khí nhìn thấy: TOS-1A 220 mm thermobaric, M2 Browning 12.7 mm. Vạch màu phe trên nóc và hai hông; không dùng phù hiệu, cờ hay logo quốc gia thật.</t>
        </is>
      </c>
      <c r="F25" s="41" t="inlineStr">
        <is>
          <t>thắng màn mở khóa trong chiến dịch, hoặc mua sớm 1.500 xu</t>
        </is>
      </c>
      <c r="G25" s="41" t="inlineStr">
        <is>
          <t>Chương 7</t>
        </is>
      </c>
      <c r="H25" s="41" t="inlineStr">
        <is>
          <t>1.500 xu</t>
        </is>
      </c>
      <c r="I25" s="43" t="n">
        <v>8</v>
      </c>
      <c r="J25" s="43" t="n">
        <v>1980</v>
      </c>
      <c r="K25" s="41" t="inlineStr">
        <is>
          <t>3/2/1/1</t>
        </is>
      </c>
      <c r="L25" s="43" t="n">
        <v>5.5</v>
      </c>
      <c r="M25" s="43" t="n">
        <v>30</v>
      </c>
      <c r="N25" s="43" t="n">
        <v>93</v>
      </c>
      <c r="O25" s="43" t="n">
        <v>61</v>
      </c>
      <c r="P25" s="43" t="n">
        <v>16</v>
      </c>
      <c r="Q25" s="43" t="n">
        <v>111</v>
      </c>
      <c r="R25" s="51">
        <f>IFERROR(O25/I25,"")</f>
        <v/>
      </c>
      <c r="S25" s="51">
        <f>IFERROR(J25/I25,"")</f>
        <v/>
      </c>
      <c r="T25" s="43" t="n">
        <v>349</v>
      </c>
      <c r="U25" s="43" t="n">
        <v>299</v>
      </c>
      <c r="V25" s="43" t="n">
        <v>745</v>
      </c>
      <c r="W25" s="43" t="n">
        <v>3</v>
      </c>
      <c r="X25" s="43" t="n">
        <v>223</v>
      </c>
      <c r="Y25" s="41" t="inlineStr">
        <is>
          <t>54%</t>
        </is>
      </c>
      <c r="Z25" s="43" t="n">
        <v>78</v>
      </c>
      <c r="AA25" s="43" t="n">
        <v>1.16</v>
      </c>
      <c r="AB25" s="41" t="inlineStr">
        <is>
          <t>TOS-1A Solntsepyok (khung T-72) — Giàn phóng rốc-két nhiệt áp 24 ống trên khung xe tăng</t>
        </is>
      </c>
      <c r="AC25" s="41" t="inlineStr">
        <is>
          <t>giáp 0, giáp 1, giáp 2, giáp 3, công trình</t>
        </is>
      </c>
      <c r="AD25" s="41" t="inlineStr">
        <is>
          <t>nổ mạnh, đánh nóc, nổ lõm, pháo xe tăng</t>
        </is>
      </c>
      <c r="AE25" s="41" t="inlineStr">
        <is>
          <t>dừng lại rồi phóng 12 rốc-két nhiệt áp phủ kín một vùng cách 12–38 m; bốn loạt rồi phải đứng yên nạp lại.</t>
        </is>
      </c>
      <c r="AF25" s="41" t="inlineStr">
        <is>
          <t>Dừng lại mới bắn, từ 12-48 m; cần ta nhìn thấy mục tiêu (tự nó hoặc quân bạn); Hết đạn thì nạp lại tại chỗ, hoặc tới Xe tiếp đạn hay về nhà khi nhanh hơn; Xe phóng tên lửa đạn đạo</t>
        </is>
      </c>
      <c r="AG25" s="41" t="inlineStr">
        <is>
          <t>TOS-1A 220 mm thermobaric [Nổ mạnh, xuyên 3, rốc-két (cỡ lớn) đánh nóc] nổ lan/phát · Nhiệt áp · tầm 97 · loạt 9, hồi 10.55 s
M2 Browning 12.7 mm [Động năng, xuyên 1, đạn súng (cỡ lớn)] 10/phát · băng 28 viên, 9 viên/s, thay 2.02 s · tầm 18 m · Tất cả</t>
        </is>
      </c>
      <c r="AH25" s="41" t="inlineStr">
        <is>
          <t>• Giá: 9 CP</t>
        </is>
      </c>
      <c r="AI25" s="41" t="inlineStr">
        <is>
          <t>• Giá: Mạnh nhất nhóm pháo với công sự sau khi sửa hệ số nhiệt áp.</t>
        </is>
      </c>
      <c r="AJ25" s="49" t="inlineStr">
        <is>
          <t>Thấp</t>
        </is>
      </c>
    </row>
    <row r="26" ht="53.25" customHeight="1" s="32">
      <c r="A26" s="39" t="inlineStr">
        <is>
          <t>ballistic_launcher</t>
        </is>
      </c>
      <c r="B26" s="39" t="inlineStr">
        <is>
          <t>Xe phóng tên lửa đạn đạo</t>
        </is>
      </c>
      <c r="C26" s="39" t="inlineStr">
        <is>
          <t>Pháo binh</t>
        </is>
      </c>
      <c r="D26" s="39" t="inlineStr">
        <is>
          <t>dừng lại rồi phóng một cặp tên lửa đạn đạo vào mục tiêu cách 40–180 m, mỗi quả nổ cực lớn; hai cặp rồi nạp lại lâu. xóa sổ công sự, trận địa pháo và cụm quân đông; bắn chậm và bó tay khi bị áp sát.</t>
        </is>
      </c>
      <c r="E26" s="39" t="inlineStr">
        <is>
          <t>Xe 8 bánh dài, một tên lửa lớn nằm trong vỏ trên sàn, dựng thẳng đứng khi phóng. Từ trên xuống: tên lửa dài giữa thân. Kích thước đề xuất khoảng 10.5 × 2.5 × 2.6 m (dài × rộng × cao; 0,8 × mẫu thật 9K720 Iskander). Vũ khí nhìn thấy: 9M723 Iskander (700 kg), M2 Browning 12.7 mm. Vạch màu phe trên nóc và hai hông; không dùng phù hiệu, cờ hay logo quốc gia thật.</t>
        </is>
      </c>
      <c r="F26" s="39" t="inlineStr">
        <is>
          <t>thẻ cao cấp, mua 5.000 xu</t>
        </is>
      </c>
      <c r="G26" s="39" t="inlineStr">
        <is>
          <t>Chương 8</t>
        </is>
      </c>
      <c r="H26" s="39" t="inlineStr">
        <is>
          <t>1.500 xu</t>
        </is>
      </c>
      <c r="I26" s="42" t="n">
        <v>11</v>
      </c>
      <c r="J26" s="42" t="n">
        <v>990</v>
      </c>
      <c r="K26" s="39" t="inlineStr">
        <is>
          <t>1/0/0/0</t>
        </is>
      </c>
      <c r="L26" s="42" t="n">
        <v>6.5</v>
      </c>
      <c r="M26" s="42" t="n">
        <v>26</v>
      </c>
      <c r="N26" s="42" t="n">
        <v>86</v>
      </c>
      <c r="O26" s="42" t="n">
        <v>54</v>
      </c>
      <c r="P26" s="42" t="n">
        <v>16</v>
      </c>
      <c r="Q26" s="42" t="n">
        <v>77</v>
      </c>
      <c r="R26" s="50">
        <f>IFERROR(O26/I26,"")</f>
        <v/>
      </c>
      <c r="S26" s="50">
        <f>IFERROR(J26/I26,"")</f>
        <v/>
      </c>
      <c r="T26" s="42" t="n">
        <v>332</v>
      </c>
      <c r="U26" s="42" t="n">
        <v>309</v>
      </c>
      <c r="V26" s="42" t="n">
        <v>545</v>
      </c>
      <c r="W26" s="42" t="n">
        <v>0</v>
      </c>
      <c r="X26" s="42" t="n">
        <v>361</v>
      </c>
      <c r="Y26" s="39" t="inlineStr">
        <is>
          <t>82%</t>
        </is>
      </c>
      <c r="Z26" s="42" t="n">
        <v>90</v>
      </c>
      <c r="AA26" s="42" t="n">
        <v>0.95</v>
      </c>
      <c r="AB26" s="39" t="inlineStr">
        <is>
          <t>9K720 Iskander (9M723) — Xe phóng tên lửa đạn đạo, dựng đứng tên lửa khi phóng</t>
        </is>
      </c>
      <c r="AC26" s="39" t="inlineStr">
        <is>
          <t>giáp 0, giáp 1, giáp 2, giáp 3, giáp 4, công trình</t>
        </is>
      </c>
      <c r="AD26" s="39" t="inlineStr">
        <is>
          <t>súng máy hạng nặng, lửa, pháo tự động, nổ mạnh, năng lượng, đánh nóc, nổ lõm, pháo xe tăng</t>
        </is>
      </c>
      <c r="AE26" s="39" t="inlineStr">
        <is>
          <t>dừng lại rồi phóng một cặp tên lửa đạn đạo vào mục tiêu cách 40–180 m, mỗi quả nổ cực lớn; hai cặp rồi nạp lại lâu.</t>
        </is>
      </c>
      <c r="AF26" s="39" t="inlineStr">
        <is>
          <t>Dừng lại mới bắn, từ 40-180 m; cần ta nhìn thấy mục tiêu (tự nó hoặc quân bạn); Hết đạn thì nạp lại tại chỗ, hoặc tới Xe tiếp đạn hay về nhà khi nhanh hơn; Pháo phản lực hạng nặng</t>
        </is>
      </c>
      <c r="AG26" s="39" t="inlineStr">
        <is>
          <t>9M723 Iskander (700 kg) [Nổ mạnh, xuyên 4, tên lửa đạn đạo đánh nóc] nổ lan/phát · 630 · tầm loạt 2, hồi 21.21 s · 180 m (tối thiểu 40)
M2 Browning 12.7 mm [Động năng, xuyên 1, đạn súng (cỡ lớn)] 10/phát · băng 28 viên, 9 viên/s, thay 2.02 s · tầm 15 m · Tất cả</t>
        </is>
      </c>
      <c r="AH26" s="39" t="inlineStr">
        <is>
          <t>• Vũ khí: Iskander: tốc độ 50 (bay 3,6 s) · nổ lan 10 m</t>
        </is>
      </c>
      <c r="AI26" s="39" t="inlineStr">
        <is>
          <t>• Vũ khí: Iskander: Tên lửa đạn đạo phải là thứ nhanh nhất; vẫn đủ thời gian cho PAC-3 đánh chặn.</t>
        </is>
      </c>
      <c r="AJ26" s="48" t="inlineStr">
        <is>
          <t>Trung</t>
        </is>
      </c>
    </row>
    <row r="27" ht="42.75" customHeight="1" s="32">
      <c r="A27" s="41" t="inlineStr">
        <is>
          <t>heavy_rocket_artillery</t>
        </is>
      </c>
      <c r="B27" s="41" t="inlineStr">
        <is>
          <t>Pháo phản lực hạng nặng</t>
        </is>
      </c>
      <c r="C27" s="41" t="inlineStr">
        <is>
          <t>Pháo binh</t>
        </is>
      </c>
      <c r="D27" s="41" t="inlineStr">
        <is>
          <t>dừng lại rồi phóng 12 rốc-két 300 mm vào vùng cách 30–140 m, sức nổ lớn; ba loạt rồi nạp lại lâu tại chỗ. đánh công sự, pháo binh và cụm thiết giáp từ bên kia bản đồ; không có khả năng tự vệ khi bị áp sát.</t>
        </is>
      </c>
      <c r="E27" s="41" t="inlineStr">
        <is>
          <t>Xe 8 bánh dài, khối 12 ống phóng cỡ lớn (300 mm) phía sau. Từ trên xuống: 12 ống tròn to xếp 3 hàng. Kích thước đề xuất khoảng 9.7 × 2.4 × 2.4 m (dài × rộng × cao; 0,8 × mẫu thật BM-30 Smerch). Vũ khí nhìn thấy: 9M55 Smerch 300 mm, M2 Browning 12.7 mm. Vạch màu phe trên nóc và hai hông; không dùng phù hiệu, cờ hay logo quốc gia thật.</t>
        </is>
      </c>
      <c r="F27" s="41" t="inlineStr">
        <is>
          <t>thắng màn mở khóa trong chiến dịch, hoặc mua sớm 1.950 xu</t>
        </is>
      </c>
      <c r="G27" s="41" t="inlineStr">
        <is>
          <t>Chương 8</t>
        </is>
      </c>
      <c r="H27" s="41" t="inlineStr">
        <is>
          <t>1.500 xu</t>
        </is>
      </c>
      <c r="I27" s="43" t="n">
        <v>11</v>
      </c>
      <c r="J27" s="43" t="n">
        <v>924</v>
      </c>
      <c r="K27" s="41" t="inlineStr">
        <is>
          <t>1/0/0/0</t>
        </is>
      </c>
      <c r="L27" s="43" t="n">
        <v>6.5</v>
      </c>
      <c r="M27" s="43" t="n">
        <v>30</v>
      </c>
      <c r="N27" s="43" t="n">
        <v>110</v>
      </c>
      <c r="O27" s="43" t="n">
        <v>78</v>
      </c>
      <c r="P27" s="43" t="n">
        <v>16</v>
      </c>
      <c r="Q27" s="43" t="n">
        <v>113</v>
      </c>
      <c r="R27" s="51">
        <f>IFERROR(O27/I27,"")</f>
        <v/>
      </c>
      <c r="S27" s="51">
        <f>IFERROR(J27/I27,"")</f>
        <v/>
      </c>
      <c r="T27" s="43" t="n">
        <v>315</v>
      </c>
      <c r="U27" s="43" t="n">
        <v>401</v>
      </c>
      <c r="V27" s="43" t="n">
        <v>642</v>
      </c>
      <c r="W27" s="43" t="n">
        <v>0</v>
      </c>
      <c r="X27" s="43" t="n">
        <v>430</v>
      </c>
      <c r="Y27" s="41" t="inlineStr">
        <is>
          <t>82%</t>
        </is>
      </c>
      <c r="Z27" s="43" t="n">
        <v>90</v>
      </c>
      <c r="AA27" s="43" t="n">
        <v>1.16</v>
      </c>
      <c r="AB27" s="41" t="inlineStr">
        <is>
          <t>BM-30 Smerch (9M55 300 mm) — Xe phóng rốc-két 300 mm 8x8, 12 ống</t>
        </is>
      </c>
      <c r="AC27" s="41" t="inlineStr">
        <is>
          <t>giáp 0, giáp 1, giáp 2, giáp 3, công trình</t>
        </is>
      </c>
      <c r="AD27" s="41" t="inlineStr">
        <is>
          <t>súng máy hạng nặng, lửa, pháo tự động, nổ mạnh, năng lượng, đánh nóc, nổ lõm, pháo xe tăng</t>
        </is>
      </c>
      <c r="AE27" s="41" t="inlineStr">
        <is>
          <t>dừng lại rồi phóng 12 rốc-két 300 mm vào vùng cách 30–140 m, sức nổ lớn; ba loạt rồi nạp lại lâu tại chỗ.</t>
        </is>
      </c>
      <c r="AF27" s="41" t="inlineStr">
        <is>
          <t>Dừng lại mới bắn, từ 30-140 m; cần ta nhìn thấy mục tiêu (tự nó hoặc quân bạn); Hết đạn thì nạp lại tại chỗ, hoặc tới Xe tiếp đạn hay về nhà khi nhanh hơn; Tăng công thành</t>
        </is>
      </c>
      <c r="AG27" s="41" t="inlineStr">
        <is>
          <t>9M55 Smerch 300 mm [Nổ mạnh, xuyên 3, rốc-két (cỡ lớn) đánh nóc] nổ lan/phát · 145 · tầm loạt 11, hồi 15.76 s · 140 m (tối thiểu 30)
M2 Browning 12.7 mm [Động năng, xuyên 1, đạn súng (cỡ lớn)] 10/phát · băng 28 viên, 9 viên/s, thay 2.02 s · tầm 15 m · Tất cả</t>
        </is>
      </c>
      <c r="AH27" s="41" t="inlineStr">
        <is>
          <t>• Vũ khí: Smerch 300 mm: tốc độ 55 (bay 2,5 s)
• Giá: 12 CP</t>
        </is>
      </c>
      <c r="AI27" s="41" t="inlineStr">
        <is>
          <t>• Vũ khí: Smerch 300 mm: Rốc-két cỡ lớn bay nhanh và xa nhất; hiện chậm ngược.
• Giá: Mạnh hơn đạn đạo cùng giá.</t>
        </is>
      </c>
      <c r="AJ27" s="49" t="inlineStr">
        <is>
          <t>Thấp</t>
        </is>
      </c>
    </row>
    <row r="28" ht="116.25" customHeight="1" s="32">
      <c r="A28" s="39" t="inlineStr">
        <is>
          <t>siege_tank</t>
        </is>
      </c>
      <c r="B28" s="39" t="inlineStr">
        <is>
          <t>Tăng công thành</t>
        </is>
      </c>
      <c r="C28" s="39" t="inlineStr">
        <is>
          <t>Pháo binh</t>
        </is>
      </c>
      <c r="D28" s="39" t="inlineStr">
        <is>
          <t>hai chế độ. Khi di chuyển là một xe tăng có pháo 105 mm bắn khi đang chạy. Dừng lại khi có địch trong tầm, hoặc khi canh giữ, nó nã công sự, tuyến xe tăng và đội hình dày từ ngoài tầm của chúng; sợ xe nhanh lọt vào trong tầm tối thiểu, máy bay và bị đánh vào</t>
        </is>
      </c>
      <c r="E28" s="39" t="inlineStr">
        <is>
          <t>Khung xích, cối 240 mm nòng rất to và ngắn đặt ở đuôi, càng chống hạ xuống khi bắn, thêm pháo 105 mm phụ. Từ trên xuống: nòng cối to tròn, càng chống ở sau. Kích thước đề xuất khoảng 6.8 × 2.6 × 2.6 m (dài × rộng × cao; 0,8 × mẫu thật 2S4 Tyulpan). Vũ khí nhìn thấy: 2B8 240 mm (siege tank), L7 105 mm (siege tank), M2 Browning 12.7 mm. Vạch màu phe trên nóc và hai hông; không dùng phù hiệu, cờ hay logo quốc gia thật.</t>
        </is>
      </c>
      <c r="F28" s="39" t="inlineStr">
        <is>
          <t>thắng màn mở khóa trong chiến dịch, hoặc mua sớm 2.100 xu</t>
        </is>
      </c>
      <c r="G28" s="39" t="inlineStr">
        <is>
          <t>Chương 7</t>
        </is>
      </c>
      <c r="H28" s="39" t="inlineStr">
        <is>
          <t>1.500 xu</t>
        </is>
      </c>
      <c r="I28" s="42" t="n">
        <v>12</v>
      </c>
      <c r="J28" s="42" t="n">
        <v>3300</v>
      </c>
      <c r="K28" s="39" t="inlineStr">
        <is>
          <t>3/2/1/1</t>
        </is>
      </c>
      <c r="L28" s="42" t="n">
        <v>5.5</v>
      </c>
      <c r="M28" s="42" t="n">
        <v>38</v>
      </c>
      <c r="N28" s="42" t="n">
        <v>144</v>
      </c>
      <c r="O28" s="42" t="n">
        <v>96</v>
      </c>
      <c r="P28" s="42" t="n">
        <v>16</v>
      </c>
      <c r="Q28" s="42" t="n">
        <v>173</v>
      </c>
      <c r="R28" s="50">
        <f>IFERROR(O28/I28,"")</f>
        <v/>
      </c>
      <c r="S28" s="50">
        <f>IFERROR(J28/I28,"")</f>
        <v/>
      </c>
      <c r="T28" s="42" t="n">
        <v>206</v>
      </c>
      <c r="U28" s="42" t="n">
        <v>216</v>
      </c>
      <c r="V28" s="42" t="n">
        <v>820</v>
      </c>
      <c r="W28" s="42" t="n">
        <v>6</v>
      </c>
      <c r="X28" s="42" t="n">
        <v>241</v>
      </c>
      <c r="Y28" s="39" t="inlineStr">
        <is>
          <t>79%</t>
        </is>
      </c>
      <c r="Z28" s="42" t="n">
        <v>83</v>
      </c>
      <c r="AA28" s="42" t="n">
        <v>1.05</v>
      </c>
      <c r="AB28" s="39" t="inlineStr">
        <is>
          <t>2S4 Tyulpan (2B8 240 mm), M110 (càng chống), 2S7 Pion · Siege Tank Crucio (StarCraft II) — Xe tăng công thành hai chế độ, dựng</t>
        </is>
      </c>
      <c r="AC28" s="39" t="inlineStr">
        <is>
          <t>giáp 0, giáp 1, giáp 2, giáp 3, giáp 4, công trình</t>
        </is>
      </c>
      <c r="AD28" s="39" t="inlineStr">
        <is>
          <t>nổ mạnh, đánh nóc, nổ lõm, pháo xe tăng</t>
        </is>
      </c>
      <c r="AE28" s="39" t="inlineStr">
        <is>
          <t>hai chế độ. Khi di chuyển là một xe tăng có pháo 105 mm bắn khi đang chạy. Dừng lại khi có địch trong tầm, hoặc khi canh giữ, nó</t>
        </is>
      </c>
      <c r="AF28" s="39" t="inlineStr">
        <is>
          <t>Dừng lại mới bắn, từ 16-70 m; cần ta nhìn thấy mục tiêu (tự nó hoặc quân bạn); Ưu tiên công sự, tăng hạng nặng, xe tăng; Hết đạn thì nạp lại tại chỗ, hoặc tới Xe tiếp đạn hay về nhà khi nhanh hơn; Chế độ công thành: dừng lại khi có địch trong tầm cối, hoặc khi canh giữ, nó vào thế trong 2,5; giây (không bắn) rồi chỉ cối bắn; thu lại (2,5 giây) để đi tiếp, hoặc khi địch lọt vào trong tầm tố; thiểu của cối mà không còn gì xa hơn để nã; Chế độ xe tăng: pháo trên tháp bắn khi đang chạy; cối chỉ bắn khi đã vào thế; Phòng không (6)</t>
        </is>
      </c>
      <c r="AG28" s="39" t="inlineStr">
        <is>
          <t>2B8 240 mm (siege tank) [Nổ mạnh, xuyên 4, đạn pháo nổ mạnh (cối) đánh nóc] nổ lan/phát · 450 · tầm hồi 7.619 s · 70 m (tối thiểu 16)
L7 105 mm (siege tank) [Động năng, xuyên 3, đạn pháo động năng nổ lan] 212/phát · hồi 4.6 s · tầm 34 m · Mặt đất
M2 Browning 12.7 mm [Động năng, xuyên 1, đạn súng (cỡ lớn)] 10/phát · băng 28 viên, 9 viên/s, thay 2.02 s · tầm 21 m · Tất cả</t>
        </is>
      </c>
      <c r="AH28" s="39" t="inlineStr">
        <is>
          <t>Giữ.</t>
        </is>
      </c>
      <c r="AI28" s="39" t="inlineStr">
        <is>
          <t>Giá trị thực chiến nằm trong khoảng mục tiêu (hiệu quả 1.05 × trung vị vai trò).</t>
        </is>
      </c>
      <c r="AJ28" s="49" t="inlineStr">
        <is>
          <t>Thấp</t>
        </is>
      </c>
    </row>
    <row r="29" ht="42.75" customHeight="1" s="32">
      <c r="A29" s="41" t="inlineStr">
        <is>
          <t>zu23_technical</t>
        </is>
      </c>
      <c r="B29" s="41" t="inlineStr">
        <is>
          <t>Bán tải ZU-23</t>
        </is>
      </c>
      <c r="C29" s="41" t="inlineStr">
        <is>
          <t>Phòng không</t>
        </is>
      </c>
      <c r="D29" s="41" t="inlineStr">
        <is>
          <t>pháo đôi 23 mm cao xạ vừa chạy vừa bắn máy bay và xe nhẹ (32 m); chiếm cứ điểm nhanh gấp đôi. xé nát trực thăng, drone và trinh sát; xe tăng và xe bọc thép hạ nó trong vài giây.</t>
        </is>
      </c>
      <c r="E29" s="41" t="inlineStr">
        <is>
          <t>Bán tải dân sự, pháo ZU-23 hai nòng đặt trên thùng sau. Từ trên xuống: hai nòng song song dài. Kích thước đề xuất khoảng 4.2 × 1.4 × 1.8 m (dài × rộng × cao; 0,8 × mẫu thật Hilux + ZU-23-2). Vũ khí nhìn thấy: ZU-23-2 23 mm. Vạch màu phe trên nóc và hai hông; không dùng phù hiệu, cờ hay logo quốc gia thật.</t>
        </is>
      </c>
      <c r="F29" s="41" t="inlineStr">
        <is>
          <t>thắng màn mở khóa trong chiến dịch, hoặc mua sớm 750 xu</t>
        </is>
      </c>
      <c r="G29" s="41" t="inlineStr">
        <is>
          <t>Chương 1</t>
        </is>
      </c>
      <c r="H29" s="41" t="inlineStr">
        <is>
          <t>300 xu</t>
        </is>
      </c>
      <c r="I29" s="43" t="n">
        <v>3</v>
      </c>
      <c r="J29" s="43" t="n">
        <v>462</v>
      </c>
      <c r="K29" s="41" t="inlineStr">
        <is>
          <t>cấp 0 (Không giáp)</t>
        </is>
      </c>
      <c r="L29" s="43" t="n">
        <v>12</v>
      </c>
      <c r="M29" s="43" t="n">
        <v>40</v>
      </c>
      <c r="N29" s="43" t="n">
        <v>61</v>
      </c>
      <c r="O29" s="43" t="n">
        <v>18</v>
      </c>
      <c r="P29" s="43" t="n">
        <v>186</v>
      </c>
      <c r="Q29" s="43" t="n">
        <v>7</v>
      </c>
      <c r="R29" s="51">
        <f>IFERROR(O29/I29,"")</f>
        <v/>
      </c>
      <c r="S29" s="51">
        <f>IFERROR(J29/I29,"")</f>
        <v/>
      </c>
      <c r="T29" s="43" t="n">
        <v>145</v>
      </c>
      <c r="U29" s="43" t="n">
        <v>35</v>
      </c>
      <c r="V29" s="43" t="n">
        <v>4</v>
      </c>
      <c r="W29" s="43" t="n">
        <v>62</v>
      </c>
      <c r="X29" s="43" t="n">
        <v>53</v>
      </c>
      <c r="Y29" s="41" t="inlineStr">
        <is>
          <t>59%</t>
        </is>
      </c>
      <c r="Z29" s="43" t="n">
        <v>17</v>
      </c>
      <c r="AA29" s="43" t="n">
        <v>0.24</v>
      </c>
      <c r="AB29" s="41" t="inlineStr">
        <is>
          <t>Toyota Hilux, ZU-23-2 23 mm — Xe bán tải gắn pháo phòng không hai nòng ZU-23-2</t>
        </is>
      </c>
      <c r="AC29" s="41" t="inlineStr">
        <is>
          <t>trên không</t>
        </is>
      </c>
      <c r="AD29" s="41" t="inlineStr">
        <is>
          <t>súng bộ binh, súng máy hạng nặng, lửa, mảnh, pháo tự động, nổ mạnh, năng lượng, nổ lõm, pháo xe tăng</t>
        </is>
      </c>
      <c r="AE29" s="41" t="inlineStr">
        <is>
          <t>pháo đôi 23 mm cao xạ vừa chạy vừa bắn máy bay và xe nhẹ (32 m); chiếm cứ điểm nhanh gấp đôi.</t>
        </is>
      </c>
      <c r="AF29" s="41" t="inlineStr">
        <is>
          <t>Vừa chạy vừa bắn; Bắn hết 57 viên thì thay băng; Xe phòng không</t>
        </is>
      </c>
      <c r="AG29" s="41" t="inlineStr">
        <is>
          <t>ZU-23-2 23 mm [Mảnh, xuyên 1, đạn nổ trên không] 15/phát · băng 57 viên, 11 viên/s, thay 1 s · tầm 32 m · Tất cả</t>
        </is>
      </c>
      <c r="AH29" s="41" t="inlineStr">
        <is>
          <t>• Vũ khí: ZU-23-2: 7/phát · 25 viên/s · tầm 38 m (giữ DPS)</t>
        </is>
      </c>
      <c r="AI29" s="41" t="inlineStr">
        <is>
          <t>• Vũ khí: ZU-23-2: Hiệu quả chỉ 0,24 lần trung vị phòng không; tầm quá ngắn nên máy bay bắn trước.</t>
        </is>
      </c>
      <c r="AJ29" s="47" t="inlineStr">
        <is>
          <t>Cao</t>
        </is>
      </c>
    </row>
    <row r="30" ht="53.25" customHeight="1" s="32">
      <c r="A30" s="39" t="inlineStr">
        <is>
          <t>aa_vehicle</t>
        </is>
      </c>
      <c r="B30" s="39" t="inlineStr">
        <is>
          <t>Xe phòng không</t>
        </is>
      </c>
      <c r="C30" s="39" t="inlineStr">
        <is>
          <t>Phòng không</t>
        </is>
      </c>
      <c r="D30" s="39" t="inlineStr">
        <is>
          <t>pháo đôi 35 mm cao xạ (36 m) bắn khi đang chạy, kèm tên lửa tầm ngắn (44 m) chỉ nhắm máy bay. xé nát trực thăng, drone và máy bay phản lực; đạn cao xạ gần như vô hại với giáp nên thua xe tăng và xe bọc thép.</t>
        </is>
      </c>
      <c r="E30" s="39" t="inlineStr">
        <is>
          <t>Khung xích, tháp vuông với 2 pháo 35 mm hai bên tháp, radar đĩa tròn quay phía sau tháp. Từ trên xuống: 2 nòng hai bên, đĩa radar. Kích thước đề xuất khoảng 6.2 × 3.0 × 2.4 m (dài × rộng × cao; 0,8 × mẫu thật Flakpanzer Gepard). Vũ khí nhìn thấy: Oerlikon KDA 35 mm (Gepard), Starstreak / Stinger SHORAD. Vạch màu phe trên nóc và hai hông; không dùng phù hiệu, cờ hay logo quốc gia thật.</t>
        </is>
      </c>
      <c r="F30" s="39" t="inlineStr">
        <is>
          <t>có sẵn từ đầu</t>
        </is>
      </c>
      <c r="G30" s="39" t="inlineStr">
        <is>
          <t>Chương 2</t>
        </is>
      </c>
      <c r="H30" s="39" t="inlineStr">
        <is>
          <t>300 xu</t>
        </is>
      </c>
      <c r="I30" s="42" t="n">
        <v>4</v>
      </c>
      <c r="J30" s="42" t="n">
        <v>770</v>
      </c>
      <c r="K30" s="39" t="inlineStr">
        <is>
          <t>1/0/0/0</t>
        </is>
      </c>
      <c r="L30" s="42" t="n">
        <v>8</v>
      </c>
      <c r="M30" s="42" t="n">
        <v>42</v>
      </c>
      <c r="N30" s="42" t="n">
        <v>48</v>
      </c>
      <c r="O30" s="42" t="n">
        <v>24</v>
      </c>
      <c r="P30" s="42" t="n">
        <v>174</v>
      </c>
      <c r="Q30" s="42" t="n">
        <v>8</v>
      </c>
      <c r="R30" s="50">
        <f>IFERROR(O30/I30,"")</f>
        <v/>
      </c>
      <c r="S30" s="50">
        <f>IFERROR(J30/I30,"")</f>
        <v/>
      </c>
      <c r="T30" s="42" t="n">
        <v>167</v>
      </c>
      <c r="U30" s="42" t="n">
        <v>109</v>
      </c>
      <c r="V30" s="42" t="n">
        <v>18</v>
      </c>
      <c r="W30" s="42" t="n">
        <v>226</v>
      </c>
      <c r="X30" s="42" t="n">
        <v>130</v>
      </c>
      <c r="Y30" s="39" t="inlineStr">
        <is>
          <t>62%</t>
        </is>
      </c>
      <c r="Z30" s="42" t="n">
        <v>35</v>
      </c>
      <c r="AA30" s="42" t="n">
        <v>0.86</v>
      </c>
      <c r="AB30" s="39" t="inlineStr">
        <is>
          <t>Flakpanzer Gepard (Oerlikon KDA 35 mm), Stinger / Starstreak — Pháo phòng không tự hành hai nòng 35 mm có radar</t>
        </is>
      </c>
      <c r="AC30" s="39" t="inlineStr">
        <is>
          <t>giáp 0, trên không</t>
        </is>
      </c>
      <c r="AD30" s="39" t="inlineStr">
        <is>
          <t>súng máy hạng nặng, lửa, pháo tự động, nổ mạnh, năng lượng, đánh nóc, nổ lõm, pháo xe tăng</t>
        </is>
      </c>
      <c r="AE30" s="39" t="inlineStr">
        <is>
          <t>pháo đôi 35 mm cao xạ (36 m) bắn khi đang chạy, kèm tên lửa tầm ngắn (44 m) chỉ nhắm máy bay.</t>
        </is>
      </c>
      <c r="AF30" s="39" t="inlineStr">
        <is>
          <t>Vừa chạy vừa bắn; Bắn hết 22 viên thì thay băng; Tên lửa phòng không</t>
        </is>
      </c>
      <c r="AG30" s="39" t="inlineStr">
        <is>
          <t>Oerlikon KDA 35 mm (Gepard) [Mảnh, xuyên 2, đạn nổ trên không nổ lan] 26/phát · băng 22 viên, 4 viên/s, thay 1 s · tầm 36 m · Tất cả
Starstreak / Stinger SHORAD [Mảnh, xuyên 2, tên lửa phòng không dẫn đường] nổ lan/phát · 170 · tầm hồi 4.452 s · 44 m</t>
        </is>
      </c>
      <c r="AH30" s="39" t="inlineStr">
        <is>
          <t>• Vũ khí: Stinger: tốc độ 42 (bay 1,05 s)</t>
        </is>
      </c>
      <c r="AI30" s="39" t="inlineStr">
        <is>
          <t>• Vũ khí: Stinger: Tên lửa phải nhanh hơn mục tiêu (cường kích bay 32 m/s); hiện chậm hơn.</t>
        </is>
      </c>
      <c r="AJ30" s="48" t="inlineStr">
        <is>
          <t>Trung</t>
        </is>
      </c>
    </row>
    <row r="31" ht="42.75" customHeight="1" s="32">
      <c r="A31" s="41" t="inlineStr">
        <is>
          <t>sam_launcher</t>
        </is>
      </c>
      <c r="B31" s="41" t="inlineStr">
        <is>
          <t>Tên lửa phòng không</t>
        </is>
      </c>
      <c r="C31" s="41" t="inlineStr">
        <is>
          <t>Phòng không</t>
        </is>
      </c>
      <c r="D31" s="41" t="inlineStr">
        <is>
          <t>dừng lại rồi phóng tên lửa từng cặp vào máy bay cách tới 55 m; chỉ có súng máy nóc để đánh mặt đất. bắn rụng trực thăng, máy bay phản lực và oanh tạc cơ từ xa, kể cả trực thăng tấn công bắn từ xa; xe tăng, xe bọc thép áp sát là nó</t>
        </is>
      </c>
      <c r="E31" s="41" t="inlineStr">
        <is>
          <t>Khung xích, bệ phóng xoay mang 4 tên lửa lớn chĩa lên, radar hình trụ phía trước bệ. Từ trên xuống: 4 tên lửa dài song song. Kích thước đề xuất khoảng 7.4 × 2.6 × 3.0 m (dài × rộng × cao; 0,8 × mẫu thật 9A310 Buk TELAR). Vũ khí nhìn thấy: 9M317 Buk, M2 Browning 12.7 mm. Vạch màu phe trên nóc và hai hông; không dùng phù hiệu, cờ hay logo quốc gia thật.</t>
        </is>
      </c>
      <c r="F31" s="41" t="inlineStr">
        <is>
          <t>thắng màn mở khóa trong chiến dịch, hoặc mua sớm 1.050 xu</t>
        </is>
      </c>
      <c r="G31" s="41" t="inlineStr">
        <is>
          <t>Chương 3</t>
        </is>
      </c>
      <c r="H31" s="41" t="inlineStr">
        <is>
          <t>300 xu</t>
        </is>
      </c>
      <c r="I31" s="43" t="n">
        <v>5</v>
      </c>
      <c r="J31" s="43" t="n">
        <v>1760</v>
      </c>
      <c r="K31" s="41" t="inlineStr">
        <is>
          <t>1/0/0/0</t>
        </is>
      </c>
      <c r="L31" s="43" t="n">
        <v>6.5</v>
      </c>
      <c r="M31" s="43" t="n">
        <v>60</v>
      </c>
      <c r="N31" s="43" t="n">
        <v>46</v>
      </c>
      <c r="O31" s="43" t="n">
        <v>13</v>
      </c>
      <c r="P31" s="43" t="n">
        <v>313</v>
      </c>
      <c r="Q31" s="43" t="n">
        <v>16</v>
      </c>
      <c r="R31" s="51">
        <f>IFERROR(O31/I31,"")</f>
        <v/>
      </c>
      <c r="S31" s="51">
        <f>IFERROR(J31/I31,"")</f>
        <v/>
      </c>
      <c r="T31" s="43" t="n">
        <v>0</v>
      </c>
      <c r="U31" s="43" t="n">
        <v>0</v>
      </c>
      <c r="V31" s="43" t="n">
        <v>28</v>
      </c>
      <c r="W31" s="43" t="n">
        <v>423</v>
      </c>
      <c r="X31" s="43" t="n">
        <v>0</v>
      </c>
      <c r="Y31" s="41" t="inlineStr">
        <is>
          <t>15%</t>
        </is>
      </c>
      <c r="Z31" s="43" t="n">
        <v>74</v>
      </c>
      <c r="AA31" s="43" t="n">
        <v>1.61</v>
      </c>
      <c r="AB31" s="41" t="inlineStr">
        <is>
          <t>9K37 Buk (9A310), 9M317 — Bệ phóng tên lửa phòng không bánh xích, ray hướng lên mục tiêu</t>
        </is>
      </c>
      <c r="AC31" s="41" t="inlineStr">
        <is>
          <t>giáp 0, giáp 1, trên không</t>
        </is>
      </c>
      <c r="AD31" s="41" t="inlineStr">
        <is>
          <t>súng máy hạng nặng, lửa, pháo tự động, nổ mạnh, năng lượng, đánh nóc, nổ lõm, pháo xe tăng</t>
        </is>
      </c>
      <c r="AE31" s="41" t="inlineStr">
        <is>
          <t>dừng lại rồi phóng tên lửa từng cặp vào máy bay cách tới 55 m; chỉ có súng máy nóc để đánh mặt đất.</t>
        </is>
      </c>
      <c r="AF31" s="41" t="inlineStr">
        <is>
          <t>Dừng lại mới bắn; Ưu tiên máy bay; Pháo tên lửa phòng không</t>
        </is>
      </c>
      <c r="AG31" s="41" t="inlineStr">
        <is>
          <t>9M317 Buk [Mảnh, xuyên 3, tên lửa phòng không dẫn đường] nổ lan/phát · 320 · tầm loạt 2, hồi 2.3 s · 55 m
M2 Browning 12.7 mm [Động năng, xuyên 1, đạn súng (cỡ lớn)] 10/phát · băng 28 viên, 9 viên/s, thay 2.02 s · tầm 18 m · Tất cả</t>
        </is>
      </c>
      <c r="AH31" s="41" t="inlineStr">
        <is>
          <t>• Giá: 7 CP
• Máu: 1.300
• Vũ khí: 9M317 Buk: tốc độ 50 (bay 1,1 s)</t>
        </is>
      </c>
      <c r="AI31" s="41" t="inlineStr">
        <is>
          <t>• Giá: Hiệu quả cao nhất nhóm phòng không di động; Buk ngoài đời đắt hơn Gepard nhiều.
• Máu: Cao hơn cả Pantsir (1.188) dù là xe phóng tên lửa ít giáp.
• Vũ khí: 9M317 Buk: Tên lửa không đuổi kịp máy bay nhanh.</t>
        </is>
      </c>
      <c r="AJ31" s="47" t="inlineStr">
        <is>
          <t>Cao</t>
        </is>
      </c>
    </row>
    <row r="32" ht="53.25" customHeight="1" s="32">
      <c r="A32" s="39" t="inlineStr">
        <is>
          <t>heavy_aa</t>
        </is>
      </c>
      <c r="B32" s="39" t="inlineStr">
        <is>
          <t>Pháo tên lửa phòng không</t>
        </is>
      </c>
      <c r="C32" s="39" t="inlineStr">
        <is>
          <t>Phòng không</t>
        </is>
      </c>
      <c r="D32" s="39" t="inlineStr">
        <is>
          <t>bốn nòng 30 mm cao xạ (42 m) và tên lửa phòng không (44 m), bắn cả khi đang chạy; tầm nhìn 60 m thấy máy bay từ sớm. lá chắn di động tốt nhất trước trực thăng và máy bay; trên mặt đất thua xe tăng và xe bọc thép.</t>
        </is>
      </c>
      <c r="E32" s="39" t="inlineStr">
        <is>
          <t>Xe tải 8 bánh, cụm tháp mang 2 pháo 30 mm và 12 ống tên lửa quanh, radar tròn trên đỉnh. Từ trên xuống: tháp có ống xếp hai bên. Kích thước đề xuất khoảng 9.6 × 2.6 × 2.8 m (dài × rộng × cao; 0,8 × mẫu thật Pantsir-S1 (KamAZ)). Vũ khí nhìn thấy: 2A38 30 mm (twin), Starstreak / Stinger SHORAD. Vạch màu phe trên nóc và hai hông; không dùng phù hiệu, cờ hay logo quốc gia thật.</t>
        </is>
      </c>
      <c r="F32" s="39" t="inlineStr">
        <is>
          <t>thắng màn mở khóa trong chiến dịch, hoặc mua sớm 1.200 xu</t>
        </is>
      </c>
      <c r="G32" s="39" t="inlineStr">
        <is>
          <t>Chương 4</t>
        </is>
      </c>
      <c r="H32" s="39" t="inlineStr">
        <is>
          <t>800 xu</t>
        </is>
      </c>
      <c r="I32" s="42" t="n">
        <v>6</v>
      </c>
      <c r="J32" s="42" t="n">
        <v>1188</v>
      </c>
      <c r="K32" s="39" t="inlineStr">
        <is>
          <t>1/0/0/0</t>
        </is>
      </c>
      <c r="L32" s="42" t="n">
        <v>8.5</v>
      </c>
      <c r="M32" s="42" t="n">
        <v>60</v>
      </c>
      <c r="N32" s="42" t="n">
        <v>126</v>
      </c>
      <c r="O32" s="42" t="n">
        <v>63</v>
      </c>
      <c r="P32" s="42" t="n">
        <v>378</v>
      </c>
      <c r="Q32" s="42" t="n">
        <v>21</v>
      </c>
      <c r="R32" s="50">
        <f>IFERROR(O32/I32,"")</f>
        <v/>
      </c>
      <c r="S32" s="50">
        <f>IFERROR(J32/I32,"")</f>
        <v/>
      </c>
      <c r="T32" s="42" t="n">
        <v>350</v>
      </c>
      <c r="U32" s="42" t="n">
        <v>181</v>
      </c>
      <c r="V32" s="42" t="n">
        <v>127</v>
      </c>
      <c r="W32" s="42" t="n">
        <v>300</v>
      </c>
      <c r="X32" s="42" t="n">
        <v>191</v>
      </c>
      <c r="Y32" s="39" t="inlineStr">
        <is>
          <t>75%</t>
        </is>
      </c>
      <c r="Z32" s="42" t="n">
        <v>45</v>
      </c>
      <c r="AA32" s="42" t="n">
        <v>1.14</v>
      </c>
      <c r="AB32" s="39" t="inlineStr">
        <is>
          <t>Pantsir-S1 (2A38 30 mm) — Xe tải phòng không kết hợp pháo và tên lửa</t>
        </is>
      </c>
      <c r="AC32" s="39" t="inlineStr">
        <is>
          <t>giáp 0, trên không</t>
        </is>
      </c>
      <c r="AD32" s="39" t="inlineStr">
        <is>
          <t>súng máy hạng nặng, lửa, pháo tự động, nổ mạnh, năng lượng, đánh nóc, nổ lõm, pháo xe tăng</t>
        </is>
      </c>
      <c r="AE32" s="39" t="inlineStr">
        <is>
          <t>bốn nòng 30 mm cao xạ (42 m) và tên lửa phòng không (44 m), bắn cả khi đang chạy; tầm nhìn 60 m thấy máy bay từ sớm.</t>
        </is>
      </c>
      <c r="AF32" s="39" t="inlineStr">
        <is>
          <t>Vừa chạy vừa bắn; Bắn hết 69 viên thì thay băng; La-de phòng không</t>
        </is>
      </c>
      <c r="AG32" s="39" t="inlineStr">
        <is>
          <t>2A38 30 mm (twin) [Mảnh, xuyên 2, đạn nổ trên không nổ lan] 22/phát · băng 69 viên, 14 viên/s, thay 1 s · tầm 42 m · Tất cả
Starstreak / Stinger SHORAD [Mảnh, xuyên 2, tên lửa phòng không dẫn đường] nổ lan/phát · 170 · tầm hồi 4.452 s · 44 m</t>
        </is>
      </c>
      <c r="AH32" s="39" t="inlineStr">
        <is>
          <t>• Vũ khí: 2A38 30 mm đôi: 7,5/phát · 40 viên/s (giữ DPS)
• Giá: 7 CP</t>
        </is>
      </c>
      <c r="AI32" s="39" t="inlineStr">
        <is>
          <t>• Vũ khí: 2A38 30 mm đôi: Tạo luồng đạn đặc trưng Pantsir.
• Giá: Pantsir đắt ngang hoặc hơn Buk ngoài đời, hiệu quả 1,14 × trung vị.</t>
        </is>
      </c>
      <c r="AJ32" s="48" t="inlineStr">
        <is>
          <t>Trung</t>
        </is>
      </c>
    </row>
    <row r="33" ht="42.75" customHeight="1" s="32">
      <c r="A33" s="41" t="inlineStr">
        <is>
          <t>iron_beam</t>
        </is>
      </c>
      <c r="B33" s="41" t="inlineStr">
        <is>
          <t>La-de phòng không</t>
        </is>
      </c>
      <c r="C33" s="41" t="inlineStr">
        <is>
          <t>Phòng không</t>
        </is>
      </c>
      <c r="D33" s="41" t="inlineStr">
        <is>
          <t>tia la-de đốt hạ một drone, tên lửa hoặc rốc-két (cả rốc-két pháo binh) nhắm vào trong vòng 30 m quanh nó, cứ 1,2 giây một quả; che cả cụm quân khỏi tên lửa chống tăng, Lancet, pháo phản lực và tên lửa trực thăng; đạn pháo và đạn súng bay qua được, và nó</t>
        </is>
      </c>
      <c r="E33" s="41" t="inlineStr">
        <is>
          <t>Xe tải mang tháp laser hình hộp có kính phát tròn lớn phía trước, tấm tản nhiệt. Từ trên xuống: kính tròn nổi bật. Kích thước đề xuất khoảng 8.0 × 2.0 × 2.8 m (dài × rộng × cao; 0,8 × mẫu thật Iron Beam (xe tải mang laser)). Vũ khí nhìn thấy: Iron Beam laser (100 kW) 100 mm. Vạch màu phe trên nóc và hai hông; không dùng phù hiệu, cờ hay logo quốc gia thật.</t>
        </is>
      </c>
      <c r="F33" s="41" t="inlineStr">
        <is>
          <t>thắng màn mở khóa trong chiến dịch, hoặc mua sớm 1.350 xu</t>
        </is>
      </c>
      <c r="G33" s="41" t="inlineStr">
        <is>
          <t>Chương 6</t>
        </is>
      </c>
      <c r="H33" s="41" t="inlineStr">
        <is>
          <t>800 xu</t>
        </is>
      </c>
      <c r="I33" s="43" t="n">
        <v>7</v>
      </c>
      <c r="J33" s="43" t="n">
        <v>990</v>
      </c>
      <c r="K33" s="41" t="inlineStr">
        <is>
          <t>1/0/0/0</t>
        </is>
      </c>
      <c r="L33" s="43" t="n">
        <v>7</v>
      </c>
      <c r="M33" s="43" t="n">
        <v>56</v>
      </c>
      <c r="N33" s="43" t="n">
        <v>0</v>
      </c>
      <c r="O33" s="43" t="n">
        <v>0</v>
      </c>
      <c r="P33" s="43" t="n">
        <v>214</v>
      </c>
      <c r="Q33" s="43" t="n">
        <v>0</v>
      </c>
      <c r="R33" s="51">
        <f>IFERROR(O33/I33,"")</f>
        <v/>
      </c>
      <c r="S33" s="51">
        <f>IFERROR(J33/I33,"")</f>
        <v/>
      </c>
      <c r="T33" s="43" t="n">
        <v>0</v>
      </c>
      <c r="U33" s="43" t="n">
        <v>0</v>
      </c>
      <c r="V33" s="43" t="n">
        <v>3</v>
      </c>
      <c r="W33" s="43" t="n">
        <v>87</v>
      </c>
      <c r="X33" s="43" t="n">
        <v>0</v>
      </c>
      <c r="Y33" s="41" t="inlineStr">
        <is>
          <t>8%</t>
        </is>
      </c>
      <c r="Z33" s="43" t="n">
        <v>68</v>
      </c>
      <c r="AA33" s="43" t="n">
        <v>0.33</v>
      </c>
      <c r="AB33" s="41" t="inlineStr">
        <is>
          <t>Rafael Iron Beam (laser 100 kW) — Xe laser phòng không năng lượng cao</t>
        </is>
      </c>
      <c r="AC33" s="41" t="inlineStr">
        <is>
          <t>trên không</t>
        </is>
      </c>
      <c r="AD33" s="41" t="inlineStr">
        <is>
          <t>súng máy hạng nặng, lửa, pháo tự động, nổ mạnh, năng lượng, đánh nóc, nổ lõm, pháo xe tăng</t>
        </is>
      </c>
      <c r="AE33" s="41" t="inlineStr">
        <is>
          <t>tia la-de đốt hạ một drone, tên lửa hoặc rốc-két (cả rốc-két pháo binh) nhắm vào trong vòng 30 m quanh nó, cứ 1,2 giây một quả;</t>
        </is>
      </c>
      <c r="AF33" s="41" t="inlineStr">
        <is>
          <t>Vừa chạy vừa bắn; Ưu tiên máy bay; APS: bắn hạ tên lửa, drone và rốc-két bắn thẳng nhắm vào trong 30 m (1 lần liền, hồi một lần; mỗi 0,8 giây); Bắn hạ cả rốc-két pháo binh; Tên lửa phòng không tầm xa</t>
        </is>
      </c>
      <c r="AG33" s="41" t="inlineStr">
        <is>
          <t>Iron Beam laser (100 kW) 100 mm [Năng lượng, xuyên 2, năng lượng] 8/phát · hồi 0.0525 s · tầm 45 m · Trên không</t>
        </is>
      </c>
      <c r="AH33" s="41" t="inlineStr">
        <is>
          <t>• Giá: 6 CP
• Vũ khí: laser 100 kW: 10/tick · DPS ~190; mở rộng APS: đánh chặn cả đạn cối và rốc-két pháo binh trong 30 m; ưu tiên drone</t>
        </is>
      </c>
      <c r="AI33" s="41" t="inlineStr">
        <is>
          <t>• Giá: Gần như vô dụng hiện tại.
• Vũ khí: laser 100 kW: Vai trò thật của Iron Beam là chặn drone, rốc-két, cối.</t>
        </is>
      </c>
      <c r="AJ33" s="47" t="inlineStr">
        <is>
          <t>Cao</t>
        </is>
      </c>
    </row>
    <row r="34" ht="42.75" customHeight="1" s="32">
      <c r="A34" s="39" t="inlineStr">
        <is>
          <t>long_sam</t>
        </is>
      </c>
      <c r="B34" s="39" t="inlineStr">
        <is>
          <t>Tên lửa phòng không tầm xa</t>
        </is>
      </c>
      <c r="C34" s="39" t="inlineStr">
        <is>
          <t>Phòng không</t>
        </is>
      </c>
      <c r="D34" s="39" t="inlineStr">
        <is>
          <t>dừng lại rồi phóng một tên lửa lớn mỗi 8 giây, chỉ bắn máy bay, xa tới 95 m (600 sát thương, không bắn gần hơn 20 m). bắn xa hơn vũ khí của mọi máy bay, cả oanh tạc cơ và pháo hạm bay; bất lực trước mặt đất và trong vòng 20 m nên cần được che</t>
        </is>
      </c>
      <c r="E34" s="39" t="inlineStr">
        <is>
          <t>Xe 8 bánh rất dài mang 4 ống phóng lớn hình trụ nằm ngang, dựng đứng khi bắn. Từ trên xuống: 4 ống dài bằng thân xe. Kích thước đề xuất khoảng 11.2 × 2.5 × 3.0 m (dài × rộng × cao; 0,8 × mẫu thật S-400 5P85 (MAZ-543)). Vũ khí nhìn thấy: S-400 48N6. Vạch màu phe trên nóc và hai hông; không dùng phù hiệu, cờ hay logo quốc gia thật.</t>
        </is>
      </c>
      <c r="F34" s="39" t="inlineStr">
        <is>
          <t>thắng màn mở khóa trong chiến dịch, hoặc mua sớm 1.950 xu</t>
        </is>
      </c>
      <c r="G34" s="39" t="inlineStr">
        <is>
          <t>Chương 8</t>
        </is>
      </c>
      <c r="H34" s="39" t="inlineStr">
        <is>
          <t>1.500 xu</t>
        </is>
      </c>
      <c r="I34" s="42" t="n">
        <v>11</v>
      </c>
      <c r="J34" s="42" t="n">
        <v>968</v>
      </c>
      <c r="K34" s="39" t="inlineStr">
        <is>
          <t>1/0/0/0</t>
        </is>
      </c>
      <c r="L34" s="42" t="n">
        <v>6</v>
      </c>
      <c r="M34" s="42" t="n">
        <v>80</v>
      </c>
      <c r="N34" s="42" t="n">
        <v>0</v>
      </c>
      <c r="O34" s="42" t="n">
        <v>0</v>
      </c>
      <c r="P34" s="42" t="n">
        <v>114</v>
      </c>
      <c r="Q34" s="42" t="n">
        <v>0</v>
      </c>
      <c r="R34" s="50">
        <f>IFERROR(O34/I34,"")</f>
        <v/>
      </c>
      <c r="S34" s="50">
        <f>IFERROR(J34/I34,"")</f>
        <v/>
      </c>
      <c r="T34" s="42" t="n">
        <v>0</v>
      </c>
      <c r="U34" s="42" t="n">
        <v>0</v>
      </c>
      <c r="V34" s="42" t="n">
        <v>0</v>
      </c>
      <c r="W34" s="42" t="n">
        <v>601</v>
      </c>
      <c r="X34" s="42" t="n">
        <v>0</v>
      </c>
      <c r="Y34" s="39" t="inlineStr">
        <is>
          <t>12%</t>
        </is>
      </c>
      <c r="Z34" s="42" t="n">
        <v>90</v>
      </c>
      <c r="AA34" s="42" t="n">
        <v>2.29</v>
      </c>
      <c r="AB34" s="39" t="inlineStr">
        <is>
          <t>S-300PMU (5P85), S-400 (48N6), khung MAZ-543 — Bệ phóng tên lửa phòng không tầm xa, dựng đứng ống phóng</t>
        </is>
      </c>
      <c r="AC34" s="39" t="inlineStr">
        <is>
          <t>trên không</t>
        </is>
      </c>
      <c r="AD34" s="39" t="inlineStr">
        <is>
          <t>súng máy hạng nặng, lửa, pháo tự động, nổ mạnh, năng lượng, đánh nóc, nổ lõm, pháo xe tăng</t>
        </is>
      </c>
      <c r="AE34" s="39" t="inlineStr">
        <is>
          <t>dừng lại rồi phóng một tên lửa lớn mỗi 8 giây, chỉ bắn máy bay, xa tới 95 m (600 sát thương, không bắn gần hơn 20 m).</t>
        </is>
      </c>
      <c r="AF34" s="39" t="inlineStr">
        <is>
          <t>Dừng lại mới bắn, từ 20-95 m; cần ta nhìn thấy mục tiêu (tự nó hoặc quân bạn); Ưu tiên máy bay; Không quân (13); Trực thăng trinh sát</t>
        </is>
      </c>
      <c r="AG34" s="39" t="inlineStr">
        <is>
          <t>S-400 48N6 [Mảnh, xuyên 3, tên lửa phòng không đánh nóc] dẫn đường/phát · nổ lan · tầm 630 · hồi 7.2 s</t>
        </is>
      </c>
      <c r="AH34" s="39" t="inlineStr">
        <is>
          <t>• Giá: 14 CP
• Vũ khí: 48N6: tốc độ 65 (bay 1,5 s)</t>
        </is>
      </c>
      <c r="AI34" s="39" t="inlineStr">
        <is>
          <t>• Giá: Hiệu quả gấp đôi các xe phòng không khác; S-400 ngoài đời cực đắt.
• Vũ khí: 48N6: Tên lửa tầm xa cần nhanh để trúng máy bay ở rìa tầm.</t>
        </is>
      </c>
      <c r="AJ34" s="47" t="inlineStr">
        <is>
          <t>Cao</t>
        </is>
      </c>
    </row>
    <row r="35" ht="63.75" customHeight="1" s="32">
      <c r="A35" s="41" t="inlineStr">
        <is>
          <t>scout_heli</t>
        </is>
      </c>
      <c r="B35" s="41" t="inlineStr">
        <is>
          <t>Trực thăng trinh sát</t>
        </is>
      </c>
      <c r="C35" s="41" t="inlineStr">
        <is>
          <t>Trực thăng · bay</t>
        </is>
      </c>
      <c r="D35" s="41" t="inlineStr">
        <is>
          <t>lao vào với súng máy nhiều nòng (tầm gần, bắn được cả máy bay) và giàn 7 rốc-két; mắt tinh giúp soi mục tiêu cho cả quân. xé nát trinh sát, xe nhẹ và xe hỗ trợ; xe tăng gần như miễn nhiễm, gặp phòng không là rụng nhanh.</t>
        </is>
      </c>
      <c r="E35" s="41" t="inlineStr">
        <is>
          <t>Trực thăng nhỏ thân hình quả trứng, rô-to 5 cánh, càng trượt, 2 bệ vũ khí nhỏ hai bên. Từ trên xuống: đĩa rô-to tròn lớn so với thân nhỏ. Kích thước đề xuất khoảng 4.0 × 3.3 × 1.0 m (dài × rộng × cao; 0,4 × mẫu thật MH-6 Little Bird). Vũ khí nhìn thấy: M134 Minigun 7.62 mm, Hydra 70 mm. Vạch màu phe trên nóc và hai hông; không dùng phù hiệu, cờ hay logo quốc gia thật.</t>
        </is>
      </c>
      <c r="F35" s="41" t="inlineStr">
        <is>
          <t>thắng màn mở khóa trong chiến dịch, hoặc mua sớm 900 xu</t>
        </is>
      </c>
      <c r="G35" s="41" t="inlineStr">
        <is>
          <t>Chương 3</t>
        </is>
      </c>
      <c r="H35" s="41" t="inlineStr">
        <is>
          <t>300 xu</t>
        </is>
      </c>
      <c r="I35" s="43" t="n">
        <v>4</v>
      </c>
      <c r="J35" s="43" t="n">
        <v>924</v>
      </c>
      <c r="K35" s="41" t="inlineStr">
        <is>
          <t>cấp 0 (Không giáp)</t>
        </is>
      </c>
      <c r="L35" s="43" t="n">
        <v>17</v>
      </c>
      <c r="M35" s="43" t="n">
        <v>46</v>
      </c>
      <c r="N35" s="43" t="n">
        <v>58</v>
      </c>
      <c r="O35" s="43" t="n">
        <v>20</v>
      </c>
      <c r="P35" s="43" t="n">
        <v>15</v>
      </c>
      <c r="Q35" s="43" t="n">
        <v>45</v>
      </c>
      <c r="R35" s="51">
        <f>IFERROR(O35/I35,"")</f>
        <v/>
      </c>
      <c r="S35" s="51">
        <f>IFERROR(J35/I35,"")</f>
        <v/>
      </c>
      <c r="T35" s="43" t="n">
        <v>956</v>
      </c>
      <c r="U35" s="43" t="n">
        <v>264</v>
      </c>
      <c r="V35" s="43" t="n">
        <v>308</v>
      </c>
      <c r="W35" s="43" t="n">
        <v>41</v>
      </c>
      <c r="X35" s="43" t="n">
        <v>220</v>
      </c>
      <c r="Y35" s="41" t="inlineStr">
        <is>
          <t>75%</t>
        </is>
      </c>
      <c r="Z35" s="43" t="n">
        <v>55</v>
      </c>
      <c r="AA35" s="43" t="n">
        <v>1</v>
      </c>
      <c r="AB35" s="41" t="inlineStr">
        <is>
          <t>MH-6 / AH-6 Little Bird, M134 Minigun — Trực thăng trinh sát nhẹ, ca-bin hình quả trứng</t>
        </is>
      </c>
      <c r="AC35" s="41" t="inlineStr">
        <is>
          <t>giáp 0, giáp 1, giáp 2, công trình</t>
        </is>
      </c>
      <c r="AD35" s="41" t="inlineStr">
        <is>
          <t>mảnh, năng lượng</t>
        </is>
      </c>
      <c r="AE35" s="41" t="inlineStr">
        <is>
          <t>lao vào với súng máy nhiều nòng (tầm gần, bắn được cả máy bay) và giàn 7 rốc-két; mắt tinh giúp soi mục tiêu cho cả quân.</t>
        </is>
      </c>
      <c r="AF35" s="41" t="inlineStr">
        <is>
          <t>Treo trên không ở rìa tầm bắn và nhả đạn; Bắn hết 64 viên thì thay băng; Ưu tiên trinh sát, xe bọc thép nhẹ, hỗ trợ; Hết đạn thì làm xong lượt tấn công, rồi ra vòng chờ sau tuyến quân ta; quay lại khi hồi được; một nửa; Máu thấp thì bay về Bãi đáp (không có thì về sở chỉ huy) để sửa; UAV trinh sát</t>
        </is>
      </c>
      <c r="AG35" s="41" t="inlineStr">
        <is>
          <t>M134 Minigun 7.62 mm [Động năng, xuyên 0, đạn súng] 6/phát · băng 64 viên, 50 viên/s, thay 4.81 s · tầm 24 m · Tất cả
Hydra 70 mm [Nổ mạnh, xuyên 2, rốc-két nổ lan] 30/phát · loạt 12, hồi 7.4 s · tầm 28 m · Mặt đất</t>
        </is>
      </c>
      <c r="AH35" s="41" t="inlineStr">
        <is>
          <t>• Giá: 5 CP
• Vũ khí: Hydra 70: 6 quả</t>
        </is>
      </c>
      <c r="AI35" s="41" t="inlineStr">
        <is>
          <t>• Giá: Trực thăng trinh sát đang là thẻ diệt xe nhẹ mạnh nhất.
• Vũ khí: Hydra 70: Giảm sức phá xe nhẹ, giữ minigun để vẫn đúng vai trò trinh sát vũ trang.</t>
        </is>
      </c>
      <c r="AJ35" s="47" t="inlineStr">
        <is>
          <t>Cao</t>
        </is>
      </c>
    </row>
    <row r="36" ht="53.25" customHeight="1" s="32">
      <c r="A36" s="39" t="inlineStr">
        <is>
          <t>recon_drone</t>
        </is>
      </c>
      <c r="B36" s="39" t="inlineStr">
        <is>
          <t>UAV trinh sát</t>
        </is>
      </c>
      <c r="C36" s="39" t="inlineStr">
        <is>
          <t>Máy bay · bay</t>
        </is>
      </c>
      <c r="D36" s="39" t="inlineStr">
        <is>
          <t>bay cao với tầm nhìn 90 m, soi mục tiêu cho cả đội quân, kèm một tên lửa dẫn đường nhẹ (50 m) đánh mặt đất. bắn tỉa trinh sát và pháo binh, giúp pháo ta bắn hết tầm; mong manh, gặp phòng không hay tiêm kích là rơi.</t>
        </is>
      </c>
      <c r="E36" s="39" t="inlineStr">
        <is>
          <t>UAV cánh thẳng dài, thân mảnh, đuôi chữ V ngược, cánh quạt đẩy sau. Từ trên xuống: chữ thập với cánh rất dài. Kích thước đề xuất khoảng 2.6 × 4.8 × 0.9 m (dài × rộng × cao; 0,4 × mẫu thật Bayraktar TB2). Vũ khí nhìn thấy: MAM-L. Vạch màu phe trên nóc và hai hông; không dùng phù hiệu, cờ hay logo quốc gia thật.</t>
        </is>
      </c>
      <c r="F36" s="39" t="inlineStr">
        <is>
          <t>thắng màn mở khóa trong chiến dịch, hoặc mua sớm 1.200 xu</t>
        </is>
      </c>
      <c r="G36" s="39" t="inlineStr">
        <is>
          <t>Chương 3</t>
        </is>
      </c>
      <c r="H36" s="39" t="inlineStr">
        <is>
          <t>300 xu</t>
        </is>
      </c>
      <c r="I36" s="42" t="n">
        <v>6</v>
      </c>
      <c r="J36" s="42" t="n">
        <v>704</v>
      </c>
      <c r="K36" s="39" t="inlineStr">
        <is>
          <t>cấp 0 (Không giáp)</t>
        </is>
      </c>
      <c r="L36" s="42" t="n">
        <v>18</v>
      </c>
      <c r="M36" s="42" t="n">
        <v>90</v>
      </c>
      <c r="N36" s="42" t="n">
        <v>17</v>
      </c>
      <c r="O36" s="42" t="n">
        <v>12</v>
      </c>
      <c r="P36" s="42" t="n">
        <v>0</v>
      </c>
      <c r="Q36" s="42" t="n">
        <v>8</v>
      </c>
      <c r="R36" s="50">
        <f>IFERROR(O36/I36,"")</f>
        <v/>
      </c>
      <c r="S36" s="50">
        <f>IFERROR(J36/I36,"")</f>
        <v/>
      </c>
      <c r="T36" s="42" t="n">
        <v>126</v>
      </c>
      <c r="U36" s="42" t="n">
        <v>146</v>
      </c>
      <c r="V36" s="42" t="n">
        <v>60</v>
      </c>
      <c r="W36" s="42" t="n">
        <v>0</v>
      </c>
      <c r="X36" s="42" t="n">
        <v>14</v>
      </c>
      <c r="Y36" s="39" t="inlineStr">
        <is>
          <t>62%</t>
        </is>
      </c>
      <c r="Z36" s="42" t="n">
        <v>47</v>
      </c>
      <c r="AA36" s="42" t="n">
        <v>0.19</v>
      </c>
      <c r="AB36" s="39" t="inlineStr">
        <is>
          <t>Bayraktar TB2, MAM-L — Drone trinh sát tầm trung, đuôi chữ V ngược</t>
        </is>
      </c>
      <c r="AC36" s="39" t="inlineStr">
        <is>
          <t>giáp 0, giáp 1, giáp 2, giáp 3, công trình</t>
        </is>
      </c>
      <c r="AD36" s="39" t="inlineStr">
        <is>
          <t>mảnh, năng lượng</t>
        </is>
      </c>
      <c r="AE36" s="39" t="inlineStr">
        <is>
          <t>bay cao với tầm nhìn 90 m, soi mục tiêu cho cả đội quân, kèm một tên lửa dẫn đường nhẹ (50 m) đánh mặt đất.</t>
        </is>
      </c>
      <c r="AF36" s="39" t="inlineStr">
        <is>
          <t>Bổ nhào xả hỏa lực vào mục tiêu, rồi vòng lại lượt khác; Sau mỗi lượt nó vòng lại và vào lượt mới; Ưu tiên trinh sát, pháo binh; Hết đạn thì làm xong lượt tấn công, rồi ra vòng chờ sau tuyến quân ta; quay lại khi hồi được; một nửa; Drone hộ vệ</t>
        </is>
      </c>
      <c r="AG36" s="39" t="inlineStr">
        <is>
          <t>MAM-L [Nổ lõm, xuyên 3, tên lửa chống tăng dẫn đường] 190/phát · hồi 11.59 s · tầm 50 m · Mặt đất</t>
        </is>
      </c>
      <c r="AH36" s="39" t="inlineStr">
        <is>
          <t>Giữ.</t>
        </is>
      </c>
      <c r="AI36" s="39" t="inlineStr">
        <is>
          <t>Giá trị thực chiến nằm trong khoảng mục tiêu (hiệu quả 0.19 × trung vị vai trò).</t>
        </is>
      </c>
      <c r="AJ36" s="49" t="inlineStr">
        <is>
          <t>Thấp</t>
        </is>
      </c>
    </row>
    <row r="37" ht="95.25" customHeight="1" s="32">
      <c r="A37" s="41"/>
      <c r="B37" s="41"/>
      <c r="C37" s="41"/>
      <c r="D37" s="41"/>
      <c r="E37" s="41"/>
      <c r="F37" s="41"/>
      <c r="G37" s="41"/>
      <c r="H37" s="41"/>
      <c r="I37" s="43"/>
      <c r="J37" s="43"/>
      <c r="K37" s="41"/>
      <c r="L37" s="43"/>
      <c r="M37" s="43"/>
      <c r="N37" s="43"/>
      <c r="O37" s="43"/>
      <c r="P37" s="43"/>
      <c r="Q37" s="43"/>
      <c r="R37" s="51"/>
      <c r="S37" s="51"/>
      <c r="T37" s="43"/>
      <c r="U37" s="43"/>
      <c r="V37" s="43"/>
      <c r="W37" s="43"/>
      <c r="X37" s="43"/>
      <c r="Y37" s="41"/>
      <c r="Z37" s="43"/>
      <c r="AA37" s="41"/>
      <c r="AB37" s="41"/>
      <c r="AC37" s="41"/>
      <c r="AD37" s="41"/>
      <c r="AE37" s="41"/>
      <c r="AF37" s="41"/>
      <c r="AG37" s="41"/>
      <c r="AH37" s="41"/>
      <c r="AI37" s="41"/>
      <c r="AJ37" s="48"/>
    </row>
    <row r="38" ht="63.75" customHeight="1" s="32">
      <c r="A38" s="39" t="inlineStr">
        <is>
          <t>strike_drone</t>
        </is>
      </c>
      <c r="B38" s="39" t="inlineStr">
        <is>
          <t>UAV tấn công</t>
        </is>
      </c>
      <c r="C38" s="39" t="inlineStr">
        <is>
          <t>Máy bay · bay</t>
        </is>
      </c>
      <c r="D38" s="39" t="inlineStr">
        <is>
          <t>bay cao, phóng tên lửa Hellfire từ 48 m và bốn quả bom dẫn đường; không có vũ khí chống máy bay. bắn tỉa xe tăng, tăng nặng và pháo binh; chậm và mỏng, gặp phòng không hay tiêm kích là rơi.</t>
        </is>
      </c>
      <c r="E38" s="39" t="inlineStr">
        <is>
          <t>UAV lớn cánh thẳng rất dài, mũi phình (radar), đuôi chữ Y, tên lửa dưới cánh. Từ trên xuống: cánh dài gấp đôi thân. Kích thước đề xuất khoảng 4.4 × 8.0 × 1.5 m (dài × rộng × cao; 0,4 × mẫu thật MQ-9 Reaper). Vũ khí nhìn thấy: AGM-114 Hellfire, GBU-39 SDB (110 kg). Vạch màu phe trên nóc và hai hông; không dùng phù hiệu, cờ hay logo quốc gia thật.</t>
        </is>
      </c>
      <c r="F38" s="39" t="inlineStr">
        <is>
          <t>thắng màn mở khóa trong chiến dịch, hoặc mua sớm 1.500 xu</t>
        </is>
      </c>
      <c r="G38" s="39" t="inlineStr">
        <is>
          <t>Chương 5</t>
        </is>
      </c>
      <c r="H38" s="39" t="inlineStr">
        <is>
          <t>800 xu</t>
        </is>
      </c>
      <c r="I38" s="42" t="n">
        <v>8</v>
      </c>
      <c r="J38" s="42" t="n">
        <v>1056</v>
      </c>
      <c r="K38" s="39" t="inlineStr">
        <is>
          <t>cấp 0 (Không giáp)</t>
        </is>
      </c>
      <c r="L38" s="42" t="n">
        <v>19</v>
      </c>
      <c r="M38" s="42" t="n">
        <v>62</v>
      </c>
      <c r="N38" s="42" t="n">
        <v>68</v>
      </c>
      <c r="O38" s="42" t="n">
        <v>60</v>
      </c>
      <c r="P38" s="42" t="n">
        <v>0</v>
      </c>
      <c r="Q38" s="42" t="n">
        <v>73</v>
      </c>
      <c r="R38" s="50">
        <f>IFERROR(O38/I38,"")</f>
        <v/>
      </c>
      <c r="S38" s="50">
        <f>IFERROR(J38/I38,"")</f>
        <v/>
      </c>
      <c r="T38" s="42" t="n">
        <v>469</v>
      </c>
      <c r="U38" s="42" t="n">
        <v>670</v>
      </c>
      <c r="V38" s="42" t="n">
        <v>734</v>
      </c>
      <c r="W38" s="42" t="n">
        <v>0</v>
      </c>
      <c r="X38" s="42" t="n">
        <v>65</v>
      </c>
      <c r="Y38" s="39" t="inlineStr">
        <is>
          <t>63%</t>
        </is>
      </c>
      <c r="Z38" s="42" t="n">
        <v>50</v>
      </c>
      <c r="AA38" s="42" t="n">
        <v>1.07</v>
      </c>
      <c r="AB38" s="39" t="inlineStr">
        <is>
          <t>MQ-9 Reaper, AGM-114 Hellfire, GBU-39 SDB — Drone tấn công tầm trung, đuôi chữ Y, cánh quạt đẩy</t>
        </is>
      </c>
      <c r="AC38" s="39" t="inlineStr">
        <is>
          <t>giáp 0, giáp 1, giáp 2, giáp 3, giáp 4, công trình</t>
        </is>
      </c>
      <c r="AD38" s="39" t="inlineStr">
        <is>
          <t>mảnh, năng lượng</t>
        </is>
      </c>
      <c r="AE38" s="39" t="inlineStr">
        <is>
          <t>bay cao, phóng tên lửa Hellfire từ 48 m và bốn quả bom dẫn đường; không có vũ khí chống máy bay.</t>
        </is>
      </c>
      <c r="AF38" s="39" t="inlineStr">
        <is>
          <t>Bổ nhào xả hỏa lực vào mục tiêu, rồi vòng lại lượt khác; Sau mỗi lượt nó vòng lại và vào lượt mới; Ưu tiên xe tăng, tăng hạng nặng, pháo binh; Hết đạn thì làm xong lượt tấn công, rồi ra vòng chờ sau tuyến quân ta; quay lại khi hồi được; một nửa; Máy bay mẹ thả drone</t>
        </is>
      </c>
      <c r="AG38" s="39" t="inlineStr">
        <is>
          <t>AGM-114 Hellfire [Nổ lõm, xuyên 4, tên lửa chống tăng dẫn đường] 260/phát · hồi 3.58 s · tầm 48 m · Mặt đất
GBU-39 SDB (110 kg) [Nổ mạnh, xuyên 3, bom dẫn đường đánh nóc] nổ lan/phát · 210 · tầm hồi 6.651 s · 30 m</t>
        </is>
      </c>
      <c r="AH38" s="39" t="inlineStr">
        <is>
          <t>• Giá: 9 CP (giữ 4 Hellfire)</t>
        </is>
      </c>
      <c r="AI38" s="39" t="inlineStr">
        <is>
          <t>• Giá: Vẫn mạnh gấp rưỡi xe diệt tăng cùng giá khi không có phòng không.</t>
        </is>
      </c>
      <c r="AJ38" s="47" t="inlineStr">
        <is>
          <t>Cao</t>
        </is>
      </c>
    </row>
    <row r="39" ht="84.75" customHeight="1" s="32">
      <c r="A39" s="41" t="inlineStr">
        <is>
          <t>swarm_carrier</t>
        </is>
      </c>
      <c r="B39" s="41" t="inlineStr">
        <is>
          <t>Máy bay mẹ thả drone</t>
        </is>
      </c>
      <c r="C39" s="41" t="inlineStr">
        <is>
          <t>Máy bay · bay</t>
        </is>
      </c>
      <c r="D39" s="41" t="inlineStr">
        <is>
          <t>bay qua mục tiêu, thả lần lượt tám drone FPV (nổ lõm, đánh nóc), mỗi chiếc một mục tiêu, và thả thêm hai bom dẫn đường từ cùng đưa bầy drone tới nơi xe drone FPV hay nhà chứa drone không với tới; tiêm kích và SAM bắn hạ được nó, còn C-RAM, la-de phòng</t>
        </is>
      </c>
      <c r="E39" s="41" t="inlineStr">
        <is>
          <t>Máy bay vận tải 4 động cơ cánh quạt cánh cao, đuôi cao, cửa sau mở thả drone. Cùng khung và cùng kích thước với Pháo hạm bay. Từ trên xuống: cánh thẳng dài, 4 động cơ. Kích thước đề xuất khoảng 11.9 × 16.2 × 4.6 m (dài × rộng × cao; 0,4 × mẫu thật C-130 Hercules). Vũ khí nhìn thấy: FPV drone (1.5 kg), GBU-39 SDB (110 kg). Vạch màu phe trên nóc và hai hông; không dùng phù hiệu, cờ hay logo quốc gia thật.</t>
        </is>
      </c>
      <c r="F39" s="41" t="inlineStr">
        <is>
          <t>thắng màn mở khóa trong chiến dịch, hoặc mua sớm 1.500 xu</t>
        </is>
      </c>
      <c r="G39" s="41" t="inlineStr">
        <is>
          <t>Cuối chương 5: chiến lợi phẩm khi Venn đào ngũ</t>
        </is>
      </c>
      <c r="H39" s="41" t="inlineStr">
        <is>
          <t>Không mua sớm được</t>
        </is>
      </c>
      <c r="I39" s="43" t="n">
        <v>8</v>
      </c>
      <c r="J39" s="43" t="n">
        <v>3080</v>
      </c>
      <c r="K39" s="41" t="inlineStr">
        <is>
          <t>cấp 1 (Mỏng)</t>
        </is>
      </c>
      <c r="L39" s="43" t="n">
        <v>18</v>
      </c>
      <c r="M39" s="43" t="n">
        <v>56</v>
      </c>
      <c r="N39" s="43" t="n">
        <v>41</v>
      </c>
      <c r="O39" s="43" t="n">
        <v>41</v>
      </c>
      <c r="P39" s="43" t="n">
        <v>0</v>
      </c>
      <c r="Q39" s="43" t="n">
        <v>45</v>
      </c>
      <c r="R39" s="51">
        <f>IFERROR(O39/I39,"")</f>
        <v/>
      </c>
      <c r="S39" s="51">
        <f>IFERROR(J39/I39,"")</f>
        <v/>
      </c>
      <c r="T39" s="43" t="n">
        <v>434</v>
      </c>
      <c r="U39" s="43" t="n">
        <v>471</v>
      </c>
      <c r="V39" s="43" t="n">
        <v>423</v>
      </c>
      <c r="W39" s="43" t="n">
        <v>0</v>
      </c>
      <c r="X39" s="43" t="n">
        <v>295</v>
      </c>
      <c r="Y39" s="41" t="inlineStr">
        <is>
          <t>65%</t>
        </is>
      </c>
      <c r="Z39" s="43" t="n">
        <v>76</v>
      </c>
      <c r="AA39" s="43" t="n">
        <v>0.76</v>
      </c>
      <c r="AB39" s="41" t="inlineStr">
        <is>
          <t>C-130 Hercules, drone FPV — Máy bay vận tải bốn động cơ thả bầy drone FPV</t>
        </is>
      </c>
      <c r="AC39" s="41" t="inlineStr">
        <is>
          <t>giáp 0, giáp 1, giáp 2, giáp 3, công trình</t>
        </is>
      </c>
      <c r="AD39" s="41" t="inlineStr">
        <is>
          <t>mảnh, năng lượng</t>
        </is>
      </c>
      <c r="AE39" s="41" t="inlineStr">
        <is>
          <t>bay qua mục tiêu, thả lần lượt tám drone FPV (nổ lõm, đánh nóc), mỗi chiếc một mục tiêu, và thả thêm hai bom dẫn đường từ cùng</t>
        </is>
      </c>
      <c r="AF39" s="41" t="inlineStr">
        <is>
          <t>Bổ nhào xả hỏa lực vào mục tiêu, rồi vòng lại lượt khác; Sau mỗi lượt nó vòng lại và vào lượt mới; Ưu tiên xe tăng, tăng hạng nặng, pháo binh, xe bọc thép nhẹ; Hết đạn thì làm xong lượt tấn công, rồi ra vòng chờ sau tuyến quân ta; quay lại khi hồi được; một nửa; Máu thấp thì bay về Bãi đáp (không có thì về sở chỉ huy) để sửa; Pháo sáng: khi có tên lửa lao tới (mỗi 11 giây); Trực thăng tấn công</t>
        </is>
      </c>
      <c r="AG39" s="41" t="inlineStr">
        <is>
          <t>FPV drone (1.5 kg) [Nổ lõm, xuyên 3, drone (FPV) đánh nóc] dẫn đường/phát · nổ lan · tầm 140 · hồi 3.3 s
GBU-39 SDB (110 kg) [Nổ mạnh, xuyên 3, bom dẫn đường đánh nóc] nổ lan/phát · 210 · tầm hồi 6.651 s · 30 m</t>
        </is>
      </c>
      <c r="AH39" s="41" t="inlineStr">
        <is>
          <t>• Vũ khí: thêm Rapid Dragon: Bỏ SDB; thêm 2 tên lửa hành trình thả từ khoang (410/quả, Nổ mạnh xuyên 3, nổ lan 9 m, tầm 90, tốc độ 20) mỗi lượt, giữ 8 drone
• Giá: 13 CP</t>
        </is>
      </c>
      <c r="AI39" s="41" t="inlineStr">
        <is>
          <t>• Vũ khí: thêm Rapid Dragon: Máy bay to như vậy mà rẻ là không hợp lý; thêm vũ khí để xứng giá mới. Rapid Dragon là hệ thống thật cho máy bay vận tải thả tên lửa hành trình theo pallet.
• Giá: Ngang tầm máy bay lớn khác sau khi có thêm tên lửa hành trình; C-130 ngoài đời ~70 triệu USD, đắt hơn Apache.</t>
        </is>
      </c>
      <c r="AJ39" s="47" t="inlineStr">
        <is>
          <t>Cao</t>
        </is>
      </c>
    </row>
    <row r="40" ht="84.75" customHeight="1" s="32">
      <c r="A40" s="39" t="inlineStr">
        <is>
          <t>attack_helicopter</t>
        </is>
      </c>
      <c r="B40" s="39" t="inlineStr">
        <is>
          <t>Trực thăng tấn công</t>
        </is>
      </c>
      <c r="C40" s="39" t="inlineStr">
        <is>
          <t>Trực thăng · bay</t>
        </is>
      </c>
      <c r="D40" s="39" t="inlineStr">
        <is>
          <t>tên lửa chống tăng Hellfire Longbow bắn cặp từ 55 m; nó treo ở rìa tầm đó, vòng sang phía tránh phòng không tầm ngắn; pháo 30 hạ xe tăng, tăng nặng và pháo binh từ ngoài tầm pháo cao xạ và tên lửa tầm ngắn; tên lửa phòng không tầm xa, Patriot và tiêm</t>
        </is>
      </c>
      <c r="E40" s="39" t="inlineStr">
        <is>
          <t>Trực thăng tấn công thân hẹp, 2 buồng lái nối tiếp, cánh ngắn hai bên mang tên lửa và rốc-két, pháo dưới mũi, rô-to 4 cánh. Từ trên xuống: thân mảnh, cánh ngắn chữ thập. Kích thước đề xuất khoảng 7.1 × 5.8 × 1.8 m (dài × rộng × cao; 0,4 × mẫu thật AH-64D Apache). Vũ khí nhìn thấy: AGM-114L Hellfire Longbow, M230 30 mm, Hydra 70 mm, FIM-92 Stinger (ATAS). Vạch màu phe trên nóc và hai hông; không dùng phù hiệu, cờ hay logo quốc gia thật.</t>
        </is>
      </c>
      <c r="F40" s="39" t="inlineStr">
        <is>
          <t>thắng màn mở khóa trong chiến dịch, hoặc mua sớm 1.950 xu</t>
        </is>
      </c>
      <c r="G40" s="39" t="inlineStr">
        <is>
          <t>Chương 3</t>
        </is>
      </c>
      <c r="H40" s="39" t="inlineStr">
        <is>
          <t>300 xu</t>
        </is>
      </c>
      <c r="I40" s="42" t="n">
        <v>11</v>
      </c>
      <c r="J40" s="42" t="n">
        <v>1760</v>
      </c>
      <c r="K40" s="39" t="inlineStr">
        <is>
          <t>cấp 1 (Mỏng)</t>
        </is>
      </c>
      <c r="L40" s="42" t="n">
        <v>13</v>
      </c>
      <c r="M40" s="42" t="n">
        <v>40</v>
      </c>
      <c r="N40" s="42" t="n">
        <v>166</v>
      </c>
      <c r="O40" s="42" t="n">
        <v>104</v>
      </c>
      <c r="P40" s="42" t="n">
        <v>40</v>
      </c>
      <c r="Q40" s="42" t="n">
        <v>110</v>
      </c>
      <c r="R40" s="50">
        <f>IFERROR(O40/I40,"")</f>
        <v/>
      </c>
      <c r="S40" s="50">
        <f>IFERROR(J40/I40,"")</f>
        <v/>
      </c>
      <c r="T40" s="42" t="n">
        <v>336</v>
      </c>
      <c r="U40" s="42" t="n">
        <v>422</v>
      </c>
      <c r="V40" s="42" t="n">
        <v>257</v>
      </c>
      <c r="W40" s="42" t="n">
        <v>150</v>
      </c>
      <c r="X40" s="42" t="n">
        <v>353</v>
      </c>
      <c r="Y40" s="39" t="inlineStr">
        <is>
          <t>87%</t>
        </is>
      </c>
      <c r="Z40" s="42" t="n">
        <v>87</v>
      </c>
      <c r="AA40" s="42" t="n">
        <v>0.66</v>
      </c>
      <c r="AB40" s="39" t="inlineStr">
        <is>
          <t>AH-64D Apache Longbow, AGM-114L Hellfire Longbow, Ka-52 Alligator (model thay thế) — Trực thăng tấn công hai chỗ ngồi nối</t>
        </is>
      </c>
      <c r="AC40" s="39" t="inlineStr">
        <is>
          <t>giáp 0, giáp 1, giáp 2, giáp 3, giáp 4, trên không, công trình</t>
        </is>
      </c>
      <c r="AD40" s="39" t="inlineStr">
        <is>
          <t>mảnh, năng lượng</t>
        </is>
      </c>
      <c r="AE40" s="39" t="inlineStr">
        <is>
          <t>tên lửa chống tăng Hellfire Longbow bắn cặp từ 55 m; nó treo ở rìa tầm đó, vòng sang phía tránh phòng không tầm ngắn; pháo 30</t>
        </is>
      </c>
      <c r="AF40" s="39" t="inlineStr">
        <is>
          <t>Treo trên không ở rìa tầm bắn và nhả đạn; Ưu tiên xe tăng, tăng hạng nặng, pháo binh; Hết đạn thì làm xong lượt tấn công, rồi ra vòng chờ sau tuyến quân ta; quay lại khi hồi được; một nửa; Máu thấp thì bay về Bãi đáp (không có thì về sở chỉ huy) để sửa; Pháo sáng: khi có tên lửa lao tới (mỗi 20 giây); Tiêm kích</t>
        </is>
      </c>
      <c r="AG40" s="39" t="inlineStr">
        <is>
          <t>AGM-114L Hellfire Longbow [Nổ lõm, xuyên 4, tên lửa chống tăng dẫn đường] 260/phát · loạt 2, hồi 7.1 s · tầm 55 m · Mặt đất
M230 30 mm [Động năng, xuyên 2, đạn pháo động năng (pháo tự động)] 22/phát · băng 21 viên, 4 viên/s, thay 1 s · tầm 26 m · Tất cả
Hydra 70 mm [Nổ mạnh, xuyên 2, rốc-két nổ lan] 30/phát · loạt 11, hồi 7.31 s · tầm 30 m · Mặt đất
FIM-92 Stinger (ATAS) [Mảnh, xuyên 2, tên lửa phòng không dẫn đường] nổ lan/phát · 178 · tầm hồi 9.07 s · 30 m</t>
        </is>
      </c>
      <c r="AH40" s="39" t="inlineStr">
        <is>
          <t>• Giá: 9 CP
• Vũ khí: Hellfire, Stinger ATAS: Hellfire 26 (bay 2,1 s ở 55 m) · ATAS 42</t>
        </is>
      </c>
      <c r="AI40" s="39" t="inlineStr">
        <is>
          <t>• Giá: Yếu hơn các trực thăng khác tính theo CP.
• Vũ khí: Hellfire, Stinger ATAS: Thống nhất Hellfire mọi nơi; ATAS đủ nhanh để bắn trực thăng địch.</t>
        </is>
      </c>
      <c r="AJ40" s="47" t="inlineStr">
        <is>
          <t>Cao</t>
        </is>
      </c>
    </row>
    <row r="41" ht="63.75" customHeight="1" s="32">
      <c r="A41" s="41" t="inlineStr">
        <is>
          <t>fighter_jet</t>
        </is>
      </c>
      <c r="B41" s="41" t="inlineStr">
        <is>
          <t>Tiêm kích</t>
        </is>
      </c>
      <c r="C41" s="41" t="inlineStr">
        <is>
          <t>Máy bay · bay</t>
        </is>
      </c>
      <c r="D41" s="41" t="inlineStr">
        <is>
          <t>tên lửa không đối không từ 60 m, tên lửa cận chiến và pháo; đánh chặn máy bay địch ở xa vị trí gác, có thể lơ lửng để bắn. khắc tinh của trực thăng, oanh tạc cơ và mọi máy bay; gần như vô hại với mặt đất, vẫn sợ tên lửa phòng không.</t>
        </is>
      </c>
      <c r="E41" s="41" t="inlineStr">
        <is>
          <t>Tiêm kích 2 động cơ, 2 đuôi đứng, cánh tam giác cắt, tên lửa dưới cánh. Dài hơn Cường kích rõ rệt. Từ trên xuống: mũi dài nhọn, 2 đuôi. Kích thước đề xuất khoảng 8.8 × 5.9 × 2.4 m (dài × rộng × cao; 0,4 × mẫu thật Su-27). Vũ khí nhìn thấy: AIM-120 AMRAAM, AIM-9X Sidewinder, GAU-22/A 25 mm. Vạch màu phe trên nóc và hai hông; không dùng phù hiệu, cờ hay logo quốc gia thật.</t>
        </is>
      </c>
      <c r="F41" s="41" t="inlineStr">
        <is>
          <t>thắng màn mở khóa trong chiến dịch, hoặc mua sớm 2.100 xu</t>
        </is>
      </c>
      <c r="G41" s="41" t="inlineStr">
        <is>
          <t>Chương 3 (khi Hawk gia nhập)</t>
        </is>
      </c>
      <c r="H41" s="41" t="inlineStr">
        <is>
          <t>300 xu</t>
        </is>
      </c>
      <c r="I41" s="43" t="n">
        <v>12</v>
      </c>
      <c r="J41" s="43" t="n">
        <v>1144</v>
      </c>
      <c r="K41" s="41" t="inlineStr">
        <is>
          <t>cấp 0 (Không giáp)</t>
        </is>
      </c>
      <c r="L41" s="43" t="n">
        <v>40</v>
      </c>
      <c r="M41" s="43" t="n">
        <v>72</v>
      </c>
      <c r="N41" s="43" t="n">
        <v>67</v>
      </c>
      <c r="O41" s="43" t="n">
        <v>33</v>
      </c>
      <c r="P41" s="43" t="n">
        <v>269</v>
      </c>
      <c r="Q41" s="43" t="n">
        <v>11</v>
      </c>
      <c r="R41" s="51">
        <f>IFERROR(O41/I41,"")</f>
        <v/>
      </c>
      <c r="S41" s="51">
        <f>IFERROR(J41/I41,"")</f>
        <v/>
      </c>
      <c r="T41" s="43" t="n">
        <v>0</v>
      </c>
      <c r="U41" s="43" t="n">
        <v>0</v>
      </c>
      <c r="V41" s="43" t="n">
        <v>0</v>
      </c>
      <c r="W41" s="43" t="n">
        <v>351</v>
      </c>
      <c r="X41" s="43" t="n">
        <v>0</v>
      </c>
      <c r="Y41" s="41" t="inlineStr">
        <is>
          <t>11%</t>
        </is>
      </c>
      <c r="Z41" s="43" t="n">
        <v>52</v>
      </c>
      <c r="AA41" s="41" t="n"/>
      <c r="AB41" s="41" t="inlineStr">
        <is>
          <t>Su-27 Flanker, F-15 Eagle, AIM-120 AMRAAM, AIM-9X Sidewinder — Tiêm kích chiếm ưu thế trên không hai động cơ</t>
        </is>
      </c>
      <c r="AC41" s="41" t="inlineStr">
        <is>
          <t>giáp 0, trên không</t>
        </is>
      </c>
      <c r="AD41" s="41" t="inlineStr">
        <is>
          <t>mảnh, năng lượng</t>
        </is>
      </c>
      <c r="AE41" s="41" t="inlineStr">
        <is>
          <t>tên lửa không đối không từ 60 m, tên lửa cận chiến và pháo; đánh chặn máy bay địch ở xa vị trí gác, có thể lơ lửng để bắn.</t>
        </is>
      </c>
      <c r="AF41" s="41" t="inlineStr">
        <is>
          <t>Săn máy bay địch; Sau mỗi lượt nó vòng lại và vào lượt mới; Ưu tiên máy bay; Hết đạn thì làm xong lượt tấn công, rồi ra vòng chờ sau tuyến quân ta; quay lại khi hồi được; một nửa; Máu thấp thì bay về Bãi đáp (không có thì về sở chỉ huy) để sửa; Pháo sáng: khi có tên lửa lao tới (mỗi 16 giây); Tiêm kích tàng hình</t>
        </is>
      </c>
      <c r="AG41" s="41" t="inlineStr">
        <is>
          <t>AIM-120 AMRAAM [Mảnh, xuyên 3, tên lửa phòng không dẫn đường] nổ lan/phát · 294 · tầm hồi 3.99 s · 60 m
AIM-9X Sidewinder [Mảnh, xuyên 2, tên lửa phòng không dẫn đường] nổ lan/phát · 231 · tầm hồi 2.12 s · 30 m
GAU-22/A 25 mm [Mảnh, xuyên 2, đạn pháo động năng (pháo tự động)] 18/phát · băng 44 viên, 9 viên/s, thay 1 s · tầm 30 m · Tất cả</t>
        </is>
      </c>
      <c r="AH41" s="41" t="inlineStr">
        <is>
          <t>• Vũ khí: AIM-120, AIM-9X: AIM-120: 60 (bay 1 s) · AIM-9X: 55</t>
        </is>
      </c>
      <c r="AI41" s="41" t="inlineStr">
        <is>
          <t>• Vũ khí: AIM-120, AIM-9X: Tên lửa phải bắt kịp mục tiêu nhanh nhất.</t>
        </is>
      </c>
      <c r="AJ41" s="47" t="inlineStr">
        <is>
          <t>Cao</t>
        </is>
      </c>
    </row>
    <row r="42" ht="74.25" customHeight="1" s="32">
      <c r="A42" s="39" t="inlineStr">
        <is>
          <t>stealth_fighter</t>
        </is>
      </c>
      <c r="B42" s="39" t="inlineStr">
        <is>
          <t>Tiêm kích tàng hình</t>
        </is>
      </c>
      <c r="C42" s="39" t="inlineStr">
        <is>
          <t>Máy bay · bay</t>
        </is>
      </c>
      <c r="D42" s="39" t="inlineStr">
        <is>
          <t>tàng hình: địch chỉ thấy ở 40% tầm nhìn, và trong 2,5 giây sau mỗi lần khai hỏa; trạm radar, tháp canh và UAV quét làm lộ nó. Bốn dọn sạch bầu trời và SAM trước khi máy bay cường kích tới; mang ít đạn hơn tiêm kích thường nên về hồi đạn sớm hơn.</t>
        </is>
      </c>
      <c r="E42" s="39" t="inlineStr">
        <is>
          <t>Tiêm kích tàng hình mặt phẳng góc cạnh, 2 đuôi nghiêng ra ngoài, cửa hút khí vát, không treo vũ khí ngoài. Từ trên xuống: hình kim cương dẹt. Kích thước đề xuất khoảng 7.6 × 5.4 × 2.0 m (dài × rộng × cao; 0,4 × mẫu thật F-22 / Su-57). Vũ khí nhìn thấy: AIM-120 AMRAAM, GBU-39 SDB (110 kg), GAU-22/A 25 mm. Vạch màu phe trên nóc và hai hông; không dùng phù hiệu, cờ hay logo quốc gia thật.</t>
        </is>
      </c>
      <c r="F42" s="39" t="inlineStr">
        <is>
          <t>thắng màn mở khóa trong chiến dịch, hoặc mua sớm 2.400 xu</t>
        </is>
      </c>
      <c r="G42" s="39" t="inlineStr">
        <is>
          <t>Chương 7</t>
        </is>
      </c>
      <c r="H42" s="39" t="inlineStr">
        <is>
          <t>1.500 xu</t>
        </is>
      </c>
      <c r="I42" s="42" t="n">
        <v>14</v>
      </c>
      <c r="J42" s="42" t="n">
        <v>1056</v>
      </c>
      <c r="K42" s="39" t="inlineStr">
        <is>
          <t>cấp 0 (Không giáp)</t>
        </is>
      </c>
      <c r="L42" s="42" t="n">
        <v>40</v>
      </c>
      <c r="M42" s="42" t="n">
        <v>76</v>
      </c>
      <c r="N42" s="42" t="n">
        <v>84</v>
      </c>
      <c r="O42" s="42" t="n">
        <v>51</v>
      </c>
      <c r="P42" s="42" t="n">
        <v>230</v>
      </c>
      <c r="Q42" s="42" t="n">
        <v>37</v>
      </c>
      <c r="R42" s="50">
        <f>IFERROR(O42/I42,"")</f>
        <v/>
      </c>
      <c r="S42" s="50">
        <f>IFERROR(J42/I42,"")</f>
        <v/>
      </c>
      <c r="T42" s="42" t="n">
        <v>173</v>
      </c>
      <c r="U42" s="42" t="n">
        <v>176</v>
      </c>
      <c r="V42" s="42" t="n">
        <v>221</v>
      </c>
      <c r="W42" s="42" t="n">
        <v>219</v>
      </c>
      <c r="X42" s="42" t="n">
        <v>9</v>
      </c>
      <c r="Y42" s="39" t="inlineStr">
        <is>
          <t>53%</t>
        </is>
      </c>
      <c r="Z42" s="42" t="n">
        <v>57</v>
      </c>
      <c r="AA42" s="42" t="n">
        <v>0.33</v>
      </c>
      <c r="AB42" s="39" t="inlineStr">
        <is>
          <t>F-22 Raptor, Su-57, GAU-22/A 25 mm — Tiêm kích tàng hình hai đuôi</t>
        </is>
      </c>
      <c r="AC42" s="39" t="inlineStr">
        <is>
          <t>giáp 0, giáp 1, giáp 2, giáp 3, trên không, công trình</t>
        </is>
      </c>
      <c r="AD42" s="39" t="inlineStr">
        <is>
          <t>mảnh, năng lượng</t>
        </is>
      </c>
      <c r="AE42" s="39" t="inlineStr">
        <is>
          <t>tàng hình: địch chỉ thấy ở 40% tầm nhìn, và trong 2,5 giây sau mỗi lần khai hỏa; trạm radar, tháp canh và UAV quét làm lộ nó. Bốn</t>
        </is>
      </c>
      <c r="AF42" s="39" t="inlineStr">
        <is>
          <t>Săn máy bay địch; Sau mỗi lượt nó vòng lại và vào lượt mới; Ưu tiên máy bay; Hết đạn thì làm xong lượt tấn công, rồi ra vòng chờ sau tuyến quân ta; quay lại khi hồi được; một nửa; Máu thấp thì bay về Bãi đáp (không có thì về sở chỉ huy) để sửa; Pháo sáng: khi có tên lửa lao tới (mỗi 16 giây); Khó phát hiện: địch chỉ thấy ở 40% tầm nhìn</t>
        </is>
      </c>
      <c r="AG42" s="39" t="inlineStr">
        <is>
          <t>AIM-120 AMRAAM [Mảnh, xuyên 3, tên lửa phòng không dẫn đường] nổ lan/phát · 294 · tầm hồi 3.99 s · 60 m
GBU-39 SDB (110 kg) [Nổ mạnh, xuyên 3, bom dẫn đường đánh nóc] nổ lan/phát · 210 · tầm hồi 6.651 s · 30 m
GAU-22/A 25 mm [Mảnh, xuyên 2, đạn pháo động năng (pháo tự động)] 18/phát · băng 44 viên, 9 viên/s, thay 1 s · tầm 30 m · Tất cả</t>
        </is>
      </c>
      <c r="AH42" s="39" t="inlineStr">
        <is>
          <t>• Vũ khí và giá: +1 AIM-120 mỗi lần đầy đạn; giá 14→13</t>
        </is>
      </c>
      <c r="AI42" s="39" t="inlineStr">
        <is>
          <t>• Vũ khí và giá: Đắt hơn nhưng kém tiêm kích thường ở vai trò chính.</t>
        </is>
      </c>
      <c r="AJ42" s="48" t="inlineStr">
        <is>
          <t>Trung</t>
        </is>
      </c>
    </row>
    <row r="43" ht="105.75" customHeight="1" s="32">
      <c r="A43" s="41"/>
      <c r="B43" s="41"/>
      <c r="C43" s="41"/>
      <c r="D43" s="41"/>
      <c r="E43" s="41"/>
      <c r="F43" s="41"/>
      <c r="G43" s="41"/>
      <c r="H43" s="41"/>
      <c r="I43" s="43"/>
      <c r="J43" s="43"/>
      <c r="K43" s="41"/>
      <c r="L43" s="43"/>
      <c r="M43" s="43"/>
      <c r="N43" s="43"/>
      <c r="O43" s="43"/>
      <c r="P43" s="43"/>
      <c r="Q43" s="43"/>
      <c r="R43" s="51"/>
      <c r="S43" s="51"/>
      <c r="T43" s="43"/>
      <c r="U43" s="43"/>
      <c r="V43" s="43"/>
      <c r="W43" s="43"/>
      <c r="X43" s="43"/>
      <c r="Y43" s="41"/>
      <c r="Z43" s="43"/>
      <c r="AA43" s="43"/>
      <c r="AB43" s="41"/>
      <c r="AC43" s="41"/>
      <c r="AD43" s="41"/>
      <c r="AE43" s="41"/>
      <c r="AF43" s="41"/>
      <c r="AG43" s="41"/>
      <c r="AH43" s="41"/>
      <c r="AI43" s="41"/>
      <c r="AJ43" s="48"/>
    </row>
    <row r="44" ht="105.75" customHeight="1" s="32">
      <c r="A44" s="39" t="inlineStr">
        <is>
          <t>attack_jet</t>
        </is>
      </c>
      <c r="B44" s="39" t="inlineStr">
        <is>
          <t>Máy bay cường kích</t>
        </is>
      </c>
      <c r="C44" s="39" t="inlineStr">
        <is>
          <t>Máy bay · bay</t>
        </is>
      </c>
      <c r="D44" s="39" t="inlineStr">
        <is>
          <t>bổ nhào càn quét bằng pháo 30 mm, giàn rốc-két 80 mm và bom 250 kg, kèm hai tên lửa chống tăng Kh-29 từ 40 m; hai R-60 chỉ đập nát xe nhẹ, xe tăng, tăng nặng, pháo binh và công sự, chịu đòn tốt hơn máy bay khác; xe phòng không, tên lửa phòng không</t>
        </is>
      </c>
      <c r="E44" s="39" t="inlineStr">
        <is>
          <t>Cường kích cánh thẳng, 2 động cơ ở gốc cánh, nhiều giá treo dưới cánh. Từ trên xuống: cánh thẳng rộng, ngắn hơn tiêm kích. Kích thước đề xuất khoảng 6.2 × 5.8 × 1.9 m (dài × rộng × cao; 0,4 × mẫu thật Su-25). Vũ khí nhìn thấy: GSh-30-2 30 mm, S-8 80 mm, FAB-250 (250 kg), Kh-29L, R-60. Vạch màu phe trên nóc và hai hông; không dùng phù hiệu, cờ hay logo quốc gia thật.</t>
        </is>
      </c>
      <c r="F44" s="39" t="inlineStr">
        <is>
          <t>thắng màn mở khóa trong chiến dịch, hoặc mua sớm 2.700 xu</t>
        </is>
      </c>
      <c r="G44" s="39" t="inlineStr">
        <is>
          <t>Chương 7</t>
        </is>
      </c>
      <c r="H44" s="39" t="inlineStr">
        <is>
          <t>1.500 xu</t>
        </is>
      </c>
      <c r="I44" s="42" t="n">
        <v>16</v>
      </c>
      <c r="J44" s="42" t="n">
        <v>1870</v>
      </c>
      <c r="K44" s="39" t="inlineStr">
        <is>
          <t>cấp 2 (Vừa)</t>
        </is>
      </c>
      <c r="L44" s="42" t="n">
        <v>32</v>
      </c>
      <c r="M44" s="42" t="n">
        <v>50</v>
      </c>
      <c r="N44" s="42" t="n">
        <v>441</v>
      </c>
      <c r="O44" s="42" t="n">
        <v>244</v>
      </c>
      <c r="P44" s="42" t="n">
        <v>17</v>
      </c>
      <c r="Q44" s="42" t="n">
        <v>265</v>
      </c>
      <c r="R44" s="50">
        <f>IFERROR(O44/I44,"")</f>
        <v/>
      </c>
      <c r="S44" s="50">
        <f>IFERROR(J44/I44,"")</f>
        <v/>
      </c>
      <c r="T44" s="42" t="n">
        <v>781</v>
      </c>
      <c r="U44" s="42" t="n">
        <v>913</v>
      </c>
      <c r="V44" s="42" t="n">
        <v>526</v>
      </c>
      <c r="W44" s="42" t="n">
        <v>47</v>
      </c>
      <c r="X44" s="42" t="n">
        <v>84</v>
      </c>
      <c r="Y44" s="39" t="inlineStr">
        <is>
          <t>54%</t>
        </is>
      </c>
      <c r="Z44" s="42" t="n">
        <v>60</v>
      </c>
      <c r="AA44" s="42" t="n">
        <v>1.27</v>
      </c>
      <c r="AB44" s="39" t="inlineStr">
        <is>
          <t>Su-25 Frogfoot, A-10 Thunderbolt II (model tank_buster), GSh-30-2 30 mm — Máy bay cường kích yểm trợ mặt đất</t>
        </is>
      </c>
      <c r="AC44" s="39" t="inlineStr">
        <is>
          <t>giáp 0, giáp 1, giáp 2, giáp 3, giáp 4, trên không, công trình</t>
        </is>
      </c>
      <c r="AD44" s="39" t="inlineStr">
        <is>
          <t>mảnh, năng lượng</t>
        </is>
      </c>
      <c r="AE44" s="39" t="inlineStr">
        <is>
          <t>bổ nhào càn quét bằng pháo 30 mm, giàn rốc-két 80 mm và bom 250 kg, kèm hai tên lửa chống tăng Kh-29 từ 40 m; hai R-60 chỉ</t>
        </is>
      </c>
      <c r="AF44" s="39" t="inlineStr">
        <is>
          <t>Bổ nhào xả hỏa lực vào mục tiêu, rồi vòng lại lượt khác; Sau mỗi lượt nó vòng lại và vào lượt mới; Bắn hết 94 viên thì thay băng; Ưu tiên xe bọc thép nhẹ, xe tăng, tăng hạng nặng, pháo binh, công sự; Hết đạn thì làm xong lượt tấn công, rồi ra vòng chờ sau tuyến quân ta; quay lại khi hồi được; một nửa; Máu thấp thì bay về Bãi đáp (không có thì về sở chỉ huy) để sửa; Pháo sáng: khi có tên lửa lao tới (mỗi 16 giây)</t>
        </is>
      </c>
      <c r="AG44" s="39" t="inlineStr">
        <is>
          <t>GSh-30-2 30 mm [Động năng, xuyên 2, đạn pháo động năng (pháo tự động)] 23/phát · băng 94 viên, 19 viên/s, thay 1 s · tầm 30 m · Mặt đất
S-8 80 mm [Nổ mạnh, xuyên 2, rốc-két nổ lan] 32/phát · loạt 8, hồi 4.05 s · tầm 34 m · Mặt đất
FAB-250 (250 kg) [Nổ mạnh, xuyên 2, bom thường đánh nóc] nổ lan/phát · 310 · tầm loạt 2, hồi 10.05 s · 26 m
Kh-29L [Nổ lõm, xuyên 4, tên lửa chống tăng dẫn đường] 378/phát · hồi 7.86 s · tầm 40 m · Mặt đất
R-60 [Mảnh, xuyên 2, tên lửa phòng không dẫn đường] nổ lan/phát · 184 · tầm hồi 7 s · 28 m</t>
        </is>
      </c>
      <c r="AH44" s="39" t="inlineStr">
        <is>
          <t>• Vũ khí: FAB-250: 1 quả
• Vũ khí: Kh-29L, R-60: Kh-29L: 32 (bay 1,25 s) · R-60: 42
• Giá: 18 CP
• Vũ khí: GSh-30-2: băng 70 viên, nạp 1,5 s</t>
        </is>
      </c>
      <c r="AI44" s="39" t="inlineStr">
        <is>
          <t>• Vũ khí: FAB-250: Giá trị lên công sự 1.156 cao nhất nhóm cùng giá.
• Vũ khí: Kh-29L, R-60: Tên lửa không đối đất nặng và tên lửa không đối không đang chậm nhất game.
• Giá: Mạnh nhất nhóm máy bay tính theo CP.
• Vũ khí: GSh-30-2: Lần cân bằng 2: vẫn mạnh sau khi tăng giá và bớt bom.</t>
        </is>
      </c>
      <c r="AJ44" s="47" t="inlineStr">
        <is>
          <t>Cao</t>
        </is>
      </c>
    </row>
    <row r="45" ht="84.75" customHeight="1" s="32">
      <c r="A45" s="41" t="inlineStr">
        <is>
          <t>stealth_bomber</t>
        </is>
      </c>
      <c r="B45" s="41" t="inlineStr">
        <is>
          <t>Máy bay ném bom tàng hình</t>
        </is>
      </c>
      <c r="C45" s="41" t="inlineStr">
        <is>
          <t>Máy bay · bay</t>
        </is>
      </c>
      <c r="D45" s="41" t="inlineStr">
        <is>
          <t>mỗi lượt thả ba quả bom cực lớn, phóng tên lửa JASSM từ 90 m; tàng hình: chỉ bị thấy ở gần hoặc ngay sau khi bắn. phá hủy công sự, tăng hạng nặng và pháo binh; một khi lộ diện, tên lửa phòng không và tiêm kích vẫn hạ được.</t>
        </is>
      </c>
      <c r="E45" s="41" t="inlineStr">
        <is>
          <t>Cánh bay hình chữ W răng cưa, không đuôi, rất rộng so với chiều dài. Từ trên xuống: hình boomerang răng cưa. Kích thước đề xuất khoảng 8.4 × 21.0 × 2.1 m (dài × rộng × cao; 0,4 × mẫu thật B-2 Spirit). Vũ khí nhìn thấy: GBU-31 JDAM (907 kg), AGM-158 JASSM (450 kg). Vạch màu phe trên nóc và hai hông; không dùng phù hiệu, cờ hay logo quốc gia thật.</t>
        </is>
      </c>
      <c r="F45" s="41" t="inlineStr">
        <is>
          <t>thẻ cao cấp, mua 5.000 xu</t>
        </is>
      </c>
      <c r="G45" s="41" t="inlineStr">
        <is>
          <t>Chương 10</t>
        </is>
      </c>
      <c r="H45" s="41" t="inlineStr">
        <is>
          <t>2.500 xu</t>
        </is>
      </c>
      <c r="I45" s="43" t="n">
        <v>18</v>
      </c>
      <c r="J45" s="43" t="n">
        <v>1980</v>
      </c>
      <c r="K45" s="41" t="inlineStr">
        <is>
          <t>cấp 0 (Không giáp)</t>
        </is>
      </c>
      <c r="L45" s="43" t="n">
        <v>28</v>
      </c>
      <c r="M45" s="43" t="n">
        <v>60</v>
      </c>
      <c r="N45" s="43" t="n">
        <v>114</v>
      </c>
      <c r="O45" s="43" t="n">
        <v>98</v>
      </c>
      <c r="P45" s="43" t="n">
        <v>0</v>
      </c>
      <c r="Q45" s="43" t="n">
        <v>157</v>
      </c>
      <c r="R45" s="51">
        <f>IFERROR(O45/I45,"")</f>
        <v/>
      </c>
      <c r="S45" s="51">
        <f>IFERROR(J45/I45,"")</f>
        <v/>
      </c>
      <c r="T45" s="43" t="n">
        <v>336</v>
      </c>
      <c r="U45" s="43" t="n">
        <v>546</v>
      </c>
      <c r="V45" s="43" t="n">
        <v>862</v>
      </c>
      <c r="W45" s="43" t="n">
        <v>0</v>
      </c>
      <c r="X45" s="43" t="n">
        <v>286</v>
      </c>
      <c r="Y45" s="41" t="inlineStr">
        <is>
          <t>19%</t>
        </is>
      </c>
      <c r="Z45" s="43" t="n">
        <v>80</v>
      </c>
      <c r="AA45" s="43" t="n">
        <v>1</v>
      </c>
      <c r="AB45" s="41" t="inlineStr">
        <is>
          <t>B-2 Spirit, GBU-31 JDAM, AGM-158 JASSM — Máy bay ném bom tàng hình cánh bay</t>
        </is>
      </c>
      <c r="AC45" s="41" t="inlineStr">
        <is>
          <t>giáp 0, giáp 1, giáp 2, giáp 3, giáp 4, công trình</t>
        </is>
      </c>
      <c r="AD45" s="41" t="inlineStr">
        <is>
          <t>mảnh, năng lượng</t>
        </is>
      </c>
      <c r="AE45" s="41" t="inlineStr">
        <is>
          <t>mỗi lượt thả ba quả bom cực lớn, phóng tên lửa JASSM từ 90 m; tàng hình: chỉ bị thấy ở gần hoặc ngay sau khi bắn.</t>
        </is>
      </c>
      <c r="AF45" s="41" t="inlineStr">
        <is>
          <t>Bay qua mục tiêu và thả bom theo lượt; Sau mỗi lượt nó vòng lại và vào lượt mới; Ưu tiên cụm xe và công trình; không ném bom gần quân ta; Chỉ vào lượt ném khi có đủ 2/3 số bom; thiếu thì chờ ở vòng chờ; Máu thấp thì bay về Bãi đáp (không có thì về sở chỉ huy) để sửa; Pháo sáng: khi có tên lửa lao tới (mỗi 11 giây); Khó phát hiện: địch chỉ thấy ở 40% tầm nhìn; Oanh tạc cơ hạng nặng</t>
        </is>
      </c>
      <c r="AG45" s="41" t="inlineStr">
        <is>
          <t>GBU-31 JDAM (907 kg) [Nổ mạnh, xuyên 4, bom hạng nặng đánh nóc] nổ lan/phát · 892 · tầm loạt 2, hồi 14 s · 30 m
AGM-158 JASSM (450 kg) [Nổ mạnh, xuyên 3, tên lửa hành trình dẫn đường] nổ lan/phát · 410 · tầm loạt 2, hồi 9.24 s · 90 m</t>
        </is>
      </c>
      <c r="AH45" s="41" t="inlineStr">
        <is>
          <t>• Giá: 21 CP
• Vũ khí: JASSM: nổ lan 9 m · tốc độ 20 (bay 4,5 s, đủ để bị đánh chặn)</t>
        </is>
      </c>
      <c r="AI45" s="41" t="inlineStr">
        <is>
          <t>• Giá: Máy bay ném bom tàng hình đắt nhất thế giới lại rẻ hơn B-52; hiệu quả sau đổi giá vẫn gần trung vị.
• Vũ khí: JASSM: Đầu nổ 450 kg đang nổ nhỏ hơn bom 250 kg.</t>
        </is>
      </c>
      <c r="AJ45" s="48" t="inlineStr">
        <is>
          <t>Trung</t>
        </is>
      </c>
    </row>
    <row r="46" ht="74.25" customHeight="1" s="32">
      <c r="A46" s="39" t="inlineStr">
        <is>
          <t>heavy_bomber</t>
        </is>
      </c>
      <c r="B46" s="39" t="inlineStr">
        <is>
          <t>Oanh tạc cơ hạng nặng</t>
        </is>
      </c>
      <c r="C46" s="39" t="inlineStr">
        <is>
          <t>Máy bay · bay</t>
        </is>
      </c>
      <c r="D46" s="39" t="inlineStr">
        <is>
          <t>bay qua và thả một hàng 12 quả bom nặng; phóng tên lửa hành trình từ 110 m; súng đuôi bắn máy bay. san phẳng công sự, pháo binh và cụm xe nhẹ; sợ tên lửa phòng không và tiêm kích.</t>
        </is>
      </c>
      <c r="E46" s="39" t="inlineStr">
        <is>
          <t>Oanh tạc cơ 8 động cơ treo thành 4 cặp dưới cánh xuôi dài, thân dài, đuôi cao. Lớn nhất trong máy bay của người chơi. Từ trên xuống: cánh xuôi dài với 4 cặp động cơ. Kích thước đề xuất khoảng 19.4 × 22.6 × 5.0 m (dài × rộng × cao; 0,4 × mẫu thật B-52). Vũ khí nhìn thấy: FAB-500 (500 kg), M3 12.7 mm (quad tail), Kh-101 (400 kg). Vạch màu phe trên nóc và hai hông; không dùng phù hiệu, cờ hay logo quốc gia thật.</t>
        </is>
      </c>
      <c r="F46" s="39" t="inlineStr">
        <is>
          <t>thẻ cao cấp, mua 4.000 xu</t>
        </is>
      </c>
      <c r="G46" s="39" t="inlineStr">
        <is>
          <t>Chương 9</t>
        </is>
      </c>
      <c r="H46" s="39" t="inlineStr">
        <is>
          <t>1.500 xu</t>
        </is>
      </c>
      <c r="I46" s="42" t="n">
        <v>22</v>
      </c>
      <c r="J46" s="42" t="n">
        <v>3300</v>
      </c>
      <c r="K46" s="39" t="inlineStr">
        <is>
          <t>cấp 0 (Không giáp)</t>
        </is>
      </c>
      <c r="L46" s="42" t="n">
        <v>22</v>
      </c>
      <c r="M46" s="42" t="n">
        <v>50</v>
      </c>
      <c r="N46" s="42" t="n">
        <v>156</v>
      </c>
      <c r="O46" s="42" t="n">
        <v>149</v>
      </c>
      <c r="P46" s="42" t="n">
        <v>23</v>
      </c>
      <c r="Q46" s="42" t="n">
        <v>228</v>
      </c>
      <c r="R46" s="50">
        <f>IFERROR(O46/I46,"")</f>
        <v/>
      </c>
      <c r="S46" s="50">
        <f>IFERROR(J46/I46,"")</f>
        <v/>
      </c>
      <c r="T46" s="42" t="n">
        <v>399</v>
      </c>
      <c r="U46" s="42" t="n">
        <v>600</v>
      </c>
      <c r="V46" s="42" t="n">
        <v>971</v>
      </c>
      <c r="W46" s="42" t="n">
        <v>28</v>
      </c>
      <c r="X46" s="42" t="n">
        <v>218</v>
      </c>
      <c r="Y46" s="39" t="inlineStr">
        <is>
          <t>33%</t>
        </is>
      </c>
      <c r="Z46" s="42" t="n">
        <v>71</v>
      </c>
      <c r="AA46" s="42" t="n">
        <v>1.13</v>
      </c>
      <c r="AB46" s="39" t="inlineStr">
        <is>
          <t>B-52 Stratofortress, FAB-500, Kh-101 — Máy bay ném bom chiến lược tám động cơ</t>
        </is>
      </c>
      <c r="AC46" s="39" t="inlineStr">
        <is>
          <t>giáp 0, giáp 1, giáp 2, giáp 3, công trình</t>
        </is>
      </c>
      <c r="AD46" s="39" t="inlineStr">
        <is>
          <t>mảnh, năng lượng</t>
        </is>
      </c>
      <c r="AE46" s="39" t="inlineStr">
        <is>
          <t>bay qua và thả một hàng 12 quả bom nặng; phóng tên lửa hành trình từ 110 m; súng đuôi bắn máy bay.</t>
        </is>
      </c>
      <c r="AF46" s="39" t="inlineStr">
        <is>
          <t>Bay qua mục tiêu và thả bom theo lượt; Sau mỗi lượt nó vòng lại và vào lượt mới; Ưu tiên cụm xe và công trình; không ném bom gần quân ta; Chỉ vào lượt ném khi có đủ 2/3 số bom; thiếu thì chờ ở vòng chờ; Máu thấp thì bay về Bãi đáp (không có thì về sở chỉ huy) để sửa; Pháo sáng: khi có tên lửa lao tới (mỗi 11 giây); Pháo hạm AC-130</t>
        </is>
      </c>
      <c r="AG46" s="39" t="inlineStr">
        <is>
          <t>FAB-500 (500 kg) [Nổ mạnh, xuyên 3, bom thường đánh nóc] nổ lan/phát · 420 · tầm loạt 9, hồi 11 s · 28 m
M3 12.7 mm (quad tail) [Động năng, xuyên 1, đạn súng (cỡ lớn)] 10/phát · băng 26 viên, 60 viên/s, thay 2.78 s · tầm 30 m · Trên không
Kh-101 (400 kg) [Nổ mạnh, xuyên 3, tên lửa hành trình dẫn đường] nổ lan/phát · 378 · tầm hồi 11.2 s · 110 m</t>
        </is>
      </c>
      <c r="AH46" s="39" t="inlineStr">
        <is>
          <t>• Vũ khí: Kh-101: nổ lan 9 m · tốc độ 22 (bay 5 s)
• Vũ khí: FAB-500: 7 quả mỗi lượt</t>
        </is>
      </c>
      <c r="AI46" s="39" t="inlineStr">
        <is>
          <t>• Vũ khí: Kh-101: Như JASSM.
• Vũ khí: FAB-500: Lần cân bằng 2: vẫn mạnh hơn trung vị máy bay cả khi đo DPS và giá trị thực chiến.</t>
        </is>
      </c>
      <c r="AJ46" s="48" t="inlineStr">
        <is>
          <t>Trung</t>
        </is>
      </c>
    </row>
    <row r="47" ht="63.75" customHeight="1" s="32">
      <c r="A47" s="41" t="inlineStr">
        <is>
          <t>sky_gunship</t>
        </is>
      </c>
      <c r="B47" s="41" t="inlineStr">
        <is>
          <t>Pháo hạm AC-130</t>
        </is>
      </c>
      <c r="C47" s="41" t="inlineStr">
        <is>
          <t>Máy bay · bay</t>
        </is>
      </c>
      <c r="D47" s="41" t="inlineStr">
        <is>
          <t>bay tới nơi bạn chỉ định và bay vòng ngược chiều kim đồng hồ quanh địch ở đó, cách chừng 22 m, pháo 105, 40 và 25 mm cùng bắn nghiền nát xe nhẹ, xe tăng, pháo binh và tháp; không bắn được máy bay nên sợ tên lửa phòng không và tiêm kích.</t>
        </is>
      </c>
      <c r="E47" s="41" t="inlineStr">
        <is>
          <t>Máy bay vận tải 4 động cơ cánh quạt, pháo 105 mm, 40 mm, 25 mm thò ra bên mạn trái. Cùng khung với Máy bay mẹ. Từ trên xuống: như máy bay vận tải, 3 nòng lệch trái. Kích thước đề xuất khoảng 11.9 × 16.2 × 4.6 m (dài × rộng × cao; 0,4 × mẫu thật AC-130). Vũ khí nhìn thấy: M102 105 mm, Bofors L/60 40 mm, GAU-12 Equalizer 25 mm. Vạch màu phe trên nóc và hai hông; không dùng phù hiệu, cờ hay logo quốc gia thật.</t>
        </is>
      </c>
      <c r="F47" s="41" t="inlineStr">
        <is>
          <t>thẻ cao cấp, mua 4.500 xu</t>
        </is>
      </c>
      <c r="G47" s="41" t="inlineStr">
        <is>
          <t>Chương 10</t>
        </is>
      </c>
      <c r="H47" s="41" t="inlineStr">
        <is>
          <t>2.500 xu</t>
        </is>
      </c>
      <c r="I47" s="43" t="n">
        <v>22</v>
      </c>
      <c r="J47" s="43" t="n">
        <v>4400</v>
      </c>
      <c r="K47" s="41" t="inlineStr">
        <is>
          <t>cấp 0 (Không giáp)</t>
        </is>
      </c>
      <c r="L47" s="43" t="n">
        <v>16</v>
      </c>
      <c r="M47" s="43" t="n">
        <v>64</v>
      </c>
      <c r="N47" s="43" t="n">
        <v>376</v>
      </c>
      <c r="O47" s="43" t="n">
        <v>188</v>
      </c>
      <c r="P47" s="43" t="n">
        <v>0</v>
      </c>
      <c r="Q47" s="43" t="n">
        <v>359</v>
      </c>
      <c r="R47" s="51">
        <f>IFERROR(O47/I47,"")</f>
        <v/>
      </c>
      <c r="S47" s="51">
        <f>IFERROR(J47/I47,"")</f>
        <v/>
      </c>
      <c r="T47" s="41" t="n"/>
      <c r="U47" s="41" t="n"/>
      <c r="V47" s="41" t="n"/>
      <c r="W47" s="41" t="n"/>
      <c r="X47" s="41" t="n"/>
      <c r="Y47" s="41" t="n"/>
      <c r="Z47" s="41" t="n"/>
      <c r="AA47" s="41" t="n"/>
      <c r="AB47" s="41" t="inlineStr">
        <is>
          <t>AC-130U Spooky (M102 105 mm, Bofors 40 mm, GAU-12 25 mm) — Pháo hạm bay bắn sang trái, dàn pháo theo AC-130U</t>
        </is>
      </c>
      <c r="AC47" s="41" t="inlineStr">
        <is>
          <t>giáp 0, giáp 1, giáp 2, công trình</t>
        </is>
      </c>
      <c r="AD47" s="41" t="inlineStr">
        <is>
          <t>mảnh, năng lượng</t>
        </is>
      </c>
      <c r="AE47" s="41" t="inlineStr">
        <is>
          <t>bay tới nơi bạn chỉ định và bay vòng ngược chiều kim đồng hồ quanh địch ở đó, cách chừng 22 m, pháo 105, 40 và 25 mm cùng bắn</t>
        </is>
      </c>
      <c r="AF47" s="41" t="inlineStr">
        <is>
          <t>Bay vòng quanh mục tiêu, bắn từ mạn; Ưu tiên xe bọc thép nhẹ, xe tăng, pháo binh; Máu thấp thì bay về Bãi đáp (không có thì về sở chỉ huy) để sửa; Pháo sáng: khi có tên lửa lao tới (mỗi 11 giây); Hạng nặng (6); Xe công sự</t>
        </is>
      </c>
      <c r="AG47" s="41" t="inlineStr">
        <is>
          <t>M102 105 mm [Nổ mạnh, xuyên 2, đạn pháo nổ mạnh nổ lan] 200/phát · hồi 2.743 s · tầm 58 m · Mặt đất
Bofors L/60 40 mm [Nổ mạnh, xuyên 2, đạn pháo động năng (pháo tự động) nổ lan] 30/phát · băng 29 viên, 6 viên/s, thay 1 s · tầm 55 m · Mặt đất
GAU-12 Equalizer 25 mm [Động năng, xuyên 2, đạn pháo động năng (pháo tự động)] 17/phát · băng 56 viên, 11 viên/s, thay 1 s · tầm 50 m · Mặt đất</t>
        </is>
      </c>
      <c r="AH47" s="41" t="inlineStr">
        <is>
          <t>Giữ.</t>
        </is>
      </c>
      <c r="AI47" s="41" t="inlineStr">
        <is>
          <t>Xe hỗ trợ, chưa có chỉ số đo; giữ.</t>
        </is>
      </c>
      <c r="AJ47" s="49" t="inlineStr">
        <is>
          <t>Thấp</t>
        </is>
      </c>
    </row>
    <row r="48" ht="53.25" customHeight="1" s="32">
      <c r="A48" s="39"/>
      <c r="B48" s="39"/>
      <c r="C48" s="39"/>
      <c r="D48" s="39"/>
      <c r="E48" s="39"/>
      <c r="F48" s="39"/>
      <c r="G48" s="39"/>
      <c r="H48" s="39"/>
      <c r="I48" s="42"/>
      <c r="J48" s="42"/>
      <c r="K48" s="39"/>
      <c r="L48" s="42"/>
      <c r="M48" s="42"/>
      <c r="N48" s="42"/>
      <c r="O48" s="42"/>
      <c r="P48" s="42"/>
      <c r="Q48" s="42"/>
      <c r="R48" s="50"/>
      <c r="S48" s="50"/>
      <c r="T48" s="42"/>
      <c r="U48" s="42"/>
      <c r="V48" s="42"/>
      <c r="W48" s="42"/>
      <c r="X48" s="42"/>
      <c r="Y48" s="39"/>
      <c r="Z48" s="42"/>
      <c r="AA48" s="42"/>
      <c r="AB48" s="39"/>
      <c r="AC48" s="39"/>
      <c r="AD48" s="39"/>
      <c r="AE48" s="39"/>
      <c r="AF48" s="39"/>
      <c r="AG48" s="39"/>
      <c r="AH48" s="39"/>
      <c r="AI48" s="39"/>
      <c r="AJ48" s="49"/>
    </row>
    <row r="49" ht="42.75" customHeight="1" s="32">
      <c r="A49" s="41" t="inlineStr">
        <is>
          <t>armored_bulldozer</t>
        </is>
      </c>
      <c r="B49" s="41" t="inlineStr">
        <is>
          <t>Xe ủi bọc thép</t>
        </is>
      </c>
      <c r="C49" s="41" t="inlineStr">
        <is>
          <t>Hạng nặng</t>
        </is>
      </c>
      <c r="D49" s="41" t="inlineStr">
        <is>
          <t>chỉ có súng máy trên nóc; lưỡi ủi húc tháp, lô cốt và nhà cửa với sát thương gấp ba (4 m), ủi phẳng răng rồng khi lao qua, và chỉ phá công sự ở cự ly gần tốt nhất; gần như không làm gì được xe tăng, và xe diệt tăng, tên lửa chống tăng cùng mọi thứ bắn xa hơn</t>
        </is>
      </c>
      <c r="E49" s="41" t="inlineStr">
        <is>
          <t>Xe ủi xích bọc thép hộp, lưỡi ủi rất lớn, ca-bin kính chống đạn có lưới. Từ trên xuống: lưỡi ủi rộng hơn thân. Kích thước đề xuất khoảng 6.5 × 3.7 × 3.2 m (dài × rộng × cao; 0,8 × mẫu thật IDF D9R). Vũ khí nhìn thấy: dozer blade, M2 Browning 12.7 mm. Vạch màu phe trên nóc và hai hông; không dùng phù hiệu, cờ hay logo quốc gia thật.</t>
        </is>
      </c>
      <c r="F49" s="41" t="inlineStr">
        <is>
          <t>thắng màn mở khóa trong chiến dịch, hoặc mua sớm 1.350 xu</t>
        </is>
      </c>
      <c r="G49" s="41" t="inlineStr">
        <is>
          <t>Chương 4</t>
        </is>
      </c>
      <c r="H49" s="41" t="inlineStr">
        <is>
          <t>800 xu</t>
        </is>
      </c>
      <c r="I49" s="43" t="n">
        <v>7</v>
      </c>
      <c r="J49" s="43" t="n">
        <v>2860</v>
      </c>
      <c r="K49" s="41" t="inlineStr">
        <is>
          <t>3/3/2/2</t>
        </is>
      </c>
      <c r="L49" s="43" t="n">
        <v>5</v>
      </c>
      <c r="M49" s="43" t="n">
        <v>30</v>
      </c>
      <c r="N49" s="43" t="n">
        <v>91</v>
      </c>
      <c r="O49" s="43" t="n">
        <v>37</v>
      </c>
      <c r="P49" s="43" t="n">
        <v>16</v>
      </c>
      <c r="Q49" s="43" t="n">
        <v>41</v>
      </c>
      <c r="R49" s="51">
        <f>IFERROR(O49/I49,"")</f>
        <v/>
      </c>
      <c r="S49" s="51">
        <f>IFERROR(J49/I49,"")</f>
        <v/>
      </c>
      <c r="T49" s="43" t="n">
        <v>523</v>
      </c>
      <c r="U49" s="43" t="n">
        <v>227</v>
      </c>
      <c r="V49" s="43" t="n">
        <v>378</v>
      </c>
      <c r="W49" s="43" t="n">
        <v>14</v>
      </c>
      <c r="X49" s="43" t="n">
        <v>239</v>
      </c>
      <c r="Y49" s="41" t="inlineStr">
        <is>
          <t>75%</t>
        </is>
      </c>
      <c r="Z49" s="43" t="n">
        <v>72</v>
      </c>
      <c r="AA49" s="43" t="n">
        <v>0.96</v>
      </c>
      <c r="AB49" s="41" t="inlineStr">
        <is>
          <t>IDF Caterpillar D9R — Xe ủi bọc thép chiến đấu</t>
        </is>
      </c>
      <c r="AC49" s="41" t="inlineStr">
        <is>
          <t>giáp 0, giáp 1, giáp 2, giáp 3, công trình</t>
        </is>
      </c>
      <c r="AD49" s="41" t="inlineStr">
        <is>
          <t>nổ mạnh, đánh nóc, nổ lõm, pháo xe tăng</t>
        </is>
      </c>
      <c r="AE49" s="41" t="inlineStr">
        <is>
          <t>chỉ có súng máy trên nóc; lưỡi ủi húc tháp, lô cốt và nhà cửa với sát thương gấp ba (4 m), ủi phẳng răng rồng khi lao qua, và chỉ</t>
        </is>
      </c>
      <c r="AF49" s="41" t="inlineStr">
        <is>
          <t>Vừa chạy vừa bắn; Tăng chủ lực</t>
        </is>
      </c>
      <c r="AG49" s="41" t="inlineStr">
        <is>
          <t>dozer blade [Động năng, xuyên 3, cận chiến (lưỡi ủi)] 110/phát · hồi 1.6 s · tầm 4.5 m · Mặt đất
M2 Browning 12.7 mm [Động năng, xuyên 1, đạn súng (cỡ lớn)] 10/phát · băng 28 viên, 9 viên/s, thay 2.02 s · tầm 30 m · Tất cả</t>
        </is>
      </c>
      <c r="AH49" s="41" t="inlineStr">
        <is>
          <t>Giữ.</t>
        </is>
      </c>
      <c r="AI49" s="41" t="inlineStr">
        <is>
          <t>Giá trị thực chiến nằm trong khoảng mục tiêu (hiệu quả 0.96 × trung vị vai trò).</t>
        </is>
      </c>
      <c r="AJ49" s="49" t="inlineStr">
        <is>
          <t>Thấp</t>
        </is>
      </c>
    </row>
    <row r="50" ht="63.75" customHeight="1" s="32">
      <c r="A50" s="39" t="inlineStr">
        <is>
          <t>main_battle_tank</t>
        </is>
      </c>
      <c r="B50" s="39" t="inlineStr">
        <is>
          <t>Tăng chủ lực</t>
        </is>
      </c>
      <c r="C50" s="39" t="inlineStr">
        <is>
          <t>Hạng nặng</t>
        </is>
      </c>
      <c r="D50" s="39" t="inlineStr">
        <is>
          <t>pháo 120 mm xuyên giáp vừa chạy vừa bắn ở tầm trung, súng máy trên nóc, súng đồng trục bắn máy bay khi mặt đất đã sạch. thắng xe nhẹ, trinh sát và phòng không; thua tăng hạng nặng, xe diệt tăng và trực thăng.</t>
        </is>
      </c>
      <c r="E50" s="39" t="inlineStr">
        <is>
          <t>Tăng chủ lực thân thấp dài, tháp góc cạnh, nòng 120 mm dài (vượt mũi ~1/3 thân), 7 bánh chịu lực. Dài hơn Xe bộ binh khoảng 1,5 lần. Từ trên xuống: tháp to ở giữa, nòng dài. Kích thước đề xuất khoảng 7.7 × 3.0 × 2.2 m (dài × rộng × cao; 0,8 × mẫu thật Leopard 2A4 / M1A1). Vũ khí nhìn thấy: Rh-120 L/44 120 mm, PKT / M240 7.62 mm, M2 Browning 12.7 mm. Vạch màu phe trên nóc và hai hông; không dùng phù hiệu, cờ hay logo quốc gia thật.</t>
        </is>
      </c>
      <c r="F50" s="39" t="inlineStr">
        <is>
          <t>có sẵn từ đầu</t>
        </is>
      </c>
      <c r="G50" s="39" t="inlineStr">
        <is>
          <t>Có sẵn</t>
        </is>
      </c>
      <c r="H50" s="39" t="inlineStr">
        <is>
          <t>—</t>
        </is>
      </c>
      <c r="I50" s="42" t="n">
        <v>7</v>
      </c>
      <c r="J50" s="42" t="n">
        <v>1980</v>
      </c>
      <c r="K50" s="39" t="inlineStr">
        <is>
          <t>3/2/1/1</t>
        </is>
      </c>
      <c r="L50" s="42" t="n">
        <v>6</v>
      </c>
      <c r="M50" s="42" t="n">
        <v>30</v>
      </c>
      <c r="N50" s="42" t="n">
        <v>126</v>
      </c>
      <c r="O50" s="42" t="n">
        <v>65</v>
      </c>
      <c r="P50" s="42" t="n">
        <v>28</v>
      </c>
      <c r="Q50" s="42" t="n">
        <v>57</v>
      </c>
      <c r="R50" s="50">
        <f>IFERROR(O50/I50,"")</f>
        <v/>
      </c>
      <c r="S50" s="50">
        <f>IFERROR(J50/I50,"")</f>
        <v/>
      </c>
      <c r="T50" s="42" t="n">
        <v>567</v>
      </c>
      <c r="U50" s="42" t="n">
        <v>324</v>
      </c>
      <c r="V50" s="42" t="n">
        <v>104</v>
      </c>
      <c r="W50" s="42" t="n">
        <v>8</v>
      </c>
      <c r="X50" s="42" t="n">
        <v>326</v>
      </c>
      <c r="Y50" s="39" t="inlineStr">
        <is>
          <t>71%</t>
        </is>
      </c>
      <c r="Z50" s="42" t="n">
        <v>57</v>
      </c>
      <c r="AA50" s="42" t="n">
        <v>0.84</v>
      </c>
      <c r="AB50" s="39" t="inlineStr">
        <is>
          <t>Leopard 2A4 (Rh-120 L/44), M1A1 Abrams (M256 120 mm) — Xe tăng chủ lực pháo nòng trơn 120 mm, giáp phản ứng nổ</t>
        </is>
      </c>
      <c r="AC50" s="39" t="inlineStr">
        <is>
          <t>giáp 0, giáp 1, giáp 2, giáp 3, giáp 4, công trình</t>
        </is>
      </c>
      <c r="AD50" s="39" t="inlineStr">
        <is>
          <t>nổ mạnh, đánh nóc, nổ lõm, pháo xe tăng</t>
        </is>
      </c>
      <c r="AE50" s="39" t="inlineStr">
        <is>
          <t>pháo 120 mm xuyên giáp vừa chạy vừa bắn ở tầm trung, súng máy trên nóc, súng đồng trục bắn máy bay khi mặt đất đã sạch.</t>
        </is>
      </c>
      <c r="AF50" s="39" t="inlineStr">
        <is>
          <t>Vừa chạy vừa bắn                                                                                    R; S; K; T; P; S; B; T</t>
        </is>
      </c>
      <c r="AG50" s="39" t="inlineStr">
        <is>
          <t>Rh-120 L/44 120 mm [Động năng, xuyên 4, đạn pháo động năng (≥120 mm) nổ lan] 240/phát · hồi 5.098 s · tầm 32 m · Mặt đất
PKT / M240 7.62 mm [Động năng, xuyên 0, đạn súng] 6/phát · băng 41 viên, 12 viên/s, thay 1.59 s · tầm 20 m · Tất cả
M2 Browning 12.7 mm [Động năng, xuyên 1, đạn súng (cỡ lớn)] 10/phát · băng 28 viên, 9 viên/s, thay 2.02 s · tầm 30 m · Tất cả</t>
        </is>
      </c>
      <c r="AH50" s="39" t="inlineStr">
        <is>
          <t>Giữ.</t>
        </is>
      </c>
      <c r="AI50" s="39" t="inlineStr">
        <is>
          <t>Giá trị thực chiến nằm trong khoảng mục tiêu (hiệu quả 0.84 × trung vị vai trò).</t>
        </is>
      </c>
      <c r="AJ50" s="49" t="inlineStr">
        <is>
          <t>Thấp</t>
        </is>
      </c>
    </row>
    <row r="51" ht="63.75" customHeight="1" s="32">
      <c r="A51" s="41" t="inlineStr">
        <is>
          <t>twin_tank</t>
        </is>
      </c>
      <c r="B51" s="41" t="inlineStr">
        <is>
          <t>Tăng hai nòng</t>
        </is>
      </c>
      <c r="C51" s="41" t="inlineStr">
        <is>
          <t>Hạng nặng</t>
        </is>
      </c>
      <c r="D51" s="41" t="inlineStr">
        <is>
          <t>hai pháo 120 mm bắn gần như cùng lúc, một phát đôi ở 34 m, rồi nạp lâu (7 giây); tháp xoay nhanh, chạy nhanh hơn tăng nặng; phát mở màn thắng tay đôi với tăng chủ lực và tăng nặng; bắn lại chậm, nên xe diệt tăng, trực thăng và bầy xe nhẹ bào mòn được</t>
        </is>
      </c>
      <c r="E51" s="41" t="inlineStr">
        <is>
          <t>Tăng lớn hơn MBT ~15%, tháp rộng mang 2 nòng song song. Từ trên xuống: 2 nòng song song nổi bật. Kích thước hiện 6.9 × 3.0 × 2.9 m. Vũ khí nhìn thấy: Rh-120 L/44 120 mm (twin), PKT / M240 7.62 mm, M2 Browning 12.7 mm. Vạch màu phe trên nóc và hai hông; không dùng phù hiệu, cờ hay logo quốc gia thật.</t>
        </is>
      </c>
      <c r="F51" s="41" t="inlineStr">
        <is>
          <t>thắng màn mở khóa trong chiến dịch, hoặc mua sớm 1.650 xu</t>
        </is>
      </c>
      <c r="G51" s="41" t="inlineStr">
        <is>
          <t>Chương 6</t>
        </is>
      </c>
      <c r="H51" s="41" t="inlineStr">
        <is>
          <t>800 xu</t>
        </is>
      </c>
      <c r="I51" s="43" t="n">
        <v>9</v>
      </c>
      <c r="J51" s="43" t="n">
        <v>2530</v>
      </c>
      <c r="K51" s="41" t="inlineStr">
        <is>
          <t>3/2/1/1</t>
        </is>
      </c>
      <c r="L51" s="43" t="n">
        <v>6</v>
      </c>
      <c r="M51" s="43" t="n">
        <v>32</v>
      </c>
      <c r="N51" s="43" t="n">
        <v>181</v>
      </c>
      <c r="O51" s="43" t="n">
        <v>111</v>
      </c>
      <c r="P51" s="43" t="n">
        <v>28</v>
      </c>
      <c r="Q51" s="43" t="n">
        <v>90</v>
      </c>
      <c r="R51" s="51">
        <f>IFERROR(O51/I51,"")</f>
        <v/>
      </c>
      <c r="S51" s="51">
        <f>IFERROR(J51/I51,"")</f>
        <v/>
      </c>
      <c r="T51" s="43" t="n">
        <v>611</v>
      </c>
      <c r="U51" s="43" t="n">
        <v>470</v>
      </c>
      <c r="V51" s="43" t="n">
        <v>149</v>
      </c>
      <c r="W51" s="43" t="n">
        <v>8</v>
      </c>
      <c r="X51" s="43" t="n">
        <v>540</v>
      </c>
      <c r="Y51" s="41" t="inlineStr">
        <is>
          <t>71%</t>
        </is>
      </c>
      <c r="Z51" s="43" t="n">
        <v>65</v>
      </c>
      <c r="AA51" s="43" t="n">
        <v>1.04</v>
      </c>
      <c r="AB51" s="41" t="inlineStr">
        <is>
          <t>Rh-120 L/44 (hai nòng) · Mammoth Tank (Command &amp; Conquer), Apocalypse Tank (Red Alert 2) — ước đoán: xe tăng hai nòng đặt</t>
        </is>
      </c>
      <c r="AC51" s="41" t="inlineStr">
        <is>
          <t>giáp 0, giáp 1, giáp 2, giáp 3, giáp 4, công trình</t>
        </is>
      </c>
      <c r="AD51" s="41" t="inlineStr">
        <is>
          <t>nổ mạnh, đánh nóc, nổ lõm, pháo xe tăng</t>
        </is>
      </c>
      <c r="AE51" s="41" t="inlineStr">
        <is>
          <t>hai pháo 120 mm bắn gần như cùng lúc, một phát đôi ở 34 m, rồi nạp lâu (7 giây); tháp xoay nhanh, chạy nhanh hơn tăng nặng;</t>
        </is>
      </c>
      <c r="AF51" s="41" t="inlineStr">
        <is>
          <t>Vừa chạy vừa bắn                                                                                    R; S; K; T; P; S; B; T</t>
        </is>
      </c>
      <c r="AG51" s="41" t="inlineStr">
        <is>
          <t>Rh-120 L/44 120 mm (twin) [Động năng, xuyên 4, đạn pháo động năng (≥120 mm) nổ lan] 240/phát · loạt 2, hồi 5.113 s · tầm 34 m · Mặt đất
PKT / M240 7.62 mm [Động năng, xuyên 0, đạn súng] 6/phát · băng 41 viên, 12 viên/s, thay 1.59 s · tầm 20 m · Tất cả
M2 Browning 12.7 mm [Động năng, xuyên 1, đạn súng (cỡ lớn)] 10/phát · băng 28 viên, 9 viên/s, thay 2.02 s · tầm 30 m · Tất cả</t>
        </is>
      </c>
      <c r="AH51" s="41" t="inlineStr">
        <is>
          <t>Giữ.</t>
        </is>
      </c>
      <c r="AI51" s="41" t="inlineStr">
        <is>
          <t>Giá trị thực chiến nằm trong khoảng mục tiêu (hiệu quả 1.04 × trung vị vai trò).</t>
        </is>
      </c>
      <c r="AJ51" s="49" t="inlineStr">
        <is>
          <t>Thấp</t>
        </is>
      </c>
    </row>
    <row r="52" ht="63.75" customHeight="1" s="32">
      <c r="A52" s="39" t="inlineStr">
        <is>
          <t>heavy_tank</t>
        </is>
      </c>
      <c r="B52" s="39" t="inlineStr">
        <is>
          <t>Tăng hạng nặng</t>
        </is>
      </c>
      <c r="C52" s="39" t="inlineStr">
        <is>
          <t>Hạng nặng</t>
        </is>
      </c>
      <c r="D52" s="39" t="inlineStr">
        <is>
          <t>pháo 152 mm tự đổi đạn xuyên khi bắn xe có giáp và đạn nổ mạnh khi bắn công trình hoặc cụm xe nhẹ; pháo 30 mm bên cạnh đáp trụ lâu nhất khi đối đầu và phá công sự mạnh nhất; chậm, nên sợ xe diệt tăng, pháo binh và máy bay.</t>
        </is>
      </c>
      <c r="E52" s="39" t="inlineStr">
        <is>
          <t>Tăng rất nặng, thân dài, tháp nhỏ không người lái góc cạnh, nòng 152 mm to và dài, 7 bánh. Từ trên xuống: nòng rất to. Kích thước đề xuất khoảng 8.0 × 2.9 × 2.4 m (dài × rộng × cao; 0,8 × mẫu thật Object 195). Vũ khí nhìn thấy: 2A83 152 mm, 2A42 30 mm, M2 Browning 12.7 mm. Vạch màu phe trên nóc và hai hông; không dùng phù hiệu, cờ hay logo quốc gia thật.</t>
        </is>
      </c>
      <c r="F52" s="39" t="inlineStr">
        <is>
          <t>thắng màn mở khóa trong chiến dịch, hoặc mua sớm 2.100 xu</t>
        </is>
      </c>
      <c r="G52" s="39" t="inlineStr">
        <is>
          <t>Chương 6</t>
        </is>
      </c>
      <c r="H52" s="39" t="inlineStr">
        <is>
          <t>800 xu</t>
        </is>
      </c>
      <c r="I52" s="42" t="n">
        <v>12</v>
      </c>
      <c r="J52" s="42" t="n">
        <v>3520</v>
      </c>
      <c r="K52" s="39" t="inlineStr">
        <is>
          <t>4/3/2/2</t>
        </is>
      </c>
      <c r="L52" s="42" t="n">
        <v>4.2</v>
      </c>
      <c r="M52" s="42" t="n">
        <v>30</v>
      </c>
      <c r="N52" s="42" t="n">
        <v>179</v>
      </c>
      <c r="O52" s="42" t="n">
        <v>102</v>
      </c>
      <c r="P52" s="42" t="n">
        <v>16</v>
      </c>
      <c r="Q52" s="42" t="n">
        <v>90</v>
      </c>
      <c r="R52" s="50">
        <f>IFERROR(O52/I52,"")</f>
        <v/>
      </c>
      <c r="S52" s="50">
        <f>IFERROR(J52/I52,"")</f>
        <v/>
      </c>
      <c r="T52" s="42" t="n">
        <v>556</v>
      </c>
      <c r="U52" s="42" t="n">
        <v>446</v>
      </c>
      <c r="V52" s="42" t="n">
        <v>362</v>
      </c>
      <c r="W52" s="42" t="n">
        <v>9</v>
      </c>
      <c r="X52" s="42" t="n">
        <v>449</v>
      </c>
      <c r="Y52" s="39" t="inlineStr">
        <is>
          <t>74%</t>
        </is>
      </c>
      <c r="Z52" s="42" t="n">
        <v>80</v>
      </c>
      <c r="AA52" s="42" t="n">
        <v>1.16</v>
      </c>
      <c r="AB52" s="39" t="inlineStr">
        <is>
          <t>Object 195 / T-95 (2A83 152 mm), T-14 Armata (bản 152 mm) — Siêu tăng bảy bánh chịu lực, tháp góc cạnh, pháo 152 mm</t>
        </is>
      </c>
      <c r="AC52" s="39" t="inlineStr">
        <is>
          <t>giáp 0, giáp 1, giáp 2, giáp 3, giáp 4, công trình</t>
        </is>
      </c>
      <c r="AD52" s="39" t="inlineStr">
        <is>
          <t>nổ mạnh, đánh nóc, nổ lõm, pháo xe tăng</t>
        </is>
      </c>
      <c r="AE52" s="39" t="inlineStr">
        <is>
          <t>pháo 152 mm tự đổi đạn xuyên khi bắn xe có giáp và đạn nổ mạnh khi bắn công trình hoặc cụm xe nhẹ; pháo 30 mm bên cạnh đáp</t>
        </is>
      </c>
      <c r="AF52" s="39" t="inlineStr">
        <is>
          <t>Vừa chạy vừa bắn                                                                              2A83 15; Sát thư; Không b; Tự đổi; Tầm bắn; 2A42 30; Sát thư; Băng 18</t>
        </is>
      </c>
      <c r="AG52" s="39" t="inlineStr">
        <is>
          <t>2A83 152 mm [Động năng, xuyên 4, đạn pháo động năng (≥120 mm) nổ lan] 320/phát · hồi 5.714 s · tầm 34 m · Mặt đất
2A42 30 mm [Động năng, xuyên 2, đạn pháo động năng (pháo tự động)] 22/phát · băng 18 viên, 3 viên/s, thay 1 s · tầm 30 m · Mặt đất
M2 Browning 12.7 mm [Động năng, xuyên 1, đạn súng (cỡ lớn)] 10/phát · băng 28 viên, 9 viên/s, thay 2.02 s · tầm 30 m · Tất cả</t>
        </is>
      </c>
      <c r="AH52" s="39" t="inlineStr">
        <is>
          <t>• Tham khảo, giá: bỏ T-14 khỏi tham khảo, giữ Object 195 / T-95 · giá 13 CP</t>
        </is>
      </c>
      <c r="AI52" s="39" t="inlineStr">
        <is>
          <t>• Tham khảo, giá: Tránh vướng danh sách giữ lại; hơi mạnh so với giá.</t>
        </is>
      </c>
      <c r="AJ52" s="48" t="inlineStr">
        <is>
          <t>Trung</t>
        </is>
      </c>
    </row>
    <row r="53" ht="84.75" customHeight="1" s="32">
      <c r="A53" s="41" t="inlineStr">
        <is>
          <t>titan_tank</t>
        </is>
      </c>
      <c r="B53" s="41" t="inlineStr">
        <is>
          <t>Siêu tăng Titan</t>
        </is>
      </c>
      <c r="C53" s="41" t="inlineStr">
        <is>
          <t>Hạng nặng</t>
        </is>
      </c>
      <c r="D53" s="41" t="inlineStr">
        <is>
          <t>pháo đôi 140 mm bắn loạt đôi tới 40 m, kèm tên lửa chống tăng và hai súng máy. nghiền nát xe tăng, xe nhẹ và công sự; bị xe diệt tăng, pháo binh và máy bay bào dần.</t>
        </is>
      </c>
      <c r="E53" s="41" t="inlineStr">
        <is>
          <t>Siêu tăng 4 dải xích (2 mỗi bên), tháp lớn với 2 nòng 140 mm, các tháp phụ súng máy. To hơn Tăng hạng nặng ≥ 20%. Từ trên xuống: rộng như 2 xe tăng. Kích thước hiện 10.4 × 3.6 × 3.5 m. Vũ khí nhìn thấy: NPzK 140 mm (twin), PKT / M240 7.62 mm, M2 Browning 12.7 mm, BGM-71 TOW-2. Vạch màu phe trên nóc và hai hông; không dùng phù hiệu, cờ hay logo quốc gia thật.</t>
        </is>
      </c>
      <c r="F53" s="41" t="inlineStr">
        <is>
          <t>thẻ cao cấp, mua 3.000 xu</t>
        </is>
      </c>
      <c r="G53" s="41" t="inlineStr">
        <is>
          <t>Chương 11</t>
        </is>
      </c>
      <c r="H53" s="41" t="inlineStr">
        <is>
          <t>2.500 xu</t>
        </is>
      </c>
      <c r="I53" s="43" t="n">
        <v>16</v>
      </c>
      <c r="J53" s="43" t="n">
        <v>5720</v>
      </c>
      <c r="K53" s="41" t="inlineStr">
        <is>
          <t>4/3/2/2</t>
        </is>
      </c>
      <c r="L53" s="43" t="n">
        <v>4.6</v>
      </c>
      <c r="M53" s="43" t="n">
        <v>34</v>
      </c>
      <c r="N53" s="43" t="n">
        <v>241</v>
      </c>
      <c r="O53" s="43" t="n">
        <v>161</v>
      </c>
      <c r="P53" s="43" t="n">
        <v>28</v>
      </c>
      <c r="Q53" s="43" t="n">
        <v>126</v>
      </c>
      <c r="R53" s="51">
        <f>IFERROR(O53/I53,"")</f>
        <v/>
      </c>
      <c r="S53" s="51">
        <f>IFERROR(J53/I53,"")</f>
        <v/>
      </c>
      <c r="T53" s="43" t="n">
        <v>617</v>
      </c>
      <c r="U53" s="43" t="n">
        <v>642</v>
      </c>
      <c r="V53" s="43" t="n">
        <v>344</v>
      </c>
      <c r="W53" s="43" t="n">
        <v>5</v>
      </c>
      <c r="X53" s="43" t="n">
        <v>647</v>
      </c>
      <c r="Y53" s="41" t="inlineStr">
        <is>
          <t>67%</t>
        </is>
      </c>
      <c r="Z53" s="43" t="n">
        <v>83</v>
      </c>
      <c r="AA53" s="43" t="n">
        <v>1.36</v>
      </c>
      <c r="AB53" s="41" t="inlineStr">
        <is>
          <t>Rheinmetall NPzK 140 mm, dáng siêu tăng khái niệm tương lai · Mammoth Tank (Command &amp; Conquer) — ước đoán: siêu tăng hai nòng 140 mm, giáp composite, APS và cảm biến hiện đại, có tháp phụ</t>
        </is>
      </c>
      <c r="AC53" s="41" t="inlineStr">
        <is>
          <t>giáp 0, giáp 1, giáp 2, giáp 3, giáp 4, công trình</t>
        </is>
      </c>
      <c r="AD53" s="41" t="inlineStr">
        <is>
          <t>nổ mạnh, đánh nóc, nổ lõm, pháo xe tăng</t>
        </is>
      </c>
      <c r="AE53" s="41" t="inlineStr">
        <is>
          <t>pháo đôi 140 mm bắn loạt đôi tới 40 m, kèm tên lửa chống tăng và hai súng máy.</t>
        </is>
      </c>
      <c r="AF53" s="41" t="inlineStr">
        <is>
          <t>Vừa chạy vừa bắn; Diệt tăng (6); Xe phóng drone FPV</t>
        </is>
      </c>
      <c r="AG53" s="41" t="inlineStr">
        <is>
          <t>NPzK 140 mm (twin) [Động năng, xuyên 4, đạn pháo động năng (≥120 mm) nổ lan] 290/phát · loạt 2, hồi 4.487 s · tầm 40 m · Mặt đất
PKT / M240 7.62 mm [Động năng, xuyên 0, đạn súng] 6/phát · băng 41 viên, 12 viên/s, thay 1.59 s · tầm 20 m · Tất cả
M2 Browning 12.7 mm [Động năng, xuyên 1, đạn súng (cỡ lớn)] 10/phát · băng 28 viên, 9 viên/s, thay 2.02 s · tầm 30 m · Tất cả
BGM-71 TOW-2 [Nổ lõm, xuyên 4, tên lửa chống tăng dẫn đường] 190/phát · hồi 12.33 s · tầm 34 m · Mặt đất</t>
        </is>
      </c>
      <c r="AH53" s="41" t="inlineStr">
        <is>
          <t>• Tốc độ, giá: 4,0 m/s · 18 CP</t>
        </is>
      </c>
      <c r="AI53" s="41" t="inlineStr">
        <is>
          <t>• Tốc độ, giá: Nặng hơn Tăng hạng nặng mà chạy nhanh hơn; hiệu quả cao nhất nhóm hạng nặng.</t>
        </is>
      </c>
      <c r="AJ53" s="48" t="inlineStr">
        <is>
          <t>Trung</t>
        </is>
      </c>
    </row>
    <row r="54" ht="53.25" customHeight="1" s="32">
      <c r="A54" s="39" t="inlineStr">
        <is>
          <t>fpv_carrier</t>
        </is>
      </c>
      <c r="B54" s="39" t="inlineStr">
        <is>
          <t>Xe phóng drone FPV</t>
        </is>
      </c>
      <c r="C54" s="39" t="inlineStr">
        <is>
          <t>Diệt tăng</t>
        </is>
      </c>
      <c r="D54" s="39" t="inlineStr">
        <is>
          <t>dừng lại rồi phóng lần lượt từng chiếc drone cảm tử, vài giây một chiếc, lao xuống xe bọc thép cách 12–75 m; hết mười sáu chiếc thì phá nát xe tăng và tăng nặng từ xa; tăng APS, la-de phòng không và xe gây nhiễu chặn drone, xe tăng rùa gần như miễn nhiễm.</t>
        </is>
      </c>
      <c r="E54" s="39" t="inlineStr">
        <is>
          <t>Xe bọc thép MRAP thân cao chữ V, giá phóng drone FPV nhiều ngăn trên nóc sau. Từ trên xuống: lưới ô vuông nhỏ ở sau. Kích thước đề xuất khoảng 7.2 × 2.0 × 2.6 m (dài × rộng × cao; 0,8 × mẫu thật KamAZ Typhoon-K). Vũ khí nhìn thấy: FPV drone (1.5 kg), M2 Browning 12.7 mm. Vạch màu phe trên nóc và hai hông; không dùng phù hiệu, cờ hay logo quốc gia thật.</t>
        </is>
      </c>
      <c r="F54" s="39" t="inlineStr">
        <is>
          <t>thắng màn mở khóa trong chiến dịch, hoặc mua sớm 1.200 xu</t>
        </is>
      </c>
      <c r="G54" s="39" t="inlineStr">
        <is>
          <t>Chương 5</t>
        </is>
      </c>
      <c r="H54" s="39" t="inlineStr">
        <is>
          <t>800 xu</t>
        </is>
      </c>
      <c r="I54" s="42" t="n">
        <v>6</v>
      </c>
      <c r="J54" s="42" t="n">
        <v>924</v>
      </c>
      <c r="K54" s="39" t="inlineStr">
        <is>
          <t>1/0/0/0</t>
        </is>
      </c>
      <c r="L54" s="42" t="n">
        <v>9</v>
      </c>
      <c r="M54" s="42" t="n">
        <v>48</v>
      </c>
      <c r="N54" s="42" t="n">
        <v>87</v>
      </c>
      <c r="O54" s="42" t="n">
        <v>55</v>
      </c>
      <c r="P54" s="42" t="n">
        <v>16</v>
      </c>
      <c r="Q54" s="42" t="n">
        <v>54</v>
      </c>
      <c r="R54" s="50">
        <f>IFERROR(O54/I54,"")</f>
        <v/>
      </c>
      <c r="S54" s="50">
        <f>IFERROR(J54/I54,"")</f>
        <v/>
      </c>
      <c r="T54" s="42" t="n">
        <v>327</v>
      </c>
      <c r="U54" s="42" t="n">
        <v>500</v>
      </c>
      <c r="V54" s="42" t="n">
        <v>442</v>
      </c>
      <c r="W54" s="42" t="n">
        <v>2</v>
      </c>
      <c r="X54" s="42" t="n">
        <v>469</v>
      </c>
      <c r="Y54" s="39" t="inlineStr">
        <is>
          <t>87%</t>
        </is>
      </c>
      <c r="Z54" s="42" t="n">
        <v>79</v>
      </c>
      <c r="AA54" s="42" t="n">
        <v>1.07</v>
      </c>
      <c r="AB54" s="39" t="inlineStr">
        <is>
          <t>KamAZ Typhoon-K, RG-33 MRAP, drone FPV (chiến sự Ukraine) — Xe MRAP phóng drone cảm tử FPV</t>
        </is>
      </c>
      <c r="AC54" s="39" t="inlineStr">
        <is>
          <t>giáp 0, giáp 1, giáp 2, giáp 3, công trình</t>
        </is>
      </c>
      <c r="AD54" s="39" t="inlineStr">
        <is>
          <t>súng máy hạng nặng, lửa, pháo tự động, nổ mạnh, năng lượng, đánh nóc, nổ lõm, pháo xe tăng</t>
        </is>
      </c>
      <c r="AE54" s="39" t="inlineStr">
        <is>
          <t>dừng lại rồi phóng lần lượt từng chiếc drone cảm tử, vài giây một chiếc, lao xuống xe bọc thép cách 12–75 m; hết mười sáu chiếc thì</t>
        </is>
      </c>
      <c r="AF54" s="39" t="inlineStr">
        <is>
          <t>Dừng lại mới bắn, từ 12-75 m; cần ta nhìn thấy mục tiêu (tự nó hoặc quân bạn); Hết đạn thì nạp lại tại chỗ, hoặc tới Xe tiếp đạn hay về nhà khi nhanh hơn; Xe phóng Lancet</t>
        </is>
      </c>
      <c r="AG54" s="39" t="inlineStr">
        <is>
          <t>FPV drone (1.5 kg) [Nổ lõm, xuyên 3, drone (FPV) đánh nóc] dẫn đường/phát · nổ lan · tầm 140 · hồi 2.8 s
M2 Browning 12.7 mm [Động năng, xuyên 1, đạn súng (cỡ lớn)] 10/phát · băng 28 viên, 9 viên/s, thay 2.02 s · tầm 18 m · Tất cả</t>
        </is>
      </c>
      <c r="AH54" s="39" t="inlineStr">
        <is>
          <t>Giữ.</t>
        </is>
      </c>
      <c r="AI54" s="39" t="inlineStr">
        <is>
          <t>Giá trị thực chiến nằm trong khoảng mục tiêu (hiệu quả 1.07 × trung vị vai trò).</t>
        </is>
      </c>
      <c r="AJ54" s="49" t="inlineStr">
        <is>
          <t>Thấp</t>
        </is>
      </c>
    </row>
    <row r="55" ht="42.75" customHeight="1" s="32">
      <c r="A55" s="41"/>
      <c r="B55" s="41"/>
      <c r="C55" s="41"/>
      <c r="D55" s="41"/>
      <c r="E55" s="41"/>
      <c r="F55" s="41"/>
      <c r="G55" s="41"/>
      <c r="H55" s="41"/>
      <c r="I55" s="43"/>
      <c r="J55" s="43"/>
      <c r="K55" s="41"/>
      <c r="L55" s="43"/>
      <c r="M55" s="43"/>
      <c r="N55" s="43"/>
      <c r="O55" s="43"/>
      <c r="P55" s="43"/>
      <c r="Q55" s="43"/>
      <c r="R55" s="51"/>
      <c r="S55" s="51"/>
      <c r="T55" s="43"/>
      <c r="U55" s="43"/>
      <c r="V55" s="43"/>
      <c r="W55" s="43"/>
      <c r="X55" s="43"/>
      <c r="Y55" s="41"/>
      <c r="Z55" s="43"/>
      <c r="AA55" s="43"/>
      <c r="AB55" s="41"/>
      <c r="AC55" s="41"/>
      <c r="AD55" s="41"/>
      <c r="AE55" s="41"/>
      <c r="AF55" s="41"/>
      <c r="AG55" s="41"/>
      <c r="AH55" s="41"/>
      <c r="AI55" s="41"/>
      <c r="AJ55" s="49"/>
    </row>
    <row r="56" ht="42.75" customHeight="1" s="32">
      <c r="A56" s="39" t="inlineStr">
        <is>
          <t>wheeled_gun</t>
        </is>
      </c>
      <c r="B56" s="39" t="inlineStr">
        <is>
          <t>Pháo bánh lốp diệt tăng</t>
        </is>
      </c>
      <c r="C56" s="39" t="inlineStr">
        <is>
          <t>Diệt tăng</t>
        </is>
      </c>
      <c r="D56" s="39" t="inlineStr">
        <is>
          <t>pháo 120 mm xuyên giáp (như Centauro II) vừa chạy vừa bắn tới 38 m, khoảng 70 sát thương mỗi giây lên giáp dày, +25% khi trúng chạy vòng tuyến xe tăng và trừng phạt hai bên sườn; giáp mỏng nên đấu thẳng với tăng là thua, pháo tự động xé nát nó.</t>
        </is>
      </c>
      <c r="E56" s="39" t="inlineStr">
        <is>
          <t>Xe 8 bánh, tháp pháo tăng đầy đủ với nòng 120 mm dài. Từ trên xuống: như xe tăng nhưng 4 cặp bánh. Kích thước đề xuất khoảng 7.9 × 2.4 × 2.2 m (dài × rộng × cao; 0,8 × mẫu thật Centauro II). Vũ khí nhìn thấy: Centauro II 120 mm, PKT / M240 7.62 mm. Vạch màu phe trên nóc và hai hông; không dùng phù hiệu, cờ hay logo quốc gia thật.</t>
        </is>
      </c>
      <c r="F56" s="39" t="inlineStr">
        <is>
          <t>thắng màn mở khóa trong chiến dịch, hoặc mua sớm 1.200 xu</t>
        </is>
      </c>
      <c r="G56" s="39" t="inlineStr">
        <is>
          <t>Chương 4</t>
        </is>
      </c>
      <c r="H56" s="39" t="inlineStr">
        <is>
          <t>800 xu</t>
        </is>
      </c>
      <c r="I56" s="42" t="n">
        <v>6</v>
      </c>
      <c r="J56" s="42" t="n">
        <v>1914</v>
      </c>
      <c r="K56" s="39" t="inlineStr">
        <is>
          <t>2/1/0/0</t>
        </is>
      </c>
      <c r="L56" s="42" t="n">
        <v>12</v>
      </c>
      <c r="M56" s="42" t="n">
        <v>38</v>
      </c>
      <c r="N56" s="42" t="n">
        <v>136</v>
      </c>
      <c r="O56" s="42" t="n">
        <v>99</v>
      </c>
      <c r="P56" s="42" t="n">
        <v>12</v>
      </c>
      <c r="Q56" s="42" t="n">
        <v>75</v>
      </c>
      <c r="R56" s="50">
        <f>IFERROR(O56/I56,"")</f>
        <v/>
      </c>
      <c r="S56" s="50">
        <f>IFERROR(J56/I56,"")</f>
        <v/>
      </c>
      <c r="T56" s="42" t="n">
        <v>565</v>
      </c>
      <c r="U56" s="42" t="n">
        <v>469</v>
      </c>
      <c r="V56" s="42" t="n">
        <v>408</v>
      </c>
      <c r="W56" s="42" t="n">
        <v>1</v>
      </c>
      <c r="X56" s="42" t="n">
        <v>513</v>
      </c>
      <c r="Y56" s="39" t="inlineStr">
        <is>
          <t>74%</t>
        </is>
      </c>
      <c r="Z56" s="42" t="n">
        <v>49</v>
      </c>
      <c r="AA56" s="42" t="n">
        <v>1.01</v>
      </c>
      <c r="AB56" s="39" t="inlineStr">
        <is>
          <t>Centauro B1 / Centauro II 120 mm, M1128 MGS, Rooikat — Pháo chống tăng bánh lốp 8x8</t>
        </is>
      </c>
      <c r="AC56" s="39" t="inlineStr">
        <is>
          <t>giáp 0, giáp 1, giáp 2, giáp 3, giáp 4, công trình</t>
        </is>
      </c>
      <c r="AD56" s="39" t="inlineStr">
        <is>
          <t>lửa, pháo tự động, nổ mạnh, năng lượng, đánh nóc, nổ lõm, pháo xe tăng</t>
        </is>
      </c>
      <c r="AE56" s="39" t="inlineStr">
        <is>
          <t>pháo 120 mm xuyên giáp (như Centauro II) vừa chạy vừa bắn tới 38 m, khoảng 70 sát thương mỗi giây lên giáp dày, +25% khi trúng</t>
        </is>
      </c>
      <c r="AF56" s="39" t="inlineStr">
        <is>
          <t>Vừa chạy vừa bắn; Pháo chống tăng</t>
        </is>
      </c>
      <c r="AG56" s="39" t="inlineStr">
        <is>
          <t>Centauro II 120 mm [Động năng, xuyên 4, đạn pháo động năng (≥120 mm)] 258/phát · hồi 2.75 s · tầm 38 m · Mặt đất
PKT / M240 7.62 mm [Động năng, xuyên 0, đạn súng] 6/phát · băng 41 viên, 12 viên/s, thay 1.59 s · tầm 20 m · Tất cả</t>
        </is>
      </c>
      <c r="AH56" s="39" t="inlineStr">
        <is>
          <t>• Máu: 1.500
• Vũ khí: 120 mm: 0,27 phát/s (DPS duy trì 94→~70)</t>
        </is>
      </c>
      <c r="AI56" s="39" t="inlineStr">
        <is>
          <t>• Máu: Xe bánh lốp giáp nhẹ không thể trâu như tăng.
• Vũ khí: 120 mm: Nạp tay không thể nhanh hơn tăng chủ lực; đang lấn át Pháo chống tăng.</t>
        </is>
      </c>
      <c r="AJ56" s="47" t="inlineStr">
        <is>
          <t>Cao</t>
        </is>
      </c>
    </row>
    <row r="57" ht="53.25" customHeight="1" s="32">
      <c r="A57" s="41" t="inlineStr">
        <is>
          <t>tank_destroyer</t>
        </is>
      </c>
      <c r="B57" s="41" t="inlineStr">
        <is>
          <t>Pháo chống tăng</t>
        </is>
      </c>
      <c r="C57" s="41" t="inlineStr">
        <is>
          <t>Diệt tăng</t>
        </is>
      </c>
      <c r="D57" s="41" t="inlineStr">
        <is>
          <t>pháo 125 mm xuyên giáp (như pháo tự hành 2S25), vừa chạy vừa bắn, xa hơn và nạp nhanh hơn pháo tăng chủ lực; súng máy nóc hạ xe tăng, tăng hạng nặng và boss từ ngoài tầm với của chúng; sợ pháo binh và xe nhẹ áp sát.</t>
        </is>
      </c>
      <c r="E57" s="41" t="inlineStr">
        <is>
          <t>Pháo chống tăng thân thấp, tháp nhỏ với nòng 125 mm rất dài (gần bằng thân). Từ trên xuống: nòng rất dài so với thân nhỏ. Kích thước đề xuất khoảng 7.8 × 2.5 × 2.4 m (dài × rộng × cao; 0,8 × mẫu thật 2S25 Sprut-SD). Vũ khí nhìn thấy: 2A75 125 mm (2S25 Sprut), M2 Browning 12.7 mm. Vạch màu phe trên nóc và hai hông; không dùng phù hiệu, cờ hay logo quốc gia thật.</t>
        </is>
      </c>
      <c r="F57" s="41" t="inlineStr">
        <is>
          <t>thắng màn mở khóa trong chiến dịch, hoặc mua sớm 1.350 xu</t>
        </is>
      </c>
      <c r="G57" s="41" t="inlineStr">
        <is>
          <t>Chương 4</t>
        </is>
      </c>
      <c r="H57" s="41" t="inlineStr">
        <is>
          <t>800 xu</t>
        </is>
      </c>
      <c r="I57" s="43" t="n">
        <v>7</v>
      </c>
      <c r="J57" s="43" t="n">
        <v>1364</v>
      </c>
      <c r="K57" s="41" t="inlineStr">
        <is>
          <t>3/2/1/1</t>
        </is>
      </c>
      <c r="L57" s="43" t="n">
        <v>7</v>
      </c>
      <c r="M57" s="43" t="n">
        <v>34</v>
      </c>
      <c r="N57" s="43" t="n">
        <v>128</v>
      </c>
      <c r="O57" s="43" t="n">
        <v>82</v>
      </c>
      <c r="P57" s="43" t="n">
        <v>16</v>
      </c>
      <c r="Q57" s="43" t="n">
        <v>66</v>
      </c>
      <c r="R57" s="51">
        <f>IFERROR(O57/I57,"")</f>
        <v/>
      </c>
      <c r="S57" s="51">
        <f>IFERROR(J57/I57,"")</f>
        <v/>
      </c>
      <c r="T57" s="43" t="n">
        <v>552</v>
      </c>
      <c r="U57" s="43" t="n">
        <v>366</v>
      </c>
      <c r="V57" s="43" t="n">
        <v>452</v>
      </c>
      <c r="W57" s="43" t="n">
        <v>5</v>
      </c>
      <c r="X57" s="43" t="n">
        <v>353</v>
      </c>
      <c r="Y57" s="41" t="inlineStr">
        <is>
          <t>73%</t>
        </is>
      </c>
      <c r="Z57" s="43" t="n">
        <v>65</v>
      </c>
      <c r="AA57" s="43" t="n">
        <v>0.78</v>
      </c>
      <c r="AB57" s="41" t="inlineStr">
        <is>
          <t>2S25 Sprut-SD (2A75 125 mm) — Pháo chống tăng thân thấp, tháp hở, nòng rất dài</t>
        </is>
      </c>
      <c r="AC57" s="41" t="inlineStr">
        <is>
          <t>giáp 0, giáp 1, giáp 2, giáp 3, giáp 4, công trình</t>
        </is>
      </c>
      <c r="AD57" s="41" t="inlineStr">
        <is>
          <t>nổ mạnh, đánh nóc, nổ lõm, pháo xe tăng</t>
        </is>
      </c>
      <c r="AE57" s="41" t="inlineStr">
        <is>
          <t>pháo 125 mm xuyên giáp (như pháo tự hành 2S25), vừa chạy vừa bắn, xa hơn và nạp nhanh hơn pháo tăng chủ lực; súng máy nóc</t>
        </is>
      </c>
      <c r="AF57" s="41" t="inlineStr">
        <is>
          <t>Vừa chạy vừa bắn; Xe súng điện từ</t>
        </is>
      </c>
      <c r="AG57" s="41" t="inlineStr">
        <is>
          <t>2A75 125 mm (2S25 Sprut) [Động năng, xuyên 4, đạn pháo động năng (≥120 mm)] 260/phát · hồi 3.773 s · tầm 40 m · Mặt đất
M2 Browning 12.7 mm [Động năng, xuyên 1, đạn súng (cỡ lớn)] 10/phát · băng 28 viên, 9 viên/s, thay 2.02 s · tầm 30 m · Tất cả</t>
        </is>
      </c>
      <c r="AH57" s="41" t="inlineStr">
        <is>
          <t>• Giáp: trước 2 / hông 1 / sau 1 / nóc 0
• Tầm, nhịp, giá: tầm 46 · 0,30 phát/s · 6 CP</t>
        </is>
      </c>
      <c r="AI57" s="41" t="inlineStr">
        <is>
          <t>• Giáp: 2S25 Sprut-SD là pháo chống tăng thả dù, giáp rất mỏng.
• Tầm, nhịp, giá: Bù lại giáp mỏng bằng tầm bắn tỉa; hiện kém các xe diệt tăng khác.</t>
        </is>
      </c>
      <c r="AJ57" s="48" t="inlineStr">
        <is>
          <t>Trung</t>
        </is>
      </c>
    </row>
    <row r="58" ht="42.75" customHeight="1" s="32">
      <c r="A58" s="39" t="inlineStr">
        <is>
          <t>railgun_truck</t>
        </is>
      </c>
      <c r="B58" s="39" t="inlineStr">
        <is>
          <t>Xe súng điện từ</t>
        </is>
      </c>
      <c r="C58" s="39" t="inlineStr">
        <is>
          <t>Diệt tăng</t>
        </is>
      </c>
      <c r="D58" s="39" t="inlineStr">
        <is>
          <t>đứng yên nạp năng lượng 0,9 giây (cuộn dây phát sáng), rồi bắn viên đạn xuyên thủng mọi xe trên đường bay, xa tới 90 m. xuyên thủng cả hàng xe tăng và tăng nặng từ rất xa; bắn chậm, bị áp sát là thua.</t>
        </is>
      </c>
      <c r="E58" s="39" t="inlineStr">
        <is>
          <t>Xe 8 bánh mang 2 ray dẫn song song dài có cuộn tụ điện và tấm tản nhiệt phát sáng xanh. Từ trên xuống: 2 ray dài song song. Kích thước hiện 9.7 × 2.9 × 3.7 m. Vũ khí nhìn thấy: railgun (32 MJ) 32 mm. Vạch màu phe trên nóc và hai hông; không dùng phù hiệu, cờ hay logo quốc gia thật.</t>
        </is>
      </c>
      <c r="F58" s="39" t="inlineStr">
        <is>
          <t>thắng màn mở khóa trong chiến dịch, hoặc mua sớm 1.650 xu</t>
        </is>
      </c>
      <c r="G58" s="39" t="inlineStr">
        <is>
          <t>Chương 4: chiến lợi phẩm từ xác Tempest</t>
        </is>
      </c>
      <c r="H58" s="39" t="inlineStr">
        <is>
          <t>Không mua sớm được</t>
        </is>
      </c>
      <c r="I58" s="42" t="n">
        <v>9</v>
      </c>
      <c r="J58" s="42" t="n">
        <v>924</v>
      </c>
      <c r="K58" s="39" t="inlineStr">
        <is>
          <t>1/0/0/0</t>
        </is>
      </c>
      <c r="L58" s="42" t="n">
        <v>6.5</v>
      </c>
      <c r="M58" s="42" t="n">
        <v>40</v>
      </c>
      <c r="N58" s="42" t="n">
        <v>87</v>
      </c>
      <c r="O58" s="42" t="n">
        <v>73</v>
      </c>
      <c r="P58" s="42" t="n">
        <v>0</v>
      </c>
      <c r="Q58" s="42" t="n">
        <v>52</v>
      </c>
      <c r="R58" s="50">
        <f>IFERROR(O58/I58,"")</f>
        <v/>
      </c>
      <c r="S58" s="50">
        <f>IFERROR(J58/I58,"")</f>
        <v/>
      </c>
      <c r="T58" s="42" t="n">
        <v>445</v>
      </c>
      <c r="U58" s="42" t="n">
        <v>570</v>
      </c>
      <c r="V58" s="42" t="n">
        <v>348</v>
      </c>
      <c r="W58" s="42" t="n">
        <v>0</v>
      </c>
      <c r="X58" s="42" t="n">
        <v>578</v>
      </c>
      <c r="Y58" s="39" t="inlineStr">
        <is>
          <t>82%</t>
        </is>
      </c>
      <c r="Z58" s="42" t="n">
        <v>79</v>
      </c>
      <c r="AA58" s="42" t="n">
        <v>1.22</v>
      </c>
      <c r="AB58" s="39" t="inlineStr">
        <is>
          <t>ATLA railgun (Nhật Bản), US Navy EMRG — Xe tải 8x8 mang pháo điện từ ray kép</t>
        </is>
      </c>
      <c r="AC58" s="39" t="inlineStr">
        <is>
          <t>giáp 0, giáp 1, giáp 2, giáp 3, giáp 4, công trình</t>
        </is>
      </c>
      <c r="AD58" s="39" t="inlineStr">
        <is>
          <t>súng máy hạng nặng, lửa, pháo tự động, nổ mạnh, năng lượng, đánh nóc, nổ lõm, pháo xe tăng</t>
        </is>
      </c>
      <c r="AE58" s="39" t="inlineStr">
        <is>
          <t>đứng yên nạp năng lượng 0,9 giây (cuộn dây phát sáng), rồi bắn viên đạn xuyên thủng mọi xe trên đường bay, xa tới 90 m.</t>
        </is>
      </c>
      <c r="AF58" s="39" t="inlineStr">
        <is>
          <t>Dừng lại mới bắn; Xe la-de tập trung</t>
        </is>
      </c>
      <c r="AG58" s="39" t="inlineStr">
        <is>
          <t>railgun (32 MJ) 32 mm [Động năng, xuyên 4, đạn pháo động năng (điện từ)] 510/phát · hồi 7 s · tầm 90 m · Mặt đất</t>
        </is>
      </c>
      <c r="AH58" s="39" t="inlineStr">
        <is>
          <t>• Giá: 10 CP</t>
        </is>
      </c>
      <c r="AI58" s="39" t="inlineStr">
        <is>
          <t>• Giá: Mạnh nhất nhóm diệt tăng.</t>
        </is>
      </c>
      <c r="AJ58" s="49" t="inlineStr">
        <is>
          <t>Thấp</t>
        </is>
      </c>
    </row>
    <row r="59" ht="42.75" customHeight="1" s="32">
      <c r="A59" s="41" t="inlineStr">
        <is>
          <t>laser_tank</t>
        </is>
      </c>
      <c r="B59" s="41" t="inlineStr">
        <is>
          <t>Xe la-de tập trung</t>
        </is>
      </c>
      <c r="C59" s="41" t="inlineStr">
        <is>
          <t>Diệt tăng</t>
        </is>
      </c>
      <c r="D59" s="41" t="inlineStr">
        <is>
          <t>tia năng lượng (40 m) tăng từ ×0,3 lên ×2 trong 6 giây trên cùng một mục tiêu, đổi mục tiêu thì về lại mức thấp; xuyên cả giáp dày nung chảy xe tăng nặng và boss; APS, giáp phản ứng nổ và lồng chắn không cản được, nhưng màn khói cắt 80% tia và bầy xe nhỏ</t>
        </is>
      </c>
      <c r="E59" s="41" t="inlineStr">
        <is>
          <t>Khung xích mang đầu phát laser trên giá chạc, gương tròn lớn, tấm tản nhiệt hai bên. Từ trên xuống: đĩa gương tròn trên giá chạc. Kích thước hiện 6.3 × 2.7 × 2.6 m. Vũ khí nhìn thấy: focused laser (300 kW) 300 mm. Vạch màu phe trên nóc và hai hông; không dùng phù hiệu, cờ hay logo quốc gia thật.</t>
        </is>
      </c>
      <c r="F59" s="41" t="inlineStr">
        <is>
          <t>thắng màn mở khóa trong chiến dịch, hoặc mua sớm 1.800 xu</t>
        </is>
      </c>
      <c r="G59" s="41" t="inlineStr">
        <is>
          <t>Chương 9</t>
        </is>
      </c>
      <c r="H59" s="41" t="inlineStr">
        <is>
          <t>1.500 xu</t>
        </is>
      </c>
      <c r="I59" s="43" t="n">
        <v>10</v>
      </c>
      <c r="J59" s="43" t="n">
        <v>1540</v>
      </c>
      <c r="K59" s="41" t="inlineStr">
        <is>
          <t>3/2/1/1</t>
        </is>
      </c>
      <c r="L59" s="43" t="n">
        <v>6.5</v>
      </c>
      <c r="M59" s="43" t="n">
        <v>38</v>
      </c>
      <c r="N59" s="43" t="n">
        <v>128</v>
      </c>
      <c r="O59" s="43" t="n">
        <v>106</v>
      </c>
      <c r="P59" s="43" t="n">
        <v>0</v>
      </c>
      <c r="Q59" s="43" t="n">
        <v>64</v>
      </c>
      <c r="R59" s="51">
        <f>IFERROR(O59/I59,"")</f>
        <v/>
      </c>
      <c r="S59" s="51">
        <f>IFERROR(J59/I59,"")</f>
        <v/>
      </c>
      <c r="T59" s="43" t="n">
        <v>358</v>
      </c>
      <c r="U59" s="43" t="n">
        <v>335</v>
      </c>
      <c r="V59" s="43" t="n">
        <v>510</v>
      </c>
      <c r="W59" s="43" t="n">
        <v>0</v>
      </c>
      <c r="X59" s="43" t="n">
        <v>274</v>
      </c>
      <c r="Y59" s="41" t="inlineStr">
        <is>
          <t>65%</t>
        </is>
      </c>
      <c r="Z59" s="43" t="n">
        <v>57</v>
      </c>
      <c r="AA59" s="43" t="n">
        <v>0.72</v>
      </c>
      <c r="AB59" s="41" t="inlineStr">
        <is>
          <t>Rheinmetall HEL, DE M-SHORAD (laser trên Stryker) — Pháo chống tăng laser: đầu phát tia trên giá chạc</t>
        </is>
      </c>
      <c r="AC59" s="41" t="inlineStr">
        <is>
          <t>giáp 0, giáp 1, giáp 2, giáp 3, giáp 4, công trình</t>
        </is>
      </c>
      <c r="AD59" s="41" t="inlineStr">
        <is>
          <t>nổ mạnh, đánh nóc, nổ lõm, pháo xe tăng</t>
        </is>
      </c>
      <c r="AE59" s="41" t="inlineStr">
        <is>
          <t>tia năng lượng (40 m) tăng từ ×0,3 lên ×2 trong 6 giây trên cùng một mục tiêu, đổi mục tiêu thì về lại mức thấp; xuyên cả giáp dày</t>
        </is>
      </c>
      <c r="AF59" s="41" t="inlineStr">
        <is>
          <t>Vừa chạy vừa bắn; Bắn hết 80 viên thì thay băng; Ưu tiên tăng hạng nặng, xe tăng, boss</t>
        </is>
      </c>
      <c r="AG59" s="41" t="inlineStr">
        <is>
          <t>focused laser (300 kW) 300 mm [Năng lượng, xuyên 4, năng lượng] 12/phát · băng 80 viên, 10 viên/s, thay 1.5 s · tầm 40 m · Mặt đất</t>
        </is>
      </c>
      <c r="AH59" s="41" t="inlineStr">
        <is>
          <t>• Giá, tăng dần: 9 CP · đạt ×2 sau 4 s</t>
        </is>
      </c>
      <c r="AI59" s="41" t="inlineStr">
        <is>
          <t>• Giá, tăng dần: Kém Pháo điện từ rẻ hơn ở chính vai trò diệt tăng.</t>
        </is>
      </c>
      <c r="AJ59" s="48" t="inlineStr">
        <is>
          <t>Trung</t>
        </is>
      </c>
    </row>
  </sheetData>
  <autoFilter ref="A1:AJ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T6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6" customWidth="1" style="31" min="1" max="1"/>
    <col width="32" customWidth="1" style="31" min="2" max="2"/>
    <col width="50" customWidth="1" style="31" min="3" max="3"/>
    <col width="70" customWidth="1" style="31" min="4" max="4"/>
    <col width="30" customWidth="1" style="31" min="5" max="5"/>
    <col width="8" customWidth="1" style="31" min="6" max="6"/>
    <col width="22" customWidth="1" style="31" min="7" max="7"/>
    <col width="8" customWidth="1" style="31" min="8" max="8"/>
    <col width="7" customWidth="1" style="31" min="9" max="11"/>
    <col width="40" customWidth="1" style="31" min="12" max="12"/>
    <col width="20" customWidth="1" style="31" min="13" max="13"/>
    <col width="26" customWidth="1" style="31" min="14" max="14"/>
    <col width="40" customWidth="1" style="31" min="15" max="16"/>
    <col width="60" customWidth="1" style="31" min="17" max="17"/>
    <col width="55" customWidth="1" style="31" min="18" max="19"/>
    <col width="8" customWidth="1" style="31" min="20" max="20"/>
  </cols>
  <sheetData>
    <row r="1" ht="42" customHeight="1" s="32">
      <c r="A1" s="37" t="inlineStr">
        <is>
          <t>id</t>
        </is>
      </c>
      <c r="B1" s="37" t="inlineStr">
        <is>
          <t>Tên</t>
        </is>
      </c>
      <c r="C1" s="37" t="inlineStr">
        <is>
          <t>Miêu tả</t>
        </is>
      </c>
      <c r="D1" s="37" t="inlineStr">
        <is>
          <t>Hình dạng (cho AI vẽ)</t>
        </is>
      </c>
      <c r="E1" s="37" t="inlineStr">
        <is>
          <t>Ô / dựng lại</t>
        </is>
      </c>
      <c r="F1" s="37" t="inlineStr">
        <is>
          <t>Máu</t>
        </is>
      </c>
      <c r="G1" s="37" t="inlineStr">
        <is>
          <t>Giáp</t>
        </is>
      </c>
      <c r="H1" s="37" t="inlineStr">
        <is>
          <t>Tầm nhìn (m)</t>
        </is>
      </c>
      <c r="I1" s="37" t="inlineStr">
        <is>
          <t>DPS nhẹ</t>
        </is>
      </c>
      <c r="J1" s="37" t="inlineStr">
        <is>
          <t>DPS nặng</t>
        </is>
      </c>
      <c r="K1" s="37" t="inlineStr">
        <is>
          <t>DPS bay</t>
        </is>
      </c>
      <c r="L1" s="37" t="inlineStr">
        <is>
          <t>Tham khảo (ngoài đời / game)</t>
        </is>
      </c>
      <c r="M1" s="37" t="inlineStr">
        <is>
          <t>Mạnh với</t>
        </is>
      </c>
      <c r="N1" s="37" t="inlineStr">
        <is>
          <t>Yếu trước</t>
        </is>
      </c>
      <c r="O1" s="37" t="inlineStr">
        <is>
          <t>Cách đánh</t>
        </is>
      </c>
      <c r="P1" s="37" t="inlineStr">
        <is>
          <t>Hành vi</t>
        </is>
      </c>
      <c r="Q1" s="37" t="inlineStr">
        <is>
          <t>Vũ khí</t>
        </is>
      </c>
      <c r="R1" s="45" t="inlineStr">
        <is>
          <t>Đề xuất</t>
        </is>
      </c>
      <c r="S1" s="46" t="inlineStr">
        <is>
          <t>Lý do thay đổi</t>
        </is>
      </c>
      <c r="T1" s="46" t="inlineStr">
        <is>
          <t>Ưu tiên</t>
        </is>
      </c>
    </row>
    <row r="2" ht="42.75" customHeight="1" s="32">
      <c r="A2" s="39" t="inlineStr">
        <is>
          <t>aa_turret</t>
        </is>
      </c>
      <c r="B2" s="39" t="inlineStr">
        <is>
          <t>Tháp phòng không</t>
        </is>
      </c>
      <c r="C2" s="39" t="inlineStr">
        <is>
          <t>pháo đôi 30 mm cao xạ tới 42 m và tên lửa phòng không (44 m); cũng bắn mặt đất nhưng chẳng mấy tác dụng. xé nát trực thăng và máy bay; lực lượng mặt đất phá nó dễ dàng.</t>
        </is>
      </c>
      <c r="D2" s="39" t="inlineStr">
        <is>
          <t>Ụ bao cát tròn với pháo phòng không 2 nòng trên bệ xoay và 2 ống tên lửa nhỏ.  Kích thước hiện 5.4 × 4.5 × 3.2 m. Nhìn rõ từ camera chéo 45–60°; hình dạng hai nhánh phải khác nhau rõ ở zoom mặc định; vạch màu phe.</t>
        </is>
      </c>
      <c r="E2" s="39" t="inlineStr">
        <is>
          <t>tháp ô nhỏ của căn cứ; bị phá thì xây lại 2 CP sau 25 s; mở khóa: có sẵn từ đầu</t>
        </is>
      </c>
      <c r="F2" s="42" t="n">
        <v>2420</v>
      </c>
      <c r="G2" s="39" t="inlineStr">
        <is>
          <t>cấp 2 (Vừa) · công trình</t>
        </is>
      </c>
      <c r="H2" s="42" t="n">
        <v>60</v>
      </c>
      <c r="I2" s="42" t="n">
        <v>46</v>
      </c>
      <c r="J2" s="42" t="n">
        <v>19</v>
      </c>
      <c r="K2" s="42" t="n">
        <v>300</v>
      </c>
      <c r="L2" s="39" t="inlineStr">
        <is>
          <t>Oerlikon GDF 35 mm (Skyguard), Stinger — ước đoán: pháo phòng không hai nòng 35 mm trên ụ bao cát</t>
        </is>
      </c>
      <c r="M2" s="39" t="inlineStr">
        <is>
          <t>giáp 0, trên không</t>
        </is>
      </c>
      <c r="N2" s="39" t="inlineStr">
        <is>
          <t>nổ mạnh, nổ lõm, pháo xe tăng</t>
        </is>
      </c>
      <c r="O2" s="39" t="inlineStr">
        <is>
          <t>pháo đôi 30 mm cao xạ tới 42 m và tên lửa phòng không (44 m); cũng bắn mặt đất nhưng chẳng mấy tác dụng.</t>
        </is>
      </c>
      <c r="P2" s="39" t="inlineStr">
        <is>
          <t>Đứng yên tại chỗ, bắn mọi mục tiêu trong tầm; Tháp phòng không · nhánh Tháp cao xạ</t>
        </is>
      </c>
      <c r="Q2" s="39" t="inlineStr">
        <is>
          <t>2A38 30 mm (twin) [Mảnh, xuyên 2, đạn nổ trên không nổ lan] 22/phát · băng 46 viên, 11 viên/s, thay 1.2 s · tầm 42 m · Tất cả
Starstreak / Stinger SHORAD [Mảnh, xuyên 2, tên lửa phòng không dẫn đường] nổ lan/phát · 170 · tầm hồi 4.452 s · 44 m</t>
        </is>
      </c>
      <c r="R2" s="39" t="inlineStr">
        <is>
          <t>• Vũ khí và tham khảo: chọn một: đổi vũ khí thành Oerlikon 35 mm hoặc đổi tham khảo sang 2A38; chống máy bay 300→240</t>
        </is>
      </c>
      <c r="S2" s="39" t="inlineStr">
        <is>
          <t>• Vũ khí và tham khảo: Tham khảo lệch vũ khí; tháp ô nhỏ đang mạnh hơn Patriot ô lớn.</t>
        </is>
      </c>
      <c r="T2" s="47" t="inlineStr">
        <is>
          <t>Cao</t>
        </is>
      </c>
    </row>
    <row r="3" ht="42.75" customHeight="1" s="32">
      <c r="A3" s="41" t="inlineStr">
        <is>
          <t>aa_turret.flak</t>
        </is>
      </c>
      <c r="B3" s="41" t="inlineStr">
        <is>
          <t>Tháp phòng không · nhánh Tháp cao xạ</t>
        </is>
      </c>
      <c r="C3" s="41" t="n"/>
      <c r="D3" s="41" t="inlineStr">
        <is>
          <t>Ụ bao cát tròn với pháo phòng không 2 nòng trên bệ xoay và 2 ống tên lửa nhỏ. Nhánh: Đổi thành pháo 4 nòng có radar nhỏ. Kích thước hiện 5.4 × 4.5 × 3.2 m. Nhìn rõ từ camera chéo 45–60°; hình dạng hai nhánh phải khác nhau rõ ở zoom mặc định; vạch màu phe.</t>
        </is>
      </c>
      <c r="E3" s="41" t="inlineStr">
        <is>
          <t>tháp ô nhỏ của căn cứ; bị phá thì xây lại 2 CP sau 25 s; mở khóa: thắng màn mở khóa trong chiến dịch, hoặc mua sớm 300 x</t>
        </is>
      </c>
      <c r="F3" s="43" t="n">
        <v>2420</v>
      </c>
      <c r="G3" s="41" t="inlineStr">
        <is>
          <t>cấp 2 (Vừa) · công trình</t>
        </is>
      </c>
      <c r="H3" s="43" t="n">
        <v>60</v>
      </c>
      <c r="I3" s="43" t="n">
        <v>100</v>
      </c>
      <c r="J3" s="43" t="n">
        <v>29</v>
      </c>
      <c r="K3" s="43" t="n">
        <v>305</v>
      </c>
      <c r="L3" s="41" t="inlineStr">
        <is>
          <t>ZSU-23-4 Shilka (23 mm bốn nòng) — Nhánh pháo phòng không bốn nòng</t>
        </is>
      </c>
      <c r="M3" s="41" t="inlineStr">
        <is>
          <t>trên không</t>
        </is>
      </c>
      <c r="N3" s="41" t="inlineStr">
        <is>
          <t>nổ mạnh, nổ lõm, pháo xe tăng</t>
        </is>
      </c>
      <c r="O3" s="41" t="n"/>
      <c r="P3" s="41" t="inlineStr">
        <is>
          <t>Đứng yên tại chỗ, bắn mọi mục tiêu trong tầm; Tháp phòng không · nhánh Trạm tên lửa</t>
        </is>
      </c>
      <c r="Q3" s="41" t="inlineStr">
        <is>
          <t>ZSU-23-4 23 mm (quad) [Mảnh, xuyên 1, đạn nổ trên không nổ lan] 14/phát · băng 54 viên, 31 viên/s, thay 1.5 s · tầm 46 m · Tất cả</t>
        </is>
      </c>
      <c r="R3" s="41" t="inlineStr">
        <is>
          <t>Giữ.</t>
        </is>
      </c>
      <c r="S3" s="41" t="inlineStr">
        <is>
          <t>ZSU-23-4 bốn nòng, ổn.</t>
        </is>
      </c>
      <c r="T3" s="49" t="inlineStr">
        <is>
          <t>Thấp</t>
        </is>
      </c>
    </row>
    <row r="4" ht="42.75" customHeight="1" s="32">
      <c r="A4" s="39" t="inlineStr">
        <is>
          <t>aa_turret.sam</t>
        </is>
      </c>
      <c r="B4" s="39" t="inlineStr">
        <is>
          <t>Tháp phòng không · nhánh Trạm tên lửa</t>
        </is>
      </c>
      <c r="C4" s="39" t="n"/>
      <c r="D4" s="39" t="inlineStr">
        <is>
          <t>Ụ bao cát tròn với pháo phòng không 2 nòng trên bệ xoay và 2 ống tên lửa nhỏ. Nhánh: Thay nòng pháo bằng hộp phóng 4 ống tên lửa. Kích thước hiện 5.4 × 4.5 × 3.2 m. Nhìn rõ từ camera chéo 45–60°; hình dạng hai nhánh phải khác nhau rõ ở zoom mặc định; vạch màu phe.</t>
        </is>
      </c>
      <c r="E4" s="39" t="inlineStr">
        <is>
          <t>tháp ô nhỏ của căn cứ; bị phá thì xây lại 2 CP sau 25 s; mở khóa: thắng màn mở khóa trong chiến dịch, hoặc mua sớm 300 x</t>
        </is>
      </c>
      <c r="F4" s="42" t="n">
        <v>2420</v>
      </c>
      <c r="G4" s="39" t="inlineStr">
        <is>
          <t>cấp 2 (Vừa) · công trình</t>
        </is>
      </c>
      <c r="H4" s="42" t="n">
        <v>64</v>
      </c>
      <c r="I4" s="42" t="n">
        <v>0</v>
      </c>
      <c r="J4" s="42" t="n">
        <v>0</v>
      </c>
      <c r="K4" s="42" t="n">
        <v>213</v>
      </c>
      <c r="L4" s="39" t="inlineStr">
        <is>
          <t>9K37 Buk (9M317) — Nhánh trạm tên lửa phòng không</t>
        </is>
      </c>
      <c r="M4" s="39" t="inlineStr">
        <is>
          <t>trên không</t>
        </is>
      </c>
      <c r="N4" s="39" t="inlineStr">
        <is>
          <t>nổ mạnh, nổ lõm, pháo xe tăng</t>
        </is>
      </c>
      <c r="O4" s="39" t="n"/>
      <c r="P4" s="39" t="inlineStr">
        <is>
          <t>Đứng yên tại chỗ, bắn mọi mục tiêu trong tầm; Trạm tiếp tế CP</t>
        </is>
      </c>
      <c r="Q4" s="39" t="inlineStr">
        <is>
          <t>9M317 Buk [Mảnh, xuyên 3, tên lửa phòng không dẫn đường] nổ lan/phát · 320 · tầm loạt 2, hồi 3.4 s · 60 m</t>
        </is>
      </c>
      <c r="R4" s="39" t="inlineStr">
        <is>
          <t>• Tham khảo: Mistral / RBS-70 / Starstreak LML (bệ nhỏ)</t>
        </is>
      </c>
      <c r="S4" s="39" t="inlineStr">
        <is>
          <t>• Tham khảo: Buk là hệ thống cỡ tiểu đoàn, không hợp tháp ô nhỏ.</t>
        </is>
      </c>
      <c r="T4" s="48" t="inlineStr">
        <is>
          <t>Trung</t>
        </is>
      </c>
    </row>
    <row r="5" ht="53.25" customHeight="1" s="32">
      <c r="A5" s="41" t="inlineStr">
        <is>
          <t>cp_relay</t>
        </is>
      </c>
      <c r="B5" s="41" t="inlineStr">
        <is>
          <t>Trạm tiếp tế CP</t>
        </is>
      </c>
      <c r="C5" s="41" t="inlineStr">
        <is>
          <t>không có súng; +0,1 CP mỗi giây cho phe mình, trạm thứ hai +0,06, trạm thứ ba không thêm gì; bị bắn thì ngừng trả 5 giây. thêm CP cho căn cứ yên ổn; chiếm một ô phòng thủ nhỏ, và quân địch tấn công căn cứ sẽ nhắm nó trước.</t>
        </is>
      </c>
      <c r="D5" s="41" t="inlineStr">
        <is>
          <t>Cột lưới thép với 2 chảo ăng-ten và thùng thiết bị.  Kích thước hiện 4.0 × 4.0 × 7.8 m. Nhìn rõ từ camera chéo 45–60°; hình dạng hai nhánh phải khác nhau rõ ở zoom mặc định; vạch màu phe.</t>
        </is>
      </c>
      <c r="E5" s="41" t="inlineStr">
        <is>
          <t>tháp ô nhỏ của căn cứ; bị phá thì xây lại 2 CP sau 25 s; mở khóa: thắng màn mở khóa trong chiến dịch, hoặc mua sớm 300 x</t>
        </is>
      </c>
      <c r="F5" s="43" t="n">
        <v>1320</v>
      </c>
      <c r="G5" s="41" t="inlineStr">
        <is>
          <t>cấp 1 (Mỏng) · công trình</t>
        </is>
      </c>
      <c r="H5" s="43" t="n">
        <v>30</v>
      </c>
      <c r="I5" s="43" t="n">
        <v>0</v>
      </c>
      <c r="J5" s="43" t="n">
        <v>0</v>
      </c>
      <c r="K5" s="43" t="n">
        <v>0</v>
      </c>
      <c r="L5" s="41" t="inlineStr">
        <is>
          <t>trạm tiếp sóng thông tin dã chiến — Trạm tiếp sóng CP, cột lưới hai chảo ăng-ten</t>
        </is>
      </c>
      <c r="M5" s="41" t="n"/>
      <c r="N5" s="41" t="inlineStr">
        <is>
          <t>lửa, pháo tự động, nổ mạnh, nổ lõm, pháo xe tăng</t>
        </is>
      </c>
      <c r="O5" s="41" t="inlineStr">
        <is>
          <t>không có súng; +0,1 CP mỗi giây cho phe mình, trạm thứ hai +0,06, trạm thứ ba không thêm gì; bị bắn thì ngừng trả 5 giây.</t>
        </is>
      </c>
      <c r="P5" s="41" t="inlineStr">
        <is>
          <t>Đứng yên tại chỗ, phục vụ phe ta; Phe mình kiếm thêm 0,1 CP mỗi giây (trạm thứ hai 0,1); ngừng 5 giây sau khi bị bắn; tối đa hai; trạm mỗi căn cứ, không đặt ở tiền đồn; Trạm tiếp tế CP · nhánh Trạm tiếp tế</t>
        </is>
      </c>
      <c r="Q5" s="41" t="n"/>
      <c r="R5" s="41" t="inlineStr">
        <is>
          <t>Giữ.</t>
        </is>
      </c>
      <c r="S5" s="41" t="inlineStr">
        <is>
          <t>Ổn.</t>
        </is>
      </c>
      <c r="T5" s="49" t="inlineStr">
        <is>
          <t>Thấp</t>
        </is>
      </c>
    </row>
    <row r="6" ht="53.25" customHeight="1" s="32">
      <c r="A6" s="39" t="inlineStr">
        <is>
          <t>cp_relay.hardened</t>
        </is>
      </c>
      <c r="B6" s="39" t="inlineStr">
        <is>
          <t>Trạm tiếp tế CP · nhánh Trạm tiếp tế</t>
        </is>
      </c>
      <c r="C6" s="39" t="n"/>
      <c r="D6" s="39" t="inlineStr">
        <is>
          <t>Cột lưới thép với 2 chảo ăng-ten và thùng thiết bị. Nhánh: Ốp bê tông dày. Kích thước hiện 4.0 × 4.0 × 7.8 m. Nhìn rõ từ camera chéo 45–60°; hình dạng hai nhánh phải khác nhau rõ ở zoom mặc định; vạch màu phe.</t>
        </is>
      </c>
      <c r="E6" s="39" t="inlineStr">
        <is>
          <t>tháp ô nhỏ của căn cứ; bị phá thì xây lại 2 CP sau 25 s; mở khóa: thắng màn mở khóa trong chiến dịch, hoặc mua sớm 300 x</t>
        </is>
      </c>
      <c r="F6" s="42" t="n">
        <v>2420</v>
      </c>
      <c r="G6" s="39" t="inlineStr">
        <is>
          <t>cấp 2 (Vừa) · công trình</t>
        </is>
      </c>
      <c r="H6" s="42" t="n">
        <v>30</v>
      </c>
      <c r="I6" s="42" t="n">
        <v>0</v>
      </c>
      <c r="J6" s="42" t="n">
        <v>0</v>
      </c>
      <c r="K6" s="42" t="n">
        <v>0</v>
      </c>
      <c r="L6" s="39" t="inlineStr">
        <is>
          <t>trạm tiếp tế kiên cố — ước đoán: nhánh trạm tiếp tế</t>
        </is>
      </c>
      <c r="M6" s="39" t="n"/>
      <c r="N6" s="39" t="inlineStr">
        <is>
          <t>nổ mạnh, nổ lõm, pháo xe tăng</t>
        </is>
      </c>
      <c r="O6" s="39" t="n"/>
      <c r="P6" s="39" t="inlineStr">
        <is>
          <t>Đứng yên tại chỗ, phục vụ phe ta; Phe mình kiếm thêm 0,1 CP mỗi giây (trạm thứ hai 0,1); ngừng 5 giây sau khi bị bắn; tối đa hai; trạm mỗi căn cứ, không đặt ở tiền đồn; Trạm tiếp tế CP · nhánh Kho chiến lợi phẩm</t>
        </is>
      </c>
      <c r="Q6" s="39" t="n"/>
      <c r="R6" s="39" t="inlineStr">
        <is>
          <t>Giữ.</t>
        </is>
      </c>
      <c r="S6" s="39" t="inlineStr">
        <is>
          <t>Ổn.</t>
        </is>
      </c>
      <c r="T6" s="49" t="inlineStr">
        <is>
          <t>Thấp</t>
        </is>
      </c>
    </row>
    <row r="7" ht="42.75" customHeight="1" s="32">
      <c r="A7" s="41" t="inlineStr">
        <is>
          <t>cp_relay.loot</t>
        </is>
      </c>
      <c r="B7" s="41" t="inlineStr">
        <is>
          <t>Trạm tiếp tế CP · nhánh Kho chiến lợi phẩm</t>
        </is>
      </c>
      <c r="C7" s="41" t="n"/>
      <c r="D7" s="41" t="inlineStr">
        <is>
          <t>Cột lưới thép với 2 chảo ăng-ten và thùng thiết bị. Nhánh: Cần cẩu và đống container. Kích thước hiện 4.0 × 4.0 × 7.8 m. Nhìn rõ từ camera chéo 45–60°; hình dạng hai nhánh phải khác nhau rõ ở zoom mặc định; vạch màu phe.</t>
        </is>
      </c>
      <c r="E7" s="41" t="inlineStr">
        <is>
          <t>tháp ô nhỏ của căn cứ; bị phá thì xây lại 2 CP sau 25 s; mở khóa: thắng màn mở khóa trong chiến dịch, hoặc mua sớm 300 x</t>
        </is>
      </c>
      <c r="F7" s="43" t="n">
        <v>1320</v>
      </c>
      <c r="G7" s="41" t="inlineStr">
        <is>
          <t>cấp 1 (Mỏng) · công trình</t>
        </is>
      </c>
      <c r="H7" s="43" t="n">
        <v>30</v>
      </c>
      <c r="I7" s="43" t="n">
        <v>0</v>
      </c>
      <c r="J7" s="43" t="n">
        <v>0</v>
      </c>
      <c r="K7" s="43" t="n">
        <v>0</v>
      </c>
      <c r="L7" s="41" t="inlineStr">
        <is>
          <t>kho chiến lợi phẩm — ước đoán: nhánh kho chiến lợi phẩm</t>
        </is>
      </c>
      <c r="M7" s="41" t="n"/>
      <c r="N7" s="41" t="inlineStr">
        <is>
          <t>lửa, pháo tự động, nổ mạnh, nổ lõm, pháo xe tăng</t>
        </is>
      </c>
      <c r="O7" s="41" t="n"/>
      <c r="P7" s="41" t="inlineStr">
        <is>
          <t>Đứng yên tại chỗ, phục vụ phe ta; Răng rồng</t>
        </is>
      </c>
      <c r="Q7" s="41" t="n"/>
      <c r="R7" s="41" t="inlineStr">
        <is>
          <t>Giữ.</t>
        </is>
      </c>
      <c r="S7" s="41" t="inlineStr">
        <is>
          <t>Ổn.</t>
        </is>
      </c>
      <c r="T7" s="49" t="inlineStr">
        <is>
          <t>Thấp</t>
        </is>
      </c>
    </row>
    <row r="8" ht="42.75" customHeight="1" s="32">
      <c r="A8" s="39"/>
      <c r="B8" s="39"/>
      <c r="C8" s="39"/>
      <c r="D8" s="39"/>
      <c r="E8" s="39"/>
      <c r="F8" s="42"/>
      <c r="G8" s="39"/>
      <c r="H8" s="42"/>
      <c r="I8" s="42"/>
      <c r="J8" s="42"/>
      <c r="K8" s="42"/>
      <c r="L8" s="39"/>
      <c r="M8" s="39"/>
      <c r="N8" s="39"/>
      <c r="O8" s="39"/>
      <c r="P8" s="39"/>
      <c r="Q8" s="39"/>
      <c r="R8" s="39"/>
      <c r="S8" s="39"/>
      <c r="T8" s="49"/>
    </row>
    <row r="9" ht="42.75" customHeight="1" s="32">
      <c r="A9" s="41"/>
      <c r="B9" s="41"/>
      <c r="C9" s="41"/>
      <c r="D9" s="41"/>
      <c r="E9" s="41"/>
      <c r="F9" s="43"/>
      <c r="G9" s="41"/>
      <c r="H9" s="43"/>
      <c r="I9" s="43"/>
      <c r="J9" s="43"/>
      <c r="K9" s="43"/>
      <c r="L9" s="41"/>
      <c r="M9" s="41"/>
      <c r="N9" s="41"/>
      <c r="O9" s="41"/>
      <c r="P9" s="41"/>
      <c r="Q9" s="41"/>
      <c r="R9" s="41"/>
      <c r="S9" s="41"/>
      <c r="T9" s="49"/>
    </row>
    <row r="10" ht="42.75" customHeight="1" s="32">
      <c r="A10" s="39"/>
      <c r="B10" s="39"/>
      <c r="C10" s="39"/>
      <c r="D10" s="39"/>
      <c r="E10" s="39"/>
      <c r="F10" s="42"/>
      <c r="G10" s="39"/>
      <c r="H10" s="42"/>
      <c r="I10" s="42"/>
      <c r="J10" s="42"/>
      <c r="K10" s="42"/>
      <c r="L10" s="39"/>
      <c r="M10" s="39"/>
      <c r="N10" s="39"/>
      <c r="O10" s="39"/>
      <c r="P10" s="39"/>
      <c r="Q10" s="39"/>
      <c r="R10" s="39"/>
      <c r="S10" s="39"/>
      <c r="T10" s="49"/>
    </row>
    <row r="11" ht="42.75" customHeight="1" s="32">
      <c r="A11" s="41" t="inlineStr">
        <is>
          <t>ew_tower</t>
        </is>
      </c>
      <c r="B11" s="41" t="inlineStr">
        <is>
          <t>Tháp gây nhiễu EW</t>
        </is>
      </c>
      <c r="C11" s="41" t="inlineStr">
        <is>
          <t>tên lửa điều khiển, drone và hỏa lực yểm trợ nhắm vào trong vòng 30 m quanh nó bị lệch; không có súng. làm cùn tên lửa chống tăng, Lancet và các đòn không kích vào căn cứ; thứ gì chỉ cần lái tới bắn là hạ được nó.</t>
        </is>
      </c>
      <c r="D11" s="41" t="inlineStr">
        <is>
          <t>Cột ăng-ten cao (~10 m) với các tấm và chảo nhỏ.  Kích thước hiện 4.0 × 4.0 × 10.1 m. Nhìn rõ từ camera chéo 45–60°; hình dạng hai nhánh phải khác nhau rõ ở zoom mặc định; vạch màu phe.</t>
        </is>
      </c>
      <c r="E11" s="41" t="inlineStr">
        <is>
          <t>tháp ô nhỏ của căn cứ; bị phá thì xây lại 2 CP sau 25 s; mở khóa: thắng màn mở khóa trong chiến dịch, hoặc mua sớm 300 x</t>
        </is>
      </c>
      <c r="F11" s="43" t="n">
        <v>1760</v>
      </c>
      <c r="G11" s="41" t="inlineStr">
        <is>
          <t>cấp 1 (Mỏng) · công trình</t>
        </is>
      </c>
      <c r="H11" s="43" t="n">
        <v>50</v>
      </c>
      <c r="I11" s="43" t="n">
        <v>0</v>
      </c>
      <c r="J11" s="43" t="n">
        <v>0</v>
      </c>
      <c r="K11" s="43" t="n">
        <v>0</v>
      </c>
      <c r="L11" s="41" t="inlineStr">
        <is>
          <t>Murmansk-BN, cột ăng-ten tác chiến điện tử — ước đoán: cột lưới thép gây nhiễu điện tử</t>
        </is>
      </c>
      <c r="M11" s="41" t="n"/>
      <c r="N11" s="41" t="inlineStr">
        <is>
          <t>lửa, pháo tự động, nổ mạnh, nổ lõm, pháo xe tăng</t>
        </is>
      </c>
      <c r="O11" s="41" t="inlineStr">
        <is>
          <t>tên lửa điều khiển, drone và hỏa lực yểm trợ nhắm vào trong vòng 30 m quanh nó bị lệch; không có súng.</t>
        </is>
      </c>
      <c r="P11" s="41" t="inlineStr">
        <is>
          <t>Đứng yên tại chỗ, phục vụ phe ta; Gây nhiễu vũ khí dẫn đường và hỏa lực yểm trợ địch trong 30 m; Tháp gây nhiễu EW · nhánh Máy gây nhiễu drone</t>
        </is>
      </c>
      <c r="Q11" s="41" t="n"/>
      <c r="R11" s="41" t="inlineStr">
        <is>
          <t>Giữ.</t>
        </is>
      </c>
      <c r="S11" s="41" t="inlineStr">
        <is>
          <t>Ổn.</t>
        </is>
      </c>
      <c r="T11" s="49" t="inlineStr">
        <is>
          <t>Thấp</t>
        </is>
      </c>
    </row>
    <row r="12" ht="42.75" customHeight="1" s="32">
      <c r="A12" s="39" t="inlineStr">
        <is>
          <t>ew_tower.drone</t>
        </is>
      </c>
      <c r="B12" s="39" t="inlineStr">
        <is>
          <t>Tháp gây nhiễu EW · nhánh Máy gây nhiễu drone</t>
        </is>
      </c>
      <c r="C12" s="39" t="n"/>
      <c r="D12" s="39" t="inlineStr">
        <is>
          <t>Cột ăng-ten cao (~10 m) với các tấm và chảo nhỏ. Nhánh: Vòm ăng-ten với vòng sóng. Kích thước hiện 4.0 × 4.0 × 10.1 m. Nhìn rõ từ camera chéo 45–60°; hình dạng hai nhánh phải khác nhau rõ ở zoom mặc định; vạch màu phe.</t>
        </is>
      </c>
      <c r="E12" s="39" t="inlineStr">
        <is>
          <t>tháp ô nhỏ của căn cứ; bị phá thì xây lại 2 CP sau 25 s; mở khóa: thắng màn mở khóa trong chiến dịch, hoặc mua sớm 300 x</t>
        </is>
      </c>
      <c r="F12" s="42" t="n">
        <v>1760</v>
      </c>
      <c r="G12" s="39" t="inlineStr">
        <is>
          <t>cấp 1 (Mỏng) · công trình</t>
        </is>
      </c>
      <c r="H12" s="42" t="n">
        <v>50</v>
      </c>
      <c r="I12" s="42" t="n">
        <v>0</v>
      </c>
      <c r="J12" s="42" t="n">
        <v>0</v>
      </c>
      <c r="K12" s="42" t="n">
        <v>0</v>
      </c>
      <c r="L12" s="39" t="inlineStr">
        <is>
          <t>Rafael Drone Dome, Bukovel-AD — ước đoán: nhánh gây nhiễu drone</t>
        </is>
      </c>
      <c r="M12" s="39" t="n"/>
      <c r="N12" s="39" t="inlineStr">
        <is>
          <t>lửa, pháo tự động, nổ mạnh, nổ lõm, pháo xe tăng</t>
        </is>
      </c>
      <c r="O12" s="39" t="n"/>
      <c r="P12" s="39" t="inlineStr">
        <is>
          <t>Đứng yên tại chỗ, phục vụ phe ta; Gây nhiễu vũ khí dẫn đường và hỏa lực yểm trợ địch trong 45 m; Tháp gây nhiễu EW · nhánh Máy đánh lừa radar</t>
        </is>
      </c>
      <c r="Q12" s="39" t="n"/>
      <c r="R12" s="39" t="inlineStr">
        <is>
          <t>Giữ.</t>
        </is>
      </c>
      <c r="S12" s="39" t="inlineStr">
        <is>
          <t>Ổn.</t>
        </is>
      </c>
      <c r="T12" s="49" t="inlineStr">
        <is>
          <t>Thấp</t>
        </is>
      </c>
    </row>
    <row r="13" ht="42.75" customHeight="1" s="32">
      <c r="A13" s="41" t="inlineStr">
        <is>
          <t>ew_tower.spoof</t>
        </is>
      </c>
      <c r="B13" s="41" t="inlineStr">
        <is>
          <t>Tháp gây nhiễu EW · nhánh Máy đánh lừa radar</t>
        </is>
      </c>
      <c r="C13" s="41" t="n"/>
      <c r="D13" s="41" t="inlineStr">
        <is>
          <t>Cột ăng-ten cao (~10 m) với các tấm và chảo nhỏ. Nhánh: Tấm radar mảng pha phẳng. Kích thước hiện 4.0 × 4.0 × 10.1 m. Nhìn rõ từ camera chéo 45–60°; hình dạng hai nhánh phải khác nhau rõ ở zoom mặc định; vạch màu phe.</t>
        </is>
      </c>
      <c r="E13" s="41" t="inlineStr">
        <is>
          <t>tháp ô nhỏ của căn cứ; bị phá thì xây lại 2 CP sau 25 s; mở khóa: thắng màn mở khóa trong chiến dịch, hoặc mua sớm 300 x</t>
        </is>
      </c>
      <c r="F13" s="43" t="n">
        <v>1760</v>
      </c>
      <c r="G13" s="41" t="inlineStr">
        <is>
          <t>cấp 1 (Mỏng) · công trình</t>
        </is>
      </c>
      <c r="H13" s="43" t="n">
        <v>50</v>
      </c>
      <c r="I13" s="43" t="n">
        <v>0</v>
      </c>
      <c r="J13" s="43" t="n">
        <v>0</v>
      </c>
      <c r="K13" s="43" t="n">
        <v>0</v>
      </c>
      <c r="L13" s="41" t="inlineStr">
        <is>
          <t>Pole-21, mồi nhử radar — ước đoán: nhánh đánh lừa radar và tên lửa</t>
        </is>
      </c>
      <c r="M13" s="41" t="n"/>
      <c r="N13" s="41" t="inlineStr">
        <is>
          <t>lửa, pháo tự động, nổ mạnh, nổ lõm, pháo xe tăng</t>
        </is>
      </c>
      <c r="O13" s="41" t="n"/>
      <c r="P13" s="41" t="inlineStr">
        <is>
          <t>Đứng yên tại chỗ, phục vụ phe ta; Gây nhiễu vũ khí dẫn đường và hỏa lực yểm trợ địch trong 30 m; Định vị pháo địch đang bắn trong 80 m; Tháp canh</t>
        </is>
      </c>
      <c r="Q13" s="41" t="n"/>
      <c r="R13" s="41" t="inlineStr">
        <is>
          <t>Giữ.</t>
        </is>
      </c>
      <c r="S13" s="41" t="inlineStr">
        <is>
          <t>Ổn.</t>
        </is>
      </c>
      <c r="T13" s="49" t="inlineStr">
        <is>
          <t>Thấp</t>
        </is>
      </c>
    </row>
    <row r="14" ht="32.25" customHeight="1" s="32">
      <c r="A14" s="39" t="inlineStr">
        <is>
          <t>guard_tower</t>
        </is>
      </c>
      <c r="B14" s="39" t="inlineStr">
        <is>
          <t>Tháp canh</t>
        </is>
      </c>
      <c r="C14" s="39" t="inlineStr">
        <is>
          <t>súng máy nặng (30 m, bắn cả máy bay); tầm nhìn 60 m giúp soi quân ta cho pháo địch. chặn trinh sát và xe nhẹ; là tháp yếu nhất, gục nhanh trước xe tăng và đạn nổ mạnh.</t>
        </is>
      </c>
      <c r="D14" s="39" t="inlineStr">
        <is>
          <t>Tháp gỗ-thép cao (~11 m) có chòi lợp mái, súng máy và đèn pha trên chòi.  Kích thước hiện 3.5 × 3.8 × 11.6 m. Nhìn rõ từ camera chéo 45–60°; hình dạng hai nhánh phải khác nhau rõ ở zoom mặc định; vạch màu phe.</t>
        </is>
      </c>
      <c r="E14" s="39" t="inlineStr">
        <is>
          <t>tháp ô nhỏ của căn cứ; bị phá thì xây lại 2 CP sau 25 s; mở khóa: có sẵn từ đầu</t>
        </is>
      </c>
      <c r="F14" s="42" t="n">
        <v>1540</v>
      </c>
      <c r="G14" s="39" t="inlineStr">
        <is>
          <t>cấp 1 (Mỏng) · công trình</t>
        </is>
      </c>
      <c r="H14" s="42" t="n">
        <v>60</v>
      </c>
      <c r="I14" s="42" t="n">
        <v>75</v>
      </c>
      <c r="J14" s="42" t="n">
        <v>22</v>
      </c>
      <c r="K14" s="42" t="n">
        <v>27</v>
      </c>
      <c r="L14" s="39" t="inlineStr">
        <is>
          <t>M2 Browning 12,7 mm, Mk 19 40 mm — Tháp canh thép 11 m trên lô cốt</t>
        </is>
      </c>
      <c r="M14" s="39" t="inlineStr">
        <is>
          <t>giáp 0, giáp 1</t>
        </is>
      </c>
      <c r="N14" s="39" t="inlineStr">
        <is>
          <t>lửa, pháo tự động, nổ mạnh, nổ lõm, pháo xe tăng</t>
        </is>
      </c>
      <c r="O14" s="39" t="inlineStr">
        <is>
          <t>súng máy nặng (30 m, bắn cả máy bay); tầm nhìn 60 m giúp soi quân ta cho pháo địch.</t>
        </is>
      </c>
      <c r="P14" s="39" t="inlineStr">
        <is>
          <t>Đứng yên tại chỗ, bắn mọi mục tiêu trong tầm; Tháp canh · nhánh Tháp quan sát</t>
        </is>
      </c>
      <c r="Q14" s="39" t="inlineStr">
        <is>
          <t>M2 Browning 12.7 mm [Động năng, xuyên 1, đạn súng (cỡ lớn)] 10/phát · băng 46 viên, 12 viên/s, thay 1.1 s · tầm 30 m · Tất cả</t>
        </is>
      </c>
      <c r="R14" s="39" t="inlineStr">
        <is>
          <t>Giữ.</t>
        </is>
      </c>
      <c r="S14" s="39" t="inlineStr">
        <is>
          <t>Đã tăng (75/22/27), đạt mục tiêu.</t>
        </is>
      </c>
      <c r="T14" s="49" t="inlineStr">
        <is>
          <t>Thấp</t>
        </is>
      </c>
    </row>
    <row r="15" ht="42.75" customHeight="1" s="32">
      <c r="A15" s="41" t="inlineStr">
        <is>
          <t>guard_tower.watch</t>
        </is>
      </c>
      <c r="B15" s="41" t="inlineStr">
        <is>
          <t>Tháp canh · nhánh Tháp quan sát</t>
        </is>
      </c>
      <c r="C15" s="41" t="n"/>
      <c r="D15" s="41" t="inlineStr">
        <is>
          <t>Tháp gỗ-thép cao (~11 m) có chòi lợp mái, súng máy và đèn pha trên chòi. Nhánh: Thêm cột radar và đèn pha xoay trên chòi. Kích thước hiện 3.5 × 3.8 × 11.6 m. Nhìn rõ từ camera chéo 45–60°; hình dạng hai nhánh phải khác nhau rõ ở zoom mặc định; vạch màu phe.</t>
        </is>
      </c>
      <c r="E15" s="41" t="inlineStr">
        <is>
          <t>tháp ô nhỏ của căn cứ; bị phá thì xây lại 2 CP sau 25 s; mở khóa: thắng màn mở khóa trong chiến dịch, hoặc mua sớm 300 x</t>
        </is>
      </c>
      <c r="F15" s="43" t="n">
        <v>1540</v>
      </c>
      <c r="G15" s="41" t="inlineStr">
        <is>
          <t>cấp 1 (Mỏng) · công trình</t>
        </is>
      </c>
      <c r="H15" s="43" t="n">
        <v>78</v>
      </c>
      <c r="I15" s="43" t="n">
        <v>75</v>
      </c>
      <c r="J15" s="43" t="n">
        <v>22</v>
      </c>
      <c r="K15" s="43" t="n">
        <v>27</v>
      </c>
      <c r="L15" s="41" t="inlineStr">
        <is>
          <t>tháp quan sát biên giới có khí tài quang học — ước đoán: nhánh quan sát của tháp canh</t>
        </is>
      </c>
      <c r="M15" s="41" t="inlineStr">
        <is>
          <t>giáp 0, giáp 1</t>
        </is>
      </c>
      <c r="N15" s="41" t="inlineStr">
        <is>
          <t>lửa, pháo tự động, nổ mạnh, nổ lõm, pháo xe tăng</t>
        </is>
      </c>
      <c r="O15" s="41" t="n"/>
      <c r="P15" s="41" t="inlineStr">
        <is>
          <t>Đứng yên tại chỗ, bắn mọi mục tiêu trong tầm; Tháp canh · nhánh Ổ súng</t>
        </is>
      </c>
      <c r="Q15" s="41" t="inlineStr">
        <is>
          <t>M2 Browning 12.7 mm [Động năng, xuyên 1, đạn súng (cỡ lớn)] 10/phát · băng 46 viên, 12 viên/s, thay 1.1 s · tầm 30 m · Tất cả</t>
        </is>
      </c>
      <c r="R15" s="41" t="inlineStr">
        <is>
          <t>Giữ.</t>
        </is>
      </c>
      <c r="S15" s="41" t="inlineStr">
        <is>
          <t>Ổn.</t>
        </is>
      </c>
      <c r="T15" s="49" t="inlineStr">
        <is>
          <t>Thấp</t>
        </is>
      </c>
    </row>
    <row r="16" ht="42.75" customHeight="1" s="32">
      <c r="A16" s="39" t="inlineStr">
        <is>
          <t>guard_tower.nest</t>
        </is>
      </c>
      <c r="B16" s="39" t="inlineStr">
        <is>
          <t>Tháp canh · nhánh Ổ súng</t>
        </is>
      </c>
      <c r="C16" s="39" t="n"/>
      <c r="D16" s="39" t="inlineStr">
        <is>
          <t>Tháp gỗ-thép cao (~11 m) có chòi lợp mái, súng máy và đèn pha trên chòi. Nhánh: Chòi thấp có bao cát, nòng 25 mm. Kích thước hiện 3.5 × 3.8 × 11.6 m. Nhìn rõ từ camera chéo 45–60°; hình dạng hai nhánh phải khác nhau rõ ở zoom mặc định; vạch màu phe.</t>
        </is>
      </c>
      <c r="E16" s="39" t="inlineStr">
        <is>
          <t>tháp ô nhỏ của căn cứ; bị phá thì xây lại 2 CP sau 25 s; mở khóa: thắng màn mở khóa trong chiến dịch, hoặc mua sớm 300 x</t>
        </is>
      </c>
      <c r="F16" s="42" t="n">
        <v>1540</v>
      </c>
      <c r="G16" s="39" t="inlineStr">
        <is>
          <t>cấp 1 (Mỏng) · công trình</t>
        </is>
      </c>
      <c r="H16" s="42" t="n">
        <v>48</v>
      </c>
      <c r="I16" s="42" t="n">
        <v>69</v>
      </c>
      <c r="J16" s="42" t="n">
        <v>34</v>
      </c>
      <c r="K16" s="42" t="n">
        <v>0</v>
      </c>
      <c r="L16" s="39" t="inlineStr">
        <is>
          <t>M242 Bushmaster 25 mm — Tháp canh nhánh ổ pháo 25 mm</t>
        </is>
      </c>
      <c r="M16" s="39" t="inlineStr">
        <is>
          <t>giáp 0, giáp 1, giáp 2</t>
        </is>
      </c>
      <c r="N16" s="39" t="inlineStr">
        <is>
          <t>lửa, pháo tự động, nổ mạnh, nổ lõm, pháo xe tăng</t>
        </is>
      </c>
      <c r="O16" s="39" t="n"/>
      <c r="P16" s="39" t="inlineStr">
        <is>
          <t>Đứng yên tại chỗ, bắn mọi mục tiêu trong tầm; Sở chỉ huy</t>
        </is>
      </c>
      <c r="Q16" s="39" t="inlineStr">
        <is>
          <t>M242 Bushmaster 25 mm [Động năng, xuyên 2, đạn pháo động năng (pháo tự động)] 17/phát · băng 10 viên, 8 viên/s, thay 1.3 s · tầm 30 m · Mặt đất</t>
        </is>
      </c>
      <c r="R16" s="39" t="inlineStr">
        <is>
          <t>Giữ.</t>
        </is>
      </c>
      <c r="S16" s="39" t="inlineStr">
        <is>
          <t>Ổn.</t>
        </is>
      </c>
      <c r="T16" s="49" t="inlineStr">
        <is>
          <t>Thấp</t>
        </is>
      </c>
    </row>
    <row r="17" ht="84.75" customHeight="1" s="32">
      <c r="A17" s="41" t="inlineStr">
        <is>
          <t>headquarters</t>
        </is>
      </c>
      <c r="B17" s="41" t="inlineStr">
        <is>
          <t>Sở chỉ huy</t>
        </is>
      </c>
      <c r="C17" s="41" t="inlineStr">
        <is>
          <t>pháo nặng hai nòng bắn loạt đôi tới 40 m, pháo phòng không đôi 30 mm và súng máy đồng trục canh bầu trời; quân mới được thả cực lì; ở Chiếm cứ điểm, Giữ đồi và Tử chiến nó không thể bị phá, ở Tấn công và Công thành nó là mục tiêu, ở Phòng thủ và Vô tận</t>
        </is>
      </c>
      <c r="D17" s="41" t="inlineStr">
        <is>
          <t>Nhà chỉ huy bê tông nhiều khối, ăng-ten, cờ phe, bao cát quanh.  Kích thước hiện 12.7 × 14.1 × 9.4 m. Nhìn rõ từ camera chéo 45–60°; hình dạng hai nhánh phải khác nhau rõ ở zoom mặc định; vạch màu phe.</t>
        </is>
      </c>
      <c r="E17" s="41" t="inlineStr">
        <is>
          <t>công sự trung lập hoặc của bản đồ, không mua được</t>
        </is>
      </c>
      <c r="F17" s="43" t="n">
        <v>19800</v>
      </c>
      <c r="G17" s="41" t="inlineStr">
        <is>
          <t>cấp 4 (Rất dày) · công trình</t>
        </is>
      </c>
      <c r="H17" s="43" t="n">
        <v>50</v>
      </c>
      <c r="I17" s="43" t="n">
        <v>327</v>
      </c>
      <c r="J17" s="43" t="n">
        <v>206</v>
      </c>
      <c r="K17" s="43" t="n">
        <v>419</v>
      </c>
      <c r="L17" s="41" t="inlineStr">
        <is>
          <t>sở chỉ huy bê tông kiên cố, 2A83 152 mm, 2A38 30 mm · Construction Yard (Command &amp; Conquer) — ước đoán: khối chỉ huy bê tông</t>
        </is>
      </c>
      <c r="M17" s="41" t="inlineStr">
        <is>
          <t>giáp 0, giáp 1, giáp 2, giáp 3, giáp 4, trên không, công trình</t>
        </is>
      </c>
      <c r="N17" s="41" t="n"/>
      <c r="O17" s="41" t="inlineStr">
        <is>
          <t>pháo nặng hai nòng bắn loạt đôi tới 40 m, pháo phòng không đôi 30 mm và súng máy đồng trục canh bầu trời; quân mới được thả</t>
        </is>
      </c>
      <c r="P17" s="41" t="inlineStr">
        <is>
          <t>Đứng yên tại chỗ, bắn mọi mục tiêu trong tầm; Lô cốt súng máy</t>
        </is>
      </c>
      <c r="Q17" s="41" t="inlineStr">
        <is>
          <t>2A83 152 mm (twin) [Động năng, xuyên 4, đạn pháo động năng (≥120 mm) nổ lan] 320/phát · loạt 2, hồi 5.16 s · tầm 40 m · Mặt đất
2A38 30 mm (twin) [Mảnh, xuyên 2, đạn nổ trên không nổ lan] 22/phát · băng 36 viên, 9 viên/s, thay 1.21 s · tầm 42 m · Tất cả
2A38 30 mm (twin) [Mảnh, xuyên 2, đạn nổ trên không nổ lan] 22/phát · băng 36 viên, 9 viên/s, thay 1.21 s · tầm 42 m · Tất cả
PKT / M240 7.62 mm [Động năng, xuyên 0, đạn súng] 6/phát · băng 41 viên, 12 viên/s, thay 1.59 s · tầm 20 m · Tất cả</t>
        </is>
      </c>
      <c r="R17" s="41" t="inlineStr">
        <is>
          <t>Giữ; kiểm tra lại HQ không làm căn cứ miễn nhiễm hoàn toàn với máy bay.</t>
        </is>
      </c>
      <c r="S17" s="41" t="inlineStr">
        <is>
          <t>19.800 máu, chống máy bay 419.</t>
        </is>
      </c>
      <c r="T17" s="49" t="inlineStr">
        <is>
          <t>Thấp</t>
        </is>
      </c>
    </row>
    <row r="18" ht="32.25" customHeight="1" s="32">
      <c r="A18" s="39" t="inlineStr">
        <is>
          <t>mg_bunker</t>
        </is>
      </c>
      <c r="B18" s="39" t="inlineStr">
        <is>
          <t>Lô cốt súng máy</t>
        </is>
      </c>
      <c r="C18" s="39" t="inlineStr">
        <is>
          <t>súng máy nặng bắn nhanh (32 m, bắn cả máy bay). quét sạch trinh sát và xe nhẹ; gần như không làm xước xe tăng.</t>
        </is>
      </c>
      <c r="D18" s="39" t="inlineStr">
        <is>
          <t>Lô cốt bê tông thấp tròn hoặc lục giác, lỗ châu mai, nòng súng thò ra.  Kích thước hiện 4.4 × 4.4 × 3.3 m. Nhìn rõ từ camera chéo 45–60°; hình dạng hai nhánh phải khác nhau rõ ở zoom mặc định; vạch màu phe.</t>
        </is>
      </c>
      <c r="E18" s="39" t="inlineStr">
        <is>
          <t>tháp ô nhỏ của căn cứ; bị phá thì xây lại 2 CP sau 25 s; mở khóa: có sẵn từ đầu</t>
        </is>
      </c>
      <c r="F18" s="42" t="n">
        <v>3300</v>
      </c>
      <c r="G18" s="39" t="inlineStr">
        <is>
          <t>3/2/2/2</t>
        </is>
      </c>
      <c r="H18" s="42" t="n">
        <v>36</v>
      </c>
      <c r="I18" s="42" t="n">
        <v>102</v>
      </c>
      <c r="J18" s="42" t="n">
        <v>30</v>
      </c>
      <c r="K18" s="42" t="n">
        <v>36</v>
      </c>
      <c r="L18" s="39" t="inlineStr">
        <is>
          <t>NSV 12,7 mm, 9M113 Konkurs, lô cốt hình nấm — Lô cốt tròn có khe bắn quanh thân</t>
        </is>
      </c>
      <c r="M18" s="39" t="inlineStr">
        <is>
          <t>giáp 0, giáp 1</t>
        </is>
      </c>
      <c r="N18" s="39" t="inlineStr">
        <is>
          <t>nổ mạnh, đánh nóc, nổ lõm, pháo xe tăng</t>
        </is>
      </c>
      <c r="O18" s="39" t="inlineStr">
        <is>
          <t>súng máy nặng bắn nhanh (32 m, bắn cả máy bay).</t>
        </is>
      </c>
      <c r="P18" s="39" t="inlineStr">
        <is>
          <t>Đứng yên tại chỗ, bắn mọi mục tiêu trong tầm; Lô cốt súng máy · nhánh Súng máy đôi</t>
        </is>
      </c>
      <c r="Q18" s="39" t="inlineStr">
        <is>
          <t>NSV 12.7 mm [Động năng, xuyên 1, đạn súng (cỡ lớn)] 10/phát · băng 45 viên, 16 viên/s, thay 0.85 s · tầm 32 m · Tất cả</t>
        </is>
      </c>
      <c r="R18" s="39" t="inlineStr">
        <is>
          <t>Giữ.</t>
        </is>
      </c>
      <c r="S18" s="39" t="inlineStr">
        <is>
          <t>Đạt mục tiêu (102).</t>
        </is>
      </c>
      <c r="T18" s="49" t="inlineStr">
        <is>
          <t>Thấp</t>
        </is>
      </c>
    </row>
    <row r="19" ht="42.75" customHeight="1" s="32">
      <c r="A19" s="41" t="inlineStr">
        <is>
          <t>mg_bunker.twin</t>
        </is>
      </c>
      <c r="B19" s="41" t="inlineStr">
        <is>
          <t>Lô cốt súng máy · nhánh Súng máy đôi</t>
        </is>
      </c>
      <c r="C19" s="41" t="n"/>
      <c r="D19" s="41" t="inlineStr">
        <is>
          <t>Lô cốt bê tông thấp tròn hoặc lục giác, lỗ châu mai, nòng súng thò ra. Nhánh: Hai nòng súng máy qua lỗ châu mai. Kích thước hiện 4.4 × 4.4 × 3.3 m. Nhìn rõ từ camera chéo 45–60°; hình dạng hai nhánh phải khác nhau rõ ở zoom mặc định; vạch màu phe.</t>
        </is>
      </c>
      <c r="E19" s="41" t="inlineStr">
        <is>
          <t>tháp ô nhỏ của căn cứ; bị phá thì xây lại 2 CP sau 25 s; mở khóa: thắng màn mở khóa trong chiến dịch, hoặc mua sớm 300 x</t>
        </is>
      </c>
      <c r="F19" s="43" t="n">
        <v>3300</v>
      </c>
      <c r="G19" s="41" t="inlineStr">
        <is>
          <t>3/2/2/2</t>
        </is>
      </c>
      <c r="H19" s="43" t="n">
        <v>36</v>
      </c>
      <c r="I19" s="43" t="n">
        <v>122</v>
      </c>
      <c r="J19" s="43" t="n">
        <v>36</v>
      </c>
      <c r="K19" s="43" t="n">
        <v>43</v>
      </c>
      <c r="L19" s="41" t="inlineStr">
        <is>
          <t>NSV 12,7 mm (bệ đôi), lô cốt hình nấm — Lô cốt nhánh súng máy đôi</t>
        </is>
      </c>
      <c r="M19" s="41" t="inlineStr">
        <is>
          <t>giáp 0, giáp 1</t>
        </is>
      </c>
      <c r="N19" s="41" t="inlineStr">
        <is>
          <t>nổ mạnh, đánh nóc, nổ lõm, pháo xe tăng</t>
        </is>
      </c>
      <c r="O19" s="41" t="n"/>
      <c r="P19" s="41" t="inlineStr">
        <is>
          <t>Đứng yên tại chỗ, bắn mọi mục tiêu trong tầm; Lô cốt súng máy · nhánh Lô cốt phun lửa</t>
        </is>
      </c>
      <c r="Q19" s="41" t="inlineStr">
        <is>
          <t>NSV 12.7 mm (twin) [Động năng, xuyên 1, đạn súng (cỡ lớn)] 10/phát · băng 51 viên, 20 viên/s, thay 0.87 s · tầm 28 m · Tất cả</t>
        </is>
      </c>
      <c r="R19" s="41" t="inlineStr">
        <is>
          <t>Giữ.</t>
        </is>
      </c>
      <c r="S19" s="41" t="inlineStr">
        <is>
          <t>Ổn.</t>
        </is>
      </c>
      <c r="T19" s="49" t="inlineStr">
        <is>
          <t>Thấp</t>
        </is>
      </c>
    </row>
    <row r="20" ht="42.75" customHeight="1" s="32">
      <c r="A20" s="39" t="inlineStr">
        <is>
          <t>mg_bunker.flame</t>
        </is>
      </c>
      <c r="B20" s="39" t="inlineStr">
        <is>
          <t>Lô cốt súng máy · nhánh Lô cốt phun lửa</t>
        </is>
      </c>
      <c r="C20" s="39" t="n"/>
      <c r="D20" s="39" t="inlineStr">
        <is>
          <t>Lô cốt bê tông thấp tròn hoặc lục giác, lỗ châu mai, nòng súng thò ra. Nhánh: Vòi phun và bình nhiên liệu phía sau. Kích thước hiện 4.4 × 4.4 × 3.3 m. Nhìn rõ từ camera chéo 45–60°; hình dạng hai nhánh phải khác nhau rõ ở zoom mặc định; vạch màu phe.</t>
        </is>
      </c>
      <c r="E20" s="39" t="inlineStr">
        <is>
          <t>tháp ô nhỏ của căn cứ; bị phá thì xây lại 2 CP sau 25 s; mở khóa: thắng màn mở khóa trong chiến dịch, hoặc mua sớm 300 x</t>
        </is>
      </c>
      <c r="F20" s="42" t="n">
        <v>3300</v>
      </c>
      <c r="G20" s="39" t="inlineStr">
        <is>
          <t>3/2/2/2</t>
        </is>
      </c>
      <c r="H20" s="42" t="n">
        <v>36</v>
      </c>
      <c r="I20" s="42" t="n">
        <v>170</v>
      </c>
      <c r="J20" s="42" t="n">
        <v>50</v>
      </c>
      <c r="K20" s="42" t="n">
        <v>0</v>
      </c>
      <c r="L20" s="39" t="inlineStr">
        <is>
          <t>Abwehrflammenwerfer 42, lô cốt súng phun lửa — ước đoán: nhánh lô cốt phun lửa</t>
        </is>
      </c>
      <c r="M20" s="39" t="inlineStr">
        <is>
          <t>giáp 0, giáp 1, giáp 2</t>
        </is>
      </c>
      <c r="N20" s="39" t="inlineStr">
        <is>
          <t>nổ mạnh, đánh nóc, nổ lõm, pháo xe tăng</t>
        </is>
      </c>
      <c r="O20" s="39" t="n"/>
      <c r="P20" s="39" t="inlineStr">
        <is>
          <t>Đứng yên tại chỗ, bắn mọi mục tiêu trong tầm; Bãi mìn</t>
        </is>
      </c>
      <c r="Q20" s="39" t="inlineStr">
        <is>
          <t>flamethrower (bunker) [Lửa, xuyên 1, lửa nổ lan] 26/phát · hồi 0.195 s · tầm 16 m · Mặt đất</t>
        </is>
      </c>
      <c r="R20" s="39" t="inlineStr">
        <is>
          <t>Giữ.</t>
        </is>
      </c>
      <c r="S20" s="39" t="inlineStr">
        <is>
          <t>Ổn.</t>
        </is>
      </c>
      <c r="T20" s="49" t="inlineStr">
        <is>
          <t>Thấp</t>
        </is>
      </c>
    </row>
    <row r="21" ht="42.75" customHeight="1" s="32">
      <c r="A21" s="41"/>
      <c r="B21" s="41"/>
      <c r="C21" s="41"/>
      <c r="D21" s="41"/>
      <c r="E21" s="41"/>
      <c r="F21" s="43"/>
      <c r="G21" s="41"/>
      <c r="H21" s="43"/>
      <c r="I21" s="43"/>
      <c r="J21" s="43"/>
      <c r="K21" s="43"/>
      <c r="L21" s="41"/>
      <c r="M21" s="41"/>
      <c r="N21" s="41"/>
      <c r="O21" s="41"/>
      <c r="P21" s="41"/>
      <c r="Q21" s="41"/>
      <c r="R21" s="41"/>
      <c r="S21" s="41"/>
      <c r="T21" s="49"/>
    </row>
    <row r="22" ht="42.75" customHeight="1" s="32">
      <c r="A22" s="39" t="inlineStr">
        <is>
          <t>minefield.at</t>
        </is>
      </c>
      <c r="B22" s="39" t="inlineStr">
        <is>
          <t>Bãi mìn · nhánh Bãi mìn chống tăng</t>
        </is>
      </c>
      <c r="C22" s="39" t="n"/>
      <c r="D22" s="39" t="inlineStr">
        <is>
          <t>Vùng đất xới có biển cảnh báo; mìn chỉ phe ta thấy. Nhánh: Ít mìn lớn. Kích thước hiện 4.9 × 4.9 × 1.1 m. Nhìn rõ từ camera chéo 45–60°; hình dạng hai nhánh phải khác nhau rõ ở zoom mặc định; vạch màu phe.</t>
        </is>
      </c>
      <c r="E22" s="39" t="inlineStr">
        <is>
          <t>tháp ô nhỏ của căn cứ; bị phá thì xây lại 2 CP sau 25 s; mở khóa: thắng màn mở khóa trong chiến dịch, hoặc mua sớm 300 x</t>
        </is>
      </c>
      <c r="F22" s="42" t="n">
        <v>880</v>
      </c>
      <c r="G22" s="39" t="inlineStr">
        <is>
          <t>cấp 0 (Không giáp) · công trình</t>
        </is>
      </c>
      <c r="H22" s="42" t="n">
        <v>10</v>
      </c>
      <c r="I22" s="42" t="n">
        <v>0</v>
      </c>
      <c r="J22" s="42" t="n">
        <v>0</v>
      </c>
      <c r="K22" s="42" t="n">
        <v>0</v>
      </c>
      <c r="L22" s="39" t="inlineStr">
        <is>
          <t>TM-62, M15 — ước đoán: nhánh mìn chống tăng</t>
        </is>
      </c>
      <c r="M22" s="39" t="n"/>
      <c r="N22" s="39" t="inlineStr">
        <is>
          <t>súng máy hạng nặng, lửa, pháo tự động, nổ mạnh, năng lượng, nổ lõm, pháo xe tăng</t>
        </is>
      </c>
      <c r="O22" s="39" t="n"/>
      <c r="P22" s="39" t="inlineStr">
        <is>
          <t>Đứng yên tại chỗ, phục vụ phe ta; Rải một quả mìn mỗi 45 giây (tối đa 5); Bãi mìn · nhánh Bãi mìn rải</t>
        </is>
      </c>
      <c r="Q22" s="39" t="n"/>
      <c r="R22" s="39" t="inlineStr">
        <is>
          <t>Giữ.</t>
        </is>
      </c>
      <c r="S22" s="39" t="inlineStr">
        <is>
          <t>Ổn.</t>
        </is>
      </c>
      <c r="T22" s="49" t="inlineStr">
        <is>
          <t>Thấp</t>
        </is>
      </c>
    </row>
    <row r="23" ht="42.75" customHeight="1" s="32">
      <c r="A23" s="41" t="inlineStr">
        <is>
          <t>minefield.scatter</t>
        </is>
      </c>
      <c r="B23" s="41" t="inlineStr">
        <is>
          <t>Bãi mìn · nhánh Bãi mìn rải</t>
        </is>
      </c>
      <c r="C23" s="41" t="n"/>
      <c r="D23" s="41" t="inlineStr">
        <is>
          <t>Vùng đất xới có biển cảnh báo; mìn chỉ phe ta thấy. Nhánh: Nhiều mìn nhỏ và thùng rải. Kích thước hiện 4.9 × 4.9 × 1.1 m. Nhìn rõ từ camera chéo 45–60°; hình dạng hai nhánh phải khác nhau rõ ở zoom mặc định; vạch màu phe.</t>
        </is>
      </c>
      <c r="E23" s="41" t="inlineStr">
        <is>
          <t>tháp ô nhỏ của căn cứ; bị phá thì xây lại 2 CP sau 25 s; mở khóa: thắng màn mở khóa trong chiến dịch, hoặc mua sớm 300 x</t>
        </is>
      </c>
      <c r="F23" s="43" t="n">
        <v>880</v>
      </c>
      <c r="G23" s="41" t="inlineStr">
        <is>
          <t>cấp 0 (Không giáp) · công trình</t>
        </is>
      </c>
      <c r="H23" s="43" t="n">
        <v>10</v>
      </c>
      <c r="I23" s="43" t="n">
        <v>0</v>
      </c>
      <c r="J23" s="43" t="n">
        <v>0</v>
      </c>
      <c r="K23" s="43" t="n">
        <v>0</v>
      </c>
      <c r="L23" s="41" t="inlineStr">
        <is>
          <t>M139 Volcano, PFM-1 — ước đoán: nhánh mìn rải</t>
        </is>
      </c>
      <c r="M23" s="41" t="n"/>
      <c r="N23" s="41" t="inlineStr">
        <is>
          <t>súng máy hạng nặng, lửa, pháo tự động, nổ mạnh, năng lượng, nổ lõm, pháo xe tăng</t>
        </is>
      </c>
      <c r="O23" s="41" t="n"/>
      <c r="P23" s="41" t="inlineStr">
        <is>
          <t>Đứng yên tại chỗ, phục vụ phe ta; Rải một quả mìn mỗi 35 giây (tối đa 10); Tháp ô vừa (19); Sân bay dã chiến</t>
        </is>
      </c>
      <c r="Q23" s="41" t="n"/>
      <c r="R23" s="41" t="inlineStr">
        <is>
          <t>Giữ.</t>
        </is>
      </c>
      <c r="S23" s="41" t="inlineStr">
        <is>
          <t>Ổn.</t>
        </is>
      </c>
      <c r="T23" s="49" t="inlineStr">
        <is>
          <t>Thấp</t>
        </is>
      </c>
    </row>
    <row r="24" ht="42.75" customHeight="1" s="32">
      <c r="A24" s="39" t="inlineStr">
        <is>
          <t>airfield</t>
        </is>
      </c>
      <c r="B24" s="39" t="inlineStr">
        <is>
          <t>Sân bay dã chiến</t>
        </is>
      </c>
      <c r="C24" s="39" t="inlineStr">
        <is>
          <t>máy bay bay trên nó hồi 3% máu mỗi giây và nạp đạn; chỉ huy tự đưa chúng về khi dưới 35% máu hoặc hết đạn. giúp trực thăng và máy bay bay được lâu hơn; chúng vẫn phải ra trận và có thể bị bắn rơi trên đường.</t>
        </is>
      </c>
      <c r="D24" s="39" t="inlineStr">
        <is>
          <t>Bãi đáp bê tông phẳng có vạch sơn và đèn.  Kích thước hiện 10.0 × 10.0 × 0.1 m. Nhìn rõ từ camera chéo 45–60°; hình dạng hai nhánh phải khác nhau rõ ở zoom mặc định; vạch màu phe.</t>
        </is>
      </c>
      <c r="E24" s="39" t="inlineStr">
        <is>
          <t>công sự trung lập hoặc của bản đồ, không mua được</t>
        </is>
      </c>
      <c r="F24" s="42" t="n">
        <v>3520</v>
      </c>
      <c r="G24" s="39" t="inlineStr">
        <is>
          <t>cấp 1 (Mỏng) · công trình</t>
        </is>
      </c>
      <c r="H24" s="42" t="n">
        <v>30</v>
      </c>
      <c r="I24" s="42" t="n">
        <v>0</v>
      </c>
      <c r="J24" s="42" t="n">
        <v>0</v>
      </c>
      <c r="K24" s="42" t="n">
        <v>0</v>
      </c>
      <c r="L24" s="39" t="inlineStr">
        <is>
          <t>bãi đáp trực thăng (chữ H) — Bãi đáp sửa chữa và nạp đạn cho máy bay</t>
        </is>
      </c>
      <c r="M24" s="39" t="n"/>
      <c r="N24" s="39" t="inlineStr">
        <is>
          <t>lửa, pháo tự động, nổ mạnh, nổ lõm, pháo xe tăng</t>
        </is>
      </c>
      <c r="O24" s="39" t="inlineStr">
        <is>
          <t>máy bay bay trên nó hồi 3% máu mỗi giây và nạp đạn; chỉ huy tự đưa chúng về khi dưới 35% máu hoặc hết đạn.</t>
        </is>
      </c>
      <c r="P24" s="39" t="inlineStr">
        <is>
          <t>Đứng yên tại chỗ, phục vụ phe ta; Sân bay dã chiến · Nhà chứa máy bay</t>
        </is>
      </c>
      <c r="Q24" s="39" t="n"/>
      <c r="R24" s="39" t="inlineStr">
        <is>
          <t>Giữ.</t>
        </is>
      </c>
      <c r="S24" s="39" t="inlineStr">
        <is>
          <t>Ổn.</t>
        </is>
      </c>
      <c r="T24" s="49" t="inlineStr">
        <is>
          <t>Thấp</t>
        </is>
      </c>
    </row>
    <row r="25" ht="32.25" customHeight="1" s="32">
      <c r="A25" s="41" t="inlineStr">
        <is>
          <t>airfield.hangar</t>
        </is>
      </c>
      <c r="B25" s="41" t="inlineStr">
        <is>
          <t>Sân bay dã chiến · Nhà chứa máy bay</t>
        </is>
      </c>
      <c r="C25" s="41" t="n"/>
      <c r="D25" s="41" t="inlineStr">
        <is>
          <t>Bãi đáp bê tông phẳng có vạch sơn và đèn. Nhánh: Nhà chứa máy bay. Kích thước hiện 10.0 × 10.0 × 0.1 m. Nhìn rõ từ camera chéo 45–60°; hình dạng hai nhánh phải khác nhau rõ ở zoom mặc định; vạch màu phe.</t>
        </is>
      </c>
      <c r="E25" s="41" t="inlineStr">
        <is>
          <t>công sự trung lập hoặc của bản đồ, không mua được</t>
        </is>
      </c>
      <c r="F25" s="43" t="n">
        <v>3960</v>
      </c>
      <c r="G25" s="41" t="inlineStr">
        <is>
          <t>cấp 2 (Vừa) · công trình</t>
        </is>
      </c>
      <c r="H25" s="43" t="n">
        <v>30</v>
      </c>
      <c r="I25" s="43" t="n">
        <v>0</v>
      </c>
      <c r="J25" s="43" t="n">
        <v>0</v>
      </c>
      <c r="K25" s="43" t="n">
        <v>0</v>
      </c>
      <c r="L25" s="41" t="inlineStr">
        <is>
          <t>nhà chứa máy bay dã chiến — ước đoán: nhánh nhà chứa</t>
        </is>
      </c>
      <c r="M25" s="41" t="n"/>
      <c r="N25" s="41" t="inlineStr">
        <is>
          <t>nổ mạnh, nổ lõm, pháo xe tăng</t>
        </is>
      </c>
      <c r="O25" s="41" t="n"/>
      <c r="P25" s="41" t="inlineStr">
        <is>
          <t>Đứng yên tại chỗ, phục vụ phe ta; Sân bay dã chiến · Phục vụ nhanh</t>
        </is>
      </c>
      <c r="Q25" s="41" t="n"/>
      <c r="R25" s="41" t="inlineStr">
        <is>
          <t>Giữ.</t>
        </is>
      </c>
      <c r="S25" s="41" t="inlineStr">
        <is>
          <t>Ổn.</t>
        </is>
      </c>
      <c r="T25" s="49" t="inlineStr">
        <is>
          <t>Thấp</t>
        </is>
      </c>
    </row>
    <row r="26" ht="32.25" customHeight="1" s="32">
      <c r="A26" s="39" t="inlineStr">
        <is>
          <t>airfield.service</t>
        </is>
      </c>
      <c r="B26" s="39" t="inlineStr">
        <is>
          <t>Sân bay dã chiến · Phục vụ nhanh</t>
        </is>
      </c>
      <c r="C26" s="39" t="n"/>
      <c r="D26" s="39" t="inlineStr">
        <is>
          <t>Bãi đáp bê tông phẳng có vạch sơn và đèn. Nhánh: Xe tiếp nhiên liệu và thùng đạn. Kích thước hiện 10.0 × 10.0 × 0.1 m. Nhìn rõ từ camera chéo 45–60°; hình dạng hai nhánh phải khác nhau rõ ở zoom mặc định; vạch màu phe.</t>
        </is>
      </c>
      <c r="E26" s="39" t="inlineStr">
        <is>
          <t>công sự trung lập hoặc của bản đồ, không mua được</t>
        </is>
      </c>
      <c r="F26" s="42" t="n">
        <v>3520</v>
      </c>
      <c r="G26" s="39" t="inlineStr">
        <is>
          <t>cấp 1 (Mỏng) · công trình</t>
        </is>
      </c>
      <c r="H26" s="42" t="n">
        <v>30</v>
      </c>
      <c r="I26" s="42" t="n">
        <v>0</v>
      </c>
      <c r="J26" s="42" t="n">
        <v>0</v>
      </c>
      <c r="K26" s="42" t="n">
        <v>0</v>
      </c>
      <c r="L26" s="39" t="inlineStr">
        <is>
          <t>FARP (điểm tiếp đạn và nhiên liệu tiền phương) — ước đoán: nhánh phục vụ máy bay</t>
        </is>
      </c>
      <c r="M26" s="39" t="n"/>
      <c r="N26" s="39" t="inlineStr">
        <is>
          <t>lửa, pháo tự động, nổ mạnh, nổ lõm, pháo xe tăng</t>
        </is>
      </c>
      <c r="O26" s="39" t="n"/>
      <c r="P26" s="39" t="inlineStr">
        <is>
          <t>Đứng yên tại chỗ, phục vụ phe ta                                                                    M; Kho đạn</t>
        </is>
      </c>
      <c r="Q26" s="39" t="n"/>
      <c r="R26" s="39" t="inlineStr">
        <is>
          <t>Giữ.</t>
        </is>
      </c>
      <c r="S26" s="39" t="inlineStr">
        <is>
          <t>Ổn.</t>
        </is>
      </c>
      <c r="T26" s="49" t="inlineStr">
        <is>
          <t>Thấp</t>
        </is>
      </c>
    </row>
    <row r="27" ht="32.25" customHeight="1" s="32">
      <c r="A27" s="41"/>
      <c r="B27" s="41"/>
      <c r="C27" s="41"/>
      <c r="D27" s="41"/>
      <c r="E27" s="41"/>
      <c r="F27" s="43"/>
      <c r="G27" s="41"/>
      <c r="H27" s="43"/>
      <c r="I27" s="43"/>
      <c r="J27" s="43"/>
      <c r="K27" s="43"/>
      <c r="L27" s="41"/>
      <c r="M27" s="41"/>
      <c r="N27" s="41"/>
      <c r="O27" s="41"/>
      <c r="P27" s="41"/>
      <c r="Q27" s="41"/>
      <c r="R27" s="41"/>
      <c r="S27" s="41"/>
      <c r="T27" s="49"/>
    </row>
    <row r="28" ht="42.75" customHeight="1" s="32">
      <c r="A28" s="39" t="inlineStr">
        <is>
          <t>atgm_tower</t>
        </is>
      </c>
      <c r="B28" s="39" t="inlineStr">
        <is>
          <t>Tháp tên lửa chống tăng</t>
        </is>
      </c>
      <c r="C28" s="39" t="inlineStr">
        <is>
          <t>bệ phóng Kornet đôi bắn tên lửa chống tăng theo cặp xa tới 50 m. chặn xe tăng và giáp dày từ xa; APS và la-de phòng không bắn hạ được tên lửa của nó, pháo binh bắn xa hơn nó.</t>
        </is>
      </c>
      <c r="D28" s="39" t="inlineStr">
        <is>
          <t>Bệ phóng tên lửa đôi trên tháp thép thấp có tấm chắn.  Kích thước hiện 5.2 × 5.2 × 5.0 m. Nhìn rõ từ camera chéo 45–60°; hình dạng hai nhánh phải khác nhau rõ ở zoom mặc định; vạch màu phe.</t>
        </is>
      </c>
      <c r="E28" s="39" t="inlineStr">
        <is>
          <t>tháp ô vừa của căn cứ; bị phá thì xây lại 4 CP sau 40 s; mở khóa: thắng màn mở khóa trong chiến dịch, hoặc mua sớm 300 x</t>
        </is>
      </c>
      <c r="F28" s="42" t="n">
        <v>1980</v>
      </c>
      <c r="G28" s="39" t="inlineStr">
        <is>
          <t>cấp 2 (Vừa) · công trình</t>
        </is>
      </c>
      <c r="H28" s="42" t="n">
        <v>55</v>
      </c>
      <c r="I28" s="42" t="n">
        <v>45</v>
      </c>
      <c r="J28" s="42" t="n">
        <v>93</v>
      </c>
      <c r="K28" s="42" t="n">
        <v>0</v>
      </c>
      <c r="L28" s="39" t="inlineStr">
        <is>
          <t>9M133 Kornet — Tháp bê tông phóng tên lửa chống tăng</t>
        </is>
      </c>
      <c r="M28" s="39" t="inlineStr">
        <is>
          <t>giáp 0, giáp 1, giáp 2, giáp 3, giáp 4, công trình</t>
        </is>
      </c>
      <c r="N28" s="39" t="inlineStr">
        <is>
          <t>nổ mạnh, nổ lõm, pháo xe tăng</t>
        </is>
      </c>
      <c r="O28" s="39" t="inlineStr">
        <is>
          <t>bệ phóng Kornet đôi bắn tên lửa chống tăng theo cặp xa tới 50 m.</t>
        </is>
      </c>
      <c r="P28" s="39" t="inlineStr">
        <is>
          <t>Đứng yên tại chỗ, bắn mọi mục tiêu trong tầm                                                        9; S; K; T; 9; Tháp tên lửa chống tăng · nhánh Tấn công từ trên</t>
        </is>
      </c>
      <c r="Q28" s="39" t="inlineStr">
        <is>
          <t>9M133 Kornet [Nổ lõm, xuyên 4, tên lửa chống tăng dẫn đường] 230/phát · loạt 2, hồi 4.35 s · tầm 50 m · Mặt đất</t>
        </is>
      </c>
      <c r="R28" s="39" t="inlineStr">
        <is>
          <t>Giữ.</t>
        </is>
      </c>
      <c r="S28" s="39" t="inlineStr">
        <is>
          <t>Đạt mục tiêu (45/93).</t>
        </is>
      </c>
      <c r="T28" s="49" t="inlineStr">
        <is>
          <t>Thấp</t>
        </is>
      </c>
    </row>
    <row r="29" ht="42.75" customHeight="1" s="32">
      <c r="A29" s="41" t="inlineStr">
        <is>
          <t>atgm_tower.top</t>
        </is>
      </c>
      <c r="B29" s="41" t="inlineStr">
        <is>
          <t>Tháp tên lửa chống tăng · nhánh Tấn công từ trên</t>
        </is>
      </c>
      <c r="C29" s="41" t="n"/>
      <c r="D29" s="41" t="inlineStr">
        <is>
          <t>Bệ phóng tên lửa đôi trên tháp thép thấp có tấm chắn. Nhánh: Bệ phóng cao, tên lửa bay vòng lên. Kích thước hiện 5.2 × 5.2 × 5.0 m. Nhìn rõ từ camera chéo 45–60°; hình dạng hai nhánh phải khác nhau rõ ở zoom mặc định; vạch màu phe.</t>
        </is>
      </c>
      <c r="E29" s="41" t="inlineStr">
        <is>
          <t>tháp ô vừa của căn cứ; bị phá thì xây lại 4 CP sau 40 s; mở khóa: thắng màn mở khóa trong chiến dịch, hoặc mua sớm 300 x</t>
        </is>
      </c>
      <c r="F29" s="43" t="n">
        <v>1980</v>
      </c>
      <c r="G29" s="41" t="inlineStr">
        <is>
          <t>cấp 2 (Vừa) · công trình</t>
        </is>
      </c>
      <c r="H29" s="43" t="n">
        <v>55</v>
      </c>
      <c r="I29" s="43" t="n">
        <v>40</v>
      </c>
      <c r="J29" s="43" t="n">
        <v>100</v>
      </c>
      <c r="K29" s="43" t="n">
        <v>0</v>
      </c>
      <c r="L29" s="41" t="inlineStr">
        <is>
          <t>9M133 Kornet, FGM-148 Javelin (đánh nóc) — ước đoán (Javelin): nhánh tên lửa đánh nóc</t>
        </is>
      </c>
      <c r="M29" s="41" t="inlineStr">
        <is>
          <t>giáp 0, giáp 1, giáp 2, giáp 3, giáp 4, công trình</t>
        </is>
      </c>
      <c r="N29" s="41" t="inlineStr">
        <is>
          <t>nổ mạnh, nổ lõm, pháo xe tăng</t>
        </is>
      </c>
      <c r="O29" s="41" t="n"/>
      <c r="P29" s="41" t="inlineStr">
        <is>
          <t>Đứng yên tại chỗ, bắn mọi mục tiêu trong tầm; Tháp tên lửa chống tăng · nhánh Đa năng</t>
        </is>
      </c>
      <c r="Q29" s="41" t="inlineStr">
        <is>
          <t>9M133 Kornet [Nổ lõm, xuyên 4, tên lửa chống tăng đánh nóc] dẫn đường/phát · 230 · tầm loạt 2, hồi 4 s · 50 m</t>
        </is>
      </c>
      <c r="R29" s="41" t="inlineStr">
        <is>
          <t>Giữ.</t>
        </is>
      </c>
      <c r="S29" s="41" t="inlineStr">
        <is>
          <t>Ổn.</t>
        </is>
      </c>
      <c r="T29" s="49" t="inlineStr">
        <is>
          <t>Thấp</t>
        </is>
      </c>
    </row>
    <row r="30" ht="42.75" customHeight="1" s="32">
      <c r="A30" s="39" t="inlineStr">
        <is>
          <t>atgm_tower.multi</t>
        </is>
      </c>
      <c r="B30" s="39" t="inlineStr">
        <is>
          <t>Tháp tên lửa chống tăng · nhánh Đa năng</t>
        </is>
      </c>
      <c r="C30" s="39" t="n"/>
      <c r="D30" s="39" t="inlineStr">
        <is>
          <t>Bệ phóng tên lửa đôi trên tháp thép thấp có tấm chắn. Nhánh: Bệ xoay 4 ống có cảm biến phòng không. Kích thước hiện 5.2 × 5.2 × 5.0 m. Nhìn rõ từ camera chéo 45–60°; hình dạng hai nhánh phải khác nhau rõ ở zoom mặc định; vạch màu phe.</t>
        </is>
      </c>
      <c r="E30" s="39" t="inlineStr">
        <is>
          <t>tháp ô vừa của căn cứ; bị phá thì xây lại 4 CP sau 40 s; mở khóa: thắng màn mở khóa trong chiến dịch, hoặc mua sớm 300 x</t>
        </is>
      </c>
      <c r="F30" s="42" t="n">
        <v>1980</v>
      </c>
      <c r="G30" s="39" t="inlineStr">
        <is>
          <t>cấp 2 (Vừa) · công trình</t>
        </is>
      </c>
      <c r="H30" s="42" t="n">
        <v>55</v>
      </c>
      <c r="I30" s="42" t="n">
        <v>67</v>
      </c>
      <c r="J30" s="42" t="n">
        <v>79</v>
      </c>
      <c r="K30" s="42" t="n">
        <v>28</v>
      </c>
      <c r="L30" s="39" t="inlineStr">
        <is>
          <t>9M133 Kornet, Kornet-EM (bệ nhiều ống) — ước đoán (Kornet-EM): nhánh đa năng bốn ống và radar nhỏ</t>
        </is>
      </c>
      <c r="M30" s="39" t="inlineStr">
        <is>
          <t>giáp 0, giáp 1, giáp 2, giáp 3, giáp 4, công trình</t>
        </is>
      </c>
      <c r="N30" s="39" t="inlineStr">
        <is>
          <t>nổ mạnh, nổ lõm, pháo xe tăng</t>
        </is>
      </c>
      <c r="O30" s="39" t="n"/>
      <c r="P30" s="39" t="inlineStr">
        <is>
          <t>Đứng yên tại chỗ, bắn mọi mục tiêu trong tầm; Trạm C-RAM</t>
        </is>
      </c>
      <c r="Q30" s="39" t="inlineStr">
        <is>
          <t>9M133 Kornet [Nổ lõm, xuyên 4, tên lửa chống tăng dẫn đường] 230/phát · loạt 2, hồi 4.35 s · tầm 50 m · Tất cả</t>
        </is>
      </c>
      <c r="R30" s="39" t="inlineStr">
        <is>
          <t>Giữ.</t>
        </is>
      </c>
      <c r="S30" s="39" t="inlineStr">
        <is>
          <t>Ổn.</t>
        </is>
      </c>
      <c r="T30" s="49" t="inlineStr">
        <is>
          <t>Thấp</t>
        </is>
      </c>
    </row>
    <row r="31" ht="53.25" customHeight="1" s="32">
      <c r="A31" s="41" t="inlineStr">
        <is>
          <t>c_ram</t>
        </is>
      </c>
      <c r="B31" s="41" t="inlineStr">
        <is>
          <t>Trạm C-RAM</t>
        </is>
      </c>
      <c r="C31" s="41" t="inlineStr">
        <is>
          <t>bắn hạ rốc-két, tên lửa, drone và khoảng một phần ba đạn pháo nhắm vào trong 35 m, hai quả đánh chặn cùng lúc; pháo nhiều che căn cứ khỏi pháo binh, rốc-két và drone; không có gì đánh xe mặt đất.</t>
        </is>
      </c>
      <c r="D31" s="41" t="inlineStr">
        <is>
          <t>Tháp pháo nhiều nòng màu trắng với vòm radar hình trụ trên đỉnh.  Kích thước hiện 5.6 × 5.6 × 5.4 m. Nhìn rõ từ camera chéo 45–60°; hình dạng hai nhánh phải khác nhau rõ ở zoom mặc định; vạch màu phe.</t>
        </is>
      </c>
      <c r="E31" s="41" t="inlineStr">
        <is>
          <t>tháp ô vừa của căn cứ; bị phá thì xây lại 4 CP sau 40 s; mở khóa: thắng màn mở khóa trong chiến dịch, hoặc mua sớm 300 x</t>
        </is>
      </c>
      <c r="F31" s="43" t="n">
        <v>2860</v>
      </c>
      <c r="G31" s="41" t="inlineStr">
        <is>
          <t>cấp 1 (Mỏng) · công trình</t>
        </is>
      </c>
      <c r="H31" s="43" t="n">
        <v>60</v>
      </c>
      <c r="I31" s="43" t="n">
        <v>0</v>
      </c>
      <c r="J31" s="43" t="n">
        <v>0</v>
      </c>
      <c r="K31" s="43" t="n">
        <v>0</v>
      </c>
      <c r="L31" s="41" t="inlineStr">
        <is>
          <t>Centurion C-RAM, Phalanx Block 1B (M61 20 mm) — Pháo phòng thủ tầm gần chống rốc-két, pháo và cối</t>
        </is>
      </c>
      <c r="M31" s="41" t="n"/>
      <c r="N31" s="41" t="inlineStr">
        <is>
          <t>lửa, pháo tự động, nổ mạnh, nổ lõm, pháo xe tăng</t>
        </is>
      </c>
      <c r="O31" s="41" t="inlineStr">
        <is>
          <t>bắn hạ rốc-két, tên lửa, drone và khoảng một phần ba đạn pháo nhắm vào trong 35 m, hai quả đánh chặn cùng lúc; pháo nhiều</t>
        </is>
      </c>
      <c r="P31" s="41" t="inlineStr">
        <is>
          <t>Đứng yên tại chỗ, bắn mọi mục tiêu trong tầm; APS: bắn hạ tên lửa, drone và rốc-két bắn thẳng nhắm vào trong 35 m (4 lần liền, hồi một lần; mỗi 0,6 giây); Bắn hạ cả rốc-két pháo binh; Và 30% số đạn pháo; Trạm C-RAM · nhánh Centurion</t>
        </is>
      </c>
      <c r="Q31" s="41" t="inlineStr">
        <is>
          <t>Phalanx M61 20 mm [Mảnh, xuyên 1, đạn nổ trên không nổ lan] 13/phát · băng 23 viên, 8 viên/s, thay 1 s · tầm 32 m · Trên không</t>
        </is>
      </c>
      <c r="R31" s="41" t="inlineStr">
        <is>
          <t>• Vũ khí: Phalanx 20 mm: 2/phát · 50 viên/s · băng 200 (giữ khả năng đánh chặn)</t>
        </is>
      </c>
      <c r="S31" s="41" t="inlineStr">
        <is>
          <t>• Vũ khí: Phalanx 20 mm: Không có cảm giác luồng đạn CIWS.</t>
        </is>
      </c>
      <c r="T31" s="48" t="inlineStr">
        <is>
          <t>Trung</t>
        </is>
      </c>
    </row>
    <row r="32" ht="53.25" customHeight="1" s="32">
      <c r="A32" s="39" t="inlineStr">
        <is>
          <t>c_ram.centurion</t>
        </is>
      </c>
      <c r="B32" s="39" t="inlineStr">
        <is>
          <t>Trạm C-RAM · nhánh Centurion</t>
        </is>
      </c>
      <c r="C32" s="39" t="n"/>
      <c r="D32" s="39" t="inlineStr">
        <is>
          <t>Tháp pháo nhiều nòng màu trắng với vòm radar hình trụ trên đỉnh. Nhánh: Súng nhiều nòng có radar cầu. Kích thước hiện 5.6 × 5.6 × 5.4 m. Nhìn rõ từ camera chéo 45–60°; hình dạng hai nhánh phải khác nhau rõ ở zoom mặc định; vạch màu phe.</t>
        </is>
      </c>
      <c r="E32" s="39" t="inlineStr">
        <is>
          <t>tháp ô vừa của căn cứ; bị phá thì xây lại 4 CP sau 40 s; mở khóa: thắng màn mở khóa trong chiến dịch, hoặc mua sớm 300 x</t>
        </is>
      </c>
      <c r="F32" s="42" t="n">
        <v>2860</v>
      </c>
      <c r="G32" s="39" t="inlineStr">
        <is>
          <t>cấp 1 (Mỏng) · công trình</t>
        </is>
      </c>
      <c r="H32" s="42" t="n">
        <v>60</v>
      </c>
      <c r="I32" s="42" t="n">
        <v>0</v>
      </c>
      <c r="J32" s="42" t="n">
        <v>0</v>
      </c>
      <c r="K32" s="42" t="n">
        <v>0</v>
      </c>
      <c r="L32" s="39" t="inlineStr">
        <is>
          <t>Centurion C-RAM, Phalanx CIWS — Nhánh C-RAM tầm gần</t>
        </is>
      </c>
      <c r="M32" s="39" t="n"/>
      <c r="N32" s="39" t="inlineStr">
        <is>
          <t>lửa, pháo tự động, nổ mạnh, nổ lõm, pháo xe tăng</t>
        </is>
      </c>
      <c r="O32" s="39" t="n"/>
      <c r="P32" s="39" t="inlineStr">
        <is>
          <t>Đứng yên tại chỗ, bắn mọi mục tiêu trong tầm; APS: bắn hạ tên lửa, drone và rốc-két bắn thẳng nhắm vào trong 35 m (5 lần liền, hồi một lần; mỗi 0,4 giây); Bắn hạ cả rốc-két pháo binh; Và 40% số đạn pháo; Trạm C-RAM · nhánh Vòm Sắt</t>
        </is>
      </c>
      <c r="Q32" s="39" t="inlineStr">
        <is>
          <t>Phalanx M61 20 mm [Mảnh, xuyên 1, đạn nổ trên không nổ lan] 13/phát · băng 23 viên, 8 viên/s, thay 1 s · tầm 32 m · Trên không</t>
        </is>
      </c>
      <c r="R32" s="39" t="inlineStr">
        <is>
          <t>Như c_ram.</t>
        </is>
      </c>
      <c r="S32" s="39" t="inlineStr">
        <is>
          <t>Ổn.</t>
        </is>
      </c>
      <c r="T32" s="49" t="inlineStr">
        <is>
          <t>Thấp</t>
        </is>
      </c>
    </row>
    <row r="33" ht="84.75" customHeight="1" s="32">
      <c r="A33" s="41" t="inlineStr">
        <is>
          <t>c_ram.dome</t>
        </is>
      </c>
      <c r="B33" s="41" t="inlineStr">
        <is>
          <t>Trạm C-RAM · nhánh Vòm Sắt</t>
        </is>
      </c>
      <c r="C33" s="41" t="n"/>
      <c r="D33" s="41" t="inlineStr">
        <is>
          <t>Tháp pháo nhiều nòng màu trắng với vòm radar hình trụ trên đỉnh. Nhánh: Giàn phóng tên lửa đánh chặn nghiêng. Kích thước hiện 5.6 × 5.6 × 5.4 m. Nhìn rõ từ camera chéo 45–60°; hình dạng hai nhánh phải khác nhau rõ ở zoom mặc định; vạch màu phe.</t>
        </is>
      </c>
      <c r="E33" s="41" t="inlineStr">
        <is>
          <t>tháp ô vừa của căn cứ; bị phá thì xây lại 4 CP sau 40 s; mở khóa: thắng màn mở khóa trong chiến dịch, hoặc mua sớm 300 x</t>
        </is>
      </c>
      <c r="F33" s="43" t="n">
        <v>2860</v>
      </c>
      <c r="G33" s="41" t="inlineStr">
        <is>
          <t>cấp 1 (Mỏng) · công trình</t>
        </is>
      </c>
      <c r="H33" s="43" t="n">
        <v>64</v>
      </c>
      <c r="I33" s="43" t="n">
        <v>0</v>
      </c>
      <c r="J33" s="43" t="n">
        <v>0</v>
      </c>
      <c r="K33" s="43" t="n">
        <v>21</v>
      </c>
      <c r="L33" s="41" t="inlineStr">
        <is>
          <t>Iron Dome (tên lửa Tamir) — Nhánh Vòm Sắt đánh chặn rốc-két</t>
        </is>
      </c>
      <c r="M33" s="41" t="inlineStr">
        <is>
          <t>trên không</t>
        </is>
      </c>
      <c r="N33" s="41" t="inlineStr">
        <is>
          <t>lửa, pháo tự động, nổ mạnh, nổ lõm, pháo xe tăng</t>
        </is>
      </c>
      <c r="O33" s="41" t="n"/>
      <c r="P33" s="41" t="inlineStr">
        <is>
          <t>Đứng yên tại chỗ, bắn mọi mục tiêu trong tầm; Tên lửa đánh chặn: bắn hạ đạn nhắm vào trong 60 m (6 quả trong bệ phóng, nạp lại đủ sau 12; giây kể từ lần phóng cuối); Chỉ chặn đạn bay cầu vồng từ xa: rốc-két pháo binh, drone và tên lửa tầm xa; không chặn đạn; bắn thẳng (đạn pháo bắn thẳng, tên lửa chống tăng, ống phóng rốc-két) và Năng lượng; Và 50% số đạn pháo; Tháp pháo</t>
        </is>
      </c>
      <c r="Q33" s="41" t="inlineStr">
        <is>
          <t>Tamir interceptor (Iron Dome) [Mảnh, xuyên 2, tên lửa phòng không dẫn đường] nổ lan/phát · 110 · tầm hồi 3.5 s · 60 m</t>
        </is>
      </c>
      <c r="R33" s="41" t="inlineStr">
        <is>
          <t>Tốc độ tên lửa Tamir: xem sheet Tốc độ tên lửa.</t>
        </is>
      </c>
      <c r="S33" s="41" t="inlineStr">
        <is>
          <t>Ổn.</t>
        </is>
      </c>
      <c r="T33" s="49" t="inlineStr">
        <is>
          <t>Thấp</t>
        </is>
      </c>
    </row>
    <row r="34" ht="32.25" customHeight="1" s="32">
      <c r="A34" s="39" t="inlineStr">
        <is>
          <t>gun_turret</t>
        </is>
      </c>
      <c r="B34" s="39" t="inlineStr">
        <is>
          <t>Tháp pháo</t>
        </is>
      </c>
      <c r="C34" s="39" t="inlineStr">
        <is>
          <t>pháo 120 mm xuyên giáp của tăng chủ lực đặt trên bệ cố định. thắng xe tăng và xe nhẹ lọt vào tầm 32 m; bị xe diệt tăng và pháo binh bắn xa hơn.</t>
        </is>
      </c>
      <c r="D34" s="39" t="inlineStr">
        <is>
          <t>Tháp pháo xe tăng đặt trên bệ bê tông vuông, nòng 120 mm dài.  Kích thước hiện 8.9 × 5.0 × 4.0 m. Nhìn rõ từ camera chéo 45–60°; hình dạng hai nhánh phải khác nhau rõ ở zoom mặc định; vạch màu phe.</t>
        </is>
      </c>
      <c r="E34" s="39" t="inlineStr">
        <is>
          <t>tháp ô vừa của căn cứ; bị phá thì xây lại 4 CP sau 40 s; mở khóa: có sẵn từ đầu</t>
        </is>
      </c>
      <c r="F34" s="42" t="n">
        <v>3960</v>
      </c>
      <c r="G34" s="39" t="inlineStr">
        <is>
          <t>cấp 3 (Dày) · công trình</t>
        </is>
      </c>
      <c r="H34" s="42" t="n">
        <v>42</v>
      </c>
      <c r="I34" s="42" t="n">
        <v>65</v>
      </c>
      <c r="J34" s="42" t="n">
        <v>83</v>
      </c>
      <c r="K34" s="42" t="n">
        <v>0</v>
      </c>
      <c r="L34" s="39" t="inlineStr">
        <is>
          <t>Rh-120 L/44 120 mm, tháp xe tăng T-55 / T-72 chôn làm công sự — ước đoán: tháp pháo 120 mm trên công sự chôn</t>
        </is>
      </c>
      <c r="M34" s="39" t="inlineStr">
        <is>
          <t>giáp 0, giáp 1, giáp 2, giáp 3, giáp 4, công trình</t>
        </is>
      </c>
      <c r="N34" s="39" t="inlineStr">
        <is>
          <t>nổ mạnh, nổ lõm, pháo xe tăng</t>
        </is>
      </c>
      <c r="O34" s="39" t="inlineStr">
        <is>
          <t>pháo 120 mm xuyên giáp của tăng chủ lực đặt trên bệ cố định.</t>
        </is>
      </c>
      <c r="P34" s="39" t="inlineStr">
        <is>
          <t>Đứng yên tại chỗ, bắn mọi mục tiêu trong tầm; Tháp pháo · nhánh Pháo bắn tỉa</t>
        </is>
      </c>
      <c r="Q34" s="39" t="inlineStr">
        <is>
          <t>Rh-120 L/44 120 mm [Động năng, xuyên 4, đạn pháo động năng (≥120 mm) nổ lan] 240/phát · hồi 2.88 s · tầm 32 m · Mặt đất</t>
        </is>
      </c>
      <c r="R34" s="39" t="inlineStr">
        <is>
          <t>Giữ.</t>
        </is>
      </c>
      <c r="S34" s="39" t="inlineStr">
        <is>
          <t>Đạt mục tiêu (65/83).</t>
        </is>
      </c>
      <c r="T34" s="49" t="inlineStr">
        <is>
          <t>Thấp</t>
        </is>
      </c>
    </row>
    <row r="35" ht="42.75" customHeight="1" s="32">
      <c r="A35" s="41" t="inlineStr">
        <is>
          <t>gun_turret.long</t>
        </is>
      </c>
      <c r="B35" s="41" t="inlineStr">
        <is>
          <t>Tháp pháo · nhánh Pháo bắn tỉa</t>
        </is>
      </c>
      <c r="C35" s="41" t="n"/>
      <c r="D35" s="41" t="inlineStr">
        <is>
          <t>Tháp pháo xe tăng đặt trên bệ bê tông vuông, nòng 120 mm dài. Nhánh: Một nòng rất dài có ống ngắm. Kích thước hiện 8.9 × 5.0 × 4.0 m. Nhìn rõ từ camera chéo 45–60°; hình dạng hai nhánh phải khác nhau rõ ở zoom mặc định; vạch màu phe.</t>
        </is>
      </c>
      <c r="E35" s="41" t="inlineStr">
        <is>
          <t>tháp ô vừa của căn cứ; bị phá thì xây lại 4 CP sau 40 s; mở khóa: thắng màn mở khóa trong chiến dịch, hoặc mua sớm 300 x</t>
        </is>
      </c>
      <c r="F35" s="43" t="n">
        <v>3960</v>
      </c>
      <c r="G35" s="41" t="inlineStr">
        <is>
          <t>cấp 3 (Dày) · công trình</t>
        </is>
      </c>
      <c r="H35" s="43" t="n">
        <v>42</v>
      </c>
      <c r="I35" s="43" t="n">
        <v>48</v>
      </c>
      <c r="J35" s="43" t="n">
        <v>62</v>
      </c>
      <c r="K35" s="43" t="n">
        <v>0</v>
      </c>
      <c r="L35" s="41" t="inlineStr">
        <is>
          <t>Rh-120 L/55 (Leopard 2A6) — Nhánh pháo bắn tỉa 120 mm nòng dài</t>
        </is>
      </c>
      <c r="M35" s="41" t="inlineStr">
        <is>
          <t>giáp 0, giáp 1, giáp 2, giáp 3, giáp 4, công trình</t>
        </is>
      </c>
      <c r="N35" s="41" t="inlineStr">
        <is>
          <t>nổ mạnh, nổ lõm, pháo xe tăng</t>
        </is>
      </c>
      <c r="O35" s="41" t="n"/>
      <c r="P35" s="41" t="inlineStr">
        <is>
          <t>Đứng yên tại chỗ, bắn mọi mục tiêu trong tầm; Tháp pháo · nhánh Pháo tự động 57 mm</t>
        </is>
      </c>
      <c r="Q35" s="41" t="inlineStr">
        <is>
          <t>Rh-120 L/55 120 mm [Động năng, xuyên 4, đạn pháo động năng (≥120 mm) nổ lan] 240/phát · hồi 3.9 s · tầm 48 m · Mặt đất</t>
        </is>
      </c>
      <c r="R35" s="41" t="inlineStr">
        <is>
          <t>• Vũ khí: 120 mm L/55: phát đầu tiên vào mục tiêu mới +50% sát thương, hoặc xuyên +1 cấp</t>
        </is>
      </c>
      <c r="S35" s="41" t="inlineStr">
        <is>
          <t>• Vũ khí: 120 mm L/55: Nhánh bắn tỉa cần một ưu thế rõ ngoài tầm.</t>
        </is>
      </c>
      <c r="T35" s="48" t="inlineStr">
        <is>
          <t>Trung</t>
        </is>
      </c>
    </row>
    <row r="36" ht="42.75" customHeight="1" s="32">
      <c r="A36" s="39" t="inlineStr">
        <is>
          <t>gun_turret.auto</t>
        </is>
      </c>
      <c r="B36" s="39" t="inlineStr">
        <is>
          <t>Tháp pháo · nhánh Pháo tự động 57 mm</t>
        </is>
      </c>
      <c r="C36" s="39" t="n"/>
      <c r="D36" s="39" t="inlineStr">
        <is>
          <t>Tháp pháo xe tăng đặt trên bệ bê tông vuông, nòng 120 mm dài. Nhánh: Tháp nhỏ hai nòng ngắn có radar. Kích thước hiện 8.9 × 5.0 × 4.0 m. Nhìn rõ từ camera chéo 45–60°; hình dạng hai nhánh phải khác nhau rõ ở zoom mặc định; vạch màu phe.</t>
        </is>
      </c>
      <c r="E36" s="39" t="inlineStr">
        <is>
          <t>tháp ô vừa của căn cứ; bị phá thì xây lại 4 CP sau 40 s; mở khóa: thắng màn mở khóa trong chiến dịch, hoặc mua sớm 300 x</t>
        </is>
      </c>
      <c r="F36" s="42" t="n">
        <v>3960</v>
      </c>
      <c r="G36" s="39" t="inlineStr">
        <is>
          <t>cấp 3 (Dày) · công trình</t>
        </is>
      </c>
      <c r="H36" s="42" t="n">
        <v>42</v>
      </c>
      <c r="I36" s="42" t="n">
        <v>86</v>
      </c>
      <c r="J36" s="42" t="n">
        <v>43</v>
      </c>
      <c r="K36" s="42" t="n">
        <v>111</v>
      </c>
      <c r="L36" s="39" t="inlineStr">
        <is>
          <t>AU-220M 57 mm — Nhánh pháo tự động 57 mm hai nòng</t>
        </is>
      </c>
      <c r="M36" s="39" t="inlineStr">
        <is>
          <t>giáp 0, giáp 1, giáp 2</t>
        </is>
      </c>
      <c r="N36" s="39" t="inlineStr">
        <is>
          <t>nổ mạnh, nổ lõm, pháo xe tăng</t>
        </is>
      </c>
      <c r="O36" s="39" t="n"/>
      <c r="P36" s="39" t="inlineStr">
        <is>
          <t>Đứng yên tại chỗ, bắn mọi mục tiêu trong tầm; Trạm hậu cần</t>
        </is>
      </c>
      <c r="Q36" s="39" t="inlineStr">
        <is>
          <t>AU-220 57 mm (tower) [Động năng, xuyên 2, đạn pháo động năng (pháo tự động) nổ lan] 70/phát · băng 6 viên, 2 viên/s, thay 2.4 s · tầm 40 m · Tất cả</t>
        </is>
      </c>
      <c r="R36" s="39" t="inlineStr">
        <is>
          <t>Giữ.</t>
        </is>
      </c>
      <c r="S36" s="39" t="inlineStr">
        <is>
          <t>Ổn (86/43/111).</t>
        </is>
      </c>
      <c r="T36" s="49" t="inlineStr">
        <is>
          <t>Thấp</t>
        </is>
      </c>
    </row>
    <row r="37" ht="32.25" customHeight="1" s="32">
      <c r="A37" s="41" t="inlineStr">
        <is>
          <t>logistics_station</t>
        </is>
      </c>
      <c r="B37" s="41" t="inlineStr">
        <is>
          <t>Trạm hậu cần</t>
        </is>
      </c>
      <c r="C37" s="41" t="inlineStr">
        <is>
          <t>mức tiếp tế của quân ta tăng thêm 8 CP trước khi phí duy trì làm giảm thu nhập. cho đội quân lớn giữ nguyên thu nhập; vô ích với đội quân nhỏ.</t>
        </is>
      </c>
      <c r="D37" s="41" t="inlineStr">
        <is>
          <t>Bãi container và xe nâng.  Kích thước hiện 8.0 × 10.0 × 3.8 m. Nhìn rõ từ camera chéo 45–60°; hình dạng hai nhánh phải khác nhau rõ ở zoom mặc định; vạch màu phe.</t>
        </is>
      </c>
      <c r="E37" s="41" t="inlineStr">
        <is>
          <t>công sự trung lập hoặc của bản đồ, không mua được</t>
        </is>
      </c>
      <c r="F37" s="43" t="n">
        <v>3080</v>
      </c>
      <c r="G37" s="41" t="inlineStr">
        <is>
          <t>cấp 1 (Mỏng) · công trình</t>
        </is>
      </c>
      <c r="H37" s="43" t="n">
        <v>30</v>
      </c>
      <c r="I37" s="43" t="n">
        <v>0</v>
      </c>
      <c r="J37" s="43" t="n">
        <v>0</v>
      </c>
      <c r="K37" s="43" t="n">
        <v>0</v>
      </c>
      <c r="L37" s="41" t="inlineStr">
        <is>
          <t>kho nhiên liệu dã chiến (bồn nằm trong đê đất) — Trạm hậu cần, thêm tiếp tế cho quân</t>
        </is>
      </c>
      <c r="M37" s="41" t="n"/>
      <c r="N37" s="41" t="inlineStr">
        <is>
          <t>lửa, pháo tự động, nổ mạnh, nổ lõm, pháo xe tăng</t>
        </is>
      </c>
      <c r="O37" s="41" t="inlineStr">
        <is>
          <t>mức tiếp tế của quân ta tăng thêm 8 CP trước khi phí duy trì làm giảm thu nhập.</t>
        </is>
      </c>
      <c r="P37" s="41" t="inlineStr">
        <is>
          <t>Đứng yên tại chỗ, phục vụ phe ta; Trạm radar</t>
        </is>
      </c>
      <c r="Q37" s="41" t="n"/>
      <c r="R37" s="41" t="inlineStr">
        <is>
          <t>Giữ.</t>
        </is>
      </c>
      <c r="S37" s="41" t="inlineStr">
        <is>
          <t>Ổn.</t>
        </is>
      </c>
      <c r="T37" s="49" t="inlineStr">
        <is>
          <t>Thấp</t>
        </is>
      </c>
    </row>
    <row r="38" ht="32.25" customHeight="1" s="32">
      <c r="A38" s="39"/>
      <c r="B38" s="39"/>
      <c r="C38" s="39"/>
      <c r="D38" s="39"/>
      <c r="E38" s="39"/>
      <c r="F38" s="42"/>
      <c r="G38" s="39"/>
      <c r="H38" s="42"/>
      <c r="I38" s="42"/>
      <c r="J38" s="42"/>
      <c r="K38" s="42"/>
      <c r="L38" s="39"/>
      <c r="M38" s="39"/>
      <c r="N38" s="39"/>
      <c r="O38" s="39"/>
      <c r="P38" s="39"/>
      <c r="Q38" s="39"/>
      <c r="R38" s="39"/>
      <c r="S38" s="39"/>
      <c r="T38" s="49"/>
    </row>
    <row r="39" ht="32.25" customHeight="1" s="32">
      <c r="A39" s="41" t="inlineStr">
        <is>
          <t>repair_bay</t>
        </is>
      </c>
      <c r="B39" s="41" t="inlineStr">
        <is>
          <t>Xưởng sửa chữa</t>
        </is>
      </c>
      <c r="C39" s="41" t="inlineStr">
        <is>
          <t>xe trong vòng 35 m quanh sở chỉ huy hồi 1,5% máu mỗi giây, kể cả giữa trận. giữ quân phòng thủ đứng vững; không giúp gì xe ở ngoài chiến trường.</t>
        </is>
      </c>
      <c r="D39" s="41" t="inlineStr">
        <is>
          <t>Nhà xưởng mái tôn có cần cẩu cổng.  Kích thước hiện 10.1 × 14.2 × 6.4 m. Nhìn rõ từ camera chéo 45–60°; hình dạng hai nhánh phải khác nhau rõ ở zoom mặc định; vạch màu phe.</t>
        </is>
      </c>
      <c r="E39" s="41" t="inlineStr">
        <is>
          <t>công sự trung lập hoặc của bản đồ, không mua được</t>
        </is>
      </c>
      <c r="F39" s="43" t="n">
        <v>3520</v>
      </c>
      <c r="G39" s="41" t="inlineStr">
        <is>
          <t>cấp 2 (Vừa) · công trình</t>
        </is>
      </c>
      <c r="H39" s="43" t="n">
        <v>30</v>
      </c>
      <c r="I39" s="43" t="n">
        <v>0</v>
      </c>
      <c r="J39" s="43" t="n">
        <v>0</v>
      </c>
      <c r="K39" s="43" t="n">
        <v>0</v>
      </c>
      <c r="L39" s="41" t="inlineStr">
        <is>
          <t>nhà vòm thép Quonset / Nissen — ước đoán: xưởng sửa chữa xe dã chiến</t>
        </is>
      </c>
      <c r="M39" s="41" t="n"/>
      <c r="N39" s="41" t="inlineStr">
        <is>
          <t>nổ mạnh, nổ lõm, pháo xe tăng</t>
        </is>
      </c>
      <c r="O39" s="41" t="inlineStr">
        <is>
          <t>xe trong vòng 35 m quanh sở chỉ huy hồi 1,5% máu mỗi giây, kể cả giữa trận.</t>
        </is>
      </c>
      <c r="P39" s="41" t="inlineStr">
        <is>
          <t>Đứng yên tại chỗ, phục vụ phe ta; Dàn rốc-két</t>
        </is>
      </c>
      <c r="Q39" s="41" t="n"/>
      <c r="R39" s="41" t="inlineStr">
        <is>
          <t>Giữ.</t>
        </is>
      </c>
      <c r="S39" s="41" t="inlineStr">
        <is>
          <t>Ổn.</t>
        </is>
      </c>
      <c r="T39" s="49" t="inlineStr">
        <is>
          <t>Thấp</t>
        </is>
      </c>
    </row>
    <row r="40" ht="42.75" customHeight="1" s="32">
      <c r="A40" s="39" t="inlineStr">
        <is>
          <t>rocket_turret</t>
        </is>
      </c>
      <c r="B40" s="39" t="inlineStr">
        <is>
          <t>Dàn rốc-két</t>
        </is>
      </c>
      <c r="C40" s="39" t="inlineStr">
        <is>
          <t>phóng loạt sáu rốc-két theo đường cầu vồng vào mục tiêu mặt đất cách 8–55 m, vượt qua tường và vật che (từ sân trong vào quân trừng phạt cụm xe nhẹ và pháo binh; xe tăng chịu rốc-két khá tốt, đạn nổ mạnh phá nó nhanh.</t>
        </is>
      </c>
      <c r="D40" s="39" t="inlineStr">
        <is>
          <t>Giàn rốc-két 40 ống trên bệ xoay thấp.  Kích thước hiện 4.7 × 4.7 × 3.4 m. Nhìn rõ từ camera chéo 45–60°; hình dạng hai nhánh phải khác nhau rõ ở zoom mặc định; vạch màu phe.</t>
        </is>
      </c>
      <c r="E40" s="39" t="inlineStr">
        <is>
          <t>tháp ô vừa của căn cứ; bị phá thì xây lại 4 CP sau 40 s; mở khóa: thắng màn mở khóa trong chiến dịch, hoặc mua sớm 300 x</t>
        </is>
      </c>
      <c r="F40" s="42" t="n">
        <v>2420</v>
      </c>
      <c r="G40" s="39" t="inlineStr">
        <is>
          <t>cấp 1 (Mỏng) · công trình</t>
        </is>
      </c>
      <c r="H40" s="42" t="n">
        <v>55</v>
      </c>
      <c r="I40" s="42" t="n">
        <v>87</v>
      </c>
      <c r="J40" s="42" t="n">
        <v>40</v>
      </c>
      <c r="K40" s="42" t="n">
        <v>0</v>
      </c>
      <c r="L40" s="39" t="inlineStr">
        <is>
          <t>BM-21 Grad 122 mm — Giàn phóng rốc-két sau tường chắn</t>
        </is>
      </c>
      <c r="M40" s="39" t="inlineStr">
        <is>
          <t>giáp 0, giáp 1, giáp 2, công trình</t>
        </is>
      </c>
      <c r="N40" s="39" t="inlineStr">
        <is>
          <t>lửa, pháo tự động, nổ mạnh, nổ lõm, pháo xe tăng</t>
        </is>
      </c>
      <c r="O40" s="39" t="inlineStr">
        <is>
          <t>phóng loạt sáu rốc-két theo đường cầu vồng vào mục tiêu mặt đất cách 8–55 m, vượt qua tường và vật che (từ sân trong vào quân</t>
        </is>
      </c>
      <c r="P40" s="39" t="inlineStr">
        <is>
          <t>Đứng yên tại chỗ, bắn mọi mục tiêu trong tầm; Dàn rốc-két · nhánh Rốc-két chùm</t>
        </is>
      </c>
      <c r="Q40" s="39" t="inlineStr">
        <is>
          <t>BM-21 Grad 122 mm [Nổ mạnh, xuyên 2, rốc-két đánh nóc] nổ lan/phát · 57 · tầm loạt 6, hồi 3.35 s · 55 m (tối thiểu 8)</t>
        </is>
      </c>
      <c r="R40" s="39" t="inlineStr">
        <is>
          <t>• Vũ khí: Grad: +15% sát thương hoặc nạp 3,35→2,9 s</t>
        </is>
      </c>
      <c r="S40" s="39" t="inlineStr">
        <is>
          <t>• Vũ khí: Grad: Hơi dưới mục tiêu 110/45.</t>
        </is>
      </c>
      <c r="T40" s="49" t="inlineStr">
        <is>
          <t>Thấp</t>
        </is>
      </c>
    </row>
    <row r="41" ht="42.75" customHeight="1" s="32">
      <c r="A41" s="41" t="inlineStr">
        <is>
          <t>rocket_turret.cluster</t>
        </is>
      </c>
      <c r="B41" s="41" t="inlineStr">
        <is>
          <t>Dàn rốc-két · nhánh Rốc-két chùm</t>
        </is>
      </c>
      <c r="C41" s="41" t="n"/>
      <c r="D41" s="41" t="inlineStr">
        <is>
          <t>Giàn rốc-két 40 ống trên bệ xoay thấp. Nhánh: Giàn ray mở nhiều ống. Kích thước hiện 4.7 × 4.7 × 3.4 m. Nhìn rõ từ camera chéo 45–60°; hình dạng hai nhánh phải khác nhau rõ ở zoom mặc định; vạch màu phe.</t>
        </is>
      </c>
      <c r="E41" s="41" t="inlineStr">
        <is>
          <t>tháp ô vừa của căn cứ; bị phá thì xây lại 4 CP sau 40 s; mở khóa: thắng màn mở khóa trong chiến dịch, hoặc mua sớm 300 x</t>
        </is>
      </c>
      <c r="F41" s="43" t="n">
        <v>2420</v>
      </c>
      <c r="G41" s="41" t="inlineStr">
        <is>
          <t>cấp 1 (Mỏng) · công trình</t>
        </is>
      </c>
      <c r="H41" s="43" t="n">
        <v>55</v>
      </c>
      <c r="I41" s="43" t="n">
        <v>90</v>
      </c>
      <c r="J41" s="43" t="n">
        <v>41</v>
      </c>
      <c r="K41" s="43" t="n">
        <v>0</v>
      </c>
      <c r="L41" s="41" t="inlineStr">
        <is>
          <t>BM-21 Grad 122 mm (đầu đạn chùm) — Nhánh rốc-két chùm</t>
        </is>
      </c>
      <c r="M41" s="41" t="inlineStr">
        <is>
          <t>giáp 0, giáp 1, giáp 2, công trình</t>
        </is>
      </c>
      <c r="N41" s="41" t="inlineStr">
        <is>
          <t>lửa, pháo tự động, nổ mạnh, nổ lõm, pháo xe tăng</t>
        </is>
      </c>
      <c r="O41" s="41" t="n"/>
      <c r="P41" s="41" t="inlineStr">
        <is>
          <t>Đứng yên tại chỗ, bắn mọi mục tiêu trong tầm; Dàn rốc-két · nhánh Rốc-két dẫn đường</t>
        </is>
      </c>
      <c r="Q41" s="41" t="inlineStr">
        <is>
          <t>BM-21 Grad 122 mm (cluster) [Nổ mạnh, xuyên 2, bom chùm đánh nóc] nổ lan/phát · 57 · tầm loạt 6, hồi 3.2 s · 55 m (tối thiểu 8)</t>
        </is>
      </c>
      <c r="R41" s="41" t="inlineStr">
        <is>
          <t>Giữ.</t>
        </is>
      </c>
      <c r="S41" s="41" t="inlineStr">
        <is>
          <t>Ổn.</t>
        </is>
      </c>
      <c r="T41" s="49" t="inlineStr">
        <is>
          <t>Thấp</t>
        </is>
      </c>
    </row>
    <row r="42" ht="42.75" customHeight="1" s="32">
      <c r="A42" s="39" t="inlineStr">
        <is>
          <t>rocket_turret.guided</t>
        </is>
      </c>
      <c r="B42" s="39" t="inlineStr">
        <is>
          <t>Dàn rốc-két · nhánh Rốc-két dẫn đường</t>
        </is>
      </c>
      <c r="C42" s="39" t="n"/>
      <c r="D42" s="39" t="inlineStr">
        <is>
          <t>Giàn rốc-két 40 ống trên bệ xoay thấp. Nhánh: Hộp phóng kín. Kích thước hiện 4.7 × 4.7 × 3.4 m. Nhìn rõ từ camera chéo 45–60°; hình dạng hai nhánh phải khác nhau rõ ở zoom mặc định; vạch màu phe.</t>
        </is>
      </c>
      <c r="E42" s="39" t="inlineStr">
        <is>
          <t>tháp ô vừa của căn cứ; bị phá thì xây lại 4 CP sau 40 s; mở khóa: thắng màn mở khóa trong chiến dịch, hoặc mua sớm 300 x</t>
        </is>
      </c>
      <c r="F42" s="42" t="n">
        <v>2420</v>
      </c>
      <c r="G42" s="39" t="inlineStr">
        <is>
          <t>cấp 1 (Mỏng) · công trình</t>
        </is>
      </c>
      <c r="H42" s="42" t="n">
        <v>95</v>
      </c>
      <c r="I42" s="42" t="n">
        <v>27</v>
      </c>
      <c r="J42" s="42" t="n">
        <v>27</v>
      </c>
      <c r="K42" s="42" t="n">
        <v>0</v>
      </c>
      <c r="L42" s="39" t="inlineStr">
        <is>
          <t>M31 GMLRS 227 mm — Nhánh rốc-két dẫn đường tầm xa</t>
        </is>
      </c>
      <c r="M42" s="39" t="inlineStr">
        <is>
          <t>giáp 0, giáp 1, giáp 2, giáp 3, công trình</t>
        </is>
      </c>
      <c r="N42" s="39" t="inlineStr">
        <is>
          <t>lửa, pháo tự động, nổ mạnh, nổ lõm, pháo xe tăng</t>
        </is>
      </c>
      <c r="O42" s="39" t="n"/>
      <c r="P42" s="39" t="inlineStr">
        <is>
          <t>Đứng yên tại chỗ, bắn mọi mục tiêu trong tầm; Tháp ô lớn (15); Trận địa pháo</t>
        </is>
      </c>
      <c r="Q42" s="39" t="inlineStr">
        <is>
          <t>M31 GMLRS 227 mm (tower) [Nổ mạnh, xuyên 3, rốc-két (cỡ lớn) đánh nóc] nổ lan/phát · 100 · tầm loạt 2, hồi 7 s · 90 m (tối thiểu 20)</t>
        </is>
      </c>
      <c r="R42" s="39" t="inlineStr">
        <is>
          <t>• Vũ khí: GMLRS dẫn đường: 160/phát · nổ lan 4,5 m · tốc độ 50 · mục tiêu ~60/60</t>
        </is>
      </c>
      <c r="S42" s="39" t="inlineStr">
        <is>
          <t>• Vũ khí: GMLRS dẫn đường: Nhánh gần như vô dụng; GMLRS thật chính xác và mạnh với công trình.</t>
        </is>
      </c>
      <c r="T42" s="47" t="inlineStr">
        <is>
          <t>Cao</t>
        </is>
      </c>
    </row>
    <row r="43" ht="42.75" customHeight="1" s="32">
      <c r="A43" s="41"/>
      <c r="B43" s="41"/>
      <c r="C43" s="41"/>
      <c r="D43" s="41"/>
      <c r="E43" s="41"/>
      <c r="F43" s="43"/>
      <c r="G43" s="41"/>
      <c r="H43" s="43"/>
      <c r="I43" s="43"/>
      <c r="J43" s="43"/>
      <c r="K43" s="43"/>
      <c r="L43" s="41"/>
      <c r="M43" s="41"/>
      <c r="N43" s="41"/>
      <c r="O43" s="41"/>
      <c r="P43" s="41"/>
      <c r="Q43" s="41"/>
      <c r="R43" s="41"/>
      <c r="S43" s="41"/>
      <c r="T43" s="49"/>
    </row>
    <row r="44" ht="42.75" customHeight="1" s="32">
      <c r="A44" s="39"/>
      <c r="B44" s="39"/>
      <c r="C44" s="39"/>
      <c r="D44" s="39"/>
      <c r="E44" s="39"/>
      <c r="F44" s="42"/>
      <c r="G44" s="39"/>
      <c r="H44" s="42"/>
      <c r="I44" s="42"/>
      <c r="J44" s="42"/>
      <c r="K44" s="42"/>
      <c r="L44" s="39"/>
      <c r="M44" s="39"/>
      <c r="N44" s="39"/>
      <c r="O44" s="39"/>
      <c r="P44" s="39"/>
      <c r="Q44" s="39"/>
      <c r="R44" s="39"/>
      <c r="S44" s="39"/>
      <c r="T44" s="49"/>
    </row>
    <row r="45" ht="42.75" customHeight="1" s="32">
      <c r="A45" s="41"/>
      <c r="B45" s="41"/>
      <c r="C45" s="41"/>
      <c r="D45" s="41"/>
      <c r="E45" s="41"/>
      <c r="F45" s="43"/>
      <c r="G45" s="41"/>
      <c r="H45" s="43"/>
      <c r="I45" s="43"/>
      <c r="J45" s="43"/>
      <c r="K45" s="43"/>
      <c r="L45" s="41"/>
      <c r="M45" s="41"/>
      <c r="N45" s="41"/>
      <c r="O45" s="41"/>
      <c r="P45" s="41"/>
      <c r="Q45" s="41"/>
      <c r="R45" s="41"/>
      <c r="S45" s="41"/>
      <c r="T45" s="48"/>
    </row>
    <row r="46" ht="42.75" customHeight="1" s="32">
      <c r="A46" s="39" t="inlineStr">
        <is>
          <t>drone_hangar</t>
        </is>
      </c>
      <c r="B46" s="39" t="inlineStr">
        <is>
          <t>Nhà chứa drone</t>
        </is>
      </c>
      <c r="C46" s="39" t="inlineStr">
        <is>
          <t>cứ 20 giây phóng hai drone FPV cảm tử vào địch xa tới 70 m, mạnh lên giáp và công trình. bào mòn thứ gì đứng ngoài tầm các tháp khác; APS, la-de và máy gây nhiễu chặn được drone.</t>
        </is>
      </c>
      <c r="D46" s="39" t="inlineStr">
        <is>
          <t>Nhà chứa mái vòm thấp có cửa cuốn và ray phóng drone.  Kích thước hiện 8.0 × 8.0 × 5.0 m. Nhìn rõ từ camera chéo 45–60°; hình dạng hai nhánh phải khác nhau rõ ở zoom mặc định; vạch màu phe.</t>
        </is>
      </c>
      <c r="E46" s="39" t="inlineStr">
        <is>
          <t>tháp ô lớn của căn cứ; bị phá thì xây lại 7 CP sau 60 s; mở khóa: thắng màn mở khóa trong chiến dịch, hoặc mua sớm 300 x</t>
        </is>
      </c>
      <c r="F46" s="42" t="n">
        <v>4840</v>
      </c>
      <c r="G46" s="39" t="inlineStr">
        <is>
          <t>cấp 2 (Vừa) · công trình</t>
        </is>
      </c>
      <c r="H46" s="42" t="n">
        <v>60</v>
      </c>
      <c r="I46" s="42" t="n">
        <v>59</v>
      </c>
      <c r="J46" s="42" t="n">
        <v>59</v>
      </c>
      <c r="K46" s="42" t="n">
        <v>0</v>
      </c>
      <c r="L46" s="39" t="inlineStr">
        <is>
          <t>hầm trú ẩn máy bay bê tông dạng vòm, drone FPV — Hầm vòm phủ đất phóng drone FPV</t>
        </is>
      </c>
      <c r="M46" s="39" t="inlineStr">
        <is>
          <t>giáp 0, giáp 1, giáp 2, giáp 3, công trình</t>
        </is>
      </c>
      <c r="N46" s="39" t="inlineStr">
        <is>
          <t>nổ mạnh, nổ lõm, pháo xe tăng</t>
        </is>
      </c>
      <c r="O46" s="39" t="inlineStr">
        <is>
          <t>cứ 20 giây phóng hai drone FPV cảm tử vào địch xa tới 70 m, mạnh lên giáp và công trình.</t>
        </is>
      </c>
      <c r="P46" s="39" t="inlineStr">
        <is>
          <t>Đứng yên tại chỗ, bắn mọi mục tiêu trong tầm; Nhà chứa drone · nhánh Nhà chứa Lancet</t>
        </is>
      </c>
      <c r="Q46" s="39" t="inlineStr">
        <is>
          <t>FPV drone (1.5 kg) [Nổ lõm, xuyên 3, drone (FPV) đánh nóc] dẫn đường/phát · nổ lan · tầm 140 · loạt 4, hồi 6.5 s</t>
        </is>
      </c>
      <c r="R46" s="39" t="inlineStr">
        <is>
          <t>Giữ.</t>
        </is>
      </c>
      <c r="S46" s="39" t="inlineStr">
        <is>
          <t>Đạt mục tiêu.</t>
        </is>
      </c>
      <c r="T46" s="49" t="inlineStr">
        <is>
          <t>Thấp</t>
        </is>
      </c>
    </row>
    <row r="47" ht="42.75" customHeight="1" s="32">
      <c r="A47" s="41" t="inlineStr">
        <is>
          <t>drone_hangar.lancet</t>
        </is>
      </c>
      <c r="B47" s="41" t="inlineStr">
        <is>
          <t>Nhà chứa drone · nhánh Nhà chứa Lancet</t>
        </is>
      </c>
      <c r="C47" s="41" t="n"/>
      <c r="D47" s="41" t="inlineStr">
        <is>
          <t>Nhà chứa mái vòm thấp có cửa cuốn và ray phóng drone. Nhánh: Đường ray phóng Lancet. Kích thước hiện 8.0 × 8.0 × 5.0 m. Nhìn rõ từ camera chéo 45–60°; hình dạng hai nhánh phải khác nhau rõ ở zoom mặc định; vạch màu phe.</t>
        </is>
      </c>
      <c r="E47" s="41" t="inlineStr">
        <is>
          <t>tháp ô lớn của căn cứ; bị phá thì xây lại 7 CP sau 60 s; mở khóa: thắng màn mở khóa trong chiến dịch, hoặc mua sớm 300 x</t>
        </is>
      </c>
      <c r="F47" s="43" t="n">
        <v>4840</v>
      </c>
      <c r="G47" s="41" t="inlineStr">
        <is>
          <t>cấp 2 (Vừa) · công trình</t>
        </is>
      </c>
      <c r="H47" s="43" t="n">
        <v>60</v>
      </c>
      <c r="I47" s="43" t="n">
        <v>67</v>
      </c>
      <c r="J47" s="43" t="n">
        <v>67</v>
      </c>
      <c r="K47" s="43" t="n">
        <v>0</v>
      </c>
      <c r="L47" s="41" t="inlineStr">
        <is>
          <t>ZALA Lancet-3 (máy phóng ray) — Nhánh phóng Lancet</t>
        </is>
      </c>
      <c r="M47" s="41" t="inlineStr">
        <is>
          <t>giáp 0, giáp 1, giáp 2, giáp 3, giáp 4, công trình</t>
        </is>
      </c>
      <c r="N47" s="41" t="inlineStr">
        <is>
          <t>nổ mạnh, nổ lõm, pháo xe tăng</t>
        </is>
      </c>
      <c r="O47" s="41" t="n"/>
      <c r="P47" s="41" t="inlineStr">
        <is>
          <t>Đứng yên tại chỗ, bắn mọi mục tiêu trong tầm; Nhà chứa drone · nhánh Bầy đàn</t>
        </is>
      </c>
      <c r="Q47" s="41" t="inlineStr">
        <is>
          <t>ZALA Lancet-3 (3 kg) [Nổ lõm, xuyên 4, drone (Lancet) đánh nóc] dẫn đường/phát · 240 · tầm hồi 3.6 s · 100 m</t>
        </is>
      </c>
      <c r="R47" s="41" t="inlineStr">
        <is>
          <t>Giữ.</t>
        </is>
      </c>
      <c r="S47" s="41" t="inlineStr">
        <is>
          <t>Ổn.</t>
        </is>
      </c>
      <c r="T47" s="49" t="inlineStr">
        <is>
          <t>Thấp</t>
        </is>
      </c>
    </row>
    <row r="48" ht="42.75" customHeight="1" s="32">
      <c r="A48" s="39" t="inlineStr">
        <is>
          <t>drone_hangar.swarm</t>
        </is>
      </c>
      <c r="B48" s="39" t="inlineStr">
        <is>
          <t>Nhà chứa drone · nhánh Bầy đàn</t>
        </is>
      </c>
      <c r="C48" s="39" t="n"/>
      <c r="D48" s="39" t="inlineStr">
        <is>
          <t>Nhà chứa mái vòm thấp có cửa cuốn và ray phóng drone. Nhánh: Giá nhiều khoang drone nhỏ. Kích thước hiện 8.0 × 8.0 × 5.0 m. Nhìn rõ từ camera chéo 45–60°; hình dạng hai nhánh phải khác nhau rõ ở zoom mặc định; vạch màu phe.</t>
        </is>
      </c>
      <c r="E48" s="39" t="inlineStr">
        <is>
          <t>tháp ô lớn của căn cứ; bị phá thì xây lại 7 CP sau 60 s; mở khóa: thắng màn mở khóa trong chiến dịch, hoặc mua sớm 300 x</t>
        </is>
      </c>
      <c r="F48" s="42" t="n">
        <v>4840</v>
      </c>
      <c r="G48" s="39" t="inlineStr">
        <is>
          <t>cấp 2 (Vừa) · công trình</t>
        </is>
      </c>
      <c r="H48" s="42" t="n">
        <v>60</v>
      </c>
      <c r="I48" s="42" t="n">
        <v>77</v>
      </c>
      <c r="J48" s="42" t="n">
        <v>77</v>
      </c>
      <c r="K48" s="42" t="n">
        <v>0</v>
      </c>
      <c r="L48" s="39" t="inlineStr">
        <is>
          <t>bầy drone FPV — Nhánh phóng bầy drone</t>
        </is>
      </c>
      <c r="M48" s="39" t="inlineStr">
        <is>
          <t>giáp 0, giáp 1, giáp 2, giáp 3, công trình</t>
        </is>
      </c>
      <c r="N48" s="39" t="inlineStr">
        <is>
          <t>nổ mạnh, nổ lõm, pháo xe tăng</t>
        </is>
      </c>
      <c r="O48" s="39" t="n"/>
      <c r="P48" s="39" t="inlineStr">
        <is>
          <t>Đứng yên tại chỗ, bắn mọi mục tiêu trong tầm; Pháo đài hạng nặng</t>
        </is>
      </c>
      <c r="Q48" s="39" t="inlineStr">
        <is>
          <t>FPV drone (1.5 kg) [Nổ lõm, xuyên 3, drone (FPV) đánh nóc] dẫn đường/phát · nổ lan · tầm 140 · loạt 4, hồi 5.5 s</t>
        </is>
      </c>
      <c r="R48" s="39" t="inlineStr">
        <is>
          <t>Giữ.</t>
        </is>
      </c>
      <c r="S48" s="39" t="inlineStr">
        <is>
          <t>Ổn.</t>
        </is>
      </c>
      <c r="T48" s="49" t="inlineStr">
        <is>
          <t>Thấp</t>
        </is>
      </c>
    </row>
    <row r="49" ht="42.75" customHeight="1" s="32">
      <c r="A49" s="41" t="inlineStr">
        <is>
          <t>heavy_turret</t>
        </is>
      </c>
      <c r="B49" s="41" t="inlineStr">
        <is>
          <t>Pháo đài hạng nặng</t>
        </is>
      </c>
      <c r="C49" s="41" t="inlineStr">
        <is>
          <t>tháp pháo đôi 155 mm xoay chậm, bắn loạt đôi đạn nổ mạnh tới 50 m. phá nát xe nhẹ, cụm quân và xe tăng trong góc bắn; là công trình nên ăn 1,5× sát thương nổ mạnh, sợ ít đạn súng máy.</t>
        </is>
      </c>
      <c r="D49" s="41" t="inlineStr">
        <is>
          <t>Tháp pháo đôi 155 mm lớn trên bệ bê tông, ốp giáp.  Kích thước hiện 10.3 × 8.0 × 6.1 m. Nhìn rõ từ camera chéo 45–60°; hình dạng hai nhánh phải khác nhau rõ ở zoom mặc định; vạch màu phe.</t>
        </is>
      </c>
      <c r="E49" s="41" t="inlineStr">
        <is>
          <t>tháp ô lớn của căn cứ; bị phá thì xây lại 7 CP sau 60 s; mở khóa: thắng màn mở khóa trong chiến dịch, hoặc mua sớm 300 x</t>
        </is>
      </c>
      <c r="F49" s="43" t="n">
        <v>6160</v>
      </c>
      <c r="G49" s="41" t="inlineStr">
        <is>
          <t>4/3/3/3</t>
        </is>
      </c>
      <c r="H49" s="43" t="n">
        <v>60</v>
      </c>
      <c r="I49" s="43" t="n">
        <v>138</v>
      </c>
      <c r="J49" s="43" t="n">
        <v>98</v>
      </c>
      <c r="K49" s="43" t="n">
        <v>0</v>
      </c>
      <c r="L49" s="41" t="inlineStr">
        <is>
          <t>AK-130 130 mm (tháp pháo hạm đặt trên bờ), A-222 Bereg, M284 155 mm — Tháp pháo bờ biển hai nòng 155 mm</t>
        </is>
      </c>
      <c r="M49" s="41" t="inlineStr">
        <is>
          <t>giáp 0, giáp 1, giáp 2, giáp 3, công trình</t>
        </is>
      </c>
      <c r="N49" s="41" t="inlineStr">
        <is>
          <t>nổ mạnh, đánh nóc</t>
        </is>
      </c>
      <c r="O49" s="41" t="inlineStr">
        <is>
          <t>tháp pháo đôi 155 mm xoay chậm, bắn loạt đôi đạn nổ mạnh tới 50 m.</t>
        </is>
      </c>
      <c r="P49" s="41" t="inlineStr">
        <is>
          <t>Đứng yên tại chỗ, bắn mọi mục tiêu trong tầm; Pháo đài hạng nặng · nhánh Pháo bờ biển tầm xa</t>
        </is>
      </c>
      <c r="Q49" s="41" t="inlineStr">
        <is>
          <t>M284 155 mm (twin) [Nổ mạnh, xuyên 3, đạn pháo nổ mạnh nổ lan] 320/phát · loạt 2, hồi 5.5 s · tầm 50 m · Mặt đất</t>
        </is>
      </c>
      <c r="R49" s="41" t="inlineStr">
        <is>
          <t>• Vũ khí: 155 mm đôi: thêm đạn xuyên 155 mm (xuyên 4, ~300/phát), tự đổi như Tăng hạng nặng; nổ lan 4,5→7 m</t>
        </is>
      </c>
      <c r="S49" s="41" t="inlineStr">
        <is>
          <t>• Vũ khí: 155 mm đôi: Chống xe nặng dưới mục tiêu 140; bán kính nổ lệch các khẩu 155 khác.</t>
        </is>
      </c>
      <c r="T49" s="48" t="inlineStr">
        <is>
          <t>Trung</t>
        </is>
      </c>
    </row>
    <row r="50" ht="42.75" customHeight="1" s="32">
      <c r="A50" s="39" t="inlineStr">
        <is>
          <t>heavy_turret.coastal</t>
        </is>
      </c>
      <c r="B50" s="39" t="inlineStr">
        <is>
          <t>Pháo đài hạng nặng · nhánh Pháo bờ biển tầm xa</t>
        </is>
      </c>
      <c r="C50" s="39" t="n"/>
      <c r="D50" s="39" t="inlineStr">
        <is>
          <t>Tháp pháo đôi 155 mm lớn trên bệ bê tông, ốp giáp. Nhánh: Tháp đôi nòng dài quay ra xa. Kích thước hiện 10.3 × 8.0 × 6.1 m. Nhìn rõ từ camera chéo 45–60°; hình dạng hai nhánh phải khác nhau rõ ở zoom mặc định; vạch màu phe.</t>
        </is>
      </c>
      <c r="E50" s="39" t="inlineStr">
        <is>
          <t>tháp ô lớn của căn cứ; bị phá thì xây lại 7 CP sau 60 s; mở khóa: thắng màn mở khóa trong chiến dịch, hoặc mua sớm 300 x</t>
        </is>
      </c>
      <c r="F50" s="42" t="n">
        <v>6160</v>
      </c>
      <c r="G50" s="39" t="inlineStr">
        <is>
          <t>4/3/3/3</t>
        </is>
      </c>
      <c r="H50" s="42" t="n">
        <v>60</v>
      </c>
      <c r="I50" s="42" t="n">
        <v>138</v>
      </c>
      <c r="J50" s="42" t="n">
        <v>98</v>
      </c>
      <c r="K50" s="42" t="n">
        <v>0</v>
      </c>
      <c r="L50" s="39" t="inlineStr">
        <is>
          <t>A-222 Bereg (240 mm), AK-130 130 mm (tháp pháo hạm đặt trên bờ), K-300P Bastion-P, M284 155 mm (tầm xa) — Nhánh pháo bờ biển tầm xa</t>
        </is>
      </c>
      <c r="M50" s="39" t="inlineStr">
        <is>
          <t>giáp 0, giáp 1, giáp 2, giáp 3, công trình</t>
        </is>
      </c>
      <c r="N50" s="39" t="inlineStr">
        <is>
          <t>nổ mạnh, đánh nóc</t>
        </is>
      </c>
      <c r="O50" s="39" t="n"/>
      <c r="P50" s="39" t="inlineStr">
        <is>
          <t>Đứng yên tại chỗ, bắn mọi mục tiêu trong tầm; Pháo đài hạng nặng · nhánh Pháo đài thép</t>
        </is>
      </c>
      <c r="Q50" s="39" t="inlineStr">
        <is>
          <t>M284 155 mm (twin, long-range coastal) [Nổ mạnh, xuyên 3, đạn pháo nổ mạnh nổ lan] 320/phát · loạt 2, hồi 5.5 s · tầm 72 m · Mặt đất</t>
        </is>
      </c>
      <c r="R50" s="39" t="inlineStr">
        <is>
          <t>Như heavy_turret.</t>
        </is>
      </c>
      <c r="S50" s="39" t="inlineStr">
        <is>
          <t>Ổn.</t>
        </is>
      </c>
      <c r="T50" s="49" t="inlineStr">
        <is>
          <t>Thấp</t>
        </is>
      </c>
    </row>
    <row r="51" ht="63.75" customHeight="1" s="32">
      <c r="A51" s="41" t="inlineStr">
        <is>
          <t>heavy_turret.bastion</t>
        </is>
      </c>
      <c r="B51" s="41" t="inlineStr">
        <is>
          <t>Pháo đài hạng nặng · nhánh Pháo đài thép</t>
        </is>
      </c>
      <c r="C51" s="41" t="n"/>
      <c r="D51" s="41" t="inlineStr">
        <is>
          <t>Tháp pháo đôi 155 mm lớn trên bệ bê tông, ốp giáp. Nhánh: Ốp giáp dày, 2 tháp súng phụ nhỏ. Kích thước hiện 10.3 × 8.0 × 6.1 m. Nhìn rõ từ camera chéo 45–60°; hình dạng hai nhánh phải khác nhau rõ ở zoom mặc định; vạch màu phe.</t>
        </is>
      </c>
      <c r="E51" s="41" t="inlineStr">
        <is>
          <t>tháp ô lớn của căn cứ; bị phá thì xây lại 7 CP sau 60 s; mở khóa: thắng màn mở khóa trong chiến dịch, hoặc mua sớm 300 x</t>
        </is>
      </c>
      <c r="F51" s="43" t="n">
        <v>9548</v>
      </c>
      <c r="G51" s="41" t="inlineStr">
        <is>
          <t>4/3/3/3</t>
        </is>
      </c>
      <c r="H51" s="43" t="n">
        <v>60</v>
      </c>
      <c r="I51" s="43" t="n">
        <v>229</v>
      </c>
      <c r="J51" s="43" t="n">
        <v>125</v>
      </c>
      <c r="K51" s="43" t="n">
        <v>32</v>
      </c>
      <c r="L51" s="41" t="inlineStr">
        <is>
          <t>pháo đài tuyến Maginot (tháp pháo ở góc) — ước đoán: nhánh pháo đài thép hai tháp nhỏ ở góc</t>
        </is>
      </c>
      <c r="M51" s="41" t="inlineStr">
        <is>
          <t>giáp 0, giáp 1, giáp 2, giáp 3, công trình</t>
        </is>
      </c>
      <c r="N51" s="41" t="inlineStr">
        <is>
          <t>nổ mạnh, đánh nóc</t>
        </is>
      </c>
      <c r="O51" s="41" t="n"/>
      <c r="P51" s="41" t="inlineStr">
        <is>
          <t>Đứng yên tại chỗ, bắn mọi mục tiêu trong tầm; Tên lửa Patriot tầm xa</t>
        </is>
      </c>
      <c r="Q51" s="41" t="inlineStr">
        <is>
          <t>M284 155 mm (twin) [Nổ mạnh, xuyên 3, đạn pháo nổ mạnh nổ lan] 320/phát · loạt 2, hồi 5.5 s · tầm 50 m · Mặt đất
M2 Browning 12.7 mm [Động năng, xuyên 1, đạn súng (cỡ lớn)] 10/phát · băng 28 viên, 9 viên/s, thay 2.02 s · tầm 30 m · Tất cả
M2 Browning 12.7 mm [Động năng, xuyên 1, đạn súng (cỡ lớn)] 10/phát · băng 28 viên, 9 viên/s, thay 2.02 s · tầm 30 m · Tất cả</t>
        </is>
      </c>
      <c r="R51" s="41" t="inlineStr">
        <is>
          <t>Giữ.</t>
        </is>
      </c>
      <c r="S51" s="41" t="inlineStr">
        <is>
          <t>Ổn.</t>
        </is>
      </c>
      <c r="T51" s="49" t="inlineStr">
        <is>
          <t>Thấp</t>
        </is>
      </c>
    </row>
    <row r="52" ht="42.75" customHeight="1" s="32">
      <c r="A52" s="39" t="inlineStr">
        <is>
          <t>missile_battery</t>
        </is>
      </c>
      <c r="B52" s="39" t="inlineStr">
        <is>
          <t>Tên lửa Patriot tầm xa</t>
        </is>
      </c>
      <c r="C52" s="39" t="inlineStr">
        <is>
          <t>radar nhìn xa 85 m, phóng tên lửa từng cặp vào máy bay cách tới 62 m; không có gì để đánh mặt đất. bắn xa hơn gần như mọi máy bay; nhưng bất kỳ lực lượng mặt đất nào cũng áp sát và phá được nó.</t>
        </is>
      </c>
      <c r="D52" s="39" t="inlineStr">
        <is>
          <t>Bệ phóng 4 hộp tên lửa lớn nghiêng cạnh xe radar mảng pha.  Kích thước hiện 7.0 × 9.1 × 7.3 m. Nhìn rõ từ camera chéo 45–60°; hình dạng hai nhánh phải khác nhau rõ ở zoom mặc định; vạch màu phe.</t>
        </is>
      </c>
      <c r="E52" s="39" t="inlineStr">
        <is>
          <t>tháp ô lớn của căn cứ; bị phá thì xây lại 7 CP sau 60 s; mở khóa: thắng màn mở khóa trong chiến dịch, hoặc mua sớm 300 x</t>
        </is>
      </c>
      <c r="F52" s="42" t="n">
        <v>4180</v>
      </c>
      <c r="G52" s="39" t="inlineStr">
        <is>
          <t>cấp 1 (Mỏng) · công trình</t>
        </is>
      </c>
      <c r="H52" s="42" t="n">
        <v>95</v>
      </c>
      <c r="I52" s="42" t="n">
        <v>0</v>
      </c>
      <c r="J52" s="42" t="n">
        <v>0</v>
      </c>
      <c r="K52" s="42" t="n">
        <v>188</v>
      </c>
      <c r="L52" s="39" t="inlineStr">
        <is>
          <t>MIM-104 Patriot PAC-2, S-300 — Trận địa tên lửa phòng không bốn ống phóng</t>
        </is>
      </c>
      <c r="M52" s="39" t="inlineStr">
        <is>
          <t>trên không</t>
        </is>
      </c>
      <c r="N52" s="39" t="inlineStr">
        <is>
          <t>lửa, pháo tự động, nổ mạnh, nổ lõm, pháo xe tăng</t>
        </is>
      </c>
      <c r="O52" s="39" t="inlineStr">
        <is>
          <t>radar nhìn xa 85 m, phóng tên lửa từng cặp vào máy bay cách tới 62 m; không có gì để đánh mặt đất.</t>
        </is>
      </c>
      <c r="P52" s="39" t="inlineStr">
        <is>
          <t>Đứng yên tại chỗ, bắn mọi mục tiêu trong tầm; Tên lửa Patriot tầm xa · nhánh PAC-3 đánh chặn</t>
        </is>
      </c>
      <c r="Q52" s="39" t="inlineStr">
        <is>
          <t>MIM-104 Patriot PAC-2 [Mảnh, xuyên 3, tên lửa phòng không đánh nóc] dẫn đường/phát · nổ lan · tầm 340 · loạt 2, hồi 4.24 s</t>
        </is>
      </c>
      <c r="R52" s="39" t="inlineStr">
        <is>
          <t>• Vũ khí: Patriot PAC-2: chống máy bay 300 · tốc độ 60 (bay 1,5 s)</t>
        </is>
      </c>
      <c r="S52" s="39" t="inlineStr">
        <is>
          <t>• Vũ khí: Patriot PAC-2: Tháp ô lớn phải mạnh hơn tháp ô nhỏ; tên lửa phải bắt kịp máy bay.</t>
        </is>
      </c>
      <c r="T52" s="47" t="inlineStr">
        <is>
          <t>Cao</t>
        </is>
      </c>
    </row>
    <row r="53" ht="84.75" customHeight="1" s="32">
      <c r="A53" s="41" t="inlineStr">
        <is>
          <t>missile_battery.pac3</t>
        </is>
      </c>
      <c r="B53" s="41" t="inlineStr">
        <is>
          <t>Tên lửa Patriot tầm xa · nhánh PAC-3 đánh chặn</t>
        </is>
      </c>
      <c r="C53" s="41" t="n"/>
      <c r="D53" s="41" t="inlineStr">
        <is>
          <t>Bệ phóng 4 hộp tên lửa lớn nghiêng cạnh xe radar mảng pha. Nhánh: Hộp phóng nhiều ống nhỏ. Kích thước hiện 7.0 × 9.1 × 7.3 m. Nhìn rõ từ camera chéo 45–60°; hình dạng hai nhánh phải khác nhau rõ ở zoom mặc định; vạch màu phe.</t>
        </is>
      </c>
      <c r="E53" s="41" t="inlineStr">
        <is>
          <t>tháp ô lớn của căn cứ; bị phá thì xây lại 7 CP sau 60 s; mở khóa: thắng màn mở khóa trong chiến dịch, hoặc mua sớm 300 x</t>
        </is>
      </c>
      <c r="F53" s="43" t="n">
        <v>4180</v>
      </c>
      <c r="G53" s="41" t="inlineStr">
        <is>
          <t>cấp 1 (Mỏng) · công trình</t>
        </is>
      </c>
      <c r="H53" s="43" t="n">
        <v>95</v>
      </c>
      <c r="I53" s="43" t="n">
        <v>0</v>
      </c>
      <c r="J53" s="43" t="n">
        <v>0</v>
      </c>
      <c r="K53" s="43" t="n">
        <v>150</v>
      </c>
      <c r="L53" s="41" t="inlineStr">
        <is>
          <t>Patriot PAC-3 MSE — Nhánh tên lửa PAC-3</t>
        </is>
      </c>
      <c r="M53" s="41" t="inlineStr">
        <is>
          <t>trên không</t>
        </is>
      </c>
      <c r="N53" s="41" t="inlineStr">
        <is>
          <t>lửa, pháo tự động, nổ mạnh, nổ lõm, pháo xe tăng</t>
        </is>
      </c>
      <c r="O53" s="41" t="n"/>
      <c r="P53" s="41" t="inlineStr">
        <is>
          <t>Đứng yên tại chỗ, bắn mọi mục tiêu trong tầm; Tên lửa đánh chặn: bắn hạ đạn nhắm vào trong 72 m (4 quả trong bệ phóng, nạp lại đủ sau 16; giây kể từ lần phóng cuối); Chỉ chặn đạn bay cầu vồng từ xa: rốc-két pháo binh, drone và tên lửa tầm xa; không chặn đạn; bắn thẳng (đạn pháo bắn thẳng, tên lửa chống tăng, ống phóng rốc-két) và Năng lượng; Tên lửa Patriot tầm xa · nhánh Radar tầm xa</t>
        </is>
      </c>
      <c r="Q53" s="41" t="inlineStr">
        <is>
          <t>Patriot PAC-3 MSE [Mảnh, xuyên 3, tên lửa phòng không đánh nóc] dẫn đường/phát · nổ lan · tầm 360 · loạt 2, hồi 5.8 s</t>
        </is>
      </c>
      <c r="R53" s="41" t="inlineStr">
        <is>
          <t>• Vũ khí: PAC-3: tốc độ 65; đo số tên lửa đòn lớn boss bắn hạ được</t>
        </is>
      </c>
      <c r="S53" s="41" t="inlineStr">
        <is>
          <t>• Vũ khí: PAC-3: Tên lửa đánh chặn phải nhanh hơn tên lửa hành trình và đạn đạo.</t>
        </is>
      </c>
      <c r="T53" s="48" t="inlineStr">
        <is>
          <t>Trung</t>
        </is>
      </c>
    </row>
    <row r="54" ht="42.75" customHeight="1" s="32">
      <c r="A54" s="39" t="inlineStr">
        <is>
          <t>missile_battery.lrr</t>
        </is>
      </c>
      <c r="B54" s="39" t="inlineStr">
        <is>
          <t>Tên lửa Patriot tầm xa · nhánh Radar tầm xa</t>
        </is>
      </c>
      <c r="C54" s="39" t="n"/>
      <c r="D54" s="39" t="inlineStr">
        <is>
          <t>Bệ phóng 4 hộp tên lửa lớn nghiêng cạnh xe radar mảng pha. Nhánh: Đĩa radar lớn xoay. Kích thước hiện 7.0 × 9.1 × 7.3 m. Nhìn rõ từ camera chéo 45–60°; hình dạng hai nhánh phải khác nhau rõ ở zoom mặc định; vạch màu phe.</t>
        </is>
      </c>
      <c r="E54" s="39" t="inlineStr">
        <is>
          <t>tháp ô lớn của căn cứ; bị phá thì xây lại 7 CP sau 60 s; mở khóa: thắng màn mở khóa trong chiến dịch, hoặc mua sớm 300 x</t>
        </is>
      </c>
      <c r="F54" s="42" t="n">
        <v>4180</v>
      </c>
      <c r="G54" s="39" t="inlineStr">
        <is>
          <t>cấp 1 (Mỏng) · công trình</t>
        </is>
      </c>
      <c r="H54" s="42" t="n">
        <v>110</v>
      </c>
      <c r="I54" s="42" t="n">
        <v>0</v>
      </c>
      <c r="J54" s="42" t="n">
        <v>0</v>
      </c>
      <c r="K54" s="42" t="n">
        <v>186</v>
      </c>
      <c r="L54" s="39" t="inlineStr">
        <is>
          <t>MIM-104 Patriot PAC-2, radar AN/MPQ-65 — Nhánh radar tầm xa</t>
        </is>
      </c>
      <c r="M54" s="39" t="inlineStr">
        <is>
          <t>trên không</t>
        </is>
      </c>
      <c r="N54" s="39" t="inlineStr">
        <is>
          <t>lửa, pháo tự động, nổ mạnh, nổ lõm, pháo xe tăng</t>
        </is>
      </c>
      <c r="O54" s="39" t="n"/>
      <c r="P54" s="39" t="inlineStr">
        <is>
          <t>Đứng yên tại chỗ, bắn mọi mục tiêu trong tầm; Máy phát khiên</t>
        </is>
      </c>
      <c r="Q54" s="39" t="inlineStr">
        <is>
          <t>MIM-104 Patriot PAC-2 [Mảnh, xuyên 3, tên lửa phòng không đánh nóc] dẫn đường/phát · nổ lan · tầm 340 · loạt 2, hồi 4.3 s</t>
        </is>
      </c>
      <c r="R54" s="39" t="inlineStr">
        <is>
          <t>• Vũ khí: chống máy bay 260</t>
        </is>
      </c>
      <c r="S54" s="39" t="inlineStr">
        <is>
          <t>• Vũ khí: Nhánh chống máy bay phải mạnh hơn nhánh đánh chặn ở vai trò chống máy bay.</t>
        </is>
      </c>
      <c r="T54" s="48" t="inlineStr">
        <is>
          <t>Trung</t>
        </is>
      </c>
    </row>
    <row r="55" ht="42.75" customHeight="1" s="32">
      <c r="A55" s="41" t="inlineStr">
        <is>
          <t>shield_tower</t>
        </is>
      </c>
      <c r="B55" s="41" t="inlineStr">
        <is>
          <t>Máy phát khiên</t>
        </is>
      </c>
      <c r="C55" s="41" t="inlineStr">
        <is>
          <t>không có súng; vòm khiên 25 m hấp thụ 3.000 sát thương từ đạn pháo, bom, đạn súng và tên lửa cho mọi thứ phe ta bên dưới, rồi giữ các tháp quanh nó đứng vững qua trận pháo kích; vũ khí năng lượng xuyên qua, nhiều vòm không cộng dồn, và máy phát là</t>
        </is>
      </c>
      <c r="D55" s="41" t="inlineStr">
        <is>
          <t>Tháp phát khiên cao với vòng phát sáng màu phe, vòm bán trong suốt khi hoạt động.  Kích thước hiện 7.2 × 7.2 × 9.2 m. Nhìn rõ từ camera chéo 45–60°; hình dạng hai nhánh phải khác nhau rõ ở zoom mặc định; vạch màu phe.</t>
        </is>
      </c>
      <c r="E55" s="41" t="inlineStr">
        <is>
          <t>tháp ô lớn của căn cứ; bị phá thì xây lại 7 CP sau 60 s; mở khóa: thắng màn mở khóa trong chiến dịch, hoặc mua sớm 300 x</t>
        </is>
      </c>
      <c r="F55" s="43" t="n">
        <v>4400</v>
      </c>
      <c r="G55" s="41" t="inlineStr">
        <is>
          <t>cấp 2 (Vừa) · công trình</t>
        </is>
      </c>
      <c r="H55" s="43" t="n">
        <v>40</v>
      </c>
      <c r="I55" s="43" t="n">
        <v>0</v>
      </c>
      <c r="J55" s="43" t="n">
        <v>0</v>
      </c>
      <c r="K55" s="43" t="n">
        <v>0</v>
      </c>
      <c r="L55" s="41" t="inlineStr">
        <is>
          <t>Shield Battery (StarCraft II), Shield Generator (Supreme Commander) — ước đoán: tháp phát khiên năng lượng (viễn tưởng)</t>
        </is>
      </c>
      <c r="M55" s="41" t="n"/>
      <c r="N55" s="41" t="inlineStr">
        <is>
          <t>nổ mạnh, nổ lõm, pháo xe tăng</t>
        </is>
      </c>
      <c r="O55" s="41" t="inlineStr">
        <is>
          <t>không có súng; vòm khiên 25 m hấp thụ 3.000 sát thương từ đạn pháo, bom, đạn súng và tên lửa cho mọi thứ phe ta bên dưới, rồi</t>
        </is>
      </c>
      <c r="P55" s="41" t="inlineStr">
        <is>
          <t>Đứng yên tại chỗ, phục vụ phe ta; Vòm khiên 25 m: hấp thụ 3000 sát thương cho phe ta bên trong (trừ năng lượng), hồi lại 30; giây sau đòn cuối; các vòm không cộng dồn; Máy phát khiên · nhánh Vòm khiên</t>
        </is>
      </c>
      <c r="Q55" s="41" t="n"/>
      <c r="R55" s="41" t="inlineStr">
        <is>
          <t>Giữ.</t>
        </is>
      </c>
      <c r="S55" s="41" t="inlineStr">
        <is>
          <t>Ổn.</t>
        </is>
      </c>
      <c r="T55" s="49" t="inlineStr">
        <is>
          <t>Thấp</t>
        </is>
      </c>
    </row>
    <row r="56" ht="53.25" customHeight="1" s="32">
      <c r="A56" s="39" t="inlineStr">
        <is>
          <t>shield_tower.bulwark</t>
        </is>
      </c>
      <c r="B56" s="39" t="inlineStr">
        <is>
          <t>Máy phát khiên · nhánh Vòm khiên</t>
        </is>
      </c>
      <c r="C56" s="39" t="n"/>
      <c r="D56" s="39" t="inlineStr">
        <is>
          <t>Tháp phát khiên cao với vòng phát sáng màu phe, vòm bán trong suốt khi hoạt động. Nhánh: Tháp phát trung tâm và vòm. Kích thước hiện 7.2 × 7.2 × 9.2 m. Nhìn rõ từ camera chéo 45–60°; hình dạng hai nhánh phải khác nhau rõ ở zoom mặc định; vạch màu phe.</t>
        </is>
      </c>
      <c r="E56" s="39" t="inlineStr">
        <is>
          <t>tháp ô lớn của căn cứ; bị phá thì xây lại 7 CP sau 60 s; mở khóa: thắng màn mở khóa trong chiến dịch, hoặc mua sớm 300 x</t>
        </is>
      </c>
      <c r="F56" s="42" t="n">
        <v>4400</v>
      </c>
      <c r="G56" s="39" t="inlineStr">
        <is>
          <t>cấp 2 (Vừa) · công trình</t>
        </is>
      </c>
      <c r="H56" s="42" t="n">
        <v>40</v>
      </c>
      <c r="I56" s="42" t="n">
        <v>0</v>
      </c>
      <c r="J56" s="42" t="n">
        <v>0</v>
      </c>
      <c r="K56" s="42" t="n">
        <v>0</v>
      </c>
      <c r="L56" s="39" t="inlineStr">
        <is>
          <t>Shield Generator (Supreme Commander), Bubble Shield (Halo 3) — ước đoán: nhánh vòm khiên</t>
        </is>
      </c>
      <c r="M56" s="39" t="n"/>
      <c r="N56" s="39" t="inlineStr">
        <is>
          <t>nổ mạnh, nổ lõm, pháo xe tăng</t>
        </is>
      </c>
      <c r="O56" s="39" t="n"/>
      <c r="P56" s="39" t="inlineStr">
        <is>
          <t>Đứng yên tại chỗ, phục vụ phe ta; Vòm khiên 25 m: hấp thụ 4200 sát thương cho phe ta bên trong (trừ năng lượng), hồi lại 28; giây sau đòn cuối; các vòm không cộng dồn; Máy phát khiên · nhánh Lá chắn tháp</t>
        </is>
      </c>
      <c r="Q56" s="39" t="n"/>
      <c r="R56" s="39" t="inlineStr">
        <is>
          <t>Giữ.</t>
        </is>
      </c>
      <c r="S56" s="39" t="inlineStr">
        <is>
          <t>Ổn.</t>
        </is>
      </c>
      <c r="T56" s="49" t="inlineStr">
        <is>
          <t>Thấp</t>
        </is>
      </c>
    </row>
    <row r="57" ht="42.75" customHeight="1" s="32">
      <c r="A57" s="41" t="inlineStr">
        <is>
          <t>shield_tower.ward</t>
        </is>
      </c>
      <c r="B57" s="41" t="inlineStr">
        <is>
          <t>Máy phát khiên · nhánh Lá chắn tháp</t>
        </is>
      </c>
      <c r="C57" s="41" t="n"/>
      <c r="D57" s="41" t="inlineStr">
        <is>
          <t>Tháp phát khiên cao với vòng phát sáng màu phe, vòm bán trong suốt khi hoạt động. Nhánh: Nhiều cột phát nhỏ nối tia sáng tới từng tháp. Kích thước hiện 7.2 × 7.2 × 9.2 m. Nhìn rõ từ camera chéo 45–60°; hình dạng hai nhánh phải khác nhau rõ ở zoom mặc định; vạch màu phe.</t>
        </is>
      </c>
      <c r="E57" s="41" t="inlineStr">
        <is>
          <t>tháp ô lớn của căn cứ; bị phá thì xây lại 7 CP sau 60 s; mở khóa: thắng màn mở khóa trong chiến dịch, hoặc mua sớm 300 x</t>
        </is>
      </c>
      <c r="F57" s="43" t="n">
        <v>4400</v>
      </c>
      <c r="G57" s="41" t="inlineStr">
        <is>
          <t>cấp 2 (Vừa) · công trình</t>
        </is>
      </c>
      <c r="H57" s="43" t="n">
        <v>40</v>
      </c>
      <c r="I57" s="43" t="n">
        <v>0</v>
      </c>
      <c r="J57" s="43" t="n">
        <v>0</v>
      </c>
      <c r="K57" s="43" t="n">
        <v>0</v>
      </c>
      <c r="L57" s="41" t="inlineStr">
        <is>
          <t>Shield Battery (StarCraft II) — ước đoán: nhánh chiếu khiên sang tháp khác</t>
        </is>
      </c>
      <c r="M57" s="41" t="n"/>
      <c r="N57" s="41" t="inlineStr">
        <is>
          <t>nổ mạnh, nổ lõm, pháo xe tăng</t>
        </is>
      </c>
      <c r="O57" s="41" t="n"/>
      <c r="P57" s="41" t="inlineStr">
        <is>
          <t>Đứng yên tại chỗ, phục vụ phe ta; Công sự khác (trung lập, pháo đài, boss) (6); Ụ súng tạm</t>
        </is>
      </c>
      <c r="Q57" s="41" t="n"/>
      <c r="R57" s="41" t="inlineStr">
        <is>
          <t>Giữ.</t>
        </is>
      </c>
      <c r="S57" s="41" t="inlineStr">
        <is>
          <t>Ổn.</t>
        </is>
      </c>
      <c r="T57" s="49" t="inlineStr">
        <is>
          <t>Thấp</t>
        </is>
      </c>
    </row>
    <row r="58" ht="21.75" customHeight="1" s="32">
      <c r="A58" s="39" t="inlineStr">
        <is>
          <t>bulwark_post</t>
        </is>
      </c>
      <c r="B58" s="39" t="inlineStr">
        <is>
          <t>Ụ súng tạm</t>
        </is>
      </c>
      <c r="C58" s="39" t="n"/>
      <c r="D58" s="39" t="inlineStr">
        <is>
          <t>Ụ súng bao cát nhỏ.  Kích thước hiện 3.5 × 3.5 × 2.7 m. Nhìn rõ từ camera chéo 45–60°; hình dạng hai nhánh phải khác nhau rõ ở zoom mặc định; vạch màu phe.</t>
        </is>
      </c>
      <c r="E58" s="39" t="inlineStr">
        <is>
          <t>công sự trung lập hoặc của bản đồ, không mua được</t>
        </is>
      </c>
      <c r="F58" s="42" t="n">
        <v>1100</v>
      </c>
      <c r="G58" s="39" t="inlineStr">
        <is>
          <t>cấp 1 (Mỏng) · công trình</t>
        </is>
      </c>
      <c r="H58" s="42" t="n">
        <v>34</v>
      </c>
      <c r="I58" s="42" t="n">
        <v>102</v>
      </c>
      <c r="J58" s="42" t="n">
        <v>30</v>
      </c>
      <c r="K58" s="42" t="n">
        <v>36</v>
      </c>
      <c r="L58" s="39" t="inlineStr">
        <is>
          <t>NSV 12,7 mm, lô cốt hình nấm — Ụ súng máy tạm sau khi tháp đổ (trang bị Bulwark)</t>
        </is>
      </c>
      <c r="M58" s="39" t="inlineStr">
        <is>
          <t>giáp 0, giáp 1</t>
        </is>
      </c>
      <c r="N58" s="39" t="inlineStr">
        <is>
          <t>lửa, pháo tự động, nổ mạnh, nổ lõm, pháo xe tăng</t>
        </is>
      </c>
      <c r="O58" s="39" t="n"/>
      <c r="P58" s="39" t="inlineStr">
        <is>
          <t>Đứng yên tại chỗ, bắn mọi mục tiêu trong tầm; Trận địa pháo bờ biển</t>
        </is>
      </c>
      <c r="Q58" s="39" t="inlineStr">
        <is>
          <t>NSV 12.7 mm [Động năng, xuyên 1, đạn súng (cỡ lớn)] 10/phát · băng 45 viên, 16 viên/s, thay 0.85 s · tầm 32 m · Tất cả</t>
        </is>
      </c>
      <c r="R58" s="39" t="inlineStr">
        <is>
          <t>Giữ.</t>
        </is>
      </c>
      <c r="S58" s="39" t="inlineStr">
        <is>
          <t>Ổn.</t>
        </is>
      </c>
      <c r="T58" s="49" t="inlineStr">
        <is>
          <t>Thấp</t>
        </is>
      </c>
    </row>
    <row r="59" ht="32.25" customHeight="1" s="32">
      <c r="A59" s="41" t="inlineStr">
        <is>
          <t>coastal_battery</t>
        </is>
      </c>
      <c r="B59" s="41" t="inlineStr">
        <is>
          <t>Trận địa pháo bờ biển</t>
        </is>
      </c>
      <c r="C59" s="41" t="n"/>
      <c r="D59" s="41" t="inlineStr">
        <is>
          <t>Tháp pháo bờ biển trên bệ bê tông ven đá.  Kích thước hiện 10.3 × 8.0 × 6.1 m. Nhìn rõ từ camera chéo 45–60°; hình dạng hai nhánh phải khác nhau rõ ở zoom mặc định; vạch màu phe.</t>
        </is>
      </c>
      <c r="E59" s="41" t="inlineStr">
        <is>
          <t>công sự trung lập hoặc của bản đồ, không mua được</t>
        </is>
      </c>
      <c r="F59" s="43" t="n">
        <v>6600</v>
      </c>
      <c r="G59" s="41" t="inlineStr">
        <is>
          <t>4/3/3/3</t>
        </is>
      </c>
      <c r="H59" s="43" t="n">
        <v>130</v>
      </c>
      <c r="I59" s="43" t="n">
        <v>87</v>
      </c>
      <c r="J59" s="43" t="n">
        <v>62</v>
      </c>
      <c r="K59" s="43" t="n">
        <v>0</v>
      </c>
      <c r="L59" s="41" t="inlineStr">
        <is>
          <t>A-222 Bereg (240 mm), AK-130 130 mm (tháp pháo hạm đặt trên bờ), K-300P Bastion-P, M284 155 mm — Trận địa pháo bờ biển</t>
        </is>
      </c>
      <c r="M59" s="41" t="inlineStr">
        <is>
          <t>giáp 0, giáp 1, giáp 2, giáp 3, công trình</t>
        </is>
      </c>
      <c r="N59" s="41" t="inlineStr">
        <is>
          <t>nổ mạnh, đánh nóc</t>
        </is>
      </c>
      <c r="O59" s="41" t="n"/>
      <c r="P59" s="41" t="inlineStr">
        <is>
          <t>Đứng yên tại chỗ, bắn mọi mục tiêu trong tầm; Gungnir · Pháo đường ray</t>
        </is>
      </c>
      <c r="Q59" s="41" t="inlineStr">
        <is>
          <t>M284 155 mm (coastal battery) [Nổ mạnh, xuyên 3, đạn pháo nổ mạnh nổ lan] 320/phát · loạt 2, hồi 8.79 s · tầm 135 m · Mặt đất</t>
        </is>
      </c>
      <c r="R59" s="41" t="inlineStr">
        <is>
          <t>Thống nhất bán kính nổ 155 mm với các khẩu 155 khác (7 m).</t>
        </is>
      </c>
      <c r="S59" s="41" t="inlineStr">
        <is>
          <t>Ổn.</t>
        </is>
      </c>
      <c r="T59" s="49" t="inlineStr">
        <is>
          <t>Thấp</t>
        </is>
      </c>
    </row>
    <row r="60" ht="32.25" customHeight="1" s="32">
      <c r="A60" s="39" t="inlineStr">
        <is>
          <t>spawn_bastion</t>
        </is>
      </c>
      <c r="B60" s="39" t="inlineStr">
        <is>
          <t>Tháp căn cứ</t>
        </is>
      </c>
      <c r="C60" s="39" t="inlineStr">
        <is>
          <t>đứng yên; pháo nặng hai nòng bắn loạt đôi tới 40 m. cực lì, giáp dày như xe tăng chứ không phải giáp công trình nên đạn xuyên giáp hiệu quả nhất; thắng xe nhẹ và xe tăng.</t>
        </is>
      </c>
      <c r="D60" s="39" t="inlineStr">
        <is>
          <t>Kích thước hiện 10.3 × 8.0 × 6.1 m. Nhìn rõ từ camera chéo 45–60°; hình dạng hai nhánh phải khác nhau rõ ở zoom mặc định; vạch màu phe.</t>
        </is>
      </c>
      <c r="E60" s="39" t="inlineStr">
        <is>
          <t>công sự trung lập hoặc của bản đồ, không mua được</t>
        </is>
      </c>
      <c r="F60" s="42" t="n">
        <v>11000</v>
      </c>
      <c r="G60" s="39" t="inlineStr">
        <is>
          <t>4/3/3/3</t>
        </is>
      </c>
      <c r="H60" s="42" t="n">
        <v>44</v>
      </c>
      <c r="I60" s="42" t="n">
        <v>147</v>
      </c>
      <c r="J60" s="42" t="n">
        <v>123</v>
      </c>
      <c r="K60" s="42" t="n">
        <v>0</v>
      </c>
      <c r="L60" s="39" t="inlineStr">
        <is>
          <t>A-222 Bereg (240 mm), AK-130 130 mm (tháp pháo hạm đặt trên bờ), K-300P Bastion-P — Pháo đài canh điểm xuất quân (model tháp pháo hạng nặng)</t>
        </is>
      </c>
      <c r="M60" s="39" t="inlineStr">
        <is>
          <t>giáp 0, giáp 1, giáp 2, giáp 3, giáp 4, công trình</t>
        </is>
      </c>
      <c r="N60" s="39" t="inlineStr">
        <is>
          <t>nổ mạnh, đánh nóc</t>
        </is>
      </c>
      <c r="O60" s="39" t="inlineStr">
        <is>
          <t>đứng yên; pháo nặng hai nòng bắn loạt đôi tới 40 m.</t>
        </is>
      </c>
      <c r="P60" s="39" t="inlineStr">
        <is>
          <t>Đứng yên tại chỗ, bắn mọi mục tiêu trong tầm; Siêu pháo</t>
        </is>
      </c>
      <c r="Q60" s="39" t="inlineStr">
        <is>
          <t>2A83 152 mm (twin) [Động năng, xuyên 4, đạn pháo động năng (≥120 mm) nổ lan] 320/phát · loạt 2, hồi 5.16 s · tầm 40 m · Mặt đất</t>
        </is>
      </c>
      <c r="R60" s="39" t="inlineStr">
        <is>
          <t>Kiểm tra còn dùng không; nếu không, bỏ khỏi dữ liệu.</t>
        </is>
      </c>
      <c r="S60" s="39" t="inlineStr">
        <is>
          <t>Tháp căn cứ kiểu cũ (còn dùng trong nhiệm vụ?).</t>
        </is>
      </c>
      <c r="T60" s="49" t="inlineStr">
        <is>
          <t>Thấp</t>
        </is>
      </c>
    </row>
    <row r="61" ht="32.25" customHeight="1" s="32">
      <c r="A61" s="41" t="inlineStr">
        <is>
          <t>super_gun</t>
        </is>
      </c>
      <c r="B61" s="41" t="inlineStr">
        <is>
          <t>Siêu pháo</t>
        </is>
      </c>
      <c r="C61" s="41" t="inlineStr">
        <is>
          <t>theo đồng hồ đếm ngược ở đầu màn hình, nó bắn một quả đạn cực lớn vào chỗ quân tấn công đông nhất (vào trại nếu không ai ở một phát xóa sổ cả đoàn xe nhẹ; nó không có súng bắn gần.</t>
        </is>
      </c>
      <c r="D61" s="41" t="inlineStr">
        <is>
          <t>Kích thước hiện 18.5 × 14.4 × 11.0 m. Nhìn rõ từ camera chéo 45–60°; hình dạng hai nhánh phải khác nhau rõ ở zoom mặc định; vạch màu phe.</t>
        </is>
      </c>
      <c r="E61" s="41" t="inlineStr">
        <is>
          <t>công sự trung lập hoặc của bản đồ, không mua được</t>
        </is>
      </c>
      <c r="F61" s="43" t="n">
        <v>11440</v>
      </c>
      <c r="G61" s="41" t="inlineStr">
        <is>
          <t>cấp 3 (Dày) · công trình</t>
        </is>
      </c>
      <c r="H61" s="43" t="n">
        <v>40</v>
      </c>
      <c r="I61" s="43" t="n">
        <v>0</v>
      </c>
      <c r="J61" s="43" t="n">
        <v>0</v>
      </c>
      <c r="K61" s="43" t="n">
        <v>0</v>
      </c>
      <c r="L61" s="41" t="inlineStr">
        <is>
          <t>A-222 Bereg (240 mm), AK-130 130 mm (tháp pháo hạm đặt trên bờ), K-300P Bastion-P — Siêu pháo hai nòng của pháo đài (model tháp pháo hạng nặng phóng to)</t>
        </is>
      </c>
      <c r="M61" s="41" t="n"/>
      <c r="N61" s="41" t="inlineStr">
        <is>
          <t>nổ mạnh, nổ lõm, pháo xe tăng</t>
        </is>
      </c>
      <c r="O61" s="41" t="inlineStr">
        <is>
          <t>theo đồng hồ đếm ngược ở đầu màn hình, nó bắn một quả đạn cực lớn vào chỗ quân tấn công đông nhất (vào trại nếu không ai ở</t>
        </is>
      </c>
      <c r="P61" s="41" t="inlineStr">
        <is>
          <t>Đứng yên tại chỗ, phục vụ phe ta; Trạm chỉ thị mục tiêu</t>
        </is>
      </c>
      <c r="Q61" s="41" t="n"/>
      <c r="R61" s="41" t="inlineStr">
        <is>
          <t>Giữ.</t>
        </is>
      </c>
      <c r="S61" s="41" t="inlineStr">
        <is>
          <t>Ổn.</t>
        </is>
      </c>
      <c r="T61" s="49" t="inlineStr">
        <is>
          <t>Thấp</t>
        </is>
      </c>
    </row>
    <row r="62" ht="95.25" customHeight="1" s="32">
      <c r="A62" s="39" t="inlineStr">
        <is>
          <t>targeting_station</t>
        </is>
      </c>
      <c r="B62" s="39" t="inlineStr">
        <is>
          <t>Trạm chỉ thị mục tiêu</t>
        </is>
      </c>
      <c r="C62" s="39" t="n"/>
      <c r="D62" s="39" t="inlineStr">
        <is>
          <t>Kích thước hiện 6.5 × 8.2 × 11.0 m. Nhìn rõ từ camera chéo 45–60°; hình dạng hai nhánh phải khác nhau rõ ở zoom mặc định; vạch màu phe.</t>
        </is>
      </c>
      <c r="E62" s="39" t="inlineStr">
        <is>
          <t>công sự trung lập hoặc của bản đồ, không mua được</t>
        </is>
      </c>
      <c r="F62" s="42" t="n">
        <v>1540</v>
      </c>
      <c r="G62" s="39" t="inlineStr">
        <is>
          <t>cấp 1 (Mỏng) · công trình</t>
        </is>
      </c>
      <c r="H62" s="42" t="n">
        <v>110</v>
      </c>
      <c r="I62" s="42" t="n">
        <v>0</v>
      </c>
      <c r="J62" s="42" t="n">
        <v>0</v>
      </c>
      <c r="K62" s="42" t="n">
        <v>0</v>
      </c>
      <c r="L62" s="39" t="inlineStr">
        <is>
          <t>radar Würzburg-Riese, trạm đo xa pháo bờ biển — Trạm điều khiển hỏa lực của siêu pháo</t>
        </is>
      </c>
      <c r="M62" s="39" t="n"/>
      <c r="N62" s="39" t="inlineStr">
        <is>
          <t>lửa, pháo tự động, nổ mạnh, nổ lõm, pháo xe tăng</t>
        </is>
      </c>
      <c r="O62" s="39" t="n"/>
      <c r="P62" s="39" t="inlineStr">
        <is>
          <t>Đứng yên tại chỗ, phục vụ phe ta; Xe tinh nhuệ; Phiên bản tân trang: +60% máu, +25% sát thương, 1–2 kỹ năng tinh nhuệ, thanh máu vàng và vòng vàng trên; thường. Địch không còn nhận tinh nhuệ theo xác suất mà theo ngân sách: tinh nhuệ giá 1,6 lần, phần chi t; 20%, Thép 25%), trần 1–5 xe cùng lúc; tướng ưu tiên loại xe của mình. Hạ tinh nhuệ hoàn CP theo giá thật; Tốc; Tên                  Giá       Giáp                             Máu              Vũ khí; độ</t>
        </is>
      </c>
      <c r="Q62" s="39" t="n"/>
      <c r="R62" s="39" t="inlineStr">
        <is>
          <t>Giữ.</t>
        </is>
      </c>
      <c r="S62" s="39" t="inlineStr">
        <is>
          <t>Ổn.</t>
        </is>
      </c>
      <c r="T62" s="49" t="inlineStr">
        <is>
          <t>Thấp</t>
        </is>
      </c>
    </row>
  </sheetData>
  <autoFilter ref="A1:T6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W3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34" customWidth="1" style="31" min="2" max="2"/>
    <col width="50" customWidth="1" style="31" min="3" max="3"/>
    <col width="70" customWidth="1" style="31" min="4" max="4"/>
    <col width="14" customWidth="1" style="31" min="5" max="5"/>
    <col width="10" customWidth="1" style="31" min="6" max="6"/>
    <col width="6" customWidth="1" style="31" min="7" max="7"/>
    <col width="9" customWidth="1" style="31" min="8" max="8"/>
    <col width="10" customWidth="1" style="31" min="9" max="9"/>
    <col width="14" customWidth="1" style="31" min="10" max="10"/>
    <col width="8" customWidth="1" style="31" min="11" max="12"/>
    <col width="7" customWidth="1" style="31" min="13" max="15"/>
    <col width="40" customWidth="1" style="31" min="16" max="16"/>
    <col width="20" customWidth="1" style="31" min="17" max="17"/>
    <col width="26" customWidth="1" style="31" min="18" max="18"/>
    <col width="40" customWidth="1" style="31" min="19" max="19"/>
    <col width="70" customWidth="1" style="31" min="20" max="20"/>
    <col width="55" customWidth="1" style="31" min="21" max="22"/>
    <col width="8" customWidth="1" style="31" min="23" max="23"/>
  </cols>
  <sheetData>
    <row r="1" ht="42" customHeight="1" s="32">
      <c r="A1" s="37" t="inlineStr">
        <is>
          <t>id</t>
        </is>
      </c>
      <c r="B1" s="37" t="inlineStr">
        <is>
          <t>Tên</t>
        </is>
      </c>
      <c r="C1" s="37" t="inlineStr">
        <is>
          <t>Miêu tả</t>
        </is>
      </c>
      <c r="D1" s="37" t="inlineStr">
        <is>
          <t>Hình dạng (cho AI vẽ)</t>
        </is>
      </c>
      <c r="E1" s="37" t="inlineStr">
        <is>
          <t>Cấp</t>
        </is>
      </c>
      <c r="F1" s="37" t="inlineStr">
        <is>
          <t>Chương</t>
        </is>
      </c>
      <c r="G1" s="37" t="inlineStr">
        <is>
          <t>Bay?</t>
        </is>
      </c>
      <c r="H1" s="37" t="inlineStr">
        <is>
          <t>Máu</t>
        </is>
      </c>
      <c r="I1" s="45" t="inlineStr">
        <is>
          <t>Máu đề xuất (gốc)</t>
        </is>
      </c>
      <c r="J1" s="37" t="inlineStr">
        <is>
          <t>Giáp</t>
        </is>
      </c>
      <c r="K1" s="37" t="inlineStr">
        <is>
          <t>Tốc độ (m/s)</t>
        </is>
      </c>
      <c r="L1" s="37" t="inlineStr">
        <is>
          <t>Tầm nhìn (m)</t>
        </is>
      </c>
      <c r="M1" s="37" t="inlineStr">
        <is>
          <t>DPS nhẹ</t>
        </is>
      </c>
      <c r="N1" s="37" t="inlineStr">
        <is>
          <t>DPS nặng</t>
        </is>
      </c>
      <c r="O1" s="37" t="inlineStr">
        <is>
          <t>DPS bay</t>
        </is>
      </c>
      <c r="P1" s="37" t="inlineStr">
        <is>
          <t>Tham khảo (ngoài đời / game)</t>
        </is>
      </c>
      <c r="Q1" s="37" t="inlineStr">
        <is>
          <t>Mạnh với</t>
        </is>
      </c>
      <c r="R1" s="37" t="inlineStr">
        <is>
          <t>Yếu trước</t>
        </is>
      </c>
      <c r="S1" s="37" t="inlineStr">
        <is>
          <t>Cách đánh</t>
        </is>
      </c>
      <c r="T1" s="37" t="inlineStr">
        <is>
          <t>Vũ khí</t>
        </is>
      </c>
      <c r="U1" s="45" t="inlineStr">
        <is>
          <t>Đề xuất</t>
        </is>
      </c>
      <c r="V1" s="46" t="inlineStr">
        <is>
          <t>Lý do thay đổi</t>
        </is>
      </c>
      <c r="W1" s="46" t="inlineStr">
        <is>
          <t>Ưu tiên</t>
        </is>
      </c>
    </row>
    <row r="2" ht="84.75" customHeight="1" s="32">
      <c r="A2" s="39" t="inlineStr">
        <is>
          <t>rail_supergun</t>
        </is>
      </c>
      <c r="B2" s="39" t="inlineStr">
        <is>
          <t>Gungnir · Pháo đường ray</t>
        </is>
      </c>
      <c r="C2" s="39" t="inlineStr">
        <is>
          <t>cứ 25 giây một phát điện từ vào cụm xe mặt đất đông nhất của bạn, ở bất cứ đâu trên bản đồ: xuyên qua tối đa năm xe trên một đường thẳng rồi nổ ở xe cuối; vòng đỏ báo điểm ngắm trước 3 giây. trừng phạt đội quân dồn cục; không di chuyển được, và mất trạm chỉ thị thì phát bắn rơi lệch xa.</t>
        </is>
      </c>
      <c r="D2" s="39" t="inlineStr">
        <is>
          <t>Dựa trên: US Navy EMRG (pháo điện từ, phóng to), đoàn tàu BZhRK Barguzin, đầu máy diesel hiện đại — Pháo điện từ siêu nặng trên đường ray: toa pháo ray điện từ, các toa tụ điện, đầu máy diesel; mỗi 25 giây một phát xuyên nhiều mục tiêu. Kích thước hiện 45.0 × 6.2 × 11.6 m; boss chủ lực ×1,3–1,5 so với mẫu, mini boss nhỏ hơn boss chủ lực cùng dòng; bộ phận phá được (tháp, xích, động cơ) phải tách thành khối riêng dễ nhìn; có bản vỡ cho từng bộ phận; vạch màu tướng sở hữu.</t>
        </is>
      </c>
      <c r="E2" s="39" t="inlineStr">
        <is>
          <t>Mini</t>
        </is>
      </c>
      <c r="F2" s="39" t="inlineStr">
        <is>
          <t>11</t>
        </is>
      </c>
      <c r="G2" s="39" t="n"/>
      <c r="H2" s="42" t="n">
        <v>6942</v>
      </c>
      <c r="I2" s="39" t="inlineStr">
        <is>
          <t>10800–14400</t>
        </is>
      </c>
      <c r="J2" s="39" t="inlineStr">
        <is>
          <t>3/2/1/1</t>
        </is>
      </c>
      <c r="K2" s="42" t="n">
        <v>0</v>
      </c>
      <c r="L2" s="42" t="n">
        <v>90</v>
      </c>
      <c r="M2" s="42" t="n">
        <v>181</v>
      </c>
      <c r="N2" s="42" t="n">
        <v>90</v>
      </c>
      <c r="O2" s="42" t="n">
        <v>67</v>
      </c>
      <c r="P2" s="39" t="inlineStr">
        <is>
          <t>US Navy EMRG (pháo điện từ, phóng to), đoàn tàu BZhRK Barguzin, đầu máy diesel hiện đại — Pháo điện từ siêu nặng trên đường ray: toa pháo ray điện từ, các toa tụ điện, đầu máy diesel; mỗi 25 giây một phát xuyên nhiều mục tiêu</t>
        </is>
      </c>
      <c r="Q2" s="39" t="inlineStr">
        <is>
          <t>giáp 0, giáp 1, giáp 2</t>
        </is>
      </c>
      <c r="R2" s="39" t="inlineStr">
        <is>
          <t>nổ mạnh, đánh nóc, nổ lõm, pháo xe tăng</t>
        </is>
      </c>
      <c r="S2" s="39" t="inlineStr">
        <is>
          <t>cứ 25 giây một phát điện từ vào cụm xe mặt đất đông nhất của bạn, ở bất cứ đâu trên bản đồ: xuyên qua tối đa năm xe trên một đường thẳng rồi nổ ở xe cuối; vòng đỏ báo điểm ngắm trước 3 giây. trừng phạt đội quân dồn cục; không di chuyển được, và mất trạm chỉ thị thì phát bắn rơi lệch xa.</t>
        </is>
      </c>
      <c r="T2" s="39" t="inlineStr">
        <is>
          <t>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AK-630 30 mm [Động năng, xuyên 2, đạn pháo động năng (pháo tự động)] 22/phát · băng 15 viên, 60 viên/s, thay 14.71 s · tầm 34 m · Trên không
AK-630 30 mm [Động năng, xuyên 2, đạn pháo động năng (pháo tự động)] 22/phát · băng 15 viên, 60 viên/s, thay 14.71 s · tầm 34 m · Trên không</t>
        </is>
      </c>
      <c r="U2" s="39" t="inlineStr">
        <is>
          <t>• Dữ liệu vũ khí: thêm khẩu pháo chính thành một vũ khí</t>
        </is>
      </c>
      <c r="V2" s="39" t="inlineStr">
        <is>
          <t>• Dữ liệu vũ khí: Người chơi và tài liệu không thấy vũ khí chính.</t>
        </is>
      </c>
      <c r="W2" s="48" t="inlineStr">
        <is>
          <t>Trung</t>
        </is>
      </c>
    </row>
    <row r="3" ht="84.75" customHeight="1" s="32">
      <c r="A3" s="41" t="inlineStr">
        <is>
          <t>behemoth_mk0</t>
        </is>
      </c>
      <c r="B3" s="41" t="inlineStr">
        <is>
          <t>Behemoth Mk.0 · Behemoth nguyên mẫu</t>
        </is>
      </c>
      <c r="C3" s="41" t="inlineStr">
        <is>
          <t>bản lắp đầu tiên của Behemoth, chậm hơn bản hoàn chỉnh: pháo chính, hai pháo sườn và một giàn rốc-két trên cùng thân xe. mặt trước giáp cấp 3; không có pháo cao xạ và hệ thống bảo vệ chủ động, nên máy bay và tên lửa không gặp cản trở nào.</t>
        </is>
      </c>
      <c r="D3" s="41" t="inlineStr">
        <is>
          <t>Dựa trên: Object 279 (1959), giáp composite, APS và cảm biến hiện đại · Baneblade (Warhammer 40,000) — ước đoán: Behemoth đời đầu, nhỏ hơn. Kích thước hiện 17.0 × 10.1 × 7.3 m; boss chủ lực ×1,3–1,5 so với mẫu, mini boss nhỏ hơn boss chủ lực cùng dòng; bộ phận phá được (tháp, xích, động cơ) phải tách thành khối riêng dễ nhìn; có bản vỡ cho từng bộ phận; vạch màu tướng sở hữu.</t>
        </is>
      </c>
      <c r="E3" s="41" t="inlineStr">
        <is>
          <t>Mini</t>
        </is>
      </c>
      <c r="F3" s="41" t="inlineStr">
        <is>
          <t>Xen kẽ I</t>
        </is>
      </c>
      <c r="G3" s="41" t="n"/>
      <c r="H3" s="43" t="n">
        <v>5610</v>
      </c>
      <c r="I3" s="41" t="n"/>
      <c r="J3" s="41" t="inlineStr">
        <is>
          <t>3/3/2/1</t>
        </is>
      </c>
      <c r="K3" s="43" t="n">
        <v>2.2</v>
      </c>
      <c r="L3" s="43" t="n">
        <v>50</v>
      </c>
      <c r="M3" s="43" t="n">
        <v>286</v>
      </c>
      <c r="N3" s="43" t="n">
        <v>199</v>
      </c>
      <c r="O3" s="43" t="n">
        <v>0</v>
      </c>
      <c r="P3" s="41" t="inlineStr">
        <is>
          <t>Object 279 (1959), giáp composite, APS và cảm biến hiện đại · Baneblade (Warhammer 40,000) — ước đoán: Behemoth đời đầu, nhỏ hơn</t>
        </is>
      </c>
      <c r="Q3" s="41" t="inlineStr">
        <is>
          <t>giáp 0, giáp 1, giáp 2, giáp 3, giáp 4, công trình</t>
        </is>
      </c>
      <c r="R3" s="41" t="inlineStr">
        <is>
          <t>nổ mạnh, đánh nóc, nổ lõm, pháo xe tăng</t>
        </is>
      </c>
      <c r="S3" s="41" t="inlineStr">
        <is>
          <t>bản lắp đầu tiên của Behemoth, chậm hơn bản hoàn chỉnh: pháo chính, hai pháo sườn và một giàn rốc-két trên cùng thân xe.</t>
        </is>
      </c>
      <c r="T3" s="41" t="inlineStr">
        <is>
          <t>2A65 152 mm (twin) [Nổ mạnh, xuyên 3, đạn pháo nổ mạnh nổ lan] 320/phát · loạt 2, hồi 8.93 s · tầm 40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BM-21 Grad 122 mm [Nổ mạnh, xuyên 2, rốc-két nổ lan] 57/phát · loạt 13, hồi 2.44 s · tầm 45 m · Mặt đất</t>
        </is>
      </c>
      <c r="U3" s="41" t="inlineStr">
        <is>
          <t>Giữ.</t>
        </is>
      </c>
      <c r="V3" s="41" t="inlineStr">
        <is>
          <t>Ổn.</t>
        </is>
      </c>
      <c r="W3" s="49" t="inlineStr">
        <is>
          <t>Thấp</t>
        </is>
      </c>
    </row>
    <row r="4" ht="105.75" customHeight="1" s="32">
      <c r="A4" s="39" t="inlineStr">
        <is>
          <t>armored_train</t>
        </is>
      </c>
      <c r="B4" s="39" t="inlineStr">
        <is>
          <t>Juggernaut · Đoàn tàu bọc thép</t>
        </is>
      </c>
      <c r="C4" s="39" t="inlineStr">
        <is>
          <t>hai pháo nặng (42 m), hộp rốc-két, pháo cao xạ và súng máy; bị bắn thì núp trong khói, còn nửa máu thì tự vá 20% một lần. pháo của nó diệt xe tăng và xe nhẹ gần đường ray; nó không thể rời đường ray.</t>
        </is>
      </c>
      <c r="D4" s="39" t="inlineStr">
        <is>
          <t>Dựa trên: tàu bọc thép Liên Xô BP-35, B-38 152 mm, 2B11 120 mm — ước đoán: đầu máy diesel bọc thép kéo toa pháo. Kích thước hiện 24.5 × 3.3 × 4.8 m; boss chủ lực ×1,3–1,5 so với mẫu, mini boss nhỏ hơn boss chủ lực cùng dòng; bộ phận phá được (tháp, xích, động cơ) phải tách thành khối riêng dễ nhìn; có bản vỡ cho từng bộ phận; vạch màu tướng sở hữu.</t>
        </is>
      </c>
      <c r="E4" s="39" t="inlineStr">
        <is>
          <t>Mini</t>
        </is>
      </c>
      <c r="F4" s="39" t="inlineStr">
        <is>
          <t>4</t>
        </is>
      </c>
      <c r="G4" s="39" t="n"/>
      <c r="H4" s="42" t="n">
        <v>5820</v>
      </c>
      <c r="I4" s="39" t="inlineStr">
        <is>
          <t>7650–10200</t>
        </is>
      </c>
      <c r="J4" s="39" t="inlineStr">
        <is>
          <t>5/3/3/2</t>
        </is>
      </c>
      <c r="K4" s="42" t="n">
        <v>0.32</v>
      </c>
      <c r="L4" s="42" t="n">
        <v>50</v>
      </c>
      <c r="M4" s="42" t="n">
        <v>346</v>
      </c>
      <c r="N4" s="42" t="n">
        <v>220</v>
      </c>
      <c r="O4" s="42" t="n">
        <v>252</v>
      </c>
      <c r="P4" s="39" t="inlineStr">
        <is>
          <t>tàu bọc thép Liên Xô BP-35, B-38 152 mm, 2B11 120 mm — ước đoán: đầu máy diesel bọc thép kéo toa pháo</t>
        </is>
      </c>
      <c r="Q4" s="39" t="inlineStr">
        <is>
          <t>giáp 0, giáp 1, giáp 2, giáp 3, giáp 4, trên không, công trình</t>
        </is>
      </c>
      <c r="R4" s="39" t="inlineStr">
        <is>
          <t>nổ mạnh, đánh nóc</t>
        </is>
      </c>
      <c r="S4" s="39" t="inlineStr">
        <is>
          <t>hai pháo nặng (42 m), hộp rốc-két, pháo cao xạ và súng máy; bị bắn thì núp trong khói, còn nửa máu thì tự vá 20% một lần.</t>
        </is>
      </c>
      <c r="T4" s="39" t="inlineStr">
        <is>
          <t>B-38 152 mm [Động năng, xuyên 4, đạn pháo động năng (≥120 mm) nổ lan] 320/phát · hồi 5.11 s · tầm 42 m · Mặt đất
BM-21 Grad 122 mm [Nổ mạnh, xuyên 2, rốc-két nổ lan] 57/phát · loạt 13, hồi 2.44 s · tầm 45 m · Mặt đất
NSV 12.7 mm [Động năng, xuyên 1, đạn súng (cỡ lớn)] 10/phát · băng 10 viên, 12 viên/s, thay 5.78 s · tầm 30 m · Tất cả
Oerlikon 35 mm (twin) [Mảnh, xuyên 2, đạn nổ trên không nổ lan] 25/phát · băng 41 viên, 20 viên/s, thay 3.38 s · tầm 40 m · Tất cả
B-38 152 mm [Động năng, xuyên 4, đạn pháo động năng (≥120 mm) nổ lan] 320/phát · hồi 5.11 s · tầm 42 m · Mặt đất</t>
        </is>
      </c>
      <c r="U4" s="39" t="inlineStr">
        <is>
          <t>• Giáp: trước 4</t>
        </is>
      </c>
      <c r="V4" s="39" t="inlineStr">
        <is>
          <t>• Giáp: Mini boss giáp ngang boss chủ lực.</t>
        </is>
      </c>
      <c r="W4" s="49" t="inlineStr">
        <is>
          <t>Thấp</t>
        </is>
      </c>
    </row>
    <row r="5" ht="63.75" customHeight="1" s="32">
      <c r="A5" s="41" t="inlineStr">
        <is>
          <t>behemoth_tempest</t>
        </is>
      </c>
      <c r="B5" s="41" t="inlineStr">
        <is>
          <t>Tempest · Behemoth pháo điện từ</t>
        </is>
      </c>
      <c r="C5" s="41" t="inlineStr">
        <is>
          <t>pháo điện từ nạp năng lượng một giây (cuộn dây sáng lên) rồi xuyên thủng cả hàng tới 80 m; hai pháo điện từ bắn đất lẫn trời (55 trừng phạt xe đi thành hàng dọc; ở gần, EMP (22 m) làm choáng xe mặt đất, và nó bật khiên khi bị thương.</t>
        </is>
      </c>
      <c r="D5" s="41" t="inlineStr">
        <is>
          <t>Dựa trên: US Navy EMRG (pháo điện từ), Object 279 (1959) · Baneblade (Warhammer 40,000) — ước đoán: Behemoth hai tháp pháo điện từ. Kích thước hiện 17.0 × 7.0 × 6.8 m; boss chủ lực ×1,3–1,5 so với mẫu, mini boss nhỏ hơn boss chủ lực cùng dòng; bộ phận phá được (tháp, xích, động cơ) phải tách thành khối riêng dễ nhìn; có bản vỡ cho từng bộ phận; vạch màu tướng sở hữu.</t>
        </is>
      </c>
      <c r="E5" s="41" t="inlineStr">
        <is>
          <t>Mini</t>
        </is>
      </c>
      <c r="F5" s="41" t="inlineStr">
        <is>
          <t>4</t>
        </is>
      </c>
      <c r="G5" s="41" t="n"/>
      <c r="H5" s="43" t="n">
        <v>5820</v>
      </c>
      <c r="I5" s="41" t="inlineStr">
        <is>
          <t>7650–10200</t>
        </is>
      </c>
      <c r="J5" s="41" t="inlineStr">
        <is>
          <t>5/3/2/2</t>
        </is>
      </c>
      <c r="K5" s="43" t="n">
        <v>2.6</v>
      </c>
      <c r="L5" s="43" t="n">
        <v>70</v>
      </c>
      <c r="M5" s="43" t="n">
        <v>372</v>
      </c>
      <c r="N5" s="43" t="n">
        <v>310</v>
      </c>
      <c r="O5" s="43" t="n">
        <v>66</v>
      </c>
      <c r="P5" s="41" t="inlineStr">
        <is>
          <t>US Navy EMRG (pháo điện từ), Object 279 (1959) · Baneblade (Warhammer 40,000) — ước đoán: Behemoth hai tháp pháo điện từ</t>
        </is>
      </c>
      <c r="Q5" s="41" t="inlineStr">
        <is>
          <t>giáp 0, giáp 1, giáp 2, giáp 3, giáp 4, công trình</t>
        </is>
      </c>
      <c r="R5" s="41" t="inlineStr">
        <is>
          <t>nổ mạnh, đánh nóc</t>
        </is>
      </c>
      <c r="S5" s="41" t="inlineStr">
        <is>
          <t>pháo điện từ nạp năng lượng một giây (cuộn dây sáng lên) rồi xuyên thủng cả hàng tới 80 m; hai pháo điện từ bắn đất lẫn trời (55</t>
        </is>
      </c>
      <c r="T5" s="41" t="inlineStr">
        <is>
          <t>railgun (64 MJ) 64 mm [Động năng, xuyên 4, đạn pháo động năng (điện từ)] 720/phát · hồi 8 s · tầm 80 m · Mặt đất
coilgun (10 MJ) 10 mm [Động năng, xuyên 4, đạn pháo động năng (điện từ)] 250/phát · loạt 2, hồi 4.29 s · tầm 55 m · Tất cả
coilgun (10 MJ) 10 mm [Động năng, xuyên 4, đạn pháo động năng (điện từ)] 250/phát · loạt 2, hồi 4.29 s · tầm 55 m · Tất cả</t>
        </is>
      </c>
      <c r="U5" s="41" t="inlineStr">
        <is>
          <t>Giữ.</t>
        </is>
      </c>
      <c r="V5" s="41" t="inlineStr">
        <is>
          <t>Ổn.</t>
        </is>
      </c>
      <c r="W5" s="49" t="inlineStr">
        <is>
          <t>Thấp</t>
        </is>
      </c>
    </row>
    <row r="6" ht="42.75" customHeight="1" s="32">
      <c r="A6" s="39" t="inlineStr">
        <is>
          <t>locust</t>
        </is>
      </c>
      <c r="B6" s="39" t="inlineStr">
        <is>
          <t>Locust · Tàu con drone</t>
        </is>
      </c>
      <c r="C6" s="39" t="inlineStr">
        <is>
          <t>khoang drone thả drone liên tục; cao xạ trên lưng. thân rất mỏng (giáp cấp 1): phòng không hạ nó nhanh.</t>
        </is>
      </c>
      <c r="D6" s="39" t="inlineStr">
        <is>
          <t>Dựa trên: Airlander 10, drone FPV · Kirov Airship (Red Alert 2) — ước đoán: biến thể nhỏ của khí cầu mẹ. Kích thước hiện 25.4 × 12.6 × 10.6 m; boss chủ lực ×1,3–1,5 so với mẫu, mini boss nhỏ hơn boss chủ lực cùng dòng; bộ phận phá được (tháp, xích, động cơ) phải tách thành khối riêng dễ nhìn; có bản vỡ cho từng bộ phận; vạch màu tướng sở hữu.</t>
        </is>
      </c>
      <c r="E6" s="39" t="inlineStr">
        <is>
          <t>Mini</t>
        </is>
      </c>
      <c r="F6" s="39" t="inlineStr">
        <is>
          <t>5, 11</t>
        </is>
      </c>
      <c r="G6" s="39" t="inlineStr">
        <is>
          <t>Có</t>
        </is>
      </c>
      <c r="H6" s="42" t="n">
        <v>6311</v>
      </c>
      <c r="I6" s="39" t="inlineStr">
        <is>
          <t>8100–10800</t>
        </is>
      </c>
      <c r="J6" s="39" t="inlineStr">
        <is>
          <t>cấp 1 (Mỏng)</t>
        </is>
      </c>
      <c r="K6" s="42" t="n">
        <v>5.2</v>
      </c>
      <c r="L6" s="42" t="n">
        <v>70</v>
      </c>
      <c r="M6" s="42" t="n">
        <v>201</v>
      </c>
      <c r="N6" s="42" t="n">
        <v>153</v>
      </c>
      <c r="O6" s="42" t="n">
        <v>248</v>
      </c>
      <c r="P6" s="39" t="inlineStr">
        <is>
          <t>Airlander 10, drone FPV · Kirov Airship (Red Alert 2) — ước đoán: biến thể nhỏ của khí cầu mẹ</t>
        </is>
      </c>
      <c r="Q6" s="39" t="inlineStr">
        <is>
          <t>giáp 0, giáp 1, giáp 2, giáp 3, giáp 4, trên không, công trình</t>
        </is>
      </c>
      <c r="R6" s="39" t="inlineStr">
        <is>
          <t>mảnh, năng lượng</t>
        </is>
      </c>
      <c r="S6" s="39" t="inlineStr">
        <is>
          <t>khoang drone thả drone liên tục; cao xạ trên lưng.</t>
        </is>
      </c>
      <c r="T6" s="39" t="inlineStr">
        <is>
          <t>ZALA Lancet-3 (3 kg) [Nổ lõm, xuyên 4, drone (Lancet) đánh nóc] dẫn đường/phát · nổ lan · tầm 240 · loạt 4, hồi 8.17 s
Oerlikon 35 mm (twin) [Mảnh, xuyên 2, đạn nổ trên không nổ lan] 25/phát · băng 41 viên, 20 viên/s, thay 3.38 s · tầm 40 m · Tất cả</t>
        </is>
      </c>
      <c r="U6" s="39" t="inlineStr">
        <is>
          <t>Giữ.</t>
        </is>
      </c>
      <c r="V6" s="39" t="inlineStr">
        <is>
          <t>Ổn.</t>
        </is>
      </c>
      <c r="W6" s="49" t="inlineStr">
        <is>
          <t>Thấp</t>
        </is>
      </c>
    </row>
    <row r="7" ht="84.75" customHeight="1" s="32">
      <c r="A7" s="41" t="inlineStr">
        <is>
          <t>morrigan</t>
        </is>
      </c>
      <c r="B7" s="41" t="inlineStr">
        <is>
          <t>Morrigan · Tiêm kích của Raven</t>
        </is>
      </c>
      <c r="C7" s="41" t="inlineStr">
        <is>
          <t>nhanh hơn mọi tiêm kích của ta và tàng hình: chỉ bị phát hiện ở cự ly gần, hoặc trong chốc lát sau khi khai hỏa. Tên lửa không đối rất nhanh và khó thấy; giáp mỏng, các khoang và động cơ phá được.</t>
        </is>
      </c>
      <c r="D7" s="41" t="inlineStr">
        <is>
          <t>Dựa trên: . Kích thước hiện 12.9 × 8.4 × 2.2 m; boss chủ lực ×1,3–1,5 so với mẫu, mini boss nhỏ hơn boss chủ lực cùng dòng; bộ phận phá được (tháp, xích, động cơ) phải tách thành khối riêng dễ nhìn; có bản vỡ cho từng bộ phận; vạch màu tướng sở hữu.</t>
        </is>
      </c>
      <c r="E7" s="41" t="inlineStr">
        <is>
          <t>Mini</t>
        </is>
      </c>
      <c r="F7" s="41" t="inlineStr">
        <is>
          <t>Xen kẽ III, 10</t>
        </is>
      </c>
      <c r="G7" s="41" t="inlineStr">
        <is>
          <t>Có</t>
        </is>
      </c>
      <c r="H7" s="43" t="n">
        <v>6919</v>
      </c>
      <c r="I7" s="41" t="n"/>
      <c r="J7" s="41" t="inlineStr">
        <is>
          <t>cấp 1 (Mỏng)</t>
        </is>
      </c>
      <c r="K7" s="43" t="n">
        <v>44</v>
      </c>
      <c r="L7" s="43" t="n">
        <v>80</v>
      </c>
      <c r="M7" s="43" t="n">
        <v>98</v>
      </c>
      <c r="N7" s="43" t="n">
        <v>65</v>
      </c>
      <c r="O7" s="43" t="n">
        <v>365</v>
      </c>
      <c r="P7" s="41" t="n"/>
      <c r="Q7" s="41" t="inlineStr">
        <is>
          <t>giáp 0, giáp 1, giáp 2, giáp 3, trên không, công trình</t>
        </is>
      </c>
      <c r="R7" s="41" t="inlineStr">
        <is>
          <t>mảnh, năng lượng</t>
        </is>
      </c>
      <c r="S7" s="41" t="inlineStr">
        <is>
          <t>nhanh hơn mọi tiêm kích của ta và tàng hình: chỉ bị phát hiện ở cự ly gần, hoặc trong chốc lát sau khi khai hỏa. Tên lửa không đối</t>
        </is>
      </c>
      <c r="T7" s="41" t="inlineStr">
        <is>
          <t>AIM-120 AMRAAM [Mảnh, xuyên 3, tên lửa phòng không dẫn đường] nổ lan/phát · 294 · tầm hồi 3.99 s · 60 m
AIM-120 AMRAAM [Mảnh, xuyên 3, tên lửa phòng không dẫn đường] nổ lan/phát · 294 · tầm hồi 3.99 s · 60 m
GBU-39 SDB (110 kg) [Nổ mạnh, xuyên 3, bom dẫn đường đánh nóc] nổ lan/phát · 210 · tầm hồi 6.651 s · 30 m
GAU-22/A 25 mm [Mảnh, xuyên 2, đạn pháo động năng (pháo tự động)] 18/phát · băng 44 viên, 9 viên/s, thay 1 s · tầm 30 m · Tất cả</t>
        </is>
      </c>
      <c r="U7" s="41" t="inlineStr">
        <is>
          <t>• Tham khảo: tiêm kích tàng hình tùy biến (Su-57 / F-22), phong cách Ace Combat</t>
        </is>
      </c>
      <c r="V7" s="41" t="inlineStr">
        <is>
          <t>• Tham khảo: Thiếu dữ liệu.</t>
        </is>
      </c>
      <c r="W7" s="49" t="inlineStr">
        <is>
          <t>Thấp</t>
        </is>
      </c>
    </row>
    <row r="8" ht="63.75" customHeight="1" s="32">
      <c r="A8" s="39" t="inlineStr">
        <is>
          <t>behemoth_mk2</t>
        </is>
      </c>
      <c r="B8" s="39" t="inlineStr">
        <is>
          <t>Behemoth Mk.II · Behemoth nâng cấp</t>
        </is>
      </c>
      <c r="C8" s="39" t="inlineStr">
        <is>
          <t>bản nâng cấp của Varga sau khi Behemoth gục: pháo chính, hai cao xạ và hệ thống bảo vệ chủ động bắn hạ tên lửa. mặt trước giáp cấp 4 dưới lớp băng; hông và sau mỏng hơn nhiều.</t>
        </is>
      </c>
      <c r="D8" s="39" t="inlineStr">
        <is>
          <t>Dựa trên: Object 279 (1959), giáp composite, APS và cảm biến hiện đại · Baneblade (Warhammer 40,000) — ước đoán: Behemoth đời hai. Kích thước hiện 18.0 × 10.7 × 7.7 m; boss chủ lực ×1,3–1,5 so với mẫu, mini boss nhỏ hơn boss chủ lực cùng dòng; bộ phận phá được (tháp, xích, động cơ) phải tách thành khối riêng dễ nhìn; có bản vỡ cho từng bộ phận; vạch màu tướng sở hữu.</t>
        </is>
      </c>
      <c r="E8" s="39" t="inlineStr">
        <is>
          <t>Mini</t>
        </is>
      </c>
      <c r="F8" s="39" t="inlineStr">
        <is>
          <t>6</t>
        </is>
      </c>
      <c r="G8" s="39" t="n"/>
      <c r="H8" s="42" t="n">
        <v>6942</v>
      </c>
      <c r="I8" s="39" t="inlineStr">
        <is>
          <t>8550–11400</t>
        </is>
      </c>
      <c r="J8" s="39" t="inlineStr">
        <is>
          <t>5/3/2/2</t>
        </is>
      </c>
      <c r="K8" s="42" t="n">
        <v>2.4</v>
      </c>
      <c r="L8" s="42" t="n">
        <v>50</v>
      </c>
      <c r="M8" s="42" t="n">
        <v>276</v>
      </c>
      <c r="N8" s="42" t="n">
        <v>156</v>
      </c>
      <c r="O8" s="42" t="n">
        <v>495</v>
      </c>
      <c r="P8" s="39" t="inlineStr">
        <is>
          <t>Object 279 (1959), giáp composite, APS và cảm biến hiện đại · Baneblade (Warhammer 40,000) — ước đoán: Behemoth đời hai</t>
        </is>
      </c>
      <c r="Q8" s="39" t="inlineStr">
        <is>
          <t>giáp 0, giáp 1, giáp 2, giáp 3, trên không, công trình</t>
        </is>
      </c>
      <c r="R8" s="39" t="inlineStr">
        <is>
          <t>nổ mạnh, đánh nóc</t>
        </is>
      </c>
      <c r="S8" s="39" t="inlineStr">
        <is>
          <t>bản nâng cấp của Varga sau khi Behemoth gục: pháo chính, hai cao xạ và hệ thống bảo vệ chủ động bắn hạ tên lửa.</t>
        </is>
      </c>
      <c r="T8" s="39" t="inlineStr">
        <is>
          <t>2A65 152 mm (twin) [Nổ mạnh, xuyên 3, đạn pháo nổ mạnh nổ lan] 320/phát · loạt 2, hồi 8.93 s · tầm 40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t>
        </is>
      </c>
      <c r="U8" s="39" t="inlineStr">
        <is>
          <t>Giữ.</t>
        </is>
      </c>
      <c r="V8" s="39" t="inlineStr">
        <is>
          <t>Ổn.</t>
        </is>
      </c>
      <c r="W8" s="49" t="inlineStr">
        <is>
          <t>Thấp</t>
        </is>
      </c>
    </row>
    <row r="9" ht="105.75" customHeight="1" s="32">
      <c r="A9" s="41" t="inlineStr">
        <is>
          <t>landing_hovercraft</t>
        </is>
      </c>
      <c r="B9" s="41" t="inlineStr">
        <is>
          <t>Charybdis · Tàu đệm khí đổ bộ</t>
        </is>
      </c>
      <c r="C9" s="41" t="inlineStr">
        <is>
          <t>chạy theo lộ trình dọc bờ biển; cứ 35 giây dừng lại, hạ cửa đổ bộ và thả 3–4 xe lên bờ, tối đa năm lần. Bốn pháo CIWS sáu nòng che mỗi lần đổ bộ là địch thêm quân; nó to và xoay chậm, đánh trúng nó trên đường tới là cắt bớt số lần đổ bộ.</t>
        </is>
      </c>
      <c r="D9" s="41" t="inlineStr">
        <is>
          <t>Dựa trên: LCAC, Zubr (Project 1232.2), A-22 Ogon 140 mm, AK-630 — Tàu đổ bộ đệm khí. Kích thước hiện 24.9 × 13.5 × 7.7 m; boss chủ lực ×1,3–1,5 so với mẫu, mini boss nhỏ hơn boss chủ lực cùng dòng; bộ phận phá được (tháp, xích, động cơ) phải tách thành khối riêng dễ nhìn; có bản vỡ cho từng bộ phận; vạch màu tướng sở hữu.</t>
        </is>
      </c>
      <c r="E9" s="41" t="inlineStr">
        <is>
          <t>Mini</t>
        </is>
      </c>
      <c r="F9" s="41" t="inlineStr">
        <is>
          <t>6</t>
        </is>
      </c>
      <c r="G9" s="41" t="n"/>
      <c r="H9" s="43" t="n">
        <v>7293</v>
      </c>
      <c r="I9" s="41" t="inlineStr">
        <is>
          <t>8550–11400</t>
        </is>
      </c>
      <c r="J9" s="41" t="inlineStr">
        <is>
          <t>3/2/1/1</t>
        </is>
      </c>
      <c r="K9" s="43" t="n">
        <v>5.5</v>
      </c>
      <c r="L9" s="43" t="n">
        <v>60</v>
      </c>
      <c r="M9" s="43" t="n">
        <v>106</v>
      </c>
      <c r="N9" s="43" t="n">
        <v>84</v>
      </c>
      <c r="O9" s="43" t="n">
        <v>20</v>
      </c>
      <c r="P9" s="41" t="inlineStr">
        <is>
          <t>LCAC, Zubr (Project 1232.2), A-22 Ogon 140 mm, AK-630 — Tàu đổ bộ đệm khí</t>
        </is>
      </c>
      <c r="Q9" s="41" t="inlineStr">
        <is>
          <t>giáp 0, giáp 1, giáp 2, công trình</t>
        </is>
      </c>
      <c r="R9" s="41" t="inlineStr">
        <is>
          <t>nổ mạnh, đánh nóc, nổ lõm, pháo xe tăng</t>
        </is>
      </c>
      <c r="S9" s="41" t="inlineStr">
        <is>
          <t>chạy theo lộ trình dọc bờ biển; cứ 35 giây dừng lại, hạ cửa đổ bộ và thả 3–4 xe lên bờ, tối đa năm lần. Bốn pháo CIWS sáu nòng che</t>
        </is>
      </c>
      <c r="T9" s="41" t="inlineStr">
        <is>
          <t>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Trên không
A-22 Ogon 140 mm [Nổ mạnh, xuyên 2, rốc-két đánh nóc] nổ lan/phát · 65 · tầm loạt 11, hồi 22 s · 55 m (tối thiểu 12)
A-22 Ogon 140 mm [Nổ mạnh, xuyên 2, rốc-két đánh nóc] nổ lan/phát · 65 · tầm loạt 11, hồi 22 s · 55 m (tối thiểu 12)</t>
        </is>
      </c>
      <c r="U9" s="41" t="inlineStr">
        <is>
          <t>AK-630 như hover_gunboat.</t>
        </is>
      </c>
      <c r="V9" s="41" t="inlineStr">
        <is>
          <t>Ổn.</t>
        </is>
      </c>
      <c r="W9" s="49" t="inlineStr">
        <is>
          <t>Thấp</t>
        </is>
      </c>
    </row>
    <row r="10" ht="42.75" customHeight="1" s="32">
      <c r="A10" s="39" t="inlineStr">
        <is>
          <t>argus</t>
        </is>
      </c>
      <c r="B10" s="39" t="inlineStr">
        <is>
          <t>Argus · Khí cầu trinh sát</t>
        </is>
      </c>
      <c r="C10" s="39" t="inlineStr">
        <is>
          <t>khi nó còn, pháo binh địch tản mát chỉ khoảng một nửa; đòn lớn gọi một loạt pháo vào vùng có cảnh báo. Cao xạ và radar. chậm và to; chỉ phòng không và tiêm kích bắn tới.</t>
        </is>
      </c>
      <c r="D10" s="39" t="inlineStr">
        <is>
          <t>Dựa trên: JLENS (khí cầu radar neo) · Kirov Airship (Red Alert 2) — ước đoán: biến thể của khí cầu chỉ huy, khí cầu radar neo. Kích thước hiện 35.0 × 24.2 × 12.4 m; boss chủ lực ×1,3–1,5 so với mẫu, mini boss nhỏ hơn boss chủ lực cùng dòng; bộ phận phá được (tháp, xích, động cơ) phải tách thành khối riêng dễ nhìn; có bản vỡ cho từng bộ phận; vạch màu tướng sở hữu.</t>
        </is>
      </c>
      <c r="E10" s="39" t="inlineStr">
        <is>
          <t>Mini</t>
        </is>
      </c>
      <c r="F10" s="39" t="inlineStr">
        <is>
          <t>10</t>
        </is>
      </c>
      <c r="G10" s="39" t="inlineStr">
        <is>
          <t>Có</t>
        </is>
      </c>
      <c r="H10" s="42" t="n">
        <v>7410</v>
      </c>
      <c r="I10" s="39" t="inlineStr">
        <is>
          <t>10350–13800</t>
        </is>
      </c>
      <c r="J10" s="39" t="inlineStr">
        <is>
          <t>cấp 2 (Vừa)</t>
        </is>
      </c>
      <c r="K10" s="42" t="n">
        <v>4.5</v>
      </c>
      <c r="L10" s="42" t="n">
        <v>80</v>
      </c>
      <c r="M10" s="42" t="n">
        <v>128</v>
      </c>
      <c r="N10" s="42" t="n">
        <v>64</v>
      </c>
      <c r="O10" s="42" t="n">
        <v>332</v>
      </c>
      <c r="P10" s="39" t="inlineStr">
        <is>
          <t>JLENS (khí cầu radar neo) · Kirov Airship (Red Alert 2) — ước đoán: biến thể của khí cầu chỉ huy, khí cầu radar neo</t>
        </is>
      </c>
      <c r="Q10" s="39" t="inlineStr">
        <is>
          <t>giáp 0, trên không</t>
        </is>
      </c>
      <c r="R10" s="39" t="inlineStr">
        <is>
          <t>mảnh, năng lượng</t>
        </is>
      </c>
      <c r="S10" s="39" t="inlineStr">
        <is>
          <t>khi nó còn, pháo binh địch tản mát chỉ khoảng một nửa; đòn lớn gọi một loạt pháo vào vùng có cảnh báo. Cao xạ và radar.</t>
        </is>
      </c>
      <c r="T10" s="39" t="inlineStr">
        <is>
          <t>S-60 57 mm [Mảnh, xuyên 2, đạn nổ trên không nổ lan] 70/phát · băng 8 viên, 2 viên/s, thay 0.88 s · tầm 48 m · Tất cả
S-60 57 mm [Mảnh, xuyên 2, đạn nổ trên không nổ lan] 70/phát · băng 8 viên, 2 viên/s, thay 0.88 s · tầm 48 m · Tất cả</t>
        </is>
      </c>
      <c r="U10" s="39" t="inlineStr">
        <is>
          <t>Giữ.</t>
        </is>
      </c>
      <c r="V10" s="39" t="inlineStr">
        <is>
          <t>Ổn.</t>
        </is>
      </c>
      <c r="W10" s="49" t="inlineStr">
        <is>
          <t>Thấp</t>
        </is>
      </c>
    </row>
    <row r="11" ht="53.25" customHeight="1" s="32">
      <c r="A11" s="41" t="inlineStr">
        <is>
          <t>ixion</t>
        </is>
      </c>
      <c r="B11" s="41" t="inlineStr">
        <is>
          <t>Ixion · Xe bánh khổng lồ</t>
        </is>
      </c>
      <c r="C11" s="41" t="inlineStr">
        <is>
          <t>xe tải mỏ bọc thép BelAZ-75710 chạy thẳng khoảng 7 m/s, xoay rất chậm; tháp pháo 125 mm hàn trên thùng tự đổi đạn nổ mạnh (lõi 5 m, rìa 10 m) và đạn xuyên, khoảng 780 mỗi 2 giây; cứ khoảng 10 giây lao nghiền theo đường báo trước 2 giây, khoảng 900 và choáng 1 giây; hai súng máy 12,7 mm trên nóc; khi rẽ đổ ra sau dải sáu quả mìn tồn tại 20 giây. Giáp trước 4, hông 3, sau và nóc 2; bốn lốp sau giáp 1 là điểm yếu; phá một lốp trước thì cú lao lệch và dừng.</t>
        </is>
      </c>
      <c r="D11" s="41" t="inlineStr">
        <is>
          <t>Dựa trên: BelAZ-75710 (xe tải mỏ lớn nhất thế giới), tháp pháo T-72 125 mm hàn trên thùng — Xe tải mỏ bọc thép của Thorne ở Deepcut Mine: ca-bin lệch trái, sáu bánh lớn, lưỡi húc chữ V. Kích thước hiện 26.0 × 12.0 × 10.0 m; boss chủ lực ×1,3–1,5 so với mẫu, mini boss nhỏ hơn boss chủ lực cùng dòng; bộ phận phá được (tháp, xích, động cơ) phải tách thành khối riêng dễ nhìn; có bản vỡ cho từng bộ phận; vạch màu tướng sở hữu.</t>
        </is>
      </c>
      <c r="E11" s="41" t="inlineStr">
        <is>
          <t>Mini</t>
        </is>
      </c>
      <c r="F11" s="41" t="inlineStr">
        <is>
          <t>8</t>
        </is>
      </c>
      <c r="G11" s="41" t="n"/>
      <c r="H11" s="43" t="n">
        <v>7574</v>
      </c>
      <c r="I11" s="41" t="inlineStr">
        <is>
          <t>9450–12600</t>
        </is>
      </c>
      <c r="J11" s="41" t="inlineStr">
        <is>
          <t>3/2/1/1</t>
        </is>
      </c>
      <c r="K11" s="43" t="n">
        <v>6.5</v>
      </c>
      <c r="L11" s="43" t="n">
        <v>50</v>
      </c>
      <c r="M11" s="43" t="n">
        <v>69</v>
      </c>
      <c r="N11" s="43" t="n">
        <v>49</v>
      </c>
      <c r="O11" s="43" t="n">
        <v>0</v>
      </c>
      <c r="P11" s="41" t="inlineStr">
        <is>
          <t>BelAZ-75710 (xe tải mỏ lớn nhất thế giới), tháp pháo T-72 125 mm hàn trên thùng — Xe tải mỏ bọc thép của Thorne ở Deepcut Mine: ca-bin lệch trái, sáu bánh lớn, lưỡi húc chữ V</t>
        </is>
      </c>
      <c r="Q11" s="41" t="inlineStr">
        <is>
          <t>giáp 0, giáp 1, giáp 2, giáp 3, công trình</t>
        </is>
      </c>
      <c r="R11" s="41" t="inlineStr">
        <is>
          <t>nổ mạnh, đánh nóc, nổ lõm, pháo xe tăng</t>
        </is>
      </c>
      <c r="S11" s="41" t="inlineStr">
        <is>
          <t>xe tải mỏ bọc thép BelAZ-75710 chạy thẳng khoảng 7 m/s, xoay rất chậm; tháp pháo 125 mm hàn trên thùng tự đổi đạn nổ mạnh (lõi 5 m, rìa 10 m) và đạn xuyên, khoảng 780 mỗi 2 giây; cứ khoảng 10 giây lao nghiền theo đường báo trước 2 giây, khoảng 900 và choáng 1 giây; hai súng máy 12,7 mm trên nóc; khi rẽ đổ ra sau dải sáu quả mìn tồn tại 20 giây. Giáp trước 4, hông 3, sau và nóc 2; bốn lốp sau giáp 1 là điểm yếu; phá một lốp trước thì cú lao lệch và dừng.</t>
        </is>
      </c>
      <c r="T11" s="41" t="inlineStr">
        <is>
          <t>2A70 100/76 mm [Động năng, xuyên 3, đạn pháo động năng nổ lan] 120/phát · hồi 2.08 s · tầm 34 m · Mặt đất</t>
        </is>
      </c>
      <c r="U11" s="41" t="inlineStr">
        <is>
          <t>Giữ.</t>
        </is>
      </c>
      <c r="V11" s="41" t="inlineStr">
        <is>
          <t>Ổn (vũ khí chính là thân xe nghiền).</t>
        </is>
      </c>
      <c r="W11" s="49" t="inlineStr">
        <is>
          <t>Thấp</t>
        </is>
      </c>
    </row>
    <row r="12" ht="84.75" customHeight="1" s="32">
      <c r="A12" s="39" t="inlineStr">
        <is>
          <t>fortress_hive</t>
        </is>
      </c>
      <c r="B12" s="39" t="inlineStr">
        <is>
          <t>Hive · Pháo đài drone</t>
        </is>
      </c>
      <c r="C12" s="39" t="inlineStr">
        <is>
          <t>không có pháo lớn: hai giàn phóng bầy drone tới 70 m, dàn tên lửa (62 m) và pháo cao xạ giữ bầu trời, còn thả thêm UAV tấn công. xé nát máy bay; drone của nó hại được xe tăng, nhưng xe tăng và pháo binh mới là thứ hạ được nó.</t>
        </is>
      </c>
      <c r="D12" s="39" t="inlineStr">
        <is>
          <t>Dựa trên: NASA Crawler-Transporter, ZALA Lancet-3, MIM-104 Patriot · Sandcrawler (Star Wars) — ước đoán: pháo đài bánh xích mang tổ drone. Kích thước hiện 16.4 × 9.3 × 8.5 m; boss chủ lực ×1,3–1,5 so với mẫu, mini boss nhỏ hơn boss chủ lực cùng dòng; bộ phận phá được (tháp, xích, động cơ) phải tách thành khối riêng dễ nhìn; có bản vỡ cho từng bộ phận; vạch màu tướng sở hữu.</t>
        </is>
      </c>
      <c r="E12" s="39" t="inlineStr">
        <is>
          <t>Mini</t>
        </is>
      </c>
      <c r="F12" s="39" t="inlineStr">
        <is>
          <t>5</t>
        </is>
      </c>
      <c r="G12" s="39" t="n"/>
      <c r="H12" s="42" t="n">
        <v>7597</v>
      </c>
      <c r="I12" s="39" t="inlineStr">
        <is>
          <t>8100–10800</t>
        </is>
      </c>
      <c r="J12" s="39" t="inlineStr">
        <is>
          <t>4/3/2/2</t>
        </is>
      </c>
      <c r="K12" s="42" t="n">
        <v>1.8</v>
      </c>
      <c r="L12" s="42" t="n">
        <v>75</v>
      </c>
      <c r="M12" s="42" t="n">
        <v>402</v>
      </c>
      <c r="N12" s="42" t="n">
        <v>307</v>
      </c>
      <c r="O12" s="42" t="n">
        <v>495</v>
      </c>
      <c r="P12" s="39" t="inlineStr">
        <is>
          <t>NASA Crawler-Transporter, ZALA Lancet-3, MIM-104 Patriot · Sandcrawler (Star Wars) — ước đoán: pháo đài bánh xích mang tổ drone</t>
        </is>
      </c>
      <c r="Q12" s="39" t="inlineStr">
        <is>
          <t>giáp 0, giáp 1, giáp 2, giáp 3, giáp 4, trên không, công trình</t>
        </is>
      </c>
      <c r="R12" s="39" t="inlineStr">
        <is>
          <t>nổ mạnh, đánh nóc, nổ lõm, pháo xe tăng</t>
        </is>
      </c>
      <c r="S12" s="39" t="inlineStr">
        <is>
          <t>không có pháo lớn: hai giàn phóng bầy drone tới 70 m, dàn tên lửa (62 m) và pháo cao xạ giữ bầu trời, còn thả thêm UAV tấn công.</t>
        </is>
      </c>
      <c r="T12" s="39" t="inlineStr">
        <is>
          <t>ZALA Lancet-3 (3 kg) [Nổ lõm, xuyên 4, drone (Lancet) đánh nóc] dẫn đường/phát · nổ lan · tầm 240 · loạt 4, hồi 8.17 s
ZALA Lancet-3 (3 kg) [Nổ lõm, xuyên 4, drone (Lancet) đánh nóc] dẫn đường/phát · nổ lan · tầm 240 · loạt 4, hồi 8.17 s
Oerlikon 35 mm (twin) [Mảnh, xuyên 2, đạn nổ trên không nổ lan] 25/phát · băng 41 viên, 20 viên/s, thay 3.38 s · tầm 40 m · Tất cả
Oerlikon 35 mm (twin) [Mảnh, xuyên 2, đạn nổ trên không nổ lan] 25/phát · băng 41 viên, 20 viên/s, thay 3.38 s · tầm 40 m · Tất cả</t>
        </is>
      </c>
      <c r="U12" s="39" t="inlineStr">
        <is>
          <t>Giữ.</t>
        </is>
      </c>
      <c r="V12" s="39" t="inlineStr">
        <is>
          <t>Ổn.</t>
        </is>
      </c>
      <c r="W12" s="49" t="inlineStr">
        <is>
          <t>Thấp</t>
        </is>
      </c>
    </row>
    <row r="13" ht="42.75" customHeight="1" s="32">
      <c r="A13" s="41" t="inlineStr">
        <is>
          <t>caspian</t>
        </is>
      </c>
      <c r="B13" s="41" t="inlineStr">
        <is>
          <t>Caspian · Tàu bay sát mặt nước</t>
        </is>
      </c>
      <c r="C13" s="41" t="inlineStr">
        <is>
          <t>lao dọc bờ khoảng 6 giây mỗi lượt rồi vòng ra xa khoảng 20 giây; là mục tiêu trên mặt nước. Đòn lớn là bốn tên lửa chống hạm vào giáp mỏng; phá cụm động cơ ở mũi thì nó chậm lại.</t>
        </is>
      </c>
      <c r="D13" s="41" t="inlineStr">
        <is>
          <t>Dựa trên: ekranoplan lớp Lun MD-160 ('Quái vật biển Caspi') — Thủy phi cơ hiệu ứng mặt đất. Kích thước hiện 36.0 × 26.5 × 10.9 m; boss chủ lực ×1,3–1,5 so với mẫu, mini boss nhỏ hơn boss chủ lực cùng dòng; bộ phận phá được (tháp, xích, động cơ) phải tách thành khối riêng dễ nhìn; có bản vỡ cho từng bộ phận; vạch màu tướng sở hữu.</t>
        </is>
      </c>
      <c r="E13" s="41" t="inlineStr">
        <is>
          <t>Mini</t>
        </is>
      </c>
      <c r="F13" s="41" t="inlineStr">
        <is>
          <t>9</t>
        </is>
      </c>
      <c r="G13" s="41" t="n"/>
      <c r="H13" s="43" t="n">
        <v>7597</v>
      </c>
      <c r="I13" s="41" t="inlineStr">
        <is>
          <t>9900–13200</t>
        </is>
      </c>
      <c r="J13" s="41" t="inlineStr">
        <is>
          <t>2/2/2/1</t>
        </is>
      </c>
      <c r="K13" s="43" t="n">
        <v>14</v>
      </c>
      <c r="L13" s="43" t="n">
        <v>90</v>
      </c>
      <c r="M13" s="43" t="n">
        <v>22</v>
      </c>
      <c r="N13" s="43" t="n">
        <v>11</v>
      </c>
      <c r="O13" s="43" t="n">
        <v>7</v>
      </c>
      <c r="P13" s="41" t="inlineStr">
        <is>
          <t>ekranoplan lớp Lun MD-160 ('Quái vật biển Caspi') — Thủy phi cơ hiệu ứng mặt đất</t>
        </is>
      </c>
      <c r="Q13" s="41" t="inlineStr">
        <is>
          <t>giáp 0, giáp 1, giáp 2</t>
        </is>
      </c>
      <c r="R13" s="41" t="inlineStr">
        <is>
          <t>lửa, pháo tự động, nổ mạnh, năng lượng, đánh nóc, nổ lõm, pháo xe tăng</t>
        </is>
      </c>
      <c r="S13" s="41" t="inlineStr">
        <is>
          <t>lao dọc bờ khoảng 6 giây mỗi lượt rồi vòng ra xa khoảng 20 giây; là mục tiêu trên mặt nước. Đòn lớn là bốn tên lửa chống hạm vào</t>
        </is>
      </c>
      <c r="T13" s="41" t="inlineStr">
        <is>
          <t>AK-630 30 mm [Động năng, xuyên 2, đạn pháo động năng (pháo tự động)] 22/phát · băng 15 viên, 60 viên/s, thay 14.71 s · tầm 34 m · Tất cả</t>
        </is>
      </c>
      <c r="U13" s="41" t="inlineStr">
        <is>
          <t>• Vũ khí: thêm 2 tháp 23 mm đôi và 1 tên lửa chống hạm bắn thường mỗi lượt lướt</t>
        </is>
      </c>
      <c r="V13" s="41" t="inlineStr">
        <is>
          <t>• Vũ khí: Mini boss gần như không có vũ khí ngoài đòn lớn.</t>
        </is>
      </c>
      <c r="W13" s="47" t="inlineStr">
        <is>
          <t>Cao</t>
        </is>
      </c>
    </row>
    <row r="14" ht="42.75" customHeight="1" s="32">
      <c r="A14" s="39" t="inlineStr">
        <is>
          <t>supreme_command</t>
        </is>
      </c>
      <c r="B14" s="39" t="inlineStr">
        <is>
          <t>Atlas · Xe chỉ huy siêu nặng</t>
        </is>
      </c>
      <c r="C14" s="39" t="inlineStr">
        <is>
          <t>chỉ có hai súng máy nhẹ; mọi quân địch trong 40 m quanh nó tăng 20% sát thương và 20% tốc độ bắn. Có cận vệ tinh nhuệ đi kèm, quân địch gần nó nguy hiểm hơn nhiều; bản thân nó gần như không đánh lại được và không chạy thoát được thứ gì.</t>
        </is>
      </c>
      <c r="D14" s="39" t="inlineStr">
        <is>
          <t>Dựa trên: khung MZKT-7930, sở chỉ huy cơ động bọc thép — Tổng Tư Lệnh: xe chỉ huy siêu nặng bốn trục. Kích thước hiện 16.0 × 5.5 × 12.2 m; boss chủ lực ×1,3–1,5 so với mẫu, mini boss nhỏ hơn boss chủ lực cùng dòng; bộ phận phá được (tháp, xích, động cơ) phải tách thành khối riêng dễ nhìn; có bản vỡ cho từng bộ phận; vạch màu tướng sở hữu.</t>
        </is>
      </c>
      <c r="E14" s="39" t="inlineStr">
        <is>
          <t>Mini</t>
        </is>
      </c>
      <c r="F14" s="39" t="inlineStr">
        <is>
          <t>7</t>
        </is>
      </c>
      <c r="G14" s="39" t="n"/>
      <c r="H14" s="42" t="n">
        <v>8205</v>
      </c>
      <c r="I14" s="39" t="inlineStr">
        <is>
          <t>9000–12000</t>
        </is>
      </c>
      <c r="J14" s="39" t="inlineStr">
        <is>
          <t>5/3/2/2</t>
        </is>
      </c>
      <c r="K14" s="42" t="n">
        <v>4</v>
      </c>
      <c r="L14" s="42" t="n">
        <v>60</v>
      </c>
      <c r="M14" s="42" t="n">
        <v>25</v>
      </c>
      <c r="N14" s="42" t="n">
        <v>7</v>
      </c>
      <c r="O14" s="42" t="n">
        <v>9</v>
      </c>
      <c r="P14" s="39" t="inlineStr">
        <is>
          <t>khung MZKT-7930, sở chỉ huy cơ động bọc thép — Tổng Tư Lệnh: xe chỉ huy siêu nặng bốn trục</t>
        </is>
      </c>
      <c r="Q14" s="39" t="inlineStr">
        <is>
          <t>giáp 0, giáp 1</t>
        </is>
      </c>
      <c r="R14" s="39" t="inlineStr">
        <is>
          <t>nổ mạnh, đánh nóc</t>
        </is>
      </c>
      <c r="S14" s="39" t="inlineStr">
        <is>
          <t>chỉ có hai súng máy nhẹ; mọi quân địch trong 40 m quanh nó tăng 20% sát thương và 20% tốc độ bắn. Có cận vệ tinh nhuệ đi kèm,</t>
        </is>
      </c>
      <c r="T14" s="39" t="inlineStr">
        <is>
          <t>NSV 12.7 mm [Động năng, xuyên 1, đạn súng (cỡ lớn)] 10/phát · băng 10 viên, 12 viên/s, thay 5.78 s · tầm 30 m · Tất cả
NSV 12.7 mm [Động năng, xuyên 1, đạn súng (cỡ lớn)] 10/phát · băng 10 viên, 12 viên/s, thay 5.78 s · tầm 30 m · Tất cả</t>
        </is>
      </c>
      <c r="U14" s="39" t="inlineStr">
        <is>
          <t>Giữ.</t>
        </is>
      </c>
      <c r="V14" s="39" t="inlineStr">
        <is>
          <t>Atlas không vũ khí là chủ đích.</t>
        </is>
      </c>
      <c r="W14" s="49" t="inlineStr">
        <is>
          <t>Thấp</t>
        </is>
      </c>
    </row>
    <row r="15" ht="84.75" customHeight="1" s="32">
      <c r="A15" s="41" t="inlineStr">
        <is>
          <t>sky_fortress</t>
        </is>
      </c>
      <c r="B15" s="41" t="inlineStr">
        <is>
          <t>Spectre · Máy bay pháo</t>
        </is>
      </c>
      <c r="C15" s="41" t="inlineStr">
        <is>
          <t>bay vòng quanh mục tiêu, pháo 105 mm, hai 40 mm và một 25 mm bắn từ bên trái (50–58 m), kèm Griffin; không bắn được máy bay. hủy diệt quân mặt đất nằm dưới vòng bay; chỉ phòng không và tiêm kích với tới nó.</t>
        </is>
      </c>
      <c r="D15" s="41" t="inlineStr">
        <is>
          <t>Dựa trên: AC-130 Spectre — Pháo hạm bay AC-130 phóng to 1,3 lần, sơn tối. Kích thước hiện 15.5 × 21.2 × 6.1 m; boss chủ lực ×1,3–1,5 so với mẫu, mini boss nhỏ hơn boss chủ lực cùng dòng; bộ phận phá được (tháp, xích, động cơ) phải tách thành khối riêng dễ nhìn; có bản vỡ cho từng bộ phận; vạch màu tướng sở hữu.</t>
        </is>
      </c>
      <c r="E15" s="41" t="inlineStr">
        <is>
          <t>Mini</t>
        </is>
      </c>
      <c r="F15" s="41" t="inlineStr">
        <is>
          <t>10</t>
        </is>
      </c>
      <c r="G15" s="41" t="inlineStr">
        <is>
          <t>Có</t>
        </is>
      </c>
      <c r="H15" s="43" t="n">
        <v>8508</v>
      </c>
      <c r="I15" s="41" t="inlineStr">
        <is>
          <t>10350–13800</t>
        </is>
      </c>
      <c r="J15" s="41" t="inlineStr">
        <is>
          <t>cấp 2 (Vừa)</t>
        </is>
      </c>
      <c r="K15" s="43" t="n">
        <v>13</v>
      </c>
      <c r="L15" s="43" t="n">
        <v>80</v>
      </c>
      <c r="M15" s="43" t="n">
        <v>427</v>
      </c>
      <c r="N15" s="43" t="n">
        <v>224</v>
      </c>
      <c r="O15" s="43" t="n">
        <v>0</v>
      </c>
      <c r="P15" s="41" t="inlineStr">
        <is>
          <t>AC-130 Spectre — Pháo hạm bay AC-130 phóng to 1,3 lần, sơn tối</t>
        </is>
      </c>
      <c r="Q15" s="41" t="inlineStr">
        <is>
          <t>giáp 0, giáp 1, giáp 2, giáp 3, công trình</t>
        </is>
      </c>
      <c r="R15" s="41" t="inlineStr">
        <is>
          <t>mảnh, năng lượng</t>
        </is>
      </c>
      <c r="S15" s="41" t="inlineStr">
        <is>
          <t>bay vòng quanh mục tiêu, pháo 105 mm, hai 40 mm và một 25 mm bắn từ bên trái (50–58 m), kèm Griffin; không bắn được máy bay.</t>
        </is>
      </c>
      <c r="T15" s="41" t="inlineStr">
        <is>
          <t>M102 105 mm [Nổ mạnh, xuyên 2, đạn pháo nổ mạnh nổ lan] 200/phát · hồi 2.743 s · tầm 58 m · Mặt đất
Bofors L/60 40 mm [Nổ mạnh, xuyên 2, đạn pháo động năng (pháo tự động) nổ lan] 30/phát · băng 29 viên, 6 viên/s, thay 1 s · tầm 55 m · Mặt đất
GAU-12 Equalizer 25 mm [Động năng, xuyên 2, đạn pháo động năng (pháo tự động)] 17/phát · băng 56 viên, 11 viên/s, thay 1 s · tầm 50 m · Mặt đất
AGM-176 Griffin [Nổ lõm, xuyên 3, tên lửa chống tăng dẫn đường] 180/phát · hồi 4.286 s · tầm 50 m · Mặt đất</t>
        </is>
      </c>
      <c r="U15" s="41" t="inlineStr">
        <is>
          <t>Giữ.</t>
        </is>
      </c>
      <c r="V15" s="41" t="inlineStr">
        <is>
          <t>Ổn.</t>
        </is>
      </c>
      <c r="W15" s="49" t="inlineStr">
        <is>
          <t>Thấp</t>
        </is>
      </c>
    </row>
    <row r="16" ht="53.25" customHeight="1" s="32">
      <c r="A16" s="39" t="inlineStr">
        <is>
          <t>icarus_mk0</t>
        </is>
      </c>
      <c r="B16" s="39" t="inlineStr">
        <is>
          <t>Icarus Mk.0 · Phi thuyền nguyên mẫu</t>
        </is>
      </c>
      <c r="C16" s="39" t="inlineStr">
        <is>
          <t>không lên quỹ đạo: đổi tầng cao và thấp theo lịch cố định. Một tháp la-de và một khoang đổ bộ; liên kết vệ tinh gọi ba thanh ở tầng cao chỉ phòng không tầm xa và tiêm kích bắn tới; ở tầng thấp mọi vũ khí phòng không đều tới.</t>
        </is>
      </c>
      <c r="D16" s="39" t="inlineStr">
        <is>
          <t>Dựa trên: Polyus / Skif-DM, ISS, Hubble · SOLG (Ace Combat 5), The Expanse — Bản đầu của Icarus (trạm vũ khí quỹ đạo, nhỏ hơn). Kích thước hiện 36.0 × 18.1 × 13.0 m; boss chủ lực ×1,3–1,5 so với mẫu, mini boss nhỏ hơn boss chủ lực cùng dòng; bộ phận phá được (tháp, xích, động cơ) phải tách thành khối riêng dễ nhìn; có bản vỡ cho từng bộ phận; vạch màu tướng sở hữu.</t>
        </is>
      </c>
      <c r="E16" s="39" t="inlineStr">
        <is>
          <t>Mini</t>
        </is>
      </c>
      <c r="F16" s="39" t="inlineStr">
        <is>
          <t>10</t>
        </is>
      </c>
      <c r="G16" s="39" t="inlineStr">
        <is>
          <t>Có</t>
        </is>
      </c>
      <c r="H16" s="42" t="n">
        <v>8696</v>
      </c>
      <c r="I16" s="39" t="inlineStr">
        <is>
          <t>10350–13800</t>
        </is>
      </c>
      <c r="J16" s="39" t="inlineStr">
        <is>
          <t>cấp 4 (Rất dày)</t>
        </is>
      </c>
      <c r="K16" s="42" t="n">
        <v>5</v>
      </c>
      <c r="L16" s="42" t="n">
        <v>80</v>
      </c>
      <c r="M16" s="42" t="n">
        <v>108</v>
      </c>
      <c r="N16" s="42" t="n">
        <v>90</v>
      </c>
      <c r="O16" s="42" t="n">
        <v>0</v>
      </c>
      <c r="P16" s="39" t="inlineStr">
        <is>
          <t>Polyus / Skif-DM, ISS, Hubble · SOLG (Ace Combat 5), The Expanse — Bản đầu của Icarus (trạm vũ khí quỹ đạo, nhỏ hơn)</t>
        </is>
      </c>
      <c r="Q16" s="39" t="inlineStr">
        <is>
          <t>giáp 0, giáp 1, giáp 2, giáp 3, giáp 4, công trình</t>
        </is>
      </c>
      <c r="R16" s="39" t="n"/>
      <c r="S16" s="39" t="inlineStr">
        <is>
          <t>không lên quỹ đạo: đổi tầng cao và thấp theo lịch cố định. Một tháp la-de và một khoang đổ bộ; liên kết vệ tinh gọi ba thanh</t>
        </is>
      </c>
      <c r="T16" s="39" t="inlineStr">
        <is>
          <t>laser (150 kW) 150 mm [Năng lượng, xuyên 4, năng lượng nổ lan] 9/phát · hồi 0.1 s · tầm 36 m · Mặt đất</t>
        </is>
      </c>
      <c r="U16" s="39" t="inlineStr">
        <is>
          <t>Giữ.</t>
        </is>
      </c>
      <c r="V16" s="39" t="inlineStr">
        <is>
          <t>Ổn.</t>
        </is>
      </c>
      <c r="W16" s="49" t="inlineStr">
        <is>
          <t>Thấp</t>
        </is>
      </c>
    </row>
    <row r="17" ht="53.25" customHeight="1" s="32">
      <c r="A17" s="41" t="inlineStr">
        <is>
          <t>behemoth_inferno</t>
        </is>
      </c>
      <c r="B17" s="41" t="inlineStr">
        <is>
          <t>Inferno · Behemoth phun lửa</t>
        </is>
      </c>
      <c r="C17" s="41" t="inlineStr">
        <is>
          <t>hai súng phun lửa lớn (20 m) đốt cháy mặt đất; hộp rốc-két nhiệt áp đánh tầm 10–46 m; còn 70% máu gọi 2 tăng tinh nhuệ. thiêu chảy xe nhẹ và xe tăng tới gần; yếu trước máy bay vì chỉ có một khẩu pháo cao xạ.</t>
        </is>
      </c>
      <c r="D17" s="41" t="inlineStr">
        <is>
          <t>Dựa trên: TOS-1A, Object 279 (1959) · Baneblade (Warhammer 40,000) — ước đoán: Behemoth phun lửa, thùng nhiên liệu đỏ. Kích thước hiện 17.0 × 8.8 × 7.5 m; boss chủ lực ×1,3–1,5 so với mẫu, mini boss nhỏ hơn boss chủ lực cùng dòng; bộ phận phá được (tháp, xích, động cơ) phải tách thành khối riêng dễ nhìn; có bản vỡ cho từng bộ phận; vạch màu tướng sở hữu.</t>
        </is>
      </c>
      <c r="E17" s="41" t="inlineStr">
        <is>
          <t>Mini</t>
        </is>
      </c>
      <c r="F17" s="41" t="inlineStr">
        <is>
          <t>2</t>
        </is>
      </c>
      <c r="G17" s="41" t="n"/>
      <c r="H17" s="43" t="n">
        <v>8836</v>
      </c>
      <c r="I17" s="41" t="inlineStr">
        <is>
          <t>5850–7800</t>
        </is>
      </c>
      <c r="J17" s="41" t="inlineStr">
        <is>
          <t>5/3/2/2</t>
        </is>
      </c>
      <c r="K17" s="43" t="n">
        <v>2.9</v>
      </c>
      <c r="L17" s="43" t="n">
        <v>46</v>
      </c>
      <c r="M17" s="43" t="n">
        <v>402</v>
      </c>
      <c r="N17" s="43" t="n">
        <v>222</v>
      </c>
      <c r="O17" s="43" t="n">
        <v>0</v>
      </c>
      <c r="P17" s="41" t="inlineStr">
        <is>
          <t>TOS-1A, Object 279 (1959) · Baneblade (Warhammer 40,000) — ước đoán: Behemoth phun lửa, thùng nhiên liệu đỏ</t>
        </is>
      </c>
      <c r="Q17" s="41" t="inlineStr">
        <is>
          <t>giáp 0, giáp 1, giáp 2, giáp 3, công trình</t>
        </is>
      </c>
      <c r="R17" s="41" t="inlineStr">
        <is>
          <t>nổ mạnh, đánh nóc</t>
        </is>
      </c>
      <c r="S17" s="41" t="inlineStr">
        <is>
          <t>hai súng phun lửa lớn (20 m) đốt cháy mặt đất; hộp rốc-két nhiệt áp đánh tầm 10–46 m; còn 70% máu gọi 2 tăng tinh nhuệ.</t>
        </is>
      </c>
      <c r="T17" s="41" t="inlineStr">
        <is>
          <t>flamethrower (heavy) [Lửa, xuyên 2, lửa nổ lan] 30/phát · hồi 0.25 s · tầm 20 m · Mặt đất
TOS-1A 220 mm thermobaric [Nổ mạnh, xuyên 3, rốc-két (cỡ lớn) đánh nóc] nổ lan/phát · Nhiệt áp · tầm 97 · loạt 6, hồi 12.51 s
flamethrower (heavy) [Lửa, xuyên 2, lửa nổ lan] 30/phát · hồi 0.25 s · tầm 20 m · Mặt đất</t>
        </is>
      </c>
      <c r="U17" s="41" t="inlineStr">
        <is>
          <t>Giữ.</t>
        </is>
      </c>
      <c r="V17" s="41" t="inlineStr">
        <is>
          <t>Ổn.</t>
        </is>
      </c>
      <c r="W17" s="49" t="inlineStr">
        <is>
          <t>Thấp</t>
        </is>
      </c>
    </row>
    <row r="18" ht="63.75" customHeight="1" s="32">
      <c r="A18" s="39" t="inlineStr">
        <is>
          <t>fenrir</t>
        </is>
      </c>
      <c r="B18" s="39" t="inlineStr">
        <is>
          <t>Fenrir · Xe tiên phong</t>
        </is>
      </c>
      <c r="C18" s="39" t="inlineStr">
        <is>
          <t>nhanh: lao vào, xả hai hộp rốc-két rồi rút; cao xạ đuổi trực thăng. nhẹ hơn Jötunn nhiều; không giữ trận địa được.</t>
        </is>
      </c>
      <c r="D18" s="39" t="inlineStr">
        <is>
          <t>Dựa trên: NASA Crawler-Transporter, Kharkovchanka (1959) · Sandcrawler (Star Wars) — ước đoán: biến thể của pháo đài di động. Kích thước hiện 16.2 × 9.1 × 8.3 m; boss chủ lực ×1,3–1,5 so với mẫu, mini boss nhỏ hơn boss chủ lực cùng dòng; bộ phận phá được (tháp, xích, động cơ) phải tách thành khối riêng dễ nhìn; có bản vỡ cho từng bộ phận; vạch màu tướng sở hữu.</t>
        </is>
      </c>
      <c r="E18" s="39" t="inlineStr">
        <is>
          <t>Mini</t>
        </is>
      </c>
      <c r="F18" s="39" t="inlineStr">
        <is>
          <t>3</t>
        </is>
      </c>
      <c r="G18" s="39" t="n"/>
      <c r="H18" s="42" t="n">
        <v>9163</v>
      </c>
      <c r="I18" s="39" t="inlineStr">
        <is>
          <t>6750–9000</t>
        </is>
      </c>
      <c r="J18" s="39" t="inlineStr">
        <is>
          <t>5/4/3/2</t>
        </is>
      </c>
      <c r="K18" s="42" t="n">
        <v>4.4</v>
      </c>
      <c r="L18" s="42" t="n">
        <v>60</v>
      </c>
      <c r="M18" s="42" t="n">
        <v>271</v>
      </c>
      <c r="N18" s="42" t="n">
        <v>135</v>
      </c>
      <c r="O18" s="42" t="n">
        <v>248</v>
      </c>
      <c r="P18" s="39" t="inlineStr">
        <is>
          <t>NASA Crawler-Transporter, Kharkovchanka (1959) · Sandcrawler (Star Wars) — ước đoán: biến thể của pháo đài di động</t>
        </is>
      </c>
      <c r="Q18" s="39" t="inlineStr">
        <is>
          <t>giáp 0, giáp 1, giáp 2, trên không, công trình</t>
        </is>
      </c>
      <c r="R18" s="39" t="inlineStr">
        <is>
          <t>nổ mạnh, đánh nóc</t>
        </is>
      </c>
      <c r="S18" s="39" t="inlineStr">
        <is>
          <t>nhanh: lao vào, xả hai hộp rốc-két rồi rút; cao xạ đuổi trực thăng.</t>
        </is>
      </c>
      <c r="T18" s="39" t="inlineStr">
        <is>
          <t>BM-21 Grad 122 mm [Nổ mạnh, xuyên 2, rốc-két nổ lan] 57/phát · loạt 13, hồi 2.44 s · tầm 45 m · Mặt đất
BM-21 Grad 122 mm [Nổ mạnh, xuyên 2, rốc-két nổ lan] 57/phát · loạt 13, hồi 2.44 s · tầm 45 m · Mặt đất
Oerlikon 35 mm (twin) [Mảnh, xuyên 2, đạn nổ trên không nổ lan] 25/phát · băng 41 viên, 20 viên/s, thay 3.38 s · tầm 40 m · Tất cả</t>
        </is>
      </c>
      <c r="U18" s="39" t="inlineStr">
        <is>
          <t>• Giáp: trước 4</t>
        </is>
      </c>
      <c r="V18" s="39" t="inlineStr">
        <is>
          <t>• Giáp: Như trên.</t>
        </is>
      </c>
      <c r="W18" s="49" t="inlineStr">
        <is>
          <t>Thấp</t>
        </is>
      </c>
    </row>
    <row r="19" ht="42.75" customHeight="1" s="32">
      <c r="A19" s="41" t="inlineStr">
        <is>
          <t>daedalus</t>
        </is>
      </c>
      <c r="B19" s="41" t="inlineStr">
        <is>
          <t>Daedalus · Tàu đổ bộ quỹ đạo</t>
        </is>
      </c>
      <c r="C19" s="41" t="inlineStr">
        <is>
          <t>khoảng 10 giây trên quỹ đạo (không bắn tới được), sau đó đổi tầng cao và thấp theo lịch cố định, không lên lại quỹ đạo. Ba cửa thả tự nó bắn yếu hơn Icarus; thân trên cấp 3, bụng 2. Tháp la-de phòng thủ chặn tên lửa bắn vào nó.</t>
        </is>
      </c>
      <c r="D19" s="41" t="inlineStr">
        <is>
          <t>Dựa trên: Acclamator-class (Star Wars: Attack of the Clones) — Tàu đổ bộ tấn công của Aurel. Kích thước hiện 60.0 × 33.0 × 20.7 m; boss chủ lực ×1,3–1,5 so với mẫu, mini boss nhỏ hơn boss chủ lực cùng dòng; bộ phận phá được (tháp, xích, động cơ) phải tách thành khối riêng dễ nhìn; có bản vỡ cho từng bộ phận; vạch màu tướng sở hữu.</t>
        </is>
      </c>
      <c r="E19" s="41" t="inlineStr">
        <is>
          <t>Chủ lực</t>
        </is>
      </c>
      <c r="F19" s="41" t="inlineStr">
        <is>
          <t>11</t>
        </is>
      </c>
      <c r="G19" s="41" t="inlineStr">
        <is>
          <t>Có</t>
        </is>
      </c>
      <c r="H19" s="43" t="n">
        <v>9435</v>
      </c>
      <c r="I19" s="43" t="n">
        <v>24000</v>
      </c>
      <c r="J19" s="41" t="inlineStr">
        <is>
          <t>cấp 3 (Dày)</t>
        </is>
      </c>
      <c r="K19" s="43" t="n">
        <v>4.5</v>
      </c>
      <c r="L19" s="43" t="n">
        <v>80</v>
      </c>
      <c r="M19" s="43" t="n">
        <v>132</v>
      </c>
      <c r="N19" s="43" t="n">
        <v>66</v>
      </c>
      <c r="O19" s="43" t="n">
        <v>0</v>
      </c>
      <c r="P19" s="41" t="inlineStr">
        <is>
          <t>Acclamator-class (Star Wars: Attack of the Clones) — Tàu đổ bộ tấn công của Aurel</t>
        </is>
      </c>
      <c r="Q19" s="41" t="inlineStr">
        <is>
          <t>giáp 0, giáp 1, giáp 2</t>
        </is>
      </c>
      <c r="R19" s="41" t="inlineStr">
        <is>
          <t>mảnh, năng lượng</t>
        </is>
      </c>
      <c r="S19" s="41" t="inlineStr">
        <is>
          <t>khoảng 10 giây trên quỹ đạo (không bắn tới được), sau đó đổi tầng cao và thấp theo lịch cố định, không lên lại quỹ đạo. Ba cửa thả</t>
        </is>
      </c>
      <c r="T19" s="41" t="inlineStr">
        <is>
          <t>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t>
        </is>
      </c>
      <c r="U19" s="41" t="inlineStr">
        <is>
          <t>• Máu, vũ khí: ~24.000 · thêm 2 tháp laser phòng thủ điểm và 2 pháo 57 mm dưới bụng</t>
        </is>
      </c>
      <c r="V19" s="41" t="inlineStr">
        <is>
          <t>• Máu, vũ khí: Boss chủ lực chương 11 yếu hơn nhiều mini boss.</t>
        </is>
      </c>
      <c r="W19" s="47" t="inlineStr">
        <is>
          <t>Cao</t>
        </is>
      </c>
    </row>
    <row r="20" ht="105.75" customHeight="1" s="32">
      <c r="A20" s="39" t="inlineStr">
        <is>
          <t>mega_gunship</t>
        </is>
      </c>
      <c r="B20" s="39" t="inlineStr">
        <is>
          <t>Harpy · Trực thăng khổng lồ</t>
        </is>
      </c>
      <c r="C20" s="39" t="inlineStr">
        <is>
          <t>rốc-két, hai pháo 30 mm, cặp súng máy nhiều nòng và tên lửa; thả mồi nhiệt liên tục, hộ tống là 2 trực thăng tấn công và 1 trực pháo xe tăng và pháo binh không chạm được nó: chỉ phòng không và tiêm kích gây sát thương.</t>
        </is>
      </c>
      <c r="D20" s="39" t="inlineStr">
        <is>
          <t>Dựa trên: CH-47 Chinook (cỡ khung), ACH-47A 'Guns-A-Go-Go' — ước đoán (ACH-47A): trực thăng hai rô-to vũ trang hạng nặng. Kích thước hiện 23.6 × 15.3 × 7.0 m; boss chủ lực ×1,3–1,5 so với mẫu, mini boss nhỏ hơn boss chủ lực cùng dòng; bộ phận phá được (tháp, xích, động cơ) phải tách thành khối riêng dễ nhìn; có bản vỡ cho từng bộ phận; vạch màu tướng sở hữu.</t>
        </is>
      </c>
      <c r="E20" s="39" t="inlineStr">
        <is>
          <t>Mini</t>
        </is>
      </c>
      <c r="F20" s="39" t="inlineStr">
        <is>
          <t>3</t>
        </is>
      </c>
      <c r="G20" s="39" t="inlineStr">
        <is>
          <t>Có</t>
        </is>
      </c>
      <c r="H20" s="42" t="n">
        <v>9677</v>
      </c>
      <c r="I20" s="39" t="inlineStr">
        <is>
          <t>6750–9000</t>
        </is>
      </c>
      <c r="J20" s="39" t="inlineStr">
        <is>
          <t>cấp 2 (Vừa)</t>
        </is>
      </c>
      <c r="K20" s="42" t="n">
        <v>6</v>
      </c>
      <c r="L20" s="42" t="n">
        <v>55</v>
      </c>
      <c r="M20" s="42" t="n">
        <v>209</v>
      </c>
      <c r="N20" s="42" t="n">
        <v>100</v>
      </c>
      <c r="O20" s="42" t="n">
        <v>35</v>
      </c>
      <c r="P20" s="39" t="inlineStr">
        <is>
          <t>CH-47 Chinook (cỡ khung), ACH-47A 'Guns-A-Go-Go' — ước đoán (ACH-47A): trực thăng hai rô-to vũ trang hạng nặng</t>
        </is>
      </c>
      <c r="Q20" s="39" t="inlineStr">
        <is>
          <t>giáp 0, giáp 1, giáp 2, công trình</t>
        </is>
      </c>
      <c r="R20" s="39" t="inlineStr">
        <is>
          <t>mảnh, năng lượng</t>
        </is>
      </c>
      <c r="S20" s="39" t="inlineStr">
        <is>
          <t>rốc-két, hai pháo 30 mm, cặp súng máy nhiều nòng và tên lửa; thả mồi nhiệt liên tục, hộ tống là 2 trực thăng tấn công và 1 trực</t>
        </is>
      </c>
      <c r="T20" s="39" t="inlineStr">
        <is>
          <t>S-8 80 mm [Nổ mạnh, xuyên 2, rốc-két nổ lan] 32/phát · loạt 16, hồi 8.271 s · tầm 34 m · Mặt đất
M230 30 mm [Động năng, xuyên 2, đạn pháo động năng (pháo tự động)] 22/phát · băng 13 viên, 10 viên/s, thay 5.36 s · tầm 26 m · Tất cả
M230 30 mm [Động năng, xuyên 2, đạn pháo động năng (pháo tự động)] 22/phát · băng 13 viên, 10 viên/s, thay 5.36 s · tầm 26 m · Tất cả
GShG 7.62 mm [Động năng, xuyên 0, đạn súng] 6/phát · băng 40 viên, 58 viên/s, thay 6.09 s · tầm 24 m · Tất cả
S-8 80 mm [Nổ mạnh, xuyên 2, rốc-két nổ lan] 32/phát · loạt 16, hồi 8.271 s · tầm 34 m · Mặt đất</t>
        </is>
      </c>
      <c r="U20" s="39" t="inlineStr">
        <is>
          <t>Giữ.</t>
        </is>
      </c>
      <c r="V20" s="39" t="inlineStr">
        <is>
          <t>Ổn.</t>
        </is>
      </c>
      <c r="W20" s="49" t="inlineStr">
        <is>
          <t>Thấp</t>
        </is>
      </c>
    </row>
    <row r="21" ht="189" customHeight="1" s="32">
      <c r="A21" s="41" t="inlineStr">
        <is>
          <t>behemoth</t>
        </is>
      </c>
      <c r="B21" s="41" t="inlineStr">
        <is>
          <t>Behemoth · Quái vật thép</t>
        </is>
      </c>
      <c r="C21" s="41" t="inlineStr">
        <is>
          <t>pháo chính hai nòng (40 m), pháo 120 mm, pháo cao xạ và tên lửa bắn cả đất lẫn trời (45 m); còn 70% máu gọi 2 tăng tinh nhuệ. nghiền nát xe nhẹ và xe tăng; khắc tinh là xe diệt tăng, giáp dày khiến đạn súng máy vô dụng.</t>
        </is>
      </c>
      <c r="D21" s="41" t="inlineStr">
        <is>
          <t>Dựa trên: Object 279 (1959: bốn dải xích, thân dẹt), giáp composite, APS và cảm biến hiện đại, 2A65 152 mm · Baneblade (Warhammer 40,000) — ước đoán: 'thiết giáp hạm trên cạn' bốn cụm xích. Kích thước hiện 26.0 × 15.5 × 11.2 m; boss chủ lực ×1,3–1,5 so với mẫu, mini boss nhỏ hơn boss chủ lực cùng dòng; bộ phận phá được (tháp, xích, động cơ) phải tách thành khối riêng dễ nhìn; có bản vỡ cho từng bộ phận; vạch màu tướng sở hữu.</t>
        </is>
      </c>
      <c r="E21" s="41" t="inlineStr">
        <is>
          <t>Chủ lực</t>
        </is>
      </c>
      <c r="F21" s="41" t="inlineStr">
        <is>
          <t>2</t>
        </is>
      </c>
      <c r="G21" s="41" t="n"/>
      <c r="H21" s="43" t="n">
        <v>10115</v>
      </c>
      <c r="I21" s="43" t="n">
        <v>13000</v>
      </c>
      <c r="J21" s="41" t="inlineStr">
        <is>
          <t>5/4/3/2</t>
        </is>
      </c>
      <c r="K21" s="43" t="n">
        <v>2.4</v>
      </c>
      <c r="L21" s="43" t="n">
        <v>50</v>
      </c>
      <c r="M21" s="43" t="n">
        <v>620</v>
      </c>
      <c r="N21" s="43" t="n">
        <v>413</v>
      </c>
      <c r="O21" s="43" t="n">
        <v>495</v>
      </c>
      <c r="P21" s="41" t="inlineStr">
        <is>
          <t>Object 279 (1959: bốn dải xích, thân dẹt), giáp composite, APS và cảm biến hiện đại, 2A65 152 mm · Baneblade (Warhammer 40,000) — ước đoán: 'thiết giáp hạm trên cạn' bốn cụm xích</t>
        </is>
      </c>
      <c r="Q21" s="41" t="inlineStr">
        <is>
          <t>giáp 0, giáp 1, giáp 2, giáp 3, giáp 4, trên không, công trình</t>
        </is>
      </c>
      <c r="R21" s="41" t="inlineStr">
        <is>
          <t>nổ mạnh, đánh nóc</t>
        </is>
      </c>
      <c r="S21" s="41" t="inlineStr">
        <is>
          <t>pháo chính hai nòng (40 m), pháo 120 mm, pháo cao xạ và tên lửa bắn cả đất lẫn trời (45 m); còn 70% máu gọi 2 tăng tinh nhuệ.</t>
        </is>
      </c>
      <c r="T21" s="41" t="inlineStr">
        <is>
          <t>2A65 152 mm (twin) [Nổ mạnh, xuyên 3, đạn pháo nổ mạnh nổ lan] 320/phát · loạt 2, hồi 8.93 s · tầm 40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9M133 Kornet [Nổ lõm, xuyên 4, tên lửa chống tăng dẫn đường] 230/phát · hồi 6.39 s · tầm 45 m · Mặt đất
9M133 Kornet [Nổ lõm, xuyên 4, tên lửa chống tăng dẫn đường] 230/phát · hồi 6.39 s · tầm 45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BM-21 Grad 122 mm [Nổ mạnh, xuyên 2, rốc-két nổ lan] 57/phát · loạt 13, hồi 2.44 s · tầm 45 m · Mặt đất</t>
        </is>
      </c>
      <c r="U21" s="41" t="inlineStr">
        <is>
          <t>• Máu: ~13.000</t>
        </is>
      </c>
      <c r="V21" s="41" t="inlineStr">
        <is>
          <t>• Máu: Boss chủ lực chương 2 ít máu hơn mini boss chương 1.</t>
        </is>
      </c>
      <c r="W21" s="48" t="inlineStr">
        <is>
          <t>Trung</t>
        </is>
      </c>
    </row>
    <row r="22" ht="53.25" customHeight="1" s="32">
      <c r="A22" s="39" t="inlineStr">
        <is>
          <t>earth_borer</t>
        </is>
      </c>
      <c r="B22" s="39" t="inlineStr">
        <is>
          <t>Tartarus · Máy khoan</t>
        </is>
      </c>
      <c r="C22" s="39" t="inlineStr">
        <is>
          <t>chui xuống đất, khoan ngầm không bị nhắm tới dưới cụm xe mặt đất đông nhất của bạn, mặt đất nứt 2 giây rồi nó trồi lên gây rung cực nguy hiểm với cụm xe tăng dày; ngay sau khi trồi lên nó nhận thêm 50% sát thương trong 6 giây, và máy bay không bao giờ</t>
        </is>
      </c>
      <c r="D22" s="39" t="inlineStr">
        <is>
          <t>Dựa trên: 'Battle Mole' của Liên Xô, máy khoan hầm TBM, 2A70 100 mm — 'Earth Worm': máy khoan đất bọc thép ba đốt. Kích thước hiện 19.9 × 4.9 × 5.9 m; boss chủ lực ×1,3–1,5 so với mẫu, mini boss nhỏ hơn boss chủ lực cùng dòng; bộ phận phá được (tháp, xích, động cơ) phải tách thành khối riêng dễ nhìn; có bản vỡ cho từng bộ phận; vạch màu tướng sở hữu.</t>
        </is>
      </c>
      <c r="E22" s="39" t="inlineStr">
        <is>
          <t>Mini</t>
        </is>
      </c>
      <c r="F22" s="39" t="inlineStr">
        <is>
          <t>8</t>
        </is>
      </c>
      <c r="G22" s="39" t="n"/>
      <c r="H22" s="42" t="n">
        <v>11430</v>
      </c>
      <c r="I22" s="39" t="inlineStr">
        <is>
          <t>9450–12600</t>
        </is>
      </c>
      <c r="J22" s="39" t="inlineStr">
        <is>
          <t>4/3/2/2</t>
        </is>
      </c>
      <c r="K22" s="42" t="n">
        <v>3.2</v>
      </c>
      <c r="L22" s="42" t="n">
        <v>55</v>
      </c>
      <c r="M22" s="42" t="n">
        <v>346</v>
      </c>
      <c r="N22" s="42" t="n">
        <v>271</v>
      </c>
      <c r="O22" s="42" t="n">
        <v>0</v>
      </c>
      <c r="P22" s="39" t="inlineStr">
        <is>
          <t>'Battle Mole' của Liên Xô, máy khoan hầm TBM, 2A70 100 mm — 'Earth Worm': máy khoan đất bọc thép ba đốt</t>
        </is>
      </c>
      <c r="Q22" s="39" t="inlineStr">
        <is>
          <t>giáp 0, giáp 1, giáp 2, giáp 3, giáp 4, công trình</t>
        </is>
      </c>
      <c r="R22" s="39" t="inlineStr">
        <is>
          <t>nổ mạnh, đánh nóc, nổ lõm, pháo xe tăng</t>
        </is>
      </c>
      <c r="S22" s="39" t="inlineStr">
        <is>
          <t>chui xuống đất, khoan ngầm không bị nhắm tới dưới cụm xe mặt đất đông nhất của bạn, mặt đất nứt 2 giây rồi nó trồi lên gây rung</t>
        </is>
      </c>
      <c r="T22" s="39" t="inlineStr">
        <is>
          <t>drill head [Động năng, xuyên 4, cận chiến (mũi khoan)] 260/phát · hồi 1.5 s · tầm 7m · Mặt đất
2A70 100/76 mm [Động năng, xuyên 3, đạn pháo động năng nổ lan] 120/phát · hồi 2.08 s · tầm 34 m · Mặt đất
2A70 100/76 mm [Động năng, xuyên 3, đạn pháo động năng nổ lan] 120/phát · hồi 2.08 s · tầm 34 m · Mặt đất</t>
        </is>
      </c>
      <c r="U22" s="39" t="inlineStr">
        <is>
          <t>• Máu: ~10.000 (mini chương 8)</t>
        </is>
      </c>
      <c r="V22" s="39" t="inlineStr">
        <is>
          <t>• Máu: Mini boss nhiều máu hơn boss chủ lực chương 2 và 11.</t>
        </is>
      </c>
      <c r="W22" s="49" t="inlineStr">
        <is>
          <t>Thấp</t>
        </is>
      </c>
    </row>
    <row r="23" ht="63.75" customHeight="1" s="32">
      <c r="A23" s="41" t="inlineStr">
        <is>
          <t>bastion_mk0</t>
        </is>
      </c>
      <c r="B23" s="41" t="inlineStr">
        <is>
          <t>Bastion Mk.0 · Pháo đài nguyên mẫu</t>
        </is>
      </c>
      <c r="C23" s="41" t="inlineStr">
        <is>
          <t>chiếc Bastion đầu tiên của Brandt: một khẩu cối hạng nặng và hai tháp pháo 40 mm trên xích, bò chậm về phía căn cứ ta. mặt trước dày, chậm; hai tháp pháo là thứ phòng thủ gần duy nhất.</t>
        </is>
      </c>
      <c r="D23" s="41" t="inlineStr">
        <is>
          <t>Dựa trên: 2B8 240 mm, Bofors 40 mm · Sandcrawler (Star Wars) — ước đoán: bản đầu, nhỏ của Bastion. Kích thước hiện 24.0 × 9.9 × 9.7 m; boss chủ lực ×1,3–1,5 so với mẫu, mini boss nhỏ hơn boss chủ lực cùng dòng; bộ phận phá được (tháp, xích, động cơ) phải tách thành khối riêng dễ nhìn; có bản vỡ cho từng bộ phận; vạch màu tướng sở hữu.</t>
        </is>
      </c>
      <c r="E23" s="41" t="inlineStr">
        <is>
          <t>Mini</t>
        </is>
      </c>
      <c r="F23" s="41" t="inlineStr">
        <is>
          <t>1</t>
        </is>
      </c>
      <c r="G23" s="41" t="n"/>
      <c r="H23" s="43" t="n">
        <v>12576</v>
      </c>
      <c r="I23" s="41" t="inlineStr">
        <is>
          <t>5400–7200</t>
        </is>
      </c>
      <c r="J23" s="41" t="inlineStr">
        <is>
          <t>5/4/4/3</t>
        </is>
      </c>
      <c r="K23" s="43" t="n">
        <v>1.1</v>
      </c>
      <c r="L23" s="43" t="n">
        <v>64</v>
      </c>
      <c r="M23" s="43" t="n">
        <v>227</v>
      </c>
      <c r="N23" s="43" t="n">
        <v>136</v>
      </c>
      <c r="O23" s="43" t="n">
        <v>54</v>
      </c>
      <c r="P23" s="41" t="inlineStr">
        <is>
          <t>2B8 240 mm, Bofors 40 mm · Sandcrawler (Star Wars) — ước đoán: bản đầu, nhỏ của Bastion</t>
        </is>
      </c>
      <c r="Q23" s="41" t="inlineStr">
        <is>
          <t>giáp 0, giáp 1, giáp 2, giáp 3, giáp 4, công trình</t>
        </is>
      </c>
      <c r="R23" s="41" t="inlineStr">
        <is>
          <t>đánh nóc</t>
        </is>
      </c>
      <c r="S23" s="41" t="inlineStr">
        <is>
          <t>chiếc Bastion đầu tiên của Brandt: một khẩu cối hạng nặng và hai tháp pháo 40 mm trên xích, bò chậm về phía căn cứ ta.</t>
        </is>
      </c>
      <c r="T23" s="41" t="inlineStr">
        <is>
          <t>2B8 240 mm [Nổ mạnh, xuyên 4, đạn pháo nổ mạnh (cối) đánh nóc] nổ lan/phát · 450 · tầm hồi 9.78 s · 80 m (tối thiểu 12)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t>
        </is>
      </c>
      <c r="U23" s="41" t="inlineStr">
        <is>
          <t>• Máu, giáp: ~6.000 · trước 5→4</t>
        </is>
      </c>
      <c r="V23" s="41" t="inlineStr">
        <is>
          <t>• Máu, giáp: Mini boss chương 1 nhiều máu hơn boss chủ lực chương 2.</t>
        </is>
      </c>
      <c r="W23" s="48" t="inlineStr">
        <is>
          <t>Trung</t>
        </is>
      </c>
    </row>
    <row r="24" ht="84.75" customHeight="1" s="32">
      <c r="A24" s="39" t="inlineStr">
        <is>
          <t>nuke_train</t>
        </is>
      </c>
      <c r="B24" s="39" t="inlineStr">
        <is>
          <t>Nemesis · Đoàn tàu tên lửa</t>
        </is>
      </c>
      <c r="C24" s="39" t="inlineStr">
        <is>
          <t>pháo nặng hai nòng (40 m) và hai pháo cao xạ; bị bắn thì núp trong khói; phía sau có toa rốc-két và toa SAM tầm xa, xe bọc thép hộ pháo của nó phá nát mọi thứ gần đường ray; nó không rời được đường ray và không có tên lửa để đánh.</t>
        </is>
      </c>
      <c r="D24" s="39" t="inlineStr">
        <is>
          <t>Dựa trên: RT-23 Molodets (tàu tên lửa BZhRK), MIM-104 Patriot — ước đoán: đoàn tàu bọc thép mang tên lửa đạn đạo. Kích thước hiện 70.0 × 5.8 × 8.4 m; boss chủ lực ×1,3–1,5 so với mẫu, mini boss nhỏ hơn boss chủ lực cùng dòng; bộ phận phá được (tháp, xích, động cơ) phải tách thành khối riêng dễ nhìn; có bản vỡ cho từng bộ phận; vạch màu tướng sở hữu.</t>
        </is>
      </c>
      <c r="E24" s="39" t="inlineStr">
        <is>
          <t>Chủ lực</t>
        </is>
      </c>
      <c r="F24" s="39" t="inlineStr">
        <is>
          <t>7</t>
        </is>
      </c>
      <c r="G24" s="39" t="n"/>
      <c r="H24" s="42" t="n">
        <v>13260</v>
      </c>
      <c r="I24" s="42" t="n">
        <v>20000</v>
      </c>
      <c r="J24" s="39" t="inlineStr">
        <is>
          <t>5/4/3/2</t>
        </is>
      </c>
      <c r="K24" s="42" t="n">
        <v>0.35</v>
      </c>
      <c r="L24" s="42" t="n">
        <v>55</v>
      </c>
      <c r="M24" s="42" t="n">
        <v>523</v>
      </c>
      <c r="N24" s="42" t="n">
        <v>293</v>
      </c>
      <c r="O24" s="42" t="n">
        <v>827</v>
      </c>
      <c r="P24" s="39" t="inlineStr">
        <is>
          <t>RT-23 Molodets (tàu tên lửa BZhRK), MIM-104 Patriot — ước đoán: đoàn tàu bọc thép mang tên lửa đạn đạo</t>
        </is>
      </c>
      <c r="Q24" s="39" t="inlineStr">
        <is>
          <t>giáp 0, giáp 1, giáp 2, giáp 3, trên không, công trình</t>
        </is>
      </c>
      <c r="R24" s="39" t="inlineStr">
        <is>
          <t>nổ mạnh, đánh nóc</t>
        </is>
      </c>
      <c r="S24" s="39" t="inlineStr">
        <is>
          <t>pháo nặng hai nòng (40 m) và hai pháo cao xạ; bị bắn thì núp trong khói; phía sau có toa rốc-két và toa SAM tầm xa, xe bọc thép hộ</t>
        </is>
      </c>
      <c r="T24" s="39" t="inlineStr">
        <is>
          <t>Oerlikon 35 mm (twin) [Mảnh, xuyên 2, đạn nổ trên không nổ lan] 25/phát · băng 41 viên, 20 viên/s, thay 3.38 · tầm 40 m · Tất cả
Oerlikon 35 mm (twin) [Mảnh, xuyên 2, đạn nổ trên không nổ lan] 25/phát · băng 41 viên, 20 viên/s, thay 3.38 · tầm 40 m · Tất cả
MIM-104 Patriot PAC-2 [Mảnh, xuyên 3, tên lửa phòng không đánh nóc] dẫn đường/phát · 340 · tầm loạt 2, hồi 10.1 s · 90 m (tối thiểu
Oerlikon 35 mm (twin) [Mảnh, xuyên 2, đạn nổ trên không nổ lan] 25/phát · băng 41 viên, 20 viên/s, thay 3.38 · tầm 40 m · Tất cả</t>
        </is>
      </c>
      <c r="U24" s="39" t="inlineStr">
        <is>
          <t>Giữ.</t>
        </is>
      </c>
      <c r="V24" s="39" t="inlineStr">
        <is>
          <t>Ổn.</t>
        </is>
      </c>
      <c r="W24" s="49" t="inlineStr">
        <is>
          <t>Thấp</t>
        </is>
      </c>
    </row>
    <row r="25" ht="42.75" customHeight="1" s="32">
      <c r="A25" s="41" t="inlineStr">
        <is>
          <t>scylla</t>
        </is>
      </c>
      <c r="B25" s="41" t="inlineStr">
        <is>
          <t>Scylla · Tàu khu trục</t>
        </is>
      </c>
      <c r="C25" s="41" t="inlineStr">
        <is>
          <t>nhanh hơn Leviathan, chạy tuyến gần bờ: một tháp pháo chính nã vào bờ, ống phóng bắn tên lửa hành trình, CIWS chặn tên lửa và đủ gần để pháo xe tăng ở đầu cầu tàu bắn tới.</t>
        </is>
      </c>
      <c r="D25" s="41" t="inlineStr">
        <is>
          <t>Dựa trên: Sovremenny-class (khu trục hạm), Kirov-class — Bản nhỏ của Leviathan. Kích thước hiện 48.8 × 9.2 × 14.2 m; boss chủ lực ×1,3–1,5 so với mẫu, mini boss nhỏ hơn boss chủ lực cùng dòng; bộ phận phá được (tháp, xích, động cơ) phải tách thành khối riêng dễ nhìn; có bản vỡ cho từng bộ phận; vạch màu tướng sở hữu.</t>
        </is>
      </c>
      <c r="E25" s="41" t="inlineStr">
        <is>
          <t>Mini</t>
        </is>
      </c>
      <c r="F25" s="41" t="inlineStr">
        <is>
          <t>4, 9</t>
        </is>
      </c>
      <c r="G25" s="41" t="n"/>
      <c r="H25" s="43" t="n">
        <v>13370</v>
      </c>
      <c r="I25" s="41" t="inlineStr">
        <is>
          <t>7650–10200</t>
        </is>
      </c>
      <c r="J25" s="41" t="inlineStr">
        <is>
          <t>5/4/3/2</t>
        </is>
      </c>
      <c r="K25" s="43" t="n">
        <v>4.6</v>
      </c>
      <c r="L25" s="43" t="n">
        <v>120</v>
      </c>
      <c r="M25" s="43" t="n">
        <v>104</v>
      </c>
      <c r="N25" s="43" t="n">
        <v>79</v>
      </c>
      <c r="O25" s="43" t="n">
        <v>7</v>
      </c>
      <c r="P25" s="41" t="inlineStr">
        <is>
          <t>Sovremenny-class (khu trục hạm), Kirov-class — Bản nhỏ của Leviathan</t>
        </is>
      </c>
      <c r="Q25" s="41" t="inlineStr">
        <is>
          <t>giáp 0, giáp 1, giáp 2, giáp 3, giáp 4, công trình</t>
        </is>
      </c>
      <c r="R25" s="41" t="inlineStr">
        <is>
          <t>nổ mạnh, đánh nóc</t>
        </is>
      </c>
      <c r="S25" s="41" t="inlineStr">
        <is>
          <t>nhanh hơn Leviathan, chạy tuyến gần bờ: một tháp pháo chính nã vào bờ, ống phóng bắn tên lửa hành trình, CIWS chặn tên lửa và</t>
        </is>
      </c>
      <c r="T25" s="41" t="inlineStr">
        <is>
          <t>Type 94 460 mm/45 (triple) [Nổ mạnh, xuyên 4, đạn pháo nổ mạnh nổ lan] 950/phát · hồi 14 s · tầm 160 m · Mặt đất
AK-630 30 mm [Động năng, xuyên 2, đạn pháo động năng (pháo tự động)] 22/phát · băng 15 viên, 60 viên/s, thay 14.71 s · tầm 34 m · Tất cả</t>
        </is>
      </c>
      <c r="U25" s="41" t="inlineStr">
        <is>
          <t>• Vũ khí, máu: pháo 130 mm AK-130 đôi + bệ tên lửa chống hạm + CIWS · ~9.000 máu</t>
        </is>
      </c>
      <c r="V25" s="41" t="inlineStr">
        <is>
          <t>• Vũ khí, máu: Tàu khu trục mini boss mang pháo thiết giáp hạm, máu cao hơn boss chủ lực.</t>
        </is>
      </c>
      <c r="W25" s="47" t="inlineStr">
        <is>
          <t>Cao</t>
        </is>
      </c>
    </row>
    <row r="26" ht="147.75" customHeight="1" s="32">
      <c r="A26" s="39" t="inlineStr">
        <is>
          <t>silver_bug</t>
        </is>
      </c>
      <c r="B26" s="39" t="inlineStr">
        <is>
          <t>Icarus · Phi thuyền quỹ đạo</t>
        </is>
      </c>
      <c r="C26" s="39" t="inlineStr">
        <is>
          <t>tháp la-de chính bắn xuống mặt đất ở cả tầng cao lẫn tầng thấp; khoang đổ bộ thả xe xuống; cứ 60 giây có 5 thanh vonfram rơi từ bụng nó (giáp cấp 2) lộ ra ở tầng thấp; hai tháp la-de phòng thủ điểm của nó bắn hạ bớt SAM và tên lửa của ta.</t>
        </is>
      </c>
      <c r="D26" s="39" t="inlineStr">
        <is>
          <t>Dựa trên: Polyus / Skif-DM (trạm vũ khí quỹ đạo Liên Xô, 1987), ISS (giàn chính, cánh pin mặt trời, tấm tản nhiệt), Hubble / KH-11 (ống kính, cửa. Kích thước hiện 90.0 × 45.2 × 32.5 m; boss chủ lực ×1,3–1,5 so với mẫu, mini boss nhỏ hơn boss chủ lực cùng dòng; bộ phận phá được (tháp, xích, động cơ) phải tách thành khối riêng dễ nhìn; có bản vỡ cho từng bộ phận; vạch màu tướng sở hữu.</t>
        </is>
      </c>
      <c r="E26" s="39" t="inlineStr">
        <is>
          <t>Chủ lực (trùm cuối)</t>
        </is>
      </c>
      <c r="F26" s="39" t="inlineStr">
        <is>
          <t>12</t>
        </is>
      </c>
      <c r="G26" s="39" t="inlineStr">
        <is>
          <t>Có</t>
        </is>
      </c>
      <c r="H26" s="42" t="n">
        <v>13388</v>
      </c>
      <c r="I26" s="42" t="n">
        <v>26000</v>
      </c>
      <c r="J26" s="39" t="inlineStr">
        <is>
          <t>cấp 4 (Rất dày)</t>
        </is>
      </c>
      <c r="K26" s="42" t="n">
        <v>5</v>
      </c>
      <c r="L26" s="42" t="n">
        <v>80</v>
      </c>
      <c r="M26" s="42" t="n">
        <v>592</v>
      </c>
      <c r="N26" s="42" t="n">
        <v>370</v>
      </c>
      <c r="O26" s="42" t="n">
        <v>550</v>
      </c>
      <c r="P26" s="39" t="inlineStr">
        <is>
          <t>Polyus / Skif-DM (trạm vũ khí quỹ đạo Liên Xô, 1987), ISS (giàn chính, cánh pin mặt trời, tấm tản nhiệt), Hubble / KH-11 (ống kính, cửa</t>
        </is>
      </c>
      <c r="Q26" s="39" t="inlineStr">
        <is>
          <t>giáp 0, giáp 1, giáp 2, giáp 3, giáp 4, trên không, công trình</t>
        </is>
      </c>
      <c r="R26" s="39" t="n"/>
      <c r="S26" s="39" t="inlineStr">
        <is>
          <t>tháp la-de chính bắn xuống mặt đất ở cả tầng cao lẫn tầng thấp; khoang đổ bộ thả xe xuống; cứ 60 giây có 5 thanh vonfram rơi từ</t>
        </is>
      </c>
      <c r="T26" s="39" t="inlineStr">
        <is>
          <t>laser (150 kW) 150 mm [Năng lượng, xuyên 4, năng lượng nổ lan] 9/phát · hồi 0.1 s · tầm 36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t>
        </is>
      </c>
      <c r="U26" s="39" t="inlineStr">
        <is>
          <t>• Máu: ~26.000 (cao nhất game)
• Vũ khí: thay bằng 2 coilgun và 2 tháp laser phòng thủ điểm; pháo thông thường chỉ ở tháp phụ pha 3 (xác rơi)</t>
        </is>
      </c>
      <c r="V26" s="39" t="inlineStr">
        <is>
          <t>• Máu: Trùm cuối phải có nhiều máu nhất.
• Vũ khí: Phi thuyền quỹ đạo mang pháo xe tăng là vô lý.</t>
        </is>
      </c>
      <c r="W26" s="47" t="inlineStr">
        <is>
          <t>Cao</t>
        </is>
      </c>
    </row>
    <row r="27" ht="168" customHeight="1" s="32">
      <c r="A27" s="41" t="inlineStr">
        <is>
          <t>mobile_fortress</t>
        </is>
      </c>
      <c r="B27" s="41" t="inlineStr">
        <is>
          <t>Jötunn · Pháo đài di động</t>
        </is>
      </c>
      <c r="C27" s="41" t="inlineStr">
        <is>
          <t>lựu pháo (60 m), hộp rốc-két, pháo cao xạ và tên lửa; EMP làm choáng xe mặt đất trong 22 m; hộ tống là 2 tăng nặng và 1 xe công xé nát xe nhẹ và xe tăng dồn quanh nó; xe diệt tăng và pháo hạng nặng bào dần được nó.</t>
        </is>
      </c>
      <c r="D27" s="41" t="inlineStr">
        <is>
          <t>Dựa trên: NASA Crawler-Transporter, Kharkovchanka (1959), 2A44 203 mm (2S7 Pion) · Sandcrawler (Star Wars) — ước đoán: pháo đài bánh xích bốn cụm, cầu chỉ huy lắp kính. Kích thước hiện 32.0 × 18.1 × 16.5 m; boss chủ lực ×1,3–1,5 so với mẫu, mini boss nhỏ hơn boss chủ lực cùng dòng; bộ phận phá được (tháp, xích, động cơ) phải tách thành khối riêng dễ nhìn; có bản vỡ cho từng bộ phận; vạch màu tướng sở hữu.</t>
        </is>
      </c>
      <c r="E27" s="41" t="inlineStr">
        <is>
          <t>Chủ lực</t>
        </is>
      </c>
      <c r="F27" s="41" t="inlineStr">
        <is>
          <t>3</t>
        </is>
      </c>
      <c r="G27" s="41" t="n"/>
      <c r="H27" s="43" t="n">
        <v>15470</v>
      </c>
      <c r="I27" s="43" t="n">
        <v>15000</v>
      </c>
      <c r="J27" s="41" t="inlineStr">
        <is>
          <t>5/4/3/2</t>
        </is>
      </c>
      <c r="K27" s="43" t="n">
        <v>1.8</v>
      </c>
      <c r="L27" s="43" t="n">
        <v>60</v>
      </c>
      <c r="M27" s="43" t="n">
        <v>516</v>
      </c>
      <c r="N27" s="43" t="n">
        <v>308</v>
      </c>
      <c r="O27" s="43" t="n">
        <v>709</v>
      </c>
      <c r="P27" s="41" t="inlineStr">
        <is>
          <t>NASA Crawler-Transporter, Kharkovchanka (1959), 2A44 203 mm (2S7 Pion) · Sandcrawler (Star Wars) — ước đoán: pháo đài bánh xích bốn cụm, cầu chỉ huy lắp kính</t>
        </is>
      </c>
      <c r="Q27" s="41" t="inlineStr">
        <is>
          <t>giáp 0, giáp 1, giáp 2, giáp 3, giáp 4, trên không, công trình</t>
        </is>
      </c>
      <c r="R27" s="41" t="inlineStr">
        <is>
          <t>nổ mạnh, đánh nóc</t>
        </is>
      </c>
      <c r="S27" s="41" t="inlineStr">
        <is>
          <t>lựu pháo (60 m), hộp rốc-két, pháo cao xạ và tên lửa; EMP làm choáng xe mặt đất trong 22 m; hộ tống là 2 tăng nặng và 1 xe công</t>
        </is>
      </c>
      <c r="T27" s="41" t="inlineStr">
        <is>
          <t>2A44 203 mm [Nổ mạnh, xuyên 4, đạn pháo nổ mạnh nổ lan] 420/phát · hồi 9.44 s · tầm 60 m · Mặt đất
BM-21 Grad 122 mm [Nổ mạnh, xuyên 2, rốc-két nổ lan] 57/phát · loạt 13, hồi 2.44 s · tầm 45 m · Mặt đất
BM-21 Grad 122 mm [Nổ mạnh, xuyên 2, rốc-két nổ lan] 57/phát · loạt 13, hồi 2.44 s · tầm 45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9M133 Kornet [Nổ lõm, xuyên 4, tên lửa chống tăng dẫn đường] 230/phát · hồi 6.39 s · tầm 45 m · Mặt đất
2A44 203 mm [Nổ mạnh, xuyên 4, đạn pháo nổ mạnh nổ lan] 420/phát · hồi 9.44 s · tầm 60 m · Mặt đất
9M317 Buk [Mảnh, xuyên 3, tên lửa phòng không dẫn đường] nổ lan/phát · 320 · tầm loạt 2, hồi 3.4 s · 60 m</t>
        </is>
      </c>
      <c r="U27" s="41" t="inlineStr">
        <is>
          <t>Giữ.</t>
        </is>
      </c>
      <c r="V27" s="41" t="inlineStr">
        <is>
          <t>Ổn.</t>
        </is>
      </c>
      <c r="W27" s="49" t="inlineStr">
        <is>
          <t>Thấp</t>
        </is>
      </c>
    </row>
    <row r="28" ht="126.75" customHeight="1" s="32">
      <c r="A28" s="39" t="inlineStr">
        <is>
          <t>command_airship</t>
        </is>
      </c>
      <c r="B28" s="39" t="inlineStr">
        <is>
          <t>Roc · Khí cầu chỉ huy</t>
        </is>
      </c>
      <c r="C28" s="39" t="inlineStr">
        <is>
          <t>hai tháp pháo phòng không 57 mm, drone từ hai nhà chứa và thỉnh thoảng mỗi nhà chứa thả một UAV tấn công. Mỗi bộ phận có chỉ phòng không và tiêm kích với tới; phá nhà chứa thì ngừng thả drone, phá radar thì pháo phòng không của nó bắn lệch.</t>
        </is>
      </c>
      <c r="D28" s="39" t="inlineStr">
        <is>
          <t>Dựa trên: Airlander 10, Lockheed P-791 (khí cầu lai hiện đại) · Kirov Airship (Red Alert 2) — ước đoán: 'Sky Admiral', thiết giáp hạm bay hai túi khí. Kích thước hiện 80.0 × 55.4 × 28.3 m; boss chủ lực ×1,3–1,5 so với mẫu, mini boss nhỏ hơn boss chủ lực cùng dòng; bộ phận phá được (tháp, xích, động cơ) phải tách thành khối riêng dễ nhìn; có bản vỡ cho từng bộ phận; vạch màu tướng sở hữu.</t>
        </is>
      </c>
      <c r="E28" s="39" t="inlineStr">
        <is>
          <t>Chủ lực</t>
        </is>
      </c>
      <c r="F28" s="39" t="inlineStr">
        <is>
          <t>10</t>
        </is>
      </c>
      <c r="G28" s="39" t="inlineStr">
        <is>
          <t>Có</t>
        </is>
      </c>
      <c r="H28" s="42" t="n">
        <v>16575</v>
      </c>
      <c r="I28" s="42" t="n">
        <v>23000</v>
      </c>
      <c r="J28" s="39" t="inlineStr">
        <is>
          <t>cấp 2 (Vừa)</t>
        </is>
      </c>
      <c r="K28" s="42" t="n">
        <v>4.5</v>
      </c>
      <c r="L28" s="42" t="n">
        <v>80</v>
      </c>
      <c r="M28" s="42" t="n">
        <v>370</v>
      </c>
      <c r="N28" s="42" t="n">
        <v>233</v>
      </c>
      <c r="O28" s="42" t="n">
        <v>332</v>
      </c>
      <c r="P28" s="39" t="inlineStr">
        <is>
          <t>Airlander 10, Lockheed P-791 (khí cầu lai hiện đại) · Kirov Airship (Red Alert 2) — ước đoán: 'Sky Admiral', thiết giáp hạm bay hai túi khí</t>
        </is>
      </c>
      <c r="Q28" s="39" t="inlineStr">
        <is>
          <t>giáp 0, giáp 1, giáp 2, giáp 3, trên không, công trình</t>
        </is>
      </c>
      <c r="R28" s="39" t="inlineStr">
        <is>
          <t>mảnh, năng lượng</t>
        </is>
      </c>
      <c r="S28" s="39" t="inlineStr">
        <is>
          <t>hai tháp pháo phòng không 57 mm, drone từ hai nhà chứa và thỉnh thoảng mỗi nhà chứa thả một UAV tấn công. Mỗi bộ phận có</t>
        </is>
      </c>
      <c r="T28" s="39" t="inlineStr">
        <is>
          <t>S-60 57 mm [Mảnh, xuyên 2, đạn nổ trên không nổ lan] 70/phát · băng 8 viên, 2 viên/s, thay 0.88 s · tầm 48 m · Tất cả
S-60 57 mm [Mảnh, xuyên 2, đạn nổ trên không nổ lan] 70/phát · băng 8 viên, 2 viên/s, thay 0.88 s · tầm 48 m · Tất cả
FPV drone (1.5 kg) [Nổ lõm, xuyên 3, drone (FPV) đánh nóc] dẫn đường/phát · nổ lan · tầm 140 · loạt 3, hồi 8 s
FPV drone (1.5 kg) [Nổ lõm, xuyên 3, drone (FPV) đánh nóc] dẫn đường/phát · nổ lan · tầm 140 · loạt 3, hồi 8 s
M102 105 mm [Nổ mạnh, xuyên 2, đạn pháo nổ mạnh nổ lan] 200/phát · hồi 2.743 s · tầm 58 m · Mặt đất
M102 105 mm [Nổ mạnh, xuyên 2, đạn pháo nổ mạnh nổ lan] 200/phát · hồi 2.743 s · tầm 58 m · Mặt đất</t>
        </is>
      </c>
      <c r="U28" s="39" t="inlineStr">
        <is>
          <t>Giữ.</t>
        </is>
      </c>
      <c r="V28" s="39" t="inlineStr">
        <is>
          <t>Ổn.</t>
        </is>
      </c>
      <c r="W28" s="49" t="inlineStr">
        <is>
          <t>Thấp</t>
        </is>
      </c>
    </row>
    <row r="29" ht="105.75" customHeight="1" s="32">
      <c r="A29" s="41" t="inlineStr">
        <is>
          <t>moloch</t>
        </is>
      </c>
      <c r="B29" s="41" t="inlineStr">
        <is>
          <t>Moloch · Nhà máy di động</t>
        </is>
      </c>
      <c r="C29" s="41" t="inlineStr">
        <is>
          <t>bò chậm theo đường của nhiệm vụ; hai cửa xưởng cứ 20 giây thả 1–2 xe (xe tăng nhẹ và xe bộ binh, từ pha 2 thêm tăng chủ lực), giáp trước cấp 4, hông 3, sau 2: cửa xưởng ở phía sau, giáp mỏng cũng ở đó. Phá cụm xích thì nó chậm lại.</t>
        </is>
      </c>
      <c r="D29" s="41" t="inlineStr">
        <is>
          <t>Dựa trên: xưởng cơ động bánh xích · Fatboy (Supreme Commander), MCV / War Factory (Command &amp; Conquer) — ước đoán: nhà máy di động. Kích thước hiện 40.0 × 21.7 × 18.1 m; boss chủ lực ×1,3–1,5 so với mẫu, mini boss nhỏ hơn boss chủ lực cùng dòng; bộ phận phá được (tháp, xích, động cơ) phải tách thành khối riêng dễ nhìn; có bản vỡ cho từng bộ phận; vạch màu tướng sở hữu.</t>
        </is>
      </c>
      <c r="E29" s="41" t="inlineStr">
        <is>
          <t>Chủ lực</t>
        </is>
      </c>
      <c r="F29" s="41" t="inlineStr">
        <is>
          <t>6</t>
        </is>
      </c>
      <c r="G29" s="41" t="n"/>
      <c r="H29" s="43" t="n">
        <v>17212</v>
      </c>
      <c r="I29" s="43" t="n">
        <v>19000</v>
      </c>
      <c r="J29" s="41" t="inlineStr">
        <is>
          <t>5/4/3/2</t>
        </is>
      </c>
      <c r="K29" s="43" t="n">
        <v>1.2</v>
      </c>
      <c r="L29" s="43" t="n">
        <v>60</v>
      </c>
      <c r="M29" s="43" t="n">
        <v>321</v>
      </c>
      <c r="N29" s="43" t="n">
        <v>236</v>
      </c>
      <c r="O29" s="43" t="n">
        <v>248</v>
      </c>
      <c r="P29" s="41" t="inlineStr">
        <is>
          <t>xưởng cơ động bánh xích · Fatboy (Supreme Commander), MCV / War Factory (Command &amp; Conquer) — ước đoán: nhà máy di động</t>
        </is>
      </c>
      <c r="Q29" s="41" t="inlineStr">
        <is>
          <t>giáp 0, giáp 1, giáp 2, giáp 3, giáp 4, trên không, công trình</t>
        </is>
      </c>
      <c r="R29" s="41" t="inlineStr">
        <is>
          <t>nổ mạnh, đánh nóc</t>
        </is>
      </c>
      <c r="S29" s="41" t="inlineStr">
        <is>
          <t>bò chậm theo đường của nhiệm vụ; hai cửa xưởng cứ 20 giây thả 1–2 xe (xe tăng nhẹ và xe bộ binh, từ pha 2 thêm tăng chủ lực),</t>
        </is>
      </c>
      <c r="T29" s="41" t="inlineStr">
        <is>
          <t>Rh-120 L/44 120 mm [Động năng, xuyên 4, đạn pháo động năng (≥120 mm) nổ lan] 240/phát · hồi 5.098 s · tầm 32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t>
        </is>
      </c>
      <c r="U29" s="41" t="inlineStr">
        <is>
          <t>Giữ.</t>
        </is>
      </c>
      <c r="V29" s="41" t="inlineStr">
        <is>
          <t>Ổn.</t>
        </is>
      </c>
      <c r="W29" s="49" t="inlineStr">
        <is>
          <t>Thấp</t>
        </is>
      </c>
    </row>
    <row r="30" ht="189" customHeight="1" s="32">
      <c r="A30" s="39" t="inlineStr">
        <is>
          <t>fortress_bastion</t>
        </is>
      </c>
      <c r="B30" s="39" t="inlineStr">
        <is>
          <t>Bastion · Pháo đài</t>
        </is>
      </c>
      <c r="C30" s="39" t="inlineStr">
        <is>
          <t>khẩu cối hạng nặng bắn tầm 12–80 m, bốn tháp pháo tự động 40 mm (28 m) phủ mọi hướng, còn nửa máu nó tự vá giáp một lần. pháo tự động xé nát xe nhẹ tới gần; giáp dày chặn đạn súng máy, cối không bắn được trong vòng 12 m.</t>
        </is>
      </c>
      <c r="D30" s="39" t="inlineStr">
        <is>
          <t>Dựa trên: 2B8 240 mm, Bofors 40 mm, 9M133 Kornet · Sandcrawler (Star Wars) — ước đoán: pháo đài bánh xích bọc giáp tấm dày. Kích thước hiện 40.0 × 16.5 × 16.1 m; boss chủ lực ×1,3–1,5 so với mẫu, mini boss nhỏ hơn boss chủ lực cùng dòng; bộ phận phá được (tháp, xích, động cơ) phải tách thành khối riêng dễ nhìn; có bản vỡ cho từng bộ phận; vạch màu tướng sở hữu.</t>
        </is>
      </c>
      <c r="E30" s="39" t="inlineStr">
        <is>
          <t>Chủ lực</t>
        </is>
      </c>
      <c r="F30" s="39" t="inlineStr">
        <is>
          <t>1</t>
        </is>
      </c>
      <c r="G30" s="39" t="n"/>
      <c r="H30" s="42" t="n">
        <v>17935</v>
      </c>
      <c r="I30" s="42" t="n">
        <v>12000</v>
      </c>
      <c r="J30" s="39" t="inlineStr">
        <is>
          <t>5/4/4/3</t>
        </is>
      </c>
      <c r="K30" s="42" t="n">
        <v>1.5</v>
      </c>
      <c r="L30" s="42" t="n">
        <v>64</v>
      </c>
      <c r="M30" s="42" t="n">
        <v>606</v>
      </c>
      <c r="N30" s="42" t="n">
        <v>331</v>
      </c>
      <c r="O30" s="42" t="n">
        <v>480</v>
      </c>
      <c r="P30" s="39" t="inlineStr">
        <is>
          <t>2B8 240 mm, Bofors 40 mm, 9M133 Kornet · Sandcrawler (Star Wars) — ước đoán: pháo đài bánh xích bọc giáp tấm dày</t>
        </is>
      </c>
      <c r="Q30" s="39" t="inlineStr">
        <is>
          <t>giáp 0, giáp 1, giáp 2, giáp 3, giáp 4, trên không, công trình</t>
        </is>
      </c>
      <c r="R30" s="39" t="inlineStr">
        <is>
          <t>đánh nóc</t>
        </is>
      </c>
      <c r="S30" s="39" t="inlineStr">
        <is>
          <t>khẩu cối hạng nặng bắn tầm 12–80 m, bốn tháp pháo tự động 40 mm (28 m) phủ mọi hướng, còn nửa máu nó tự vá giáp một lần.</t>
        </is>
      </c>
      <c r="T30" s="39" t="inlineStr">
        <is>
          <t>2B8 240 mm [Nổ mạnh, xuyên 4, đạn pháo nổ mạnh (cối) đánh nóc] nổ lan/phát · 450 · tầm hồi 9.78 s · 80 m (tối thiểu 12)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9M133 Kornet [Nổ lõm, xuyên 4, tên lửa chống tăng dẫn đường] 230/phát · loạt 2, hồi 9.91 s · tầm 50 m · Mặt đất
M284 155 mm (casemate) [Nổ mạnh, xuyên 3, đạn pháo nổ mạnh đánh nóc] nổ lan/phát · 320 · tầm hồi 12.81 s · 75 m (tối thiểu 20)
ZU-23-2 23 mm [Mảnh, xuyên 1, đạn nổ trên không] 15/phát · băng 57 viên, 11 viên/s, thay 1 s · tầm 32 m · Tất cả
ZU-23-2 23 mm [Mảnh, xuyên 1, đạn nổ trên không] 15/phát · băng 57 viên, 11 viên/s, thay 1 s · tầm 32 m · Tất cả</t>
        </is>
      </c>
      <c r="U30" s="39" t="inlineStr">
        <is>
          <t>• Máu: ~12.000</t>
        </is>
      </c>
      <c r="V30" s="39" t="inlineStr">
        <is>
          <t>• Máu: Boss chương 1 gần bằng boss chương 9–12.</t>
        </is>
      </c>
      <c r="W30" s="48" t="inlineStr">
        <is>
          <t>Trung</t>
        </is>
      </c>
    </row>
    <row r="31" ht="42.75" customHeight="1" s="32">
      <c r="A31" s="41" t="inlineStr">
        <is>
          <t>typhon</t>
        </is>
      </c>
      <c r="B31" s="41" t="inlineStr">
        <is>
          <t>Typhon · Tàu ngầm tên lửa</t>
        </is>
      </c>
      <c r="C31" s="41" t="inlineStr">
        <is>
          <t>lặn (không bắn tới được) và nổi (mục tiêu trên mặt nước) theo lịch từng pha, mỗi lần nổi ở một chỗ khác; bong bóng báo trước chỗ thân giáp cấp 4, tháp chỉ huy và boong 2: pháo binh, bom và đòn đánh nóc đánh vào boong.</t>
        </is>
      </c>
      <c r="D31" s="41" t="inlineStr">
        <is>
          <t>Dựa trên: Project 941 Akula (Typhoon) · The Hunt for Red October (1990) — Tàu ngầm tên lửa. Kích thước hiện 70.0 × 14.5 × 16.7 m; boss chủ lực ×1,3–1,5 so với mẫu, mini boss nhỏ hơn boss chủ lực cùng dòng; bộ phận phá được (tháp, xích, động cơ) phải tách thành khối riêng dễ nhìn; có bản vỡ cho từng bộ phận; vạch màu tướng sở hữu.</t>
        </is>
      </c>
      <c r="E31" s="41" t="inlineStr">
        <is>
          <t>Chủ lực</t>
        </is>
      </c>
      <c r="F31" s="41" t="inlineStr">
        <is>
          <t>9</t>
        </is>
      </c>
      <c r="G31" s="41" t="n"/>
      <c r="H31" s="43" t="n">
        <v>17935</v>
      </c>
      <c r="I31" s="43" t="n">
        <v>22000</v>
      </c>
      <c r="J31" s="41" t="inlineStr">
        <is>
          <t>5/4/4/2</t>
        </is>
      </c>
      <c r="K31" s="43" t="n">
        <v>3</v>
      </c>
      <c r="L31" s="43" t="n">
        <v>110</v>
      </c>
      <c r="M31" s="43" t="n">
        <v>110</v>
      </c>
      <c r="N31" s="43" t="n">
        <v>78</v>
      </c>
      <c r="O31" s="43" t="n">
        <v>213</v>
      </c>
      <c r="P31" s="41" t="inlineStr">
        <is>
          <t>Project 941 Akula (Typhoon) · The Hunt for Red October (1990) — Tàu ngầm tên lửa</t>
        </is>
      </c>
      <c r="Q31" s="41" t="inlineStr">
        <is>
          <t>giáp 0, giáp 1, giáp 2, giáp 3, trên không, công trình</t>
        </is>
      </c>
      <c r="R31" s="41" t="inlineStr">
        <is>
          <t>nổ mạnh, đánh nóc</t>
        </is>
      </c>
      <c r="S31" s="41" t="inlineStr">
        <is>
          <t>lặn (không bắn tới được) và nổi (mục tiêu trên mặt nước) theo lịch từng pha, mỗi lần nổi ở một chỗ khác; bong bóng báo trước chỗ</t>
        </is>
      </c>
      <c r="T31" s="41" t="inlineStr">
        <is>
          <t>9M317 Buk [Mảnh, xuyên 3, tên lửa phòng không dẫn đường] nổ lan/phát · 320 · tầm loạt 2, hồi 3.4 s · 60 m
AK-100 100 mm [Nổ mạnh, xuyên 3, đạn pháo nổ mạnh nổ lan] 160/phát · loạt 2, hồi 3 s · tầm 90 m · Mặt đất</t>
        </is>
      </c>
      <c r="U31" s="41" t="inlineStr">
        <is>
          <t>• Vũ khí: thêm tên lửa hành trình tầm ngắn bắn thường</t>
        </is>
      </c>
      <c r="V31" s="41" t="inlineStr">
        <is>
          <t>• Vũ khí: Thiết kế có nhưng dữ liệu chưa có.</t>
        </is>
      </c>
      <c r="W31" s="48" t="inlineStr">
        <is>
          <t>Trung</t>
        </is>
      </c>
    </row>
    <row r="32" ht="63.75" customHeight="1" s="32">
      <c r="A32" s="39" t="inlineStr">
        <is>
          <t>kronos</t>
        </is>
      </c>
      <c r="B32" s="39" t="inlineStr">
        <is>
          <t>Kronos · Máy xúc mỏ</t>
        </is>
      </c>
      <c r="C32" s="39" t="inlineStr">
        <is>
          <t>chạy rất chậm theo đường cố định về căn cứ ta; bánh gầu nghiền mọi thứ phía trước, cả tường lẫn tháp. Tới được HQ là thua nhiệm bánh gầu giáp cấp 4, thân 3, cụm xích 2. Mỗi cụm xích bị phá là nó chậm lại.</t>
        </is>
      </c>
      <c r="D32" s="39" t="inlineStr">
        <is>
          <t>Dựa trên: Bagger 288 — Máy xúc gầu quay khổng lồ. Kích thước hiện 60.0 × 20.0 × 19.8 m; boss chủ lực ×1,3–1,5 so với mẫu, mini boss nhỏ hơn boss chủ lực cùng dòng; bộ phận phá được (tháp, xích, động cơ) phải tách thành khối riêng dễ nhìn; có bản vỡ cho từng bộ phận; vạch màu tướng sở hữu.</t>
        </is>
      </c>
      <c r="E32" s="39" t="inlineStr">
        <is>
          <t>Chủ lực</t>
        </is>
      </c>
      <c r="F32" s="39" t="inlineStr">
        <is>
          <t>8</t>
        </is>
      </c>
      <c r="G32" s="39" t="n"/>
      <c r="H32" s="42" t="n">
        <v>18360</v>
      </c>
      <c r="I32" s="42" t="n">
        <v>21000</v>
      </c>
      <c r="J32" s="39" t="inlineStr">
        <is>
          <t>4/4/3/2</t>
        </is>
      </c>
      <c r="K32" s="42" t="n">
        <v>0.9</v>
      </c>
      <c r="L32" s="42" t="n">
        <v>60</v>
      </c>
      <c r="M32" s="42" t="n">
        <v>219</v>
      </c>
      <c r="N32" s="42" t="n">
        <v>110</v>
      </c>
      <c r="O32" s="42" t="n">
        <v>0</v>
      </c>
      <c r="P32" s="39" t="inlineStr">
        <is>
          <t>Bagger 288 — Máy xúc gầu quay khổng lồ</t>
        </is>
      </c>
      <c r="Q32" s="39" t="inlineStr">
        <is>
          <t>giáp 0, giáp 1, giáp 2, công trình</t>
        </is>
      </c>
      <c r="R32" s="39" t="inlineStr">
        <is>
          <t>nổ mạnh, đánh nóc, nổ lõm, pháo xe tăng</t>
        </is>
      </c>
      <c r="S32" s="39" t="inlineStr">
        <is>
          <t>chạy rất chậm theo đường cố định về căn cứ ta; bánh gầu nghiền mọi thứ phía trước, cả tường lẫn tháp. Tới được HQ là thua nhiệm</t>
        </is>
      </c>
      <c r="T32" s="39" t="inlineStr">
        <is>
          <t>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
BM-21 Grad 122 mm [Nổ mạnh, xuyên 2, rốc-két nổ lan] 57/phát · loạt 13, hồi 2.44 s · tầm 45 m · Mặt đất</t>
        </is>
      </c>
      <c r="U32" s="39" t="inlineStr">
        <is>
          <t>• Dữ liệu vũ khí: thêm bánh gầu thành một vũ khí</t>
        </is>
      </c>
      <c r="V32" s="39" t="inlineStr">
        <is>
          <t>• Dữ liệu vũ khí: Như trên.</t>
        </is>
      </c>
      <c r="W32" s="49" t="inlineStr">
        <is>
          <t>Thấp</t>
        </is>
      </c>
    </row>
    <row r="33" ht="314.25" customHeight="1" s="32">
      <c r="A33" s="41" t="inlineStr">
        <is>
          <t>leviathan</t>
        </is>
      </c>
      <c r="B33" s="41" t="inlineStr">
        <is>
          <t>Leviathan · Thiết giáp hạm</t>
        </is>
      </c>
      <c r="C33" s="41" t="inlineStr">
        <is>
          <t>ba tháp pháo ba nòng 406 mm bắn loạt vào bờ, mỗi tháp một nòng, có cảnh báo trước và quét dần dọc bờ, và bắn cả chín nòng vào hông tàu giáp cấp 4, boong chỉ cấp 2: pháo binh, bom, pháo phản lực và đòn đánh nóc đánh vào boong; pháo xe tăng chỉ với tới</t>
        </is>
      </c>
      <c r="D33" s="41" t="inlineStr">
        <is>
          <t>Dựa trên: Iowa-class hiện đại hóa thập niên 1980 (Mk 7 406 mm), Kirov-class (bệ phóng thẳng đứng) — Thiết giáp hạm lớp Iowa hiện đại hóa, thêm bệ phóng thẳng đứng kiểu Kirov. Kích thước hiện 97.6 × 18.5 × 28.5 m; boss chủ lực ×1,3–1,5 so với mẫu, mini boss nhỏ hơn boss chủ lực cùng dòng; bộ phận phá được (tháp, xích, động cơ) phải tách thành khối riêng dễ nhìn; có bản vỡ cho từng bộ phận; vạch màu tướng sở hữu.</t>
        </is>
      </c>
      <c r="E33" s="41" t="inlineStr">
        <is>
          <t>Chủ lực</t>
        </is>
      </c>
      <c r="F33" s="41" t="inlineStr">
        <is>
          <t>4</t>
        </is>
      </c>
      <c r="G33" s="41" t="n"/>
      <c r="H33" s="43" t="n">
        <v>18700</v>
      </c>
      <c r="I33" s="43" t="n">
        <v>17000</v>
      </c>
      <c r="J33" s="41" t="inlineStr">
        <is>
          <t>5/4/3/2</t>
        </is>
      </c>
      <c r="K33" s="43" t="n">
        <v>2.6</v>
      </c>
      <c r="L33" s="43" t="n">
        <v>120</v>
      </c>
      <c r="M33" s="43" t="n">
        <v>508</v>
      </c>
      <c r="N33" s="43" t="n">
        <v>381</v>
      </c>
      <c r="O33" s="43" t="n">
        <v>869</v>
      </c>
      <c r="P33" s="41" t="inlineStr">
        <is>
          <t>Iowa-class hiện đại hóa thập niên 1980 (Mk 7 406 mm), Kirov-class (bệ phóng thẳng đứng) — Thiết giáp hạm lớp Iowa hiện đại hóa, thêm bệ phóng thẳng đứng kiểu Kirov</t>
        </is>
      </c>
      <c r="Q33" s="41" t="inlineStr">
        <is>
          <t>giáp 0, giáp 1, giáp 2, giáp 3, giáp 4, trên không, công trình</t>
        </is>
      </c>
      <c r="R33" s="41" t="inlineStr">
        <is>
          <t>nổ mạnh, đánh nóc</t>
        </is>
      </c>
      <c r="S33" s="41" t="inlineStr">
        <is>
          <t>ba tháp pháo ba nòng 406 mm bắn loạt vào bờ, mỗi tháp một nòng, có cảnh báo trước và quét dần dọc bờ, và bắn cả chín nòng vào</t>
        </is>
      </c>
      <c r="T33" s="41" t="inlineStr">
        <is>
          <t>Mk 7 406 mm/50 (Iowa, triple) [Nổ mạnh, xuyên 4, đạn pháo nổ mạnh nổ lan] 950/phát · hồi 14 s · tầm 160 m · Mặt đất
Mk 7 406 mm/50 (Iowa, triple) [Nổ mạnh, xuyên 4, đạn pháo nổ mạnh nổ lan] 950/phát · hồi 14 s · tầm 160 m · Mặt đất
Mk 7 406 mm/50 (Iowa, triple) [Nổ mạnh, xuyên 4, đạn pháo nổ mạnh nổ lan] 950/phát · hồi 14 s · tầm 160 m · Mặt đất
155 mm/60 (triple) [Nổ mạnh, xuyên 3, đạn pháo nổ mạnh nổ lan] 320/phát · loạt 3, hồi 10 s · tầm 110 m · Mặt đất
155 mm/60 (triple) [Nổ mạnh, xuyên 3, đạn pháo nổ mạnh nổ lan] 320/phát · loạt 3, hồi 10 s · tầm 110 m · Mặt đất
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Tất cả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t>
        </is>
      </c>
      <c r="U33" s="41" t="inlineStr">
        <is>
          <t>• Vũ khí: 406 mm: nổ lan 13 m</t>
        </is>
      </c>
      <c r="V33" s="41" t="inlineStr">
        <is>
          <t>• Vũ khí: 406 mm: Đạn 1,46 tấn đang nổ nhỏ hơn cối 240 mm.</t>
        </is>
      </c>
      <c r="W33" s="48" t="inlineStr">
        <is>
          <t>Trung</t>
        </is>
      </c>
    </row>
    <row r="34" ht="168" customHeight="1" s="32">
      <c r="A34" s="39" t="inlineStr">
        <is>
          <t>drone_mothership</t>
        </is>
      </c>
      <c r="B34" s="39" t="inlineStr">
        <is>
          <t>Matriarch · Tàu mẹ drone</t>
        </is>
      </c>
      <c r="C34" s="39" t="inlineStr">
        <is>
          <t>pháo và bầy drone cảm tử (70 m) đánh mặt đất, pháo cao xạ chống máy bay; cứ 30 giây phóng ra 3 UAV tấn công. nhấn chìm mặt đất bằng drone; chỉ phòng không và tiêm kích gây sát thương được, còn nửa máu thì bật khiên.</t>
        </is>
      </c>
      <c r="D34" s="39" t="inlineStr">
        <is>
          <t>Dựa trên: Airlander 10 (khí cầu mẹ hiện đại), drone FPV · Kirov Airship (Red Alert 2) — ước đoán: khí cầu bọc thép phóng drone. Kích thước hiện 55.0 × 27.3 × 23.1 m; boss chủ lực ×1,3–1,5 so với mẫu, mini boss nhỏ hơn boss chủ lực cùng dòng; bộ phận phá được (tháp, xích, động cơ) phải tách thành khối riêng dễ nhìn; có bản vỡ cho từng bộ phận; vạch màu tướng sở hữu.</t>
        </is>
      </c>
      <c r="E34" s="39" t="inlineStr">
        <is>
          <t>Chủ lực</t>
        </is>
      </c>
      <c r="F34" s="39" t="inlineStr">
        <is>
          <t>5</t>
        </is>
      </c>
      <c r="G34" s="39" t="inlineStr">
        <is>
          <t>Có</t>
        </is>
      </c>
      <c r="H34" s="42" t="n">
        <v>18828</v>
      </c>
      <c r="I34" s="42" t="n">
        <v>18000</v>
      </c>
      <c r="J34" s="39" t="inlineStr">
        <is>
          <t>cấp 2 (Vừa)</t>
        </is>
      </c>
      <c r="K34" s="42" t="n">
        <v>3.5</v>
      </c>
      <c r="L34" s="42" t="n">
        <v>70</v>
      </c>
      <c r="M34" s="42" t="n">
        <v>664</v>
      </c>
      <c r="N34" s="42" t="n">
        <v>438</v>
      </c>
      <c r="O34" s="42" t="n">
        <v>495</v>
      </c>
      <c r="P34" s="39" t="inlineStr">
        <is>
          <t>Airlander 10 (khí cầu mẹ hiện đại), drone FPV · Kirov Airship (Red Alert 2) — ước đoán: khí cầu bọc thép phóng drone</t>
        </is>
      </c>
      <c r="Q34" s="39" t="inlineStr">
        <is>
          <t>giáp 0, giáp 1, giáp 2, giáp 3, giáp 4, trên không, công trình</t>
        </is>
      </c>
      <c r="R34" s="39" t="inlineStr">
        <is>
          <t>mảnh, năng lượng</t>
        </is>
      </c>
      <c r="S34" s="39" t="inlineStr">
        <is>
          <t>pháo và bầy drone cảm tử (70 m) đánh mặt đất, pháo cao xạ chống máy bay; cứ 30 giây phóng ra 3 UAV tấn công.</t>
        </is>
      </c>
      <c r="T34" s="39" t="inlineStr">
        <is>
          <t>AU-220 57 mm [Nổ mạnh, xuyên 2, đạn pháo động năng (pháo tự động) nổ lan] 70/phát · loạt 4, hồi 2.79 s · tầm 45 m · Mặt đất
ZALA Lancet-3 (3 kg) [Nổ lõm, xuyên 4, drone (Lancet) đánh nóc] dẫn đường/phát · nổ lan · tầm 240 · loạt 4, hồi 8.17 s
Oerlikon 35 mm (twin) [Mảnh, xuyên 2, đạn nổ trên không nổ lan] 25/phát · băng 41 viên, 20 viên/s, thay 3.38 s · tầm 40 m · Tất cả
Oerlikon 35 mm (twin) [Mảnh, xuyên 2, đạn nổ trên không nổ lan] 25/phát · băng 41 viên, 20 viên/s, thay 3.38 s · tầm 40 m · Tất cả
AU-220 57 mm [Nổ mạnh, xuyên 2, đạn pháo động năng (pháo tự động) nổ lan] 70/phát · loạt 4, hồi 2.79 s · tầm 45 m · Mặt đất
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
ZALA Lancet-3 (3 kg) [Nổ lõm, xuyên 4, drone (Lancet) đánh nóc] dẫn đường/phát · nổ lan · tầm 240 · loạt 4, hồi 8.17 s</t>
        </is>
      </c>
      <c r="U34" s="39" t="inlineStr">
        <is>
          <t>Giữ.</t>
        </is>
      </c>
      <c r="V34" s="39" t="inlineStr">
        <is>
          <t>Ổn.</t>
        </is>
      </c>
      <c r="W34" s="49" t="inlineStr">
        <is>
          <t>Thấp</t>
        </is>
      </c>
    </row>
  </sheetData>
  <autoFilter ref="A1:W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L3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34" customWidth="1" style="31" min="2" max="2"/>
    <col width="12" customWidth="1" style="31" min="3" max="3"/>
    <col width="10" customWidth="1" style="31" min="4" max="4"/>
    <col width="9" customWidth="1" style="31" min="5" max="5"/>
    <col width="10" customWidth="1" style="31" min="6" max="6"/>
    <col width="9" customWidth="1" style="31" min="7" max="7"/>
    <col width="11" customWidth="1" style="31" min="8" max="8"/>
    <col width="55" customWidth="1" style="31" min="9" max="9"/>
    <col width="50" customWidth="1" style="31" min="10" max="10"/>
    <col width="70" customWidth="1" style="31" min="11" max="11"/>
    <col width="45" customWidth="1" style="31" min="12" max="12"/>
  </cols>
  <sheetData>
    <row r="1" ht="42" customHeight="1" s="32">
      <c r="A1" s="37" t="inlineStr">
        <is>
          <t>id</t>
        </is>
      </c>
      <c r="B1" s="37" t="inlineStr">
        <is>
          <t>Tên</t>
        </is>
      </c>
      <c r="C1" s="37" t="inlineStr">
        <is>
          <t>Cấp</t>
        </is>
      </c>
      <c r="D1" s="37" t="inlineStr">
        <is>
          <t>Chương</t>
        </is>
      </c>
      <c r="E1" s="44" t="inlineStr">
        <is>
          <t>Máu hiện</t>
        </is>
      </c>
      <c r="F1" s="45" t="inlineStr">
        <is>
          <t>Máu đề xuất (gốc)</t>
        </is>
      </c>
      <c r="G1" s="44" t="inlineStr">
        <is>
          <t>DPS nặng hiện</t>
        </is>
      </c>
      <c r="H1" s="37" t="inlineStr">
        <is>
          <t>DPS thường mục tiêu (vs giáp 3)</t>
        </is>
      </c>
      <c r="I1" s="37" t="inlineStr">
        <is>
          <t>Vũ khí thêm / đổi</t>
        </is>
      </c>
      <c r="J1" s="44" t="inlineStr">
        <is>
          <t>Đòn lớn hiện tại</t>
        </is>
      </c>
      <c r="K1" s="45" t="inlineStr">
        <is>
          <t>Siêu vũ khí đề xuất</t>
        </is>
      </c>
      <c r="L1" s="37" t="inlineStr">
        <is>
          <t>Ghi chú</t>
        </is>
      </c>
    </row>
    <row r="2" ht="21.75" customHeight="1" s="32">
      <c r="A2" s="39" t="inlineStr">
        <is>
          <t>rail_supergun</t>
        </is>
      </c>
      <c r="B2" s="39" t="inlineStr">
        <is>
          <t>Gungnir · Pháo đường ray</t>
        </is>
      </c>
      <c r="C2" s="39" t="inlineStr">
        <is>
          <t>Mini</t>
        </is>
      </c>
      <c r="D2" s="39" t="inlineStr">
        <is>
          <t>11</t>
        </is>
      </c>
      <c r="E2" s="42" t="n">
        <v>6942</v>
      </c>
      <c r="F2" s="42" t="n">
        <v>13000</v>
      </c>
      <c r="G2" s="42" t="n">
        <v>90</v>
      </c>
      <c r="H2" s="42" t="n">
        <v>300</v>
      </c>
      <c r="I2" s="39" t="inlineStr">
        <is>
          <t>Hiển thị khẩu pháo 80 cm như vũ khí bắn thường (1 × 900 mỗi 25 s, nổ lan 12 m)</t>
        </is>
      </c>
      <c r="J2" s="39" t="inlineStr">
        <is>
          <t>supergun_heavy · circle · 1 · 1800 · 20 · — · Nổ mạnh</t>
        </is>
      </c>
      <c r="K2" s="39" t="inlineStr">
        <is>
          <t>Không có (mini boss). Bỏ đòn lớn hiện tại; chỉ giữ vũ khí thường.</t>
        </is>
      </c>
      <c r="L2" s="39" t="inlineStr">
        <is>
          <t>Luật mới: chỉ boss chủ lực có siêu vũ khí.</t>
        </is>
      </c>
    </row>
    <row r="3" ht="15" customHeight="1" s="32">
      <c r="A3" s="41" t="inlineStr">
        <is>
          <t>behemoth_mk0</t>
        </is>
      </c>
      <c r="B3" s="41" t="inlineStr">
        <is>
          <t>Behemoth Mk.0 · Behemoth nguyên mẫu</t>
        </is>
      </c>
      <c r="C3" s="41" t="inlineStr">
        <is>
          <t>Mini</t>
        </is>
      </c>
      <c r="D3" s="41" t="inlineStr">
        <is>
          <t>Xen kẽ I</t>
        </is>
      </c>
      <c r="E3" s="43" t="n">
        <v>5610</v>
      </c>
      <c r="F3" s="43" t="n">
        <v>6000</v>
      </c>
      <c r="G3" s="43" t="n">
        <v>199</v>
      </c>
      <c r="H3" s="43" t="n">
        <v>200</v>
      </c>
      <c r="I3" s="41" t="inlineStr">
        <is>
          <t>Giữ</t>
        </is>
      </c>
      <c r="J3" s="41" t="inlineStr">
        <is>
          <t>behemoth_mk0_barrage · 4 · — · — · —</t>
        </is>
      </c>
      <c r="K3" s="41" t="inlineStr">
        <is>
          <t>Không có (mini boss). Bỏ đòn lớn hiện tại; chỉ giữ vũ khí thường.</t>
        </is>
      </c>
      <c r="L3" s="41" t="inlineStr">
        <is>
          <t>Luật mới: chỉ boss chủ lực có siêu vũ khí.</t>
        </is>
      </c>
    </row>
    <row r="4" ht="15" customHeight="1" s="32">
      <c r="A4" s="39" t="inlineStr">
        <is>
          <t>armored_train</t>
        </is>
      </c>
      <c r="B4" s="39" t="inlineStr">
        <is>
          <t>Juggernaut · Đoàn tàu bọc thép</t>
        </is>
      </c>
      <c r="C4" s="39" t="inlineStr">
        <is>
          <t>Mini</t>
        </is>
      </c>
      <c r="D4" s="39" t="inlineStr">
        <is>
          <t>4</t>
        </is>
      </c>
      <c r="E4" s="42" t="n">
        <v>5820</v>
      </c>
      <c r="F4" s="42" t="n">
        <v>8500</v>
      </c>
      <c r="G4" s="42" t="n">
        <v>220</v>
      </c>
      <c r="H4" s="42" t="n">
        <v>280</v>
      </c>
      <c r="I4" s="39" t="inlineStr">
        <is>
          <t>Thêm 1 toa cao xạ</t>
        </is>
      </c>
      <c r="J4" s="39" t="inlineStr">
        <is>
          <t>train_broadside · strip · 1 · 330 · 6 · 60 × 12 · Nổ mạnh</t>
        </is>
      </c>
      <c r="K4" s="39" t="inlineStr">
        <is>
          <t>Không có (mini boss). Bỏ đòn lớn hiện tại; chỉ giữ vũ khí thường.</t>
        </is>
      </c>
      <c r="L4" s="39" t="inlineStr">
        <is>
          <t>Luật mới: chỉ boss chủ lực có siêu vũ khí.</t>
        </is>
      </c>
    </row>
    <row r="5" ht="15" customHeight="1" s="32">
      <c r="A5" s="41" t="inlineStr">
        <is>
          <t>behemoth_tempest</t>
        </is>
      </c>
      <c r="B5" s="41" t="inlineStr">
        <is>
          <t>Tempest · Behemoth pháo điện từ</t>
        </is>
      </c>
      <c r="C5" s="41" t="inlineStr">
        <is>
          <t>Mini</t>
        </is>
      </c>
      <c r="D5" s="41" t="inlineStr">
        <is>
          <t>4</t>
        </is>
      </c>
      <c r="E5" s="43" t="n">
        <v>5820</v>
      </c>
      <c r="F5" s="43" t="n">
        <v>9000</v>
      </c>
      <c r="G5" s="43" t="n">
        <v>310</v>
      </c>
      <c r="H5" s="43" t="n">
        <v>290</v>
      </c>
      <c r="I5" s="41" t="inlineStr">
        <is>
          <t>Giữ pháo điện từ chính</t>
        </is>
      </c>
      <c r="J5" s="41" t="inlineStr">
        <is>
          <t>tempest_rail · line · 1 · 1300 · — · 90 × 3 · Động năng</t>
        </is>
      </c>
      <c r="K5" s="41" t="inlineStr">
        <is>
          <t>Không có (mini boss). Bỏ đòn lớn hiện tại; chỉ giữ vũ khí thường.</t>
        </is>
      </c>
      <c r="L5" s="41" t="inlineStr">
        <is>
          <t>Luật mới: chỉ boss chủ lực có siêu vũ khí.</t>
        </is>
      </c>
    </row>
    <row r="6" ht="15" customHeight="1" s="32">
      <c r="A6" s="39" t="inlineStr">
        <is>
          <t>locust</t>
        </is>
      </c>
      <c r="B6" s="39" t="inlineStr">
        <is>
          <t>Locust · Tàu con drone</t>
        </is>
      </c>
      <c r="C6" s="39" t="inlineStr">
        <is>
          <t>Mini</t>
        </is>
      </c>
      <c r="D6" s="39" t="inlineStr">
        <is>
          <t>5, 11</t>
        </is>
      </c>
      <c r="E6" s="42" t="n">
        <v>6311</v>
      </c>
      <c r="F6" s="42" t="n">
        <v>9000</v>
      </c>
      <c r="G6" s="42" t="n">
        <v>153</v>
      </c>
      <c r="H6" s="42" t="n">
        <v>280</v>
      </c>
      <c r="I6" s="39" t="inlineStr">
        <is>
          <t>Giữ</t>
        </is>
      </c>
      <c r="J6" s="39" t="inlineStr">
        <is>
          <t>locust_swarm · 1 · — · — · —</t>
        </is>
      </c>
      <c r="K6" s="39" t="inlineStr">
        <is>
          <t>Không có (mini boss). Bỏ đòn lớn hiện tại; chỉ giữ vũ khí thường.</t>
        </is>
      </c>
      <c r="L6" s="39" t="inlineStr">
        <is>
          <t>Luật mới: chỉ boss chủ lực có siêu vũ khí.</t>
        </is>
      </c>
    </row>
    <row r="7" ht="21.75" customHeight="1" s="32">
      <c r="A7" s="41" t="inlineStr">
        <is>
          <t>morrigan</t>
        </is>
      </c>
      <c r="B7" s="41" t="inlineStr">
        <is>
          <t>Morrigan · Tiêm kích của Raven</t>
        </is>
      </c>
      <c r="C7" s="41" t="inlineStr">
        <is>
          <t>Mini</t>
        </is>
      </c>
      <c r="D7" s="41" t="inlineStr">
        <is>
          <t>Xen kẽ III, 10</t>
        </is>
      </c>
      <c r="E7" s="43" t="n">
        <v>6919</v>
      </c>
      <c r="F7" s="43" t="n">
        <v>11000</v>
      </c>
      <c r="G7" s="43" t="n">
        <v>65</v>
      </c>
      <c r="H7" s="43" t="n">
        <v>380</v>
      </c>
      <c r="I7" s="41" t="inlineStr">
        <is>
          <t>Giữ</t>
        </is>
      </c>
      <c r="J7" s="41" t="inlineStr">
        <is>
          <t>morrigan_salvo · swarm · 1 · 320 · 2.5 · — · Mảnh
morrigan_salvo · swarm · 2 · 520 · 6 · — · Nổ mạnh</t>
        </is>
      </c>
      <c r="K7" s="41" t="inlineStr">
        <is>
          <t>Không có (mini boss). Bỏ đòn lớn hiện tại; chỉ giữ vũ khí thường.</t>
        </is>
      </c>
      <c r="L7" s="41" t="inlineStr">
        <is>
          <t>Luật mới: chỉ boss chủ lực có siêu vũ khí.</t>
        </is>
      </c>
    </row>
    <row r="8" ht="15" customHeight="1" s="32">
      <c r="A8" s="39" t="inlineStr">
        <is>
          <t>behemoth_mk2</t>
        </is>
      </c>
      <c r="B8" s="39" t="inlineStr">
        <is>
          <t>Behemoth Mk.II · Behemoth nâng cấp</t>
        </is>
      </c>
      <c r="C8" s="39" t="inlineStr">
        <is>
          <t>Mini</t>
        </is>
      </c>
      <c r="D8" s="39" t="inlineStr">
        <is>
          <t>6</t>
        </is>
      </c>
      <c r="E8" s="42" t="n">
        <v>6942</v>
      </c>
      <c r="F8" s="42" t="n">
        <v>10500</v>
      </c>
      <c r="G8" s="42" t="n">
        <v>156</v>
      </c>
      <c r="H8" s="42" t="n">
        <v>320</v>
      </c>
      <c r="I8" s="39" t="inlineStr">
        <is>
          <t>Giữ</t>
        </is>
      </c>
      <c r="J8" s="39" t="inlineStr">
        <is>
          <t>behemoth_mk2_barrage · 4 · — · — · —</t>
        </is>
      </c>
      <c r="K8" s="39" t="inlineStr">
        <is>
          <t>Không có (mini boss). Bỏ đòn lớn hiện tại; chỉ giữ vũ khí thường.</t>
        </is>
      </c>
      <c r="L8" s="39" t="inlineStr">
        <is>
          <t>Luật mới: chỉ boss chủ lực có siêu vũ khí.</t>
        </is>
      </c>
    </row>
    <row r="9" ht="21.75" customHeight="1" s="32">
      <c r="A9" s="41" t="inlineStr">
        <is>
          <t>landing_hovercraft</t>
        </is>
      </c>
      <c r="B9" s="41" t="inlineStr">
        <is>
          <t>Charybdis · Tàu đệm khí đổ bộ</t>
        </is>
      </c>
      <c r="C9" s="41" t="inlineStr">
        <is>
          <t>Mini</t>
        </is>
      </c>
      <c r="D9" s="41" t="inlineStr">
        <is>
          <t>6</t>
        </is>
      </c>
      <c r="E9" s="43" t="n">
        <v>7293</v>
      </c>
      <c r="F9" s="43" t="n">
        <v>10000</v>
      </c>
      <c r="G9" s="43" t="n">
        <v>84</v>
      </c>
      <c r="H9" s="43" t="n">
        <v>300</v>
      </c>
      <c r="I9" s="41" t="inlineStr">
        <is>
          <t>Giữ; sửa AK-630 như xuồng</t>
        </is>
      </c>
      <c r="J9" s="41" t="inlineStr">
        <is>
          <t>hover_assault · strip · 1 · 58 · 4 · 40 × 20 · Nổ mạnh
hover_assault · drop · 1 · — · — · —</t>
        </is>
      </c>
      <c r="K9" s="41" t="inlineStr">
        <is>
          <t>Không có (mini boss). Bỏ đòn lớn hiện tại; chỉ giữ vũ khí thường.</t>
        </is>
      </c>
      <c r="L9" s="41" t="inlineStr">
        <is>
          <t>Luật mới: chỉ boss chủ lực có siêu vũ khí.</t>
        </is>
      </c>
    </row>
    <row r="10" ht="15" customHeight="1" s="32">
      <c r="A10" s="39" t="inlineStr">
        <is>
          <t>argus</t>
        </is>
      </c>
      <c r="B10" s="39" t="inlineStr">
        <is>
          <t>Argus · Khí cầu trinh sát</t>
        </is>
      </c>
      <c r="C10" s="39" t="inlineStr">
        <is>
          <t>Mini</t>
        </is>
      </c>
      <c r="D10" s="39" t="inlineStr">
        <is>
          <t>10</t>
        </is>
      </c>
      <c r="E10" s="42" t="n">
        <v>7410</v>
      </c>
      <c r="F10" s="42" t="n">
        <v>12000</v>
      </c>
      <c r="G10" s="42" t="n">
        <v>64</v>
      </c>
      <c r="H10" s="42" t="n">
        <v>250</v>
      </c>
      <c r="I10" s="39" t="inlineStr">
        <is>
          <t>Giữ; vai trò soi cho pháo</t>
        </is>
      </c>
      <c r="J10" s="39" t="inlineStr">
        <is>
          <t>argus_fire_call · circle · 10 · 200 · 5 · — · Nổ mạnh</t>
        </is>
      </c>
      <c r="K10" s="39" t="inlineStr">
        <is>
          <t>Không có (mini boss). Bỏ đòn lớn hiện tại; chỉ giữ vũ khí thường.</t>
        </is>
      </c>
      <c r="L10" s="39" t="inlineStr">
        <is>
          <t>Luật mới: chỉ boss chủ lực có siêu vũ khí.</t>
        </is>
      </c>
    </row>
    <row r="11" ht="15" customHeight="1" s="32">
      <c r="A11" s="41" t="inlineStr">
        <is>
          <t>ixion</t>
        </is>
      </c>
      <c r="B11" s="41" t="inlineStr">
        <is>
          <t>Ixion · Xe bánh khổng lồ</t>
        </is>
      </c>
      <c r="C11" s="41" t="inlineStr">
        <is>
          <t>Mini</t>
        </is>
      </c>
      <c r="D11" s="41" t="inlineStr">
        <is>
          <t>8</t>
        </is>
      </c>
      <c r="E11" s="43" t="n">
        <v>7574</v>
      </c>
      <c r="F11" s="43" t="n">
        <v>11000</v>
      </c>
      <c r="G11" s="43" t="n">
        <v>49</v>
      </c>
      <c r="H11" s="43" t="n">
        <v>300</v>
      </c>
      <c r="I11" s="41" t="inlineStr">
        <is>
          <t>Thêm 2 súng máy 12,7 mm trên thân</t>
        </is>
      </c>
      <c r="J11" s="41" t="inlineStr">
        <is>
          <t>ixion_crush_charge · charge · 1 · 900 · — · 80 × 10 · Động năng</t>
        </is>
      </c>
      <c r="K11" s="41" t="inlineStr">
        <is>
          <t>Không có (mini boss). Bỏ đòn lớn hiện tại; chỉ giữ vũ khí thường.</t>
        </is>
      </c>
      <c r="L11" s="41" t="inlineStr">
        <is>
          <t>Luật mới: chỉ boss chủ lực có siêu vũ khí.</t>
        </is>
      </c>
    </row>
    <row r="12" ht="15" customHeight="1" s="32">
      <c r="A12" s="39" t="inlineStr">
        <is>
          <t>fortress_hive</t>
        </is>
      </c>
      <c r="B12" s="39" t="inlineStr">
        <is>
          <t>Hive · Pháo đài drone</t>
        </is>
      </c>
      <c r="C12" s="39" t="inlineStr">
        <is>
          <t>Mini</t>
        </is>
      </c>
      <c r="D12" s="39" t="inlineStr">
        <is>
          <t>5</t>
        </is>
      </c>
      <c r="E12" s="42" t="n">
        <v>7597</v>
      </c>
      <c r="F12" s="42" t="n">
        <v>9500</v>
      </c>
      <c r="G12" s="42" t="n">
        <v>307</v>
      </c>
      <c r="H12" s="42" t="n">
        <v>300</v>
      </c>
      <c r="I12" s="39" t="inlineStr">
        <is>
          <t>Giữ</t>
        </is>
      </c>
      <c r="J12" s="39" t="inlineStr">
        <is>
          <t>hive_swarm · swarm · 1 · 180 · 2 · — · Nổ lõm</t>
        </is>
      </c>
      <c r="K12" s="39" t="inlineStr">
        <is>
          <t>Không có (mini boss). Bỏ đòn lớn hiện tại; chỉ giữ vũ khí thường.</t>
        </is>
      </c>
      <c r="L12" s="39" t="inlineStr">
        <is>
          <t>Luật mới: chỉ boss chủ lực có siêu vũ khí.</t>
        </is>
      </c>
    </row>
    <row r="13" ht="21.75" customHeight="1" s="32">
      <c r="A13" s="41" t="inlineStr">
        <is>
          <t>caspian</t>
        </is>
      </c>
      <c r="B13" s="41" t="inlineStr">
        <is>
          <t>Caspian · Tàu bay sát mặt nước</t>
        </is>
      </c>
      <c r="C13" s="41" t="inlineStr">
        <is>
          <t>Mini</t>
        </is>
      </c>
      <c r="D13" s="41" t="inlineStr">
        <is>
          <t>9</t>
        </is>
      </c>
      <c r="E13" s="43" t="n">
        <v>7597</v>
      </c>
      <c r="F13" s="43" t="n">
        <v>12000</v>
      </c>
      <c r="G13" s="43" t="n">
        <v>11</v>
      </c>
      <c r="H13" s="43" t="n">
        <v>330</v>
      </c>
      <c r="I13" s="41" t="inlineStr">
        <is>
          <t>Thêm 2 tháp 23 mm đôi và 1 tên lửa chống hạm bắn thường mỗi lượt lướt</t>
        </is>
      </c>
      <c r="J13" s="41" t="inlineStr">
        <is>
          <t>caspian_antiship_volley · missile · 4 · 500 · 7 · — · Nổ mạnh</t>
        </is>
      </c>
      <c r="K13" s="41" t="inlineStr">
        <is>
          <t>Không có (mini boss). Bỏ đòn lớn hiện tại; chỉ giữ vũ khí thường.</t>
        </is>
      </c>
      <c r="L13" s="41" t="inlineStr">
        <is>
          <t>Luật mới: chỉ boss chủ lực có siêu vũ khí.</t>
        </is>
      </c>
    </row>
    <row r="14" ht="21.75" customHeight="1" s="32">
      <c r="A14" s="39" t="inlineStr">
        <is>
          <t>supreme_command</t>
        </is>
      </c>
      <c r="B14" s="39" t="inlineStr">
        <is>
          <t>Atlas · Xe chỉ huy siêu nặng</t>
        </is>
      </c>
      <c r="C14" s="39" t="inlineStr">
        <is>
          <t>Mini</t>
        </is>
      </c>
      <c r="D14" s="39" t="inlineStr">
        <is>
          <t>7</t>
        </is>
      </c>
      <c r="E14" s="42" t="n">
        <v>8205</v>
      </c>
      <c r="F14" s="42" t="n">
        <v>10000</v>
      </c>
      <c r="G14" s="42" t="n">
        <v>7</v>
      </c>
      <c r="H14" s="42" t="n">
        <v>60</v>
      </c>
      <c r="I14" s="39" t="inlineStr">
        <is>
          <t>Không vũ khí mạnh: vai trò tăng sức quân địch</t>
        </is>
      </c>
      <c r="J14" s="39" t="inlineStr">
        <is>
          <t>supreme_offensive · buff · 1 · 0.35 · — · —
supreme_offensive · strip · 8 · 340 · 7 · 50 × 10 · Nổ mạnh</t>
        </is>
      </c>
      <c r="K14" s="39" t="inlineStr">
        <is>
          <t>Không có (mini boss). Bỏ đòn lớn hiện tại; chỉ giữ vũ khí thường.</t>
        </is>
      </c>
      <c r="L14" s="39" t="inlineStr">
        <is>
          <t>Luật mới: chỉ boss chủ lực có siêu vũ khí.</t>
        </is>
      </c>
    </row>
    <row r="15" ht="32.25" customHeight="1" s="32">
      <c r="A15" s="41" t="inlineStr">
        <is>
          <t>sky_fortress</t>
        </is>
      </c>
      <c r="B15" s="41" t="inlineStr">
        <is>
          <t>Spectre · Máy bay pháo</t>
        </is>
      </c>
      <c r="C15" s="41" t="inlineStr">
        <is>
          <t>Mini</t>
        </is>
      </c>
      <c r="D15" s="41" t="inlineStr">
        <is>
          <t>10</t>
        </is>
      </c>
      <c r="E15" s="43" t="n">
        <v>8508</v>
      </c>
      <c r="F15" s="43" t="n">
        <v>12500</v>
      </c>
      <c r="G15" s="43" t="n">
        <v>224</v>
      </c>
      <c r="H15" s="43" t="n">
        <v>380</v>
      </c>
      <c r="I15" s="41" t="inlineStr">
        <is>
          <t>Giữ</t>
        </is>
      </c>
      <c r="J15" s="41" t="inlineStr">
        <is>
          <t>spectre_orbit · circle · 1 · 300 · 6 · — · Nổ mạnh
spectre_orbit · circle · 1 · 30 · 2.5 · — · Nổ mạnh
spectre_orbit · circle · 1 · 15 · 1.5 · — · Động năng</t>
        </is>
      </c>
      <c r="K15" s="41" t="inlineStr">
        <is>
          <t>Không có (mini boss). Bỏ đòn lớn hiện tại; chỉ giữ vũ khí thường.</t>
        </is>
      </c>
      <c r="L15" s="41" t="inlineStr">
        <is>
          <t>Luật mới: chỉ boss chủ lực có siêu vũ khí.</t>
        </is>
      </c>
    </row>
    <row r="16" ht="15" customHeight="1" s="32">
      <c r="A16" s="39" t="inlineStr">
        <is>
          <t>icarus_mk0</t>
        </is>
      </c>
      <c r="B16" s="39" t="inlineStr">
        <is>
          <t>Icarus Mk.0 · Phi thuyền nguyên mẫu</t>
        </is>
      </c>
      <c r="C16" s="39" t="inlineStr">
        <is>
          <t>Mini</t>
        </is>
      </c>
      <c r="D16" s="39" t="inlineStr">
        <is>
          <t>10</t>
        </is>
      </c>
      <c r="E16" s="42" t="n">
        <v>8696</v>
      </c>
      <c r="F16" s="42" t="n">
        <v>12500</v>
      </c>
      <c r="G16" s="42" t="n">
        <v>90</v>
      </c>
      <c r="H16" s="42" t="n">
        <v>300</v>
      </c>
      <c r="I16" s="39" t="inlineStr">
        <is>
          <t>Thêm 1 tháp laser phòng thủ điểm</t>
        </is>
      </c>
      <c r="J16" s="39" t="inlineStr">
        <is>
          <t>icarus_mk0_rods · 3 · — · — · —</t>
        </is>
      </c>
      <c r="K16" s="39" t="inlineStr">
        <is>
          <t>Không có (mini boss). Bỏ đòn lớn hiện tại; chỉ giữ vũ khí thường.</t>
        </is>
      </c>
      <c r="L16" s="39" t="inlineStr">
        <is>
          <t>Luật mới: chỉ boss chủ lực có siêu vũ khí.</t>
        </is>
      </c>
    </row>
    <row r="17" ht="15" customHeight="1" s="32">
      <c r="A17" s="41" t="inlineStr">
        <is>
          <t>behemoth_inferno</t>
        </is>
      </c>
      <c r="B17" s="41" t="inlineStr">
        <is>
          <t>Inferno · Behemoth phun lửa</t>
        </is>
      </c>
      <c r="C17" s="41" t="inlineStr">
        <is>
          <t>Mini</t>
        </is>
      </c>
      <c r="D17" s="41" t="inlineStr">
        <is>
          <t>2</t>
        </is>
      </c>
      <c r="E17" s="43" t="n">
        <v>8836</v>
      </c>
      <c r="F17" s="43" t="n">
        <v>7000</v>
      </c>
      <c r="G17" s="43" t="n">
        <v>222</v>
      </c>
      <c r="H17" s="43" t="n">
        <v>230</v>
      </c>
      <c r="I17" s="41" t="inlineStr">
        <is>
          <t>Giữ; súng phun lửa là vũ khí chính</t>
        </is>
      </c>
      <c r="J17" s="41" t="inlineStr">
        <is>
          <t>inferno_firestorm · circle · 1 · 200 · 18 · — · Lửa</t>
        </is>
      </c>
      <c r="K17" s="41" t="inlineStr">
        <is>
          <t>Không có (mini boss). Bỏ đòn lớn hiện tại; chỉ giữ vũ khí thường.</t>
        </is>
      </c>
      <c r="L17" s="41" t="inlineStr">
        <is>
          <t>Luật mới: chỉ boss chủ lực có siêu vũ khí.</t>
        </is>
      </c>
    </row>
    <row r="18" ht="15" customHeight="1" s="32">
      <c r="A18" s="39" t="inlineStr">
        <is>
          <t>fenrir</t>
        </is>
      </c>
      <c r="B18" s="39" t="inlineStr">
        <is>
          <t>Fenrir · Xe tiên phong</t>
        </is>
      </c>
      <c r="C18" s="39" t="inlineStr">
        <is>
          <t>Mini</t>
        </is>
      </c>
      <c r="D18" s="39" t="inlineStr">
        <is>
          <t>3</t>
        </is>
      </c>
      <c r="E18" s="42" t="n">
        <v>9163</v>
      </c>
      <c r="F18" s="42" t="n">
        <v>8000</v>
      </c>
      <c r="G18" s="42" t="n">
        <v>135</v>
      </c>
      <c r="H18" s="42" t="n">
        <v>260</v>
      </c>
      <c r="I18" s="39" t="inlineStr">
        <is>
          <t>Giữ 2 hộp rốc-két và cao xạ</t>
        </is>
      </c>
      <c r="J18" s="39" t="inlineStr">
        <is>
          <t>fenrir_rocket_rain · 1 · — · — · —</t>
        </is>
      </c>
      <c r="K18" s="39" t="inlineStr">
        <is>
          <t>Không có (mini boss). Bỏ đòn lớn hiện tại; chỉ giữ vũ khí thường.</t>
        </is>
      </c>
      <c r="L18" s="39" t="inlineStr">
        <is>
          <t>Luật mới: chỉ boss chủ lực có siêu vũ khí.</t>
        </is>
      </c>
    </row>
    <row r="19" ht="15" customHeight="1" s="32">
      <c r="A19" s="41" t="inlineStr">
        <is>
          <t>daedalus</t>
        </is>
      </c>
      <c r="B19" s="41" t="inlineStr">
        <is>
          <t>Daedalus · Tàu đổ bộ quỹ đạo</t>
        </is>
      </c>
      <c r="C19" s="41" t="inlineStr">
        <is>
          <t>Chủ lực</t>
        </is>
      </c>
      <c r="D19" s="41" t="inlineStr">
        <is>
          <t>11</t>
        </is>
      </c>
      <c r="E19" s="43" t="n">
        <v>9435</v>
      </c>
      <c r="F19" s="43" t="n">
        <v>24000</v>
      </c>
      <c r="G19" s="43" t="n">
        <v>66</v>
      </c>
      <c r="H19" s="43" t="n">
        <v>700</v>
      </c>
      <c r="I19" s="41" t="inlineStr">
        <is>
          <t>Thêm 2 tháp laser phòng thủ điểm và 2 pháo 57 mm dưới bụng</t>
        </is>
      </c>
      <c r="J19" s="41" t="inlineStr">
        <is>
          <t>daedalus_mass_drop · circle · 6 · 400 · 5 · — · Động năng</t>
        </is>
      </c>
      <c r="K19" s="41" t="inlineStr">
        <is>
          <t>Đổ bộ ồ ạt: 8 khoang × 500 · nổ lan 6 m + thả xe · mỗi 70 s · cảnh báo 4 s</t>
        </is>
      </c>
      <c r="L19" s="41" t="inlineStr">
        <is>
          <t>Đang yếu hơn nhiều mini boss.</t>
        </is>
      </c>
    </row>
    <row r="20" ht="15" customHeight="1" s="32">
      <c r="A20" s="39" t="inlineStr">
        <is>
          <t>mega_gunship</t>
        </is>
      </c>
      <c r="B20" s="39" t="inlineStr">
        <is>
          <t>Harpy · Trực thăng khổng lồ</t>
        </is>
      </c>
      <c r="C20" s="39" t="inlineStr">
        <is>
          <t>Mini</t>
        </is>
      </c>
      <c r="D20" s="39" t="inlineStr">
        <is>
          <t>3</t>
        </is>
      </c>
      <c r="E20" s="42" t="n">
        <v>9677</v>
      </c>
      <c r="F20" s="42" t="n">
        <v>8000</v>
      </c>
      <c r="G20" s="42" t="n">
        <v>100</v>
      </c>
      <c r="H20" s="42" t="n">
        <v>250</v>
      </c>
      <c r="I20" s="39" t="inlineStr">
        <is>
          <t>Thêm 1 cửa súng máy mỗi bên</t>
        </is>
      </c>
      <c r="J20" s="39" t="inlineStr">
        <is>
          <t>ironbird_rocket_run · strip · 1 · 32 · 3 · 70 × 8 · Nổ mạnh</t>
        </is>
      </c>
      <c r="K20" s="39" t="inlineStr">
        <is>
          <t>Không có (mini boss). Bỏ đòn lớn hiện tại; chỉ giữ vũ khí thường.</t>
        </is>
      </c>
      <c r="L20" s="39" t="inlineStr">
        <is>
          <t>Luật mới: chỉ boss chủ lực có siêu vũ khí.</t>
        </is>
      </c>
    </row>
    <row r="21" ht="15" customHeight="1" s="32">
      <c r="A21" s="41" t="inlineStr">
        <is>
          <t>behemoth</t>
        </is>
      </c>
      <c r="B21" s="41" t="inlineStr">
        <is>
          <t>Behemoth · Quái vật thép</t>
        </is>
      </c>
      <c r="C21" s="41" t="inlineStr">
        <is>
          <t>Chủ lực</t>
        </is>
      </c>
      <c r="D21" s="41" t="inlineStr">
        <is>
          <t>2</t>
        </is>
      </c>
      <c r="E21" s="43" t="n">
        <v>10115</v>
      </c>
      <c r="F21" s="43" t="n">
        <v>13000</v>
      </c>
      <c r="G21" s="43" t="n">
        <v>413</v>
      </c>
      <c r="H21" s="43" t="n">
        <v>420</v>
      </c>
      <c r="I21" s="41" t="inlineStr">
        <is>
          <t>Thêm 1 bệ tên lửa chống tăng Kornet đôi phía sau tháp chính</t>
        </is>
      </c>
      <c r="J21" s="41" t="inlineStr">
        <is>
          <t>behemoth_barrage · circle · 6 · 340 · 8 · — · Nổ mạnh</t>
        </is>
      </c>
      <c r="K21" s="41" t="inlineStr">
        <is>
          <t>Loạt pháo chính dồn: 6 × 400 · nổ lan 8 m · mỗi 50 s · vạch 6 vòng tròn trước 3,5 s</t>
        </is>
      </c>
      <c r="L21" s="41" t="inlineStr">
        <is>
          <t>Giữ đòn hiện tại nhưng tăng nhẹ và cố định chu kỳ.</t>
        </is>
      </c>
    </row>
    <row r="22" ht="15" customHeight="1" s="32">
      <c r="A22" s="39" t="inlineStr">
        <is>
          <t>earth_borer</t>
        </is>
      </c>
      <c r="B22" s="39" t="inlineStr">
        <is>
          <t>Tartarus · Máy khoan</t>
        </is>
      </c>
      <c r="C22" s="39" t="inlineStr">
        <is>
          <t>Mini</t>
        </is>
      </c>
      <c r="D22" s="39" t="inlineStr">
        <is>
          <t>8</t>
        </is>
      </c>
      <c r="E22" s="42" t="n">
        <v>11430</v>
      </c>
      <c r="F22" s="42" t="n">
        <v>11000</v>
      </c>
      <c r="G22" s="42" t="n">
        <v>271</v>
      </c>
      <c r="H22" s="42" t="n">
        <v>330</v>
      </c>
      <c r="I22" s="39" t="inlineStr">
        <is>
          <t>Giữ</t>
        </is>
      </c>
      <c r="J22" s="39" t="inlineStr">
        <is>
          <t>borer_quake · quake · 1 · 700 · 16 · — · Nổ mạnh</t>
        </is>
      </c>
      <c r="K22" s="39" t="inlineStr">
        <is>
          <t>Không có (mini boss). Bỏ đòn lớn hiện tại; chỉ giữ vũ khí thường.</t>
        </is>
      </c>
      <c r="L22" s="39" t="inlineStr">
        <is>
          <t>Luật mới: chỉ boss chủ lực có siêu vũ khí.</t>
        </is>
      </c>
    </row>
    <row r="23" ht="15" customHeight="1" s="32">
      <c r="A23" s="41" t="inlineStr">
        <is>
          <t>bastion_mk0</t>
        </is>
      </c>
      <c r="B23" s="41" t="inlineStr">
        <is>
          <t>Bastion Mk.0 · Pháo đài nguyên mẫu</t>
        </is>
      </c>
      <c r="C23" s="41" t="inlineStr">
        <is>
          <t>Mini</t>
        </is>
      </c>
      <c r="D23" s="41" t="inlineStr">
        <is>
          <t>1</t>
        </is>
      </c>
      <c r="E23" s="43" t="n">
        <v>12576</v>
      </c>
      <c r="F23" s="43" t="n">
        <v>6500</v>
      </c>
      <c r="G23" s="43" t="n">
        <v>136</v>
      </c>
      <c r="H23" s="43" t="n">
        <v>200</v>
      </c>
      <c r="I23" s="41" t="inlineStr">
        <is>
          <t>Giữ cối 240 mm (bắn thường) và 2 Bofors</t>
        </is>
      </c>
      <c r="J23" s="41" t="inlineStr">
        <is>
          <t>bastion_mk0_mortar · 3 · — · — · —</t>
        </is>
      </c>
      <c r="K23" s="41" t="inlineStr">
        <is>
          <t>Không có (mini boss). Bỏ đòn lớn hiện tại; chỉ giữ vũ khí thường.</t>
        </is>
      </c>
      <c r="L23" s="41" t="inlineStr">
        <is>
          <t>Luật mới: chỉ boss chủ lực có siêu vũ khí.</t>
        </is>
      </c>
    </row>
    <row r="24" ht="21.75" customHeight="1" s="32">
      <c r="A24" s="39" t="inlineStr">
        <is>
          <t>nuke_train</t>
        </is>
      </c>
      <c r="B24" s="39" t="inlineStr">
        <is>
          <t>Nemesis · Đoàn tàu tên lửa</t>
        </is>
      </c>
      <c r="C24" s="39" t="inlineStr">
        <is>
          <t>Chủ lực</t>
        </is>
      </c>
      <c r="D24" s="39" t="inlineStr">
        <is>
          <t>7</t>
        </is>
      </c>
      <c r="E24" s="42" t="n">
        <v>13260</v>
      </c>
      <c r="F24" s="42" t="n">
        <v>20000</v>
      </c>
      <c r="G24" s="42" t="n">
        <v>293</v>
      </c>
      <c r="H24" s="42" t="n">
        <v>600</v>
      </c>
      <c r="I24" s="39" t="inlineStr">
        <is>
          <t>Thêm 1 toa pháo 152 mm</t>
        </is>
      </c>
      <c r="J24" s="39" t="inlineStr">
        <is>
          <t>doomsday_missile · missile · 1 · 2500 · 18 · — · Nổ mạnh</t>
        </is>
      </c>
      <c r="K24" s="39" t="inlineStr">
        <is>
          <t>Tên lửa Tận thế: 1 × 2.500 · nổ lan 18 m · mỗi 90 s · đồng hồ bay 6 s · PAC-3 và Vòm Sắt bắn hạ được</t>
        </is>
      </c>
      <c r="L24" s="39" t="inlineStr">
        <is>
          <t>Giữ, cố định chu kỳ.</t>
        </is>
      </c>
    </row>
    <row r="25" ht="21.75" customHeight="1" s="32">
      <c r="A25" s="41" t="inlineStr">
        <is>
          <t>scylla</t>
        </is>
      </c>
      <c r="B25" s="41" t="inlineStr">
        <is>
          <t>Scylla · Tàu khu trục</t>
        </is>
      </c>
      <c r="C25" s="41" t="inlineStr">
        <is>
          <t>Mini</t>
        </is>
      </c>
      <c r="D25" s="41" t="inlineStr">
        <is>
          <t>4, 9</t>
        </is>
      </c>
      <c r="E25" s="43" t="n">
        <v>13370</v>
      </c>
      <c r="F25" s="43" t="n">
        <v>9000</v>
      </c>
      <c r="G25" s="43" t="n">
        <v>79</v>
      </c>
      <c r="H25" s="43" t="n">
        <v>300</v>
      </c>
      <c r="I25" s="41" t="inlineStr">
        <is>
          <t>Thay pháo 460 mm bằng AK-130 đôi 130 mm (160/phát · 1 phát/s loạt 2 · nổ lan 4 m · tầm 90) + bệ tên lửa chống hạm (1 × 450 mỗi 15 s)</t>
        </is>
      </c>
      <c r="J25" s="41" t="inlineStr">
        <is>
          <t>scylla_cruise · missile · 3 · 450 · 8 · — · Nổ mạnh</t>
        </is>
      </c>
      <c r="K25" s="41" t="inlineStr">
        <is>
          <t>Không có (mini boss). Bỏ đòn lớn hiện tại; chỉ giữ vũ khí thường.</t>
        </is>
      </c>
      <c r="L25" s="41" t="inlineStr">
        <is>
          <t>Luật mới: chỉ boss chủ lực có siêu vũ khí.</t>
        </is>
      </c>
    </row>
    <row r="26" ht="21.75" customHeight="1" s="32">
      <c r="A26" s="39" t="inlineStr">
        <is>
          <t>silver_bug</t>
        </is>
      </c>
      <c r="B26" s="39" t="inlineStr">
        <is>
          <t>Icarus · Phi thuyền quỹ đạo</t>
        </is>
      </c>
      <c r="C26" s="39" t="inlineStr">
        <is>
          <t>Chủ lực (trùm cuối)</t>
        </is>
      </c>
      <c r="D26" s="39" t="inlineStr">
        <is>
          <t>12</t>
        </is>
      </c>
      <c r="E26" s="42" t="n">
        <v>13388</v>
      </c>
      <c r="F26" s="42" t="n">
        <v>26000</v>
      </c>
      <c r="G26" s="42" t="n">
        <v>370</v>
      </c>
      <c r="H26" s="42" t="n">
        <v>800</v>
      </c>
      <c r="I26" s="39" t="inlineStr">
        <is>
          <t>Thay 2 pháo Rh-120, 2 Oerlikon, 2 Bofors bằng 2 coilgun và 2 tháp laser phòng thủ điểm; pha 3 thêm 4 tháp phụ thường trên xác</t>
        </is>
      </c>
      <c r="J26" s="39" t="inlineStr">
        <is>
          <t>bug_rod_rain · rods · 5 · 1600 · 6 · — · Động năng</t>
        </is>
      </c>
      <c r="K26" s="39" t="inlineStr">
        <is>
          <t>Mưa thanh tungsten: 7 × 1.800 · nổ lan 7 m · mỗi 60 s (pha 3: 9 thanh, mỗi 50 s) · cảnh báo 4 s · khói và APS không chặn, khiên hấp thụ một phần</t>
        </is>
      </c>
      <c r="L26" s="39" t="inlineStr">
        <is>
          <t>Trùm cuối: nhiều máu và DPS nhất.</t>
        </is>
      </c>
    </row>
    <row r="27" ht="21.75" customHeight="1" s="32">
      <c r="A27" s="41" t="inlineStr">
        <is>
          <t>mobile_fortress</t>
        </is>
      </c>
      <c r="B27" s="41" t="inlineStr">
        <is>
          <t>Jötunn · Pháo đài di động</t>
        </is>
      </c>
      <c r="C27" s="41" t="inlineStr">
        <is>
          <t>Chủ lực</t>
        </is>
      </c>
      <c r="D27" s="41" t="inlineStr">
        <is>
          <t>3</t>
        </is>
      </c>
      <c r="E27" s="43" t="n">
        <v>15470</v>
      </c>
      <c r="F27" s="43" t="n">
        <v>15000</v>
      </c>
      <c r="G27" s="43" t="n">
        <v>308</v>
      </c>
      <c r="H27" s="43" t="n">
        <v>460</v>
      </c>
      <c r="I27" s="41" t="inlineStr">
        <is>
          <t>Thêm tháp pháo 30 mm đôi chống drone</t>
        </is>
      </c>
      <c r="J27" s="41" t="inlineStr">
        <is>
          <t>fortress_rocket_rain · circle · 1 · 58 · 4 · — · Nổ mạnh</t>
        </is>
      </c>
      <c r="K27" s="41" t="inlineStr">
        <is>
          <t>Loạt pháo 203 mm: 4 × 700 · nổ lan 8 m · mỗi 55 s · cảnh báo 4 s</t>
        </is>
      </c>
      <c r="L27" s="41" t="inlineStr">
        <is>
          <t>Đòn hiện tại (rốc-két 58 sát thương) quá yếu cho boss chủ lực.</t>
        </is>
      </c>
    </row>
    <row r="28" ht="15" customHeight="1" s="32">
      <c r="A28" s="39" t="inlineStr">
        <is>
          <t>command_airship</t>
        </is>
      </c>
      <c r="B28" s="39" t="inlineStr">
        <is>
          <t>Roc · Khí cầu chỉ huy</t>
        </is>
      </c>
      <c r="C28" s="39" t="inlineStr">
        <is>
          <t>Chủ lực</t>
        </is>
      </c>
      <c r="D28" s="39" t="inlineStr">
        <is>
          <t>10</t>
        </is>
      </c>
      <c r="E28" s="42" t="n">
        <v>16575</v>
      </c>
      <c r="F28" s="42" t="n">
        <v>23000</v>
      </c>
      <c r="G28" s="42" t="n">
        <v>233</v>
      </c>
      <c r="H28" s="42" t="n">
        <v>680</v>
      </c>
      <c r="I28" s="39" t="inlineStr">
        <is>
          <t>Thêm 2 tháp 30 mm đôi dưới bụng</t>
        </is>
      </c>
      <c r="J28" s="39" t="inlineStr">
        <is>
          <t>airship_carpet · strip · 12 · 300 · 7 · 70 × 12 · Nổ mạnh</t>
        </is>
      </c>
      <c r="K28" s="39" t="inlineStr">
        <is>
          <t>Rải bom thảm: 16 × 350 · nổ lan 7 m · dải 80 × 12 m · mỗi 70 s · cảnh báo 4 s</t>
        </is>
      </c>
      <c r="L28" s="39" t="inlineStr">
        <is>
          <t>Tăng từ 12 quả.</t>
        </is>
      </c>
    </row>
    <row r="29" ht="21.75" customHeight="1" s="32">
      <c r="A29" s="41" t="inlineStr">
        <is>
          <t>moloch</t>
        </is>
      </c>
      <c r="B29" s="41" t="inlineStr">
        <is>
          <t>Moloch · Nhà máy di động</t>
        </is>
      </c>
      <c r="C29" s="41" t="inlineStr">
        <is>
          <t>Chủ lực</t>
        </is>
      </c>
      <c r="D29" s="41" t="inlineStr">
        <is>
          <t>6</t>
        </is>
      </c>
      <c r="E29" s="43" t="n">
        <v>17212</v>
      </c>
      <c r="F29" s="43" t="n">
        <v>19000</v>
      </c>
      <c r="G29" s="43" t="n">
        <v>236</v>
      </c>
      <c r="H29" s="43" t="n">
        <v>560</v>
      </c>
      <c r="I29" s="41" t="inlineStr">
        <is>
          <t>Thêm 2 bệ ZU-23 trên nóc</t>
        </is>
      </c>
      <c r="J29" s="41" t="inlineStr">
        <is>
          <t>moloch_factory_dump · drop · 1 · — · — · —
moloch_factory_dump · circle · 8 · 300 · 6 · — · Nổ mạnh</t>
        </is>
      </c>
      <c r="K29" s="41" t="inlineStr">
        <is>
          <t>Xả xưởng: 8 × 300 · nổ lan 6 m + thả 6 xe · mỗi 75 s · cảnh báo cửa xưởng mở 4 s</t>
        </is>
      </c>
      <c r="L29" s="41" t="inlineStr">
        <is>
          <t>Giữ đòn hiện tại, cố định chu kỳ.</t>
        </is>
      </c>
    </row>
    <row r="30" ht="21.75" customHeight="1" s="32">
      <c r="A30" s="39" t="inlineStr">
        <is>
          <t>fortress_bastion</t>
        </is>
      </c>
      <c r="B30" s="39" t="inlineStr">
        <is>
          <t>Bastion · Pháo đài</t>
        </is>
      </c>
      <c r="C30" s="39" t="inlineStr">
        <is>
          <t>Chủ lực</t>
        </is>
      </c>
      <c r="D30" s="39" t="inlineStr">
        <is>
          <t>1</t>
        </is>
      </c>
      <c r="E30" s="42" t="n">
        <v>17935</v>
      </c>
      <c r="F30" s="42" t="n">
        <v>12000</v>
      </c>
      <c r="G30" s="42" t="n">
        <v>331</v>
      </c>
      <c r="H30" s="42" t="n">
        <v>360</v>
      </c>
      <c r="I30" s="39" t="inlineStr">
        <is>
          <t>Thêm 2 tháp súng máy NSV ở hai bên hông (chống xe nhẹ áp sát)</t>
        </is>
      </c>
      <c r="J30" s="39" t="inlineStr">
        <is>
          <t>bastion_mortar_walk · strip · 6 · 460 · 9 · 60 × 0 · Nổ mạnh</t>
        </is>
      </c>
      <c r="K30" s="39" t="inlineStr">
        <is>
          <t>Pháo cối 420 mm: 1 quả × 2.000 · nổ lan 14 m · mỗi 60 s · cảnh báo vòng đỏ 4 s · Máy phát khiên hấp thụ được; phá khẩu cối thì mất đòn</t>
        </is>
      </c>
      <c r="L30" s="39" t="inlineStr">
        <is>
          <t>Boss chương 1 phải dễ đọc: một đòn to, rõ.</t>
        </is>
      </c>
    </row>
    <row r="31" ht="21.75" customHeight="1" s="32">
      <c r="A31" s="41" t="inlineStr">
        <is>
          <t>typhon</t>
        </is>
      </c>
      <c r="B31" s="41" t="inlineStr">
        <is>
          <t>Typhon · Tàu ngầm tên lửa</t>
        </is>
      </c>
      <c r="C31" s="41" t="inlineStr">
        <is>
          <t>Chủ lực</t>
        </is>
      </c>
      <c r="D31" s="41" t="inlineStr">
        <is>
          <t>9</t>
        </is>
      </c>
      <c r="E31" s="43" t="n">
        <v>17935</v>
      </c>
      <c r="F31" s="43" t="n">
        <v>22000</v>
      </c>
      <c r="G31" s="43" t="n">
        <v>78</v>
      </c>
      <c r="H31" s="43" t="n">
        <v>640</v>
      </c>
      <c r="I31" s="41" t="inlineStr">
        <is>
          <t>Thêm tên lửa hành trình tầm ngắn bắn thường (1 quả × 320 mỗi 12 s khi nổi)</t>
        </is>
      </c>
      <c r="J31" s="41" t="inlineStr">
        <is>
          <t>typhon_underwater_launch · missile · 3 · 500 · 8 · — · Nổ mạnh</t>
        </is>
      </c>
      <c r="K31" s="41" t="inlineStr">
        <is>
          <t>Loạt tên lửa từ dưới nước: 6 × 600 · nổ lan 9 m · mỗi 75 s · cảnh báo 4 s + đồng hồ bay</t>
        </is>
      </c>
      <c r="L31" s="41" t="inlineStr">
        <is>
          <t>Đòn hiện tại 3 quả là ít so với trùm chương 9.</t>
        </is>
      </c>
    </row>
    <row r="32" ht="15" customHeight="1" s="32">
      <c r="A32" s="39" t="inlineStr">
        <is>
          <t>kronos</t>
        </is>
      </c>
      <c r="B32" s="39" t="inlineStr">
        <is>
          <t>Kronos · Máy xúc mỏ</t>
        </is>
      </c>
      <c r="C32" s="39" t="inlineStr">
        <is>
          <t>Chủ lực</t>
        </is>
      </c>
      <c r="D32" s="39" t="inlineStr">
        <is>
          <t>8</t>
        </is>
      </c>
      <c r="E32" s="42" t="n">
        <v>18360</v>
      </c>
      <c r="F32" s="42" t="n">
        <v>21000</v>
      </c>
      <c r="G32" s="42" t="n">
        <v>110</v>
      </c>
      <c r="H32" s="42" t="n">
        <v>600</v>
      </c>
      <c r="I32" s="39" t="inlineStr">
        <is>
          <t>Thêm 2 tháp pháo 57 mm tự động</t>
        </is>
      </c>
      <c r="J32" s="39" t="inlineStr">
        <is>
          <t>kronos_bucket_sweep · arc · 1 · 1200 · 25 · — · Động năng</t>
        </is>
      </c>
      <c r="K32" s="39" t="inlineStr">
        <is>
          <t>Quét gầu: cung 120° × 25 m, 1.200 · mỗi 60 s · cảnh báo 4 s</t>
        </is>
      </c>
      <c r="L32" s="39" t="inlineStr">
        <is>
          <t>Giữ.</t>
        </is>
      </c>
    </row>
    <row r="33" ht="21.75" customHeight="1" s="32">
      <c r="A33" s="41" t="inlineStr">
        <is>
          <t>leviathan</t>
        </is>
      </c>
      <c r="B33" s="41" t="inlineStr">
        <is>
          <t>Leviathan · Thiết giáp hạm</t>
        </is>
      </c>
      <c r="C33" s="41" t="inlineStr">
        <is>
          <t>Chủ lực</t>
        </is>
      </c>
      <c r="D33" s="41" t="inlineStr">
        <is>
          <t>4</t>
        </is>
      </c>
      <c r="E33" s="43" t="n">
        <v>18700</v>
      </c>
      <c r="F33" s="43" t="n">
        <v>17000</v>
      </c>
      <c r="G33" s="43" t="n">
        <v>381</v>
      </c>
      <c r="H33" s="43" t="n">
        <v>520</v>
      </c>
      <c r="I33" s="41" t="inlineStr">
        <is>
          <t>Thêm bệ tên lửa phòng không tầm trung (chống máy bay ta)</t>
        </is>
      </c>
      <c r="J33" s="41" t="inlineStr">
        <is>
          <t>leviathan_volley · circle · 1 · 950 · 8 · — · Nổ mạnh</t>
        </is>
      </c>
      <c r="K33" s="41" t="inlineStr">
        <is>
          <t>Loạt pháo chính 9 phát 460 mm: 9 × 950 · nổ lan 13 m · rải theo dải 60 × 12 m · mỗi 70 s · cảnh báo 4 s</t>
        </is>
      </c>
      <c r="L33" s="41" t="inlineStr">
        <is>
          <t>Đòn hiện tại chỉ 1 phát 950 cho thiết giáp hạm.</t>
        </is>
      </c>
    </row>
    <row r="34" ht="21.75" customHeight="1" s="32">
      <c r="A34" s="39" t="inlineStr">
        <is>
          <t>drone_mothership</t>
        </is>
      </c>
      <c r="B34" s="39" t="inlineStr">
        <is>
          <t>Matriarch · Tàu mẹ drone</t>
        </is>
      </c>
      <c r="C34" s="39" t="inlineStr">
        <is>
          <t>Chủ lực</t>
        </is>
      </c>
      <c r="D34" s="39" t="inlineStr">
        <is>
          <t>5</t>
        </is>
      </c>
      <c r="E34" s="42" t="n">
        <v>18828</v>
      </c>
      <c r="F34" s="42" t="n">
        <v>18000</v>
      </c>
      <c r="G34" s="42" t="n">
        <v>438</v>
      </c>
      <c r="H34" s="42" t="n">
        <v>560</v>
      </c>
      <c r="I34" s="39" t="inlineStr">
        <is>
          <t>Thêm 1 khoang phóng Lancet (tổng 3)</t>
        </is>
      </c>
      <c r="J34" s="39" t="inlineStr">
        <is>
          <t>carrier_heavy_bomb · circle · 1 · 850 · 14 · — · Nổ mạnh</t>
        </is>
      </c>
      <c r="K34" s="39" t="inlineStr">
        <is>
          <t>Bom trượt hạng nặng: 1 quả × 1.600 · nổ lan 16 m · mỗi 60 s · bom bay chậm 3 s, bắn hạ được</t>
        </is>
      </c>
      <c r="L34" s="39" t="inlineStr">
        <is>
          <t>Bom bắn hạ được là cách chặn rõ ràng.</t>
        </is>
      </c>
    </row>
  </sheetData>
  <autoFilter ref="A1:L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6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31" min="1" max="1"/>
    <col width="30" customWidth="1" style="31" min="2" max="2"/>
    <col width="32" customWidth="1" style="31" min="3" max="3"/>
    <col width="20" customWidth="1" style="31" min="4" max="4"/>
    <col width="28" customWidth="1" style="31" min="5" max="5"/>
    <col width="60" customWidth="1" style="31" min="6" max="6"/>
  </cols>
  <sheetData>
    <row r="1" ht="42" customHeight="1" s="32">
      <c r="A1" s="37" t="inlineStr">
        <is>
          <t>id</t>
        </is>
      </c>
      <c r="B1" s="44" t="inlineStr">
        <is>
          <t>Tên hiện tại</t>
        </is>
      </c>
      <c r="C1" s="45" t="inlineStr">
        <is>
          <t>Tên đầy đủ đề xuất</t>
        </is>
      </c>
      <c r="D1" s="37" t="inlineStr">
        <is>
          <t>Tên ngắn (HUD, khay thẻ)</t>
        </is>
      </c>
      <c r="E1" s="37" t="inlineStr">
        <is>
          <t>Tên tiếng Anh</t>
        </is>
      </c>
      <c r="F1" s="46" t="inlineStr">
        <is>
          <t>Lý do</t>
        </is>
      </c>
    </row>
    <row r="2" ht="15" customHeight="1" s="32">
      <c r="A2" s="39" t="inlineStr">
        <is>
          <t>hover_gunboat</t>
        </is>
      </c>
      <c r="B2" s="39" t="inlineStr">
        <is>
          <t>Xuồng cao tốc đệm khí</t>
        </is>
      </c>
      <c r="C2" s="39" t="inlineStr">
        <is>
          <t>Xuồng đệm khí hộ tống</t>
        </is>
      </c>
      <c r="D2" s="39" t="inlineStr">
        <is>
          <t>Xuồng hộ tống</t>
        </is>
      </c>
      <c r="E2" s="39" t="inlineStr">
        <is>
          <t>Escort Hovercraft</t>
        </is>
      </c>
      <c r="F2" s="39" t="inlineStr">
        <is>
          <t>Nói rõ vai trò hộ tống boss.</t>
        </is>
      </c>
    </row>
    <row r="3" ht="15" customHeight="1" s="32">
      <c r="A3" s="41" t="inlineStr">
        <is>
          <t>armored_car</t>
        </is>
      </c>
      <c r="B3" s="41" t="inlineStr">
        <is>
          <t>Xe bọc thép</t>
        </is>
      </c>
      <c r="C3" s="41" t="inlineStr">
        <is>
          <t>Xe bọc thép bánh lốp</t>
        </is>
      </c>
      <c r="D3" s="41" t="inlineStr">
        <is>
          <t>Bánh lốp</t>
        </is>
      </c>
      <c r="E3" s="41" t="inlineStr">
        <is>
          <t>Armored Car</t>
        </is>
      </c>
      <c r="F3" s="41" t="inlineStr">
        <is>
          <t>"Xe bọc thép" quá chung, trùng với nhiều xe khác cũng bọc thép.</t>
        </is>
      </c>
    </row>
    <row r="4" ht="15" customHeight="1" s="32">
      <c r="A4" s="39" t="inlineStr">
        <is>
          <t>ifv</t>
        </is>
      </c>
      <c r="B4" s="39" t="inlineStr">
        <is>
          <t>Xe chiến đấu bộ binh</t>
        </is>
      </c>
      <c r="C4" s="39" t="inlineStr">
        <is>
          <t>Xe chiến đấu bộ binh</t>
        </is>
      </c>
      <c r="D4" s="39" t="inlineStr">
        <is>
          <t>Xe bộ binh</t>
        </is>
      </c>
      <c r="E4" s="39" t="inlineStr">
        <is>
          <t>Infantry Fighting Vehicle</t>
        </is>
      </c>
      <c r="F4" s="39" t="inlineStr">
        <is>
          <t>Giữ.</t>
        </is>
      </c>
    </row>
    <row r="5" ht="15" customHeight="1" s="32">
      <c r="A5" s="41" t="inlineStr">
        <is>
          <t>supply_truck</t>
        </is>
      </c>
      <c r="B5" s="41" t="inlineStr">
        <is>
          <t>Xe tiếp tế</t>
        </is>
      </c>
      <c r="C5" s="41" t="inlineStr">
        <is>
          <t>Xe tải tiếp tế</t>
        </is>
      </c>
      <c r="D5" s="41" t="inlineStr">
        <is>
          <t>Tiếp tế</t>
        </is>
      </c>
      <c r="E5" s="41" t="inlineStr">
        <is>
          <t>Supply Truck</t>
        </is>
      </c>
      <c r="F5" s="41" t="inlineStr">
        <is>
          <t>Giữ nghĩa, thêm "tải" cho rõ hình dạng.</t>
        </is>
      </c>
    </row>
    <row r="6" ht="15" customHeight="1" s="32">
      <c r="A6" s="39" t="inlineStr">
        <is>
          <t>engineer_vehicle</t>
        </is>
      </c>
      <c r="B6" s="39" t="inlineStr">
        <is>
          <t>Xe công binh</t>
        </is>
      </c>
      <c r="C6" s="39" t="inlineStr">
        <is>
          <t>Xe công binh</t>
        </is>
      </c>
      <c r="D6" s="39" t="inlineStr">
        <is>
          <t>Công binh</t>
        </is>
      </c>
      <c r="E6" s="39" t="inlineStr">
        <is>
          <t>Engineering Vehicle</t>
        </is>
      </c>
      <c r="F6" s="39" t="inlineStr">
        <is>
          <t>Giữ.</t>
        </is>
      </c>
    </row>
    <row r="7" ht="15" customHeight="1" s="32">
      <c r="A7" s="41"/>
      <c r="B7" s="41"/>
      <c r="C7" s="41"/>
      <c r="D7" s="41"/>
      <c r="E7" s="41"/>
      <c r="F7" s="41"/>
    </row>
    <row r="8" ht="15" customHeight="1" s="32">
      <c r="A8" s="39" t="inlineStr">
        <is>
          <t>ammo_carrier</t>
        </is>
      </c>
      <c r="B8" s="39" t="inlineStr">
        <is>
          <t>Xe tiếp đạn</t>
        </is>
      </c>
      <c r="C8" s="39" t="inlineStr">
        <is>
          <t>Xe tiếp đạn</t>
        </is>
      </c>
      <c r="D8" s="39" t="inlineStr">
        <is>
          <t>Tiếp đạn</t>
        </is>
      </c>
      <c r="E8" s="39" t="inlineStr">
        <is>
          <t>Ammo Carrier</t>
        </is>
      </c>
      <c r="F8" s="39" t="inlineStr">
        <is>
          <t>Giữ.</t>
        </is>
      </c>
    </row>
    <row r="9" ht="15" customHeight="1" s="32">
      <c r="A9" s="41"/>
      <c r="B9" s="41"/>
      <c r="C9" s="41"/>
      <c r="D9" s="41"/>
      <c r="E9" s="41"/>
      <c r="F9" s="41"/>
    </row>
    <row r="10" ht="15" customHeight="1" s="32">
      <c r="A10" s="39" t="inlineStr">
        <is>
          <t>ew_jammer</t>
        </is>
      </c>
      <c r="B10" s="39" t="inlineStr">
        <is>
          <t>Xe tác chiến điện tử</t>
        </is>
      </c>
      <c r="C10" s="39" t="inlineStr">
        <is>
          <t>Xe gây nhiễu điện tử</t>
        </is>
      </c>
      <c r="D10" s="39" t="inlineStr">
        <is>
          <t>Gây nhiễu</t>
        </is>
      </c>
      <c r="E10" s="39" t="inlineStr">
        <is>
          <t>EW Jammer</t>
        </is>
      </c>
      <c r="F10" s="39" t="inlineStr">
        <is>
          <t>"Tác chiến điện tử" dài; bảng DPS đã dùng "Gây nhiễu".</t>
        </is>
      </c>
    </row>
    <row r="11" ht="15" customHeight="1" s="32">
      <c r="A11" s="41" t="inlineStr">
        <is>
          <t>mine_layer</t>
        </is>
      </c>
      <c r="B11" s="41" t="inlineStr">
        <is>
          <t>Xe rải mìn</t>
        </is>
      </c>
      <c r="C11" s="41" t="inlineStr">
        <is>
          <t>Xe rải mìn</t>
        </is>
      </c>
      <c r="D11" s="41" t="inlineStr">
        <is>
          <t>Rải mìn</t>
        </is>
      </c>
      <c r="E11" s="41" t="inlineStr">
        <is>
          <t>Minelayer</t>
        </is>
      </c>
      <c r="F11" s="41" t="inlineStr">
        <is>
          <t>Giữ.</t>
        </is>
      </c>
    </row>
    <row r="12" ht="15" customHeight="1" s="32">
      <c r="A12" s="39" t="inlineStr">
        <is>
          <t>command_vehicle</t>
        </is>
      </c>
      <c r="B12" s="39" t="inlineStr">
        <is>
          <t>Xe chỉ huy</t>
        </is>
      </c>
      <c r="C12" s="39" t="inlineStr">
        <is>
          <t>Xe chỉ huy</t>
        </is>
      </c>
      <c r="D12" s="39" t="inlineStr">
        <is>
          <t>Chỉ huy</t>
        </is>
      </c>
      <c r="E12" s="39" t="inlineStr">
        <is>
          <t>Command Vehicle</t>
        </is>
      </c>
      <c r="F12" s="39" t="inlineStr">
        <is>
          <t>Giữ.</t>
        </is>
      </c>
    </row>
    <row r="13" ht="15" customHeight="1" s="32">
      <c r="A13" s="41" t="inlineStr">
        <is>
          <t>shield_carrier</t>
        </is>
      </c>
      <c r="B13" s="41" t="inlineStr">
        <is>
          <t>Xe phát khiên</t>
        </is>
      </c>
      <c r="C13" s="41" t="inlineStr">
        <is>
          <t>Xe phát khiên</t>
        </is>
      </c>
      <c r="D13" s="41" t="inlineStr">
        <is>
          <t>Phát khiên</t>
        </is>
      </c>
      <c r="E13" s="41" t="inlineStr">
        <is>
          <t>Shield Carrier</t>
        </is>
      </c>
      <c r="F13" s="41" t="inlineStr">
        <is>
          <t>Giữ.</t>
        </is>
      </c>
    </row>
    <row r="14" ht="15" customHeight="1" s="32">
      <c r="A14" s="39" t="inlineStr">
        <is>
          <t>scout_jeep</t>
        </is>
      </c>
      <c r="B14" s="39" t="inlineStr">
        <is>
          <t>Xe trinh sát</t>
        </is>
      </c>
      <c r="C14" s="39" t="inlineStr">
        <is>
          <t>Xe trinh sát hạng nhẹ</t>
        </is>
      </c>
      <c r="D14" s="39" t="inlineStr">
        <is>
          <t>Trinh sát</t>
        </is>
      </c>
      <c r="E14" s="39" t="inlineStr">
        <is>
          <t>Scout Jeep</t>
        </is>
      </c>
      <c r="F14" s="39" t="inlineStr">
        <is>
          <t>Phân biệt với xe trinh sát radar nếu thêm sau này.</t>
        </is>
      </c>
    </row>
    <row r="15" ht="15" customHeight="1" s="32">
      <c r="A15" s="41" t="inlineStr">
        <is>
          <t>vbied</t>
        </is>
      </c>
      <c r="B15" s="41" t="inlineStr">
        <is>
          <t>Xe bom tự sát bọc thép</t>
        </is>
      </c>
      <c r="C15" s="41" t="inlineStr">
        <is>
          <t>Xe bom bọc thép</t>
        </is>
      </c>
      <c r="D15" s="41" t="inlineStr">
        <is>
          <t>Xe bom</t>
        </is>
      </c>
      <c r="E15" s="41" t="inlineStr">
        <is>
          <t>Armored Car Bomb</t>
        </is>
      </c>
      <c r="F15" s="41" t="inlineStr">
        <is>
          <t>Rút gọn; "tự sát" có thể nhạy cảm khi phát hành rộng.</t>
        </is>
      </c>
    </row>
    <row r="16" ht="15" customHeight="1" s="32">
      <c r="A16" s="39" t="inlineStr">
        <is>
          <t>light_tank</t>
        </is>
      </c>
      <c r="B16" s="39" t="inlineStr">
        <is>
          <t>Tăng hạng nhẹ</t>
        </is>
      </c>
      <c r="C16" s="39" t="inlineStr">
        <is>
          <t>Tăng nhẹ lội nước</t>
        </is>
      </c>
      <c r="D16" s="39" t="inlineStr">
        <is>
          <t>Tăng nhẹ</t>
        </is>
      </c>
      <c r="E16" s="39" t="inlineStr">
        <is>
          <t>Amphibious Light Tank</t>
        </is>
      </c>
      <c r="F16" s="39" t="inlineStr">
        <is>
          <t>Nói rõ đặc điểm (PT-76, ZBD-05 đều lội nước).</t>
        </is>
      </c>
    </row>
    <row r="17" ht="15" customHeight="1" s="32">
      <c r="A17" s="41" t="inlineStr">
        <is>
          <t>flame_tank</t>
        </is>
      </c>
      <c r="B17" s="41" t="inlineStr">
        <is>
          <t>Tăng phun lửa</t>
        </is>
      </c>
      <c r="C17" s="41" t="inlineStr">
        <is>
          <t>Tăng phun lửa</t>
        </is>
      </c>
      <c r="D17" s="41" t="inlineStr">
        <is>
          <t>Phun lửa</t>
        </is>
      </c>
      <c r="E17" s="41" t="inlineStr">
        <is>
          <t>Flame Tank</t>
        </is>
      </c>
      <c r="F17" s="41" t="inlineStr">
        <is>
          <t>Giữ.</t>
        </is>
      </c>
    </row>
    <row r="18" ht="15" customHeight="1" s="32">
      <c r="A18" s="39"/>
      <c r="B18" s="39"/>
      <c r="C18" s="39"/>
      <c r="D18" s="39"/>
      <c r="E18" s="39"/>
      <c r="F18" s="39"/>
    </row>
    <row r="19" ht="15" customHeight="1" s="32">
      <c r="A19" s="41"/>
      <c r="B19" s="41"/>
      <c r="C19" s="41"/>
      <c r="D19" s="41"/>
      <c r="E19" s="41"/>
      <c r="F19" s="41"/>
    </row>
    <row r="20" ht="15" customHeight="1" s="32">
      <c r="A20" s="39" t="inlineStr">
        <is>
          <t>rocket_technical</t>
        </is>
      </c>
      <c r="B20" s="39" t="inlineStr">
        <is>
          <t>Bán tải rốc-két</t>
        </is>
      </c>
      <c r="C20" s="39" t="inlineStr">
        <is>
          <t>Bán tải rốc-két</t>
        </is>
      </c>
      <c r="D20" s="39" t="inlineStr">
        <is>
          <t>Bán tải rốc-két</t>
        </is>
      </c>
      <c r="E20" s="39" t="inlineStr">
        <is>
          <t>Rocket Technical</t>
        </is>
      </c>
      <c r="F20" s="39" t="inlineStr">
        <is>
          <t>Giữ.</t>
        </is>
      </c>
    </row>
    <row r="21" ht="15" customHeight="1" s="32">
      <c r="A21" s="41" t="inlineStr">
        <is>
          <t>mortar_carrier</t>
        </is>
      </c>
      <c r="B21" s="41" t="inlineStr">
        <is>
          <t>Xe súng cối</t>
        </is>
      </c>
      <c r="C21" s="41" t="inlineStr">
        <is>
          <t>Xe cối tự hành</t>
        </is>
      </c>
      <c r="D21" s="41" t="inlineStr">
        <is>
          <t>Xe cối</t>
        </is>
      </c>
      <c r="E21" s="41" t="inlineStr">
        <is>
          <t>Mortar Carrier</t>
        </is>
      </c>
      <c r="F21" s="41" t="inlineStr">
        <is>
          <t>"Xe súng cối" nghe lạ.</t>
        </is>
      </c>
    </row>
    <row r="22" ht="15" customHeight="1" s="32">
      <c r="A22" s="39" t="inlineStr">
        <is>
          <t>artillery</t>
        </is>
      </c>
      <c r="B22" s="39" t="inlineStr">
        <is>
          <t>Pháo tự hành</t>
        </is>
      </c>
      <c r="C22" s="39" t="inlineStr">
        <is>
          <t>Lựu pháo tự hành</t>
        </is>
      </c>
      <c r="D22" s="39" t="inlineStr">
        <is>
          <t>Lựu pháo</t>
        </is>
      </c>
      <c r="E22" s="39" t="inlineStr">
        <is>
          <t>SP Howitzer</t>
        </is>
      </c>
      <c r="F22" s="39" t="inlineStr">
        <is>
          <t>"Pháo tự hành" quá chung (pháo phản lực, pháo chống tăng cũng tự hành).</t>
        </is>
      </c>
    </row>
    <row r="23" ht="15" customHeight="1" s="32">
      <c r="A23" s="41" t="inlineStr">
        <is>
          <t>mlrs</t>
        </is>
      </c>
      <c r="B23" s="41" t="inlineStr">
        <is>
          <t>Pháo phản lực</t>
        </is>
      </c>
      <c r="C23" s="41" t="inlineStr">
        <is>
          <t>Pháo phản lực dẫn đường</t>
        </is>
      </c>
      <c r="D23" s="41" t="inlineStr">
        <is>
          <t>Phản lực</t>
        </is>
      </c>
      <c r="E23" s="41" t="inlineStr">
        <is>
          <t>Guided MLRS</t>
        </is>
      </c>
      <c r="F23" s="41" t="inlineStr">
        <is>
          <t>Phân biệt với pháo phản lực hạng nặng và nhiệt áp.</t>
        </is>
      </c>
    </row>
    <row r="24" ht="15" customHeight="1" s="32">
      <c r="A24" s="39" t="inlineStr">
        <is>
          <t>shahed_truck</t>
        </is>
      </c>
      <c r="B24" s="39" t="inlineStr">
        <is>
          <t>Xe phóng Shahed</t>
        </is>
      </c>
      <c r="C24" s="39" t="inlineStr">
        <is>
          <t>Xe phóng drone cảm tử tầm xa</t>
        </is>
      </c>
      <c r="D24" s="39" t="inlineStr">
        <is>
          <t>Drone cảm tử</t>
        </is>
      </c>
      <c r="E24" s="39" t="inlineStr">
        <is>
          <t>Long-range Drone Launcher</t>
        </is>
      </c>
      <c r="F24" s="39" t="inlineStr">
        <is>
          <t>Bỏ tên thật "Shahed" khỏi tên thẻ.</t>
        </is>
      </c>
    </row>
    <row r="25" ht="15" customHeight="1" s="32">
      <c r="A25" s="41" t="inlineStr">
        <is>
          <t>thermobaric_launcher</t>
        </is>
      </c>
      <c r="B25" s="41" t="inlineStr">
        <is>
          <t>Pháo phản lực nhiệt áp</t>
        </is>
      </c>
      <c r="C25" s="41" t="inlineStr">
        <is>
          <t>Pháo phản lực nhiệt áp</t>
        </is>
      </c>
      <c r="D25" s="41" t="inlineStr">
        <is>
          <t>Nhiệt áp</t>
        </is>
      </c>
      <c r="E25" s="41" t="inlineStr">
        <is>
          <t>Thermobaric Launcher</t>
        </is>
      </c>
      <c r="F25" s="41" t="inlineStr">
        <is>
          <t>Giữ.</t>
        </is>
      </c>
    </row>
    <row r="26" ht="15" customHeight="1" s="32">
      <c r="A26" s="39" t="inlineStr">
        <is>
          <t>ballistic_launcher</t>
        </is>
      </c>
      <c r="B26" s="39" t="inlineStr">
        <is>
          <t>Xe phóng tên lửa đạn đạo</t>
        </is>
      </c>
      <c r="C26" s="39" t="inlineStr">
        <is>
          <t>Xe phóng tên lửa chiến thuật</t>
        </is>
      </c>
      <c r="D26" s="39" t="inlineStr">
        <is>
          <t>Tên lửa chiến thuật</t>
        </is>
      </c>
      <c r="E26" s="39" t="inlineStr">
        <is>
          <t>Tactical Ballistic Launcher</t>
        </is>
      </c>
      <c r="F26" s="39" t="inlineStr">
        <is>
          <t>"Chiến thuật" đúng phân loại thật (Iskander là tên lửa đạn đạo chiến thuật).</t>
        </is>
      </c>
    </row>
    <row r="27" ht="15" customHeight="1" s="32">
      <c r="A27" s="41" t="inlineStr">
        <is>
          <t>heavy_rocket_artillery</t>
        </is>
      </c>
      <c r="B27" s="41" t="inlineStr">
        <is>
          <t>Pháo phản lực hạng nặng</t>
        </is>
      </c>
      <c r="C27" s="41" t="inlineStr">
        <is>
          <t>Pháo phản lực hạng nặng</t>
        </is>
      </c>
      <c r="D27" s="41" t="inlineStr">
        <is>
          <t>Phản lực nặng</t>
        </is>
      </c>
      <c r="E27" s="41" t="inlineStr">
        <is>
          <t>Heavy MLRS</t>
        </is>
      </c>
      <c r="F27" s="41" t="inlineStr">
        <is>
          <t>Bảng DPS ghi "Phản lực 300": thống nhất.</t>
        </is>
      </c>
    </row>
    <row r="28" ht="15" customHeight="1" s="32">
      <c r="A28" s="39" t="inlineStr">
        <is>
          <t>siege_tank</t>
        </is>
      </c>
      <c r="B28" s="39" t="inlineStr">
        <is>
          <t>Tăng công thành</t>
        </is>
      </c>
      <c r="C28" s="39" t="inlineStr">
        <is>
          <t>Pháo cối công thành</t>
        </is>
      </c>
      <c r="D28" s="39" t="inlineStr">
        <is>
          <t>Công thành</t>
        </is>
      </c>
      <c r="E28" s="39" t="inlineStr">
        <is>
          <t>Siege Mortar</t>
        </is>
      </c>
      <c r="F28" s="39" t="inlineStr">
        <is>
          <t>Không phải xe tăng; vũ khí chính là cối 240 mm.</t>
        </is>
      </c>
    </row>
    <row r="29" ht="15" customHeight="1" s="32">
      <c r="A29" s="41" t="inlineStr">
        <is>
          <t>zu23_technical</t>
        </is>
      </c>
      <c r="B29" s="41" t="inlineStr">
        <is>
          <t>Bán tải ZU-23</t>
        </is>
      </c>
      <c r="C29" s="41" t="inlineStr">
        <is>
          <t>Bán tải cao xạ</t>
        </is>
      </c>
      <c r="D29" s="41" t="inlineStr">
        <is>
          <t>Cao xạ bán tải</t>
        </is>
      </c>
      <c r="E29" s="41" t="inlineStr">
        <is>
          <t>Flak Technical</t>
        </is>
      </c>
      <c r="F29" s="41" t="inlineStr">
        <is>
          <t>Bỏ tên thật khỏi tên thẻ.</t>
        </is>
      </c>
    </row>
    <row r="30" ht="15" customHeight="1" s="32">
      <c r="A30" s="39" t="inlineStr">
        <is>
          <t>aa_vehicle</t>
        </is>
      </c>
      <c r="B30" s="39" t="inlineStr">
        <is>
          <t>Xe phòng không</t>
        </is>
      </c>
      <c r="C30" s="39" t="inlineStr">
        <is>
          <t>Pháo cao xạ tự hành</t>
        </is>
      </c>
      <c r="D30" s="39" t="inlineStr">
        <is>
          <t>Cao xạ</t>
        </is>
      </c>
      <c r="E30" s="39" t="inlineStr">
        <is>
          <t>Self-Propelled AA Gun</t>
        </is>
      </c>
      <c r="F30" s="39" t="inlineStr">
        <is>
          <t>"Xe phòng không" quá chung (có 6 xe phòng không).</t>
        </is>
      </c>
    </row>
    <row r="31" ht="15" customHeight="1" s="32">
      <c r="A31" s="41" t="inlineStr">
        <is>
          <t>sam_launcher</t>
        </is>
      </c>
      <c r="B31" s="41" t="inlineStr">
        <is>
          <t>Tên lửa phòng không</t>
        </is>
      </c>
      <c r="C31" s="41" t="inlineStr">
        <is>
          <t>Xe tên lửa phòng không tầm trung</t>
        </is>
      </c>
      <c r="D31" s="41" t="inlineStr">
        <is>
          <t>PK tầm trung</t>
        </is>
      </c>
      <c r="E31" s="41" t="inlineStr">
        <is>
          <t>Medium-range SAM</t>
        </is>
      </c>
      <c r="F31" s="41" t="inlineStr">
        <is>
          <t>Phân biệt với tầm xa và vác vai.</t>
        </is>
      </c>
    </row>
    <row r="32" ht="15" customHeight="1" s="32">
      <c r="A32" s="39" t="inlineStr">
        <is>
          <t>heavy_aa</t>
        </is>
      </c>
      <c r="B32" s="39" t="inlineStr">
        <is>
          <t>Pháo tên lửa phòng không</t>
        </is>
      </c>
      <c r="C32" s="39" t="inlineStr">
        <is>
          <t>Xe phòng không pháo – tên lửa</t>
        </is>
      </c>
      <c r="D32" s="39" t="inlineStr">
        <is>
          <t>PK hỗn hợp</t>
        </is>
      </c>
      <c r="E32" s="39" t="inlineStr">
        <is>
          <t>Gun–Missile AA</t>
        </is>
      </c>
      <c r="F32" s="39" t="inlineStr">
        <is>
          <t>"Pháo tên lửa phòng không" khó hiểu; bảng DPS đã gọi "PK hỗn hợp".</t>
        </is>
      </c>
    </row>
    <row r="33" ht="15" customHeight="1" s="32">
      <c r="A33" s="41" t="inlineStr">
        <is>
          <t>iron_beam</t>
        </is>
      </c>
      <c r="B33" s="41" t="inlineStr">
        <is>
          <t>La-de phòng không</t>
        </is>
      </c>
      <c r="C33" s="41" t="inlineStr">
        <is>
          <t>Xe la-de phòng không</t>
        </is>
      </c>
      <c r="D33" s="41" t="inlineStr">
        <is>
          <t>La-de PK</t>
        </is>
      </c>
      <c r="E33" s="41" t="inlineStr">
        <is>
          <t>Laser AA</t>
        </is>
      </c>
      <c r="F33" s="41" t="inlineStr">
        <is>
          <t>Giữ.</t>
        </is>
      </c>
    </row>
    <row r="34" ht="15" customHeight="1" s="32">
      <c r="A34" s="39" t="inlineStr">
        <is>
          <t>long_sam</t>
        </is>
      </c>
      <c r="B34" s="39" t="inlineStr">
        <is>
          <t>Tên lửa phòng không tầm xa</t>
        </is>
      </c>
      <c r="C34" s="39" t="inlineStr">
        <is>
          <t>Xe tên lửa phòng không tầm xa</t>
        </is>
      </c>
      <c r="D34" s="39" t="inlineStr">
        <is>
          <t>PK tầm xa</t>
        </is>
      </c>
      <c r="E34" s="39" t="inlineStr">
        <is>
          <t>Long-range SAM</t>
        </is>
      </c>
      <c r="F34" s="39" t="inlineStr">
        <is>
          <t>Giữ nghĩa, thống nhất với tầm trung.</t>
        </is>
      </c>
    </row>
    <row r="35" ht="15" customHeight="1" s="32">
      <c r="A35" s="41" t="inlineStr">
        <is>
          <t>scout_heli</t>
        </is>
      </c>
      <c r="B35" s="41" t="inlineStr">
        <is>
          <t>Trực thăng trinh sát</t>
        </is>
      </c>
      <c r="C35" s="41" t="inlineStr">
        <is>
          <t>Trực thăng trinh sát vũ trang</t>
        </is>
      </c>
      <c r="D35" s="41" t="inlineStr">
        <is>
          <t>TT trinh sát</t>
        </is>
      </c>
      <c r="E35" s="41" t="inlineStr">
        <is>
          <t>Armed Scout Helicopter</t>
        </is>
      </c>
      <c r="F35" s="41" t="inlineStr">
        <is>
          <t>Nói rõ nó có vũ khí.</t>
        </is>
      </c>
    </row>
    <row r="36" ht="15" customHeight="1" s="32">
      <c r="A36" s="39" t="inlineStr">
        <is>
          <t>recon_drone</t>
        </is>
      </c>
      <c r="B36" s="39" t="inlineStr">
        <is>
          <t>UAV trinh sát</t>
        </is>
      </c>
      <c r="C36" s="39" t="inlineStr">
        <is>
          <t>UAV trinh sát</t>
        </is>
      </c>
      <c r="D36" s="39" t="inlineStr">
        <is>
          <t>UAV trinh sát</t>
        </is>
      </c>
      <c r="E36" s="39" t="inlineStr">
        <is>
          <t>Recon UAV</t>
        </is>
      </c>
      <c r="F36" s="39" t="inlineStr">
        <is>
          <t>Giữ.</t>
        </is>
      </c>
    </row>
    <row r="37" ht="15" customHeight="1" s="32">
      <c r="A37" s="41"/>
      <c r="B37" s="41"/>
      <c r="C37" s="41"/>
      <c r="D37" s="41"/>
      <c r="E37" s="41"/>
      <c r="F37" s="41"/>
    </row>
    <row r="38" ht="15" customHeight="1" s="32">
      <c r="A38" s="39" t="inlineStr">
        <is>
          <t>strike_drone</t>
        </is>
      </c>
      <c r="B38" s="39" t="inlineStr">
        <is>
          <t>UAV tấn công</t>
        </is>
      </c>
      <c r="C38" s="39" t="inlineStr">
        <is>
          <t>UAV tấn công</t>
        </is>
      </c>
      <c r="D38" s="39" t="inlineStr">
        <is>
          <t>UAV tấn công</t>
        </is>
      </c>
      <c r="E38" s="39" t="inlineStr">
        <is>
          <t>Strike UAV</t>
        </is>
      </c>
      <c r="F38" s="39" t="inlineStr">
        <is>
          <t>Giữ.</t>
        </is>
      </c>
    </row>
    <row r="39" ht="15" customHeight="1" s="32">
      <c r="A39" s="41" t="inlineStr">
        <is>
          <t>swarm_carrier</t>
        </is>
      </c>
      <c r="B39" s="41" t="inlineStr">
        <is>
          <t>Máy bay mẹ thả drone</t>
        </is>
      </c>
      <c r="C39" s="41" t="inlineStr">
        <is>
          <t>Máy bay mẹ thả drone</t>
        </is>
      </c>
      <c r="D39" s="41" t="inlineStr">
        <is>
          <t>Máy bay mẹ</t>
        </is>
      </c>
      <c r="E39" s="41" t="inlineStr">
        <is>
          <t>Drone Mothership Aircraft</t>
        </is>
      </c>
      <c r="F39" s="41" t="inlineStr">
        <is>
          <t>Giữ.</t>
        </is>
      </c>
    </row>
    <row r="40" ht="15" customHeight="1" s="32">
      <c r="A40" s="39" t="inlineStr">
        <is>
          <t>attack_helicopter</t>
        </is>
      </c>
      <c r="B40" s="39" t="inlineStr">
        <is>
          <t>Trực thăng tấn công</t>
        </is>
      </c>
      <c r="C40" s="39" t="inlineStr">
        <is>
          <t>Trực thăng tấn công</t>
        </is>
      </c>
      <c r="D40" s="39" t="inlineStr">
        <is>
          <t>TT tấn công</t>
        </is>
      </c>
      <c r="E40" s="39" t="inlineStr">
        <is>
          <t>Attack Helicopter</t>
        </is>
      </c>
      <c r="F40" s="39" t="inlineStr">
        <is>
          <t>Giữ.</t>
        </is>
      </c>
    </row>
    <row r="41" ht="15" customHeight="1" s="32">
      <c r="A41" s="41" t="inlineStr">
        <is>
          <t>fighter_jet</t>
        </is>
      </c>
      <c r="B41" s="41" t="inlineStr">
        <is>
          <t>Tiêm kích</t>
        </is>
      </c>
      <c r="C41" s="41" t="inlineStr">
        <is>
          <t>Tiêm kích</t>
        </is>
      </c>
      <c r="D41" s="41" t="inlineStr">
        <is>
          <t>Tiêm kích</t>
        </is>
      </c>
      <c r="E41" s="41" t="inlineStr">
        <is>
          <t>Fighter</t>
        </is>
      </c>
      <c r="F41" s="41" t="inlineStr">
        <is>
          <t>Giữ.</t>
        </is>
      </c>
    </row>
    <row r="42" ht="15" customHeight="1" s="32">
      <c r="A42" s="39" t="inlineStr">
        <is>
          <t>stealth_fighter</t>
        </is>
      </c>
      <c r="B42" s="39" t="inlineStr">
        <is>
          <t>Tiêm kích tàng hình</t>
        </is>
      </c>
      <c r="C42" s="39" t="inlineStr">
        <is>
          <t>Tiêm kích tàng hình</t>
        </is>
      </c>
      <c r="D42" s="39" t="inlineStr">
        <is>
          <t>TK tàng hình</t>
        </is>
      </c>
      <c r="E42" s="39" t="inlineStr">
        <is>
          <t>Stealth Fighter</t>
        </is>
      </c>
      <c r="F42" s="39" t="inlineStr">
        <is>
          <t>Giữ.</t>
        </is>
      </c>
    </row>
    <row r="43" ht="21.75" customHeight="1" s="32">
      <c r="A43" s="41"/>
      <c r="B43" s="41"/>
      <c r="C43" s="41"/>
      <c r="D43" s="41"/>
      <c r="E43" s="41"/>
      <c r="F43" s="41"/>
    </row>
    <row r="44" ht="15" customHeight="1" s="32">
      <c r="A44" s="39" t="inlineStr">
        <is>
          <t>attack_jet</t>
        </is>
      </c>
      <c r="B44" s="39" t="inlineStr">
        <is>
          <t>Máy bay cường kích</t>
        </is>
      </c>
      <c r="C44" s="39" t="inlineStr">
        <is>
          <t>Máy bay cường kích</t>
        </is>
      </c>
      <c r="D44" s="39" t="inlineStr">
        <is>
          <t>Cường kích</t>
        </is>
      </c>
      <c r="E44" s="39" t="inlineStr">
        <is>
          <t>Attack Jet</t>
        </is>
      </c>
      <c r="F44" s="39" t="inlineStr">
        <is>
          <t>Giữ.</t>
        </is>
      </c>
    </row>
    <row r="45" ht="15" customHeight="1" s="32">
      <c r="A45" s="41" t="inlineStr">
        <is>
          <t>stealth_bomber</t>
        </is>
      </c>
      <c r="B45" s="41" t="inlineStr">
        <is>
          <t>Máy bay ném bom tàng hình</t>
        </is>
      </c>
      <c r="C45" s="41" t="inlineStr">
        <is>
          <t>Oanh tạc cơ tàng hình</t>
        </is>
      </c>
      <c r="D45" s="41" t="inlineStr">
        <is>
          <t>OTC tàng hình</t>
        </is>
      </c>
      <c r="E45" s="41" t="inlineStr">
        <is>
          <t>Stealth Bomber</t>
        </is>
      </c>
      <c r="F45" s="41" t="inlineStr">
        <is>
          <t>Thống nhất gốc "oanh tạc cơ" với Oanh tạc cơ.</t>
        </is>
      </c>
    </row>
    <row r="46" ht="15" customHeight="1" s="32">
      <c r="A46" s="39" t="inlineStr">
        <is>
          <t>heavy_bomber</t>
        </is>
      </c>
      <c r="B46" s="39" t="inlineStr">
        <is>
          <t>Oanh tạc cơ hạng nặng</t>
        </is>
      </c>
      <c r="C46" s="39" t="inlineStr">
        <is>
          <t>Oanh tạc cơ chiến lược</t>
        </is>
      </c>
      <c r="D46" s="39" t="inlineStr">
        <is>
          <t>Oanh tạc cơ</t>
        </is>
      </c>
      <c r="E46" s="39" t="inlineStr">
        <is>
          <t>Strategic Bomber</t>
        </is>
      </c>
      <c r="F46" s="39" t="inlineStr">
        <is>
          <t>"Chiến lược" đúng phân loại B-52.</t>
        </is>
      </c>
    </row>
    <row r="47" ht="15" customHeight="1" s="32">
      <c r="A47" s="41" t="inlineStr">
        <is>
          <t>sky_gunship</t>
        </is>
      </c>
      <c r="B47" s="41" t="inlineStr">
        <is>
          <t>Pháo hạm AC-130</t>
        </is>
      </c>
      <c r="C47" s="41" t="inlineStr">
        <is>
          <t>Pháo hạm bay</t>
        </is>
      </c>
      <c r="D47" s="41" t="inlineStr">
        <is>
          <t>Pháo hạm</t>
        </is>
      </c>
      <c r="E47" s="41" t="inlineStr">
        <is>
          <t>Airborne Gunship</t>
        </is>
      </c>
      <c r="F47" s="41" t="inlineStr">
        <is>
          <t>Bỏ tên thật "AC-130" khỏi tên thẻ (đưa vào dòng phụ).</t>
        </is>
      </c>
    </row>
    <row r="48" ht="15" customHeight="1" s="32">
      <c r="A48" s="39"/>
      <c r="B48" s="39"/>
      <c r="C48" s="39"/>
      <c r="D48" s="39"/>
      <c r="E48" s="39"/>
      <c r="F48" s="39"/>
    </row>
    <row r="49" ht="15" customHeight="1" s="32">
      <c r="A49" s="41" t="inlineStr">
        <is>
          <t>armored_bulldozer</t>
        </is>
      </c>
      <c r="B49" s="41" t="inlineStr">
        <is>
          <t>Xe ủi bọc thép</t>
        </is>
      </c>
      <c r="C49" s="41" t="inlineStr">
        <is>
          <t>Xe ủi bọc thép</t>
        </is>
      </c>
      <c r="D49" s="41" t="inlineStr">
        <is>
          <t>Xe ủi</t>
        </is>
      </c>
      <c r="E49" s="41" t="inlineStr">
        <is>
          <t>Armored Bulldozer</t>
        </is>
      </c>
      <c r="F49" s="41" t="inlineStr">
        <is>
          <t>Giữ.</t>
        </is>
      </c>
    </row>
    <row r="50" ht="15" customHeight="1" s="32">
      <c r="A50" s="39" t="inlineStr">
        <is>
          <t>main_battle_tank</t>
        </is>
      </c>
      <c r="B50" s="39" t="inlineStr">
        <is>
          <t>Tăng chủ lực</t>
        </is>
      </c>
      <c r="C50" s="39" t="inlineStr">
        <is>
          <t>Tăng chủ lực</t>
        </is>
      </c>
      <c r="D50" s="39" t="inlineStr">
        <is>
          <t>Tăng chủ lực</t>
        </is>
      </c>
      <c r="E50" s="39" t="inlineStr">
        <is>
          <t>Main Battle Tank</t>
        </is>
      </c>
      <c r="F50" s="39" t="inlineStr">
        <is>
          <t>Giữ.</t>
        </is>
      </c>
    </row>
    <row r="51" ht="15" customHeight="1" s="32">
      <c r="A51" s="41" t="inlineStr">
        <is>
          <t>twin_tank</t>
        </is>
      </c>
      <c r="B51" s="41" t="inlineStr">
        <is>
          <t>Tăng hai nòng</t>
        </is>
      </c>
      <c r="C51" s="41" t="inlineStr">
        <is>
          <t>Tăng hai nòng</t>
        </is>
      </c>
      <c r="D51" s="41" t="inlineStr">
        <is>
          <t>Hai nòng</t>
        </is>
      </c>
      <c r="E51" s="41" t="inlineStr">
        <is>
          <t>Twin-Gun Tank</t>
        </is>
      </c>
      <c r="F51" s="41" t="inlineStr">
        <is>
          <t>Giữ.</t>
        </is>
      </c>
    </row>
    <row r="52" ht="15" customHeight="1" s="32">
      <c r="A52" s="39" t="inlineStr">
        <is>
          <t>heavy_tank</t>
        </is>
      </c>
      <c r="B52" s="39" t="inlineStr">
        <is>
          <t>Tăng hạng nặng</t>
        </is>
      </c>
      <c r="C52" s="39" t="inlineStr">
        <is>
          <t>Tăng hạng nặng</t>
        </is>
      </c>
      <c r="D52" s="39" t="inlineStr">
        <is>
          <t>Tăng nặng</t>
        </is>
      </c>
      <c r="E52" s="39" t="inlineStr">
        <is>
          <t>Heavy Tank</t>
        </is>
      </c>
      <c r="F52" s="39" t="inlineStr">
        <is>
          <t>Giữ.</t>
        </is>
      </c>
    </row>
    <row r="53" ht="15" customHeight="1" s="32">
      <c r="A53" s="41" t="inlineStr">
        <is>
          <t>titan_tank</t>
        </is>
      </c>
      <c r="B53" s="41" t="inlineStr">
        <is>
          <t>Siêu tăng Titan</t>
        </is>
      </c>
      <c r="C53" s="41" t="inlineStr">
        <is>
          <t>Siêu tăng</t>
        </is>
      </c>
      <c r="D53" s="41" t="inlineStr">
        <is>
          <t>Siêu tăng</t>
        </is>
      </c>
      <c r="E53" s="41" t="inlineStr">
        <is>
          <t>Super-Heavy Tank</t>
        </is>
      </c>
      <c r="F53" s="41" t="inlineStr">
        <is>
          <t>"Titan" trùng biệt danh tướng Thorne ("Titan"); bỏ để tránh nhầm.</t>
        </is>
      </c>
    </row>
    <row r="54" ht="15" customHeight="1" s="32">
      <c r="A54" s="39" t="inlineStr">
        <is>
          <t>fpv_carrier</t>
        </is>
      </c>
      <c r="B54" s="39" t="inlineStr">
        <is>
          <t>Xe phóng drone FPV</t>
        </is>
      </c>
      <c r="C54" s="39" t="inlineStr">
        <is>
          <t>Xe phóng drone FPV</t>
        </is>
      </c>
      <c r="D54" s="39" t="inlineStr">
        <is>
          <t>Drone FPV</t>
        </is>
      </c>
      <c r="E54" s="39" t="inlineStr">
        <is>
          <t>FPV Drone Carrier</t>
        </is>
      </c>
      <c r="F54" s="39" t="inlineStr">
        <is>
          <t>Giữ.</t>
        </is>
      </c>
    </row>
    <row r="55" ht="15" customHeight="1" s="32">
      <c r="A55" s="41"/>
      <c r="B55" s="41"/>
      <c r="C55" s="41"/>
      <c r="D55" s="41"/>
      <c r="E55" s="41"/>
      <c r="F55" s="41"/>
    </row>
    <row r="56" ht="15" customHeight="1" s="32">
      <c r="A56" s="39" t="inlineStr">
        <is>
          <t>wheeled_gun</t>
        </is>
      </c>
      <c r="B56" s="39" t="inlineStr">
        <is>
          <t>Pháo bánh lốp diệt tăng</t>
        </is>
      </c>
      <c r="C56" s="39" t="inlineStr">
        <is>
          <t>Pháo xung kích bánh lốp</t>
        </is>
      </c>
      <c r="D56" s="39" t="inlineStr">
        <is>
          <t>Bánh lốp diệt tăng</t>
        </is>
      </c>
      <c r="E56" s="39" t="inlineStr">
        <is>
          <t>Wheeled Tank Destroyer</t>
        </is>
      </c>
      <c r="F56" s="39" t="inlineStr">
        <is>
          <t>Tên hiện dài và lặp "pháo"; "xung kích" nói rõ vai trò đánh nhanh.</t>
        </is>
      </c>
    </row>
    <row r="57" ht="15" customHeight="1" s="32">
      <c r="A57" s="41" t="inlineStr">
        <is>
          <t>tank_destroyer</t>
        </is>
      </c>
      <c r="B57" s="41" t="inlineStr">
        <is>
          <t>Pháo chống tăng</t>
        </is>
      </c>
      <c r="C57" s="41" t="inlineStr">
        <is>
          <t>Pháo chống tăng tự hành</t>
        </is>
      </c>
      <c r="D57" s="41" t="inlineStr">
        <is>
          <t>Chống tăng</t>
        </is>
      </c>
      <c r="E57" s="41" t="inlineStr">
        <is>
          <t>Tank Destroyer</t>
        </is>
      </c>
      <c r="F57" s="41" t="inlineStr">
        <is>
          <t>Giữ nghĩa.</t>
        </is>
      </c>
    </row>
    <row r="58" ht="15" customHeight="1" s="32">
      <c r="A58" s="39" t="inlineStr">
        <is>
          <t>railgun_truck</t>
        </is>
      </c>
      <c r="B58" s="39" t="inlineStr">
        <is>
          <t>Xe súng điện từ</t>
        </is>
      </c>
      <c r="C58" s="39" t="inlineStr">
        <is>
          <t>Xe pháo điện từ</t>
        </is>
      </c>
      <c r="D58" s="39" t="inlineStr">
        <is>
          <t>Pháo điện từ</t>
        </is>
      </c>
      <c r="E58" s="39" t="inlineStr">
        <is>
          <t>Railgun Truck</t>
        </is>
      </c>
      <c r="F58" s="39" t="inlineStr">
        <is>
          <t>Thẻ ghi "Xe súng điện từ", bảng DPS ghi "Pháo điện từ": thống nhất.</t>
        </is>
      </c>
    </row>
    <row r="59" ht="15" customHeight="1" s="32">
      <c r="A59" s="41" t="inlineStr">
        <is>
          <t>laser_tank</t>
        </is>
      </c>
      <c r="B59" s="41" t="inlineStr">
        <is>
          <t>Xe la-de tập trung</t>
        </is>
      </c>
      <c r="C59" s="41" t="inlineStr">
        <is>
          <t>Xe la-de diệt tăng</t>
        </is>
      </c>
      <c r="D59" s="41" t="inlineStr">
        <is>
          <t>La-de diệt tăng</t>
        </is>
      </c>
      <c r="E59" s="41" t="inlineStr">
        <is>
          <t>Laser Tank Destroyer</t>
        </is>
      </c>
      <c r="F59" s="41" t="inlineStr">
        <is>
          <t>"Tập trung" không nói lên vai trò.</t>
        </is>
      </c>
    </row>
    <row r="60" ht="15" customHeight="1" s="32">
      <c r="A60" s="39" t="inlineStr">
        <is>
          <t>c_ram</t>
        </is>
      </c>
      <c r="B60" s="39" t="inlineStr">
        <is>
          <t>Trạm C-RAM</t>
        </is>
      </c>
      <c r="C60" s="39" t="inlineStr">
        <is>
          <t>Trạm đánh chặn C-RAM</t>
        </is>
      </c>
      <c r="D60" s="39" t="inlineStr">
        <is>
          <t>C-RAM</t>
        </is>
      </c>
      <c r="E60" s="39" t="inlineStr">
        <is>
          <t>C-RAM Interceptor</t>
        </is>
      </c>
      <c r="F60" s="39" t="inlineStr">
        <is>
          <t>Giữ nghĩa.</t>
        </is>
      </c>
    </row>
    <row r="61" ht="15" customHeight="1" s="32">
      <c r="A61" s="41" t="inlineStr">
        <is>
          <t>drone_hangar</t>
        </is>
      </c>
      <c r="B61" s="41" t="inlineStr">
        <is>
          <t>Nhà chứa drone</t>
        </is>
      </c>
      <c r="C61" s="41" t="inlineStr">
        <is>
          <t>Nhà chứa drone</t>
        </is>
      </c>
      <c r="D61" s="41" t="inlineStr">
        <is>
          <t>Nhà chứa drone</t>
        </is>
      </c>
      <c r="E61" s="41" t="inlineStr">
        <is>
          <t>Drone Hangar</t>
        </is>
      </c>
      <c r="F61" s="41" t="inlineStr">
        <is>
          <t>Giữ.</t>
        </is>
      </c>
    </row>
    <row r="62" ht="15" customHeight="1" s="32">
      <c r="A62" s="39" t="inlineStr">
        <is>
          <t>heavy_turret</t>
        </is>
      </c>
      <c r="B62" s="39" t="inlineStr">
        <is>
          <t>Pháo đài hạng nặng</t>
        </is>
      </c>
      <c r="C62" s="39" t="inlineStr">
        <is>
          <t>Tháp pháo hạng nặng</t>
        </is>
      </c>
      <c r="D62" s="39" t="inlineStr">
        <is>
          <t>Pháo hạng nặng</t>
        </is>
      </c>
      <c r="E62" s="39" t="inlineStr">
        <is>
          <t>Heavy Gun Turret</t>
        </is>
      </c>
      <c r="F62" s="39" t="inlineStr">
        <is>
          <t>"Pháo đài" dễ nhầm với boss Bastion và pháo đài trong Công thành.</t>
        </is>
      </c>
    </row>
    <row r="63" ht="15" customHeight="1" s="32">
      <c r="A63" s="41" t="inlineStr">
        <is>
          <t>missile_battery</t>
        </is>
      </c>
      <c r="B63" s="41" t="inlineStr">
        <is>
          <t>Tên lửa Patriot tầm xa</t>
        </is>
      </c>
      <c r="C63" s="41" t="inlineStr">
        <is>
          <t>Trạm tên lửa phòng không tầm xa</t>
        </is>
      </c>
      <c r="D63" s="41" t="inlineStr">
        <is>
          <t>PK tầm xa</t>
        </is>
      </c>
      <c r="E63" s="41" t="inlineStr">
        <is>
          <t>Long-range SAM Site</t>
        </is>
      </c>
      <c r="F63" s="41" t="inlineStr">
        <is>
          <t>Bỏ tên thật "Patriot" khỏi tên thẻ.</t>
        </is>
      </c>
    </row>
    <row r="64" ht="15" customHeight="1" s="32">
      <c r="A64" s="39" t="inlineStr">
        <is>
          <t>bulwark_post</t>
        </is>
      </c>
      <c r="B64" s="39" t="inlineStr">
        <is>
          <t>Ụ súng tạm</t>
        </is>
      </c>
      <c r="C64" s="39" t="inlineStr">
        <is>
          <t>Ụ súng dã chiến</t>
        </is>
      </c>
      <c r="D64" s="39" t="inlineStr">
        <is>
          <t>Ụ súng</t>
        </is>
      </c>
      <c r="E64" s="39" t="inlineStr">
        <is>
          <t>Field Gun Post</t>
        </is>
      </c>
      <c r="F64" s="39" t="inlineStr">
        <is>
          <t>"Tạm" nghe như lỗi.</t>
        </is>
      </c>
    </row>
    <row r="65" ht="15" customHeight="1" s="32">
      <c r="A65" s="41" t="inlineStr">
        <is>
          <t>spawn_bastion</t>
        </is>
      </c>
      <c r="B65" s="41" t="inlineStr">
        <is>
          <t>Tháp căn cứ</t>
        </is>
      </c>
      <c r="C65" s="41" t="inlineStr">
        <is>
          <t>(kiểm tra còn dùng không)</t>
        </is>
      </c>
      <c r="D65" s="41" t="inlineStr">
        <is>
          <t>—</t>
        </is>
      </c>
      <c r="E65" s="41" t="inlineStr">
        <is>
          <t>—</t>
        </is>
      </c>
      <c r="F65" s="41" t="inlineStr">
        <is>
          <t>Tên của hệ căn cứ cũ.</t>
        </is>
      </c>
    </row>
  </sheetData>
  <autoFilter ref="A1:F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J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30" customWidth="1" style="31" min="2" max="2"/>
    <col width="12" customWidth="1" style="31" min="3" max="3"/>
    <col width="8" customWidth="1" style="31" min="4" max="5"/>
    <col width="9" customWidth="1" style="31" min="6" max="6"/>
    <col width="8" customWidth="1" style="31" min="7" max="7"/>
    <col width="9" customWidth="1" style="31" min="8" max="8"/>
    <col width="32" customWidth="1" style="31" min="9" max="9"/>
    <col width="70" customWidth="1" style="31" min="10" max="10"/>
  </cols>
  <sheetData>
    <row r="1" ht="42" customHeight="1" s="32">
      <c r="A1" s="37" t="inlineStr">
        <is>
          <t>id</t>
        </is>
      </c>
      <c r="B1" s="37" t="inlineStr">
        <is>
          <t>Đơn vị</t>
        </is>
      </c>
      <c r="C1" s="37" t="inlineStr">
        <is>
          <t>Nhóm</t>
        </is>
      </c>
      <c r="D1" s="37" t="inlineStr">
        <is>
          <t>Dài model (m)</t>
        </is>
      </c>
      <c r="E1" s="37" t="inlineStr">
        <is>
          <t>Rộng model (m)</t>
        </is>
      </c>
      <c r="F1" s="37" t="inlineStr">
        <is>
          <t>Diện tích (m²)</t>
        </is>
      </c>
      <c r="G1" s="45" t="inlineStr">
        <is>
          <t>CP sau đề xuất</t>
        </is>
      </c>
      <c r="H1" s="37" t="inlineStr">
        <is>
          <t>CP / 10 m²</t>
        </is>
      </c>
      <c r="I1" s="37" t="inlineStr">
        <is>
          <t>Giá ngoài đời (ước lượng)</t>
        </is>
      </c>
      <c r="J1" s="37" t="inlineStr">
        <is>
          <t>Nhận xét</t>
        </is>
      </c>
    </row>
    <row r="2" ht="15" customHeight="1" s="32">
      <c r="A2" s="39" t="inlineStr">
        <is>
          <t>hover_gunboat</t>
        </is>
      </c>
      <c r="B2" s="39" t="inlineStr">
        <is>
          <t>Xuồng cao tốc đệm khí</t>
        </is>
      </c>
      <c r="C2" s="39" t="inlineStr">
        <is>
          <t>Mặt đất</t>
        </is>
      </c>
      <c r="D2" s="42" t="n">
        <v>14</v>
      </c>
      <c r="E2" s="42" t="n">
        <v>3.9</v>
      </c>
      <c r="F2" s="50">
        <f>IFERROR(D2*E2,"")</f>
        <v/>
      </c>
      <c r="G2" s="52" t="n">
        <v>0</v>
      </c>
      <c r="H2" s="50">
        <f>IFERROR(G2/F2*10,"")</f>
        <v/>
      </c>
      <c r="I2" s="39" t="inlineStr">
        <is>
          <t>—</t>
        </is>
      </c>
      <c r="J2" s="39" t="n"/>
    </row>
    <row r="3" ht="15" customHeight="1" s="32">
      <c r="A3" s="41" t="inlineStr">
        <is>
          <t>armored_car</t>
        </is>
      </c>
      <c r="B3" s="41" t="inlineStr">
        <is>
          <t>Xe bọc thép</t>
        </is>
      </c>
      <c r="C3" s="41" t="inlineStr">
        <is>
          <t>Mặt đất</t>
        </is>
      </c>
      <c r="D3" s="43" t="n">
        <v>5.9</v>
      </c>
      <c r="E3" s="43" t="n">
        <v>2.3</v>
      </c>
      <c r="F3" s="51">
        <f>IFERROR(D3*E3,"")</f>
        <v/>
      </c>
      <c r="G3" s="53" t="n">
        <v>3</v>
      </c>
      <c r="H3" s="51">
        <f>IFERROR(G3/F3*10,"")</f>
        <v/>
      </c>
      <c r="I3" s="41" t="inlineStr">
        <is>
          <t>~1,5 triệu</t>
        </is>
      </c>
      <c r="J3" s="41" t="n"/>
    </row>
    <row r="4" ht="15" customHeight="1" s="32">
      <c r="A4" s="39" t="inlineStr">
        <is>
          <t>ifv</t>
        </is>
      </c>
      <c r="B4" s="39" t="inlineStr">
        <is>
          <t>Xe chiến đấu bộ binh</t>
        </is>
      </c>
      <c r="C4" s="39" t="inlineStr">
        <is>
          <t>Mặt đất</t>
        </is>
      </c>
      <c r="D4" s="42" t="n">
        <v>6.2</v>
      </c>
      <c r="E4" s="42" t="n">
        <v>2.7</v>
      </c>
      <c r="F4" s="50">
        <f>IFERROR(D4*E4,"")</f>
        <v/>
      </c>
      <c r="G4" s="52" t="n">
        <v>6</v>
      </c>
      <c r="H4" s="50">
        <f>IFERROR(G4/F4*10,"")</f>
        <v/>
      </c>
      <c r="I4" s="39" t="inlineStr">
        <is>
          <t>~2–4 triệu (BMP-3 / Bradley)</t>
        </is>
      </c>
      <c r="J4" s="39" t="n"/>
    </row>
    <row r="5" ht="15" customHeight="1" s="32">
      <c r="A5" s="41" t="inlineStr">
        <is>
          <t>supply_truck</t>
        </is>
      </c>
      <c r="B5" s="41" t="inlineStr">
        <is>
          <t>Xe tiếp tế</t>
        </is>
      </c>
      <c r="C5" s="41" t="inlineStr">
        <is>
          <t>Mặt đất</t>
        </is>
      </c>
      <c r="D5" s="43" t="n">
        <v>7.6</v>
      </c>
      <c r="E5" s="43" t="n">
        <v>2.7</v>
      </c>
      <c r="F5" s="51">
        <f>IFERROR(D5*E5,"")</f>
        <v/>
      </c>
      <c r="G5" s="53" t="n">
        <v>0</v>
      </c>
      <c r="H5" s="51">
        <f>IFERROR(G5/F5*10,"")</f>
        <v/>
      </c>
      <c r="I5" s="41" t="inlineStr">
        <is>
          <t>~0,5 triệu</t>
        </is>
      </c>
      <c r="J5" s="41" t="inlineStr">
        <is>
          <t>Xe nhiệm vụ, không vào bộ bài.</t>
        </is>
      </c>
    </row>
    <row r="6" ht="15" customHeight="1" s="32">
      <c r="A6" s="39" t="inlineStr">
        <is>
          <t>engineer_vehicle</t>
        </is>
      </c>
      <c r="B6" s="39" t="inlineStr">
        <is>
          <t>Xe công binh</t>
        </is>
      </c>
      <c r="C6" s="39" t="inlineStr">
        <is>
          <t>Mặt đất</t>
        </is>
      </c>
      <c r="D6" s="42" t="n">
        <v>6.3</v>
      </c>
      <c r="E6" s="42" t="n">
        <v>2.8</v>
      </c>
      <c r="F6" s="50">
        <f>IFERROR(D6*E6,"")</f>
        <v/>
      </c>
      <c r="G6" s="52" t="n">
        <v>3</v>
      </c>
      <c r="H6" s="50">
        <f>IFERROR(G6/F6*10,"")</f>
        <v/>
      </c>
      <c r="I6" s="39" t="inlineStr">
        <is>
          <t>~3 triệu (M88A2)</t>
        </is>
      </c>
      <c r="J6" s="39" t="n"/>
    </row>
    <row r="7" ht="15" customHeight="1" s="32">
      <c r="A7" s="41"/>
      <c r="B7" s="41"/>
      <c r="C7" s="41"/>
      <c r="D7" s="43"/>
      <c r="E7" s="43"/>
      <c r="F7" s="51"/>
      <c r="G7" s="53"/>
      <c r="H7" s="51"/>
      <c r="I7" s="41"/>
      <c r="J7" s="41"/>
    </row>
    <row r="8" ht="15" customHeight="1" s="32">
      <c r="A8" s="39" t="inlineStr">
        <is>
          <t>ammo_carrier</t>
        </is>
      </c>
      <c r="B8" s="39" t="inlineStr">
        <is>
          <t>Xe tiếp đạn</t>
        </is>
      </c>
      <c r="C8" s="39" t="inlineStr">
        <is>
          <t>Mặt đất</t>
        </is>
      </c>
      <c r="D8" s="42" t="n">
        <v>6.9</v>
      </c>
      <c r="E8" s="42" t="n">
        <v>2.4</v>
      </c>
      <c r="F8" s="50">
        <f>IFERROR(D8*E8,"")</f>
        <v/>
      </c>
      <c r="G8" s="52" t="n">
        <v>4</v>
      </c>
      <c r="H8" s="50">
        <f>IFERROR(G8/F8*10,"")</f>
        <v/>
      </c>
      <c r="I8" s="39" t="inlineStr">
        <is>
          <t>~0,5 triệu</t>
        </is>
      </c>
      <c r="J8" s="39" t="inlineStr">
        <is>
          <t>Xe tải to nhưng rẻ là đúng ngoài đời.</t>
        </is>
      </c>
    </row>
    <row r="9" ht="15" customHeight="1" s="32">
      <c r="A9" s="41"/>
      <c r="B9" s="41"/>
      <c r="C9" s="41"/>
      <c r="D9" s="43"/>
      <c r="E9" s="43"/>
      <c r="F9" s="51"/>
      <c r="G9" s="53"/>
      <c r="H9" s="51"/>
      <c r="I9" s="41"/>
      <c r="J9" s="41"/>
    </row>
    <row r="10" ht="15" customHeight="1" s="32">
      <c r="A10" s="39" t="inlineStr">
        <is>
          <t>ew_jammer</t>
        </is>
      </c>
      <c r="B10" s="39" t="inlineStr">
        <is>
          <t>Xe tác chiến điện tử</t>
        </is>
      </c>
      <c r="C10" s="39" t="inlineStr">
        <is>
          <t>Mặt đất</t>
        </is>
      </c>
      <c r="D10" s="42" t="n">
        <v>7.9</v>
      </c>
      <c r="E10" s="42" t="n">
        <v>2.9</v>
      </c>
      <c r="F10" s="50">
        <f>IFERROR(D10*E10,"")</f>
        <v/>
      </c>
      <c r="G10" s="52" t="n">
        <v>5</v>
      </c>
      <c r="H10" s="50">
        <f>IFERROR(G10/F10*10,"")</f>
        <v/>
      </c>
      <c r="I10" s="39" t="inlineStr">
        <is>
          <t>~10–20 triệu (ước lượng)</t>
        </is>
      </c>
      <c r="J10" s="39" t="n"/>
    </row>
    <row r="11" ht="15" customHeight="1" s="32">
      <c r="A11" s="41" t="inlineStr">
        <is>
          <t>mine_layer</t>
        </is>
      </c>
      <c r="B11" s="41" t="inlineStr">
        <is>
          <t>Xe rải mìn</t>
        </is>
      </c>
      <c r="C11" s="41" t="inlineStr">
        <is>
          <t>Mặt đất</t>
        </is>
      </c>
      <c r="D11" s="43" t="n">
        <v>6.6</v>
      </c>
      <c r="E11" s="43" t="n">
        <v>2.6</v>
      </c>
      <c r="F11" s="51">
        <f>IFERROR(D11*E11,"")</f>
        <v/>
      </c>
      <c r="G11" s="53" t="n">
        <v>5</v>
      </c>
      <c r="H11" s="51">
        <f>IFERROR(G11/F11*10,"")</f>
        <v/>
      </c>
      <c r="I11" s="41" t="inlineStr">
        <is>
          <t>~1 triệu</t>
        </is>
      </c>
      <c r="J11" s="41" t="n"/>
    </row>
    <row r="12" ht="15" customHeight="1" s="32">
      <c r="A12" s="39" t="inlineStr">
        <is>
          <t>command_vehicle</t>
        </is>
      </c>
      <c r="B12" s="39" t="inlineStr">
        <is>
          <t>Xe chỉ huy</t>
        </is>
      </c>
      <c r="C12" s="39" t="inlineStr">
        <is>
          <t>Mặt đất</t>
        </is>
      </c>
      <c r="D12" s="42" t="n">
        <v>6.7</v>
      </c>
      <c r="E12" s="42" t="n">
        <v>2.5</v>
      </c>
      <c r="F12" s="50">
        <f>IFERROR(D12*E12,"")</f>
        <v/>
      </c>
      <c r="G12" s="52" t="n">
        <v>6</v>
      </c>
      <c r="H12" s="50">
        <f>IFERROR(G12/F12*10,"")</f>
        <v/>
      </c>
      <c r="I12" s="39" t="inlineStr">
        <is>
          <t>~4 triệu</t>
        </is>
      </c>
      <c r="J12" s="39" t="n"/>
    </row>
    <row r="13" ht="15" customHeight="1" s="32">
      <c r="A13" s="41" t="inlineStr">
        <is>
          <t>shield_carrier</t>
        </is>
      </c>
      <c r="B13" s="41" t="inlineStr">
        <is>
          <t>Xe phát khiên</t>
        </is>
      </c>
      <c r="C13" s="41" t="inlineStr">
        <is>
          <t>Mặt đất</t>
        </is>
      </c>
      <c r="D13" s="43" t="n">
        <v>7.4</v>
      </c>
      <c r="E13" s="43" t="n">
        <v>2.5</v>
      </c>
      <c r="F13" s="51">
        <f>IFERROR(D13*E13,"")</f>
        <v/>
      </c>
      <c r="G13" s="53" t="n">
        <v>7</v>
      </c>
      <c r="H13" s="51">
        <f>IFERROR(G13/F13*10,"")</f>
        <v/>
      </c>
      <c r="I13" s="41" t="inlineStr">
        <is>
          <t>— (giả tưởng)</t>
        </is>
      </c>
      <c r="J13" s="41" t="n"/>
    </row>
    <row r="14" ht="15" customHeight="1" s="32">
      <c r="A14" s="39" t="inlineStr">
        <is>
          <t>scout_jeep</t>
        </is>
      </c>
      <c r="B14" s="39" t="inlineStr">
        <is>
          <t>Xe trinh sát</t>
        </is>
      </c>
      <c r="C14" s="39" t="inlineStr">
        <is>
          <t>Mặt đất</t>
        </is>
      </c>
      <c r="D14" s="42" t="n">
        <v>3.7</v>
      </c>
      <c r="E14" s="42" t="n">
        <v>1.9</v>
      </c>
      <c r="F14" s="50">
        <f>IFERROR(D14*E14,"")</f>
        <v/>
      </c>
      <c r="G14" s="52" t="n">
        <v>2</v>
      </c>
      <c r="H14" s="50">
        <f>IFERROR(G14/F14*10,"")</f>
        <v/>
      </c>
      <c r="I14" s="39" t="inlineStr">
        <is>
          <t>~0,1 triệu</t>
        </is>
      </c>
      <c r="J14" s="39" t="inlineStr">
        <is>
          <t>Nhỏ nhất, rẻ nhất: hợp lý.</t>
        </is>
      </c>
    </row>
    <row r="15" ht="15" customHeight="1" s="32">
      <c r="A15" s="41" t="inlineStr">
        <is>
          <t>vbied</t>
        </is>
      </c>
      <c r="B15" s="41" t="inlineStr">
        <is>
          <t>Xe bom tự sát bọc thép</t>
        </is>
      </c>
      <c r="C15" s="41" t="inlineStr">
        <is>
          <t>Mặt đất</t>
        </is>
      </c>
      <c r="D15" s="43" t="n">
        <v>4.4</v>
      </c>
      <c r="E15" s="43" t="n">
        <v>1.9</v>
      </c>
      <c r="F15" s="51">
        <f>IFERROR(D15*E15,"")</f>
        <v/>
      </c>
      <c r="G15" s="53" t="n">
        <v>3</v>
      </c>
      <c r="H15" s="51">
        <f>IFERROR(G15/F15*10,"")</f>
        <v/>
      </c>
      <c r="I15" s="41" t="inlineStr">
        <is>
          <t>&lt;0,05 triệu</t>
        </is>
      </c>
      <c r="J15" s="41" t="n"/>
    </row>
    <row r="16" ht="15" customHeight="1" s="32">
      <c r="A16" s="39" t="inlineStr">
        <is>
          <t>light_tank</t>
        </is>
      </c>
      <c r="B16" s="39" t="inlineStr">
        <is>
          <t>Tăng hạng nhẹ</t>
        </is>
      </c>
      <c r="C16" s="39" t="inlineStr">
        <is>
          <t>Mặt đất</t>
        </is>
      </c>
      <c r="D16" s="42" t="n">
        <v>6.2</v>
      </c>
      <c r="E16" s="42" t="n">
        <v>2.3</v>
      </c>
      <c r="F16" s="50">
        <f>IFERROR(D16*E16,"")</f>
        <v/>
      </c>
      <c r="G16" s="52" t="n">
        <v>3</v>
      </c>
      <c r="H16" s="50">
        <f>IFERROR(G16/F16*10,"")</f>
        <v/>
      </c>
      <c r="I16" s="39" t="inlineStr">
        <is>
          <t>~2 triệu</t>
        </is>
      </c>
      <c r="J16" s="39" t="n"/>
    </row>
    <row r="17" ht="15" customHeight="1" s="32">
      <c r="A17" s="41" t="inlineStr">
        <is>
          <t>flame_tank</t>
        </is>
      </c>
      <c r="B17" s="41" t="inlineStr">
        <is>
          <t>Tăng phun lửa</t>
        </is>
      </c>
      <c r="C17" s="41" t="inlineStr">
        <is>
          <t>Mặt đất</t>
        </is>
      </c>
      <c r="D17" s="43" t="n">
        <v>5</v>
      </c>
      <c r="E17" s="43" t="n">
        <v>2.8</v>
      </c>
      <c r="F17" s="51">
        <f>IFERROR(D17*E17,"")</f>
        <v/>
      </c>
      <c r="G17" s="53" t="n">
        <v>5</v>
      </c>
      <c r="H17" s="51">
        <f>IFERROR(G17/F17*10,"")</f>
        <v/>
      </c>
      <c r="I17" s="41" t="inlineStr">
        <is>
          <t>~2 triệu</t>
        </is>
      </c>
      <c r="J17" s="41" t="n"/>
    </row>
    <row r="18" ht="15" customHeight="1" s="32">
      <c r="A18" s="39"/>
      <c r="B18" s="39"/>
      <c r="C18" s="39"/>
      <c r="D18" s="42"/>
      <c r="E18" s="42"/>
      <c r="F18" s="50"/>
      <c r="G18" s="52"/>
      <c r="H18" s="50"/>
      <c r="I18" s="39"/>
      <c r="J18" s="39"/>
    </row>
    <row r="19" ht="15" customHeight="1" s="32">
      <c r="A19" s="41"/>
      <c r="B19" s="41"/>
      <c r="C19" s="41"/>
      <c r="D19" s="43"/>
      <c r="E19" s="43"/>
      <c r="F19" s="51"/>
      <c r="G19" s="53"/>
      <c r="H19" s="51"/>
      <c r="I19" s="41"/>
      <c r="J19" s="41"/>
    </row>
    <row r="20" ht="15" customHeight="1" s="32">
      <c r="A20" s="39" t="inlineStr">
        <is>
          <t>rocket_technical</t>
        </is>
      </c>
      <c r="B20" s="39" t="inlineStr">
        <is>
          <t>Bán tải rốc-két</t>
        </is>
      </c>
      <c r="C20" s="39" t="inlineStr">
        <is>
          <t>Mặt đất</t>
        </is>
      </c>
      <c r="D20" s="42" t="n">
        <v>4.6</v>
      </c>
      <c r="E20" s="42" t="n">
        <v>1.8</v>
      </c>
      <c r="F20" s="50">
        <f>IFERROR(D20*E20,"")</f>
        <v/>
      </c>
      <c r="G20" s="52" t="n">
        <v>3</v>
      </c>
      <c r="H20" s="50">
        <f>IFERROR(G20/F20*10,"")</f>
        <v/>
      </c>
      <c r="I20" s="39" t="inlineStr">
        <is>
          <t>~0,05 triệu</t>
        </is>
      </c>
      <c r="J20" s="39" t="n"/>
    </row>
    <row r="21" ht="15" customHeight="1" s="32">
      <c r="A21" s="41" t="inlineStr">
        <is>
          <t>mortar_carrier</t>
        </is>
      </c>
      <c r="B21" s="41" t="inlineStr">
        <is>
          <t>Xe súng cối</t>
        </is>
      </c>
      <c r="C21" s="41" t="inlineStr">
        <is>
          <t>Mặt đất</t>
        </is>
      </c>
      <c r="D21" s="43" t="n">
        <v>4.4</v>
      </c>
      <c r="E21" s="43" t="n">
        <v>2.5</v>
      </c>
      <c r="F21" s="51">
        <f>IFERROR(D21*E21,"")</f>
        <v/>
      </c>
      <c r="G21" s="53" t="n">
        <v>4</v>
      </c>
      <c r="H21" s="51">
        <f>IFERROR(G21/F21*10,"")</f>
        <v/>
      </c>
      <c r="I21" s="41" t="inlineStr">
        <is>
          <t>~1 triệu</t>
        </is>
      </c>
      <c r="J21" s="41" t="n"/>
    </row>
    <row r="22" ht="15" customHeight="1" s="32">
      <c r="A22" s="39" t="inlineStr">
        <is>
          <t>artillery</t>
        </is>
      </c>
      <c r="B22" s="39" t="inlineStr">
        <is>
          <t>Pháo tự hành</t>
        </is>
      </c>
      <c r="C22" s="39" t="inlineStr">
        <is>
          <t>Mặt đất</t>
        </is>
      </c>
      <c r="D22" s="42" t="n">
        <v>8.1</v>
      </c>
      <c r="E22" s="42" t="n">
        <v>2.3</v>
      </c>
      <c r="F22" s="50">
        <f>IFERROR(D22*E22,"")</f>
        <v/>
      </c>
      <c r="G22" s="52" t="n">
        <v>6</v>
      </c>
      <c r="H22" s="50">
        <f>IFERROR(G22/F22*10,"")</f>
        <v/>
      </c>
      <c r="I22" s="39" t="inlineStr">
        <is>
          <t>~5–14 triệu (CAESAR / M109A7)</t>
        </is>
      </c>
      <c r="J22" s="39" t="n"/>
    </row>
    <row r="23" ht="15" customHeight="1" s="32">
      <c r="A23" s="41" t="inlineStr">
        <is>
          <t>mlrs</t>
        </is>
      </c>
      <c r="B23" s="41" t="inlineStr">
        <is>
          <t>Pháo phản lực</t>
        </is>
      </c>
      <c r="C23" s="41" t="inlineStr">
        <is>
          <t>Mặt đất</t>
        </is>
      </c>
      <c r="D23" s="43" t="n">
        <v>6.4</v>
      </c>
      <c r="E23" s="43" t="n">
        <v>2.3</v>
      </c>
      <c r="F23" s="51">
        <f>IFERROR(D23*E23,"")</f>
        <v/>
      </c>
      <c r="G23" s="53" t="n">
        <v>7</v>
      </c>
      <c r="H23" s="51">
        <f>IFERROR(G23/F23*10,"")</f>
        <v/>
      </c>
      <c r="I23" s="41" t="inlineStr">
        <is>
          <t>~5 triệu bệ + 0,16 triệu/rốc-két</t>
        </is>
      </c>
      <c r="J23" s="41" t="n"/>
    </row>
    <row r="24" ht="15" customHeight="1" s="32">
      <c r="A24" s="39" t="inlineStr">
        <is>
          <t>shahed_truck</t>
        </is>
      </c>
      <c r="B24" s="39" t="inlineStr">
        <is>
          <t>Xe phóng Shahed</t>
        </is>
      </c>
      <c r="C24" s="39" t="inlineStr">
        <is>
          <t>Mặt đất</t>
        </is>
      </c>
      <c r="D24" s="42" t="n">
        <v>6.9</v>
      </c>
      <c r="E24" s="42" t="n">
        <v>2.6</v>
      </c>
      <c r="F24" s="50">
        <f>IFERROR(D24*E24,"")</f>
        <v/>
      </c>
      <c r="G24" s="52" t="n">
        <v>8</v>
      </c>
      <c r="H24" s="50">
        <f>IFERROR(G24/F24*10,"")</f>
        <v/>
      </c>
      <c r="I24" s="39" t="inlineStr">
        <is>
          <t>~0,5 triệu xe + 0,02–0,05 triệu/drone</t>
        </is>
      </c>
      <c r="J24" s="39" t="n"/>
    </row>
    <row r="25" ht="15" customHeight="1" s="32">
      <c r="A25" s="41" t="inlineStr">
        <is>
          <t>thermobaric_launcher</t>
        </is>
      </c>
      <c r="B25" s="41" t="inlineStr">
        <is>
          <t>Pháo phản lực nhiệt áp</t>
        </is>
      </c>
      <c r="C25" s="41" t="inlineStr">
        <is>
          <t>Mặt đất</t>
        </is>
      </c>
      <c r="D25" s="43" t="n">
        <v>6.3</v>
      </c>
      <c r="E25" s="43" t="n">
        <v>3.1</v>
      </c>
      <c r="F25" s="51">
        <f>IFERROR(D25*E25,"")</f>
        <v/>
      </c>
      <c r="G25" s="53" t="n">
        <v>9</v>
      </c>
      <c r="H25" s="51">
        <f>IFERROR(G25/F25*10,"")</f>
        <v/>
      </c>
      <c r="I25" s="41" t="inlineStr">
        <is>
          <t>~5–10 triệu (ước lượng)</t>
        </is>
      </c>
      <c r="J25" s="41" t="n"/>
    </row>
    <row r="26" ht="15" customHeight="1" s="32">
      <c r="A26" s="39" t="inlineStr">
        <is>
          <t>ballistic_launcher</t>
        </is>
      </c>
      <c r="B26" s="39" t="inlineStr">
        <is>
          <t>Xe phóng tên lửa đạn đạo</t>
        </is>
      </c>
      <c r="C26" s="39" t="inlineStr">
        <is>
          <t>Mặt đất</t>
        </is>
      </c>
      <c r="D26" s="42" t="n">
        <v>10.9</v>
      </c>
      <c r="E26" s="42" t="n">
        <v>2.6</v>
      </c>
      <c r="F26" s="50">
        <f>IFERROR(D26*E26,"")</f>
        <v/>
      </c>
      <c r="G26" s="52" t="n">
        <v>11</v>
      </c>
      <c r="H26" s="50">
        <f>IFERROR(G26/F26*10,"")</f>
        <v/>
      </c>
      <c r="I26" s="39" t="inlineStr">
        <is>
          <t>~20 triệu bệ + ~3 triệu/tên lửa</t>
        </is>
      </c>
      <c r="J26" s="39" t="inlineStr">
        <is>
          <t>Dài nhất nhóm pháo binh, giá 11 CP hợp lý.</t>
        </is>
      </c>
    </row>
    <row r="27" ht="15" customHeight="1" s="32">
      <c r="A27" s="41" t="inlineStr">
        <is>
          <t>heavy_rocket_artillery</t>
        </is>
      </c>
      <c r="B27" s="41" t="inlineStr">
        <is>
          <t>Pháo phản lực hạng nặng</t>
        </is>
      </c>
      <c r="C27" s="41" t="inlineStr">
        <is>
          <t>Mặt đất</t>
        </is>
      </c>
      <c r="D27" s="43" t="n">
        <v>10.5</v>
      </c>
      <c r="E27" s="43" t="n">
        <v>2.7</v>
      </c>
      <c r="F27" s="51">
        <f>IFERROR(D27*E27,"")</f>
        <v/>
      </c>
      <c r="G27" s="53" t="n">
        <v>12</v>
      </c>
      <c r="H27" s="51">
        <f>IFERROR(G27/F27*10,"")</f>
        <v/>
      </c>
      <c r="I27" s="41" t="inlineStr">
        <is>
          <t>~12 triệu</t>
        </is>
      </c>
      <c r="J27" s="41" t="n"/>
    </row>
    <row r="28" ht="15" customHeight="1" s="32">
      <c r="A28" s="39" t="inlineStr">
        <is>
          <t>siege_tank</t>
        </is>
      </c>
      <c r="B28" s="39" t="inlineStr">
        <is>
          <t>Tăng công thành</t>
        </is>
      </c>
      <c r="C28" s="39" t="inlineStr">
        <is>
          <t>Mặt đất</t>
        </is>
      </c>
      <c r="D28" s="42" t="n">
        <v>7.7</v>
      </c>
      <c r="E28" s="42" t="n">
        <v>3.4</v>
      </c>
      <c r="F28" s="50">
        <f>IFERROR(D28*E28,"")</f>
        <v/>
      </c>
      <c r="G28" s="52" t="n">
        <v>12</v>
      </c>
      <c r="H28" s="50">
        <f>IFERROR(G28/F28*10,"")</f>
        <v/>
      </c>
      <c r="I28" s="39" t="inlineStr">
        <is>
          <t>~3–5 triệu (2S4 / 2S7)</t>
        </is>
      </c>
      <c r="J28" s="39" t="n"/>
    </row>
    <row r="29" ht="15" customHeight="1" s="32">
      <c r="A29" s="41" t="inlineStr">
        <is>
          <t>zu23_technical</t>
        </is>
      </c>
      <c r="B29" s="41" t="inlineStr">
        <is>
          <t>Bán tải ZU-23</t>
        </is>
      </c>
      <c r="C29" s="41" t="inlineStr">
        <is>
          <t>Mặt đất</t>
        </is>
      </c>
      <c r="D29" s="43" t="n">
        <v>4.5</v>
      </c>
      <c r="E29" s="43" t="n">
        <v>1.8</v>
      </c>
      <c r="F29" s="51">
        <f>IFERROR(D29*E29,"")</f>
        <v/>
      </c>
      <c r="G29" s="53" t="n">
        <v>3</v>
      </c>
      <c r="H29" s="51">
        <f>IFERROR(G29/F29*10,"")</f>
        <v/>
      </c>
      <c r="I29" s="41" t="inlineStr">
        <is>
          <t>~0,1 triệu</t>
        </is>
      </c>
      <c r="J29" s="41" t="n"/>
    </row>
    <row r="30" ht="15" customHeight="1" s="32">
      <c r="A30" s="39" t="inlineStr">
        <is>
          <t>aa_vehicle</t>
        </is>
      </c>
      <c r="B30" s="39" t="inlineStr">
        <is>
          <t>Xe phòng không</t>
        </is>
      </c>
      <c r="C30" s="39" t="inlineStr">
        <is>
          <t>Mặt đất</t>
        </is>
      </c>
      <c r="D30" s="42" t="n">
        <v>5.6</v>
      </c>
      <c r="E30" s="42" t="n">
        <v>2.7</v>
      </c>
      <c r="F30" s="50">
        <f>IFERROR(D30*E30,"")</f>
        <v/>
      </c>
      <c r="G30" s="52" t="n">
        <v>4</v>
      </c>
      <c r="H30" s="50">
        <f>IFERROR(G30/F30*10,"")</f>
        <v/>
      </c>
      <c r="I30" s="39" t="inlineStr">
        <is>
          <t>~3 triệu</t>
        </is>
      </c>
      <c r="J30" s="39" t="n"/>
    </row>
    <row r="31" ht="15" customHeight="1" s="32">
      <c r="A31" s="41" t="inlineStr">
        <is>
          <t>sam_launcher</t>
        </is>
      </c>
      <c r="B31" s="41" t="inlineStr">
        <is>
          <t>Tên lửa phòng không</t>
        </is>
      </c>
      <c r="C31" s="41" t="inlineStr">
        <is>
          <t>Mặt đất</t>
        </is>
      </c>
      <c r="D31" s="43" t="n">
        <v>6.1</v>
      </c>
      <c r="E31" s="43" t="n">
        <v>3.1</v>
      </c>
      <c r="F31" s="51">
        <f>IFERROR(D31*E31,"")</f>
        <v/>
      </c>
      <c r="G31" s="53" t="n">
        <v>7</v>
      </c>
      <c r="H31" s="51">
        <f>IFERROR(G31/F31*10,"")</f>
        <v/>
      </c>
      <c r="I31" s="41" t="inlineStr">
        <is>
          <t>~10–15 triệu (TELAR)</t>
        </is>
      </c>
      <c r="J31" s="41" t="n"/>
    </row>
    <row r="32" ht="15" customHeight="1" s="32">
      <c r="A32" s="39" t="inlineStr">
        <is>
          <t>heavy_aa</t>
        </is>
      </c>
      <c r="B32" s="39" t="inlineStr">
        <is>
          <t>Pháo tên lửa phòng không</t>
        </is>
      </c>
      <c r="C32" s="39" t="inlineStr">
        <is>
          <t>Mặt đất</t>
        </is>
      </c>
      <c r="D32" s="42" t="n">
        <v>7</v>
      </c>
      <c r="E32" s="42" t="n">
        <v>2.5</v>
      </c>
      <c r="F32" s="50">
        <f>IFERROR(D32*E32,"")</f>
        <v/>
      </c>
      <c r="G32" s="52" t="n">
        <v>7</v>
      </c>
      <c r="H32" s="50">
        <f>IFERROR(G32/F32*10,"")</f>
        <v/>
      </c>
      <c r="I32" s="39" t="inlineStr">
        <is>
          <t>~13–15 triệu</t>
        </is>
      </c>
      <c r="J32" s="39" t="inlineStr">
        <is>
          <t>Đã tăng 6 → 7 CP cho ngang Buk.</t>
        </is>
      </c>
    </row>
    <row r="33" ht="15" customHeight="1" s="32">
      <c r="A33" s="41" t="inlineStr">
        <is>
          <t>iron_beam</t>
        </is>
      </c>
      <c r="B33" s="41" t="inlineStr">
        <is>
          <t>La-de phòng không</t>
        </is>
      </c>
      <c r="C33" s="41" t="inlineStr">
        <is>
          <t>Mặt đất</t>
        </is>
      </c>
      <c r="D33" s="43" t="n">
        <v>7.8</v>
      </c>
      <c r="E33" s="43" t="n">
        <v>2.7</v>
      </c>
      <c r="F33" s="51">
        <f>IFERROR(D33*E33,"")</f>
        <v/>
      </c>
      <c r="G33" s="53" t="n">
        <v>6</v>
      </c>
      <c r="H33" s="51">
        <f>IFERROR(G33/F33*10,"")</f>
        <v/>
      </c>
      <c r="I33" s="41" t="inlineStr">
        <is>
          <t>~? (hệ thống đắt, mỗi phát ~2 USD)</t>
        </is>
      </c>
      <c r="J33" s="41" t="n"/>
    </row>
    <row r="34" ht="15" customHeight="1" s="32">
      <c r="A34" s="39" t="inlineStr">
        <is>
          <t>long_sam</t>
        </is>
      </c>
      <c r="B34" s="39" t="inlineStr">
        <is>
          <t>Tên lửa phòng không tầm xa</t>
        </is>
      </c>
      <c r="C34" s="39" t="inlineStr">
        <is>
          <t>Mặt đất</t>
        </is>
      </c>
      <c r="D34" s="42" t="n">
        <v>9.800000000000001</v>
      </c>
      <c r="E34" s="42" t="n">
        <v>3.1</v>
      </c>
      <c r="F34" s="50">
        <f>IFERROR(D34*E34,"")</f>
        <v/>
      </c>
      <c r="G34" s="52" t="n">
        <v>14</v>
      </c>
      <c r="H34" s="50">
        <f>IFERROR(G34/F34*10,"")</f>
        <v/>
      </c>
      <c r="I34" s="39" t="inlineStr">
        <is>
          <t>~50 triệu mỗi bệ (tiểu đoàn ~500 triệu)</t>
        </is>
      </c>
      <c r="J34" s="39" t="inlineStr">
        <is>
          <t>Xe dài, giá tăng 11 → 14 CP, khớp giá S-400 rất cao.</t>
        </is>
      </c>
    </row>
    <row r="35" ht="15" customHeight="1" s="32">
      <c r="A35" s="41" t="inlineStr">
        <is>
          <t>scout_heli</t>
        </is>
      </c>
      <c r="B35" s="41" t="inlineStr">
        <is>
          <t>Trực thăng trinh sát</t>
        </is>
      </c>
      <c r="C35" s="41" t="inlineStr">
        <is>
          <t>Trên không</t>
        </is>
      </c>
      <c r="D35" s="43" t="n">
        <v>4.3</v>
      </c>
      <c r="E35" s="43" t="n">
        <v>3.9</v>
      </c>
      <c r="F35" s="51">
        <f>IFERROR(D35*E35,"")</f>
        <v/>
      </c>
      <c r="G35" s="53" t="n">
        <v>5</v>
      </c>
      <c r="H35" s="51">
        <f>IFERROR(G35/F35*10,"")</f>
        <v/>
      </c>
      <c r="I35" s="41" t="inlineStr">
        <is>
          <t>~5 triệu</t>
        </is>
      </c>
      <c r="J35" s="41" t="n"/>
    </row>
    <row r="36" ht="15" customHeight="1" s="32">
      <c r="A36" s="39" t="inlineStr">
        <is>
          <t>recon_drone</t>
        </is>
      </c>
      <c r="B36" s="39" t="inlineStr">
        <is>
          <t>UAV trinh sát</t>
        </is>
      </c>
      <c r="C36" s="39" t="inlineStr">
        <is>
          <t>Trên không</t>
        </is>
      </c>
      <c r="D36" s="42" t="n">
        <v>2.9</v>
      </c>
      <c r="E36" s="42" t="n">
        <v>5</v>
      </c>
      <c r="F36" s="50">
        <f>IFERROR(D36*E36,"")</f>
        <v/>
      </c>
      <c r="G36" s="52" t="n">
        <v>6</v>
      </c>
      <c r="H36" s="50">
        <f>IFERROR(G36/F36*10,"")</f>
        <v/>
      </c>
      <c r="I36" s="39" t="inlineStr">
        <is>
          <t>~5 triệu</t>
        </is>
      </c>
      <c r="J36" s="39" t="n"/>
    </row>
    <row r="37" ht="15" customHeight="1" s="32">
      <c r="A37" s="41"/>
      <c r="B37" s="41"/>
      <c r="C37" s="41"/>
      <c r="D37" s="43"/>
      <c r="E37" s="43"/>
      <c r="F37" s="51"/>
      <c r="G37" s="53"/>
      <c r="H37" s="51"/>
      <c r="I37" s="41"/>
      <c r="J37" s="41"/>
    </row>
    <row r="38" ht="15" customHeight="1" s="32">
      <c r="A38" s="39" t="inlineStr">
        <is>
          <t>strike_drone</t>
        </is>
      </c>
      <c r="B38" s="39" t="inlineStr">
        <is>
          <t>UAV tấn công</t>
        </is>
      </c>
      <c r="C38" s="39" t="inlineStr">
        <is>
          <t>Trên không</t>
        </is>
      </c>
      <c r="D38" s="42" t="n">
        <v>4.5</v>
      </c>
      <c r="E38" s="42" t="n">
        <v>7.4</v>
      </c>
      <c r="F38" s="50">
        <f>IFERROR(D38*E38,"")</f>
        <v/>
      </c>
      <c r="G38" s="52" t="n">
        <v>9</v>
      </c>
      <c r="H38" s="50">
        <f>IFERROR(G38/F38*10,"")</f>
        <v/>
      </c>
      <c r="I38" s="39" t="inlineStr">
        <is>
          <t>~30 triệu</t>
        </is>
      </c>
      <c r="J38" s="39" t="n"/>
    </row>
    <row r="39" ht="21.75" customHeight="1" s="32">
      <c r="A39" s="41" t="inlineStr">
        <is>
          <t>swarm_carrier</t>
        </is>
      </c>
      <c r="B39" s="41" t="inlineStr">
        <is>
          <t>Máy bay mẹ thả drone</t>
        </is>
      </c>
      <c r="C39" s="41" t="inlineStr">
        <is>
          <t>Trên không</t>
        </is>
      </c>
      <c r="D39" s="43" t="n">
        <v>16.4</v>
      </c>
      <c r="E39" s="43" t="n">
        <v>18.8</v>
      </c>
      <c r="F39" s="51">
        <f>IFERROR(D39*E39,"")</f>
        <v/>
      </c>
      <c r="G39" s="53" t="n">
        <v>13</v>
      </c>
      <c r="H39" s="51">
        <f>IFERROR(G39/F39*10,"")</f>
        <v/>
      </c>
      <c r="I39" s="41" t="inlineStr">
        <is>
          <t>~70 triệu</t>
        </is>
      </c>
      <c r="J39" s="41" t="inlineStr">
        <is>
          <t>Khung C-130 to bằng Pháo hạm bay: đã tăng 8 → 13 CP và thêm tên lửa hành trình Rapid Dragon.</t>
        </is>
      </c>
    </row>
    <row r="40" ht="21.75" customHeight="1" s="32">
      <c r="A40" s="39" t="inlineStr">
        <is>
          <t>attack_helicopter</t>
        </is>
      </c>
      <c r="B40" s="39" t="inlineStr">
        <is>
          <t>Trực thăng tấn công</t>
        </is>
      </c>
      <c r="C40" s="39" t="inlineStr">
        <is>
          <t>Trên không</t>
        </is>
      </c>
      <c r="D40" s="42" t="n">
        <v>6</v>
      </c>
      <c r="E40" s="42" t="n">
        <v>4</v>
      </c>
      <c r="F40" s="50">
        <f>IFERROR(D40*E40,"")</f>
        <v/>
      </c>
      <c r="G40" s="52" t="n">
        <v>9</v>
      </c>
      <c r="H40" s="50">
        <f>IFERROR(G40/F40*10,"")</f>
        <v/>
      </c>
      <c r="I40" s="39" t="inlineStr">
        <is>
          <t>~35 triệu</t>
        </is>
      </c>
      <c r="J40" s="39" t="inlineStr">
        <is>
          <t>Apache ngoài đời đắt hơn Su-25, nhưng giá game theo hiệu quả (trực thăng đang yếu); giữ 9 CP.</t>
        </is>
      </c>
    </row>
    <row r="41" ht="15" customHeight="1" s="32">
      <c r="A41" s="41" t="inlineStr">
        <is>
          <t>fighter_jet</t>
        </is>
      </c>
      <c r="B41" s="41" t="inlineStr">
        <is>
          <t>Tiêm kích</t>
        </is>
      </c>
      <c r="C41" s="41" t="inlineStr">
        <is>
          <t>Trên không</t>
        </is>
      </c>
      <c r="D41" s="43" t="n">
        <v>6.4</v>
      </c>
      <c r="E41" s="43" t="n">
        <v>4.2</v>
      </c>
      <c r="F41" s="51">
        <f>IFERROR(D41*E41,"")</f>
        <v/>
      </c>
      <c r="G41" s="53" t="n">
        <v>12</v>
      </c>
      <c r="H41" s="51">
        <f>IFERROR(G41/F41*10,"")</f>
        <v/>
      </c>
      <c r="I41" s="41" t="inlineStr">
        <is>
          <t>~30–40 triệu (Su-27)</t>
        </is>
      </c>
      <c r="J41" s="41" t="n"/>
    </row>
    <row r="42" ht="15" customHeight="1" s="32">
      <c r="A42" s="39" t="inlineStr">
        <is>
          <t>stealth_fighter</t>
        </is>
      </c>
      <c r="B42" s="39" t="inlineStr">
        <is>
          <t>Tiêm kích tàng hình</t>
        </is>
      </c>
      <c r="C42" s="39" t="inlineStr">
        <is>
          <t>Trên không</t>
        </is>
      </c>
      <c r="D42" s="42" t="n">
        <v>6.1</v>
      </c>
      <c r="E42" s="42" t="n">
        <v>4.2</v>
      </c>
      <c r="F42" s="50">
        <f>IFERROR(D42*E42,"")</f>
        <v/>
      </c>
      <c r="G42" s="52" t="n">
        <v>13</v>
      </c>
      <c r="H42" s="50">
        <f>IFERROR(G42/F42*10,"")</f>
        <v/>
      </c>
      <c r="I42" s="39" t="inlineStr">
        <is>
          <t>~40–80 triệu (Su-57 / F-35)</t>
        </is>
      </c>
      <c r="J42" s="39" t="n"/>
    </row>
    <row r="43" ht="15" customHeight="1" s="32">
      <c r="A43" s="41"/>
      <c r="B43" s="41"/>
      <c r="C43" s="41"/>
      <c r="D43" s="43"/>
      <c r="E43" s="43"/>
      <c r="F43" s="51"/>
      <c r="G43" s="53"/>
      <c r="H43" s="51"/>
      <c r="I43" s="41"/>
      <c r="J43" s="41"/>
    </row>
    <row r="44" ht="15" customHeight="1" s="32">
      <c r="A44" s="39" t="inlineStr">
        <is>
          <t>attack_jet</t>
        </is>
      </c>
      <c r="B44" s="39" t="inlineStr">
        <is>
          <t>Máy bay cường kích</t>
        </is>
      </c>
      <c r="C44" s="39" t="inlineStr">
        <is>
          <t>Trên không</t>
        </is>
      </c>
      <c r="D44" s="42" t="n">
        <v>6.4</v>
      </c>
      <c r="E44" s="42" t="n">
        <v>6</v>
      </c>
      <c r="F44" s="50">
        <f>IFERROR(D44*E44,"")</f>
        <v/>
      </c>
      <c r="G44" s="52" t="n">
        <v>18</v>
      </c>
      <c r="H44" s="50">
        <f>IFERROR(G44/F44*10,"")</f>
        <v/>
      </c>
      <c r="I44" s="39" t="inlineStr">
        <is>
          <t>~11–19 triệu</t>
        </is>
      </c>
      <c r="J44" s="39" t="n"/>
    </row>
    <row r="45" ht="15" customHeight="1" s="32">
      <c r="A45" s="41" t="inlineStr">
        <is>
          <t>stealth_bomber</t>
        </is>
      </c>
      <c r="B45" s="41" t="inlineStr">
        <is>
          <t>Máy bay ném bom tàng hình</t>
        </is>
      </c>
      <c r="C45" s="41" t="inlineStr">
        <is>
          <t>Trên không</t>
        </is>
      </c>
      <c r="D45" s="43" t="n">
        <v>7</v>
      </c>
      <c r="E45" s="43" t="n">
        <v>17.6</v>
      </c>
      <c r="F45" s="51">
        <f>IFERROR(D45*E45,"")</f>
        <v/>
      </c>
      <c r="G45" s="53" t="n">
        <v>21</v>
      </c>
      <c r="H45" s="51">
        <f>IFERROR(G45/F45*10,"")</f>
        <v/>
      </c>
      <c r="I45" s="41" t="inlineStr">
        <is>
          <t>~2 tỷ</t>
        </is>
      </c>
      <c r="J45" s="41" t="inlineStr">
        <is>
          <t>Đã tăng 18 → 21 CP (B-2 đắt nhất thế giới lại rẻ hơn B-52).</t>
        </is>
      </c>
    </row>
    <row r="46" ht="15" customHeight="1" s="32">
      <c r="A46" s="39" t="inlineStr">
        <is>
          <t>heavy_bomber</t>
        </is>
      </c>
      <c r="B46" s="39" t="inlineStr">
        <is>
          <t>Oanh tạc cơ hạng nặng</t>
        </is>
      </c>
      <c r="C46" s="39" t="inlineStr">
        <is>
          <t>Trên không</t>
        </is>
      </c>
      <c r="D46" s="42" t="n">
        <v>17.9</v>
      </c>
      <c r="E46" s="42" t="n">
        <v>18.7</v>
      </c>
      <c r="F46" s="50">
        <f>IFERROR(D46*E46,"")</f>
        <v/>
      </c>
      <c r="G46" s="52" t="n">
        <v>22</v>
      </c>
      <c r="H46" s="50">
        <f>IFERROR(G46/F46*10,"")</f>
        <v/>
      </c>
      <c r="I46" s="39" t="inlineStr">
        <is>
          <t>~85 triệu (thời giá gốc)</t>
        </is>
      </c>
      <c r="J46" s="39" t="inlineStr">
        <is>
          <t>Máy bay lớn nhất của người chơi, giá cao nhất: hợp lý.</t>
        </is>
      </c>
    </row>
    <row r="47" ht="15" customHeight="1" s="32">
      <c r="A47" s="41" t="inlineStr">
        <is>
          <t>sky_gunship</t>
        </is>
      </c>
      <c r="B47" s="41" t="inlineStr">
        <is>
          <t>Pháo hạm AC-130</t>
        </is>
      </c>
      <c r="C47" s="41" t="inlineStr">
        <is>
          <t>Trên không</t>
        </is>
      </c>
      <c r="D47" s="43" t="n">
        <v>12.2</v>
      </c>
      <c r="E47" s="43" t="n">
        <v>15.4</v>
      </c>
      <c r="F47" s="51">
        <f>IFERROR(D47*E47,"")</f>
        <v/>
      </c>
      <c r="G47" s="53" t="n">
        <v>22</v>
      </c>
      <c r="H47" s="51">
        <f>IFERROR(G47/F47*10,"")</f>
        <v/>
      </c>
      <c r="I47" s="41" t="inlineStr">
        <is>
          <t>~165 triệu (AC-130J)</t>
        </is>
      </c>
      <c r="J47" s="41" t="inlineStr">
        <is>
          <t>Cùng khung với máy bay mẹ; 22 CP hợp với 3 khẩu pháo.</t>
        </is>
      </c>
    </row>
    <row r="48" ht="15" customHeight="1" s="32">
      <c r="A48" s="39"/>
      <c r="B48" s="39"/>
      <c r="C48" s="39"/>
      <c r="D48" s="42"/>
      <c r="E48" s="42"/>
      <c r="F48" s="50"/>
      <c r="G48" s="52"/>
      <c r="H48" s="50"/>
      <c r="I48" s="39"/>
      <c r="J48" s="39"/>
    </row>
    <row r="49" ht="15" customHeight="1" s="32">
      <c r="A49" s="41" t="inlineStr">
        <is>
          <t>armored_bulldozer</t>
        </is>
      </c>
      <c r="B49" s="41" t="inlineStr">
        <is>
          <t>Xe ủi bọc thép</t>
        </is>
      </c>
      <c r="C49" s="41" t="inlineStr">
        <is>
          <t>Mặt đất</t>
        </is>
      </c>
      <c r="D49" s="43" t="n">
        <v>6.7</v>
      </c>
      <c r="E49" s="43" t="n">
        <v>3.7</v>
      </c>
      <c r="F49" s="51">
        <f>IFERROR(D49*E49,"")</f>
        <v/>
      </c>
      <c r="G49" s="53" t="n">
        <v>7</v>
      </c>
      <c r="H49" s="51">
        <f>IFERROR(G49/F49*10,"")</f>
        <v/>
      </c>
      <c r="I49" s="41" t="inlineStr">
        <is>
          <t>~1–2 triệu</t>
        </is>
      </c>
      <c r="J49" s="41" t="n"/>
    </row>
    <row r="50" ht="15" customHeight="1" s="32">
      <c r="A50" s="39" t="inlineStr">
        <is>
          <t>main_battle_tank</t>
        </is>
      </c>
      <c r="B50" s="39" t="inlineStr">
        <is>
          <t>Tăng chủ lực</t>
        </is>
      </c>
      <c r="C50" s="39" t="inlineStr">
        <is>
          <t>Mặt đất</t>
        </is>
      </c>
      <c r="D50" s="42" t="n">
        <v>6.3</v>
      </c>
      <c r="E50" s="42" t="n">
        <v>2.9</v>
      </c>
      <c r="F50" s="50">
        <f>IFERROR(D50*E50,"")</f>
        <v/>
      </c>
      <c r="G50" s="52" t="n">
        <v>7</v>
      </c>
      <c r="H50" s="50">
        <f>IFERROR(G50/F50*10,"")</f>
        <v/>
      </c>
      <c r="I50" s="39" t="inlineStr">
        <is>
          <t>~6–9 triệu</t>
        </is>
      </c>
      <c r="J50" s="39" t="n"/>
    </row>
    <row r="51" ht="15" customHeight="1" s="32">
      <c r="A51" s="41" t="inlineStr">
        <is>
          <t>twin_tank</t>
        </is>
      </c>
      <c r="B51" s="41" t="inlineStr">
        <is>
          <t>Tăng hai nòng</t>
        </is>
      </c>
      <c r="C51" s="41" t="inlineStr">
        <is>
          <t>Mặt đất</t>
        </is>
      </c>
      <c r="D51" s="43" t="n">
        <v>6.9</v>
      </c>
      <c r="E51" s="43" t="n">
        <v>3</v>
      </c>
      <c r="F51" s="51">
        <f>IFERROR(D51*E51,"")</f>
        <v/>
      </c>
      <c r="G51" s="53" t="n">
        <v>9</v>
      </c>
      <c r="H51" s="51">
        <f>IFERROR(G51/F51*10,"")</f>
        <v/>
      </c>
      <c r="I51" s="41" t="inlineStr">
        <is>
          <t>— (giả tưởng)</t>
        </is>
      </c>
      <c r="J51" s="41" t="n"/>
    </row>
    <row r="52" ht="15" customHeight="1" s="32">
      <c r="A52" s="39" t="inlineStr">
        <is>
          <t>heavy_tank</t>
        </is>
      </c>
      <c r="B52" s="39" t="inlineStr">
        <is>
          <t>Tăng hạng nặng</t>
        </is>
      </c>
      <c r="C52" s="39" t="inlineStr">
        <is>
          <t>Mặt đất</t>
        </is>
      </c>
      <c r="D52" s="42" t="n">
        <v>8.800000000000001</v>
      </c>
      <c r="E52" s="42" t="n">
        <v>3.2</v>
      </c>
      <c r="F52" s="50">
        <f>IFERROR(D52*E52,"")</f>
        <v/>
      </c>
      <c r="G52" s="52" t="n">
        <v>13</v>
      </c>
      <c r="H52" s="50">
        <f>IFERROR(G52/F52*10,"")</f>
        <v/>
      </c>
      <c r="I52" s="39" t="inlineStr">
        <is>
          <t>~10 triệu (nguyên mẫu)</t>
        </is>
      </c>
      <c r="J52" s="39" t="n"/>
    </row>
    <row r="53" ht="15" customHeight="1" s="32">
      <c r="A53" s="41" t="inlineStr">
        <is>
          <t>titan_tank</t>
        </is>
      </c>
      <c r="B53" s="41" t="inlineStr">
        <is>
          <t>Siêu tăng Titan</t>
        </is>
      </c>
      <c r="C53" s="41" t="inlineStr">
        <is>
          <t>Mặt đất</t>
        </is>
      </c>
      <c r="D53" s="43" t="n">
        <v>10.4</v>
      </c>
      <c r="E53" s="43" t="n">
        <v>3.6</v>
      </c>
      <c r="F53" s="51">
        <f>IFERROR(D53*E53,"")</f>
        <v/>
      </c>
      <c r="G53" s="53" t="n">
        <v>18</v>
      </c>
      <c r="H53" s="51">
        <f>IFERROR(G53/F53*10,"")</f>
        <v/>
      </c>
      <c r="I53" s="41" t="inlineStr">
        <is>
          <t>— (giả tưởng)</t>
        </is>
      </c>
      <c r="J53" s="41" t="inlineStr">
        <is>
          <t>Siêu tăng to nhất mặt đất, đã tăng 16 → 18 CP.</t>
        </is>
      </c>
    </row>
    <row r="54" ht="15" customHeight="1" s="32">
      <c r="A54" s="39" t="inlineStr">
        <is>
          <t>fpv_carrier</t>
        </is>
      </c>
      <c r="B54" s="39" t="inlineStr">
        <is>
          <t>Xe phóng drone FPV</t>
        </is>
      </c>
      <c r="C54" s="39" t="inlineStr">
        <is>
          <t>Mặt đất</t>
        </is>
      </c>
      <c r="D54" s="42" t="n">
        <v>7</v>
      </c>
      <c r="E54" s="42" t="n">
        <v>2.6</v>
      </c>
      <c r="F54" s="50">
        <f>IFERROR(D54*E54,"")</f>
        <v/>
      </c>
      <c r="G54" s="52" t="n">
        <v>6</v>
      </c>
      <c r="H54" s="50">
        <f>IFERROR(G54/F54*10,"")</f>
        <v/>
      </c>
      <c r="I54" s="39" t="inlineStr">
        <is>
          <t>~0,6 triệu xe + ~500 USD/drone</t>
        </is>
      </c>
      <c r="J54" s="39" t="n"/>
    </row>
    <row r="55" ht="15" customHeight="1" s="32">
      <c r="A55" s="41"/>
      <c r="B55" s="41"/>
      <c r="C55" s="41"/>
      <c r="D55" s="43"/>
      <c r="E55" s="43"/>
      <c r="F55" s="51"/>
      <c r="G55" s="53"/>
      <c r="H55" s="51"/>
      <c r="I55" s="41"/>
      <c r="J55" s="41"/>
    </row>
    <row r="56" ht="15" customHeight="1" s="32">
      <c r="A56" s="39" t="inlineStr">
        <is>
          <t>wheeled_gun</t>
        </is>
      </c>
      <c r="B56" s="39" t="inlineStr">
        <is>
          <t>Pháo bánh lốp diệt tăng</t>
        </is>
      </c>
      <c r="C56" s="39" t="inlineStr">
        <is>
          <t>Mặt đất</t>
        </is>
      </c>
      <c r="D56" s="42" t="n">
        <v>9.4</v>
      </c>
      <c r="E56" s="42" t="n">
        <v>2.6</v>
      </c>
      <c r="F56" s="50">
        <f>IFERROR(D56*E56,"")</f>
        <v/>
      </c>
      <c r="G56" s="52" t="n">
        <v>6</v>
      </c>
      <c r="H56" s="50">
        <f>IFERROR(G56/F56*10,"")</f>
        <v/>
      </c>
      <c r="I56" s="39" t="inlineStr">
        <is>
          <t>~9 triệu</t>
        </is>
      </c>
      <c r="J56" s="39" t="n"/>
    </row>
    <row r="57" ht="15" customHeight="1" s="32">
      <c r="A57" s="41" t="inlineStr">
        <is>
          <t>tank_destroyer</t>
        </is>
      </c>
      <c r="B57" s="41" t="inlineStr">
        <is>
          <t>Pháo chống tăng</t>
        </is>
      </c>
      <c r="C57" s="41" t="inlineStr">
        <is>
          <t>Mặt đất</t>
        </is>
      </c>
      <c r="D57" s="43" t="n">
        <v>9.199999999999999</v>
      </c>
      <c r="E57" s="43" t="n">
        <v>2.7</v>
      </c>
      <c r="F57" s="51">
        <f>IFERROR(D57*E57,"")</f>
        <v/>
      </c>
      <c r="G57" s="53" t="n">
        <v>6</v>
      </c>
      <c r="H57" s="51">
        <f>IFERROR(G57/F57*10,"")</f>
        <v/>
      </c>
      <c r="I57" s="41" t="inlineStr">
        <is>
          <t>~3–4 triệu</t>
        </is>
      </c>
      <c r="J57" s="41" t="n"/>
    </row>
    <row r="58" ht="15" customHeight="1" s="32">
      <c r="A58" s="39" t="inlineStr">
        <is>
          <t>railgun_truck</t>
        </is>
      </c>
      <c r="B58" s="39" t="inlineStr">
        <is>
          <t>Xe súng điện từ</t>
        </is>
      </c>
      <c r="C58" s="39" t="inlineStr">
        <is>
          <t>Mặt đất</t>
        </is>
      </c>
      <c r="D58" s="42" t="n">
        <v>9.699999999999999</v>
      </c>
      <c r="E58" s="42" t="n">
        <v>2.9</v>
      </c>
      <c r="F58" s="50">
        <f>IFERROR(D58*E58,"")</f>
        <v/>
      </c>
      <c r="G58" s="52" t="n">
        <v>10</v>
      </c>
      <c r="H58" s="50">
        <f>IFERROR(G58/F58*10,"")</f>
        <v/>
      </c>
      <c r="I58" s="39" t="inlineStr">
        <is>
          <t>— (giả tưởng)</t>
        </is>
      </c>
      <c r="J58" s="39" t="n"/>
    </row>
    <row r="59" ht="15" customHeight="1" s="32">
      <c r="A59" s="41" t="inlineStr">
        <is>
          <t>laser_tank</t>
        </is>
      </c>
      <c r="B59" s="41" t="inlineStr">
        <is>
          <t>Xe la-de tập trung</t>
        </is>
      </c>
      <c r="C59" s="41" t="inlineStr">
        <is>
          <t>Mặt đất</t>
        </is>
      </c>
      <c r="D59" s="43" t="n">
        <v>6.3</v>
      </c>
      <c r="E59" s="43" t="n">
        <v>2.7</v>
      </c>
      <c r="F59" s="51">
        <f>IFERROR(D59*E59,"")</f>
        <v/>
      </c>
      <c r="G59" s="53" t="n">
        <v>9</v>
      </c>
      <c r="H59" s="51">
        <f>IFERROR(G59/F59*10,"")</f>
        <v/>
      </c>
      <c r="I59" s="41" t="inlineStr">
        <is>
          <t>— (giả tưởng)</t>
        </is>
      </c>
      <c r="J59" s="41" t="n"/>
    </row>
  </sheetData>
  <autoFilter ref="A1:J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O15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24" customWidth="1" style="31" min="2" max="2"/>
    <col width="20" customWidth="1" style="31" min="3" max="3"/>
    <col width="26" customWidth="1" style="31" min="4" max="4"/>
    <col width="10" customWidth="1" style="31" min="5" max="5"/>
    <col width="12" customWidth="1" style="31" min="6" max="6"/>
    <col width="8" customWidth="1" style="31" min="7" max="7"/>
    <col width="6" customWidth="1" style="31" min="8" max="9"/>
    <col width="8" customWidth="1" style="31" min="10" max="11"/>
    <col width="9" customWidth="1" style="31" min="12" max="13"/>
    <col width="7" customWidth="1" style="31" min="14" max="15"/>
    <col width="8" customWidth="1" style="31" min="16" max="19"/>
    <col width="7" customWidth="1" style="31" min="20" max="23"/>
    <col width="8" customWidth="1" style="31" min="24" max="24"/>
    <col width="7" customWidth="1" style="31" min="25" max="26"/>
    <col width="8" customWidth="1" style="31" min="27" max="29"/>
    <col width="7" customWidth="1" style="31" min="30" max="35"/>
    <col width="8" customWidth="1" style="31" min="36" max="36"/>
    <col width="40" customWidth="1" style="31" min="37" max="38"/>
    <col width="34" customWidth="1" style="31" min="39" max="39"/>
    <col width="55" customWidth="1" style="31" min="40" max="40"/>
    <col width="8" customWidth="1" style="31" min="41" max="41"/>
  </cols>
  <sheetData>
    <row r="1" ht="42" customHeight="1" s="32">
      <c r="A1" s="37" t="inlineStr">
        <is>
          <t>id</t>
        </is>
      </c>
      <c r="B1" s="37" t="inlineStr">
        <is>
          <t>Tên thật</t>
        </is>
      </c>
      <c r="C1" s="37" t="inlineStr">
        <is>
          <t>Nhóm</t>
        </is>
      </c>
      <c r="D1" s="37" t="inlineStr">
        <is>
          <t>Dùng bởi</t>
        </is>
      </c>
      <c r="E1" s="37" t="inlineStr">
        <is>
          <t>Loại</t>
        </is>
      </c>
      <c r="F1" s="37" t="inlineStr">
        <is>
          <t>Dạng</t>
        </is>
      </c>
      <c r="G1" s="37" t="inlineStr">
        <is>
          <t>Cỡ (mm/kg)</t>
        </is>
      </c>
      <c r="H1" s="44" t="inlineStr">
        <is>
          <t>Xuyên hiện</t>
        </is>
      </c>
      <c r="I1" s="45" t="inlineStr">
        <is>
          <t>Xuyên đề xuất</t>
        </is>
      </c>
      <c r="J1" s="44" t="inlineStr">
        <is>
          <t>Sát thương/phát hiện</t>
        </is>
      </c>
      <c r="K1" s="45" t="inlineStr">
        <is>
          <t>Sát thương/phát đề xuất</t>
        </is>
      </c>
      <c r="L1" s="44" t="inlineStr">
        <is>
          <t>Chế độ hiện</t>
        </is>
      </c>
      <c r="M1" s="45" t="inlineStr">
        <is>
          <t>Chế độ đề xuất</t>
        </is>
      </c>
      <c r="N1" s="44" t="inlineStr">
        <is>
          <t>Viên/s hiện</t>
        </is>
      </c>
      <c r="O1" s="45" t="inlineStr">
        <is>
          <t>Viên/s đề xuất</t>
        </is>
      </c>
      <c r="P1" s="44" t="inlineStr">
        <is>
          <t>Viên mỗi băng/loạt hiện</t>
        </is>
      </c>
      <c r="Q1" s="45" t="inlineStr">
        <is>
          <t>Viên mỗi băng/loạt đề xuất</t>
        </is>
      </c>
      <c r="R1" s="44" t="inlineStr">
        <is>
          <t>Nạp/nghỉ hiện (s)</t>
        </is>
      </c>
      <c r="S1" s="45" t="inlineStr">
        <is>
          <t>Nạp/nghỉ đề xuất (s)</t>
        </is>
      </c>
      <c r="T1" s="44" t="inlineStr">
        <is>
          <t>Tầm hiện (m)</t>
        </is>
      </c>
      <c r="U1" s="45" t="inlineStr">
        <is>
          <t>Tầm đề xuất (m)</t>
        </is>
      </c>
      <c r="V1" s="44" t="inlineStr">
        <is>
          <t>Tốc độ đạn hiện</t>
        </is>
      </c>
      <c r="W1" s="45" t="inlineStr">
        <is>
          <t>Tốc độ đạn đề xuất</t>
        </is>
      </c>
      <c r="X1" s="37" t="inlineStr">
        <is>
          <t>Thời gian bay tới tầm tối đa (s)</t>
        </is>
      </c>
      <c r="Y1" s="44" t="inlineStr">
        <is>
          <t>Nổ lan hiện (m)</t>
        </is>
      </c>
      <c r="Z1" s="45" t="inlineStr">
        <is>
          <t>Nổ lan đề xuất (m)</t>
        </is>
      </c>
      <c r="AA1" s="44" t="inlineStr">
        <is>
          <t>DPS duy trì hiện</t>
        </is>
      </c>
      <c r="AB1" s="45" t="inlineStr">
        <is>
          <t>DPS duy trì đề xuất</t>
        </is>
      </c>
      <c r="AC1" s="45" t="inlineStr">
        <is>
          <t>DPS đề xuất vs giáp 0</t>
        </is>
      </c>
      <c r="AD1" s="37" t="inlineStr">
        <is>
          <t>giáp 1</t>
        </is>
      </c>
      <c r="AE1" s="37" t="inlineStr">
        <is>
          <t>giáp 2</t>
        </is>
      </c>
      <c r="AF1" s="37" t="inlineStr">
        <is>
          <t>giáp 3</t>
        </is>
      </c>
      <c r="AG1" s="37" t="inlineStr">
        <is>
          <t>giáp 4</t>
        </is>
      </c>
      <c r="AH1" s="37" t="inlineStr">
        <is>
          <t>giáp 5</t>
        </is>
      </c>
      <c r="AI1" s="37" t="inlineStr">
        <is>
          <t>trên không</t>
        </is>
      </c>
      <c r="AJ1" s="37" t="inlineStr">
        <is>
          <t>công trình</t>
        </is>
      </c>
      <c r="AK1" s="37" t="inlineStr">
        <is>
          <t>Hành vi</t>
        </is>
      </c>
      <c r="AL1" s="37" t="inlineStr">
        <is>
          <t>Loại đạn thay thế gợi ý</t>
        </is>
      </c>
      <c r="AM1" s="37" t="inlineStr">
        <is>
          <t>Ngoài đời</t>
        </is>
      </c>
      <c r="AN1" s="46" t="inlineStr">
        <is>
          <t>Lý do thay đổi</t>
        </is>
      </c>
      <c r="AO1" s="46" t="inlineStr">
        <is>
          <t>Ưu tiên</t>
        </is>
      </c>
    </row>
    <row r="2" ht="32.25" customHeight="1" s="32">
      <c r="A2" s="39" t="inlineStr">
        <is>
          <t>aa_25_triple</t>
        </is>
      </c>
      <c r="B2" s="39" t="inlineStr">
        <is>
          <t>Type 96 25 mm (triple)</t>
        </is>
      </c>
      <c r="C2" s="39" t="inlineStr">
        <is>
          <t>Pháo tự động / cao xạ 20–40 mm</t>
        </is>
      </c>
      <c r="D2" s="39" t="inlineStr">
        <is>
          <t>Leviathan</t>
        </is>
      </c>
      <c r="E2" s="39" t="inlineStr">
        <is>
          <t>Mảnh</t>
        </is>
      </c>
      <c r="F2" s="39" t="inlineStr">
        <is>
          <t>Airburst</t>
        </is>
      </c>
      <c r="G2" s="42" t="n">
        <v>25</v>
      </c>
      <c r="H2" s="42" t="n">
        <v>1</v>
      </c>
      <c r="I2" s="42" t="n">
        <v>1</v>
      </c>
      <c r="J2" s="42" t="n">
        <v>17</v>
      </c>
      <c r="K2" s="42" t="n">
        <v>17</v>
      </c>
      <c r="L2" s="39" t="inlineStr">
        <is>
          <t>băng</t>
        </is>
      </c>
      <c r="M2" s="39" t="inlineStr">
        <is>
          <t>băng</t>
        </is>
      </c>
      <c r="N2" s="42" t="n">
        <v>20</v>
      </c>
      <c r="O2" s="42" t="n">
        <v>20</v>
      </c>
      <c r="P2" s="42" t="n">
        <v>15</v>
      </c>
      <c r="Q2" s="42" t="n">
        <v>15</v>
      </c>
      <c r="R2" s="42" t="n">
        <v>2.4</v>
      </c>
      <c r="S2" s="42" t="n">
        <v>2.4</v>
      </c>
      <c r="T2" s="42" t="n">
        <v>42</v>
      </c>
      <c r="U2" s="42" t="n">
        <v>42</v>
      </c>
      <c r="V2" s="42" t="n">
        <v>240</v>
      </c>
      <c r="W2" s="42" t="n">
        <v>240</v>
      </c>
      <c r="X2" s="50">
        <f>IFERROR(U2/W2,"")</f>
        <v/>
      </c>
      <c r="Y2" s="50" t="n"/>
      <c r="Z2" s="50" t="n"/>
      <c r="AA2" s="50">
        <f>IFERROR(IF(L2="từng phát",J2*N2,J2*P2/(P2/N2+R2)),"")</f>
        <v/>
      </c>
      <c r="AB2" s="50">
        <f>IFERROR(IF(M2="từng phát",K2*O2,K2*Q2/(Q2/O2+S2)),"")</f>
        <v/>
      </c>
      <c r="AC2" s="50">
        <f>IFERROR(AB2*VLOOKUP(E2,'Hệ số'!$A$2:$D$8,2,0)*IF((I2-0)&gt;=2,1.2,IF((I2-0)=1,1,IF((I2-0)=0,0.85,IF((I2-0)=-1,0.5,IF((I2-0)=-2,0.25,0.1))))),"")</f>
        <v/>
      </c>
      <c r="AD2" s="50">
        <f>IFERROR(AB2*VLOOKUP(E2,'Hệ số'!$A$2:$D$8,2,0)*IF((I2-1)&gt;=2,1.2,IF((I2-1)=1,1,IF((I2-1)=0,0.85,IF((I2-1)=-1,0.5,IF((I2-1)=-2,0.25,0.1))))),"")</f>
        <v/>
      </c>
      <c r="AE2" s="50">
        <f>IFERROR(AB2*VLOOKUP(E2,'Hệ số'!$A$2:$D$8,2,0)*IF((I2-2)&gt;=2,1.2,IF((I2-2)=1,1,IF((I2-2)=0,0.85,IF((I2-2)=-1,0.5,IF((I2-2)=-2,0.25,0.1))))),"")</f>
        <v/>
      </c>
      <c r="AF2" s="50">
        <f>IFERROR(AB2*VLOOKUP(E2,'Hệ số'!$A$2:$D$8,2,0)*IF((I2-3)&gt;=2,1.2,IF((I2-3)=1,1,IF((I2-3)=0,0.85,IF((I2-3)=-1,0.5,IF((I2-3)=-2,0.25,0.1))))),"")</f>
        <v/>
      </c>
      <c r="AG2" s="50">
        <f>IFERROR(AB2*VLOOKUP(E2,'Hệ số'!$A$2:$D$8,2,0)*IF((I2-4)&gt;=2,1.2,IF((I2-4)=1,1,IF((I2-4)=0,0.85,IF((I2-4)=-1,0.5,IF((I2-4)=-2,0.25,0.1))))),"")</f>
        <v/>
      </c>
      <c r="AH2" s="50">
        <f>IFERROR(AB2*VLOOKUP(E2,'Hệ số'!$A$2:$D$8,2,0)*IF((I2-5)&gt;=2,1.2,IF((I2-5)=1,1,IF((I2-5)=0,0.85,IF((I2-5)=-1,0.5,IF((I2-5)=-2,0.25,0.1))))),"")</f>
        <v/>
      </c>
      <c r="AI2" s="50">
        <f>IFERROR(AB2*VLOOKUP(E2,'Hệ số'!$A$2:$D$8,3,0),"")</f>
        <v/>
      </c>
      <c r="AJ2" s="50">
        <f>IFERROR(AB2*VLOOKUP(E2,'Hệ số'!$A$2:$D$8,4,0)*IF((I2-2)&gt;=2,1.2,IF((I2-2)=1,1,IF((I2-2)=0,0.85,IF((I2-2)=-1,0.5,IF((I2-2)=-2,0.25,0.1))))),"")</f>
        <v/>
      </c>
      <c r="AK2" s="39" t="inlineStr">
        <is>
          <t>Bắn loạt; đạn nổ trên không (Mảnh) mạnh với máy bay và drone, yếu với giáp; đạn xuyên (Động năng) mạnh với giáp 0–2.</t>
        </is>
      </c>
      <c r="AL2" s="39" t="inlineStr">
        <is>
          <t>Tự đổi: đạn xuyên (Động năng) với xe, đạn nổ trên không (Mảnh) với máy bay/drone.</t>
        </is>
      </c>
      <c r="AM2" s="39" t="inlineStr">
        <is>
          <t>Type 96 25 mm: 220–260 mỗi nòng</t>
        </is>
      </c>
      <c r="AN2" s="39" t="inlineStr">
        <is>
          <t>Giữ.</t>
        </is>
      </c>
      <c r="AO2" s="39" t="n"/>
    </row>
    <row r="3" ht="15" customHeight="1" s="32">
      <c r="A3" s="41" t="inlineStr">
        <is>
          <t>agl_40</t>
        </is>
      </c>
      <c r="B3" s="41" t="inlineStr">
        <is>
          <t>Mk 19 40 mm</t>
        </is>
      </c>
      <c r="C3" s="41" t="inlineStr">
        <is>
          <t>Khác</t>
        </is>
      </c>
      <c r="D3" s="41" t="inlineStr">
        <is>
          <t>BMPT</t>
        </is>
      </c>
      <c r="E3" s="41" t="inlineStr">
        <is>
          <t>Nổ mạnh</t>
        </is>
      </c>
      <c r="F3" s="41" t="inlineStr">
        <is>
          <t>Grenade</t>
        </is>
      </c>
      <c r="G3" s="43" t="n">
        <v>40</v>
      </c>
      <c r="H3" s="43" t="n">
        <v>2</v>
      </c>
      <c r="I3" s="43" t="n">
        <v>2</v>
      </c>
      <c r="J3" s="43" t="n">
        <v>26</v>
      </c>
      <c r="K3" s="43" t="n">
        <v>26</v>
      </c>
      <c r="L3" s="41" t="inlineStr">
        <is>
          <t>loạt</t>
        </is>
      </c>
      <c r="M3" s="41" t="inlineStr">
        <is>
          <t>loạt</t>
        </is>
      </c>
      <c r="N3" s="43" t="n">
        <v>5</v>
      </c>
      <c r="O3" s="43" t="n">
        <v>5</v>
      </c>
      <c r="P3" s="43" t="n">
        <v>3</v>
      </c>
      <c r="Q3" s="43" t="n">
        <v>6</v>
      </c>
      <c r="R3" s="43" t="n">
        <v>9.247</v>
      </c>
      <c r="S3" s="43" t="n">
        <v>3</v>
      </c>
      <c r="T3" s="43" t="n">
        <v>30</v>
      </c>
      <c r="U3" s="43" t="n">
        <v>30</v>
      </c>
      <c r="V3" s="43" t="n">
        <v>70</v>
      </c>
      <c r="W3" s="43" t="n">
        <v>70</v>
      </c>
      <c r="X3" s="51">
        <f>IFERROR(U3/W3,"")</f>
        <v/>
      </c>
      <c r="Y3" s="53" t="n">
        <v>2</v>
      </c>
      <c r="Z3" s="53" t="n">
        <v>2</v>
      </c>
      <c r="AA3" s="51">
        <f>IFERROR(IF(L3="từng phát",J3*N3,J3*P3/(P3/N3+R3)),"")</f>
        <v/>
      </c>
      <c r="AB3" s="51">
        <f>IFERROR(IF(M3="từng phát",K3*O3,K3*Q3/(Q3/O3+S3)),"")</f>
        <v/>
      </c>
      <c r="AC3" s="51">
        <f>IFERROR(AB3*VLOOKUP(E3,'Hệ số'!$A$2:$D$8,2,0)*IF((I3-0)&gt;=2,1.2,IF((I3-0)=1,1,IF((I3-0)=0,0.85,IF((I3-0)=-1,0.5,IF((I3-0)=-2,0.25,0.1))))),"")</f>
        <v/>
      </c>
      <c r="AD3" s="51">
        <f>IFERROR(AB3*VLOOKUP(E3,'Hệ số'!$A$2:$D$8,2,0)*IF((I3-1)&gt;=2,1.2,IF((I3-1)=1,1,IF((I3-1)=0,0.85,IF((I3-1)=-1,0.5,IF((I3-1)=-2,0.25,0.1))))),"")</f>
        <v/>
      </c>
      <c r="AE3" s="51">
        <f>IFERROR(AB3*VLOOKUP(E3,'Hệ số'!$A$2:$D$8,2,0)*IF((I3-2)&gt;=2,1.2,IF((I3-2)=1,1,IF((I3-2)=0,0.85,IF((I3-2)=-1,0.5,IF((I3-2)=-2,0.25,0.1))))),"")</f>
        <v/>
      </c>
      <c r="AF3" s="51">
        <f>IFERROR(AB3*VLOOKUP(E3,'Hệ số'!$A$2:$D$8,2,0)*IF((I3-3)&gt;=2,1.2,IF((I3-3)=1,1,IF((I3-3)=0,0.85,IF((I3-3)=-1,0.5,IF((I3-3)=-2,0.25,0.1))))),"")</f>
        <v/>
      </c>
      <c r="AG3" s="51">
        <f>IFERROR(AB3*VLOOKUP(E3,'Hệ số'!$A$2:$D$8,2,0)*IF((I3-4)&gt;=2,1.2,IF((I3-4)=1,1,IF((I3-4)=0,0.85,IF((I3-4)=-1,0.5,IF((I3-4)=-2,0.25,0.1))))),"")</f>
        <v/>
      </c>
      <c r="AH3" s="51">
        <f>IFERROR(AB3*VLOOKUP(E3,'Hệ số'!$A$2:$D$8,2,0)*IF((I3-5)&gt;=2,1.2,IF((I3-5)=1,1,IF((I3-5)=0,0.85,IF((I3-5)=-1,0.5,IF((I3-5)=-2,0.25,0.1))))),"")</f>
        <v/>
      </c>
      <c r="AI3" s="51">
        <f>IFERROR(AB3*VLOOKUP(E3,'Hệ số'!$A$2:$D$8,3,0),"")</f>
        <v/>
      </c>
      <c r="AJ3" s="51">
        <f>IFERROR(AB3*VLOOKUP(E3,'Hệ số'!$A$2:$D$8,4,0)*IF((I3-2)&gt;=2,1.2,IF((I3-2)=1,1,IF((I3-2)=0,0.85,IF((I3-2)=-1,0.5,IF((I3-2)=-2,0.25,0.1))))),"")</f>
        <v/>
      </c>
      <c r="AK3" s="41" t="n"/>
      <c r="AL3" s="41" t="n"/>
      <c r="AM3" s="41" t="inlineStr">
        <is>
          <t>Mk 19: 325–375 phát/phút liên tục</t>
        </is>
      </c>
      <c r="AN3" s="41" t="inlineStr">
        <is>
          <t>Mk 19 bắn liên tục 325–375 phát/phút; DPS duy trì hiện chỉ 8.</t>
        </is>
      </c>
      <c r="AO3" s="48" t="inlineStr">
        <is>
          <t>Trung</t>
        </is>
      </c>
    </row>
    <row r="4" ht="21.75" customHeight="1" s="32">
      <c r="A4" s="39" t="inlineStr">
        <is>
          <t>aim9</t>
        </is>
      </c>
      <c r="B4" s="39" t="inlineStr">
        <is>
          <t>AIM-9 Sidewinder</t>
        </is>
      </c>
      <c r="C4" s="39" t="inlineStr">
        <is>
          <t>Tên lửa phòng không / không đối không</t>
        </is>
      </c>
      <c r="D4" s="39" t="inlineStr">
        <is>
          <t>Drone hộ vệ</t>
        </is>
      </c>
      <c r="E4" s="39" t="inlineStr">
        <is>
          <t>Mảnh</t>
        </is>
      </c>
      <c r="F4" s="39" t="inlineStr">
        <is>
          <t>Sam</t>
        </is>
      </c>
      <c r="G4" s="42" t="n">
        <v>9.4</v>
      </c>
      <c r="H4" s="42" t="n">
        <v>2</v>
      </c>
      <c r="I4" s="42" t="n">
        <v>2</v>
      </c>
      <c r="J4" s="42" t="n">
        <v>236</v>
      </c>
      <c r="K4" s="42" t="n">
        <v>236</v>
      </c>
      <c r="L4" s="39" t="inlineStr">
        <is>
          <t>từng phát</t>
        </is>
      </c>
      <c r="M4" s="39" t="inlineStr">
        <is>
          <t>từng phát</t>
        </is>
      </c>
      <c r="N4" s="42" t="n">
        <v>0.12</v>
      </c>
      <c r="O4" s="42" t="n">
        <v>0.12</v>
      </c>
      <c r="P4" s="42" t="n">
        <v>1</v>
      </c>
      <c r="Q4" s="42" t="n">
        <v>1</v>
      </c>
      <c r="R4" s="42" t="n">
        <v>8.33333333333333</v>
      </c>
      <c r="S4" s="42" t="n">
        <v>8.33333333333333</v>
      </c>
      <c r="T4" s="42" t="n">
        <v>30</v>
      </c>
      <c r="U4" s="42" t="n">
        <v>30</v>
      </c>
      <c r="V4" s="42" t="n">
        <v>24</v>
      </c>
      <c r="W4" s="42" t="n">
        <v>55</v>
      </c>
      <c r="X4" s="50">
        <f>IFERROR(U4/W4,"")</f>
        <v/>
      </c>
      <c r="Y4" s="52" t="n">
        <v>1.5</v>
      </c>
      <c r="Z4" s="52" t="n">
        <v>1.5</v>
      </c>
      <c r="AA4" s="50">
        <f>IFERROR(IF(L4="từng phát",J4*N4,J4*P4/(P4/N4+R4)),"")</f>
        <v/>
      </c>
      <c r="AB4" s="50">
        <f>IFERROR(IF(M4="từng phát",K4*O4,K4*Q4/(Q4/O4+S4)),"")</f>
        <v/>
      </c>
      <c r="AC4" s="50">
        <f>IFERROR(AB4*VLOOKUP(E4,'Hệ số'!$A$2:$D$8,2,0)*IF((I4-0)&gt;=2,1.2,IF((I4-0)=1,1,IF((I4-0)=0,0.85,IF((I4-0)=-1,0.5,IF((I4-0)=-2,0.25,0.1))))),"")</f>
        <v/>
      </c>
      <c r="AD4" s="50">
        <f>IFERROR(AB4*VLOOKUP(E4,'Hệ số'!$A$2:$D$8,2,0)*IF((I4-1)&gt;=2,1.2,IF((I4-1)=1,1,IF((I4-1)=0,0.85,IF((I4-1)=-1,0.5,IF((I4-1)=-2,0.25,0.1))))),"")</f>
        <v/>
      </c>
      <c r="AE4" s="50">
        <f>IFERROR(AB4*VLOOKUP(E4,'Hệ số'!$A$2:$D$8,2,0)*IF((I4-2)&gt;=2,1.2,IF((I4-2)=1,1,IF((I4-2)=0,0.85,IF((I4-2)=-1,0.5,IF((I4-2)=-2,0.25,0.1))))),"")</f>
        <v/>
      </c>
      <c r="AF4" s="50">
        <f>IFERROR(AB4*VLOOKUP(E4,'Hệ số'!$A$2:$D$8,2,0)*IF((I4-3)&gt;=2,1.2,IF((I4-3)=1,1,IF((I4-3)=0,0.85,IF((I4-3)=-1,0.5,IF((I4-3)=-2,0.25,0.1))))),"")</f>
        <v/>
      </c>
      <c r="AG4" s="50">
        <f>IFERROR(AB4*VLOOKUP(E4,'Hệ số'!$A$2:$D$8,2,0)*IF((I4-4)&gt;=2,1.2,IF((I4-4)=1,1,IF((I4-4)=0,0.85,IF((I4-4)=-1,0.5,IF((I4-4)=-2,0.25,0.1))))),"")</f>
        <v/>
      </c>
      <c r="AH4" s="50">
        <f>IFERROR(AB4*VLOOKUP(E4,'Hệ số'!$A$2:$D$8,2,0)*IF((I4-5)&gt;=2,1.2,IF((I4-5)=1,1,IF((I4-5)=0,0.85,IF((I4-5)=-1,0.5,IF((I4-5)=-2,0.25,0.1))))),"")</f>
        <v/>
      </c>
      <c r="AI4" s="50">
        <f>IFERROR(AB4*VLOOKUP(E4,'Hệ số'!$A$2:$D$8,3,0),"")</f>
        <v/>
      </c>
      <c r="AJ4" s="50">
        <f>IFERROR(AB4*VLOOKUP(E4,'Hệ số'!$A$2:$D$8,4,0)*IF((I4-2)&gt;=2,1.2,IF((I4-2)=1,1,IF((I4-2)=0,0.85,IF((I4-2)=-1,0.5,IF((I4-2)=-2,0.25,0.1))))),"")</f>
        <v/>
      </c>
      <c r="AK4" s="39" t="inlineStr">
        <is>
          <t>Dẫn đường; bị pháo sáng đánh lừa theo độ kháng; phải nhanh hơn mục tiêu.</t>
        </is>
      </c>
      <c r="AL4" s="39" t="n"/>
      <c r="AM4" s="39" t="inlineStr">
        <is>
          <t>AIM-9: 18–35 km, Mach 2,5</t>
        </is>
      </c>
      <c r="AN4" s="39" t="inlineStr">
        <is>
          <t>Tốc độ bay 24→55 m/s: Phải nhanh hơn máy bay nhanh nhất (drone hộ vệ 46 m/s).</t>
        </is>
      </c>
      <c r="AO4" s="48" t="inlineStr">
        <is>
          <t>Trung</t>
        </is>
      </c>
    </row>
    <row r="5" ht="32.25" customHeight="1" s="32">
      <c r="A5" s="41" t="inlineStr">
        <is>
          <t>air_cruise_missile</t>
        </is>
      </c>
      <c r="B5" s="41" t="inlineStr">
        <is>
          <t>Kh-101 (400 kg)</t>
        </is>
      </c>
      <c r="C5" s="41" t="inlineStr">
        <is>
          <t>Tên lửa hành trình / đạn đạo</t>
        </is>
      </c>
      <c r="D5" s="41" t="inlineStr">
        <is>
          <t>Oanh tạc cơ</t>
        </is>
      </c>
      <c r="E5" s="41" t="inlineStr">
        <is>
          <t>Nổ mạnh</t>
        </is>
      </c>
      <c r="F5" s="41" t="inlineStr">
        <is>
          <t>Cruise</t>
        </is>
      </c>
      <c r="G5" s="43" t="n">
        <v>400</v>
      </c>
      <c r="H5" s="43" t="n">
        <v>3</v>
      </c>
      <c r="I5" s="43" t="n">
        <v>3</v>
      </c>
      <c r="J5" s="43" t="n">
        <v>378</v>
      </c>
      <c r="K5" s="43" t="n">
        <v>378</v>
      </c>
      <c r="L5" s="41" t="inlineStr">
        <is>
          <t>từng phát</t>
        </is>
      </c>
      <c r="M5" s="41" t="inlineStr">
        <is>
          <t>từng phát</t>
        </is>
      </c>
      <c r="N5" s="43" t="n">
        <v>0.09</v>
      </c>
      <c r="O5" s="43" t="n">
        <v>0.09</v>
      </c>
      <c r="P5" s="43" t="n">
        <v>1</v>
      </c>
      <c r="Q5" s="43" t="n">
        <v>1</v>
      </c>
      <c r="R5" s="43" t="n">
        <v>11.1111111111111</v>
      </c>
      <c r="S5" s="43" t="n">
        <v>11.1111111111111</v>
      </c>
      <c r="T5" s="43" t="n">
        <v>110</v>
      </c>
      <c r="U5" s="43" t="n">
        <v>110</v>
      </c>
      <c r="V5" s="43" t="n">
        <v>17</v>
      </c>
      <c r="W5" s="43" t="n">
        <v>22</v>
      </c>
      <c r="X5" s="51">
        <f>IFERROR(U5/W5,"")</f>
        <v/>
      </c>
      <c r="Y5" s="53" t="n">
        <v>6</v>
      </c>
      <c r="Z5" s="53" t="n">
        <v>9</v>
      </c>
      <c r="AA5" s="51">
        <f>IFERROR(IF(L5="từng phát",J5*N5,J5*P5/(P5/N5+R5)),"")</f>
        <v/>
      </c>
      <c r="AB5" s="51">
        <f>IFERROR(IF(M5="từng phát",K5*O5,K5*Q5/(Q5/O5+S5)),"")</f>
        <v/>
      </c>
      <c r="AC5" s="51">
        <f>IFERROR(AB5*VLOOKUP(E5,'Hệ số'!$A$2:$D$8,2,0)*IF((I5-0)&gt;=2,1.2,IF((I5-0)=1,1,IF((I5-0)=0,0.85,IF((I5-0)=-1,0.5,IF((I5-0)=-2,0.25,0.1))))),"")</f>
        <v/>
      </c>
      <c r="AD5" s="51">
        <f>IFERROR(AB5*VLOOKUP(E5,'Hệ số'!$A$2:$D$8,2,0)*IF((I5-1)&gt;=2,1.2,IF((I5-1)=1,1,IF((I5-1)=0,0.85,IF((I5-1)=-1,0.5,IF((I5-1)=-2,0.25,0.1))))),"")</f>
        <v/>
      </c>
      <c r="AE5" s="51">
        <f>IFERROR(AB5*VLOOKUP(E5,'Hệ số'!$A$2:$D$8,2,0)*IF((I5-2)&gt;=2,1.2,IF((I5-2)=1,1,IF((I5-2)=0,0.85,IF((I5-2)=-1,0.5,IF((I5-2)=-2,0.25,0.1))))),"")</f>
        <v/>
      </c>
      <c r="AF5" s="51">
        <f>IFERROR(AB5*VLOOKUP(E5,'Hệ số'!$A$2:$D$8,2,0)*IF((I5-3)&gt;=2,1.2,IF((I5-3)=1,1,IF((I5-3)=0,0.85,IF((I5-3)=-1,0.5,IF((I5-3)=-2,0.25,0.1))))),"")</f>
        <v/>
      </c>
      <c r="AG5" s="51">
        <f>IFERROR(AB5*VLOOKUP(E5,'Hệ số'!$A$2:$D$8,2,0)*IF((I5-4)&gt;=2,1.2,IF((I5-4)=1,1,IF((I5-4)=0,0.85,IF((I5-4)=-1,0.5,IF((I5-4)=-2,0.25,0.1))))),"")</f>
        <v/>
      </c>
      <c r="AH5" s="51">
        <f>IFERROR(AB5*VLOOKUP(E5,'Hệ số'!$A$2:$D$8,2,0)*IF((I5-5)&gt;=2,1.2,IF((I5-5)=1,1,IF((I5-5)=0,0.85,IF((I5-5)=-1,0.5,IF((I5-5)=-2,0.25,0.1))))),"")</f>
        <v/>
      </c>
      <c r="AI5" s="51">
        <f>IFERROR(AB5*VLOOKUP(E5,'Hệ số'!$A$2:$D$8,3,0),"")</f>
        <v/>
      </c>
      <c r="AJ5" s="51">
        <f>IFERROR(AB5*VLOOKUP(E5,'Hệ số'!$A$2:$D$8,4,0)*IF((I5-2)&gt;=2,1.2,IF((I5-2)=1,1,IF((I5-2)=0,0.85,IF((I5-2)=-1,0.5,IF((I5-2)=-2,0.25,0.1))))),"")</f>
        <v/>
      </c>
      <c r="AK5" s="41" t="inlineStr">
        <is>
          <t>Hành trình: bay chậm, thấp, bắn hạ được bởi phòng không; đạn đạo: bay nhanh, chỉ PAC-3 và Vòm Sắt bắn hạ.</t>
        </is>
      </c>
      <c r="AL5" s="41" t="n"/>
      <c r="AM5" s="41" t="inlineStr">
        <is>
          <t>Kh-101: đầu nổ 400 kg</t>
        </is>
      </c>
      <c r="AN5" s="41" t="inlineStr">
        <is>
          <t>Đầu nổ 400 kg nổ nhỏ hơn FAB-250. Tốc độ bay 17→22 m/s: Tên lửa hành trình: chậm có chủ đích (~5 s) để bị đánh chặn.</t>
        </is>
      </c>
      <c r="AO5" s="48" t="inlineStr">
        <is>
          <t>Trung</t>
        </is>
      </c>
    </row>
    <row r="6" ht="21.75" customHeight="1" s="32">
      <c r="A6" s="39" t="inlineStr">
        <is>
          <t>air_to_air</t>
        </is>
      </c>
      <c r="B6" s="39" t="inlineStr">
        <is>
          <t>AIM-120 AMRAAM</t>
        </is>
      </c>
      <c r="C6" s="39" t="inlineStr">
        <is>
          <t>Tên lửa phòng không / không đối không</t>
        </is>
      </c>
      <c r="D6" s="39" t="inlineStr">
        <is>
          <t>Morrigan, TK tàng hình,</t>
        </is>
      </c>
      <c r="E6" s="39" t="inlineStr">
        <is>
          <t>Mảnh</t>
        </is>
      </c>
      <c r="F6" s="39" t="inlineStr">
        <is>
          <t>Sam</t>
        </is>
      </c>
      <c r="G6" s="42" t="n">
        <v>20</v>
      </c>
      <c r="H6" s="42" t="n">
        <v>3</v>
      </c>
      <c r="I6" s="42" t="n">
        <v>3</v>
      </c>
      <c r="J6" s="42" t="n">
        <v>294</v>
      </c>
      <c r="K6" s="42" t="n">
        <v>294</v>
      </c>
      <c r="L6" s="39" t="inlineStr">
        <is>
          <t>từng phát</t>
        </is>
      </c>
      <c r="M6" s="39" t="inlineStr">
        <is>
          <t>từng phát</t>
        </is>
      </c>
      <c r="N6" s="42" t="n">
        <v>0.25</v>
      </c>
      <c r="O6" s="42" t="n">
        <v>0.25</v>
      </c>
      <c r="P6" s="42" t="n">
        <v>1</v>
      </c>
      <c r="Q6" s="42" t="n">
        <v>1</v>
      </c>
      <c r="R6" s="42" t="n">
        <v>4</v>
      </c>
      <c r="S6" s="42" t="n">
        <v>4</v>
      </c>
      <c r="T6" s="42" t="n">
        <v>60</v>
      </c>
      <c r="U6" s="42" t="n">
        <v>60</v>
      </c>
      <c r="V6" s="42" t="n">
        <v>24</v>
      </c>
      <c r="W6" s="42" t="n">
        <v>60</v>
      </c>
      <c r="X6" s="50">
        <f>IFERROR(U6/W6,"")</f>
        <v/>
      </c>
      <c r="Y6" s="52" t="n">
        <v>2</v>
      </c>
      <c r="Z6" s="52" t="n">
        <v>2</v>
      </c>
      <c r="AA6" s="50">
        <f>IFERROR(IF(L6="từng phát",J6*N6,J6*P6/(P6/N6+R6)),"")</f>
        <v/>
      </c>
      <c r="AB6" s="50">
        <f>IFERROR(IF(M6="từng phát",K6*O6,K6*Q6/(Q6/O6+S6)),"")</f>
        <v/>
      </c>
      <c r="AC6" s="50">
        <f>IFERROR(AB6*VLOOKUP(E6,'Hệ số'!$A$2:$D$8,2,0)*IF((I6-0)&gt;=2,1.2,IF((I6-0)=1,1,IF((I6-0)=0,0.85,IF((I6-0)=-1,0.5,IF((I6-0)=-2,0.25,0.1))))),"")</f>
        <v/>
      </c>
      <c r="AD6" s="50">
        <f>IFERROR(AB6*VLOOKUP(E6,'Hệ số'!$A$2:$D$8,2,0)*IF((I6-1)&gt;=2,1.2,IF((I6-1)=1,1,IF((I6-1)=0,0.85,IF((I6-1)=-1,0.5,IF((I6-1)=-2,0.25,0.1))))),"")</f>
        <v/>
      </c>
      <c r="AE6" s="50">
        <f>IFERROR(AB6*VLOOKUP(E6,'Hệ số'!$A$2:$D$8,2,0)*IF((I6-2)&gt;=2,1.2,IF((I6-2)=1,1,IF((I6-2)=0,0.85,IF((I6-2)=-1,0.5,IF((I6-2)=-2,0.25,0.1))))),"")</f>
        <v/>
      </c>
      <c r="AF6" s="50">
        <f>IFERROR(AB6*VLOOKUP(E6,'Hệ số'!$A$2:$D$8,2,0)*IF((I6-3)&gt;=2,1.2,IF((I6-3)=1,1,IF((I6-3)=0,0.85,IF((I6-3)=-1,0.5,IF((I6-3)=-2,0.25,0.1))))),"")</f>
        <v/>
      </c>
      <c r="AG6" s="50">
        <f>IFERROR(AB6*VLOOKUP(E6,'Hệ số'!$A$2:$D$8,2,0)*IF((I6-4)&gt;=2,1.2,IF((I6-4)=1,1,IF((I6-4)=0,0.85,IF((I6-4)=-1,0.5,IF((I6-4)=-2,0.25,0.1))))),"")</f>
        <v/>
      </c>
      <c r="AH6" s="50">
        <f>IFERROR(AB6*VLOOKUP(E6,'Hệ số'!$A$2:$D$8,2,0)*IF((I6-5)&gt;=2,1.2,IF((I6-5)=1,1,IF((I6-5)=0,0.85,IF((I6-5)=-1,0.5,IF((I6-5)=-2,0.25,0.1))))),"")</f>
        <v/>
      </c>
      <c r="AI6" s="50">
        <f>IFERROR(AB6*VLOOKUP(E6,'Hệ số'!$A$2:$D$8,3,0),"")</f>
        <v/>
      </c>
      <c r="AJ6" s="50">
        <f>IFERROR(AB6*VLOOKUP(E6,'Hệ số'!$A$2:$D$8,4,0)*IF((I6-2)&gt;=2,1.2,IF((I6-2)=1,1,IF((I6-2)=0,0.85,IF((I6-2)=-1,0.5,IF((I6-2)=-2,0.25,0.1))))),"")</f>
        <v/>
      </c>
      <c r="AK6" s="39" t="inlineStr">
        <is>
          <t>Dẫn đường; bị pháo sáng đánh lừa theo độ kháng; phải nhanh hơn mục tiêu.</t>
        </is>
      </c>
      <c r="AL6" s="39" t="n"/>
      <c r="AM6" s="39" t="inlineStr">
        <is>
          <t>AIM-120: 100+ km, Mach 4</t>
        </is>
      </c>
      <c r="AN6" s="39" t="inlineStr">
        <is>
          <t>Tốc độ bay 24→60 m/s: Tên lửa tầm trung: nhanh hơn tên lửa tầm gần, bay ~1 s ở tầm 60.</t>
        </is>
      </c>
      <c r="AO6" s="47" t="inlineStr">
        <is>
          <t>Cao</t>
        </is>
      </c>
    </row>
    <row r="7" ht="21.75" customHeight="1" s="32">
      <c r="A7" s="41" t="inlineStr">
        <is>
          <t>airship_drones</t>
        </is>
      </c>
      <c r="B7" s="41" t="inlineStr">
        <is>
          <t>FPV drone (1.5 kg)</t>
        </is>
      </c>
      <c r="C7" s="41" t="inlineStr">
        <is>
          <t>Drone / đạn lảng vảng</t>
        </is>
      </c>
      <c r="D7" s="41" t="inlineStr">
        <is>
          <t>Roc</t>
        </is>
      </c>
      <c r="E7" s="41" t="inlineStr">
        <is>
          <t>Nổ lõm</t>
        </is>
      </c>
      <c r="F7" s="41" t="inlineStr">
        <is>
          <t>Fpv</t>
        </is>
      </c>
      <c r="G7" s="43" t="n">
        <v>1.5</v>
      </c>
      <c r="H7" s="43" t="n">
        <v>3</v>
      </c>
      <c r="I7" s="43" t="n">
        <v>3</v>
      </c>
      <c r="J7" s="43" t="n">
        <v>140</v>
      </c>
      <c r="K7" s="43" t="n">
        <v>140</v>
      </c>
      <c r="L7" s="41" t="inlineStr">
        <is>
          <t>loạt</t>
        </is>
      </c>
      <c r="M7" s="41" t="inlineStr">
        <is>
          <t>loạt</t>
        </is>
      </c>
      <c r="N7" s="43" t="n">
        <v>2.86</v>
      </c>
      <c r="O7" s="43" t="n">
        <v>2.86</v>
      </c>
      <c r="P7" s="43" t="n">
        <v>3</v>
      </c>
      <c r="Q7" s="43" t="n">
        <v>3</v>
      </c>
      <c r="R7" s="43" t="n">
        <v>8</v>
      </c>
      <c r="S7" s="43" t="n">
        <v>8</v>
      </c>
      <c r="T7" s="43" t="n">
        <v>70</v>
      </c>
      <c r="U7" s="43" t="n">
        <v>70</v>
      </c>
      <c r="V7" s="43" t="n">
        <v>26</v>
      </c>
      <c r="W7" s="43" t="n">
        <v>26</v>
      </c>
      <c r="X7" s="51">
        <f>IFERROR(U7/W7,"")</f>
        <v/>
      </c>
      <c r="Y7" s="53" t="n">
        <v>2.5</v>
      </c>
      <c r="Z7" s="53" t="n">
        <v>2.5</v>
      </c>
      <c r="AA7" s="51">
        <f>IFERROR(IF(L7="từng phát",J7*N7,J7*P7/(P7/N7+R7)),"")</f>
        <v/>
      </c>
      <c r="AB7" s="51">
        <f>IFERROR(IF(M7="từng phát",K7*O7,K7*Q7/(Q7/O7+S7)),"")</f>
        <v/>
      </c>
      <c r="AC7" s="51">
        <f>IFERROR(AB7*VLOOKUP(E7,'Hệ số'!$A$2:$D$8,2,0)*IF((I7-0)&gt;=2,1.2,IF((I7-0)=1,1,IF((I7-0)=0,0.85,IF((I7-0)=-1,0.5,IF((I7-0)=-2,0.25,0.1))))),"")</f>
        <v/>
      </c>
      <c r="AD7" s="51">
        <f>IFERROR(AB7*VLOOKUP(E7,'Hệ số'!$A$2:$D$8,2,0)*IF((I7-1)&gt;=2,1.2,IF((I7-1)=1,1,IF((I7-1)=0,0.85,IF((I7-1)=-1,0.5,IF((I7-1)=-2,0.25,0.1))))),"")</f>
        <v/>
      </c>
      <c r="AE7" s="51">
        <f>IFERROR(AB7*VLOOKUP(E7,'Hệ số'!$A$2:$D$8,2,0)*IF((I7-2)&gt;=2,1.2,IF((I7-2)=1,1,IF((I7-2)=0,0.85,IF((I7-2)=-1,0.5,IF((I7-2)=-2,0.25,0.1))))),"")</f>
        <v/>
      </c>
      <c r="AF7" s="51">
        <f>IFERROR(AB7*VLOOKUP(E7,'Hệ số'!$A$2:$D$8,2,0)*IF((I7-3)&gt;=2,1.2,IF((I7-3)=1,1,IF((I7-3)=0,0.85,IF((I7-3)=-1,0.5,IF((I7-3)=-2,0.25,0.1))))),"")</f>
        <v/>
      </c>
      <c r="AG7" s="51">
        <f>IFERROR(AB7*VLOOKUP(E7,'Hệ số'!$A$2:$D$8,2,0)*IF((I7-4)&gt;=2,1.2,IF((I7-4)=1,1,IF((I7-4)=0,0.85,IF((I7-4)=-1,0.5,IF((I7-4)=-2,0.25,0.1))))),"")</f>
        <v/>
      </c>
      <c r="AH7" s="51">
        <f>IFERROR(AB7*VLOOKUP(E7,'Hệ số'!$A$2:$D$8,2,0)*IF((I7-5)&gt;=2,1.2,IF((I7-5)=1,1,IF((I7-5)=0,0.85,IF((I7-5)=-1,0.5,IF((I7-5)=-2,0.25,0.1))))),"")</f>
        <v/>
      </c>
      <c r="AI7" s="51">
        <f>IFERROR(AB7*VLOOKUP(E7,'Hệ số'!$A$2:$D$8,3,0),"")</f>
        <v/>
      </c>
      <c r="AJ7" s="51">
        <f>IFERROR(AB7*VLOOKUP(E7,'Hệ số'!$A$2:$D$8,4,0)*IF((I7-2)&gt;=2,1.2,IF((I7-2)=1,1,IF((I7-2)=0,0.85,IF((I7-2)=-1,0.5,IF((I7-2)=-2,0.25,0.1))))),"")</f>
        <v/>
      </c>
      <c r="AK7" s="41" t="inlineStr">
        <is>
          <t>Bay chậm, lượn tìm mục tiêu, đánh nóc; bị EW, APS, C-RAM, La-de PK và súng máy bắn hạ.</t>
        </is>
      </c>
      <c r="AL7" s="41" t="n"/>
      <c r="AM7" s="41" t="inlineStr">
        <is>
          <t>FPV</t>
        </is>
      </c>
      <c r="AN7" s="41" t="inlineStr">
        <is>
          <t>Giữ.</t>
        </is>
      </c>
      <c r="AO7" s="41" t="n"/>
    </row>
    <row r="8" ht="21.75" customHeight="1" s="32">
      <c r="A8" s="39" t="inlineStr">
        <is>
          <t>airship_flak</t>
        </is>
      </c>
      <c r="B8" s="39" t="inlineStr">
        <is>
          <t>S-60 57 mm</t>
        </is>
      </c>
      <c r="C8" s="39" t="inlineStr">
        <is>
          <t>Pháo tự động 57 mm</t>
        </is>
      </c>
      <c r="D8" s="39" t="inlineStr">
        <is>
          <t>Argus, Roc</t>
        </is>
      </c>
      <c r="E8" s="39" t="inlineStr">
        <is>
          <t>Mảnh</t>
        </is>
      </c>
      <c r="F8" s="39" t="inlineStr">
        <is>
          <t>Airburst</t>
        </is>
      </c>
      <c r="G8" s="42" t="n">
        <v>57</v>
      </c>
      <c r="H8" s="42" t="n">
        <v>2</v>
      </c>
      <c r="I8" s="42" t="n">
        <v>2</v>
      </c>
      <c r="J8" s="42" t="n">
        <v>70</v>
      </c>
      <c r="K8" s="42" t="n">
        <v>70</v>
      </c>
      <c r="L8" s="39" t="inlineStr">
        <is>
          <t>băng</t>
        </is>
      </c>
      <c r="M8" s="39" t="inlineStr">
        <is>
          <t>băng</t>
        </is>
      </c>
      <c r="N8" s="42" t="n">
        <v>2</v>
      </c>
      <c r="O8" s="42" t="n">
        <v>2</v>
      </c>
      <c r="P8" s="42" t="n">
        <v>8</v>
      </c>
      <c r="Q8" s="42" t="n">
        <v>8</v>
      </c>
      <c r="R8" s="42" t="n">
        <v>0.88</v>
      </c>
      <c r="S8" s="42" t="n">
        <v>0.88</v>
      </c>
      <c r="T8" s="42" t="n">
        <v>48</v>
      </c>
      <c r="U8" s="42" t="n">
        <v>48</v>
      </c>
      <c r="V8" s="42" t="n">
        <v>280</v>
      </c>
      <c r="W8" s="42" t="n">
        <v>280</v>
      </c>
      <c r="X8" s="50">
        <f>IFERROR(U8/W8,"")</f>
        <v/>
      </c>
      <c r="Y8" s="52" t="n">
        <v>3</v>
      </c>
      <c r="Z8" s="52" t="n">
        <v>3</v>
      </c>
      <c r="AA8" s="50">
        <f>IFERROR(IF(L8="từng phát",J8*N8,J8*P8/(P8/N8+R8)),"")</f>
        <v/>
      </c>
      <c r="AB8" s="50">
        <f>IFERROR(IF(M8="từng phát",K8*O8,K8*Q8/(Q8/O8+S8)),"")</f>
        <v/>
      </c>
      <c r="AC8" s="50">
        <f>IFERROR(AB8*VLOOKUP(E8,'Hệ số'!$A$2:$D$8,2,0)*IF((I8-0)&gt;=2,1.2,IF((I8-0)=1,1,IF((I8-0)=0,0.85,IF((I8-0)=-1,0.5,IF((I8-0)=-2,0.25,0.1))))),"")</f>
        <v/>
      </c>
      <c r="AD8" s="50">
        <f>IFERROR(AB8*VLOOKUP(E8,'Hệ số'!$A$2:$D$8,2,0)*IF((I8-1)&gt;=2,1.2,IF((I8-1)=1,1,IF((I8-1)=0,0.85,IF((I8-1)=-1,0.5,IF((I8-1)=-2,0.25,0.1))))),"")</f>
        <v/>
      </c>
      <c r="AE8" s="50">
        <f>IFERROR(AB8*VLOOKUP(E8,'Hệ số'!$A$2:$D$8,2,0)*IF((I8-2)&gt;=2,1.2,IF((I8-2)=1,1,IF((I8-2)=0,0.85,IF((I8-2)=-1,0.5,IF((I8-2)=-2,0.25,0.1))))),"")</f>
        <v/>
      </c>
      <c r="AF8" s="50">
        <f>IFERROR(AB8*VLOOKUP(E8,'Hệ số'!$A$2:$D$8,2,0)*IF((I8-3)&gt;=2,1.2,IF((I8-3)=1,1,IF((I8-3)=0,0.85,IF((I8-3)=-1,0.5,IF((I8-3)=-2,0.25,0.1))))),"")</f>
        <v/>
      </c>
      <c r="AG8" s="50">
        <f>IFERROR(AB8*VLOOKUP(E8,'Hệ số'!$A$2:$D$8,2,0)*IF((I8-4)&gt;=2,1.2,IF((I8-4)=1,1,IF((I8-4)=0,0.85,IF((I8-4)=-1,0.5,IF((I8-4)=-2,0.25,0.1))))),"")</f>
        <v/>
      </c>
      <c r="AH8" s="50">
        <f>IFERROR(AB8*VLOOKUP(E8,'Hệ số'!$A$2:$D$8,2,0)*IF((I8-5)&gt;=2,1.2,IF((I8-5)=1,1,IF((I8-5)=0,0.85,IF((I8-5)=-1,0.5,IF((I8-5)=-2,0.25,0.1))))),"")</f>
        <v/>
      </c>
      <c r="AI8" s="50">
        <f>IFERROR(AB8*VLOOKUP(E8,'Hệ số'!$A$2:$D$8,3,0),"")</f>
        <v/>
      </c>
      <c r="AJ8" s="50">
        <f>IFERROR(AB8*VLOOKUP(E8,'Hệ số'!$A$2:$D$8,4,0)*IF((I8-2)&gt;=2,1.2,IF((I8-2)=1,1,IF((I8-2)=0,0.85,IF((I8-2)=-1,0.5,IF((I8-2)=-2,0.25,0.1))))),"")</f>
        <v/>
      </c>
      <c r="AK8" s="39" t="inlineStr">
        <is>
          <t>Bắn loạt ngắn; đạn lập trình nổ trên không; bắn được xe bọc thép nhẹ.</t>
        </is>
      </c>
      <c r="AL8" s="39" t="n"/>
      <c r="AM8" s="39" t="inlineStr">
        <is>
          <t>S-60: 105–120 phát/phút</t>
        </is>
      </c>
      <c r="AN8" s="39" t="inlineStr">
        <is>
          <t>Giữ.</t>
        </is>
      </c>
      <c r="AO8" s="39" t="n"/>
    </row>
    <row r="9" ht="21.75" customHeight="1" s="32">
      <c r="A9" s="41" t="inlineStr">
        <is>
          <t>ataka</t>
        </is>
      </c>
      <c r="B9" s="41" t="inlineStr">
        <is>
          <t>9M120 Ataka</t>
        </is>
      </c>
      <c r="C9" s="41" t="inlineStr">
        <is>
          <t>Tên lửa chống tăng / không đối đất</t>
        </is>
      </c>
      <c r="D9" s="41" t="inlineStr">
        <is>
          <t>BMPT</t>
        </is>
      </c>
      <c r="E9" s="41" t="inlineStr">
        <is>
          <t>Nổ lõm</t>
        </is>
      </c>
      <c r="F9" s="41" t="inlineStr">
        <is>
          <t>Atgm</t>
        </is>
      </c>
      <c r="G9" s="43" t="n">
        <v>42</v>
      </c>
      <c r="H9" s="43" t="n">
        <v>4</v>
      </c>
      <c r="I9" s="43" t="n">
        <v>4</v>
      </c>
      <c r="J9" s="43" t="n">
        <v>247</v>
      </c>
      <c r="K9" s="43" t="n">
        <v>247</v>
      </c>
      <c r="L9" s="41" t="inlineStr">
        <is>
          <t>loạt</t>
        </is>
      </c>
      <c r="M9" s="41" t="inlineStr">
        <is>
          <t>loạt</t>
        </is>
      </c>
      <c r="N9" s="43" t="n">
        <v>2</v>
      </c>
      <c r="O9" s="43" t="n">
        <v>2</v>
      </c>
      <c r="P9" s="43" t="n">
        <v>2</v>
      </c>
      <c r="Q9" s="43" t="n">
        <v>2</v>
      </c>
      <c r="R9" s="43" t="n">
        <v>10.42</v>
      </c>
      <c r="S9" s="43" t="n">
        <v>10.42</v>
      </c>
      <c r="T9" s="43" t="n">
        <v>40</v>
      </c>
      <c r="U9" s="43" t="n">
        <v>40</v>
      </c>
      <c r="V9" s="43" t="n">
        <v>19</v>
      </c>
      <c r="W9" s="43" t="n">
        <v>26</v>
      </c>
      <c r="X9" s="51">
        <f>IFERROR(U9/W9,"")</f>
        <v/>
      </c>
      <c r="Y9" s="51" t="n"/>
      <c r="Z9" s="51" t="n"/>
      <c r="AA9" s="51">
        <f>IFERROR(IF(L9="từng phát",J9*N9,J9*P9/(P9/N9+R9)),"")</f>
        <v/>
      </c>
      <c r="AB9" s="51">
        <f>IFERROR(IF(M9="từng phát",K9*O9,K9*Q9/(Q9/O9+S9)),"")</f>
        <v/>
      </c>
      <c r="AC9" s="51">
        <f>IFERROR(AB9*VLOOKUP(E9,'Hệ số'!$A$2:$D$8,2,0)*IF((I9-0)&gt;=2,1.2,IF((I9-0)=1,1,IF((I9-0)=0,0.85,IF((I9-0)=-1,0.5,IF((I9-0)=-2,0.25,0.1))))),"")</f>
        <v/>
      </c>
      <c r="AD9" s="51">
        <f>IFERROR(AB9*VLOOKUP(E9,'Hệ số'!$A$2:$D$8,2,0)*IF((I9-1)&gt;=2,1.2,IF((I9-1)=1,1,IF((I9-1)=0,0.85,IF((I9-1)=-1,0.5,IF((I9-1)=-2,0.25,0.1))))),"")</f>
        <v/>
      </c>
      <c r="AE9" s="51">
        <f>IFERROR(AB9*VLOOKUP(E9,'Hệ số'!$A$2:$D$8,2,0)*IF((I9-2)&gt;=2,1.2,IF((I9-2)=1,1,IF((I9-2)=0,0.85,IF((I9-2)=-1,0.5,IF((I9-2)=-2,0.25,0.1))))),"")</f>
        <v/>
      </c>
      <c r="AF9" s="51">
        <f>IFERROR(AB9*VLOOKUP(E9,'Hệ số'!$A$2:$D$8,2,0)*IF((I9-3)&gt;=2,1.2,IF((I9-3)=1,1,IF((I9-3)=0,0.85,IF((I9-3)=-1,0.5,IF((I9-3)=-2,0.25,0.1))))),"")</f>
        <v/>
      </c>
      <c r="AG9" s="51">
        <f>IFERROR(AB9*VLOOKUP(E9,'Hệ số'!$A$2:$D$8,2,0)*IF((I9-4)&gt;=2,1.2,IF((I9-4)=1,1,IF((I9-4)=0,0.85,IF((I9-4)=-1,0.5,IF((I9-4)=-2,0.25,0.1))))),"")</f>
        <v/>
      </c>
      <c r="AH9" s="51">
        <f>IFERROR(AB9*VLOOKUP(E9,'Hệ số'!$A$2:$D$8,2,0)*IF((I9-5)&gt;=2,1.2,IF((I9-5)=1,1,IF((I9-5)=0,0.85,IF((I9-5)=-1,0.5,IF((I9-5)=-2,0.25,0.1))))),"")</f>
        <v/>
      </c>
      <c r="AI9" s="51">
        <f>IFERROR(AB9*VLOOKUP(E9,'Hệ số'!$A$2:$D$8,3,0),"")</f>
        <v/>
      </c>
      <c r="AJ9" s="51">
        <f>IFERROR(AB9*VLOOKUP(E9,'Hệ số'!$A$2:$D$8,4,0)*IF((I9-2)&gt;=2,1.2,IF((I9-2)=1,1,IF((I9-2)=0,0.85,IF((I9-2)=-1,0.5,IF((I9-2)=-2,0.25,0.1))))),"")</f>
        <v/>
      </c>
      <c r="AK9" s="41" t="inlineStr">
        <is>
          <t>Dẫn đường; bị APS và giáp phản ứng nổ giảm (đầu nổ lõm); bay chậm nên né và khói có tác dụng.</t>
        </is>
      </c>
      <c r="AL9" s="41" t="n"/>
      <c r="AM9" s="41" t="inlineStr">
        <is>
          <t>9M120 Ataka: 6 km, Mach 1,5</t>
        </is>
      </c>
      <c r="AN9" s="41" t="inlineStr">
        <is>
          <t>Tốc độ bay 19→26 m/s: Nhanh hơn Kornet (Mach 1,5 ngoài đời).</t>
        </is>
      </c>
      <c r="AO9" s="48" t="inlineStr">
        <is>
          <t>Trung</t>
        </is>
      </c>
    </row>
    <row r="10" ht="21.75" customHeight="1" s="32">
      <c r="A10" s="39" t="inlineStr">
        <is>
          <t>atgm</t>
        </is>
      </c>
      <c r="B10" s="39" t="inlineStr">
        <is>
          <t>BGM-71 TOW-2</t>
        </is>
      </c>
      <c r="C10" s="39" t="inlineStr">
        <is>
          <t>Tên lửa chống tăng / không đối đất</t>
        </is>
      </c>
      <c r="D10" s="39" t="inlineStr">
        <is>
          <t>Bọc thép TN, Siêu tăng, Xe</t>
        </is>
      </c>
      <c r="E10" s="39" t="inlineStr">
        <is>
          <t>Nổ lõm</t>
        </is>
      </c>
      <c r="F10" s="39" t="inlineStr">
        <is>
          <t>Atgm</t>
        </is>
      </c>
      <c r="G10" s="42" t="n">
        <v>22.6</v>
      </c>
      <c r="H10" s="42" t="n">
        <v>4</v>
      </c>
      <c r="I10" s="42" t="n">
        <v>4</v>
      </c>
      <c r="J10" s="42" t="n">
        <v>190</v>
      </c>
      <c r="K10" s="42" t="n">
        <v>190</v>
      </c>
      <c r="L10" s="39" t="inlineStr">
        <is>
          <t>từng phát</t>
        </is>
      </c>
      <c r="M10" s="39" t="inlineStr">
        <is>
          <t>từng phát</t>
        </is>
      </c>
      <c r="N10" s="42" t="n">
        <v>0.08110300081103</v>
      </c>
      <c r="O10" s="42" t="n">
        <v>0.08110300081103</v>
      </c>
      <c r="P10" s="42" t="n">
        <v>1</v>
      </c>
      <c r="Q10" s="42" t="n">
        <v>1</v>
      </c>
      <c r="R10" s="42" t="n">
        <v>12.33</v>
      </c>
      <c r="S10" s="42" t="n">
        <v>12.33</v>
      </c>
      <c r="T10" s="42" t="n">
        <v>34</v>
      </c>
      <c r="U10" s="42" t="n">
        <v>40</v>
      </c>
      <c r="V10" s="42" t="n">
        <v>19</v>
      </c>
      <c r="W10" s="42" t="n">
        <v>20</v>
      </c>
      <c r="X10" s="50">
        <f>IFERROR(U10/W10,"")</f>
        <v/>
      </c>
      <c r="Y10" s="50" t="n"/>
      <c r="Z10" s="50" t="n"/>
      <c r="AA10" s="50">
        <f>IFERROR(IF(L10="từng phát",J10*N10,J10*P10/(P10/N10+R10)),"")</f>
        <v/>
      </c>
      <c r="AB10" s="50">
        <f>IFERROR(IF(M10="từng phát",K10*O10,K10*Q10/(Q10/O10+S10)),"")</f>
        <v/>
      </c>
      <c r="AC10" s="50">
        <f>IFERROR(AB10*VLOOKUP(E10,'Hệ số'!$A$2:$D$8,2,0)*IF((I10-0)&gt;=2,1.2,IF((I10-0)=1,1,IF((I10-0)=0,0.85,IF((I10-0)=-1,0.5,IF((I10-0)=-2,0.25,0.1))))),"")</f>
        <v/>
      </c>
      <c r="AD10" s="50">
        <f>IFERROR(AB10*VLOOKUP(E10,'Hệ số'!$A$2:$D$8,2,0)*IF((I10-1)&gt;=2,1.2,IF((I10-1)=1,1,IF((I10-1)=0,0.85,IF((I10-1)=-1,0.5,IF((I10-1)=-2,0.25,0.1))))),"")</f>
        <v/>
      </c>
      <c r="AE10" s="50">
        <f>IFERROR(AB10*VLOOKUP(E10,'Hệ số'!$A$2:$D$8,2,0)*IF((I10-2)&gt;=2,1.2,IF((I10-2)=1,1,IF((I10-2)=0,0.85,IF((I10-2)=-1,0.5,IF((I10-2)=-2,0.25,0.1))))),"")</f>
        <v/>
      </c>
      <c r="AF10" s="50">
        <f>IFERROR(AB10*VLOOKUP(E10,'Hệ số'!$A$2:$D$8,2,0)*IF((I10-3)&gt;=2,1.2,IF((I10-3)=1,1,IF((I10-3)=0,0.85,IF((I10-3)=-1,0.5,IF((I10-3)=-2,0.25,0.1))))),"")</f>
        <v/>
      </c>
      <c r="AG10" s="50">
        <f>IFERROR(AB10*VLOOKUP(E10,'Hệ số'!$A$2:$D$8,2,0)*IF((I10-4)&gt;=2,1.2,IF((I10-4)=1,1,IF((I10-4)=0,0.85,IF((I10-4)=-1,0.5,IF((I10-4)=-2,0.25,0.1))))),"")</f>
        <v/>
      </c>
      <c r="AH10" s="50">
        <f>IFERROR(AB10*VLOOKUP(E10,'Hệ số'!$A$2:$D$8,2,0)*IF((I10-5)&gt;=2,1.2,IF((I10-5)=1,1,IF((I10-5)=0,0.85,IF((I10-5)=-1,0.5,IF((I10-5)=-2,0.25,0.1))))),"")</f>
        <v/>
      </c>
      <c r="AI10" s="50">
        <f>IFERROR(AB10*VLOOKUP(E10,'Hệ số'!$A$2:$D$8,3,0),"")</f>
        <v/>
      </c>
      <c r="AJ10" s="50">
        <f>IFERROR(AB10*VLOOKUP(E10,'Hệ số'!$A$2:$D$8,4,0)*IF((I10-2)&gt;=2,1.2,IF((I10-2)=1,1,IF((I10-2)=0,0.85,IF((I10-2)=-1,0.5,IF((I10-2)=-2,0.25,0.1))))),"")</f>
        <v/>
      </c>
      <c r="AK10" s="39" t="inlineStr">
        <is>
          <t>Dẫn đường; bị APS và giáp phản ứng nổ giảm (đầu nổ lõm); bay chậm nên né và khói có tác dụng.</t>
        </is>
      </c>
      <c r="AL10" s="39" t="n"/>
      <c r="AM10" s="39" t="inlineStr">
        <is>
          <t>TOW-2: tầm 3,75 km, ~280 m/s, bay ~13 s tới tầm tối đa</t>
        </is>
      </c>
      <c r="AN10" s="39" t="inlineStr">
        <is>
          <t>TOW phải bắn xa hơn pháo tăng (34 m). Tốc độ bay 19→20 m/s: Tên lửa lái bằng dây: chậm có chủ đích (~2 s) để APS, khói và né có tác dụng.</t>
        </is>
      </c>
      <c r="AO10" s="48" t="inlineStr">
        <is>
          <t>Trung</t>
        </is>
      </c>
    </row>
    <row r="11" ht="32.25" customHeight="1" s="32">
      <c r="A11" s="41" t="inlineStr">
        <is>
          <t>autocannon_25</t>
        </is>
      </c>
      <c r="B11" s="41" t="inlineStr">
        <is>
          <t>M242 Bushmaster 25</t>
        </is>
      </c>
      <c r="C11" s="41" t="inlineStr">
        <is>
          <t>Pháo tự động / cao xạ 20–40 mm</t>
        </is>
      </c>
      <c r="D11" s="41" t="inlineStr">
        <is>
          <t>Bọc thép</t>
        </is>
      </c>
      <c r="E11" s="41" t="inlineStr">
        <is>
          <t>Động năng</t>
        </is>
      </c>
      <c r="F11" s="41" t="inlineStr">
        <is>
          <t>BeltedAutocannon</t>
        </is>
      </c>
      <c r="G11" s="43" t="n">
        <v>25</v>
      </c>
      <c r="H11" s="43" t="n">
        <v>2</v>
      </c>
      <c r="I11" s="43" t="n">
        <v>2</v>
      </c>
      <c r="J11" s="43" t="n">
        <v>17</v>
      </c>
      <c r="K11" s="43" t="n">
        <v>17</v>
      </c>
      <c r="L11" s="41" t="inlineStr">
        <is>
          <t>băng</t>
        </is>
      </c>
      <c r="M11" s="41" t="inlineStr">
        <is>
          <t>loạt</t>
        </is>
      </c>
      <c r="N11" s="43" t="n">
        <v>4</v>
      </c>
      <c r="O11" s="43" t="n">
        <v>6</v>
      </c>
      <c r="P11" s="43" t="n">
        <v>19</v>
      </c>
      <c r="Q11" s="43" t="n">
        <v>8</v>
      </c>
      <c r="R11" s="43" t="n">
        <v>1</v>
      </c>
      <c r="S11" s="43" t="n">
        <v>1.3</v>
      </c>
      <c r="T11" s="43" t="n">
        <v>30</v>
      </c>
      <c r="U11" s="43" t="n">
        <v>30</v>
      </c>
      <c r="V11" s="43" t="n">
        <v>210</v>
      </c>
      <c r="W11" s="43" t="n">
        <v>210</v>
      </c>
      <c r="X11" s="51">
        <f>IFERROR(U11/W11,"")</f>
        <v/>
      </c>
      <c r="Y11" s="51" t="n"/>
      <c r="Z11" s="51" t="n"/>
      <c r="AA11" s="51">
        <f>IFERROR(IF(L11="từng phát",J11*N11,J11*P11/(P11/N11+R11)),"")</f>
        <v/>
      </c>
      <c r="AB11" s="51">
        <f>IFERROR(IF(M11="từng phát",K11*O11,K11*Q11/(Q11/O11+S11)),"")</f>
        <v/>
      </c>
      <c r="AC11" s="51">
        <f>IFERROR(AB11*VLOOKUP(E11,'Hệ số'!$A$2:$D$8,2,0)*IF((I11-0)&gt;=2,1.2,IF((I11-0)=1,1,IF((I11-0)=0,0.85,IF((I11-0)=-1,0.5,IF((I11-0)=-2,0.25,0.1))))),"")</f>
        <v/>
      </c>
      <c r="AD11" s="51">
        <f>IFERROR(AB11*VLOOKUP(E11,'Hệ số'!$A$2:$D$8,2,0)*IF((I11-1)&gt;=2,1.2,IF((I11-1)=1,1,IF((I11-1)=0,0.85,IF((I11-1)=-1,0.5,IF((I11-1)=-2,0.25,0.1))))),"")</f>
        <v/>
      </c>
      <c r="AE11" s="51">
        <f>IFERROR(AB11*VLOOKUP(E11,'Hệ số'!$A$2:$D$8,2,0)*IF((I11-2)&gt;=2,1.2,IF((I11-2)=1,1,IF((I11-2)=0,0.85,IF((I11-2)=-1,0.5,IF((I11-2)=-2,0.25,0.1))))),"")</f>
        <v/>
      </c>
      <c r="AF11" s="51">
        <f>IFERROR(AB11*VLOOKUP(E11,'Hệ số'!$A$2:$D$8,2,0)*IF((I11-3)&gt;=2,1.2,IF((I11-3)=1,1,IF((I11-3)=0,0.85,IF((I11-3)=-1,0.5,IF((I11-3)=-2,0.25,0.1))))),"")</f>
        <v/>
      </c>
      <c r="AG11" s="51">
        <f>IFERROR(AB11*VLOOKUP(E11,'Hệ số'!$A$2:$D$8,2,0)*IF((I11-4)&gt;=2,1.2,IF((I11-4)=1,1,IF((I11-4)=0,0.85,IF((I11-4)=-1,0.5,IF((I11-4)=-2,0.25,0.1))))),"")</f>
        <v/>
      </c>
      <c r="AH11" s="51">
        <f>IFERROR(AB11*VLOOKUP(E11,'Hệ số'!$A$2:$D$8,2,0)*IF((I11-5)&gt;=2,1.2,IF((I11-5)=1,1,IF((I11-5)=0,0.85,IF((I11-5)=-1,0.5,IF((I11-5)=-2,0.25,0.1))))),"")</f>
        <v/>
      </c>
      <c r="AI11" s="51">
        <f>IFERROR(AB11*VLOOKUP(E11,'Hệ số'!$A$2:$D$8,3,0),"")</f>
        <v/>
      </c>
      <c r="AJ11" s="51">
        <f>IFERROR(AB11*VLOOKUP(E11,'Hệ số'!$A$2:$D$8,4,0)*IF((I11-2)&gt;=2,1.2,IF((I11-2)=1,1,IF((I11-2)=0,0.85,IF((I11-2)=-1,0.5,IF((I11-2)=-2,0.25,0.1))))),"")</f>
        <v/>
      </c>
      <c r="AK11" s="41" t="inlineStr">
        <is>
          <t>Bắn loạt; đạn nổ trên không (Mảnh) mạnh với máy bay và drone, yếu với giáp; đạn xuyên (Động năng) mạnh với giáp 0–2.</t>
        </is>
      </c>
      <c r="AL11" s="41" t="inlineStr">
        <is>
          <t>Tự đổi: đạn xuyên (Động năng) với xe, đạn nổ trên không (Mảnh) với máy bay/drone.</t>
        </is>
      </c>
      <c r="AM11" s="41" t="inlineStr">
        <is>
          <t>M242: 200 phát/phút (chậm) hoặc 500 (nhanh); tầm ~2,5–3 km</t>
        </is>
      </c>
      <c r="AN11" s="41" t="inlineStr">
        <is>
          <t>M242 bắn loạt ngắn ở chế độ nhanh.</t>
        </is>
      </c>
      <c r="AO11" s="48" t="inlineStr">
        <is>
          <t>Trung</t>
        </is>
      </c>
    </row>
    <row r="12" ht="32.25" customHeight="1" s="32">
      <c r="A12" s="39" t="inlineStr">
        <is>
          <t>autocannon_30</t>
        </is>
      </c>
      <c r="B12" s="39" t="inlineStr">
        <is>
          <t>2A42 30 mm</t>
        </is>
      </c>
      <c r="C12" s="39" t="inlineStr">
        <is>
          <t>Pháo tự động / cao xạ 20–40 mm</t>
        </is>
      </c>
      <c r="D12" s="39" t="inlineStr">
        <is>
          <t>Bọc thép TN, Daedalus,</t>
        </is>
      </c>
      <c r="E12" s="39" t="inlineStr">
        <is>
          <t>Động năng</t>
        </is>
      </c>
      <c r="F12" s="39" t="inlineStr">
        <is>
          <t>BeltedAutocannon</t>
        </is>
      </c>
      <c r="G12" s="42" t="n">
        <v>30</v>
      </c>
      <c r="H12" s="42" t="n">
        <v>2</v>
      </c>
      <c r="I12" s="42" t="n">
        <v>2</v>
      </c>
      <c r="J12" s="42" t="n">
        <v>22</v>
      </c>
      <c r="K12" s="42" t="n">
        <v>22</v>
      </c>
      <c r="L12" s="39" t="inlineStr">
        <is>
          <t>băng</t>
        </is>
      </c>
      <c r="M12" s="39" t="inlineStr">
        <is>
          <t>loạt</t>
        </is>
      </c>
      <c r="N12" s="42" t="n">
        <v>3</v>
      </c>
      <c r="O12" s="42" t="n">
        <v>9</v>
      </c>
      <c r="P12" s="42" t="n">
        <v>18</v>
      </c>
      <c r="Q12" s="42" t="n">
        <v>10</v>
      </c>
      <c r="R12" s="42" t="n">
        <v>1</v>
      </c>
      <c r="S12" s="42" t="n">
        <v>1.5</v>
      </c>
      <c r="T12" s="42" t="n">
        <v>30</v>
      </c>
      <c r="U12" s="42" t="n">
        <v>30</v>
      </c>
      <c r="V12" s="42" t="n">
        <v>200</v>
      </c>
      <c r="W12" s="42" t="n">
        <v>200</v>
      </c>
      <c r="X12" s="50">
        <f>IFERROR(U12/W12,"")</f>
        <v/>
      </c>
      <c r="Y12" s="50" t="n"/>
      <c r="Z12" s="50" t="n"/>
      <c r="AA12" s="50">
        <f>IFERROR(IF(L12="từng phát",J12*N12,J12*P12/(P12/N12+R12)),"")</f>
        <v/>
      </c>
      <c r="AB12" s="50">
        <f>IFERROR(IF(M12="từng phát",K12*O12,K12*Q12/(Q12/O12+S12)),"")</f>
        <v/>
      </c>
      <c r="AC12" s="50">
        <f>IFERROR(AB12*VLOOKUP(E12,'Hệ số'!$A$2:$D$8,2,0)*IF((I12-0)&gt;=2,1.2,IF((I12-0)=1,1,IF((I12-0)=0,0.85,IF((I12-0)=-1,0.5,IF((I12-0)=-2,0.25,0.1))))),"")</f>
        <v/>
      </c>
      <c r="AD12" s="50">
        <f>IFERROR(AB12*VLOOKUP(E12,'Hệ số'!$A$2:$D$8,2,0)*IF((I12-1)&gt;=2,1.2,IF((I12-1)=1,1,IF((I12-1)=0,0.85,IF((I12-1)=-1,0.5,IF((I12-1)=-2,0.25,0.1))))),"")</f>
        <v/>
      </c>
      <c r="AE12" s="50">
        <f>IFERROR(AB12*VLOOKUP(E12,'Hệ số'!$A$2:$D$8,2,0)*IF((I12-2)&gt;=2,1.2,IF((I12-2)=1,1,IF((I12-2)=0,0.85,IF((I12-2)=-1,0.5,IF((I12-2)=-2,0.25,0.1))))),"")</f>
        <v/>
      </c>
      <c r="AF12" s="50">
        <f>IFERROR(AB12*VLOOKUP(E12,'Hệ số'!$A$2:$D$8,2,0)*IF((I12-3)&gt;=2,1.2,IF((I12-3)=1,1,IF((I12-3)=0,0.85,IF((I12-3)=-1,0.5,IF((I12-3)=-2,0.25,0.1))))),"")</f>
        <v/>
      </c>
      <c r="AG12" s="50">
        <f>IFERROR(AB12*VLOOKUP(E12,'Hệ số'!$A$2:$D$8,2,0)*IF((I12-4)&gt;=2,1.2,IF((I12-4)=1,1,IF((I12-4)=0,0.85,IF((I12-4)=-1,0.5,IF((I12-4)=-2,0.25,0.1))))),"")</f>
        <v/>
      </c>
      <c r="AH12" s="50">
        <f>IFERROR(AB12*VLOOKUP(E12,'Hệ số'!$A$2:$D$8,2,0)*IF((I12-5)&gt;=2,1.2,IF((I12-5)=1,1,IF((I12-5)=0,0.85,IF((I12-5)=-1,0.5,IF((I12-5)=-2,0.25,0.1))))),"")</f>
        <v/>
      </c>
      <c r="AI12" s="50">
        <f>IFERROR(AB12*VLOOKUP(E12,'Hệ số'!$A$2:$D$8,3,0),"")</f>
        <v/>
      </c>
      <c r="AJ12" s="50">
        <f>IFERROR(AB12*VLOOKUP(E12,'Hệ số'!$A$2:$D$8,4,0)*IF((I12-2)&gt;=2,1.2,IF((I12-2)=1,1,IF((I12-2)=0,0.85,IF((I12-2)=-1,0.5,IF((I12-2)=-2,0.25,0.1))))),"")</f>
        <v/>
      </c>
      <c r="AK12" s="39" t="inlineStr">
        <is>
          <t>Bắn loạt; đạn nổ trên không (Mảnh) mạnh với máy bay và drone, yếu với giáp; đạn xuyên (Động năng) mạnh với giáp 0–2.</t>
        </is>
      </c>
      <c r="AL12" s="39" t="inlineStr">
        <is>
          <t>Tự đổi: đạn xuyên (Động năng) với xe, đạn nổ trên không (Mảnh) với máy bay/drone.</t>
        </is>
      </c>
      <c r="AM12" s="39" t="inlineStr">
        <is>
          <t>2A42: 200–300 (chậm) / 550–800 phát/phút (nhanh); tầm ~4 km</t>
        </is>
      </c>
      <c r="AN12" s="39" t="inlineStr">
        <is>
          <t>Như 2A42.</t>
        </is>
      </c>
      <c r="AO12" s="48" t="inlineStr">
        <is>
          <t>Trung</t>
        </is>
      </c>
    </row>
    <row r="13" ht="32.25" customHeight="1" s="32">
      <c r="A13" s="41" t="inlineStr">
        <is>
          <t>autocannon_40</t>
        </is>
      </c>
      <c r="B13" s="41" t="inlineStr">
        <is>
          <t>Bofors 40 mm</t>
        </is>
      </c>
      <c r="C13" s="41" t="inlineStr">
        <is>
          <t>Pháo tự động / cao xạ 20–40 mm</t>
        </is>
      </c>
      <c r="D13" s="41" t="inlineStr">
        <is>
          <t>Bastion, Bastion Mk.0,</t>
        </is>
      </c>
      <c r="E13" s="41" t="inlineStr">
        <is>
          <t>Động năng</t>
        </is>
      </c>
      <c r="F13" s="41" t="inlineStr">
        <is>
          <t>BeltedAutocannon</t>
        </is>
      </c>
      <c r="G13" s="43" t="n">
        <v>40</v>
      </c>
      <c r="H13" s="43" t="n">
        <v>2</v>
      </c>
      <c r="I13" s="43" t="n">
        <v>2</v>
      </c>
      <c r="J13" s="43" t="n">
        <v>30</v>
      </c>
      <c r="K13" s="43" t="n">
        <v>30</v>
      </c>
      <c r="L13" s="41" t="inlineStr">
        <is>
          <t>băng</t>
        </is>
      </c>
      <c r="M13" s="41" t="inlineStr">
        <is>
          <t>băng</t>
        </is>
      </c>
      <c r="N13" s="43" t="n">
        <v>5</v>
      </c>
      <c r="O13" s="43" t="n">
        <v>5</v>
      </c>
      <c r="P13" s="43" t="n">
        <v>10</v>
      </c>
      <c r="Q13" s="43" t="n">
        <v>10</v>
      </c>
      <c r="R13" s="43" t="n">
        <v>1.52</v>
      </c>
      <c r="S13" s="43" t="n">
        <v>1.52</v>
      </c>
      <c r="T13" s="43" t="n">
        <v>28</v>
      </c>
      <c r="U13" s="43" t="n">
        <v>28</v>
      </c>
      <c r="V13" s="43" t="n">
        <v>210</v>
      </c>
      <c r="W13" s="43" t="n">
        <v>210</v>
      </c>
      <c r="X13" s="51">
        <f>IFERROR(U13/W13,"")</f>
        <v/>
      </c>
      <c r="Y13" s="53" t="n">
        <v>1</v>
      </c>
      <c r="Z13" s="53" t="n">
        <v>1</v>
      </c>
      <c r="AA13" s="51">
        <f>IFERROR(IF(L13="từng phát",J13*N13,J13*P13/(P13/N13+R13)),"")</f>
        <v/>
      </c>
      <c r="AB13" s="51">
        <f>IFERROR(IF(M13="từng phát",K13*O13,K13*Q13/(Q13/O13+S13)),"")</f>
        <v/>
      </c>
      <c r="AC13" s="51">
        <f>IFERROR(AB13*VLOOKUP(E13,'Hệ số'!$A$2:$D$8,2,0)*IF((I13-0)&gt;=2,1.2,IF((I13-0)=1,1,IF((I13-0)=0,0.85,IF((I13-0)=-1,0.5,IF((I13-0)=-2,0.25,0.1))))),"")</f>
        <v/>
      </c>
      <c r="AD13" s="51">
        <f>IFERROR(AB13*VLOOKUP(E13,'Hệ số'!$A$2:$D$8,2,0)*IF((I13-1)&gt;=2,1.2,IF((I13-1)=1,1,IF((I13-1)=0,0.85,IF((I13-1)=-1,0.5,IF((I13-1)=-2,0.25,0.1))))),"")</f>
        <v/>
      </c>
      <c r="AE13" s="51">
        <f>IFERROR(AB13*VLOOKUP(E13,'Hệ số'!$A$2:$D$8,2,0)*IF((I13-2)&gt;=2,1.2,IF((I13-2)=1,1,IF((I13-2)=0,0.85,IF((I13-2)=-1,0.5,IF((I13-2)=-2,0.25,0.1))))),"")</f>
        <v/>
      </c>
      <c r="AF13" s="51">
        <f>IFERROR(AB13*VLOOKUP(E13,'Hệ số'!$A$2:$D$8,2,0)*IF((I13-3)&gt;=2,1.2,IF((I13-3)=1,1,IF((I13-3)=0,0.85,IF((I13-3)=-1,0.5,IF((I13-3)=-2,0.25,0.1))))),"")</f>
        <v/>
      </c>
      <c r="AG13" s="51">
        <f>IFERROR(AB13*VLOOKUP(E13,'Hệ số'!$A$2:$D$8,2,0)*IF((I13-4)&gt;=2,1.2,IF((I13-4)=1,1,IF((I13-4)=0,0.85,IF((I13-4)=-1,0.5,IF((I13-4)=-2,0.25,0.1))))),"")</f>
        <v/>
      </c>
      <c r="AH13" s="51">
        <f>IFERROR(AB13*VLOOKUP(E13,'Hệ số'!$A$2:$D$8,2,0)*IF((I13-5)&gt;=2,1.2,IF((I13-5)=1,1,IF((I13-5)=0,0.85,IF((I13-5)=-1,0.5,IF((I13-5)=-2,0.25,0.1))))),"")</f>
        <v/>
      </c>
      <c r="AI13" s="51">
        <f>IFERROR(AB13*VLOOKUP(E13,'Hệ số'!$A$2:$D$8,3,0),"")</f>
        <v/>
      </c>
      <c r="AJ13" s="51">
        <f>IFERROR(AB13*VLOOKUP(E13,'Hệ số'!$A$2:$D$8,4,0)*IF((I13-2)&gt;=2,1.2,IF((I13-2)=1,1,IF((I13-2)=0,0.85,IF((I13-2)=-1,0.5,IF((I13-2)=-2,0.25,0.1))))),"")</f>
        <v/>
      </c>
      <c r="AK13" s="41" t="inlineStr">
        <is>
          <t>Bắn loạt; đạn nổ trên không (Mảnh) mạnh với máy bay và drone, yếu với giáp; đạn xuyên (Động năng) mạnh với giáp 0–2.</t>
        </is>
      </c>
      <c r="AL13" s="41" t="inlineStr">
        <is>
          <t>Tự đổi: đạn xuyên (Động năng) với xe, đạn nổ trên không (Mảnh) với máy bay/drone.</t>
        </is>
      </c>
      <c r="AM13" s="41" t="inlineStr">
        <is>
          <t>Bofors L/70: 240–330 phát/phút</t>
        </is>
      </c>
      <c r="AN13" s="41" t="inlineStr">
        <is>
          <t>Giữ.</t>
        </is>
      </c>
      <c r="AO13" s="41" t="n"/>
    </row>
    <row r="14" ht="32.25" customHeight="1" s="32">
      <c r="A14" s="39" t="inlineStr">
        <is>
          <t>ballistic_missile</t>
        </is>
      </c>
      <c r="B14" s="39" t="inlineStr">
        <is>
          <t>9M723 Iskander (700</t>
        </is>
      </c>
      <c r="C14" s="39" t="inlineStr">
        <is>
          <t>Tên lửa hành trình / đạn đạo</t>
        </is>
      </c>
      <c r="D14" s="39" t="inlineStr">
        <is>
          <t>Đạn đạo</t>
        </is>
      </c>
      <c r="E14" s="39" t="inlineStr">
        <is>
          <t>Nổ mạnh</t>
        </is>
      </c>
      <c r="F14" s="39" t="inlineStr">
        <is>
          <t>Ballistic</t>
        </is>
      </c>
      <c r="G14" s="42" t="n">
        <v>700</v>
      </c>
      <c r="H14" s="42" t="n">
        <v>4</v>
      </c>
      <c r="I14" s="42" t="n">
        <v>4</v>
      </c>
      <c r="J14" s="42" t="n">
        <v>630</v>
      </c>
      <c r="K14" s="42" t="n">
        <v>630</v>
      </c>
      <c r="L14" s="39" t="inlineStr">
        <is>
          <t>loạt</t>
        </is>
      </c>
      <c r="M14" s="39" t="inlineStr">
        <is>
          <t>loạt</t>
        </is>
      </c>
      <c r="N14" s="42" t="n">
        <v>0.67</v>
      </c>
      <c r="O14" s="42" t="n">
        <v>0.67</v>
      </c>
      <c r="P14" s="42" t="n">
        <v>2</v>
      </c>
      <c r="Q14" s="42" t="n">
        <v>2</v>
      </c>
      <c r="R14" s="42" t="n">
        <v>21.21</v>
      </c>
      <c r="S14" s="42" t="n">
        <v>21.21</v>
      </c>
      <c r="T14" s="42" t="n">
        <v>180</v>
      </c>
      <c r="U14" s="42" t="n">
        <v>180</v>
      </c>
      <c r="V14" s="42" t="n">
        <v>24</v>
      </c>
      <c r="W14" s="42" t="n">
        <v>50</v>
      </c>
      <c r="X14" s="50">
        <f>IFERROR(U14/W14,"")</f>
        <v/>
      </c>
      <c r="Y14" s="52" t="n">
        <v>12</v>
      </c>
      <c r="Z14" s="52" t="n">
        <v>10</v>
      </c>
      <c r="AA14" s="50">
        <f>IFERROR(IF(L14="từng phát",J14*N14,J14*P14/(P14/N14+R14)),"")</f>
        <v/>
      </c>
      <c r="AB14" s="50">
        <f>IFERROR(IF(M14="từng phát",K14*O14,K14*Q14/(Q14/O14+S14)),"")</f>
        <v/>
      </c>
      <c r="AC14" s="50">
        <f>IFERROR(AB14*VLOOKUP(E14,'Hệ số'!$A$2:$D$8,2,0)*IF((I14-0)&gt;=2,1.2,IF((I14-0)=1,1,IF((I14-0)=0,0.85,IF((I14-0)=-1,0.5,IF((I14-0)=-2,0.25,0.1))))),"")</f>
        <v/>
      </c>
      <c r="AD14" s="50">
        <f>IFERROR(AB14*VLOOKUP(E14,'Hệ số'!$A$2:$D$8,2,0)*IF((I14-1)&gt;=2,1.2,IF((I14-1)=1,1,IF((I14-1)=0,0.85,IF((I14-1)=-1,0.5,IF((I14-1)=-2,0.25,0.1))))),"")</f>
        <v/>
      </c>
      <c r="AE14" s="50">
        <f>IFERROR(AB14*VLOOKUP(E14,'Hệ số'!$A$2:$D$8,2,0)*IF((I14-2)&gt;=2,1.2,IF((I14-2)=1,1,IF((I14-2)=0,0.85,IF((I14-2)=-1,0.5,IF((I14-2)=-2,0.25,0.1))))),"")</f>
        <v/>
      </c>
      <c r="AF14" s="50">
        <f>IFERROR(AB14*VLOOKUP(E14,'Hệ số'!$A$2:$D$8,2,0)*IF((I14-3)&gt;=2,1.2,IF((I14-3)=1,1,IF((I14-3)=0,0.85,IF((I14-3)=-1,0.5,IF((I14-3)=-2,0.25,0.1))))),"")</f>
        <v/>
      </c>
      <c r="AG14" s="50">
        <f>IFERROR(AB14*VLOOKUP(E14,'Hệ số'!$A$2:$D$8,2,0)*IF((I14-4)&gt;=2,1.2,IF((I14-4)=1,1,IF((I14-4)=0,0.85,IF((I14-4)=-1,0.5,IF((I14-4)=-2,0.25,0.1))))),"")</f>
        <v/>
      </c>
      <c r="AH14" s="50">
        <f>IFERROR(AB14*VLOOKUP(E14,'Hệ số'!$A$2:$D$8,2,0)*IF((I14-5)&gt;=2,1.2,IF((I14-5)=1,1,IF((I14-5)=0,0.85,IF((I14-5)=-1,0.5,IF((I14-5)=-2,0.25,0.1))))),"")</f>
        <v/>
      </c>
      <c r="AI14" s="50">
        <f>IFERROR(AB14*VLOOKUP(E14,'Hệ số'!$A$2:$D$8,3,0),"")</f>
        <v/>
      </c>
      <c r="AJ14" s="50">
        <f>IFERROR(AB14*VLOOKUP(E14,'Hệ số'!$A$2:$D$8,4,0)*IF((I14-2)&gt;=2,1.2,IF((I14-2)=1,1,IF((I14-2)=0,0.85,IF((I14-2)=-1,0.5,IF((I14-2)=-2,0.25,0.1))))),"")</f>
        <v/>
      </c>
      <c r="AK14" s="39" t="inlineStr">
        <is>
          <t>Hành trình: bay chậm, thấp, bắn hạ được bởi phòng không; đạn đạo: bay nhanh, chỉ PAC-3 và Vòm Sắt bắn hạ.</t>
        </is>
      </c>
      <c r="AL14" s="39" t="n"/>
      <c r="AM14" s="39" t="inlineStr">
        <is>
          <t>Iskander 9M723: đầu nổ ~480 kg</t>
        </is>
      </c>
      <c r="AN14" s="39" t="inlineStr">
        <is>
          <t>Đầu nổ ~480 kg theo thang. Tốc độ bay 24→50 m/s: Đạn đạo nhanh nhất (~3,6 s ở 180 m), vẫn trong tầm đánh chặn của PAC-3 (65).</t>
        </is>
      </c>
      <c r="AO14" s="48" t="inlineStr">
        <is>
          <t>Trung</t>
        </is>
      </c>
    </row>
    <row r="15" ht="32.25" customHeight="1" s="32">
      <c r="A15" s="41" t="inlineStr">
        <is>
          <t>bastion_gun</t>
        </is>
      </c>
      <c r="B15" s="41" t="inlineStr">
        <is>
          <t>2A83 152 mm (twin)</t>
        </is>
      </c>
      <c r="C15" s="41" t="inlineStr">
        <is>
          <t>Pháo xe tăng / diệt tăng</t>
        </is>
      </c>
      <c r="D15" s="41" t="inlineStr">
        <is>
          <t>Sở chỉ huy, Tháp căn cứ</t>
        </is>
      </c>
      <c r="E15" s="41" t="inlineStr">
        <is>
          <t>Động năng</t>
        </is>
      </c>
      <c r="F15" s="41" t="inlineStr">
        <is>
          <t>DoubleDart</t>
        </is>
      </c>
      <c r="G15" s="43" t="n">
        <v>152</v>
      </c>
      <c r="H15" s="43" t="n">
        <v>4</v>
      </c>
      <c r="I15" s="43" t="n">
        <v>4</v>
      </c>
      <c r="J15" s="43" t="n">
        <v>320</v>
      </c>
      <c r="K15" s="43" t="n">
        <v>320</v>
      </c>
      <c r="L15" s="41" t="inlineStr">
        <is>
          <t>loạt</t>
        </is>
      </c>
      <c r="M15" s="41" t="inlineStr">
        <is>
          <t>loạt</t>
        </is>
      </c>
      <c r="N15" s="43" t="n">
        <v>20</v>
      </c>
      <c r="O15" s="43" t="n">
        <v>20</v>
      </c>
      <c r="P15" s="43" t="n">
        <v>2</v>
      </c>
      <c r="Q15" s="43" t="n">
        <v>2</v>
      </c>
      <c r="R15" s="43" t="n">
        <v>5.16</v>
      </c>
      <c r="S15" s="43" t="n">
        <v>5.16</v>
      </c>
      <c r="T15" s="43" t="n">
        <v>40</v>
      </c>
      <c r="U15" s="43" t="n">
        <v>40</v>
      </c>
      <c r="V15" s="43" t="n">
        <v>200</v>
      </c>
      <c r="W15" s="43" t="n">
        <v>200</v>
      </c>
      <c r="X15" s="51">
        <f>IFERROR(U15/W15,"")</f>
        <v/>
      </c>
      <c r="Y15" s="53" t="n">
        <v>2.5</v>
      </c>
      <c r="Z15" s="53" t="n">
        <v>2.5</v>
      </c>
      <c r="AA15" s="51">
        <f>IFERROR(IF(L15="từng phát",J15*N15,J15*P15/(P15/N15+R15)),"")</f>
        <v/>
      </c>
      <c r="AB15" s="51">
        <f>IFERROR(IF(M15="từng phát",K15*O15,K15*Q15/(Q15/O15+S15)),"")</f>
        <v/>
      </c>
      <c r="AC15" s="51">
        <f>IFERROR(AB15*VLOOKUP(E15,'Hệ số'!$A$2:$D$8,2,0)*IF((I15-0)&gt;=2,1.2,IF((I15-0)=1,1,IF((I15-0)=0,0.85,IF((I15-0)=-1,0.5,IF((I15-0)=-2,0.25,0.1))))),"")</f>
        <v/>
      </c>
      <c r="AD15" s="51">
        <f>IFERROR(AB15*VLOOKUP(E15,'Hệ số'!$A$2:$D$8,2,0)*IF((I15-1)&gt;=2,1.2,IF((I15-1)=1,1,IF((I15-1)=0,0.85,IF((I15-1)=-1,0.5,IF((I15-1)=-2,0.25,0.1))))),"")</f>
        <v/>
      </c>
      <c r="AE15" s="51">
        <f>IFERROR(AB15*VLOOKUP(E15,'Hệ số'!$A$2:$D$8,2,0)*IF((I15-2)&gt;=2,1.2,IF((I15-2)=1,1,IF((I15-2)=0,0.85,IF((I15-2)=-1,0.5,IF((I15-2)=-2,0.25,0.1))))),"")</f>
        <v/>
      </c>
      <c r="AF15" s="51">
        <f>IFERROR(AB15*VLOOKUP(E15,'Hệ số'!$A$2:$D$8,2,0)*IF((I15-3)&gt;=2,1.2,IF((I15-3)=1,1,IF((I15-3)=0,0.85,IF((I15-3)=-1,0.5,IF((I15-3)=-2,0.25,0.1))))),"")</f>
        <v/>
      </c>
      <c r="AG15" s="51">
        <f>IFERROR(AB15*VLOOKUP(E15,'Hệ số'!$A$2:$D$8,2,0)*IF((I15-4)&gt;=2,1.2,IF((I15-4)=1,1,IF((I15-4)=0,0.85,IF((I15-4)=-1,0.5,IF((I15-4)=-2,0.25,0.1))))),"")</f>
        <v/>
      </c>
      <c r="AH15" s="51">
        <f>IFERROR(AB15*VLOOKUP(E15,'Hệ số'!$A$2:$D$8,2,0)*IF((I15-5)&gt;=2,1.2,IF((I15-5)=1,1,IF((I15-5)=0,0.85,IF((I15-5)=-1,0.5,IF((I15-5)=-2,0.25,0.1))))),"")</f>
        <v/>
      </c>
      <c r="AI15" s="51">
        <f>IFERROR(AB15*VLOOKUP(E15,'Hệ số'!$A$2:$D$8,3,0),"")</f>
        <v/>
      </c>
      <c r="AJ15" s="51">
        <f>IFERROR(AB15*VLOOKUP(E15,'Hệ số'!$A$2:$D$8,4,0)*IF((I15-2)&gt;=2,1.2,IF((I15-2)=1,1,IF((I15-2)=0,0.85,IF((I15-2)=-1,0.5,IF((I15-2)=-2,0.25,0.1))))),"")</f>
        <v/>
      </c>
      <c r="AK15" s="41" t="inlineStr">
        <is>
          <t>Phát đơn, sơ tốc cao; không bị APS chặn (đạn động năng); bị lệch theo tầm và khi xe đang chạy.</t>
        </is>
      </c>
      <c r="AL15" s="41" t="inlineStr">
        <is>
          <t>Tự đổi: đạn xuyên (Động năng) với xe giáp, đạn nổ mạnh (HE, xuyên 2, nổ lan 3 m) với xe nhẹ và công trình.</t>
        </is>
      </c>
      <c r="AM15" s="41" t="n"/>
      <c r="AN15" s="41" t="inlineStr">
        <is>
          <t>Giữ.</t>
        </is>
      </c>
      <c r="AO15" s="41" t="n"/>
    </row>
    <row r="16" ht="21.75" customHeight="1" s="32">
      <c r="A16" s="39" t="inlineStr">
        <is>
          <t>boat_rockets</t>
        </is>
      </c>
      <c r="B16" s="39" t="inlineStr">
        <is>
          <t>S-8 80 mm</t>
        </is>
      </c>
      <c r="C16" s="39" t="inlineStr">
        <is>
          <t>Rốc-két</t>
        </is>
      </c>
      <c r="D16" s="39" t="inlineStr">
        <is>
          <t>Xuồng tên lửa</t>
        </is>
      </c>
      <c r="E16" s="39" t="inlineStr">
        <is>
          <t>Nổ mạnh</t>
        </is>
      </c>
      <c r="F16" s="39" t="inlineStr">
        <is>
          <t>RocketSmall</t>
        </is>
      </c>
      <c r="G16" s="42" t="n">
        <v>80</v>
      </c>
      <c r="H16" s="42" t="n">
        <v>2</v>
      </c>
      <c r="I16" s="42" t="n">
        <v>2</v>
      </c>
      <c r="J16" s="42" t="n">
        <v>32</v>
      </c>
      <c r="K16" s="42" t="n">
        <v>32</v>
      </c>
      <c r="L16" s="39" t="inlineStr">
        <is>
          <t>loạt</t>
        </is>
      </c>
      <c r="M16" s="39" t="inlineStr">
        <is>
          <t>loạt</t>
        </is>
      </c>
      <c r="N16" s="42" t="n">
        <v>8.33</v>
      </c>
      <c r="O16" s="42" t="n">
        <v>8.33</v>
      </c>
      <c r="P16" s="42" t="n">
        <v>10</v>
      </c>
      <c r="Q16" s="42" t="n">
        <v>10</v>
      </c>
      <c r="R16" s="42" t="n">
        <v>7</v>
      </c>
      <c r="S16" s="42" t="n">
        <v>7</v>
      </c>
      <c r="T16" s="42" t="n">
        <v>55</v>
      </c>
      <c r="U16" s="42" t="n">
        <v>55</v>
      </c>
      <c r="V16" s="42" t="n">
        <v>48</v>
      </c>
      <c r="W16" s="42" t="n">
        <v>40</v>
      </c>
      <c r="X16" s="50">
        <f>IFERROR(U16/W16,"")</f>
        <v/>
      </c>
      <c r="Y16" s="52" t="n">
        <v>3</v>
      </c>
      <c r="Z16" s="52" t="n">
        <v>3</v>
      </c>
      <c r="AA16" s="50">
        <f>IFERROR(IF(L16="từng phát",J16*N16,J16*P16/(P16/N16+R16)),"")</f>
        <v/>
      </c>
      <c r="AB16" s="50">
        <f>IFERROR(IF(M16="từng phát",K16*O16,K16*Q16/(Q16/O16+S16)),"")</f>
        <v/>
      </c>
      <c r="AC16" s="50">
        <f>IFERROR(AB16*VLOOKUP(E16,'Hệ số'!$A$2:$D$8,2,0)*IF((I16-0)&gt;=2,1.2,IF((I16-0)=1,1,IF((I16-0)=0,0.85,IF((I16-0)=-1,0.5,IF((I16-0)=-2,0.25,0.1))))),"")</f>
        <v/>
      </c>
      <c r="AD16" s="50">
        <f>IFERROR(AB16*VLOOKUP(E16,'Hệ số'!$A$2:$D$8,2,0)*IF((I16-1)&gt;=2,1.2,IF((I16-1)=1,1,IF((I16-1)=0,0.85,IF((I16-1)=-1,0.5,IF((I16-1)=-2,0.25,0.1))))),"")</f>
        <v/>
      </c>
      <c r="AE16" s="50">
        <f>IFERROR(AB16*VLOOKUP(E16,'Hệ số'!$A$2:$D$8,2,0)*IF((I16-2)&gt;=2,1.2,IF((I16-2)=1,1,IF((I16-2)=0,0.85,IF((I16-2)=-1,0.5,IF((I16-2)=-2,0.25,0.1))))),"")</f>
        <v/>
      </c>
      <c r="AF16" s="50">
        <f>IFERROR(AB16*VLOOKUP(E16,'Hệ số'!$A$2:$D$8,2,0)*IF((I16-3)&gt;=2,1.2,IF((I16-3)=1,1,IF((I16-3)=0,0.85,IF((I16-3)=-1,0.5,IF((I16-3)=-2,0.25,0.1))))),"")</f>
        <v/>
      </c>
      <c r="AG16" s="50">
        <f>IFERROR(AB16*VLOOKUP(E16,'Hệ số'!$A$2:$D$8,2,0)*IF((I16-4)&gt;=2,1.2,IF((I16-4)=1,1,IF((I16-4)=0,0.85,IF((I16-4)=-1,0.5,IF((I16-4)=-2,0.25,0.1))))),"")</f>
        <v/>
      </c>
      <c r="AH16" s="50">
        <f>IFERROR(AB16*VLOOKUP(E16,'Hệ số'!$A$2:$D$8,2,0)*IF((I16-5)&gt;=2,1.2,IF((I16-5)=1,1,IF((I16-5)=0,0.85,IF((I16-5)=-1,0.5,IF((I16-5)=-2,0.25,0.1))))),"")</f>
        <v/>
      </c>
      <c r="AI16" s="50">
        <f>IFERROR(AB16*VLOOKUP(E16,'Hệ số'!$A$2:$D$8,3,0),"")</f>
        <v/>
      </c>
      <c r="AJ16" s="50">
        <f>IFERROR(AB16*VLOOKUP(E16,'Hệ số'!$A$2:$D$8,4,0)*IF((I16-2)&gt;=2,1.2,IF((I16-2)=1,1,IF((I16-2)=0,0.85,IF((I16-2)=-1,0.5,IF((I16-2)=-2,0.25,0.1))))),"")</f>
        <v/>
      </c>
      <c r="AK16" s="39" t="inlineStr">
        <is>
          <t>Bắn loạt phủ vùng, tản mát; C-RAM, Vòm Sắt và La-de PK bắn hạ được từng quả.</t>
        </is>
      </c>
      <c r="AL16" s="39" t="n"/>
      <c r="AM16" s="39" t="inlineStr">
        <is>
          <t>S-8</t>
        </is>
      </c>
      <c r="AN16" s="39" t="inlineStr">
        <is>
          <t>Tốc độ bay 48→40 m/s: Thống nhất tốc độ rốc-két nhỏ ở mọi đơn vị (40 m/s).</t>
        </is>
      </c>
      <c r="AO16" s="48" t="inlineStr">
        <is>
          <t>Trung</t>
        </is>
      </c>
    </row>
    <row r="17" ht="32.25" customHeight="1" s="32">
      <c r="A17" s="41" t="inlineStr">
        <is>
          <t>bomber_payload</t>
        </is>
      </c>
      <c r="B17" s="41" t="inlineStr">
        <is>
          <t>FAB-500 (500 kg)</t>
        </is>
      </c>
      <c r="C17" s="41" t="inlineStr">
        <is>
          <t>Bom</t>
        </is>
      </c>
      <c r="D17" s="41" t="inlineStr">
        <is>
          <t>Oanh tạc cơ</t>
        </is>
      </c>
      <c r="E17" s="41" t="inlineStr">
        <is>
          <t>Nổ mạnh</t>
        </is>
      </c>
      <c r="F17" s="41" t="inlineStr">
        <is>
          <t>Bomb</t>
        </is>
      </c>
      <c r="G17" s="43" t="n">
        <v>500</v>
      </c>
      <c r="H17" s="43" t="n">
        <v>3</v>
      </c>
      <c r="I17" s="43" t="n">
        <v>3</v>
      </c>
      <c r="J17" s="43" t="n">
        <v>420</v>
      </c>
      <c r="K17" s="43" t="n">
        <v>420</v>
      </c>
      <c r="L17" s="41" t="inlineStr">
        <is>
          <t>loạt</t>
        </is>
      </c>
      <c r="M17" s="41" t="inlineStr">
        <is>
          <t>loạt</t>
        </is>
      </c>
      <c r="N17" s="43" t="n">
        <v>5</v>
      </c>
      <c r="O17" s="43" t="n">
        <v>5</v>
      </c>
      <c r="P17" s="43" t="n">
        <v>9</v>
      </c>
      <c r="Q17" s="43" t="n">
        <v>7</v>
      </c>
      <c r="R17" s="43" t="n">
        <v>11</v>
      </c>
      <c r="S17" s="43" t="n">
        <v>11</v>
      </c>
      <c r="T17" s="43" t="n">
        <v>28</v>
      </c>
      <c r="U17" s="43" t="n">
        <v>28</v>
      </c>
      <c r="V17" s="43" t="n">
        <v>35</v>
      </c>
      <c r="W17" s="43" t="n">
        <v>35</v>
      </c>
      <c r="X17" s="51">
        <f>IFERROR(U17/W17,"")</f>
        <v/>
      </c>
      <c r="Y17" s="53" t="n">
        <v>10</v>
      </c>
      <c r="Z17" s="53" t="n">
        <v>10</v>
      </c>
      <c r="AA17" s="51">
        <f>IFERROR(IF(L17="từng phát",J17*N17,J17*P17/(P17/N17+R17)),"")</f>
        <v/>
      </c>
      <c r="AB17" s="51">
        <f>IFERROR(IF(M17="từng phát",K17*O17,K17*Q17/(Q17/O17+S17)),"")</f>
        <v/>
      </c>
      <c r="AC17" s="51">
        <f>IFERROR(AB17*VLOOKUP(E17,'Hệ số'!$A$2:$D$8,2,0)*IF((I17-0)&gt;=2,1.2,IF((I17-0)=1,1,IF((I17-0)=0,0.85,IF((I17-0)=-1,0.5,IF((I17-0)=-2,0.25,0.1))))),"")</f>
        <v/>
      </c>
      <c r="AD17" s="51">
        <f>IFERROR(AB17*VLOOKUP(E17,'Hệ số'!$A$2:$D$8,2,0)*IF((I17-1)&gt;=2,1.2,IF((I17-1)=1,1,IF((I17-1)=0,0.85,IF((I17-1)=-1,0.5,IF((I17-1)=-2,0.25,0.1))))),"")</f>
        <v/>
      </c>
      <c r="AE17" s="51">
        <f>IFERROR(AB17*VLOOKUP(E17,'Hệ số'!$A$2:$D$8,2,0)*IF((I17-2)&gt;=2,1.2,IF((I17-2)=1,1,IF((I17-2)=0,0.85,IF((I17-2)=-1,0.5,IF((I17-2)=-2,0.25,0.1))))),"")</f>
        <v/>
      </c>
      <c r="AF17" s="51">
        <f>IFERROR(AB17*VLOOKUP(E17,'Hệ số'!$A$2:$D$8,2,0)*IF((I17-3)&gt;=2,1.2,IF((I17-3)=1,1,IF((I17-3)=0,0.85,IF((I17-3)=-1,0.5,IF((I17-3)=-2,0.25,0.1))))),"")</f>
        <v/>
      </c>
      <c r="AG17" s="51">
        <f>IFERROR(AB17*VLOOKUP(E17,'Hệ số'!$A$2:$D$8,2,0)*IF((I17-4)&gt;=2,1.2,IF((I17-4)=1,1,IF((I17-4)=0,0.85,IF((I17-4)=-1,0.5,IF((I17-4)=-2,0.25,0.1))))),"")</f>
        <v/>
      </c>
      <c r="AH17" s="51">
        <f>IFERROR(AB17*VLOOKUP(E17,'Hệ số'!$A$2:$D$8,2,0)*IF((I17-5)&gt;=2,1.2,IF((I17-5)=1,1,IF((I17-5)=0,0.85,IF((I17-5)=-1,0.5,IF((I17-5)=-2,0.25,0.1))))),"")</f>
        <v/>
      </c>
      <c r="AI17" s="51">
        <f>IFERROR(AB17*VLOOKUP(E17,'Hệ số'!$A$2:$D$8,3,0),"")</f>
        <v/>
      </c>
      <c r="AJ17" s="51">
        <f>IFERROR(AB17*VLOOKUP(E17,'Hệ số'!$A$2:$D$8,4,0)*IF((I17-2)&gt;=2,1.2,IF((I17-2)=1,1,IF((I17-2)=0,0.85,IF((I17-2)=-1,0.5,IF((I17-2)=-2,0.25,0.1))))),"")</f>
        <v/>
      </c>
      <c r="AK17" s="41" t="inlineStr">
        <is>
          <t>Bom thường rơi tự do, tản mát 2–3 m, không bắn hạ được; bom dẫn đường chính xác; bom lượn bay chậm và bắn hạ được.</t>
        </is>
      </c>
      <c r="AL17" s="41" t="n"/>
      <c r="AM17" s="41" t="inlineStr">
        <is>
          <t>FAB-500: ~200 kg thuốc nổ</t>
        </is>
      </c>
      <c r="AN17" s="41" t="inlineStr">
        <is>
          <t>Lần cân bằng 2: Oanh tạc cơ vẫn mạnh; 9 → 7 quả FAB-500 mỗi lượt.</t>
        </is>
      </c>
      <c r="AO17" s="48" t="inlineStr">
        <is>
          <t>Trung</t>
        </is>
      </c>
    </row>
    <row r="18" ht="21.75" customHeight="1" s="32">
      <c r="A18" s="39" t="inlineStr">
        <is>
          <t>bomber_tail_guns</t>
        </is>
      </c>
      <c r="B18" s="39" t="inlineStr">
        <is>
          <t>M3 12.7 mm (quad</t>
        </is>
      </c>
      <c r="C18" s="39" t="inlineStr">
        <is>
          <t>Súng máy 12,7 mm</t>
        </is>
      </c>
      <c r="D18" s="39" t="inlineStr">
        <is>
          <t>Oanh tạc cơ</t>
        </is>
      </c>
      <c r="E18" s="39" t="inlineStr">
        <is>
          <t>Động năng</t>
        </is>
      </c>
      <c r="F18" s="39" t="inlineStr">
        <is>
          <t>BulletBig</t>
        </is>
      </c>
      <c r="G18" s="42" t="n">
        <v>12.7</v>
      </c>
      <c r="H18" s="42" t="n">
        <v>1</v>
      </c>
      <c r="I18" s="42" t="n">
        <v>1</v>
      </c>
      <c r="J18" s="42" t="n">
        <v>9.5</v>
      </c>
      <c r="K18" s="42" t="n">
        <v>9.5</v>
      </c>
      <c r="L18" s="39" t="inlineStr">
        <is>
          <t>băng</t>
        </is>
      </c>
      <c r="M18" s="39" t="inlineStr">
        <is>
          <t>băng</t>
        </is>
      </c>
      <c r="N18" s="42" t="n">
        <v>60</v>
      </c>
      <c r="O18" s="42" t="n">
        <v>60</v>
      </c>
      <c r="P18" s="42" t="n">
        <v>26</v>
      </c>
      <c r="Q18" s="42" t="n">
        <v>26</v>
      </c>
      <c r="R18" s="42" t="n">
        <v>2.78</v>
      </c>
      <c r="S18" s="42" t="n">
        <v>2.78</v>
      </c>
      <c r="T18" s="42" t="n">
        <v>30</v>
      </c>
      <c r="U18" s="42" t="n">
        <v>30</v>
      </c>
      <c r="V18" s="42" t="n">
        <v>240</v>
      </c>
      <c r="W18" s="42" t="n">
        <v>240</v>
      </c>
      <c r="X18" s="50">
        <f>IFERROR(U18/W18,"")</f>
        <v/>
      </c>
      <c r="Y18" s="50" t="n"/>
      <c r="Z18" s="50" t="n"/>
      <c r="AA18" s="50">
        <f>IFERROR(IF(L18="từng phát",J18*N18,J18*P18/(P18/N18+R18)),"")</f>
        <v/>
      </c>
      <c r="AB18" s="50">
        <f>IFERROR(IF(M18="từng phát",K18*O18,K18*Q18/(Q18/O18+S18)),"")</f>
        <v/>
      </c>
      <c r="AC18" s="50">
        <f>IFERROR(AB18*VLOOKUP(E18,'Hệ số'!$A$2:$D$8,2,0)*IF((I18-0)&gt;=2,1.2,IF((I18-0)=1,1,IF((I18-0)=0,0.85,IF((I18-0)=-1,0.5,IF((I18-0)=-2,0.25,0.1))))),"")</f>
        <v/>
      </c>
      <c r="AD18" s="50">
        <f>IFERROR(AB18*VLOOKUP(E18,'Hệ số'!$A$2:$D$8,2,0)*IF((I18-1)&gt;=2,1.2,IF((I18-1)=1,1,IF((I18-1)=0,0.85,IF((I18-1)=-1,0.5,IF((I18-1)=-2,0.25,0.1))))),"")</f>
        <v/>
      </c>
      <c r="AE18" s="50">
        <f>IFERROR(AB18*VLOOKUP(E18,'Hệ số'!$A$2:$D$8,2,0)*IF((I18-2)&gt;=2,1.2,IF((I18-2)=1,1,IF((I18-2)=0,0.85,IF((I18-2)=-1,0.5,IF((I18-2)=-2,0.25,0.1))))),"")</f>
        <v/>
      </c>
      <c r="AF18" s="50">
        <f>IFERROR(AB18*VLOOKUP(E18,'Hệ số'!$A$2:$D$8,2,0)*IF((I18-3)&gt;=2,1.2,IF((I18-3)=1,1,IF((I18-3)=0,0.85,IF((I18-3)=-1,0.5,IF((I18-3)=-2,0.25,0.1))))),"")</f>
        <v/>
      </c>
      <c r="AG18" s="50">
        <f>IFERROR(AB18*VLOOKUP(E18,'Hệ số'!$A$2:$D$8,2,0)*IF((I18-4)&gt;=2,1.2,IF((I18-4)=1,1,IF((I18-4)=0,0.85,IF((I18-4)=-1,0.5,IF((I18-4)=-2,0.25,0.1))))),"")</f>
        <v/>
      </c>
      <c r="AH18" s="50">
        <f>IFERROR(AB18*VLOOKUP(E18,'Hệ số'!$A$2:$D$8,2,0)*IF((I18-5)&gt;=2,1.2,IF((I18-5)=1,1,IF((I18-5)=0,0.85,IF((I18-5)=-1,0.5,IF((I18-5)=-2,0.25,0.1))))),"")</f>
        <v/>
      </c>
      <c r="AI18" s="50">
        <f>IFERROR(AB18*VLOOKUP(E18,'Hệ số'!$A$2:$D$8,3,0),"")</f>
        <v/>
      </c>
      <c r="AJ18" s="50">
        <f>IFERROR(AB18*VLOOKUP(E18,'Hệ số'!$A$2:$D$8,4,0)*IF((I18-2)&gt;=2,1.2,IF((I18-2)=1,1,IF((I18-2)=0,0.85,IF((I18-2)=-1,0.5,IF((I18-2)=-2,0.25,0.1))))),"")</f>
        <v/>
      </c>
      <c r="AK18" s="39" t="inlineStr">
        <is>
          <t>Bắn cả khi chạy; mạnh với xe không giáp, drone, trực thăng; nảy khỏi giáp từ cấp 2.</t>
        </is>
      </c>
      <c r="AL18" s="39" t="inlineStr">
        <is>
          <t>Đạn xuyên API (xuyên 2) cho bản tinh nhuệ.</t>
        </is>
      </c>
      <c r="AM18" s="39" t="inlineStr">
        <is>
          <t>M3 12,7 mm: 1.200</t>
        </is>
      </c>
      <c r="AN18" s="39" t="inlineStr">
        <is>
          <t>Giữ.</t>
        </is>
      </c>
      <c r="AO18" s="39" t="n"/>
    </row>
    <row r="19" ht="32.25" customHeight="1" s="32">
      <c r="A19" s="41" t="inlineStr">
        <is>
          <t>borer_cannon</t>
        </is>
      </c>
      <c r="B19" s="41" t="inlineStr">
        <is>
          <t>2A70 100/76 mm</t>
        </is>
      </c>
      <c r="C19" s="41" t="inlineStr">
        <is>
          <t>Pháo xe tăng / diệt tăng</t>
        </is>
      </c>
      <c r="D19" s="41" t="inlineStr">
        <is>
          <t>Ixion, Tartarus</t>
        </is>
      </c>
      <c r="E19" s="41" t="inlineStr">
        <is>
          <t>Động năng</t>
        </is>
      </c>
      <c r="F19" s="41" t="inlineStr">
        <is>
          <t>Dart</t>
        </is>
      </c>
      <c r="G19" s="43" t="n">
        <v>76</v>
      </c>
      <c r="H19" s="43" t="n">
        <v>3</v>
      </c>
      <c r="I19" s="43" t="n">
        <v>3</v>
      </c>
      <c r="J19" s="43" t="n">
        <v>120</v>
      </c>
      <c r="K19" s="43" t="n">
        <v>120</v>
      </c>
      <c r="L19" s="41" t="inlineStr">
        <is>
          <t>từng phát</t>
        </is>
      </c>
      <c r="M19" s="41" t="inlineStr">
        <is>
          <t>từng phát</t>
        </is>
      </c>
      <c r="N19" s="43" t="n">
        <v>0.480769230769231</v>
      </c>
      <c r="O19" s="43" t="n">
        <v>0.480769230769231</v>
      </c>
      <c r="P19" s="43" t="n">
        <v>1</v>
      </c>
      <c r="Q19" s="43" t="n">
        <v>1</v>
      </c>
      <c r="R19" s="43" t="n">
        <v>2.08</v>
      </c>
      <c r="S19" s="43" t="n">
        <v>2.08</v>
      </c>
      <c r="T19" s="43" t="n">
        <v>34</v>
      </c>
      <c r="U19" s="43" t="n">
        <v>34</v>
      </c>
      <c r="V19" s="43" t="n">
        <v>170</v>
      </c>
      <c r="W19" s="43" t="n">
        <v>170</v>
      </c>
      <c r="X19" s="51">
        <f>IFERROR(U19/W19,"")</f>
        <v/>
      </c>
      <c r="Y19" s="53" t="n">
        <v>1.5</v>
      </c>
      <c r="Z19" s="53" t="n">
        <v>1.5</v>
      </c>
      <c r="AA19" s="51">
        <f>IFERROR(IF(L19="từng phát",J19*N19,J19*P19/(P19/N19+R19)),"")</f>
        <v/>
      </c>
      <c r="AB19" s="51">
        <f>IFERROR(IF(M19="từng phát",K19*O19,K19*Q19/(Q19/O19+S19)),"")</f>
        <v/>
      </c>
      <c r="AC19" s="51">
        <f>IFERROR(AB19*VLOOKUP(E19,'Hệ số'!$A$2:$D$8,2,0)*IF((I19-0)&gt;=2,1.2,IF((I19-0)=1,1,IF((I19-0)=0,0.85,IF((I19-0)=-1,0.5,IF((I19-0)=-2,0.25,0.1))))),"")</f>
        <v/>
      </c>
      <c r="AD19" s="51">
        <f>IFERROR(AB19*VLOOKUP(E19,'Hệ số'!$A$2:$D$8,2,0)*IF((I19-1)&gt;=2,1.2,IF((I19-1)=1,1,IF((I19-1)=0,0.85,IF((I19-1)=-1,0.5,IF((I19-1)=-2,0.25,0.1))))),"")</f>
        <v/>
      </c>
      <c r="AE19" s="51">
        <f>IFERROR(AB19*VLOOKUP(E19,'Hệ số'!$A$2:$D$8,2,0)*IF((I19-2)&gt;=2,1.2,IF((I19-2)=1,1,IF((I19-2)=0,0.85,IF((I19-2)=-1,0.5,IF((I19-2)=-2,0.25,0.1))))),"")</f>
        <v/>
      </c>
      <c r="AF19" s="51">
        <f>IFERROR(AB19*VLOOKUP(E19,'Hệ số'!$A$2:$D$8,2,0)*IF((I19-3)&gt;=2,1.2,IF((I19-3)=1,1,IF((I19-3)=0,0.85,IF((I19-3)=-1,0.5,IF((I19-3)=-2,0.25,0.1))))),"")</f>
        <v/>
      </c>
      <c r="AG19" s="51">
        <f>IFERROR(AB19*VLOOKUP(E19,'Hệ số'!$A$2:$D$8,2,0)*IF((I19-4)&gt;=2,1.2,IF((I19-4)=1,1,IF((I19-4)=0,0.85,IF((I19-4)=-1,0.5,IF((I19-4)=-2,0.25,0.1))))),"")</f>
        <v/>
      </c>
      <c r="AH19" s="51">
        <f>IFERROR(AB19*VLOOKUP(E19,'Hệ số'!$A$2:$D$8,2,0)*IF((I19-5)&gt;=2,1.2,IF((I19-5)=1,1,IF((I19-5)=0,0.85,IF((I19-5)=-1,0.5,IF((I19-5)=-2,0.25,0.1))))),"")</f>
        <v/>
      </c>
      <c r="AI19" s="51">
        <f>IFERROR(AB19*VLOOKUP(E19,'Hệ số'!$A$2:$D$8,3,0),"")</f>
        <v/>
      </c>
      <c r="AJ19" s="51">
        <f>IFERROR(AB19*VLOOKUP(E19,'Hệ số'!$A$2:$D$8,4,0)*IF((I19-2)&gt;=2,1.2,IF((I19-2)=1,1,IF((I19-2)=0,0.85,IF((I19-2)=-1,0.5,IF((I19-2)=-2,0.25,0.1))))),"")</f>
        <v/>
      </c>
      <c r="AK19" s="41" t="inlineStr">
        <is>
          <t>Phát đơn, sơ tốc cao; không bị APS chặn (đạn động năng); bị lệch theo tầm và khi xe đang chạy.</t>
        </is>
      </c>
      <c r="AL19" s="41" t="inlineStr">
        <is>
          <t>Tự đổi: đạn xuyên (Động năng) với xe giáp, đạn nổ mạnh (HE, xuyên 2, nổ lan 3 m) với xe nhẹ và công trình.</t>
        </is>
      </c>
      <c r="AM19" s="41" t="n"/>
      <c r="AN19" s="41" t="inlineStr">
        <is>
          <t>Giữ.</t>
        </is>
      </c>
      <c r="AO19" s="41" t="n"/>
    </row>
    <row r="20" ht="15" customHeight="1" s="32">
      <c r="A20" s="39" t="inlineStr">
        <is>
          <t>borer_drill</t>
        </is>
      </c>
      <c r="B20" s="39" t="inlineStr">
        <is>
          <t>drill head</t>
        </is>
      </c>
      <c r="C20" s="39" t="inlineStr">
        <is>
          <t>Khác</t>
        </is>
      </c>
      <c r="D20" s="39" t="inlineStr">
        <is>
          <t>Tartarus</t>
        </is>
      </c>
      <c r="E20" s="39" t="inlineStr">
        <is>
          <t>Động năng</t>
        </is>
      </c>
      <c r="F20" s="39" t="inlineStr">
        <is>
          <t>Drill</t>
        </is>
      </c>
      <c r="G20" s="42" t="n">
        <v>2</v>
      </c>
      <c r="H20" s="42" t="n">
        <v>4</v>
      </c>
      <c r="I20" s="42" t="n">
        <v>4</v>
      </c>
      <c r="J20" s="42" t="n">
        <v>260</v>
      </c>
      <c r="K20" s="42" t="n">
        <v>260</v>
      </c>
      <c r="L20" s="39" t="inlineStr">
        <is>
          <t>từng phát</t>
        </is>
      </c>
      <c r="M20" s="39" t="inlineStr">
        <is>
          <t>từng phát</t>
        </is>
      </c>
      <c r="N20" s="42" t="n">
        <v>0.666666666666667</v>
      </c>
      <c r="O20" s="42" t="n">
        <v>0.666666666666667</v>
      </c>
      <c r="P20" s="42" t="n">
        <v>1</v>
      </c>
      <c r="Q20" s="42" t="n">
        <v>1</v>
      </c>
      <c r="R20" s="42" t="n">
        <v>1.5</v>
      </c>
      <c r="S20" s="42" t="n">
        <v>1.5</v>
      </c>
      <c r="T20" s="42" t="n">
        <v>7</v>
      </c>
      <c r="U20" s="42" t="n">
        <v>7</v>
      </c>
      <c r="V20" s="42" t="n">
        <v>400</v>
      </c>
      <c r="W20" s="42" t="n">
        <v>400</v>
      </c>
      <c r="X20" s="50">
        <f>IFERROR(U20/W20,"")</f>
        <v/>
      </c>
      <c r="Y20" s="50" t="n"/>
      <c r="Z20" s="50" t="n"/>
      <c r="AA20" s="50">
        <f>IFERROR(IF(L20="từng phát",J20*N20,J20*P20/(P20/N20+R20)),"")</f>
        <v/>
      </c>
      <c r="AB20" s="50">
        <f>IFERROR(IF(M20="từng phát",K20*O20,K20*Q20/(Q20/O20+S20)),"")</f>
        <v/>
      </c>
      <c r="AC20" s="50">
        <f>IFERROR(AB20*VLOOKUP(E20,'Hệ số'!$A$2:$D$8,2,0)*IF((I20-0)&gt;=2,1.2,IF((I20-0)=1,1,IF((I20-0)=0,0.85,IF((I20-0)=-1,0.5,IF((I20-0)=-2,0.25,0.1))))),"")</f>
        <v/>
      </c>
      <c r="AD20" s="50">
        <f>IFERROR(AB20*VLOOKUP(E20,'Hệ số'!$A$2:$D$8,2,0)*IF((I20-1)&gt;=2,1.2,IF((I20-1)=1,1,IF((I20-1)=0,0.85,IF((I20-1)=-1,0.5,IF((I20-1)=-2,0.25,0.1))))),"")</f>
        <v/>
      </c>
      <c r="AE20" s="50">
        <f>IFERROR(AB20*VLOOKUP(E20,'Hệ số'!$A$2:$D$8,2,0)*IF((I20-2)&gt;=2,1.2,IF((I20-2)=1,1,IF((I20-2)=0,0.85,IF((I20-2)=-1,0.5,IF((I20-2)=-2,0.25,0.1))))),"")</f>
        <v/>
      </c>
      <c r="AF20" s="50">
        <f>IFERROR(AB20*VLOOKUP(E20,'Hệ số'!$A$2:$D$8,2,0)*IF((I20-3)&gt;=2,1.2,IF((I20-3)=1,1,IF((I20-3)=0,0.85,IF((I20-3)=-1,0.5,IF((I20-3)=-2,0.25,0.1))))),"")</f>
        <v/>
      </c>
      <c r="AG20" s="50">
        <f>IFERROR(AB20*VLOOKUP(E20,'Hệ số'!$A$2:$D$8,2,0)*IF((I20-4)&gt;=2,1.2,IF((I20-4)=1,1,IF((I20-4)=0,0.85,IF((I20-4)=-1,0.5,IF((I20-4)=-2,0.25,0.1))))),"")</f>
        <v/>
      </c>
      <c r="AH20" s="50">
        <f>IFERROR(AB20*VLOOKUP(E20,'Hệ số'!$A$2:$D$8,2,0)*IF((I20-5)&gt;=2,1.2,IF((I20-5)=1,1,IF((I20-5)=0,0.85,IF((I20-5)=-1,0.5,IF((I20-5)=-2,0.25,0.1))))),"")</f>
        <v/>
      </c>
      <c r="AI20" s="50">
        <f>IFERROR(AB20*VLOOKUP(E20,'Hệ số'!$A$2:$D$8,3,0),"")</f>
        <v/>
      </c>
      <c r="AJ20" s="50">
        <f>IFERROR(AB20*VLOOKUP(E20,'Hệ số'!$A$2:$D$8,4,0)*IF((I20-2)&gt;=2,1.2,IF((I20-2)=1,1,IF((I20-2)=0,0.85,IF((I20-2)=-1,0.5,IF((I20-2)=-2,0.25,0.1))))),"")</f>
        <v/>
      </c>
      <c r="AK20" s="39" t="n"/>
      <c r="AL20" s="39" t="n"/>
      <c r="AM20" s="39" t="n"/>
      <c r="AN20" s="39" t="inlineStr">
        <is>
          <t>Giữ.</t>
        </is>
      </c>
      <c r="AO20" s="39" t="n"/>
    </row>
    <row r="21" ht="32.25" customHeight="1" s="32">
      <c r="A21" s="41" t="inlineStr">
        <is>
          <t>boss_flak</t>
        </is>
      </c>
      <c r="B21" s="41" t="inlineStr">
        <is>
          <t>Oerlikon 35 mm (twin)</t>
        </is>
      </c>
      <c r="C21" s="41" t="inlineStr">
        <is>
          <t>Pháo tự động / cao xạ 20–40 mm</t>
        </is>
      </c>
      <c r="D21" s="41" t="inlineStr">
        <is>
          <t>Behemoth, Behemoth Mk.II,</t>
        </is>
      </c>
      <c r="E21" s="41" t="inlineStr">
        <is>
          <t>Mảnh</t>
        </is>
      </c>
      <c r="F21" s="41" t="inlineStr">
        <is>
          <t>Airburst</t>
        </is>
      </c>
      <c r="G21" s="43" t="n">
        <v>35</v>
      </c>
      <c r="H21" s="43" t="n">
        <v>2</v>
      </c>
      <c r="I21" s="43" t="n">
        <v>2</v>
      </c>
      <c r="J21" s="43" t="n">
        <v>25</v>
      </c>
      <c r="K21" s="43" t="n">
        <v>25</v>
      </c>
      <c r="L21" s="41" t="inlineStr">
        <is>
          <t>băng</t>
        </is>
      </c>
      <c r="M21" s="41" t="inlineStr">
        <is>
          <t>băng</t>
        </is>
      </c>
      <c r="N21" s="43" t="n">
        <v>20</v>
      </c>
      <c r="O21" s="43" t="n">
        <v>20</v>
      </c>
      <c r="P21" s="43" t="n">
        <v>41</v>
      </c>
      <c r="Q21" s="43" t="n">
        <v>41</v>
      </c>
      <c r="R21" s="43" t="n">
        <v>3.38</v>
      </c>
      <c r="S21" s="43" t="n">
        <v>3.38</v>
      </c>
      <c r="T21" s="43" t="n">
        <v>40</v>
      </c>
      <c r="U21" s="43" t="n">
        <v>40</v>
      </c>
      <c r="V21" s="43" t="n">
        <v>260</v>
      </c>
      <c r="W21" s="43" t="n">
        <v>260</v>
      </c>
      <c r="X21" s="51">
        <f>IFERROR(U21/W21,"")</f>
        <v/>
      </c>
      <c r="Y21" s="53" t="n">
        <v>2.5</v>
      </c>
      <c r="Z21" s="53" t="n">
        <v>2.5</v>
      </c>
      <c r="AA21" s="51">
        <f>IFERROR(IF(L21="từng phát",J21*N21,J21*P21/(P21/N21+R21)),"")</f>
        <v/>
      </c>
      <c r="AB21" s="51">
        <f>IFERROR(IF(M21="từng phát",K21*O21,K21*Q21/(Q21/O21+S21)),"")</f>
        <v/>
      </c>
      <c r="AC21" s="51">
        <f>IFERROR(AB21*VLOOKUP(E21,'Hệ số'!$A$2:$D$8,2,0)*IF((I21-0)&gt;=2,1.2,IF((I21-0)=1,1,IF((I21-0)=0,0.85,IF((I21-0)=-1,0.5,IF((I21-0)=-2,0.25,0.1))))),"")</f>
        <v/>
      </c>
      <c r="AD21" s="51">
        <f>IFERROR(AB21*VLOOKUP(E21,'Hệ số'!$A$2:$D$8,2,0)*IF((I21-1)&gt;=2,1.2,IF((I21-1)=1,1,IF((I21-1)=0,0.85,IF((I21-1)=-1,0.5,IF((I21-1)=-2,0.25,0.1))))),"")</f>
        <v/>
      </c>
      <c r="AE21" s="51">
        <f>IFERROR(AB21*VLOOKUP(E21,'Hệ số'!$A$2:$D$8,2,0)*IF((I21-2)&gt;=2,1.2,IF((I21-2)=1,1,IF((I21-2)=0,0.85,IF((I21-2)=-1,0.5,IF((I21-2)=-2,0.25,0.1))))),"")</f>
        <v/>
      </c>
      <c r="AF21" s="51">
        <f>IFERROR(AB21*VLOOKUP(E21,'Hệ số'!$A$2:$D$8,2,0)*IF((I21-3)&gt;=2,1.2,IF((I21-3)=1,1,IF((I21-3)=0,0.85,IF((I21-3)=-1,0.5,IF((I21-3)=-2,0.25,0.1))))),"")</f>
        <v/>
      </c>
      <c r="AG21" s="51">
        <f>IFERROR(AB21*VLOOKUP(E21,'Hệ số'!$A$2:$D$8,2,0)*IF((I21-4)&gt;=2,1.2,IF((I21-4)=1,1,IF((I21-4)=0,0.85,IF((I21-4)=-1,0.5,IF((I21-4)=-2,0.25,0.1))))),"")</f>
        <v/>
      </c>
      <c r="AH21" s="51">
        <f>IFERROR(AB21*VLOOKUP(E21,'Hệ số'!$A$2:$D$8,2,0)*IF((I21-5)&gt;=2,1.2,IF((I21-5)=1,1,IF((I21-5)=0,0.85,IF((I21-5)=-1,0.5,IF((I21-5)=-2,0.25,0.1))))),"")</f>
        <v/>
      </c>
      <c r="AI21" s="51">
        <f>IFERROR(AB21*VLOOKUP(E21,'Hệ số'!$A$2:$D$8,3,0),"")</f>
        <v/>
      </c>
      <c r="AJ21" s="51">
        <f>IFERROR(AB21*VLOOKUP(E21,'Hệ số'!$A$2:$D$8,4,0)*IF((I21-2)&gt;=2,1.2,IF((I21-2)=1,1,IF((I21-2)=0,0.85,IF((I21-2)=-1,0.5,IF((I21-2)=-2,0.25,0.1))))),"")</f>
        <v/>
      </c>
      <c r="AK21" s="41" t="inlineStr">
        <is>
          <t>Bắn loạt; đạn nổ trên không (Mảnh) mạnh với máy bay và drone, yếu với giáp; đạn xuyên (Động năng) mạnh với giáp 0–2.</t>
        </is>
      </c>
      <c r="AL21" s="41" t="inlineStr">
        <is>
          <t>Tự đổi: đạn xuyên (Động năng) với xe, đạn nổ trên không (Mảnh) với máy bay/drone.</t>
        </is>
      </c>
      <c r="AM21" s="41" t="inlineStr">
        <is>
          <t>Oerlikon 35 mm đôi: 1.100 phát/phút</t>
        </is>
      </c>
      <c r="AN21" s="41" t="inlineStr">
        <is>
          <t>Giữ.</t>
        </is>
      </c>
      <c r="AO21" s="41" t="n"/>
    </row>
    <row r="22" ht="21.75" customHeight="1" s="32">
      <c r="A22" s="39" t="inlineStr">
        <is>
          <t>boss_flamer</t>
        </is>
      </c>
      <c r="B22" s="39" t="inlineStr">
        <is>
          <t>flamethrower (heavy)</t>
        </is>
      </c>
      <c r="C22" s="39" t="inlineStr">
        <is>
          <t>Phun lửa</t>
        </is>
      </c>
      <c r="D22" s="39" t="inlineStr">
        <is>
          <t>Inferno</t>
        </is>
      </c>
      <c r="E22" s="39" t="inlineStr">
        <is>
          <t>Lửa</t>
        </is>
      </c>
      <c r="F22" s="39" t="inlineStr">
        <is>
          <t>Flame</t>
        </is>
      </c>
      <c r="G22" s="42" t="n">
        <v>3</v>
      </c>
      <c r="H22" s="42" t="n">
        <v>2</v>
      </c>
      <c r="I22" s="42" t="n">
        <v>2</v>
      </c>
      <c r="J22" s="42" t="n">
        <v>30</v>
      </c>
      <c r="K22" s="42" t="n">
        <v>30</v>
      </c>
      <c r="L22" s="39" t="inlineStr">
        <is>
          <t>từng phát</t>
        </is>
      </c>
      <c r="M22" s="39" t="inlineStr">
        <is>
          <t>từng phát</t>
        </is>
      </c>
      <c r="N22" s="42" t="n">
        <v>4</v>
      </c>
      <c r="O22" s="42" t="n">
        <v>4</v>
      </c>
      <c r="P22" s="42" t="n">
        <v>1</v>
      </c>
      <c r="Q22" s="42" t="n">
        <v>1</v>
      </c>
      <c r="R22" s="42" t="n">
        <v>0.25</v>
      </c>
      <c r="S22" s="42" t="n">
        <v>0.25</v>
      </c>
      <c r="T22" s="42" t="n">
        <v>20</v>
      </c>
      <c r="U22" s="42" t="n">
        <v>20</v>
      </c>
      <c r="V22" s="42" t="n">
        <v>38</v>
      </c>
      <c r="W22" s="42" t="n">
        <v>38</v>
      </c>
      <c r="X22" s="50">
        <f>IFERROR(U22/W22,"")</f>
        <v/>
      </c>
      <c r="Y22" s="52" t="n">
        <v>3.5</v>
      </c>
      <c r="Z22" s="52" t="n">
        <v>3.5</v>
      </c>
      <c r="AA22" s="50">
        <f>IFERROR(IF(L22="từng phát",J22*N22,J22*P22/(P22/N22+R22)),"")</f>
        <v/>
      </c>
      <c r="AB22" s="50">
        <f>IFERROR(IF(M22="từng phát",K22*O22,K22*Q22/(Q22/O22+S22)),"")</f>
        <v/>
      </c>
      <c r="AC22" s="50">
        <f>IFERROR(AB22*VLOOKUP(E22,'Hệ số'!$A$2:$D$8,2,0)*IF((I22-0)&gt;=2,1.2,IF((I22-0)=1,1,IF((I22-0)=0,0.85,IF((I22-0)=-1,0.5,IF((I22-0)=-2,0.25,0.1))))),"")</f>
        <v/>
      </c>
      <c r="AD22" s="50">
        <f>IFERROR(AB22*VLOOKUP(E22,'Hệ số'!$A$2:$D$8,2,0)*IF((I22-1)&gt;=2,1.2,IF((I22-1)=1,1,IF((I22-1)=0,0.85,IF((I22-1)=-1,0.5,IF((I22-1)=-2,0.25,0.1))))),"")</f>
        <v/>
      </c>
      <c r="AE22" s="50">
        <f>IFERROR(AB22*VLOOKUP(E22,'Hệ số'!$A$2:$D$8,2,0)*IF((I22-2)&gt;=2,1.2,IF((I22-2)=1,1,IF((I22-2)=0,0.85,IF((I22-2)=-1,0.5,IF((I22-2)=-2,0.25,0.1))))),"")</f>
        <v/>
      </c>
      <c r="AF22" s="50">
        <f>IFERROR(AB22*VLOOKUP(E22,'Hệ số'!$A$2:$D$8,2,0)*IF((I22-3)&gt;=2,1.2,IF((I22-3)=1,1,IF((I22-3)=0,0.85,IF((I22-3)=-1,0.5,IF((I22-3)=-2,0.25,0.1))))),"")</f>
        <v/>
      </c>
      <c r="AG22" s="50">
        <f>IFERROR(AB22*VLOOKUP(E22,'Hệ số'!$A$2:$D$8,2,0)*IF((I22-4)&gt;=2,1.2,IF((I22-4)=1,1,IF((I22-4)=0,0.85,IF((I22-4)=-1,0.5,IF((I22-4)=-2,0.25,0.1))))),"")</f>
        <v/>
      </c>
      <c r="AH22" s="50">
        <f>IFERROR(AB22*VLOOKUP(E22,'Hệ số'!$A$2:$D$8,2,0)*IF((I22-5)&gt;=2,1.2,IF((I22-5)=1,1,IF((I22-5)=0,0.85,IF((I22-5)=-1,0.5,IF((I22-5)=-2,0.25,0.1))))),"")</f>
        <v/>
      </c>
      <c r="AI22" s="50">
        <f>IFERROR(AB22*VLOOKUP(E22,'Hệ số'!$A$2:$D$8,3,0),"")</f>
        <v/>
      </c>
      <c r="AJ22" s="50">
        <f>IFERROR(AB22*VLOOKUP(E22,'Hệ số'!$A$2:$D$8,4,0)*IF((I22-2)&gt;=2,1.2,IF((I22-2)=1,1,IF((I22-2)=0,0.85,IF((I22-2)=-1,0.5,IF((I22-2)=-2,0.25,0.1))))),"")</f>
        <v/>
      </c>
      <c r="AK22" s="39" t="inlineStr">
        <is>
          <t>Tầm rất ngắn; gây cháy; không bị APS; mạnh với xe nhẹ và công trình có người.</t>
        </is>
      </c>
      <c r="AL22" s="39" t="n"/>
      <c r="AM22" s="39" t="inlineStr">
        <is>
          <t>phun lửa</t>
        </is>
      </c>
      <c r="AN22" s="39" t="inlineStr">
        <is>
          <t>Giữ.</t>
        </is>
      </c>
      <c r="AO22" s="39" t="n"/>
    </row>
    <row r="23" ht="32.25" customHeight="1" s="32">
      <c r="A23" s="41" t="inlineStr">
        <is>
          <t>boss_heli_gun</t>
        </is>
      </c>
      <c r="B23" s="41" t="inlineStr">
        <is>
          <t>M230 30 mm</t>
        </is>
      </c>
      <c r="C23" s="41" t="inlineStr">
        <is>
          <t>Pháo tự động / cao xạ 20–40 mm</t>
        </is>
      </c>
      <c r="D23" s="41" t="inlineStr">
        <is>
          <t>Harpy</t>
        </is>
      </c>
      <c r="E23" s="41" t="inlineStr">
        <is>
          <t>Động năng</t>
        </is>
      </c>
      <c r="F23" s="41" t="inlineStr">
        <is>
          <t>BeltedAutocannon</t>
        </is>
      </c>
      <c r="G23" s="43" t="n">
        <v>30</v>
      </c>
      <c r="H23" s="43" t="n">
        <v>2</v>
      </c>
      <c r="I23" s="43" t="n">
        <v>2</v>
      </c>
      <c r="J23" s="43" t="n">
        <v>22</v>
      </c>
      <c r="K23" s="43" t="n">
        <v>22</v>
      </c>
      <c r="L23" s="41" t="inlineStr">
        <is>
          <t>băng</t>
        </is>
      </c>
      <c r="M23" s="41" t="inlineStr">
        <is>
          <t>băng</t>
        </is>
      </c>
      <c r="N23" s="43" t="n">
        <v>10</v>
      </c>
      <c r="O23" s="43" t="n">
        <v>6</v>
      </c>
      <c r="P23" s="43" t="n">
        <v>13</v>
      </c>
      <c r="Q23" s="43" t="n">
        <v>40</v>
      </c>
      <c r="R23" s="43" t="n">
        <v>5.36</v>
      </c>
      <c r="S23" s="43" t="n">
        <v>3</v>
      </c>
      <c r="T23" s="43" t="n">
        <v>26</v>
      </c>
      <c r="U23" s="43" t="n">
        <v>26</v>
      </c>
      <c r="V23" s="43" t="n">
        <v>220</v>
      </c>
      <c r="W23" s="43" t="n">
        <v>220</v>
      </c>
      <c r="X23" s="51">
        <f>IFERROR(U23/W23,"")</f>
        <v/>
      </c>
      <c r="Y23" s="51" t="n"/>
      <c r="Z23" s="51" t="n"/>
      <c r="AA23" s="51">
        <f>IFERROR(IF(L23="từng phát",J23*N23,J23*P23/(P23/N23+R23)),"")</f>
        <v/>
      </c>
      <c r="AB23" s="51">
        <f>IFERROR(IF(M23="từng phát",K23*O23,K23*Q23/(Q23/O23+S23)),"")</f>
        <v/>
      </c>
      <c r="AC23" s="51">
        <f>IFERROR(AB23*VLOOKUP(E23,'Hệ số'!$A$2:$D$8,2,0)*IF((I23-0)&gt;=2,1.2,IF((I23-0)=1,1,IF((I23-0)=0,0.85,IF((I23-0)=-1,0.5,IF((I23-0)=-2,0.25,0.1))))),"")</f>
        <v/>
      </c>
      <c r="AD23" s="51">
        <f>IFERROR(AB23*VLOOKUP(E23,'Hệ số'!$A$2:$D$8,2,0)*IF((I23-1)&gt;=2,1.2,IF((I23-1)=1,1,IF((I23-1)=0,0.85,IF((I23-1)=-1,0.5,IF((I23-1)=-2,0.25,0.1))))),"")</f>
        <v/>
      </c>
      <c r="AE23" s="51">
        <f>IFERROR(AB23*VLOOKUP(E23,'Hệ số'!$A$2:$D$8,2,0)*IF((I23-2)&gt;=2,1.2,IF((I23-2)=1,1,IF((I23-2)=0,0.85,IF((I23-2)=-1,0.5,IF((I23-2)=-2,0.25,0.1))))),"")</f>
        <v/>
      </c>
      <c r="AF23" s="51">
        <f>IFERROR(AB23*VLOOKUP(E23,'Hệ số'!$A$2:$D$8,2,0)*IF((I23-3)&gt;=2,1.2,IF((I23-3)=1,1,IF((I23-3)=0,0.85,IF((I23-3)=-1,0.5,IF((I23-3)=-2,0.25,0.1))))),"")</f>
        <v/>
      </c>
      <c r="AG23" s="51">
        <f>IFERROR(AB23*VLOOKUP(E23,'Hệ số'!$A$2:$D$8,2,0)*IF((I23-4)&gt;=2,1.2,IF((I23-4)=1,1,IF((I23-4)=0,0.85,IF((I23-4)=-1,0.5,IF((I23-4)=-2,0.25,0.1))))),"")</f>
        <v/>
      </c>
      <c r="AH23" s="51">
        <f>IFERROR(AB23*VLOOKUP(E23,'Hệ số'!$A$2:$D$8,2,0)*IF((I23-5)&gt;=2,1.2,IF((I23-5)=1,1,IF((I23-5)=0,0.85,IF((I23-5)=-1,0.5,IF((I23-5)=-2,0.25,0.1))))),"")</f>
        <v/>
      </c>
      <c r="AI23" s="51">
        <f>IFERROR(AB23*VLOOKUP(E23,'Hệ số'!$A$2:$D$8,3,0),"")</f>
        <v/>
      </c>
      <c r="AJ23" s="51">
        <f>IFERROR(AB23*VLOOKUP(E23,'Hệ số'!$A$2:$D$8,4,0)*IF((I23-2)&gt;=2,1.2,IF((I23-2)=1,1,IF((I23-2)=0,0.85,IF((I23-2)=-1,0.5,IF((I23-2)=-2,0.25,0.1))))),"")</f>
        <v/>
      </c>
      <c r="AK23" s="41" t="inlineStr">
        <is>
          <t>Bắn loạt; đạn nổ trên không (Mảnh) mạnh với máy bay và drone, yếu với giáp; đạn xuyên (Động năng) mạnh với giáp 0–2.</t>
        </is>
      </c>
      <c r="AL23" s="41" t="inlineStr">
        <is>
          <t>Tự đổi: đạn xuyên (Động năng) với xe, đạn nổ trên không (Mảnh) với máy bay/drone.</t>
        </is>
      </c>
      <c r="AM23" s="41" t="inlineStr">
        <is>
          <t>M230: 625</t>
        </is>
      </c>
      <c r="AN23" s="41" t="inlineStr">
        <is>
          <t>Như M230.</t>
        </is>
      </c>
      <c r="AO23" s="48" t="inlineStr">
        <is>
          <t>Trung</t>
        </is>
      </c>
    </row>
    <row r="24" ht="21.75" customHeight="1" s="32">
      <c r="A24" s="39" t="inlineStr">
        <is>
          <t>boss_hmg</t>
        </is>
      </c>
      <c r="B24" s="39" t="inlineStr">
        <is>
          <t>NSV 12.7 mm</t>
        </is>
      </c>
      <c r="C24" s="39" t="inlineStr">
        <is>
          <t>Súng máy 12,7 mm</t>
        </is>
      </c>
      <c r="D24" s="39" t="inlineStr">
        <is>
          <t>Atlas, Juggernaut</t>
        </is>
      </c>
      <c r="E24" s="39" t="inlineStr">
        <is>
          <t>Động năng</t>
        </is>
      </c>
      <c r="F24" s="39" t="inlineStr">
        <is>
          <t>BulletBig</t>
        </is>
      </c>
      <c r="G24" s="42" t="n">
        <v>12.7</v>
      </c>
      <c r="H24" s="42" t="n">
        <v>1</v>
      </c>
      <c r="I24" s="42" t="n">
        <v>1</v>
      </c>
      <c r="J24" s="42" t="n">
        <v>9.5</v>
      </c>
      <c r="K24" s="42" t="n">
        <v>9.5</v>
      </c>
      <c r="L24" s="39" t="inlineStr">
        <is>
          <t>băng</t>
        </is>
      </c>
      <c r="M24" s="39" t="inlineStr">
        <is>
          <t>băng</t>
        </is>
      </c>
      <c r="N24" s="42" t="n">
        <v>12</v>
      </c>
      <c r="O24" s="42" t="n">
        <v>12</v>
      </c>
      <c r="P24" s="42" t="n">
        <v>10</v>
      </c>
      <c r="Q24" s="42" t="n">
        <v>100</v>
      </c>
      <c r="R24" s="42" t="n">
        <v>5.78</v>
      </c>
      <c r="S24" s="42" t="n">
        <v>5</v>
      </c>
      <c r="T24" s="42" t="n">
        <v>30</v>
      </c>
      <c r="U24" s="42" t="n">
        <v>30</v>
      </c>
      <c r="V24" s="42" t="n">
        <v>230</v>
      </c>
      <c r="W24" s="42" t="n">
        <v>230</v>
      </c>
      <c r="X24" s="50">
        <f>IFERROR(U24/W24,"")</f>
        <v/>
      </c>
      <c r="Y24" s="50" t="n"/>
      <c r="Z24" s="50" t="n"/>
      <c r="AA24" s="50">
        <f>IFERROR(IF(L24="từng phát",J24*N24,J24*P24/(P24/N24+R24)),"")</f>
        <v/>
      </c>
      <c r="AB24" s="50">
        <f>IFERROR(IF(M24="từng phát",K24*O24,K24*Q24/(Q24/O24+S24)),"")</f>
        <v/>
      </c>
      <c r="AC24" s="50">
        <f>IFERROR(AB24*VLOOKUP(E24,'Hệ số'!$A$2:$D$8,2,0)*IF((I24-0)&gt;=2,1.2,IF((I24-0)=1,1,IF((I24-0)=0,0.85,IF((I24-0)=-1,0.5,IF((I24-0)=-2,0.25,0.1))))),"")</f>
        <v/>
      </c>
      <c r="AD24" s="50">
        <f>IFERROR(AB24*VLOOKUP(E24,'Hệ số'!$A$2:$D$8,2,0)*IF((I24-1)&gt;=2,1.2,IF((I24-1)=1,1,IF((I24-1)=0,0.85,IF((I24-1)=-1,0.5,IF((I24-1)=-2,0.25,0.1))))),"")</f>
        <v/>
      </c>
      <c r="AE24" s="50">
        <f>IFERROR(AB24*VLOOKUP(E24,'Hệ số'!$A$2:$D$8,2,0)*IF((I24-2)&gt;=2,1.2,IF((I24-2)=1,1,IF((I24-2)=0,0.85,IF((I24-2)=-1,0.5,IF((I24-2)=-2,0.25,0.1))))),"")</f>
        <v/>
      </c>
      <c r="AF24" s="50">
        <f>IFERROR(AB24*VLOOKUP(E24,'Hệ số'!$A$2:$D$8,2,0)*IF((I24-3)&gt;=2,1.2,IF((I24-3)=1,1,IF((I24-3)=0,0.85,IF((I24-3)=-1,0.5,IF((I24-3)=-2,0.25,0.1))))),"")</f>
        <v/>
      </c>
      <c r="AG24" s="50">
        <f>IFERROR(AB24*VLOOKUP(E24,'Hệ số'!$A$2:$D$8,2,0)*IF((I24-4)&gt;=2,1.2,IF((I24-4)=1,1,IF((I24-4)=0,0.85,IF((I24-4)=-1,0.5,IF((I24-4)=-2,0.25,0.1))))),"")</f>
        <v/>
      </c>
      <c r="AH24" s="50">
        <f>IFERROR(AB24*VLOOKUP(E24,'Hệ số'!$A$2:$D$8,2,0)*IF((I24-5)&gt;=2,1.2,IF((I24-5)=1,1,IF((I24-5)=0,0.85,IF((I24-5)=-1,0.5,IF((I24-5)=-2,0.25,0.1))))),"")</f>
        <v/>
      </c>
      <c r="AI24" s="50">
        <f>IFERROR(AB24*VLOOKUP(E24,'Hệ số'!$A$2:$D$8,3,0),"")</f>
        <v/>
      </c>
      <c r="AJ24" s="50">
        <f>IFERROR(AB24*VLOOKUP(E24,'Hệ số'!$A$2:$D$8,4,0)*IF((I24-2)&gt;=2,1.2,IF((I24-2)=1,1,IF((I24-2)=0,0.85,IF((I24-2)=-1,0.5,IF((I24-2)=-2,0.25,0.1))))),"")</f>
        <v/>
      </c>
      <c r="AK24" s="39" t="inlineStr">
        <is>
          <t>Bắn cả khi chạy; mạnh với xe không giáp, drone, trực thăng; nảy khỏi giáp từ cấp 2.</t>
        </is>
      </c>
      <c r="AL24" s="39" t="inlineStr">
        <is>
          <t>Đạn xuyên API (xuyên 2) cho bản tinh nhuệ.</t>
        </is>
      </c>
      <c r="AM24" s="39" t="inlineStr">
        <is>
          <t>NSV: 700–800</t>
        </is>
      </c>
      <c r="AN24" s="39" t="inlineStr">
        <is>
          <t>Như NSV.</t>
        </is>
      </c>
      <c r="AO24" s="48" t="inlineStr">
        <is>
          <t>Trung</t>
        </is>
      </c>
    </row>
    <row r="25" ht="32.25" customHeight="1" s="32">
      <c r="A25" s="41" t="inlineStr">
        <is>
          <t>boss_howitzer</t>
        </is>
      </c>
      <c r="B25" s="41" t="inlineStr">
        <is>
          <t>2A44 203 mm</t>
        </is>
      </c>
      <c r="C25" s="41" t="inlineStr">
        <is>
          <t>Đạn pháo nổ mạnh</t>
        </is>
      </c>
      <c r="D25" s="41" t="inlineStr">
        <is>
          <t>Jötunn</t>
        </is>
      </c>
      <c r="E25" s="41" t="inlineStr">
        <is>
          <t>Nổ mạnh</t>
        </is>
      </c>
      <c r="F25" s="41" t="inlineStr">
        <is>
          <t>HeShell</t>
        </is>
      </c>
      <c r="G25" s="43" t="n">
        <v>203</v>
      </c>
      <c r="H25" s="43" t="n">
        <v>4</v>
      </c>
      <c r="I25" s="43" t="n">
        <v>4</v>
      </c>
      <c r="J25" s="43" t="n">
        <v>420</v>
      </c>
      <c r="K25" s="43" t="n">
        <v>420</v>
      </c>
      <c r="L25" s="41" t="inlineStr">
        <is>
          <t>từng phát</t>
        </is>
      </c>
      <c r="M25" s="41" t="inlineStr">
        <is>
          <t>từng phát</t>
        </is>
      </c>
      <c r="N25" s="43" t="n">
        <v>0.105932203389831</v>
      </c>
      <c r="O25" s="43" t="n">
        <v>0.105932203389831</v>
      </c>
      <c r="P25" s="43" t="n">
        <v>1</v>
      </c>
      <c r="Q25" s="43" t="n">
        <v>1</v>
      </c>
      <c r="R25" s="43" t="n">
        <v>9.44</v>
      </c>
      <c r="S25" s="43" t="n">
        <v>9.44</v>
      </c>
      <c r="T25" s="43" t="n">
        <v>60</v>
      </c>
      <c r="U25" s="43" t="n">
        <v>60</v>
      </c>
      <c r="V25" s="43" t="n">
        <v>60</v>
      </c>
      <c r="W25" s="43" t="n">
        <v>60</v>
      </c>
      <c r="X25" s="51">
        <f>IFERROR(U25/W25,"")</f>
        <v/>
      </c>
      <c r="Y25" s="53" t="n">
        <v>9</v>
      </c>
      <c r="Z25" s="53" t="n">
        <v>8</v>
      </c>
      <c r="AA25" s="51">
        <f>IFERROR(IF(L25="từng phát",J25*N25,J25*P25/(P25/N25+R25)),"")</f>
        <v/>
      </c>
      <c r="AB25" s="51">
        <f>IFERROR(IF(M25="từng phát",K25*O25,K25*Q25/(Q25/O25+S25)),"")</f>
        <v/>
      </c>
      <c r="AC25" s="51">
        <f>IFERROR(AB25*VLOOKUP(E25,'Hệ số'!$A$2:$D$8,2,0)*IF((I25-0)&gt;=2,1.2,IF((I25-0)=1,1,IF((I25-0)=0,0.85,IF((I25-0)=-1,0.5,IF((I25-0)=-2,0.25,0.1))))),"")</f>
        <v/>
      </c>
      <c r="AD25" s="51">
        <f>IFERROR(AB25*VLOOKUP(E25,'Hệ số'!$A$2:$D$8,2,0)*IF((I25-1)&gt;=2,1.2,IF((I25-1)=1,1,IF((I25-1)=0,0.85,IF((I25-1)=-1,0.5,IF((I25-1)=-2,0.25,0.1))))),"")</f>
        <v/>
      </c>
      <c r="AE25" s="51">
        <f>IFERROR(AB25*VLOOKUP(E25,'Hệ số'!$A$2:$D$8,2,0)*IF((I25-2)&gt;=2,1.2,IF((I25-2)=1,1,IF((I25-2)=0,0.85,IF((I25-2)=-1,0.5,IF((I25-2)=-2,0.25,0.1))))),"")</f>
        <v/>
      </c>
      <c r="AF25" s="51">
        <f>IFERROR(AB25*VLOOKUP(E25,'Hệ số'!$A$2:$D$8,2,0)*IF((I25-3)&gt;=2,1.2,IF((I25-3)=1,1,IF((I25-3)=0,0.85,IF((I25-3)=-1,0.5,IF((I25-3)=-2,0.25,0.1))))),"")</f>
        <v/>
      </c>
      <c r="AG25" s="51">
        <f>IFERROR(AB25*VLOOKUP(E25,'Hệ số'!$A$2:$D$8,2,0)*IF((I25-4)&gt;=2,1.2,IF((I25-4)=1,1,IF((I25-4)=0,0.85,IF((I25-4)=-1,0.5,IF((I25-4)=-2,0.25,0.1))))),"")</f>
        <v/>
      </c>
      <c r="AH25" s="51">
        <f>IFERROR(AB25*VLOOKUP(E25,'Hệ số'!$A$2:$D$8,2,0)*IF((I25-5)&gt;=2,1.2,IF((I25-5)=1,1,IF((I25-5)=0,0.85,IF((I25-5)=-1,0.5,IF((I25-5)=-2,0.25,0.1))))),"")</f>
        <v/>
      </c>
      <c r="AI25" s="51">
        <f>IFERROR(AB25*VLOOKUP(E25,'Hệ số'!$A$2:$D$8,3,0),"")</f>
        <v/>
      </c>
      <c r="AJ25" s="51">
        <f>IFERROR(AB25*VLOOKUP(E25,'Hệ số'!$A$2:$D$8,4,0)*IF((I25-2)&gt;=2,1.2,IF((I25-2)=1,1,IF((I25-2)=0,0.85,IF((I25-2)=-1,0.5,IF((I25-2)=-2,0.25,0.1))))),"")</f>
        <v/>
      </c>
      <c r="AK25" s="41" t="inlineStr">
        <is>
          <t>Bắn cầu vồng hoặc bắn thẳng tùy pháo; nổ lan; C-RAM chặn được một phần; mạnh với công trình (×1,5).</t>
        </is>
      </c>
      <c r="AL25" s="41" t="inlineStr">
        <is>
          <t>Thêm đạn dẫn đường (Excalibur/Krasnopol: 1 phát, không tản mát) cho nhánh hạng 7 hoặc thẻ hỗ trợ.</t>
        </is>
      </c>
      <c r="AM25" s="41" t="inlineStr">
        <is>
          <t>2A44 203 mm (2S7): 1,5–2,5 phát/phút</t>
        </is>
      </c>
      <c r="AN25" s="41" t="inlineStr">
        <is>
          <t>Thống nhất 203 mm.</t>
        </is>
      </c>
      <c r="AO25" s="48" t="inlineStr">
        <is>
          <t>Trung</t>
        </is>
      </c>
    </row>
    <row r="26" ht="21.75" customHeight="1" s="32">
      <c r="A26" s="39" t="inlineStr">
        <is>
          <t>boss_minigun</t>
        </is>
      </c>
      <c r="B26" s="39" t="inlineStr">
        <is>
          <t>GShG 7.62 mm</t>
        </is>
      </c>
      <c r="C26" s="39" t="inlineStr">
        <is>
          <t>Súng máy 7,62 mm</t>
        </is>
      </c>
      <c r="D26" s="39" t="inlineStr">
        <is>
          <t>Harpy</t>
        </is>
      </c>
      <c r="E26" s="39" t="inlineStr">
        <is>
          <t>Động năng</t>
        </is>
      </c>
      <c r="F26" s="39" t="inlineStr">
        <is>
          <t>BulletSmall</t>
        </is>
      </c>
      <c r="G26" s="42" t="n">
        <v>7.6</v>
      </c>
      <c r="H26" s="42" t="n">
        <v>0</v>
      </c>
      <c r="I26" s="42" t="n">
        <v>0</v>
      </c>
      <c r="J26" s="42" t="n">
        <v>5.5</v>
      </c>
      <c r="K26" s="42" t="n">
        <v>5.5</v>
      </c>
      <c r="L26" s="39" t="inlineStr">
        <is>
          <t>băng</t>
        </is>
      </c>
      <c r="M26" s="39" t="inlineStr">
        <is>
          <t>băng</t>
        </is>
      </c>
      <c r="N26" s="42" t="n">
        <v>58</v>
      </c>
      <c r="O26" s="42" t="n">
        <v>58</v>
      </c>
      <c r="P26" s="42" t="n">
        <v>40</v>
      </c>
      <c r="Q26" s="42" t="n">
        <v>40</v>
      </c>
      <c r="R26" s="42" t="n">
        <v>6.09</v>
      </c>
      <c r="S26" s="42" t="n">
        <v>6.09</v>
      </c>
      <c r="T26" s="42" t="n">
        <v>24</v>
      </c>
      <c r="U26" s="42" t="n">
        <v>24</v>
      </c>
      <c r="V26" s="42" t="n">
        <v>240</v>
      </c>
      <c r="W26" s="42" t="n">
        <v>240</v>
      </c>
      <c r="X26" s="50">
        <f>IFERROR(U26/W26,"")</f>
        <v/>
      </c>
      <c r="Y26" s="50" t="n"/>
      <c r="Z26" s="50" t="n"/>
      <c r="AA26" s="50">
        <f>IFERROR(IF(L26="từng phát",J26*N26,J26*P26/(P26/N26+R26)),"")</f>
        <v/>
      </c>
      <c r="AB26" s="50">
        <f>IFERROR(IF(M26="từng phát",K26*O26,K26*Q26/(Q26/O26+S26)),"")</f>
        <v/>
      </c>
      <c r="AC26" s="50">
        <f>IFERROR(AB26*VLOOKUP(E26,'Hệ số'!$A$2:$D$8,2,0)*IF((I26-0)&gt;=2,1.2,IF((I26-0)=1,1,IF((I26-0)=0,0.85,IF((I26-0)=-1,0.5,IF((I26-0)=-2,0.25,0.1))))),"")</f>
        <v/>
      </c>
      <c r="AD26" s="50">
        <f>IFERROR(AB26*VLOOKUP(E26,'Hệ số'!$A$2:$D$8,2,0)*IF((I26-1)&gt;=2,1.2,IF((I26-1)=1,1,IF((I26-1)=0,0.85,IF((I26-1)=-1,0.5,IF((I26-1)=-2,0.25,0.1))))),"")</f>
        <v/>
      </c>
      <c r="AE26" s="50">
        <f>IFERROR(AB26*VLOOKUP(E26,'Hệ số'!$A$2:$D$8,2,0)*IF((I26-2)&gt;=2,1.2,IF((I26-2)=1,1,IF((I26-2)=0,0.85,IF((I26-2)=-1,0.5,IF((I26-2)=-2,0.25,0.1))))),"")</f>
        <v/>
      </c>
      <c r="AF26" s="50">
        <f>IFERROR(AB26*VLOOKUP(E26,'Hệ số'!$A$2:$D$8,2,0)*IF((I26-3)&gt;=2,1.2,IF((I26-3)=1,1,IF((I26-3)=0,0.85,IF((I26-3)=-1,0.5,IF((I26-3)=-2,0.25,0.1))))),"")</f>
        <v/>
      </c>
      <c r="AG26" s="50">
        <f>IFERROR(AB26*VLOOKUP(E26,'Hệ số'!$A$2:$D$8,2,0)*IF((I26-4)&gt;=2,1.2,IF((I26-4)=1,1,IF((I26-4)=0,0.85,IF((I26-4)=-1,0.5,IF((I26-4)=-2,0.25,0.1))))),"")</f>
        <v/>
      </c>
      <c r="AH26" s="50">
        <f>IFERROR(AB26*VLOOKUP(E26,'Hệ số'!$A$2:$D$8,2,0)*IF((I26-5)&gt;=2,1.2,IF((I26-5)=1,1,IF((I26-5)=0,0.85,IF((I26-5)=-1,0.5,IF((I26-5)=-2,0.25,0.1))))),"")</f>
        <v/>
      </c>
      <c r="AI26" s="50">
        <f>IFERROR(AB26*VLOOKUP(E26,'Hệ số'!$A$2:$D$8,3,0),"")</f>
        <v/>
      </c>
      <c r="AJ26" s="50">
        <f>IFERROR(AB26*VLOOKUP(E26,'Hệ số'!$A$2:$D$8,4,0)*IF((I26-2)&gt;=2,1.2,IF((I26-2)=1,1,IF((I26-2)=0,0.85,IF((I26-2)=-1,0.5,IF((I26-2)=-2,0.25,0.1))))),"")</f>
        <v/>
      </c>
      <c r="AK26" s="39" t="inlineStr">
        <is>
          <t>Bắn cả khi chạy; bắn cả mục tiêu bay thấp; đạn nảy khỏi giáp từ cấp 1.</t>
        </is>
      </c>
      <c r="AL26" s="39" t="n"/>
      <c r="AM26" s="39" t="inlineStr">
        <is>
          <t>GShG: ~6.000</t>
        </is>
      </c>
      <c r="AN26" s="39" t="inlineStr">
        <is>
          <t>Giữ.</t>
        </is>
      </c>
      <c r="AO26" s="39" t="n"/>
    </row>
    <row r="27" ht="21.75" customHeight="1" s="32">
      <c r="A27" s="41" t="inlineStr">
        <is>
          <t>boss_missiles</t>
        </is>
      </c>
      <c r="B27" s="41" t="inlineStr">
        <is>
          <t>9M133 Kornet</t>
        </is>
      </c>
      <c r="C27" s="41" t="inlineStr">
        <is>
          <t>Tên lửa chống tăng / không đối đất</t>
        </is>
      </c>
      <c r="D27" s="41" t="inlineStr">
        <is>
          <t>Behemoth, Behemoth của</t>
        </is>
      </c>
      <c r="E27" s="41" t="inlineStr">
        <is>
          <t>Nổ lõm</t>
        </is>
      </c>
      <c r="F27" s="41" t="inlineStr">
        <is>
          <t>Atgm</t>
        </is>
      </c>
      <c r="G27" s="43" t="n">
        <v>29</v>
      </c>
      <c r="H27" s="43" t="n">
        <v>4</v>
      </c>
      <c r="I27" s="43" t="n">
        <v>4</v>
      </c>
      <c r="J27" s="43" t="n">
        <v>230</v>
      </c>
      <c r="K27" s="43" t="n">
        <v>230</v>
      </c>
      <c r="L27" s="41" t="inlineStr">
        <is>
          <t>từng phát</t>
        </is>
      </c>
      <c r="M27" s="41" t="inlineStr">
        <is>
          <t>từng phát</t>
        </is>
      </c>
      <c r="N27" s="43" t="n">
        <v>0.156494522691706</v>
      </c>
      <c r="O27" s="43" t="n">
        <v>0.156494522691706</v>
      </c>
      <c r="P27" s="43" t="n">
        <v>1</v>
      </c>
      <c r="Q27" s="43" t="n">
        <v>1</v>
      </c>
      <c r="R27" s="43" t="n">
        <v>6.39</v>
      </c>
      <c r="S27" s="43" t="n">
        <v>6.39</v>
      </c>
      <c r="T27" s="43" t="n">
        <v>45</v>
      </c>
      <c r="U27" s="43" t="n">
        <v>45</v>
      </c>
      <c r="V27" s="43" t="n">
        <v>19</v>
      </c>
      <c r="W27" s="43" t="n">
        <v>22</v>
      </c>
      <c r="X27" s="51">
        <f>IFERROR(U27/W27,"")</f>
        <v/>
      </c>
      <c r="Y27" s="51" t="n"/>
      <c r="Z27" s="51" t="n"/>
      <c r="AA27" s="51">
        <f>IFERROR(IF(L27="từng phát",J27*N27,J27*P27/(P27/N27+R27)),"")</f>
        <v/>
      </c>
      <c r="AB27" s="51">
        <f>IFERROR(IF(M27="từng phát",K27*O27,K27*Q27/(Q27/O27+S27)),"")</f>
        <v/>
      </c>
      <c r="AC27" s="51">
        <f>IFERROR(AB27*VLOOKUP(E27,'Hệ số'!$A$2:$D$8,2,0)*IF((I27-0)&gt;=2,1.2,IF((I27-0)=1,1,IF((I27-0)=0,0.85,IF((I27-0)=-1,0.5,IF((I27-0)=-2,0.25,0.1))))),"")</f>
        <v/>
      </c>
      <c r="AD27" s="51">
        <f>IFERROR(AB27*VLOOKUP(E27,'Hệ số'!$A$2:$D$8,2,0)*IF((I27-1)&gt;=2,1.2,IF((I27-1)=1,1,IF((I27-1)=0,0.85,IF((I27-1)=-1,0.5,IF((I27-1)=-2,0.25,0.1))))),"")</f>
        <v/>
      </c>
      <c r="AE27" s="51">
        <f>IFERROR(AB27*VLOOKUP(E27,'Hệ số'!$A$2:$D$8,2,0)*IF((I27-2)&gt;=2,1.2,IF((I27-2)=1,1,IF((I27-2)=0,0.85,IF((I27-2)=-1,0.5,IF((I27-2)=-2,0.25,0.1))))),"")</f>
        <v/>
      </c>
      <c r="AF27" s="51">
        <f>IFERROR(AB27*VLOOKUP(E27,'Hệ số'!$A$2:$D$8,2,0)*IF((I27-3)&gt;=2,1.2,IF((I27-3)=1,1,IF((I27-3)=0,0.85,IF((I27-3)=-1,0.5,IF((I27-3)=-2,0.25,0.1))))),"")</f>
        <v/>
      </c>
      <c r="AG27" s="51">
        <f>IFERROR(AB27*VLOOKUP(E27,'Hệ số'!$A$2:$D$8,2,0)*IF((I27-4)&gt;=2,1.2,IF((I27-4)=1,1,IF((I27-4)=0,0.85,IF((I27-4)=-1,0.5,IF((I27-4)=-2,0.25,0.1))))),"")</f>
        <v/>
      </c>
      <c r="AH27" s="51">
        <f>IFERROR(AB27*VLOOKUP(E27,'Hệ số'!$A$2:$D$8,2,0)*IF((I27-5)&gt;=2,1.2,IF((I27-5)=1,1,IF((I27-5)=0,0.85,IF((I27-5)=-1,0.5,IF((I27-5)=-2,0.25,0.1))))),"")</f>
        <v/>
      </c>
      <c r="AI27" s="51">
        <f>IFERROR(AB27*VLOOKUP(E27,'Hệ số'!$A$2:$D$8,3,0),"")</f>
        <v/>
      </c>
      <c r="AJ27" s="51">
        <f>IFERROR(AB27*VLOOKUP(E27,'Hệ số'!$A$2:$D$8,4,0)*IF((I27-2)&gt;=2,1.2,IF((I27-2)=1,1,IF((I27-2)=0,0.85,IF((I27-2)=-1,0.5,IF((I27-2)=-2,0.25,0.1))))),"")</f>
        <v/>
      </c>
      <c r="AK27" s="41" t="inlineStr">
        <is>
          <t>Dẫn đường; bị APS và giáp phản ứng nổ giảm (đầu nổ lõm); bay chậm nên né và khói có tác dụng.</t>
        </is>
      </c>
      <c r="AL27" s="41" t="n"/>
      <c r="AM27" s="41" t="inlineStr">
        <is>
          <t>Kornet</t>
        </is>
      </c>
      <c r="AN27" s="41" t="inlineStr">
        <is>
          <t>Tốc độ bay 19→22 m/s: Thống nhất tốc độ Kornet ở mọi đơn vị (22 m/s).</t>
        </is>
      </c>
      <c r="AO27" s="48" t="inlineStr">
        <is>
          <t>Trung</t>
        </is>
      </c>
    </row>
    <row r="28" ht="21.75" customHeight="1" s="32">
      <c r="A28" s="39" t="inlineStr">
        <is>
          <t>boss_mortar</t>
        </is>
      </c>
      <c r="B28" s="39" t="inlineStr">
        <is>
          <t>2B8 240 mm</t>
        </is>
      </c>
      <c r="C28" s="39" t="inlineStr">
        <is>
          <t>Đạn cối</t>
        </is>
      </c>
      <c r="D28" s="39" t="inlineStr">
        <is>
          <t>Bastion, Bastion Mk.0</t>
        </is>
      </c>
      <c r="E28" s="39" t="inlineStr">
        <is>
          <t>Nổ mạnh</t>
        </is>
      </c>
      <c r="F28" s="39" t="inlineStr">
        <is>
          <t>MortarBomb</t>
        </is>
      </c>
      <c r="G28" s="42" t="n">
        <v>240</v>
      </c>
      <c r="H28" s="42" t="n">
        <v>4</v>
      </c>
      <c r="I28" s="42" t="n">
        <v>4</v>
      </c>
      <c r="J28" s="42" t="n">
        <v>450</v>
      </c>
      <c r="K28" s="42" t="n">
        <v>450</v>
      </c>
      <c r="L28" s="39" t="inlineStr">
        <is>
          <t>từng phát</t>
        </is>
      </c>
      <c r="M28" s="39" t="inlineStr">
        <is>
          <t>từng phát</t>
        </is>
      </c>
      <c r="N28" s="42" t="n">
        <v>0.1</v>
      </c>
      <c r="O28" s="42" t="n">
        <v>0.1</v>
      </c>
      <c r="P28" s="42" t="n">
        <v>1</v>
      </c>
      <c r="Q28" s="42" t="n">
        <v>1</v>
      </c>
      <c r="R28" s="42" t="n">
        <v>10</v>
      </c>
      <c r="S28" s="42" t="n">
        <v>10</v>
      </c>
      <c r="T28" s="42" t="n">
        <v>80</v>
      </c>
      <c r="U28" s="42" t="n">
        <v>80</v>
      </c>
      <c r="V28" s="42" t="n">
        <v>36</v>
      </c>
      <c r="W28" s="42" t="n">
        <v>36</v>
      </c>
      <c r="X28" s="50">
        <f>IFERROR(U28/W28,"")</f>
        <v/>
      </c>
      <c r="Y28" s="52" t="n">
        <v>9</v>
      </c>
      <c r="Z28" s="52" t="n">
        <v>9</v>
      </c>
      <c r="AA28" s="50">
        <f>IFERROR(IF(L28="từng phát",J28*N28,J28*P28/(P28/N28+R28)),"")</f>
        <v/>
      </c>
      <c r="AB28" s="50">
        <f>IFERROR(IF(M28="từng phát",K28*O28,K28*Q28/(Q28/O28+S28)),"")</f>
        <v/>
      </c>
      <c r="AC28" s="50">
        <f>IFERROR(AB28*VLOOKUP(E28,'Hệ số'!$A$2:$D$8,2,0)*IF((I28-0)&gt;=2,1.2,IF((I28-0)=1,1,IF((I28-0)=0,0.85,IF((I28-0)=-1,0.5,IF((I28-0)=-2,0.25,0.1))))),"")</f>
        <v/>
      </c>
      <c r="AD28" s="50">
        <f>IFERROR(AB28*VLOOKUP(E28,'Hệ số'!$A$2:$D$8,2,0)*IF((I28-1)&gt;=2,1.2,IF((I28-1)=1,1,IF((I28-1)=0,0.85,IF((I28-1)=-1,0.5,IF((I28-1)=-2,0.25,0.1))))),"")</f>
        <v/>
      </c>
      <c r="AE28" s="50">
        <f>IFERROR(AB28*VLOOKUP(E28,'Hệ số'!$A$2:$D$8,2,0)*IF((I28-2)&gt;=2,1.2,IF((I28-2)=1,1,IF((I28-2)=0,0.85,IF((I28-2)=-1,0.5,IF((I28-2)=-2,0.25,0.1))))),"")</f>
        <v/>
      </c>
      <c r="AF28" s="50">
        <f>IFERROR(AB28*VLOOKUP(E28,'Hệ số'!$A$2:$D$8,2,0)*IF((I28-3)&gt;=2,1.2,IF((I28-3)=1,1,IF((I28-3)=0,0.85,IF((I28-3)=-1,0.5,IF((I28-3)=-2,0.25,0.1))))),"")</f>
        <v/>
      </c>
      <c r="AG28" s="50">
        <f>IFERROR(AB28*VLOOKUP(E28,'Hệ số'!$A$2:$D$8,2,0)*IF((I28-4)&gt;=2,1.2,IF((I28-4)=1,1,IF((I28-4)=0,0.85,IF((I28-4)=-1,0.5,IF((I28-4)=-2,0.25,0.1))))),"")</f>
        <v/>
      </c>
      <c r="AH28" s="50">
        <f>IFERROR(AB28*VLOOKUP(E28,'Hệ số'!$A$2:$D$8,2,0)*IF((I28-5)&gt;=2,1.2,IF((I28-5)=1,1,IF((I28-5)=0,0.85,IF((I28-5)=-1,0.5,IF((I28-5)=-2,0.25,0.1))))),"")</f>
        <v/>
      </c>
      <c r="AI28" s="50">
        <f>IFERROR(AB28*VLOOKUP(E28,'Hệ số'!$A$2:$D$8,3,0),"")</f>
        <v/>
      </c>
      <c r="AJ28" s="50">
        <f>IFERROR(AB28*VLOOKUP(E28,'Hệ số'!$A$2:$D$8,4,0)*IF((I28-2)&gt;=2,1.2,IF((I28-2)=1,1,IF((I28-2)=0,0.85,IF((I28-2)=-1,0.5,IF((I28-2)=-2,0.25,0.1))))),"")</f>
        <v/>
      </c>
      <c r="AK28" s="39" t="inlineStr">
        <is>
          <t>Bắn cầu vồng dốc, qua được tường; có tầm tối thiểu; C-RAM và Vòm Sắt bắn hạ được.</t>
        </is>
      </c>
      <c r="AL28" s="39" t="n"/>
      <c r="AM28" s="39" t="inlineStr">
        <is>
          <t>2B8 240 mm: ~1 phát/phút</t>
        </is>
      </c>
      <c r="AN28" s="39" t="inlineStr">
        <is>
          <t>Giữ.</t>
        </is>
      </c>
      <c r="AO28" s="39" t="n"/>
    </row>
    <row r="29" ht="21.75" customHeight="1" s="32">
      <c r="A29" s="41" t="inlineStr">
        <is>
          <t>boss_railgun</t>
        </is>
      </c>
      <c r="B29" s="41" t="inlineStr">
        <is>
          <t>railgun (64 MJ)</t>
        </is>
      </c>
      <c r="C29" s="41" t="inlineStr">
        <is>
          <t>Điện từ</t>
        </is>
      </c>
      <c r="D29" s="41" t="inlineStr">
        <is>
          <t>Tempest</t>
        </is>
      </c>
      <c r="E29" s="41" t="inlineStr">
        <is>
          <t>Động năng</t>
        </is>
      </c>
      <c r="F29" s="41" t="inlineStr">
        <is>
          <t>Rail</t>
        </is>
      </c>
      <c r="G29" s="43" t="n">
        <v>64</v>
      </c>
      <c r="H29" s="43" t="n">
        <v>4</v>
      </c>
      <c r="I29" s="43" t="n">
        <v>4</v>
      </c>
      <c r="J29" s="43" t="n">
        <v>720</v>
      </c>
      <c r="K29" s="43" t="n">
        <v>720</v>
      </c>
      <c r="L29" s="41" t="inlineStr">
        <is>
          <t>từng phát</t>
        </is>
      </c>
      <c r="M29" s="41" t="inlineStr">
        <is>
          <t>từng phát</t>
        </is>
      </c>
      <c r="N29" s="43" t="n">
        <v>0.125</v>
      </c>
      <c r="O29" s="43" t="n">
        <v>0.125</v>
      </c>
      <c r="P29" s="43" t="n">
        <v>1</v>
      </c>
      <c r="Q29" s="43" t="n">
        <v>1</v>
      </c>
      <c r="R29" s="43" t="n">
        <v>8</v>
      </c>
      <c r="S29" s="43" t="n">
        <v>8</v>
      </c>
      <c r="T29" s="43" t="n">
        <v>80</v>
      </c>
      <c r="U29" s="43" t="n">
        <v>80</v>
      </c>
      <c r="V29" s="43" t="n">
        <v>700</v>
      </c>
      <c r="W29" s="43" t="n">
        <v>700</v>
      </c>
      <c r="X29" s="51">
        <f>IFERROR(U29/W29,"")</f>
        <v/>
      </c>
      <c r="Y29" s="51" t="n"/>
      <c r="Z29" s="51" t="n"/>
      <c r="AA29" s="51">
        <f>IFERROR(IF(L29="từng phát",J29*N29,J29*P29/(P29/N29+R29)),"")</f>
        <v/>
      </c>
      <c r="AB29" s="51">
        <f>IFERROR(IF(M29="từng phát",K29*O29,K29*Q29/(Q29/O29+S29)),"")</f>
        <v/>
      </c>
      <c r="AC29" s="51">
        <f>IFERROR(AB29*VLOOKUP(E29,'Hệ số'!$A$2:$D$8,2,0)*IF((I29-0)&gt;=2,1.2,IF((I29-0)=1,1,IF((I29-0)=0,0.85,IF((I29-0)=-1,0.5,IF((I29-0)=-2,0.25,0.1))))),"")</f>
        <v/>
      </c>
      <c r="AD29" s="51">
        <f>IFERROR(AB29*VLOOKUP(E29,'Hệ số'!$A$2:$D$8,2,0)*IF((I29-1)&gt;=2,1.2,IF((I29-1)=1,1,IF((I29-1)=0,0.85,IF((I29-1)=-1,0.5,IF((I29-1)=-2,0.25,0.1))))),"")</f>
        <v/>
      </c>
      <c r="AE29" s="51">
        <f>IFERROR(AB29*VLOOKUP(E29,'Hệ số'!$A$2:$D$8,2,0)*IF((I29-2)&gt;=2,1.2,IF((I29-2)=1,1,IF((I29-2)=0,0.85,IF((I29-2)=-1,0.5,IF((I29-2)=-2,0.25,0.1))))),"")</f>
        <v/>
      </c>
      <c r="AF29" s="51">
        <f>IFERROR(AB29*VLOOKUP(E29,'Hệ số'!$A$2:$D$8,2,0)*IF((I29-3)&gt;=2,1.2,IF((I29-3)=1,1,IF((I29-3)=0,0.85,IF((I29-3)=-1,0.5,IF((I29-3)=-2,0.25,0.1))))),"")</f>
        <v/>
      </c>
      <c r="AG29" s="51">
        <f>IFERROR(AB29*VLOOKUP(E29,'Hệ số'!$A$2:$D$8,2,0)*IF((I29-4)&gt;=2,1.2,IF((I29-4)=1,1,IF((I29-4)=0,0.85,IF((I29-4)=-1,0.5,IF((I29-4)=-2,0.25,0.1))))),"")</f>
        <v/>
      </c>
      <c r="AH29" s="51">
        <f>IFERROR(AB29*VLOOKUP(E29,'Hệ số'!$A$2:$D$8,2,0)*IF((I29-5)&gt;=2,1.2,IF((I29-5)=1,1,IF((I29-5)=0,0.85,IF((I29-5)=-1,0.5,IF((I29-5)=-2,0.25,0.1))))),"")</f>
        <v/>
      </c>
      <c r="AI29" s="51">
        <f>IFERROR(AB29*VLOOKUP(E29,'Hệ số'!$A$2:$D$8,3,0),"")</f>
        <v/>
      </c>
      <c r="AJ29" s="51">
        <f>IFERROR(AB29*VLOOKUP(E29,'Hệ số'!$A$2:$D$8,4,0)*IF((I29-2)&gt;=2,1.2,IF((I29-2)=1,1,IF((I29-2)=0,0.85,IF((I29-2)=-1,0.5,IF((I29-2)=-2,0.25,0.1))))),"")</f>
        <v/>
      </c>
      <c r="AK29" s="41" t="inlineStr">
        <is>
          <t>Đạn xuyên thẳng qua nhiều mục tiêu; không bị APS; cần đồng đội soi mục tiêu ở tầm xa.</t>
        </is>
      </c>
      <c r="AL29" s="41" t="n"/>
      <c r="AM29" s="41" t="inlineStr">
        <is>
          <t>railgun 64 MJ (giả tưởng)</t>
        </is>
      </c>
      <c r="AN29" s="41" t="inlineStr">
        <is>
          <t>Giữ.</t>
        </is>
      </c>
      <c r="AO29" s="41" t="n"/>
    </row>
    <row r="30" ht="21.75" customHeight="1" s="32">
      <c r="A30" s="39" t="inlineStr">
        <is>
          <t>boss_rockets</t>
        </is>
      </c>
      <c r="B30" s="39" t="inlineStr">
        <is>
          <t>BM-21 Grad 122 mm</t>
        </is>
      </c>
      <c r="C30" s="39" t="inlineStr">
        <is>
          <t>Rốc-két</t>
        </is>
      </c>
      <c r="D30" s="39" t="inlineStr">
        <is>
          <t>Behemoth, Behemoth Mk.0,</t>
        </is>
      </c>
      <c r="E30" s="39" t="inlineStr">
        <is>
          <t>Nổ mạnh</t>
        </is>
      </c>
      <c r="F30" s="39" t="inlineStr">
        <is>
          <t>RocketSmall</t>
        </is>
      </c>
      <c r="G30" s="42" t="n">
        <v>122</v>
      </c>
      <c r="H30" s="42" t="n">
        <v>2</v>
      </c>
      <c r="I30" s="42" t="n">
        <v>2</v>
      </c>
      <c r="J30" s="42" t="n">
        <v>57</v>
      </c>
      <c r="K30" s="42" t="n">
        <v>57</v>
      </c>
      <c r="L30" s="39" t="inlineStr">
        <is>
          <t>loạt</t>
        </is>
      </c>
      <c r="M30" s="39" t="inlineStr">
        <is>
          <t>loạt</t>
        </is>
      </c>
      <c r="N30" s="42" t="n">
        <v>2</v>
      </c>
      <c r="O30" s="42" t="n">
        <v>2</v>
      </c>
      <c r="P30" s="42" t="n">
        <v>13</v>
      </c>
      <c r="Q30" s="42" t="n">
        <v>13</v>
      </c>
      <c r="R30" s="42" t="n">
        <v>2.44</v>
      </c>
      <c r="S30" s="42" t="n">
        <v>2.44</v>
      </c>
      <c r="T30" s="42" t="n">
        <v>45</v>
      </c>
      <c r="U30" s="42" t="n">
        <v>45</v>
      </c>
      <c r="V30" s="42" t="n">
        <v>55</v>
      </c>
      <c r="W30" s="42" t="n">
        <v>45</v>
      </c>
      <c r="X30" s="50">
        <f>IFERROR(U30/W30,"")</f>
        <v/>
      </c>
      <c r="Y30" s="52" t="n">
        <v>4</v>
      </c>
      <c r="Z30" s="52" t="n">
        <v>4</v>
      </c>
      <c r="AA30" s="50">
        <f>IFERROR(IF(L30="từng phát",J30*N30,J30*P30/(P30/N30+R30)),"")</f>
        <v/>
      </c>
      <c r="AB30" s="50">
        <f>IFERROR(IF(M30="từng phát",K30*O30,K30*Q30/(Q30/O30+S30)),"")</f>
        <v/>
      </c>
      <c r="AC30" s="50">
        <f>IFERROR(AB30*VLOOKUP(E30,'Hệ số'!$A$2:$D$8,2,0)*IF((I30-0)&gt;=2,1.2,IF((I30-0)=1,1,IF((I30-0)=0,0.85,IF((I30-0)=-1,0.5,IF((I30-0)=-2,0.25,0.1))))),"")</f>
        <v/>
      </c>
      <c r="AD30" s="50">
        <f>IFERROR(AB30*VLOOKUP(E30,'Hệ số'!$A$2:$D$8,2,0)*IF((I30-1)&gt;=2,1.2,IF((I30-1)=1,1,IF((I30-1)=0,0.85,IF((I30-1)=-1,0.5,IF((I30-1)=-2,0.25,0.1))))),"")</f>
        <v/>
      </c>
      <c r="AE30" s="50">
        <f>IFERROR(AB30*VLOOKUP(E30,'Hệ số'!$A$2:$D$8,2,0)*IF((I30-2)&gt;=2,1.2,IF((I30-2)=1,1,IF((I30-2)=0,0.85,IF((I30-2)=-1,0.5,IF((I30-2)=-2,0.25,0.1))))),"")</f>
        <v/>
      </c>
      <c r="AF30" s="50">
        <f>IFERROR(AB30*VLOOKUP(E30,'Hệ số'!$A$2:$D$8,2,0)*IF((I30-3)&gt;=2,1.2,IF((I30-3)=1,1,IF((I30-3)=0,0.85,IF((I30-3)=-1,0.5,IF((I30-3)=-2,0.25,0.1))))),"")</f>
        <v/>
      </c>
      <c r="AG30" s="50">
        <f>IFERROR(AB30*VLOOKUP(E30,'Hệ số'!$A$2:$D$8,2,0)*IF((I30-4)&gt;=2,1.2,IF((I30-4)=1,1,IF((I30-4)=0,0.85,IF((I30-4)=-1,0.5,IF((I30-4)=-2,0.25,0.1))))),"")</f>
        <v/>
      </c>
      <c r="AH30" s="50">
        <f>IFERROR(AB30*VLOOKUP(E30,'Hệ số'!$A$2:$D$8,2,0)*IF((I30-5)&gt;=2,1.2,IF((I30-5)=1,1,IF((I30-5)=0,0.85,IF((I30-5)=-1,0.5,IF((I30-5)=-2,0.25,0.1))))),"")</f>
        <v/>
      </c>
      <c r="AI30" s="50">
        <f>IFERROR(AB30*VLOOKUP(E30,'Hệ số'!$A$2:$D$8,3,0),"")</f>
        <v/>
      </c>
      <c r="AJ30" s="50">
        <f>IFERROR(AB30*VLOOKUP(E30,'Hệ số'!$A$2:$D$8,4,0)*IF((I30-2)&gt;=2,1.2,IF((I30-2)=1,1,IF((I30-2)=0,0.85,IF((I30-2)=-1,0.5,IF((I30-2)=-2,0.25,0.1))))),"")</f>
        <v/>
      </c>
      <c r="AK30" s="39" t="inlineStr">
        <is>
          <t>Bắn loạt phủ vùng, tản mát; C-RAM, Vòm Sắt và La-de PK bắn hạ được từng quả.</t>
        </is>
      </c>
      <c r="AL30" s="39" t="n"/>
      <c r="AM30" s="39" t="inlineStr">
        <is>
          <t>BM-21</t>
        </is>
      </c>
      <c r="AN30" s="39" t="inlineStr">
        <is>
          <t>Thống nhất bán kính Grad. Tốc độ bay 55→45 m/s: Thống nhất tốc độ Grad ở mọi đơn vị (45 m/s).</t>
        </is>
      </c>
      <c r="AO30" s="48" t="inlineStr">
        <is>
          <t>Trung</t>
        </is>
      </c>
    </row>
    <row r="31" ht="21.75" customHeight="1" s="32">
      <c r="A31" s="41" t="inlineStr">
        <is>
          <t>boss_thermo</t>
        </is>
      </c>
      <c r="B31" s="41" t="inlineStr">
        <is>
          <t>TOS-1A 220 mm</t>
        </is>
      </c>
      <c r="C31" s="41" t="inlineStr">
        <is>
          <t>Rốc-két</t>
        </is>
      </c>
      <c r="D31" s="41" t="inlineStr">
        <is>
          <t>Inferno</t>
        </is>
      </c>
      <c r="E31" s="41" t="inlineStr">
        <is>
          <t>Nổ mạnh</t>
        </is>
      </c>
      <c r="F31" s="41" t="inlineStr">
        <is>
          <t>RocketBig</t>
        </is>
      </c>
      <c r="G31" s="43" t="n">
        <v>220</v>
      </c>
      <c r="H31" s="43" t="n">
        <v>3</v>
      </c>
      <c r="I31" s="43" t="n">
        <v>3</v>
      </c>
      <c r="J31" s="43" t="n">
        <v>97</v>
      </c>
      <c r="K31" s="43" t="n">
        <v>97</v>
      </c>
      <c r="L31" s="41" t="inlineStr">
        <is>
          <t>loạt</t>
        </is>
      </c>
      <c r="M31" s="41" t="inlineStr">
        <is>
          <t>loạt</t>
        </is>
      </c>
      <c r="N31" s="43" t="n">
        <v>3.33</v>
      </c>
      <c r="O31" s="43" t="n">
        <v>3.33</v>
      </c>
      <c r="P31" s="43" t="n">
        <v>6</v>
      </c>
      <c r="Q31" s="43" t="n">
        <v>6</v>
      </c>
      <c r="R31" s="43" t="n">
        <v>12.51</v>
      </c>
      <c r="S31" s="43" t="n">
        <v>12.51</v>
      </c>
      <c r="T31" s="43" t="n">
        <v>46</v>
      </c>
      <c r="U31" s="43" t="n">
        <v>46</v>
      </c>
      <c r="V31" s="43" t="n">
        <v>45</v>
      </c>
      <c r="W31" s="43" t="n">
        <v>35</v>
      </c>
      <c r="X31" s="51">
        <f>IFERROR(U31/W31,"")</f>
        <v/>
      </c>
      <c r="Y31" s="53" t="n">
        <v>7</v>
      </c>
      <c r="Z31" s="53" t="n">
        <v>7</v>
      </c>
      <c r="AA31" s="51">
        <f>IFERROR(IF(L31="từng phát",J31*N31,J31*P31/(P31/N31+R31)),"")</f>
        <v/>
      </c>
      <c r="AB31" s="51">
        <f>IFERROR(IF(M31="từng phát",K31*O31,K31*Q31/(Q31/O31+S31)),"")</f>
        <v/>
      </c>
      <c r="AC31" s="51">
        <f>IFERROR(AB31*VLOOKUP(E31,'Hệ số'!$A$2:$D$8,2,0)*IF((I31-0)&gt;=2,1.2,IF((I31-0)=1,1,IF((I31-0)=0,0.85,IF((I31-0)=-1,0.5,IF((I31-0)=-2,0.25,0.1))))),"")</f>
        <v/>
      </c>
      <c r="AD31" s="51">
        <f>IFERROR(AB31*VLOOKUP(E31,'Hệ số'!$A$2:$D$8,2,0)*IF((I31-1)&gt;=2,1.2,IF((I31-1)=1,1,IF((I31-1)=0,0.85,IF((I31-1)=-1,0.5,IF((I31-1)=-2,0.25,0.1))))),"")</f>
        <v/>
      </c>
      <c r="AE31" s="51">
        <f>IFERROR(AB31*VLOOKUP(E31,'Hệ số'!$A$2:$D$8,2,0)*IF((I31-2)&gt;=2,1.2,IF((I31-2)=1,1,IF((I31-2)=0,0.85,IF((I31-2)=-1,0.5,IF((I31-2)=-2,0.25,0.1))))),"")</f>
        <v/>
      </c>
      <c r="AF31" s="51">
        <f>IFERROR(AB31*VLOOKUP(E31,'Hệ số'!$A$2:$D$8,2,0)*IF((I31-3)&gt;=2,1.2,IF((I31-3)=1,1,IF((I31-3)=0,0.85,IF((I31-3)=-1,0.5,IF((I31-3)=-2,0.25,0.1))))),"")</f>
        <v/>
      </c>
      <c r="AG31" s="51">
        <f>IFERROR(AB31*VLOOKUP(E31,'Hệ số'!$A$2:$D$8,2,0)*IF((I31-4)&gt;=2,1.2,IF((I31-4)=1,1,IF((I31-4)=0,0.85,IF((I31-4)=-1,0.5,IF((I31-4)=-2,0.25,0.1))))),"")</f>
        <v/>
      </c>
      <c r="AH31" s="51">
        <f>IFERROR(AB31*VLOOKUP(E31,'Hệ số'!$A$2:$D$8,2,0)*IF((I31-5)&gt;=2,1.2,IF((I31-5)=1,1,IF((I31-5)=0,0.85,IF((I31-5)=-1,0.5,IF((I31-5)=-2,0.25,0.1))))),"")</f>
        <v/>
      </c>
      <c r="AI31" s="51">
        <f>IFERROR(AB31*VLOOKUP(E31,'Hệ số'!$A$2:$D$8,3,0),"")</f>
        <v/>
      </c>
      <c r="AJ31" s="51">
        <f>IFERROR(AB31*VLOOKUP(E31,'Hệ số'!$A$2:$D$8,4,0)*IF((I31-2)&gt;=2,1.2,IF((I31-2)=1,1,IF((I31-2)=0,0.85,IF((I31-2)=-1,0.5,IF((I31-2)=-2,0.25,0.1))))),"")</f>
        <v/>
      </c>
      <c r="AK31" s="41" t="inlineStr">
        <is>
          <t>Bắn loạt phủ vùng, tản mát; C-RAM, Vòm Sắt và La-de PK bắn hạ được từng quả.</t>
        </is>
      </c>
      <c r="AL31" s="41" t="n"/>
      <c r="AM31" s="41" t="inlineStr">
        <is>
          <t>TOS-1A</t>
        </is>
      </c>
      <c r="AN31" s="41" t="inlineStr">
        <is>
          <t>Tốc độ bay 45→35 m/s: Thống nhất tốc độ TOS ở mọi đơn vị (35 m/s).</t>
        </is>
      </c>
      <c r="AO31" s="48" t="inlineStr">
        <is>
          <t>Trung</t>
        </is>
      </c>
    </row>
    <row r="32" ht="21.75" customHeight="1" s="32">
      <c r="A32" s="39" t="inlineStr">
        <is>
          <t>buk_launcher</t>
        </is>
      </c>
      <c r="B32" s="39" t="inlineStr">
        <is>
          <t>9M317 Buk</t>
        </is>
      </c>
      <c r="C32" s="39" t="inlineStr">
        <is>
          <t>Tên lửa phòng không / không đối không</t>
        </is>
      </c>
      <c r="D32" s="39" t="inlineStr">
        <is>
          <t>Tên lửa PK</t>
        </is>
      </c>
      <c r="E32" s="39" t="inlineStr">
        <is>
          <t>Mảnh</t>
        </is>
      </c>
      <c r="F32" s="39" t="inlineStr">
        <is>
          <t>Sam</t>
        </is>
      </c>
      <c r="G32" s="42" t="n">
        <v>70</v>
      </c>
      <c r="H32" s="42" t="n">
        <v>3</v>
      </c>
      <c r="I32" s="42" t="n">
        <v>3</v>
      </c>
      <c r="J32" s="42" t="n">
        <v>320</v>
      </c>
      <c r="K32" s="42" t="n">
        <v>320</v>
      </c>
      <c r="L32" s="39" t="inlineStr">
        <is>
          <t>loạt</t>
        </is>
      </c>
      <c r="M32" s="39" t="inlineStr">
        <is>
          <t>loạt</t>
        </is>
      </c>
      <c r="N32" s="42" t="n">
        <v>2</v>
      </c>
      <c r="O32" s="42" t="n">
        <v>2</v>
      </c>
      <c r="P32" s="42" t="n">
        <v>2</v>
      </c>
      <c r="Q32" s="42" t="n">
        <v>2</v>
      </c>
      <c r="R32" s="42" t="n">
        <v>2.3</v>
      </c>
      <c r="S32" s="42" t="n">
        <v>2.3</v>
      </c>
      <c r="T32" s="42" t="n">
        <v>55</v>
      </c>
      <c r="U32" s="42" t="n">
        <v>55</v>
      </c>
      <c r="V32" s="42" t="n">
        <v>24</v>
      </c>
      <c r="W32" s="42" t="n">
        <v>50</v>
      </c>
      <c r="X32" s="50">
        <f>IFERROR(U32/W32,"")</f>
        <v/>
      </c>
      <c r="Y32" s="52" t="n">
        <v>2</v>
      </c>
      <c r="Z32" s="52" t="n">
        <v>2</v>
      </c>
      <c r="AA32" s="50">
        <f>IFERROR(IF(L32="từng phát",J32*N32,J32*P32/(P32/N32+R32)),"")</f>
        <v/>
      </c>
      <c r="AB32" s="50">
        <f>IFERROR(IF(M32="từng phát",K32*O32,K32*Q32/(Q32/O32+S32)),"")</f>
        <v/>
      </c>
      <c r="AC32" s="50">
        <f>IFERROR(AB32*VLOOKUP(E32,'Hệ số'!$A$2:$D$8,2,0)*IF((I32-0)&gt;=2,1.2,IF((I32-0)=1,1,IF((I32-0)=0,0.85,IF((I32-0)=-1,0.5,IF((I32-0)=-2,0.25,0.1))))),"")</f>
        <v/>
      </c>
      <c r="AD32" s="50">
        <f>IFERROR(AB32*VLOOKUP(E32,'Hệ số'!$A$2:$D$8,2,0)*IF((I32-1)&gt;=2,1.2,IF((I32-1)=1,1,IF((I32-1)=0,0.85,IF((I32-1)=-1,0.5,IF((I32-1)=-2,0.25,0.1))))),"")</f>
        <v/>
      </c>
      <c r="AE32" s="50">
        <f>IFERROR(AB32*VLOOKUP(E32,'Hệ số'!$A$2:$D$8,2,0)*IF((I32-2)&gt;=2,1.2,IF((I32-2)=1,1,IF((I32-2)=0,0.85,IF((I32-2)=-1,0.5,IF((I32-2)=-2,0.25,0.1))))),"")</f>
        <v/>
      </c>
      <c r="AF32" s="50">
        <f>IFERROR(AB32*VLOOKUP(E32,'Hệ số'!$A$2:$D$8,2,0)*IF((I32-3)&gt;=2,1.2,IF((I32-3)=1,1,IF((I32-3)=0,0.85,IF((I32-3)=-1,0.5,IF((I32-3)=-2,0.25,0.1))))),"")</f>
        <v/>
      </c>
      <c r="AG32" s="50">
        <f>IFERROR(AB32*VLOOKUP(E32,'Hệ số'!$A$2:$D$8,2,0)*IF((I32-4)&gt;=2,1.2,IF((I32-4)=1,1,IF((I32-4)=0,0.85,IF((I32-4)=-1,0.5,IF((I32-4)=-2,0.25,0.1))))),"")</f>
        <v/>
      </c>
      <c r="AH32" s="50">
        <f>IFERROR(AB32*VLOOKUP(E32,'Hệ số'!$A$2:$D$8,2,0)*IF((I32-5)&gt;=2,1.2,IF((I32-5)=1,1,IF((I32-5)=0,0.85,IF((I32-5)=-1,0.5,IF((I32-5)=-2,0.25,0.1))))),"")</f>
        <v/>
      </c>
      <c r="AI32" s="50">
        <f>IFERROR(AB32*VLOOKUP(E32,'Hệ số'!$A$2:$D$8,3,0),"")</f>
        <v/>
      </c>
      <c r="AJ32" s="50">
        <f>IFERROR(AB32*VLOOKUP(E32,'Hệ số'!$A$2:$D$8,4,0)*IF((I32-2)&gt;=2,1.2,IF((I32-2)=1,1,IF((I32-2)=0,0.85,IF((I32-2)=-1,0.5,IF((I32-2)=-2,0.25,0.1))))),"")</f>
        <v/>
      </c>
      <c r="AK32" s="39" t="inlineStr">
        <is>
          <t>Dẫn đường; bị pháo sáng đánh lừa theo độ kháng; phải nhanh hơn mục tiêu.</t>
        </is>
      </c>
      <c r="AL32" s="39" t="n"/>
      <c r="AM32" s="39" t="inlineStr">
        <is>
          <t>9M317 Buk: 50 km, Mach 4</t>
        </is>
      </c>
      <c r="AN32" s="39" t="inlineStr">
        <is>
          <t>Tốc độ bay 24→50 m/s: Tên lửa phòng không tầm trung: bắt được tiêm kích, bay ~1,1 s.</t>
        </is>
      </c>
      <c r="AO32" s="47" t="inlineStr">
        <is>
          <t>Cao</t>
        </is>
      </c>
    </row>
    <row r="33" ht="21.75" customHeight="1" s="32">
      <c r="A33" s="41" t="inlineStr">
        <is>
          <t>bunker_flame</t>
        </is>
      </c>
      <c r="B33" s="41" t="inlineStr">
        <is>
          <t>flamethrower (bunker)</t>
        </is>
      </c>
      <c r="C33" s="41" t="inlineStr">
        <is>
          <t>Phun lửa</t>
        </is>
      </c>
      <c r="D33" s="41" t="inlineStr">
        <is>
          <t>Lô cốt lửa</t>
        </is>
      </c>
      <c r="E33" s="41" t="inlineStr">
        <is>
          <t>Lửa</t>
        </is>
      </c>
      <c r="F33" s="41" t="inlineStr">
        <is>
          <t>Flame</t>
        </is>
      </c>
      <c r="G33" s="43" t="n">
        <v>2</v>
      </c>
      <c r="H33" s="43" t="n">
        <v>1</v>
      </c>
      <c r="I33" s="43" t="n">
        <v>1</v>
      </c>
      <c r="J33" s="43" t="n">
        <v>26</v>
      </c>
      <c r="K33" s="43" t="n">
        <v>26</v>
      </c>
      <c r="L33" s="41" t="inlineStr">
        <is>
          <t>từng phát</t>
        </is>
      </c>
      <c r="M33" s="41" t="inlineStr">
        <is>
          <t>từng phát</t>
        </is>
      </c>
      <c r="N33" s="43" t="n">
        <v>5.12820512820513</v>
      </c>
      <c r="O33" s="43" t="n">
        <v>5.12820512820513</v>
      </c>
      <c r="P33" s="43" t="n">
        <v>1</v>
      </c>
      <c r="Q33" s="43" t="n">
        <v>1</v>
      </c>
      <c r="R33" s="43" t="n">
        <v>0.195</v>
      </c>
      <c r="S33" s="43" t="n">
        <v>0.195</v>
      </c>
      <c r="T33" s="43" t="n">
        <v>16</v>
      </c>
      <c r="U33" s="43" t="n">
        <v>16</v>
      </c>
      <c r="V33" s="43" t="n">
        <v>36</v>
      </c>
      <c r="W33" s="43" t="n">
        <v>36</v>
      </c>
      <c r="X33" s="51">
        <f>IFERROR(U33/W33,"")</f>
        <v/>
      </c>
      <c r="Y33" s="53" t="n">
        <v>4.5</v>
      </c>
      <c r="Z33" s="53" t="n">
        <v>4.5</v>
      </c>
      <c r="AA33" s="51">
        <f>IFERROR(IF(L33="từng phát",J33*N33,J33*P33/(P33/N33+R33)),"")</f>
        <v/>
      </c>
      <c r="AB33" s="51">
        <f>IFERROR(IF(M33="từng phát",K33*O33,K33*Q33/(Q33/O33+S33)),"")</f>
        <v/>
      </c>
      <c r="AC33" s="51">
        <f>IFERROR(AB33*VLOOKUP(E33,'Hệ số'!$A$2:$D$8,2,0)*IF((I33-0)&gt;=2,1.2,IF((I33-0)=1,1,IF((I33-0)=0,0.85,IF((I33-0)=-1,0.5,IF((I33-0)=-2,0.25,0.1))))),"")</f>
        <v/>
      </c>
      <c r="AD33" s="51">
        <f>IFERROR(AB33*VLOOKUP(E33,'Hệ số'!$A$2:$D$8,2,0)*IF((I33-1)&gt;=2,1.2,IF((I33-1)=1,1,IF((I33-1)=0,0.85,IF((I33-1)=-1,0.5,IF((I33-1)=-2,0.25,0.1))))),"")</f>
        <v/>
      </c>
      <c r="AE33" s="51">
        <f>IFERROR(AB33*VLOOKUP(E33,'Hệ số'!$A$2:$D$8,2,0)*IF((I33-2)&gt;=2,1.2,IF((I33-2)=1,1,IF((I33-2)=0,0.85,IF((I33-2)=-1,0.5,IF((I33-2)=-2,0.25,0.1))))),"")</f>
        <v/>
      </c>
      <c r="AF33" s="51">
        <f>IFERROR(AB33*VLOOKUP(E33,'Hệ số'!$A$2:$D$8,2,0)*IF((I33-3)&gt;=2,1.2,IF((I33-3)=1,1,IF((I33-3)=0,0.85,IF((I33-3)=-1,0.5,IF((I33-3)=-2,0.25,0.1))))),"")</f>
        <v/>
      </c>
      <c r="AG33" s="51">
        <f>IFERROR(AB33*VLOOKUP(E33,'Hệ số'!$A$2:$D$8,2,0)*IF((I33-4)&gt;=2,1.2,IF((I33-4)=1,1,IF((I33-4)=0,0.85,IF((I33-4)=-1,0.5,IF((I33-4)=-2,0.25,0.1))))),"")</f>
        <v/>
      </c>
      <c r="AH33" s="51">
        <f>IFERROR(AB33*VLOOKUP(E33,'Hệ số'!$A$2:$D$8,2,0)*IF((I33-5)&gt;=2,1.2,IF((I33-5)=1,1,IF((I33-5)=0,0.85,IF((I33-5)=-1,0.5,IF((I33-5)=-2,0.25,0.1))))),"")</f>
        <v/>
      </c>
      <c r="AI33" s="51">
        <f>IFERROR(AB33*VLOOKUP(E33,'Hệ số'!$A$2:$D$8,3,0),"")</f>
        <v/>
      </c>
      <c r="AJ33" s="51">
        <f>IFERROR(AB33*VLOOKUP(E33,'Hệ số'!$A$2:$D$8,4,0)*IF((I33-2)&gt;=2,1.2,IF((I33-2)=1,1,IF((I33-2)=0,0.85,IF((I33-2)=-1,0.5,IF((I33-2)=-2,0.25,0.1))))),"")</f>
        <v/>
      </c>
      <c r="AK33" s="41" t="inlineStr">
        <is>
          <t>Tầm rất ngắn; gây cháy; không bị APS; mạnh với xe nhẹ và công trình có người.</t>
        </is>
      </c>
      <c r="AL33" s="41" t="n"/>
      <c r="AM33" s="41" t="inlineStr">
        <is>
          <t>phun lửa</t>
        </is>
      </c>
      <c r="AN33" s="41" t="inlineStr">
        <is>
          <t>Giữ.</t>
        </is>
      </c>
      <c r="AO33" s="41" t="n"/>
    </row>
    <row r="34" ht="21.75" customHeight="1" s="32">
      <c r="A34" s="39" t="inlineStr">
        <is>
          <t>bunker_hmg</t>
        </is>
      </c>
      <c r="B34" s="39" t="inlineStr">
        <is>
          <t>NSV 12.7 mm</t>
        </is>
      </c>
      <c r="C34" s="39" t="inlineStr">
        <is>
          <t>Súng máy 12,7 mm</t>
        </is>
      </c>
      <c r="D34" s="39" t="inlineStr">
        <is>
          <t>Lô cốt, Ụ súng tạm</t>
        </is>
      </c>
      <c r="E34" s="39" t="inlineStr">
        <is>
          <t>Động năng</t>
        </is>
      </c>
      <c r="F34" s="39" t="inlineStr">
        <is>
          <t>BulletBig</t>
        </is>
      </c>
      <c r="G34" s="42" t="n">
        <v>12.7</v>
      </c>
      <c r="H34" s="42" t="n">
        <v>1</v>
      </c>
      <c r="I34" s="42" t="n">
        <v>1</v>
      </c>
      <c r="J34" s="42" t="n">
        <v>9.5</v>
      </c>
      <c r="K34" s="42" t="n">
        <v>9.5</v>
      </c>
      <c r="L34" s="39" t="inlineStr">
        <is>
          <t>băng</t>
        </is>
      </c>
      <c r="M34" s="39" t="inlineStr">
        <is>
          <t>băng</t>
        </is>
      </c>
      <c r="N34" s="42" t="n">
        <v>16</v>
      </c>
      <c r="O34" s="42" t="n">
        <v>16</v>
      </c>
      <c r="P34" s="42" t="n">
        <v>45</v>
      </c>
      <c r="Q34" s="42" t="n">
        <v>150</v>
      </c>
      <c r="R34" s="42" t="n">
        <v>0.85</v>
      </c>
      <c r="S34" s="42" t="n">
        <v>4</v>
      </c>
      <c r="T34" s="42" t="n">
        <v>32</v>
      </c>
      <c r="U34" s="42" t="n">
        <v>32</v>
      </c>
      <c r="V34" s="42" t="n">
        <v>240</v>
      </c>
      <c r="W34" s="42" t="n">
        <v>240</v>
      </c>
      <c r="X34" s="50">
        <f>IFERROR(U34/W34,"")</f>
        <v/>
      </c>
      <c r="Y34" s="50" t="n"/>
      <c r="Z34" s="50" t="n"/>
      <c r="AA34" s="50">
        <f>IFERROR(IF(L34="từng phát",J34*N34,J34*P34/(P34/N34+R34)),"")</f>
        <v/>
      </c>
      <c r="AB34" s="50">
        <f>IFERROR(IF(M34="từng phát",K34*O34,K34*Q34/(Q34/O34+S34)),"")</f>
        <v/>
      </c>
      <c r="AC34" s="50">
        <f>IFERROR(AB34*VLOOKUP(E34,'Hệ số'!$A$2:$D$8,2,0)*IF((I34-0)&gt;=2,1.2,IF((I34-0)=1,1,IF((I34-0)=0,0.85,IF((I34-0)=-1,0.5,IF((I34-0)=-2,0.25,0.1))))),"")</f>
        <v/>
      </c>
      <c r="AD34" s="50">
        <f>IFERROR(AB34*VLOOKUP(E34,'Hệ số'!$A$2:$D$8,2,0)*IF((I34-1)&gt;=2,1.2,IF((I34-1)=1,1,IF((I34-1)=0,0.85,IF((I34-1)=-1,0.5,IF((I34-1)=-2,0.25,0.1))))),"")</f>
        <v/>
      </c>
      <c r="AE34" s="50">
        <f>IFERROR(AB34*VLOOKUP(E34,'Hệ số'!$A$2:$D$8,2,0)*IF((I34-2)&gt;=2,1.2,IF((I34-2)=1,1,IF((I34-2)=0,0.85,IF((I34-2)=-1,0.5,IF((I34-2)=-2,0.25,0.1))))),"")</f>
        <v/>
      </c>
      <c r="AF34" s="50">
        <f>IFERROR(AB34*VLOOKUP(E34,'Hệ số'!$A$2:$D$8,2,0)*IF((I34-3)&gt;=2,1.2,IF((I34-3)=1,1,IF((I34-3)=0,0.85,IF((I34-3)=-1,0.5,IF((I34-3)=-2,0.25,0.1))))),"")</f>
        <v/>
      </c>
      <c r="AG34" s="50">
        <f>IFERROR(AB34*VLOOKUP(E34,'Hệ số'!$A$2:$D$8,2,0)*IF((I34-4)&gt;=2,1.2,IF((I34-4)=1,1,IF((I34-4)=0,0.85,IF((I34-4)=-1,0.5,IF((I34-4)=-2,0.25,0.1))))),"")</f>
        <v/>
      </c>
      <c r="AH34" s="50">
        <f>IFERROR(AB34*VLOOKUP(E34,'Hệ số'!$A$2:$D$8,2,0)*IF((I34-5)&gt;=2,1.2,IF((I34-5)=1,1,IF((I34-5)=0,0.85,IF((I34-5)=-1,0.5,IF((I34-5)=-2,0.25,0.1))))),"")</f>
        <v/>
      </c>
      <c r="AI34" s="50">
        <f>IFERROR(AB34*VLOOKUP(E34,'Hệ số'!$A$2:$D$8,3,0),"")</f>
        <v/>
      </c>
      <c r="AJ34" s="50">
        <f>IFERROR(AB34*VLOOKUP(E34,'Hệ số'!$A$2:$D$8,4,0)*IF((I34-2)&gt;=2,1.2,IF((I34-2)=1,1,IF((I34-2)=0,0.85,IF((I34-2)=-1,0.5,IF((I34-2)=-2,0.25,0.1))))),"")</f>
        <v/>
      </c>
      <c r="AK34" s="39" t="inlineStr">
        <is>
          <t>Bắn cả khi chạy; mạnh với xe không giáp, drone, trực thăng; nảy khỏi giáp từ cấp 2.</t>
        </is>
      </c>
      <c r="AL34" s="39" t="inlineStr">
        <is>
          <t>Đạn xuyên API (xuyên 2) cho bản tinh nhuệ.</t>
        </is>
      </c>
      <c r="AM34" s="39" t="inlineStr">
        <is>
          <t>NSV: 700–800</t>
        </is>
      </c>
      <c r="AN34" s="39" t="inlineStr">
        <is>
          <t>NSV trong lô cốt dùng dây đạn dài.</t>
        </is>
      </c>
      <c r="AO34" s="48" t="inlineStr">
        <is>
          <t>Trung</t>
        </is>
      </c>
    </row>
    <row r="35" ht="21.75" customHeight="1" s="32">
      <c r="A35" s="41" t="inlineStr">
        <is>
          <t>bunker_hmg_twin</t>
        </is>
      </c>
      <c r="B35" s="41" t="inlineStr">
        <is>
          <t>NSV 12.7 mm (twin)</t>
        </is>
      </c>
      <c r="C35" s="41" t="inlineStr">
        <is>
          <t>Súng máy 12,7 mm</t>
        </is>
      </c>
      <c r="D35" s="41" t="inlineStr">
        <is>
          <t>Súng máy đôi</t>
        </is>
      </c>
      <c r="E35" s="41" t="inlineStr">
        <is>
          <t>Động năng</t>
        </is>
      </c>
      <c r="F35" s="41" t="inlineStr">
        <is>
          <t>BulletBig</t>
        </is>
      </c>
      <c r="G35" s="43" t="n">
        <v>12.7</v>
      </c>
      <c r="H35" s="43" t="n">
        <v>1</v>
      </c>
      <c r="I35" s="43" t="n">
        <v>1</v>
      </c>
      <c r="J35" s="43" t="n">
        <v>9.5</v>
      </c>
      <c r="K35" s="43" t="n">
        <v>9.5</v>
      </c>
      <c r="L35" s="41" t="inlineStr">
        <is>
          <t>băng</t>
        </is>
      </c>
      <c r="M35" s="41" t="inlineStr">
        <is>
          <t>băng</t>
        </is>
      </c>
      <c r="N35" s="43" t="n">
        <v>20</v>
      </c>
      <c r="O35" s="43" t="n">
        <v>20</v>
      </c>
      <c r="P35" s="43" t="n">
        <v>51</v>
      </c>
      <c r="Q35" s="43" t="n">
        <v>150</v>
      </c>
      <c r="R35" s="43" t="n">
        <v>0.87</v>
      </c>
      <c r="S35" s="43" t="n">
        <v>4</v>
      </c>
      <c r="T35" s="43" t="n">
        <v>28</v>
      </c>
      <c r="U35" s="43" t="n">
        <v>28</v>
      </c>
      <c r="V35" s="43" t="n">
        <v>240</v>
      </c>
      <c r="W35" s="43" t="n">
        <v>240</v>
      </c>
      <c r="X35" s="51">
        <f>IFERROR(U35/W35,"")</f>
        <v/>
      </c>
      <c r="Y35" s="51" t="n"/>
      <c r="Z35" s="51" t="n"/>
      <c r="AA35" s="51">
        <f>IFERROR(IF(L35="từng phát",J35*N35,J35*P35/(P35/N35+R35)),"")</f>
        <v/>
      </c>
      <c r="AB35" s="51">
        <f>IFERROR(IF(M35="từng phát",K35*O35,K35*Q35/(Q35/O35+S35)),"")</f>
        <v/>
      </c>
      <c r="AC35" s="51">
        <f>IFERROR(AB35*VLOOKUP(E35,'Hệ số'!$A$2:$D$8,2,0)*IF((I35-0)&gt;=2,1.2,IF((I35-0)=1,1,IF((I35-0)=0,0.85,IF((I35-0)=-1,0.5,IF((I35-0)=-2,0.25,0.1))))),"")</f>
        <v/>
      </c>
      <c r="AD35" s="51">
        <f>IFERROR(AB35*VLOOKUP(E35,'Hệ số'!$A$2:$D$8,2,0)*IF((I35-1)&gt;=2,1.2,IF((I35-1)=1,1,IF((I35-1)=0,0.85,IF((I35-1)=-1,0.5,IF((I35-1)=-2,0.25,0.1))))),"")</f>
        <v/>
      </c>
      <c r="AE35" s="51">
        <f>IFERROR(AB35*VLOOKUP(E35,'Hệ số'!$A$2:$D$8,2,0)*IF((I35-2)&gt;=2,1.2,IF((I35-2)=1,1,IF((I35-2)=0,0.85,IF((I35-2)=-1,0.5,IF((I35-2)=-2,0.25,0.1))))),"")</f>
        <v/>
      </c>
      <c r="AF35" s="51">
        <f>IFERROR(AB35*VLOOKUP(E35,'Hệ số'!$A$2:$D$8,2,0)*IF((I35-3)&gt;=2,1.2,IF((I35-3)=1,1,IF((I35-3)=0,0.85,IF((I35-3)=-1,0.5,IF((I35-3)=-2,0.25,0.1))))),"")</f>
        <v/>
      </c>
      <c r="AG35" s="51">
        <f>IFERROR(AB35*VLOOKUP(E35,'Hệ số'!$A$2:$D$8,2,0)*IF((I35-4)&gt;=2,1.2,IF((I35-4)=1,1,IF((I35-4)=0,0.85,IF((I35-4)=-1,0.5,IF((I35-4)=-2,0.25,0.1))))),"")</f>
        <v/>
      </c>
      <c r="AH35" s="51">
        <f>IFERROR(AB35*VLOOKUP(E35,'Hệ số'!$A$2:$D$8,2,0)*IF((I35-5)&gt;=2,1.2,IF((I35-5)=1,1,IF((I35-5)=0,0.85,IF((I35-5)=-1,0.5,IF((I35-5)=-2,0.25,0.1))))),"")</f>
        <v/>
      </c>
      <c r="AI35" s="51">
        <f>IFERROR(AB35*VLOOKUP(E35,'Hệ số'!$A$2:$D$8,3,0),"")</f>
        <v/>
      </c>
      <c r="AJ35" s="51">
        <f>IFERROR(AB35*VLOOKUP(E35,'Hệ số'!$A$2:$D$8,4,0)*IF((I35-2)&gt;=2,1.2,IF((I35-2)=1,1,IF((I35-2)=0,0.85,IF((I35-2)=-1,0.5,IF((I35-2)=-2,0.25,0.1))))),"")</f>
        <v/>
      </c>
      <c r="AK35" s="41" t="inlineStr">
        <is>
          <t>Bắn cả khi chạy; mạnh với xe không giáp, drone, trực thăng; nảy khỏi giáp từ cấp 2.</t>
        </is>
      </c>
      <c r="AL35" s="41" t="inlineStr">
        <is>
          <t>Đạn xuyên API (xuyên 2) cho bản tinh nhuệ.</t>
        </is>
      </c>
      <c r="AM35" s="41" t="inlineStr">
        <is>
          <t>NSV đôi</t>
        </is>
      </c>
      <c r="AN35" s="41" t="inlineStr">
        <is>
          <t>Như trên.</t>
        </is>
      </c>
      <c r="AO35" s="48" t="inlineStr">
        <is>
          <t>Trung</t>
        </is>
      </c>
    </row>
    <row r="36" ht="32.25" customHeight="1" s="32">
      <c r="A36" s="39" t="inlineStr">
        <is>
          <t>c_ram_gatling</t>
        </is>
      </c>
      <c r="B36" s="39" t="inlineStr">
        <is>
          <t>Phalanx M61 20 mm</t>
        </is>
      </c>
      <c r="C36" s="39" t="inlineStr">
        <is>
          <t>Pháo tự động / cao xạ 20–40 mm</t>
        </is>
      </c>
      <c r="D36" s="39" t="inlineStr">
        <is>
          <t>C-RAM, Centurion</t>
        </is>
      </c>
      <c r="E36" s="39" t="inlineStr">
        <is>
          <t>Mảnh</t>
        </is>
      </c>
      <c r="F36" s="39" t="inlineStr">
        <is>
          <t>Airburst</t>
        </is>
      </c>
      <c r="G36" s="42" t="n">
        <v>20</v>
      </c>
      <c r="H36" s="42" t="n">
        <v>1</v>
      </c>
      <c r="I36" s="42" t="n">
        <v>1</v>
      </c>
      <c r="J36" s="42" t="n">
        <v>13</v>
      </c>
      <c r="K36" s="42" t="n">
        <v>2</v>
      </c>
      <c r="L36" s="39" t="inlineStr">
        <is>
          <t>băng</t>
        </is>
      </c>
      <c r="M36" s="39" t="inlineStr">
        <is>
          <t>băng</t>
        </is>
      </c>
      <c r="N36" s="42" t="n">
        <v>8</v>
      </c>
      <c r="O36" s="42" t="n">
        <v>50</v>
      </c>
      <c r="P36" s="42" t="n">
        <v>23</v>
      </c>
      <c r="Q36" s="42" t="n">
        <v>200</v>
      </c>
      <c r="R36" s="42" t="n">
        <v>1</v>
      </c>
      <c r="S36" s="42" t="n">
        <v>3</v>
      </c>
      <c r="T36" s="42" t="n">
        <v>32</v>
      </c>
      <c r="U36" s="42" t="n">
        <v>32</v>
      </c>
      <c r="V36" s="42" t="n">
        <v>380</v>
      </c>
      <c r="W36" s="42" t="n">
        <v>380</v>
      </c>
      <c r="X36" s="50">
        <f>IFERROR(U36/W36,"")</f>
        <v/>
      </c>
      <c r="Y36" s="52" t="n">
        <v>1.2</v>
      </c>
      <c r="Z36" s="52" t="n">
        <v>1.2</v>
      </c>
      <c r="AA36" s="50">
        <f>IFERROR(IF(L36="từng phát",J36*N36,J36*P36/(P36/N36+R36)),"")</f>
        <v/>
      </c>
      <c r="AB36" s="50">
        <f>IFERROR(IF(M36="từng phát",K36*O36,K36*Q36/(Q36/O36+S36)),"")</f>
        <v/>
      </c>
      <c r="AC36" s="50">
        <f>IFERROR(AB36*VLOOKUP(E36,'Hệ số'!$A$2:$D$8,2,0)*IF((I36-0)&gt;=2,1.2,IF((I36-0)=1,1,IF((I36-0)=0,0.85,IF((I36-0)=-1,0.5,IF((I36-0)=-2,0.25,0.1))))),"")</f>
        <v/>
      </c>
      <c r="AD36" s="50">
        <f>IFERROR(AB36*VLOOKUP(E36,'Hệ số'!$A$2:$D$8,2,0)*IF((I36-1)&gt;=2,1.2,IF((I36-1)=1,1,IF((I36-1)=0,0.85,IF((I36-1)=-1,0.5,IF((I36-1)=-2,0.25,0.1))))),"")</f>
        <v/>
      </c>
      <c r="AE36" s="50">
        <f>IFERROR(AB36*VLOOKUP(E36,'Hệ số'!$A$2:$D$8,2,0)*IF((I36-2)&gt;=2,1.2,IF((I36-2)=1,1,IF((I36-2)=0,0.85,IF((I36-2)=-1,0.5,IF((I36-2)=-2,0.25,0.1))))),"")</f>
        <v/>
      </c>
      <c r="AF36" s="50">
        <f>IFERROR(AB36*VLOOKUP(E36,'Hệ số'!$A$2:$D$8,2,0)*IF((I36-3)&gt;=2,1.2,IF((I36-3)=1,1,IF((I36-3)=0,0.85,IF((I36-3)=-1,0.5,IF((I36-3)=-2,0.25,0.1))))),"")</f>
        <v/>
      </c>
      <c r="AG36" s="50">
        <f>IFERROR(AB36*VLOOKUP(E36,'Hệ số'!$A$2:$D$8,2,0)*IF((I36-4)&gt;=2,1.2,IF((I36-4)=1,1,IF((I36-4)=0,0.85,IF((I36-4)=-1,0.5,IF((I36-4)=-2,0.25,0.1))))),"")</f>
        <v/>
      </c>
      <c r="AH36" s="50">
        <f>IFERROR(AB36*VLOOKUP(E36,'Hệ số'!$A$2:$D$8,2,0)*IF((I36-5)&gt;=2,1.2,IF((I36-5)=1,1,IF((I36-5)=0,0.85,IF((I36-5)=-1,0.5,IF((I36-5)=-2,0.25,0.1))))),"")</f>
        <v/>
      </c>
      <c r="AI36" s="50">
        <f>IFERROR(AB36*VLOOKUP(E36,'Hệ số'!$A$2:$D$8,3,0),"")</f>
        <v/>
      </c>
      <c r="AJ36" s="50">
        <f>IFERROR(AB36*VLOOKUP(E36,'Hệ số'!$A$2:$D$8,4,0)*IF((I36-2)&gt;=2,1.2,IF((I36-2)=1,1,IF((I36-2)=0,0.85,IF((I36-2)=-1,0.5,IF((I36-2)=-2,0.25,0.1))))),"")</f>
        <v/>
      </c>
      <c r="AK36" s="39" t="inlineStr">
        <is>
          <t>Bắn loạt; đạn nổ trên không (Mảnh) mạnh với máy bay và drone, yếu với giáp; đạn xuyên (Động năng) mạnh với giáp 0–2.</t>
        </is>
      </c>
      <c r="AL36" s="39" t="inlineStr">
        <is>
          <t>Tự đổi: đạn xuyên (Động năng) với xe, đạn nổ trên không (Mảnh) với máy bay/drone.</t>
        </is>
      </c>
      <c r="AM36" s="39" t="inlineStr">
        <is>
          <t>Phalanx 20 mm: 4.500 phát/phút; tầm hiệu quả ~1,5 km</t>
        </is>
      </c>
      <c r="AN36" s="39" t="inlineStr">
        <is>
          <t>Phalanx thật 4.500 phát/phút; tạo luồng đạn CIWS, giữ khả năng đánh chặn.</t>
        </is>
      </c>
      <c r="AO36" s="47" t="inlineStr">
        <is>
          <t>Cao</t>
        </is>
      </c>
    </row>
    <row r="37" ht="32.25" customHeight="1" s="32">
      <c r="A37" s="41" t="inlineStr">
        <is>
          <t>casemate_155</t>
        </is>
      </c>
      <c r="B37" s="41" t="inlineStr">
        <is>
          <t>M284 155 mm</t>
        </is>
      </c>
      <c r="C37" s="41" t="inlineStr">
        <is>
          <t>Đạn pháo nổ mạnh</t>
        </is>
      </c>
      <c r="D37" s="41" t="inlineStr">
        <is>
          <t>Bastion</t>
        </is>
      </c>
      <c r="E37" s="41" t="inlineStr">
        <is>
          <t>Nổ mạnh</t>
        </is>
      </c>
      <c r="F37" s="41" t="inlineStr">
        <is>
          <t>HeShell</t>
        </is>
      </c>
      <c r="G37" s="43" t="n">
        <v>155</v>
      </c>
      <c r="H37" s="43" t="n">
        <v>3</v>
      </c>
      <c r="I37" s="43" t="n">
        <v>3</v>
      </c>
      <c r="J37" s="43" t="n">
        <v>320</v>
      </c>
      <c r="K37" s="43" t="n">
        <v>320</v>
      </c>
      <c r="L37" s="41" t="inlineStr">
        <is>
          <t>từng phát</t>
        </is>
      </c>
      <c r="M37" s="41" t="inlineStr">
        <is>
          <t>từng phát</t>
        </is>
      </c>
      <c r="N37" s="43" t="n">
        <v>0.08</v>
      </c>
      <c r="O37" s="43" t="n">
        <v>0.08</v>
      </c>
      <c r="P37" s="43" t="n">
        <v>1</v>
      </c>
      <c r="Q37" s="43" t="n">
        <v>1</v>
      </c>
      <c r="R37" s="43" t="n">
        <v>12.5</v>
      </c>
      <c r="S37" s="43" t="n">
        <v>12.5</v>
      </c>
      <c r="T37" s="43" t="n">
        <v>75</v>
      </c>
      <c r="U37" s="43" t="n">
        <v>75</v>
      </c>
      <c r="V37" s="43" t="n">
        <v>50</v>
      </c>
      <c r="W37" s="43" t="n">
        <v>50</v>
      </c>
      <c r="X37" s="51">
        <f>IFERROR(U37/W37,"")</f>
        <v/>
      </c>
      <c r="Y37" s="53" t="n">
        <v>8</v>
      </c>
      <c r="Z37" s="53" t="n">
        <v>7</v>
      </c>
      <c r="AA37" s="51">
        <f>IFERROR(IF(L37="từng phát",J37*N37,J37*P37/(P37/N37+R37)),"")</f>
        <v/>
      </c>
      <c r="AB37" s="51">
        <f>IFERROR(IF(M37="từng phát",K37*O37,K37*Q37/(Q37/O37+S37)),"")</f>
        <v/>
      </c>
      <c r="AC37" s="51">
        <f>IFERROR(AB37*VLOOKUP(E37,'Hệ số'!$A$2:$D$8,2,0)*IF((I37-0)&gt;=2,1.2,IF((I37-0)=1,1,IF((I37-0)=0,0.85,IF((I37-0)=-1,0.5,IF((I37-0)=-2,0.25,0.1))))),"")</f>
        <v/>
      </c>
      <c r="AD37" s="51">
        <f>IFERROR(AB37*VLOOKUP(E37,'Hệ số'!$A$2:$D$8,2,0)*IF((I37-1)&gt;=2,1.2,IF((I37-1)=1,1,IF((I37-1)=0,0.85,IF((I37-1)=-1,0.5,IF((I37-1)=-2,0.25,0.1))))),"")</f>
        <v/>
      </c>
      <c r="AE37" s="51">
        <f>IFERROR(AB37*VLOOKUP(E37,'Hệ số'!$A$2:$D$8,2,0)*IF((I37-2)&gt;=2,1.2,IF((I37-2)=1,1,IF((I37-2)=0,0.85,IF((I37-2)=-1,0.5,IF((I37-2)=-2,0.25,0.1))))),"")</f>
        <v/>
      </c>
      <c r="AF37" s="51">
        <f>IFERROR(AB37*VLOOKUP(E37,'Hệ số'!$A$2:$D$8,2,0)*IF((I37-3)&gt;=2,1.2,IF((I37-3)=1,1,IF((I37-3)=0,0.85,IF((I37-3)=-1,0.5,IF((I37-3)=-2,0.25,0.1))))),"")</f>
        <v/>
      </c>
      <c r="AG37" s="51">
        <f>IFERROR(AB37*VLOOKUP(E37,'Hệ số'!$A$2:$D$8,2,0)*IF((I37-4)&gt;=2,1.2,IF((I37-4)=1,1,IF((I37-4)=0,0.85,IF((I37-4)=-1,0.5,IF((I37-4)=-2,0.25,0.1))))),"")</f>
        <v/>
      </c>
      <c r="AH37" s="51">
        <f>IFERROR(AB37*VLOOKUP(E37,'Hệ số'!$A$2:$D$8,2,0)*IF((I37-5)&gt;=2,1.2,IF((I37-5)=1,1,IF((I37-5)=0,0.85,IF((I37-5)=-1,0.5,IF((I37-5)=-2,0.25,0.1))))),"")</f>
        <v/>
      </c>
      <c r="AI37" s="51">
        <f>IFERROR(AB37*VLOOKUP(E37,'Hệ số'!$A$2:$D$8,3,0),"")</f>
        <v/>
      </c>
      <c r="AJ37" s="51">
        <f>IFERROR(AB37*VLOOKUP(E37,'Hệ số'!$A$2:$D$8,4,0)*IF((I37-2)&gt;=2,1.2,IF((I37-2)=1,1,IF((I37-2)=0,0.85,IF((I37-2)=-1,0.5,IF((I37-2)=-2,0.25,0.1))))),"")</f>
        <v/>
      </c>
      <c r="AK37" s="41" t="inlineStr">
        <is>
          <t>Bắn cầu vồng hoặc bắn thẳng tùy pháo; nổ lan; C-RAM chặn được một phần; mạnh với công trình (×1,5).</t>
        </is>
      </c>
      <c r="AL37" s="41" t="inlineStr">
        <is>
          <t>Thêm đạn dẫn đường (Excalibur/Krasnopol: 1 phát, không tản mát) cho nhánh hạng 7 hoặc thẻ hỗ trợ.</t>
        </is>
      </c>
      <c r="AM37" s="41" t="inlineStr">
        <is>
          <t>M284 155 mm</t>
        </is>
      </c>
      <c r="AN37" s="41" t="inlineStr">
        <is>
          <t>Như trên.</t>
        </is>
      </c>
      <c r="AO37" s="48" t="inlineStr">
        <is>
          <t>Trung</t>
        </is>
      </c>
    </row>
    <row r="38" ht="32.25" customHeight="1" s="32">
      <c r="A38" s="39" t="inlineStr">
        <is>
          <t>ciws_aa</t>
        </is>
      </c>
      <c r="B38" s="39" t="inlineStr">
        <is>
          <t>AK-630 30 mm</t>
        </is>
      </c>
      <c r="C38" s="39" t="inlineStr">
        <is>
          <t>Pháo tự động / cao xạ 20–40 mm</t>
        </is>
      </c>
      <c r="D38" s="39" t="inlineStr">
        <is>
          <t>Charybdis, Gungnir</t>
        </is>
      </c>
      <c r="E38" s="39" t="inlineStr">
        <is>
          <t>Động năng</t>
        </is>
      </c>
      <c r="F38" s="39" t="inlineStr">
        <is>
          <t>BeltedAutocannon</t>
        </is>
      </c>
      <c r="G38" s="42" t="n">
        <v>30</v>
      </c>
      <c r="H38" s="42" t="n">
        <v>2</v>
      </c>
      <c r="I38" s="42" t="n">
        <v>2</v>
      </c>
      <c r="J38" s="42" t="n">
        <v>22</v>
      </c>
      <c r="K38" s="42" t="n">
        <v>12</v>
      </c>
      <c r="L38" s="39" t="inlineStr">
        <is>
          <t>băng</t>
        </is>
      </c>
      <c r="M38" s="39" t="inlineStr">
        <is>
          <t>băng</t>
        </is>
      </c>
      <c r="N38" s="42" t="n">
        <v>60</v>
      </c>
      <c r="O38" s="42" t="n">
        <v>60</v>
      </c>
      <c r="P38" s="42" t="n">
        <v>15</v>
      </c>
      <c r="Q38" s="42" t="n">
        <v>60</v>
      </c>
      <c r="R38" s="42" t="n">
        <v>14.71</v>
      </c>
      <c r="S38" s="42" t="n">
        <v>5</v>
      </c>
      <c r="T38" s="42" t="n">
        <v>34</v>
      </c>
      <c r="U38" s="42" t="n">
        <v>34</v>
      </c>
      <c r="V38" s="42" t="n">
        <v>300</v>
      </c>
      <c r="W38" s="42" t="n">
        <v>300</v>
      </c>
      <c r="X38" s="50">
        <f>IFERROR(U38/W38,"")</f>
        <v/>
      </c>
      <c r="Y38" s="50" t="n"/>
      <c r="Z38" s="50" t="n"/>
      <c r="AA38" s="50">
        <f>IFERROR(IF(L38="từng phát",J38*N38,J38*P38/(P38/N38+R38)),"")</f>
        <v/>
      </c>
      <c r="AB38" s="50">
        <f>IFERROR(IF(M38="từng phát",K38*O38,K38*Q38/(Q38/O38+S38)),"")</f>
        <v/>
      </c>
      <c r="AC38" s="50">
        <f>IFERROR(AB38*VLOOKUP(E38,'Hệ số'!$A$2:$D$8,2,0)*IF((I38-0)&gt;=2,1.2,IF((I38-0)=1,1,IF((I38-0)=0,0.85,IF((I38-0)=-1,0.5,IF((I38-0)=-2,0.25,0.1))))),"")</f>
        <v/>
      </c>
      <c r="AD38" s="50">
        <f>IFERROR(AB38*VLOOKUP(E38,'Hệ số'!$A$2:$D$8,2,0)*IF((I38-1)&gt;=2,1.2,IF((I38-1)=1,1,IF((I38-1)=0,0.85,IF((I38-1)=-1,0.5,IF((I38-1)=-2,0.25,0.1))))),"")</f>
        <v/>
      </c>
      <c r="AE38" s="50">
        <f>IFERROR(AB38*VLOOKUP(E38,'Hệ số'!$A$2:$D$8,2,0)*IF((I38-2)&gt;=2,1.2,IF((I38-2)=1,1,IF((I38-2)=0,0.85,IF((I38-2)=-1,0.5,IF((I38-2)=-2,0.25,0.1))))),"")</f>
        <v/>
      </c>
      <c r="AF38" s="50">
        <f>IFERROR(AB38*VLOOKUP(E38,'Hệ số'!$A$2:$D$8,2,0)*IF((I38-3)&gt;=2,1.2,IF((I38-3)=1,1,IF((I38-3)=0,0.85,IF((I38-3)=-1,0.5,IF((I38-3)=-2,0.25,0.1))))),"")</f>
        <v/>
      </c>
      <c r="AG38" s="50">
        <f>IFERROR(AB38*VLOOKUP(E38,'Hệ số'!$A$2:$D$8,2,0)*IF((I38-4)&gt;=2,1.2,IF((I38-4)=1,1,IF((I38-4)=0,0.85,IF((I38-4)=-1,0.5,IF((I38-4)=-2,0.25,0.1))))),"")</f>
        <v/>
      </c>
      <c r="AH38" s="50">
        <f>IFERROR(AB38*VLOOKUP(E38,'Hệ số'!$A$2:$D$8,2,0)*IF((I38-5)&gt;=2,1.2,IF((I38-5)=1,1,IF((I38-5)=0,0.85,IF((I38-5)=-1,0.5,IF((I38-5)=-2,0.25,0.1))))),"")</f>
        <v/>
      </c>
      <c r="AI38" s="50">
        <f>IFERROR(AB38*VLOOKUP(E38,'Hệ số'!$A$2:$D$8,3,0),"")</f>
        <v/>
      </c>
      <c r="AJ38" s="50">
        <f>IFERROR(AB38*VLOOKUP(E38,'Hệ số'!$A$2:$D$8,4,0)*IF((I38-2)&gt;=2,1.2,IF((I38-2)=1,1,IF((I38-2)=0,0.85,IF((I38-2)=-1,0.5,IF((I38-2)=-2,0.25,0.1))))),"")</f>
        <v/>
      </c>
      <c r="AK38" s="39" t="inlineStr">
        <is>
          <t>Bắn loạt; đạn nổ trên không (Mảnh) mạnh với máy bay và drone, yếu với giáp; đạn xuyên (Động năng) mạnh với giáp 0–2.</t>
        </is>
      </c>
      <c r="AL38" s="39" t="inlineStr">
        <is>
          <t>Tự đổi: đạn xuyên (Động năng) với xe, đạn nổ trên không (Mảnh) với máy bay/drone.</t>
        </is>
      </c>
      <c r="AM38" s="39" t="inlineStr">
        <is>
          <t>AK-630: 4.000–5.000 phát/phút, băng 2.000 viên</t>
        </is>
      </c>
      <c r="AN38" s="39" t="inlineStr">
        <is>
          <t>AK-630 băng 15 nạp 14,7 s bắn cụt; thật 4.000–5.000 phát/phút.</t>
        </is>
      </c>
      <c r="AO38" s="48" t="inlineStr">
        <is>
          <t>Trung</t>
        </is>
      </c>
    </row>
    <row r="39" ht="21.75" customHeight="1" s="32">
      <c r="A39" s="41" t="inlineStr">
        <is>
          <t>coilgun</t>
        </is>
      </c>
      <c r="B39" s="41" t="inlineStr">
        <is>
          <t>coilgun (10 MJ)</t>
        </is>
      </c>
      <c r="C39" s="41" t="inlineStr">
        <is>
          <t>Điện từ</t>
        </is>
      </c>
      <c r="D39" s="41" t="inlineStr">
        <is>
          <t>Tempest</t>
        </is>
      </c>
      <c r="E39" s="41" t="inlineStr">
        <is>
          <t>Động năng</t>
        </is>
      </c>
      <c r="F39" s="41" t="inlineStr">
        <is>
          <t>Rail</t>
        </is>
      </c>
      <c r="G39" s="43" t="n">
        <v>10</v>
      </c>
      <c r="H39" s="43" t="n">
        <v>4</v>
      </c>
      <c r="I39" s="43" t="n">
        <v>4</v>
      </c>
      <c r="J39" s="43" t="n">
        <v>250</v>
      </c>
      <c r="K39" s="43" t="n">
        <v>250</v>
      </c>
      <c r="L39" s="41" t="inlineStr">
        <is>
          <t>loạt</t>
        </is>
      </c>
      <c r="M39" s="41" t="inlineStr">
        <is>
          <t>loạt</t>
        </is>
      </c>
      <c r="N39" s="43" t="n">
        <v>4</v>
      </c>
      <c r="O39" s="43" t="n">
        <v>4</v>
      </c>
      <c r="P39" s="43" t="n">
        <v>2</v>
      </c>
      <c r="Q39" s="43" t="n">
        <v>2</v>
      </c>
      <c r="R39" s="43" t="n">
        <v>4.29</v>
      </c>
      <c r="S39" s="43" t="n">
        <v>4.29</v>
      </c>
      <c r="T39" s="43" t="n">
        <v>55</v>
      </c>
      <c r="U39" s="43" t="n">
        <v>55</v>
      </c>
      <c r="V39" s="43" t="n">
        <v>420</v>
      </c>
      <c r="W39" s="43" t="n">
        <v>420</v>
      </c>
      <c r="X39" s="51">
        <f>IFERROR(U39/W39,"")</f>
        <v/>
      </c>
      <c r="Y39" s="51" t="n"/>
      <c r="Z39" s="51" t="n"/>
      <c r="AA39" s="51">
        <f>IFERROR(IF(L39="từng phát",J39*N39,J39*P39/(P39/N39+R39)),"")</f>
        <v/>
      </c>
      <c r="AB39" s="51">
        <f>IFERROR(IF(M39="từng phát",K39*O39,K39*Q39/(Q39/O39+S39)),"")</f>
        <v/>
      </c>
      <c r="AC39" s="51">
        <f>IFERROR(AB39*VLOOKUP(E39,'Hệ số'!$A$2:$D$8,2,0)*IF((I39-0)&gt;=2,1.2,IF((I39-0)=1,1,IF((I39-0)=0,0.85,IF((I39-0)=-1,0.5,IF((I39-0)=-2,0.25,0.1))))),"")</f>
        <v/>
      </c>
      <c r="AD39" s="51">
        <f>IFERROR(AB39*VLOOKUP(E39,'Hệ số'!$A$2:$D$8,2,0)*IF((I39-1)&gt;=2,1.2,IF((I39-1)=1,1,IF((I39-1)=0,0.85,IF((I39-1)=-1,0.5,IF((I39-1)=-2,0.25,0.1))))),"")</f>
        <v/>
      </c>
      <c r="AE39" s="51">
        <f>IFERROR(AB39*VLOOKUP(E39,'Hệ số'!$A$2:$D$8,2,0)*IF((I39-2)&gt;=2,1.2,IF((I39-2)=1,1,IF((I39-2)=0,0.85,IF((I39-2)=-1,0.5,IF((I39-2)=-2,0.25,0.1))))),"")</f>
        <v/>
      </c>
      <c r="AF39" s="51">
        <f>IFERROR(AB39*VLOOKUP(E39,'Hệ số'!$A$2:$D$8,2,0)*IF((I39-3)&gt;=2,1.2,IF((I39-3)=1,1,IF((I39-3)=0,0.85,IF((I39-3)=-1,0.5,IF((I39-3)=-2,0.25,0.1))))),"")</f>
        <v/>
      </c>
      <c r="AG39" s="51">
        <f>IFERROR(AB39*VLOOKUP(E39,'Hệ số'!$A$2:$D$8,2,0)*IF((I39-4)&gt;=2,1.2,IF((I39-4)=1,1,IF((I39-4)=0,0.85,IF((I39-4)=-1,0.5,IF((I39-4)=-2,0.25,0.1))))),"")</f>
        <v/>
      </c>
      <c r="AH39" s="51">
        <f>IFERROR(AB39*VLOOKUP(E39,'Hệ số'!$A$2:$D$8,2,0)*IF((I39-5)&gt;=2,1.2,IF((I39-5)=1,1,IF((I39-5)=0,0.85,IF((I39-5)=-1,0.5,IF((I39-5)=-2,0.25,0.1))))),"")</f>
        <v/>
      </c>
      <c r="AI39" s="51">
        <f>IFERROR(AB39*VLOOKUP(E39,'Hệ số'!$A$2:$D$8,3,0),"")</f>
        <v/>
      </c>
      <c r="AJ39" s="51">
        <f>IFERROR(AB39*VLOOKUP(E39,'Hệ số'!$A$2:$D$8,4,0)*IF((I39-2)&gt;=2,1.2,IF((I39-2)=1,1,IF((I39-2)=0,0.85,IF((I39-2)=-1,0.5,IF((I39-2)=-2,0.25,0.1))))),"")</f>
        <v/>
      </c>
      <c r="AK39" s="41" t="inlineStr">
        <is>
          <t>Đạn xuyên thẳng qua nhiều mục tiêu; không bị APS; cần đồng đội soi mục tiêu ở tầm xa.</t>
        </is>
      </c>
      <c r="AL39" s="41" t="n"/>
      <c r="AM39" s="41" t="inlineStr">
        <is>
          <t>coilgun (giả tưởng)</t>
        </is>
      </c>
      <c r="AN39" s="41" t="inlineStr">
        <is>
          <t>Giữ.</t>
        </is>
      </c>
      <c r="AO39" s="41" t="n"/>
    </row>
    <row r="40" ht="32.25" customHeight="1" s="32">
      <c r="A40" s="39" t="inlineStr">
        <is>
          <t>cruiser_203</t>
        </is>
      </c>
      <c r="B40" s="39" t="inlineStr">
        <is>
          <t>Mk 71 203 mm (twin)</t>
        </is>
      </c>
      <c r="C40" s="39" t="inlineStr">
        <is>
          <t>Đạn pháo nổ mạnh</t>
        </is>
      </c>
      <c r="D40" s="39" t="inlineStr">
        <is>
          <t>Tuần dương hạm</t>
        </is>
      </c>
      <c r="E40" s="39" t="inlineStr">
        <is>
          <t>Nổ mạnh</t>
        </is>
      </c>
      <c r="F40" s="39" t="inlineStr">
        <is>
          <t>HeShell</t>
        </is>
      </c>
      <c r="G40" s="42" t="n">
        <v>203</v>
      </c>
      <c r="H40" s="42" t="n">
        <v>4</v>
      </c>
      <c r="I40" s="42" t="n">
        <v>4</v>
      </c>
      <c r="J40" s="42" t="n">
        <v>420</v>
      </c>
      <c r="K40" s="42" t="n">
        <v>420</v>
      </c>
      <c r="L40" s="39" t="inlineStr">
        <is>
          <t>loạt</t>
        </is>
      </c>
      <c r="M40" s="39" t="inlineStr">
        <is>
          <t>loạt</t>
        </is>
      </c>
      <c r="N40" s="42" t="n">
        <v>2.5</v>
      </c>
      <c r="O40" s="42" t="n">
        <v>2.5</v>
      </c>
      <c r="P40" s="42" t="n">
        <v>2</v>
      </c>
      <c r="Q40" s="42" t="n">
        <v>2</v>
      </c>
      <c r="R40" s="42" t="n">
        <v>11</v>
      </c>
      <c r="S40" s="42" t="n">
        <v>11</v>
      </c>
      <c r="T40" s="42" t="n">
        <v>105</v>
      </c>
      <c r="U40" s="42" t="n">
        <v>105</v>
      </c>
      <c r="V40" s="42" t="n">
        <v>70</v>
      </c>
      <c r="W40" s="42" t="n">
        <v>70</v>
      </c>
      <c r="X40" s="50">
        <f>IFERROR(U40/W40,"")</f>
        <v/>
      </c>
      <c r="Y40" s="52" t="n">
        <v>5.5</v>
      </c>
      <c r="Z40" s="52" t="n">
        <v>8</v>
      </c>
      <c r="AA40" s="50">
        <f>IFERROR(IF(L40="từng phát",J40*N40,J40*P40/(P40/N40+R40)),"")</f>
        <v/>
      </c>
      <c r="AB40" s="50">
        <f>IFERROR(IF(M40="từng phát",K40*O40,K40*Q40/(Q40/O40+S40)),"")</f>
        <v/>
      </c>
      <c r="AC40" s="50">
        <f>IFERROR(AB40*VLOOKUP(E40,'Hệ số'!$A$2:$D$8,2,0)*IF((I40-0)&gt;=2,1.2,IF((I40-0)=1,1,IF((I40-0)=0,0.85,IF((I40-0)=-1,0.5,IF((I40-0)=-2,0.25,0.1))))),"")</f>
        <v/>
      </c>
      <c r="AD40" s="50">
        <f>IFERROR(AB40*VLOOKUP(E40,'Hệ số'!$A$2:$D$8,2,0)*IF((I40-1)&gt;=2,1.2,IF((I40-1)=1,1,IF((I40-1)=0,0.85,IF((I40-1)=-1,0.5,IF((I40-1)=-2,0.25,0.1))))),"")</f>
        <v/>
      </c>
      <c r="AE40" s="50">
        <f>IFERROR(AB40*VLOOKUP(E40,'Hệ số'!$A$2:$D$8,2,0)*IF((I40-2)&gt;=2,1.2,IF((I40-2)=1,1,IF((I40-2)=0,0.85,IF((I40-2)=-1,0.5,IF((I40-2)=-2,0.25,0.1))))),"")</f>
        <v/>
      </c>
      <c r="AF40" s="50">
        <f>IFERROR(AB40*VLOOKUP(E40,'Hệ số'!$A$2:$D$8,2,0)*IF((I40-3)&gt;=2,1.2,IF((I40-3)=1,1,IF((I40-3)=0,0.85,IF((I40-3)=-1,0.5,IF((I40-3)=-2,0.25,0.1))))),"")</f>
        <v/>
      </c>
      <c r="AG40" s="50">
        <f>IFERROR(AB40*VLOOKUP(E40,'Hệ số'!$A$2:$D$8,2,0)*IF((I40-4)&gt;=2,1.2,IF((I40-4)=1,1,IF((I40-4)=0,0.85,IF((I40-4)=-1,0.5,IF((I40-4)=-2,0.25,0.1))))),"")</f>
        <v/>
      </c>
      <c r="AH40" s="50">
        <f>IFERROR(AB40*VLOOKUP(E40,'Hệ số'!$A$2:$D$8,2,0)*IF((I40-5)&gt;=2,1.2,IF((I40-5)=1,1,IF((I40-5)=0,0.85,IF((I40-5)=-1,0.5,IF((I40-5)=-2,0.25,0.1))))),"")</f>
        <v/>
      </c>
      <c r="AI40" s="50">
        <f>IFERROR(AB40*VLOOKUP(E40,'Hệ số'!$A$2:$D$8,3,0),"")</f>
        <v/>
      </c>
      <c r="AJ40" s="50">
        <f>IFERROR(AB40*VLOOKUP(E40,'Hệ số'!$A$2:$D$8,4,0)*IF((I40-2)&gt;=2,1.2,IF((I40-2)=1,1,IF((I40-2)=0,0.85,IF((I40-2)=-1,0.5,IF((I40-2)=-2,0.25,0.1))))),"")</f>
        <v/>
      </c>
      <c r="AK40" s="39" t="inlineStr">
        <is>
          <t>Bắn cầu vồng hoặc bắn thẳng tùy pháo; nổ lan; C-RAM chặn được một phần; mạnh với công trình (×1,5).</t>
        </is>
      </c>
      <c r="AL40" s="39" t="inlineStr">
        <is>
          <t>Thêm đạn dẫn đường (Excalibur/Krasnopol: 1 phát, không tản mát) cho nhánh hạng 7 hoặc thẻ hỗ trợ.</t>
        </is>
      </c>
      <c r="AM40" s="39" t="inlineStr">
        <is>
          <t>Mk 71 203 mm: 12 phát/phút</t>
        </is>
      </c>
      <c r="AN40" s="39" t="inlineStr">
        <is>
          <t>Thống nhất 203 mm.</t>
        </is>
      </c>
      <c r="AO40" s="48" t="inlineStr">
        <is>
          <t>Trung</t>
        </is>
      </c>
    </row>
    <row r="41" ht="15" customHeight="1" s="32">
      <c r="A41" s="41" t="inlineStr">
        <is>
          <t>detonator</t>
        </is>
      </c>
      <c r="B41" s="41" t="inlineStr">
        <is>
          <t>car bomb (900 kg)</t>
        </is>
      </c>
      <c r="C41" s="41" t="inlineStr">
        <is>
          <t>Khác</t>
        </is>
      </c>
      <c r="D41" s="41" t="inlineStr">
        <is>
          <t>Xe bom</t>
        </is>
      </c>
      <c r="E41" s="41" t="inlineStr">
        <is>
          <t>Nổ mạnh</t>
        </is>
      </c>
      <c r="F41" s="41" t="inlineStr">
        <is>
          <t>CarBomb</t>
        </is>
      </c>
      <c r="G41" s="43" t="n">
        <v>900</v>
      </c>
      <c r="H41" s="43" t="n">
        <v>4</v>
      </c>
      <c r="I41" s="43" t="n">
        <v>4</v>
      </c>
      <c r="J41" s="43" t="n">
        <v>770</v>
      </c>
      <c r="K41" s="43" t="n">
        <v>770</v>
      </c>
      <c r="L41" s="41" t="inlineStr">
        <is>
          <t>từng phát</t>
        </is>
      </c>
      <c r="M41" s="41" t="inlineStr">
        <is>
          <t>từng phát</t>
        </is>
      </c>
      <c r="N41" s="43" t="n">
        <v>1</v>
      </c>
      <c r="O41" s="43" t="n">
        <v>1</v>
      </c>
      <c r="P41" s="43" t="n">
        <v>1</v>
      </c>
      <c r="Q41" s="43" t="n">
        <v>1</v>
      </c>
      <c r="R41" s="43" t="n">
        <v>1</v>
      </c>
      <c r="S41" s="43" t="n">
        <v>1</v>
      </c>
      <c r="T41" s="43" t="n">
        <v>3</v>
      </c>
      <c r="U41" s="43" t="n">
        <v>3</v>
      </c>
      <c r="V41" s="43" t="n">
        <v>100</v>
      </c>
      <c r="W41" s="43" t="n">
        <v>100</v>
      </c>
      <c r="X41" s="51">
        <f>IFERROR(U41/W41,"")</f>
        <v/>
      </c>
      <c r="Y41" s="53" t="n">
        <v>7.5</v>
      </c>
      <c r="Z41" s="53" t="n">
        <v>10</v>
      </c>
      <c r="AA41" s="51">
        <f>IFERROR(IF(L41="từng phát",J41*N41,J41*P41/(P41/N41+R41)),"")</f>
        <v/>
      </c>
      <c r="AB41" s="51">
        <f>IFERROR(IF(M41="từng phát",K41*O41,K41*Q41/(Q41/O41+S41)),"")</f>
        <v/>
      </c>
      <c r="AC41" s="51">
        <f>IFERROR(AB41*VLOOKUP(E41,'Hệ số'!$A$2:$D$8,2,0)*IF((I41-0)&gt;=2,1.2,IF((I41-0)=1,1,IF((I41-0)=0,0.85,IF((I41-0)=-1,0.5,IF((I41-0)=-2,0.25,0.1))))),"")</f>
        <v/>
      </c>
      <c r="AD41" s="51">
        <f>IFERROR(AB41*VLOOKUP(E41,'Hệ số'!$A$2:$D$8,2,0)*IF((I41-1)&gt;=2,1.2,IF((I41-1)=1,1,IF((I41-1)=0,0.85,IF((I41-1)=-1,0.5,IF((I41-1)=-2,0.25,0.1))))),"")</f>
        <v/>
      </c>
      <c r="AE41" s="51">
        <f>IFERROR(AB41*VLOOKUP(E41,'Hệ số'!$A$2:$D$8,2,0)*IF((I41-2)&gt;=2,1.2,IF((I41-2)=1,1,IF((I41-2)=0,0.85,IF((I41-2)=-1,0.5,IF((I41-2)=-2,0.25,0.1))))),"")</f>
        <v/>
      </c>
      <c r="AF41" s="51">
        <f>IFERROR(AB41*VLOOKUP(E41,'Hệ số'!$A$2:$D$8,2,0)*IF((I41-3)&gt;=2,1.2,IF((I41-3)=1,1,IF((I41-3)=0,0.85,IF((I41-3)=-1,0.5,IF((I41-3)=-2,0.25,0.1))))),"")</f>
        <v/>
      </c>
      <c r="AG41" s="51">
        <f>IFERROR(AB41*VLOOKUP(E41,'Hệ số'!$A$2:$D$8,2,0)*IF((I41-4)&gt;=2,1.2,IF((I41-4)=1,1,IF((I41-4)=0,0.85,IF((I41-4)=-1,0.5,IF((I41-4)=-2,0.25,0.1))))),"")</f>
        <v/>
      </c>
      <c r="AH41" s="51">
        <f>IFERROR(AB41*VLOOKUP(E41,'Hệ số'!$A$2:$D$8,2,0)*IF((I41-5)&gt;=2,1.2,IF((I41-5)=1,1,IF((I41-5)=0,0.85,IF((I41-5)=-1,0.5,IF((I41-5)=-2,0.25,0.1))))),"")</f>
        <v/>
      </c>
      <c r="AI41" s="51">
        <f>IFERROR(AB41*VLOOKUP(E41,'Hệ số'!$A$2:$D$8,3,0),"")</f>
        <v/>
      </c>
      <c r="AJ41" s="51">
        <f>IFERROR(AB41*VLOOKUP(E41,'Hệ số'!$A$2:$D$8,4,0)*IF((I41-2)&gt;=2,1.2,IF((I41-2)=1,1,IF((I41-2)=0,0.85,IF((I41-2)=-1,0.5,IF((I41-2)=-2,0.25,0.1))))),"")</f>
        <v/>
      </c>
      <c r="AK41" s="41" t="n"/>
      <c r="AL41" s="41" t="n"/>
      <c r="AM41" s="41" t="inlineStr">
        <is>
          <t>VBIED: hàng trăm kg tới hơn 1 tấn thuốc nổ</t>
        </is>
      </c>
      <c r="AN41" s="41" t="inlineStr">
        <is>
          <t>900 kg thuốc nổ.</t>
        </is>
      </c>
      <c r="AO41" s="48" t="inlineStr">
        <is>
          <t>Trung</t>
        </is>
      </c>
    </row>
    <row r="42" ht="21.75" customHeight="1" s="32">
      <c r="A42" s="39" t="inlineStr">
        <is>
          <t>door_gun</t>
        </is>
      </c>
      <c r="B42" s="39" t="inlineStr">
        <is>
          <t>PKT 7.62 mm</t>
        </is>
      </c>
      <c r="C42" s="39" t="inlineStr">
        <is>
          <t>Súng máy 7,62 mm</t>
        </is>
      </c>
      <c r="D42" s="39" t="inlineStr">
        <is>
          <t>TT hỏa lực</t>
        </is>
      </c>
      <c r="E42" s="39" t="inlineStr">
        <is>
          <t>Động năng</t>
        </is>
      </c>
      <c r="F42" s="39" t="inlineStr">
        <is>
          <t>BulletSmall</t>
        </is>
      </c>
      <c r="G42" s="42" t="n">
        <v>7.6</v>
      </c>
      <c r="H42" s="42" t="n">
        <v>0</v>
      </c>
      <c r="I42" s="42" t="n">
        <v>0</v>
      </c>
      <c r="J42" s="42" t="n">
        <v>5.5</v>
      </c>
      <c r="K42" s="42" t="n">
        <v>5.5</v>
      </c>
      <c r="L42" s="39" t="inlineStr">
        <is>
          <t>băng</t>
        </is>
      </c>
      <c r="M42" s="39" t="inlineStr">
        <is>
          <t>băng</t>
        </is>
      </c>
      <c r="N42" s="42" t="n">
        <v>12</v>
      </c>
      <c r="O42" s="42" t="n">
        <v>12</v>
      </c>
      <c r="P42" s="42" t="n">
        <v>46</v>
      </c>
      <c r="Q42" s="42" t="n">
        <v>100</v>
      </c>
      <c r="R42" s="42" t="n">
        <v>0.58</v>
      </c>
      <c r="S42" s="42" t="n">
        <v>4</v>
      </c>
      <c r="T42" s="42" t="n">
        <v>22</v>
      </c>
      <c r="U42" s="42" t="n">
        <v>22</v>
      </c>
      <c r="V42" s="42" t="n">
        <v>220</v>
      </c>
      <c r="W42" s="42" t="n">
        <v>220</v>
      </c>
      <c r="X42" s="50">
        <f>IFERROR(U42/W42,"")</f>
        <v/>
      </c>
      <c r="Y42" s="50" t="n"/>
      <c r="Z42" s="50" t="n"/>
      <c r="AA42" s="50">
        <f>IFERROR(IF(L42="từng phát",J42*N42,J42*P42/(P42/N42+R42)),"")</f>
        <v/>
      </c>
      <c r="AB42" s="50">
        <f>IFERROR(IF(M42="từng phát",K42*O42,K42*Q42/(Q42/O42+S42)),"")</f>
        <v/>
      </c>
      <c r="AC42" s="50">
        <f>IFERROR(AB42*VLOOKUP(E42,'Hệ số'!$A$2:$D$8,2,0)*IF((I42-0)&gt;=2,1.2,IF((I42-0)=1,1,IF((I42-0)=0,0.85,IF((I42-0)=-1,0.5,IF((I42-0)=-2,0.25,0.1))))),"")</f>
        <v/>
      </c>
      <c r="AD42" s="50">
        <f>IFERROR(AB42*VLOOKUP(E42,'Hệ số'!$A$2:$D$8,2,0)*IF((I42-1)&gt;=2,1.2,IF((I42-1)=1,1,IF((I42-1)=0,0.85,IF((I42-1)=-1,0.5,IF((I42-1)=-2,0.25,0.1))))),"")</f>
        <v/>
      </c>
      <c r="AE42" s="50">
        <f>IFERROR(AB42*VLOOKUP(E42,'Hệ số'!$A$2:$D$8,2,0)*IF((I42-2)&gt;=2,1.2,IF((I42-2)=1,1,IF((I42-2)=0,0.85,IF((I42-2)=-1,0.5,IF((I42-2)=-2,0.25,0.1))))),"")</f>
        <v/>
      </c>
      <c r="AF42" s="50">
        <f>IFERROR(AB42*VLOOKUP(E42,'Hệ số'!$A$2:$D$8,2,0)*IF((I42-3)&gt;=2,1.2,IF((I42-3)=1,1,IF((I42-3)=0,0.85,IF((I42-3)=-1,0.5,IF((I42-3)=-2,0.25,0.1))))),"")</f>
        <v/>
      </c>
      <c r="AG42" s="50">
        <f>IFERROR(AB42*VLOOKUP(E42,'Hệ số'!$A$2:$D$8,2,0)*IF((I42-4)&gt;=2,1.2,IF((I42-4)=1,1,IF((I42-4)=0,0.85,IF((I42-4)=-1,0.5,IF((I42-4)=-2,0.25,0.1))))),"")</f>
        <v/>
      </c>
      <c r="AH42" s="50">
        <f>IFERROR(AB42*VLOOKUP(E42,'Hệ số'!$A$2:$D$8,2,0)*IF((I42-5)&gt;=2,1.2,IF((I42-5)=1,1,IF((I42-5)=0,0.85,IF((I42-5)=-1,0.5,IF((I42-5)=-2,0.25,0.1))))),"")</f>
        <v/>
      </c>
      <c r="AI42" s="50">
        <f>IFERROR(AB42*VLOOKUP(E42,'Hệ số'!$A$2:$D$8,3,0),"")</f>
        <v/>
      </c>
      <c r="AJ42" s="50">
        <f>IFERROR(AB42*VLOOKUP(E42,'Hệ số'!$A$2:$D$8,4,0)*IF((I42-2)&gt;=2,1.2,IF((I42-2)=1,1,IF((I42-2)=0,0.85,IF((I42-2)=-1,0.5,IF((I42-2)=-2,0.25,0.1))))),"")</f>
        <v/>
      </c>
      <c r="AK42" s="39" t="inlineStr">
        <is>
          <t>Bắn cả khi chạy; bắn cả mục tiêu bay thấp; đạn nảy khỏi giáp từ cấp 1.</t>
        </is>
      </c>
      <c r="AL42" s="39" t="n"/>
      <c r="AM42" s="39" t="inlineStr">
        <is>
          <t>PKT: 700–800</t>
        </is>
      </c>
      <c r="AN42" s="39" t="inlineStr">
        <is>
          <t>Như PKT đồng trục.</t>
        </is>
      </c>
      <c r="AO42" s="48" t="inlineStr">
        <is>
          <t>Trung</t>
        </is>
      </c>
    </row>
    <row r="43" ht="15" customHeight="1" s="32">
      <c r="A43" s="41" t="inlineStr">
        <is>
          <t>dozer_blade</t>
        </is>
      </c>
      <c r="B43" s="41" t="inlineStr">
        <is>
          <t>dozer blade</t>
        </is>
      </c>
      <c r="C43" s="41" t="inlineStr">
        <is>
          <t>Khác</t>
        </is>
      </c>
      <c r="D43" s="41" t="inlineStr">
        <is>
          <t>Xe ủi</t>
        </is>
      </c>
      <c r="E43" s="41" t="inlineStr">
        <is>
          <t>Động năng</t>
        </is>
      </c>
      <c r="F43" s="41" t="inlineStr">
        <is>
          <t>Blade</t>
        </is>
      </c>
      <c r="G43" s="43" t="n">
        <v>1</v>
      </c>
      <c r="H43" s="43" t="n">
        <v>3</v>
      </c>
      <c r="I43" s="43" t="n">
        <v>3</v>
      </c>
      <c r="J43" s="43" t="n">
        <v>110</v>
      </c>
      <c r="K43" s="43" t="n">
        <v>110</v>
      </c>
      <c r="L43" s="41" t="inlineStr">
        <is>
          <t>từng phát</t>
        </is>
      </c>
      <c r="M43" s="41" t="inlineStr">
        <is>
          <t>từng phát</t>
        </is>
      </c>
      <c r="N43" s="43" t="n">
        <v>0.625</v>
      </c>
      <c r="O43" s="43" t="n">
        <v>0.625</v>
      </c>
      <c r="P43" s="43" t="n">
        <v>1</v>
      </c>
      <c r="Q43" s="43" t="n">
        <v>1</v>
      </c>
      <c r="R43" s="43" t="n">
        <v>1.6</v>
      </c>
      <c r="S43" s="43" t="n">
        <v>1.6</v>
      </c>
      <c r="T43" s="43" t="n">
        <v>4</v>
      </c>
      <c r="U43" s="43" t="n">
        <v>4</v>
      </c>
      <c r="V43" s="43" t="n">
        <v>400</v>
      </c>
      <c r="W43" s="43" t="n">
        <v>400</v>
      </c>
      <c r="X43" s="51">
        <f>IFERROR(U43/W43,"")</f>
        <v/>
      </c>
      <c r="Y43" s="51" t="n"/>
      <c r="Z43" s="51" t="n"/>
      <c r="AA43" s="51">
        <f>IFERROR(IF(L43="từng phát",J43*N43,J43*P43/(P43/N43+R43)),"")</f>
        <v/>
      </c>
      <c r="AB43" s="51">
        <f>IFERROR(IF(M43="từng phát",K43*O43,K43*Q43/(Q43/O43+S43)),"")</f>
        <v/>
      </c>
      <c r="AC43" s="51">
        <f>IFERROR(AB43*VLOOKUP(E43,'Hệ số'!$A$2:$D$8,2,0)*IF((I43-0)&gt;=2,1.2,IF((I43-0)=1,1,IF((I43-0)=0,0.85,IF((I43-0)=-1,0.5,IF((I43-0)=-2,0.25,0.1))))),"")</f>
        <v/>
      </c>
      <c r="AD43" s="51">
        <f>IFERROR(AB43*VLOOKUP(E43,'Hệ số'!$A$2:$D$8,2,0)*IF((I43-1)&gt;=2,1.2,IF((I43-1)=1,1,IF((I43-1)=0,0.85,IF((I43-1)=-1,0.5,IF((I43-1)=-2,0.25,0.1))))),"")</f>
        <v/>
      </c>
      <c r="AE43" s="51">
        <f>IFERROR(AB43*VLOOKUP(E43,'Hệ số'!$A$2:$D$8,2,0)*IF((I43-2)&gt;=2,1.2,IF((I43-2)=1,1,IF((I43-2)=0,0.85,IF((I43-2)=-1,0.5,IF((I43-2)=-2,0.25,0.1))))),"")</f>
        <v/>
      </c>
      <c r="AF43" s="51">
        <f>IFERROR(AB43*VLOOKUP(E43,'Hệ số'!$A$2:$D$8,2,0)*IF((I43-3)&gt;=2,1.2,IF((I43-3)=1,1,IF((I43-3)=0,0.85,IF((I43-3)=-1,0.5,IF((I43-3)=-2,0.25,0.1))))),"")</f>
        <v/>
      </c>
      <c r="AG43" s="51">
        <f>IFERROR(AB43*VLOOKUP(E43,'Hệ số'!$A$2:$D$8,2,0)*IF((I43-4)&gt;=2,1.2,IF((I43-4)=1,1,IF((I43-4)=0,0.85,IF((I43-4)=-1,0.5,IF((I43-4)=-2,0.25,0.1))))),"")</f>
        <v/>
      </c>
      <c r="AH43" s="51">
        <f>IFERROR(AB43*VLOOKUP(E43,'Hệ số'!$A$2:$D$8,2,0)*IF((I43-5)&gt;=2,1.2,IF((I43-5)=1,1,IF((I43-5)=0,0.85,IF((I43-5)=-1,0.5,IF((I43-5)=-2,0.25,0.1))))),"")</f>
        <v/>
      </c>
      <c r="AI43" s="51">
        <f>IFERROR(AB43*VLOOKUP(E43,'Hệ số'!$A$2:$D$8,3,0),"")</f>
        <v/>
      </c>
      <c r="AJ43" s="51">
        <f>IFERROR(AB43*VLOOKUP(E43,'Hệ số'!$A$2:$D$8,4,0)*IF((I43-2)&gt;=2,1.2,IF((I43-2)=1,1,IF((I43-2)=0,0.85,IF((I43-2)=-1,0.5,IF((I43-2)=-2,0.25,0.1))))),"")</f>
        <v/>
      </c>
      <c r="AK43" s="41" t="n"/>
      <c r="AL43" s="41" t="n"/>
      <c r="AM43" s="41" t="n"/>
      <c r="AN43" s="41" t="inlineStr">
        <is>
          <t>Giữ.</t>
        </is>
      </c>
      <c r="AO43" s="41" t="n"/>
    </row>
    <row r="44" ht="21.75" customHeight="1" s="32">
      <c r="A44" s="39" t="inlineStr">
        <is>
          <t>drone_missile</t>
        </is>
      </c>
      <c r="B44" s="39" t="inlineStr">
        <is>
          <t>AGM-114 Hellfire</t>
        </is>
      </c>
      <c r="C44" s="39" t="inlineStr">
        <is>
          <t>Tên lửa chống tăng / không đối đất</t>
        </is>
      </c>
      <c r="D44" s="39" t="inlineStr">
        <is>
          <t>UAV tấn công</t>
        </is>
      </c>
      <c r="E44" s="39" t="inlineStr">
        <is>
          <t>Nổ lõm</t>
        </is>
      </c>
      <c r="F44" s="39" t="inlineStr">
        <is>
          <t>Atgm</t>
        </is>
      </c>
      <c r="G44" s="42" t="n">
        <v>49</v>
      </c>
      <c r="H44" s="42" t="n">
        <v>4</v>
      </c>
      <c r="I44" s="42" t="n">
        <v>4</v>
      </c>
      <c r="J44" s="42" t="n">
        <v>260</v>
      </c>
      <c r="K44" s="42" t="n">
        <v>260</v>
      </c>
      <c r="L44" s="39" t="inlineStr">
        <is>
          <t>từng phát</t>
        </is>
      </c>
      <c r="M44" s="39" t="inlineStr">
        <is>
          <t>từng phát</t>
        </is>
      </c>
      <c r="N44" s="42" t="n">
        <v>0.279329608938548</v>
      </c>
      <c r="O44" s="42" t="n">
        <v>0.279329608938548</v>
      </c>
      <c r="P44" s="42" t="n">
        <v>1</v>
      </c>
      <c r="Q44" s="42" t="n">
        <v>1</v>
      </c>
      <c r="R44" s="42" t="n">
        <v>3.58</v>
      </c>
      <c r="S44" s="42" t="n">
        <v>3.58</v>
      </c>
      <c r="T44" s="42" t="n">
        <v>48</v>
      </c>
      <c r="U44" s="42" t="n">
        <v>48</v>
      </c>
      <c r="V44" s="42" t="n">
        <v>21</v>
      </c>
      <c r="W44" s="42" t="n">
        <v>26</v>
      </c>
      <c r="X44" s="50">
        <f>IFERROR(U44/W44,"")</f>
        <v/>
      </c>
      <c r="Y44" s="50" t="n"/>
      <c r="Z44" s="50" t="n"/>
      <c r="AA44" s="50">
        <f>IFERROR(IF(L44="từng phát",J44*N44,J44*P44/(P44/N44+R44)),"")</f>
        <v/>
      </c>
      <c r="AB44" s="50">
        <f>IFERROR(IF(M44="từng phát",K44*O44,K44*Q44/(Q44/O44+S44)),"")</f>
        <v/>
      </c>
      <c r="AC44" s="50">
        <f>IFERROR(AB44*VLOOKUP(E44,'Hệ số'!$A$2:$D$8,2,0)*IF((I44-0)&gt;=2,1.2,IF((I44-0)=1,1,IF((I44-0)=0,0.85,IF((I44-0)=-1,0.5,IF((I44-0)=-2,0.25,0.1))))),"")</f>
        <v/>
      </c>
      <c r="AD44" s="50">
        <f>IFERROR(AB44*VLOOKUP(E44,'Hệ số'!$A$2:$D$8,2,0)*IF((I44-1)&gt;=2,1.2,IF((I44-1)=1,1,IF((I44-1)=0,0.85,IF((I44-1)=-1,0.5,IF((I44-1)=-2,0.25,0.1))))),"")</f>
        <v/>
      </c>
      <c r="AE44" s="50">
        <f>IFERROR(AB44*VLOOKUP(E44,'Hệ số'!$A$2:$D$8,2,0)*IF((I44-2)&gt;=2,1.2,IF((I44-2)=1,1,IF((I44-2)=0,0.85,IF((I44-2)=-1,0.5,IF((I44-2)=-2,0.25,0.1))))),"")</f>
        <v/>
      </c>
      <c r="AF44" s="50">
        <f>IFERROR(AB44*VLOOKUP(E44,'Hệ số'!$A$2:$D$8,2,0)*IF((I44-3)&gt;=2,1.2,IF((I44-3)=1,1,IF((I44-3)=0,0.85,IF((I44-3)=-1,0.5,IF((I44-3)=-2,0.25,0.1))))),"")</f>
        <v/>
      </c>
      <c r="AG44" s="50">
        <f>IFERROR(AB44*VLOOKUP(E44,'Hệ số'!$A$2:$D$8,2,0)*IF((I44-4)&gt;=2,1.2,IF((I44-4)=1,1,IF((I44-4)=0,0.85,IF((I44-4)=-1,0.5,IF((I44-4)=-2,0.25,0.1))))),"")</f>
        <v/>
      </c>
      <c r="AH44" s="50">
        <f>IFERROR(AB44*VLOOKUP(E44,'Hệ số'!$A$2:$D$8,2,0)*IF((I44-5)&gt;=2,1.2,IF((I44-5)=1,1,IF((I44-5)=0,0.85,IF((I44-5)=-1,0.5,IF((I44-5)=-2,0.25,0.1))))),"")</f>
        <v/>
      </c>
      <c r="AI44" s="50">
        <f>IFERROR(AB44*VLOOKUP(E44,'Hệ số'!$A$2:$D$8,3,0),"")</f>
        <v/>
      </c>
      <c r="AJ44" s="50">
        <f>IFERROR(AB44*VLOOKUP(E44,'Hệ số'!$A$2:$D$8,4,0)*IF((I44-2)&gt;=2,1.2,IF((I44-2)=1,1,IF((I44-2)=0,0.85,IF((I44-2)=-1,0.5,IF((I44-2)=-2,0.25,0.1))))),"")</f>
        <v/>
      </c>
      <c r="AK44" s="39" t="inlineStr">
        <is>
          <t>Dẫn đường; bị APS và giáp phản ứng nổ giảm (đầu nổ lõm); bay chậm nên né và khói có tác dụng.</t>
        </is>
      </c>
      <c r="AL44" s="39" t="n"/>
      <c r="AM44" s="39" t="inlineStr">
        <is>
          <t>Hellfire</t>
        </is>
      </c>
      <c r="AN44" s="39" t="inlineStr">
        <is>
          <t>Tốc độ bay 21→26 m/s: Thống nhất Hellfire.</t>
        </is>
      </c>
      <c r="AO44" s="48" t="inlineStr">
        <is>
          <t>Trung</t>
        </is>
      </c>
    </row>
    <row r="45" ht="32.25" customHeight="1" s="32">
      <c r="A45" s="41" t="inlineStr">
        <is>
          <t>fighter_cannon</t>
        </is>
      </c>
      <c r="B45" s="41" t="inlineStr">
        <is>
          <t>GAU-22/A 25 mm</t>
        </is>
      </c>
      <c r="C45" s="41" t="inlineStr">
        <is>
          <t>Pháo tự động / cao xạ 20–40 mm</t>
        </is>
      </c>
      <c r="D45" s="41" t="inlineStr">
        <is>
          <t>Morrigan, TK tàng hình,</t>
        </is>
      </c>
      <c r="E45" s="41" t="inlineStr">
        <is>
          <t>Mảnh</t>
        </is>
      </c>
      <c r="F45" s="41" t="inlineStr">
        <is>
          <t>BeltedAutocannon</t>
        </is>
      </c>
      <c r="G45" s="43" t="n">
        <v>25</v>
      </c>
      <c r="H45" s="43" t="n">
        <v>2</v>
      </c>
      <c r="I45" s="43" t="n">
        <v>2</v>
      </c>
      <c r="J45" s="43" t="n">
        <v>18</v>
      </c>
      <c r="K45" s="43" t="n">
        <v>18</v>
      </c>
      <c r="L45" s="41" t="inlineStr">
        <is>
          <t>băng</t>
        </is>
      </c>
      <c r="M45" s="41" t="inlineStr">
        <is>
          <t>băng</t>
        </is>
      </c>
      <c r="N45" s="43" t="n">
        <v>9</v>
      </c>
      <c r="O45" s="43" t="n">
        <v>9</v>
      </c>
      <c r="P45" s="43" t="n">
        <v>44</v>
      </c>
      <c r="Q45" s="43" t="n">
        <v>44</v>
      </c>
      <c r="R45" s="43" t="n">
        <v>1</v>
      </c>
      <c r="S45" s="43" t="n">
        <v>1</v>
      </c>
      <c r="T45" s="43" t="n">
        <v>30</v>
      </c>
      <c r="U45" s="43" t="n">
        <v>30</v>
      </c>
      <c r="V45" s="43" t="n">
        <v>320</v>
      </c>
      <c r="W45" s="43" t="n">
        <v>320</v>
      </c>
      <c r="X45" s="51">
        <f>IFERROR(U45/W45,"")</f>
        <v/>
      </c>
      <c r="Y45" s="51" t="n"/>
      <c r="Z45" s="51" t="n"/>
      <c r="AA45" s="51">
        <f>IFERROR(IF(L45="từng phát",J45*N45,J45*P45/(P45/N45+R45)),"")</f>
        <v/>
      </c>
      <c r="AB45" s="51">
        <f>IFERROR(IF(M45="từng phát",K45*O45,K45*Q45/(Q45/O45+S45)),"")</f>
        <v/>
      </c>
      <c r="AC45" s="51">
        <f>IFERROR(AB45*VLOOKUP(E45,'Hệ số'!$A$2:$D$8,2,0)*IF((I45-0)&gt;=2,1.2,IF((I45-0)=1,1,IF((I45-0)=0,0.85,IF((I45-0)=-1,0.5,IF((I45-0)=-2,0.25,0.1))))),"")</f>
        <v/>
      </c>
      <c r="AD45" s="51">
        <f>IFERROR(AB45*VLOOKUP(E45,'Hệ số'!$A$2:$D$8,2,0)*IF((I45-1)&gt;=2,1.2,IF((I45-1)=1,1,IF((I45-1)=0,0.85,IF((I45-1)=-1,0.5,IF((I45-1)=-2,0.25,0.1))))),"")</f>
        <v/>
      </c>
      <c r="AE45" s="51">
        <f>IFERROR(AB45*VLOOKUP(E45,'Hệ số'!$A$2:$D$8,2,0)*IF((I45-2)&gt;=2,1.2,IF((I45-2)=1,1,IF((I45-2)=0,0.85,IF((I45-2)=-1,0.5,IF((I45-2)=-2,0.25,0.1))))),"")</f>
        <v/>
      </c>
      <c r="AF45" s="51">
        <f>IFERROR(AB45*VLOOKUP(E45,'Hệ số'!$A$2:$D$8,2,0)*IF((I45-3)&gt;=2,1.2,IF((I45-3)=1,1,IF((I45-3)=0,0.85,IF((I45-3)=-1,0.5,IF((I45-3)=-2,0.25,0.1))))),"")</f>
        <v/>
      </c>
      <c r="AG45" s="51">
        <f>IFERROR(AB45*VLOOKUP(E45,'Hệ số'!$A$2:$D$8,2,0)*IF((I45-4)&gt;=2,1.2,IF((I45-4)=1,1,IF((I45-4)=0,0.85,IF((I45-4)=-1,0.5,IF((I45-4)=-2,0.25,0.1))))),"")</f>
        <v/>
      </c>
      <c r="AH45" s="51">
        <f>IFERROR(AB45*VLOOKUP(E45,'Hệ số'!$A$2:$D$8,2,0)*IF((I45-5)&gt;=2,1.2,IF((I45-5)=1,1,IF((I45-5)=0,0.85,IF((I45-5)=-1,0.5,IF((I45-5)=-2,0.25,0.1))))),"")</f>
        <v/>
      </c>
      <c r="AI45" s="51">
        <f>IFERROR(AB45*VLOOKUP(E45,'Hệ số'!$A$2:$D$8,3,0),"")</f>
        <v/>
      </c>
      <c r="AJ45" s="51">
        <f>IFERROR(AB45*VLOOKUP(E45,'Hệ số'!$A$2:$D$8,4,0)*IF((I45-2)&gt;=2,1.2,IF((I45-2)=1,1,IF((I45-2)=0,0.85,IF((I45-2)=-1,0.5,IF((I45-2)=-2,0.25,0.1))))),"")</f>
        <v/>
      </c>
      <c r="AK45" s="41" t="inlineStr">
        <is>
          <t>Bắn loạt; đạn nổ trên không (Mảnh) mạnh với máy bay và drone, yếu với giáp; đạn xuyên (Động năng) mạnh với giáp 0–2.</t>
        </is>
      </c>
      <c r="AL45" s="41" t="inlineStr">
        <is>
          <t>Tự đổi: đạn xuyên (Động năng) với xe, đạn nổ trên không (Mảnh) với máy bay/drone.</t>
        </is>
      </c>
      <c r="AM45" s="41" t="inlineStr">
        <is>
          <t>GAU-22/A: 3.300</t>
        </is>
      </c>
      <c r="AN45" s="41" t="inlineStr">
        <is>
          <t>Giữ.</t>
        </is>
      </c>
      <c r="AO45" s="41" t="n"/>
    </row>
    <row r="46" ht="32.25" customHeight="1" s="32">
      <c r="A46" s="39" t="inlineStr">
        <is>
          <t>flak_35</t>
        </is>
      </c>
      <c r="B46" s="39" t="inlineStr">
        <is>
          <t>Oerlikon KDA 35 mm</t>
        </is>
      </c>
      <c r="C46" s="39" t="inlineStr">
        <is>
          <t>Pháo tự động / cao xạ 20–40 mm</t>
        </is>
      </c>
      <c r="D46" s="39" t="inlineStr">
        <is>
          <t>Phòng không</t>
        </is>
      </c>
      <c r="E46" s="39" t="inlineStr">
        <is>
          <t>Mảnh</t>
        </is>
      </c>
      <c r="F46" s="39" t="inlineStr">
        <is>
          <t>Airburst</t>
        </is>
      </c>
      <c r="G46" s="42" t="n">
        <v>35</v>
      </c>
      <c r="H46" s="42" t="n">
        <v>2</v>
      </c>
      <c r="I46" s="42" t="n">
        <v>2</v>
      </c>
      <c r="J46" s="42" t="n">
        <v>26</v>
      </c>
      <c r="K46" s="42" t="n">
        <v>26</v>
      </c>
      <c r="L46" s="39" t="inlineStr">
        <is>
          <t>băng</t>
        </is>
      </c>
      <c r="M46" s="39" t="inlineStr">
        <is>
          <t>băng</t>
        </is>
      </c>
      <c r="N46" s="42" t="n">
        <v>4</v>
      </c>
      <c r="O46" s="42" t="n">
        <v>4</v>
      </c>
      <c r="P46" s="42" t="n">
        <v>22</v>
      </c>
      <c r="Q46" s="42" t="n">
        <v>22</v>
      </c>
      <c r="R46" s="42" t="n">
        <v>1</v>
      </c>
      <c r="S46" s="42" t="n">
        <v>1</v>
      </c>
      <c r="T46" s="42" t="n">
        <v>36</v>
      </c>
      <c r="U46" s="42" t="n">
        <v>36</v>
      </c>
      <c r="V46" s="42" t="n">
        <v>260</v>
      </c>
      <c r="W46" s="42" t="n">
        <v>260</v>
      </c>
      <c r="X46" s="50">
        <f>IFERROR(U46/W46,"")</f>
        <v/>
      </c>
      <c r="Y46" s="52" t="n">
        <v>2.5</v>
      </c>
      <c r="Z46" s="52" t="n">
        <v>2.5</v>
      </c>
      <c r="AA46" s="50">
        <f>IFERROR(IF(L46="từng phát",J46*N46,J46*P46/(P46/N46+R46)),"")</f>
        <v/>
      </c>
      <c r="AB46" s="50">
        <f>IFERROR(IF(M46="từng phát",K46*O46,K46*Q46/(Q46/O46+S46)),"")</f>
        <v/>
      </c>
      <c r="AC46" s="50">
        <f>IFERROR(AB46*VLOOKUP(E46,'Hệ số'!$A$2:$D$8,2,0)*IF((I46-0)&gt;=2,1.2,IF((I46-0)=1,1,IF((I46-0)=0,0.85,IF((I46-0)=-1,0.5,IF((I46-0)=-2,0.25,0.1))))),"")</f>
        <v/>
      </c>
      <c r="AD46" s="50">
        <f>IFERROR(AB46*VLOOKUP(E46,'Hệ số'!$A$2:$D$8,2,0)*IF((I46-1)&gt;=2,1.2,IF((I46-1)=1,1,IF((I46-1)=0,0.85,IF((I46-1)=-1,0.5,IF((I46-1)=-2,0.25,0.1))))),"")</f>
        <v/>
      </c>
      <c r="AE46" s="50">
        <f>IFERROR(AB46*VLOOKUP(E46,'Hệ số'!$A$2:$D$8,2,0)*IF((I46-2)&gt;=2,1.2,IF((I46-2)=1,1,IF((I46-2)=0,0.85,IF((I46-2)=-1,0.5,IF((I46-2)=-2,0.25,0.1))))),"")</f>
        <v/>
      </c>
      <c r="AF46" s="50">
        <f>IFERROR(AB46*VLOOKUP(E46,'Hệ số'!$A$2:$D$8,2,0)*IF((I46-3)&gt;=2,1.2,IF((I46-3)=1,1,IF((I46-3)=0,0.85,IF((I46-3)=-1,0.5,IF((I46-3)=-2,0.25,0.1))))),"")</f>
        <v/>
      </c>
      <c r="AG46" s="50">
        <f>IFERROR(AB46*VLOOKUP(E46,'Hệ số'!$A$2:$D$8,2,0)*IF((I46-4)&gt;=2,1.2,IF((I46-4)=1,1,IF((I46-4)=0,0.85,IF((I46-4)=-1,0.5,IF((I46-4)=-2,0.25,0.1))))),"")</f>
        <v/>
      </c>
      <c r="AH46" s="50">
        <f>IFERROR(AB46*VLOOKUP(E46,'Hệ số'!$A$2:$D$8,2,0)*IF((I46-5)&gt;=2,1.2,IF((I46-5)=1,1,IF((I46-5)=0,0.85,IF((I46-5)=-1,0.5,IF((I46-5)=-2,0.25,0.1))))),"")</f>
        <v/>
      </c>
      <c r="AI46" s="50">
        <f>IFERROR(AB46*VLOOKUP(E46,'Hệ số'!$A$2:$D$8,3,0),"")</f>
        <v/>
      </c>
      <c r="AJ46" s="50">
        <f>IFERROR(AB46*VLOOKUP(E46,'Hệ số'!$A$2:$D$8,4,0)*IF((I46-2)&gt;=2,1.2,IF((I46-2)=1,1,IF((I46-2)=0,0.85,IF((I46-2)=-1,0.5,IF((I46-2)=-2,0.25,0.1))))),"")</f>
        <v/>
      </c>
      <c r="AK46" s="39" t="inlineStr">
        <is>
          <t>Bắn loạt; đạn nổ trên không (Mảnh) mạnh với máy bay và drone, yếu với giáp; đạn xuyên (Động năng) mạnh với giáp 0–2.</t>
        </is>
      </c>
      <c r="AL46" s="39" t="inlineStr">
        <is>
          <t>Tự đổi: đạn xuyên (Động năng) với xe, đạn nổ trên không (Mảnh) với máy bay/drone.</t>
        </is>
      </c>
      <c r="AM46" s="39" t="inlineStr">
        <is>
          <t>KDA 35 mm: 550 phát/phút mỗi nòng</t>
        </is>
      </c>
      <c r="AN46" s="39" t="inlineStr">
        <is>
          <t>Giữ.</t>
        </is>
      </c>
      <c r="AO46" s="39" t="n"/>
    </row>
    <row r="47" ht="32.25" customHeight="1" s="32">
      <c r="A47" s="41" t="inlineStr">
        <is>
          <t>flak_quad</t>
        </is>
      </c>
      <c r="B47" s="41" t="inlineStr">
        <is>
          <t>ZSU-23-4 23 mm</t>
        </is>
      </c>
      <c r="C47" s="41" t="inlineStr">
        <is>
          <t>Pháo tự động / cao xạ 20–40 mm</t>
        </is>
      </c>
      <c r="D47" s="41" t="inlineStr">
        <is>
          <t>Tháp cao xạ</t>
        </is>
      </c>
      <c r="E47" s="41" t="inlineStr">
        <is>
          <t>Mảnh</t>
        </is>
      </c>
      <c r="F47" s="41" t="inlineStr">
        <is>
          <t>Airburst</t>
        </is>
      </c>
      <c r="G47" s="43" t="n">
        <v>23</v>
      </c>
      <c r="H47" s="43" t="n">
        <v>1</v>
      </c>
      <c r="I47" s="43" t="n">
        <v>1</v>
      </c>
      <c r="J47" s="43" t="n">
        <v>14</v>
      </c>
      <c r="K47" s="43" t="n">
        <v>14</v>
      </c>
      <c r="L47" s="41" t="inlineStr">
        <is>
          <t>băng</t>
        </is>
      </c>
      <c r="M47" s="41" t="inlineStr">
        <is>
          <t>băng</t>
        </is>
      </c>
      <c r="N47" s="43" t="n">
        <v>31</v>
      </c>
      <c r="O47" s="43" t="n">
        <v>31</v>
      </c>
      <c r="P47" s="43" t="n">
        <v>54</v>
      </c>
      <c r="Q47" s="43" t="n">
        <v>54</v>
      </c>
      <c r="R47" s="43" t="n">
        <v>1.5</v>
      </c>
      <c r="S47" s="43" t="n">
        <v>1.5</v>
      </c>
      <c r="T47" s="43" t="n">
        <v>46</v>
      </c>
      <c r="U47" s="43" t="n">
        <v>46</v>
      </c>
      <c r="V47" s="43" t="n">
        <v>300</v>
      </c>
      <c r="W47" s="43" t="n">
        <v>300</v>
      </c>
      <c r="X47" s="51">
        <f>IFERROR(U47/W47,"")</f>
        <v/>
      </c>
      <c r="Y47" s="53" t="n">
        <v>3.5</v>
      </c>
      <c r="Z47" s="53" t="n">
        <v>3.5</v>
      </c>
      <c r="AA47" s="51">
        <f>IFERROR(IF(L47="từng phát",J47*N47,J47*P47/(P47/N47+R47)),"")</f>
        <v/>
      </c>
      <c r="AB47" s="51">
        <f>IFERROR(IF(M47="từng phát",K47*O47,K47*Q47/(Q47/O47+S47)),"")</f>
        <v/>
      </c>
      <c r="AC47" s="51">
        <f>IFERROR(AB47*VLOOKUP(E47,'Hệ số'!$A$2:$D$8,2,0)*IF((I47-0)&gt;=2,1.2,IF((I47-0)=1,1,IF((I47-0)=0,0.85,IF((I47-0)=-1,0.5,IF((I47-0)=-2,0.25,0.1))))),"")</f>
        <v/>
      </c>
      <c r="AD47" s="51">
        <f>IFERROR(AB47*VLOOKUP(E47,'Hệ số'!$A$2:$D$8,2,0)*IF((I47-1)&gt;=2,1.2,IF((I47-1)=1,1,IF((I47-1)=0,0.85,IF((I47-1)=-1,0.5,IF((I47-1)=-2,0.25,0.1))))),"")</f>
        <v/>
      </c>
      <c r="AE47" s="51">
        <f>IFERROR(AB47*VLOOKUP(E47,'Hệ số'!$A$2:$D$8,2,0)*IF((I47-2)&gt;=2,1.2,IF((I47-2)=1,1,IF((I47-2)=0,0.85,IF((I47-2)=-1,0.5,IF((I47-2)=-2,0.25,0.1))))),"")</f>
        <v/>
      </c>
      <c r="AF47" s="51">
        <f>IFERROR(AB47*VLOOKUP(E47,'Hệ số'!$A$2:$D$8,2,0)*IF((I47-3)&gt;=2,1.2,IF((I47-3)=1,1,IF((I47-3)=0,0.85,IF((I47-3)=-1,0.5,IF((I47-3)=-2,0.25,0.1))))),"")</f>
        <v/>
      </c>
      <c r="AG47" s="51">
        <f>IFERROR(AB47*VLOOKUP(E47,'Hệ số'!$A$2:$D$8,2,0)*IF((I47-4)&gt;=2,1.2,IF((I47-4)=1,1,IF((I47-4)=0,0.85,IF((I47-4)=-1,0.5,IF((I47-4)=-2,0.25,0.1))))),"")</f>
        <v/>
      </c>
      <c r="AH47" s="51">
        <f>IFERROR(AB47*VLOOKUP(E47,'Hệ số'!$A$2:$D$8,2,0)*IF((I47-5)&gt;=2,1.2,IF((I47-5)=1,1,IF((I47-5)=0,0.85,IF((I47-5)=-1,0.5,IF((I47-5)=-2,0.25,0.1))))),"")</f>
        <v/>
      </c>
      <c r="AI47" s="51">
        <f>IFERROR(AB47*VLOOKUP(E47,'Hệ số'!$A$2:$D$8,3,0),"")</f>
        <v/>
      </c>
      <c r="AJ47" s="51">
        <f>IFERROR(AB47*VLOOKUP(E47,'Hệ số'!$A$2:$D$8,4,0)*IF((I47-2)&gt;=2,1.2,IF((I47-2)=1,1,IF((I47-2)=0,0.85,IF((I47-2)=-1,0.5,IF((I47-2)=-2,0.25,0.1))))),"")</f>
        <v/>
      </c>
      <c r="AK47" s="41" t="inlineStr">
        <is>
          <t>Bắn loạt; đạn nổ trên không (Mảnh) mạnh với máy bay và drone, yếu với giáp; đạn xuyên (Động năng) mạnh với giáp 0–2.</t>
        </is>
      </c>
      <c r="AL47" s="41" t="inlineStr">
        <is>
          <t>Tự đổi: đạn xuyên (Động năng) với xe, đạn nổ trên không (Mảnh) với máy bay/drone.</t>
        </is>
      </c>
      <c r="AM47" s="41" t="inlineStr">
        <is>
          <t>ZSU-23-4: 3.400–4.000 phát/phút</t>
        </is>
      </c>
      <c r="AN47" s="41" t="inlineStr">
        <is>
          <t>Giữ.</t>
        </is>
      </c>
      <c r="AO47" s="41" t="n"/>
    </row>
    <row r="48" ht="21.75" customHeight="1" s="32">
      <c r="A48" s="39" t="inlineStr">
        <is>
          <t>flamethrower</t>
        </is>
      </c>
      <c r="B48" s="39" t="inlineStr">
        <is>
          <t>flamethrower</t>
        </is>
      </c>
      <c r="C48" s="39" t="inlineStr">
        <is>
          <t>Phun lửa</t>
        </is>
      </c>
      <c r="D48" s="39" t="inlineStr">
        <is>
          <t>Phun lửa</t>
        </is>
      </c>
      <c r="E48" s="39" t="inlineStr">
        <is>
          <t>Lửa</t>
        </is>
      </c>
      <c r="F48" s="39" t="inlineStr">
        <is>
          <t>Flame</t>
        </is>
      </c>
      <c r="G48" s="42" t="n">
        <v>1</v>
      </c>
      <c r="H48" s="42" t="n">
        <v>1</v>
      </c>
      <c r="I48" s="42" t="n">
        <v>1</v>
      </c>
      <c r="J48" s="42" t="n">
        <v>23.5</v>
      </c>
      <c r="K48" s="42" t="n">
        <v>21</v>
      </c>
      <c r="L48" s="39" t="inlineStr">
        <is>
          <t>từng phát</t>
        </is>
      </c>
      <c r="M48" s="39" t="inlineStr">
        <is>
          <t>từng phát</t>
        </is>
      </c>
      <c r="N48" s="42" t="n">
        <v>4</v>
      </c>
      <c r="O48" s="42" t="n">
        <v>4</v>
      </c>
      <c r="P48" s="42" t="n">
        <v>1</v>
      </c>
      <c r="Q48" s="42" t="n">
        <v>1</v>
      </c>
      <c r="R48" s="42" t="n">
        <v>0.25</v>
      </c>
      <c r="S48" s="42" t="n">
        <v>0.25</v>
      </c>
      <c r="T48" s="42" t="n">
        <v>13</v>
      </c>
      <c r="U48" s="42" t="n">
        <v>13</v>
      </c>
      <c r="V48" s="42" t="n">
        <v>36</v>
      </c>
      <c r="W48" s="42" t="n">
        <v>36</v>
      </c>
      <c r="X48" s="50">
        <f>IFERROR(U48/W48,"")</f>
        <v/>
      </c>
      <c r="Y48" s="52" t="n">
        <v>2.5</v>
      </c>
      <c r="Z48" s="52" t="n">
        <v>2.5</v>
      </c>
      <c r="AA48" s="50">
        <f>IFERROR(IF(L48="từng phát",J48*N48,J48*P48/(P48/N48+R48)),"")</f>
        <v/>
      </c>
      <c r="AB48" s="50">
        <f>IFERROR(IF(M48="từng phát",K48*O48,K48*Q48/(Q48/O48+S48)),"")</f>
        <v/>
      </c>
      <c r="AC48" s="50">
        <f>IFERROR(AB48*VLOOKUP(E48,'Hệ số'!$A$2:$D$8,2,0)*IF((I48-0)&gt;=2,1.2,IF((I48-0)=1,1,IF((I48-0)=0,0.85,IF((I48-0)=-1,0.5,IF((I48-0)=-2,0.25,0.1))))),"")</f>
        <v/>
      </c>
      <c r="AD48" s="50">
        <f>IFERROR(AB48*VLOOKUP(E48,'Hệ số'!$A$2:$D$8,2,0)*IF((I48-1)&gt;=2,1.2,IF((I48-1)=1,1,IF((I48-1)=0,0.85,IF((I48-1)=-1,0.5,IF((I48-1)=-2,0.25,0.1))))),"")</f>
        <v/>
      </c>
      <c r="AE48" s="50">
        <f>IFERROR(AB48*VLOOKUP(E48,'Hệ số'!$A$2:$D$8,2,0)*IF((I48-2)&gt;=2,1.2,IF((I48-2)=1,1,IF((I48-2)=0,0.85,IF((I48-2)=-1,0.5,IF((I48-2)=-2,0.25,0.1))))),"")</f>
        <v/>
      </c>
      <c r="AF48" s="50">
        <f>IFERROR(AB48*VLOOKUP(E48,'Hệ số'!$A$2:$D$8,2,0)*IF((I48-3)&gt;=2,1.2,IF((I48-3)=1,1,IF((I48-3)=0,0.85,IF((I48-3)=-1,0.5,IF((I48-3)=-2,0.25,0.1))))),"")</f>
        <v/>
      </c>
      <c r="AG48" s="50">
        <f>IFERROR(AB48*VLOOKUP(E48,'Hệ số'!$A$2:$D$8,2,0)*IF((I48-4)&gt;=2,1.2,IF((I48-4)=1,1,IF((I48-4)=0,0.85,IF((I48-4)=-1,0.5,IF((I48-4)=-2,0.25,0.1))))),"")</f>
        <v/>
      </c>
      <c r="AH48" s="50">
        <f>IFERROR(AB48*VLOOKUP(E48,'Hệ số'!$A$2:$D$8,2,0)*IF((I48-5)&gt;=2,1.2,IF((I48-5)=1,1,IF((I48-5)=0,0.85,IF((I48-5)=-1,0.5,IF((I48-5)=-2,0.25,0.1))))),"")</f>
        <v/>
      </c>
      <c r="AI48" s="50">
        <f>IFERROR(AB48*VLOOKUP(E48,'Hệ số'!$A$2:$D$8,3,0),"")</f>
        <v/>
      </c>
      <c r="AJ48" s="50">
        <f>IFERROR(AB48*VLOOKUP(E48,'Hệ số'!$A$2:$D$8,4,0)*IF((I48-2)&gt;=2,1.2,IF((I48-2)=1,1,IF((I48-2)=0,0.85,IF((I48-2)=-1,0.5,IF((I48-2)=-2,0.25,0.1))))),"")</f>
        <v/>
      </c>
      <c r="AK48" s="39" t="inlineStr">
        <is>
          <t>Tầm rất ngắn; gây cháy; không bị APS; mạnh với xe nhẹ và công trình có người.</t>
        </is>
      </c>
      <c r="AL48" s="39" t="n"/>
      <c r="AM48" s="39" t="inlineStr">
        <is>
          <t>Súng phun lửa xe tăng: tầm 100–150 m</t>
        </is>
      </c>
      <c r="AN48" s="39" t="inlineStr">
        <is>
          <t>Tăng phun lửa mạnh nhất theo CP khi đánh xe nhẹ.</t>
        </is>
      </c>
      <c r="AO48" s="48" t="inlineStr">
        <is>
          <t>Trung</t>
        </is>
      </c>
    </row>
    <row r="49" ht="21.75" customHeight="1" s="32">
      <c r="A49" s="41" t="inlineStr">
        <is>
          <t>focus_laser</t>
        </is>
      </c>
      <c r="B49" s="41" t="inlineStr">
        <is>
          <t>focused laser (300 kW)</t>
        </is>
      </c>
      <c r="C49" s="41" t="inlineStr">
        <is>
          <t>Năng lượng</t>
        </is>
      </c>
      <c r="D49" s="41" t="inlineStr">
        <is>
          <t>Xe la-de</t>
        </is>
      </c>
      <c r="E49" s="41" t="inlineStr">
        <is>
          <t>Năng lượng</t>
        </is>
      </c>
      <c r="F49" s="41" t="inlineStr">
        <is>
          <t>Energy</t>
        </is>
      </c>
      <c r="G49" s="43" t="n">
        <v>300</v>
      </c>
      <c r="H49" s="43" t="n">
        <v>4</v>
      </c>
      <c r="I49" s="43" t="n">
        <v>4</v>
      </c>
      <c r="J49" s="43" t="n">
        <v>12.5</v>
      </c>
      <c r="K49" s="43" t="n">
        <v>12.5</v>
      </c>
      <c r="L49" s="41" t="inlineStr">
        <is>
          <t>băng</t>
        </is>
      </c>
      <c r="M49" s="41" t="inlineStr">
        <is>
          <t>băng</t>
        </is>
      </c>
      <c r="N49" s="43" t="n">
        <v>10</v>
      </c>
      <c r="O49" s="43" t="n">
        <v>10</v>
      </c>
      <c r="P49" s="43" t="n">
        <v>80</v>
      </c>
      <c r="Q49" s="43" t="n">
        <v>80</v>
      </c>
      <c r="R49" s="43" t="n">
        <v>1.5</v>
      </c>
      <c r="S49" s="43" t="n">
        <v>1.5</v>
      </c>
      <c r="T49" s="43" t="n">
        <v>40</v>
      </c>
      <c r="U49" s="43" t="n">
        <v>40</v>
      </c>
      <c r="V49" s="43" t="n">
        <v>3000</v>
      </c>
      <c r="W49" s="43" t="n">
        <v>3000</v>
      </c>
      <c r="X49" s="51">
        <f>IFERROR(U49/W49,"")</f>
        <v/>
      </c>
      <c r="Y49" s="51" t="n"/>
      <c r="Z49" s="51" t="n"/>
      <c r="AA49" s="51">
        <f>IFERROR(IF(L49="từng phát",J49*N49,J49*P49/(P49/N49+R49)),"")</f>
        <v/>
      </c>
      <c r="AB49" s="51">
        <f>IFERROR(IF(M49="từng phát",K49*O49,K49*Q49/(Q49/O49+S49)),"")</f>
        <v/>
      </c>
      <c r="AC49" s="51">
        <f>IFERROR(AB49*VLOOKUP(E49,'Hệ số'!$A$2:$D$8,2,0)*IF((I49-0)&gt;=2,1.2,IF((I49-0)=1,1,IF((I49-0)=0,0.85,IF((I49-0)=-1,0.5,IF((I49-0)=-2,0.25,0.1))))),"")</f>
        <v/>
      </c>
      <c r="AD49" s="51">
        <f>IFERROR(AB49*VLOOKUP(E49,'Hệ số'!$A$2:$D$8,2,0)*IF((I49-1)&gt;=2,1.2,IF((I49-1)=1,1,IF((I49-1)=0,0.85,IF((I49-1)=-1,0.5,IF((I49-1)=-2,0.25,0.1))))),"")</f>
        <v/>
      </c>
      <c r="AE49" s="51">
        <f>IFERROR(AB49*VLOOKUP(E49,'Hệ số'!$A$2:$D$8,2,0)*IF((I49-2)&gt;=2,1.2,IF((I49-2)=1,1,IF((I49-2)=0,0.85,IF((I49-2)=-1,0.5,IF((I49-2)=-2,0.25,0.1))))),"")</f>
        <v/>
      </c>
      <c r="AF49" s="51">
        <f>IFERROR(AB49*VLOOKUP(E49,'Hệ số'!$A$2:$D$8,2,0)*IF((I49-3)&gt;=2,1.2,IF((I49-3)=1,1,IF((I49-3)=0,0.85,IF((I49-3)=-1,0.5,IF((I49-3)=-2,0.25,0.1))))),"")</f>
        <v/>
      </c>
      <c r="AG49" s="51">
        <f>IFERROR(AB49*VLOOKUP(E49,'Hệ số'!$A$2:$D$8,2,0)*IF((I49-4)&gt;=2,1.2,IF((I49-4)=1,1,IF((I49-4)=0,0.85,IF((I49-4)=-1,0.5,IF((I49-4)=-2,0.25,0.1))))),"")</f>
        <v/>
      </c>
      <c r="AH49" s="51">
        <f>IFERROR(AB49*VLOOKUP(E49,'Hệ số'!$A$2:$D$8,2,0)*IF((I49-5)&gt;=2,1.2,IF((I49-5)=1,1,IF((I49-5)=0,0.85,IF((I49-5)=-1,0.5,IF((I49-5)=-2,0.25,0.1))))),"")</f>
        <v/>
      </c>
      <c r="AI49" s="51">
        <f>IFERROR(AB49*VLOOKUP(E49,'Hệ số'!$A$2:$D$8,3,0),"")</f>
        <v/>
      </c>
      <c r="AJ49" s="51">
        <f>IFERROR(AB49*VLOOKUP(E49,'Hệ số'!$A$2:$D$8,4,0)*IF((I49-2)&gt;=2,1.2,IF((I49-2)=1,1,IF((I49-2)=0,0.85,IF((I49-2)=-1,0.5,IF((I49-2)=-2,0.25,0.1))))),"")</f>
        <v/>
      </c>
      <c r="AK49" s="41" t="inlineStr">
        <is>
          <t>Tia tức thời; không bị APS chặn; bị khói giảm 80%; mạnh với máy bay (×1,5).</t>
        </is>
      </c>
      <c r="AL49" s="41" t="n"/>
      <c r="AM49" s="41" t="inlineStr">
        <is>
          <t>Laser 300 kW (HELIOS, DE M-SHORAD cấp cao)</t>
        </is>
      </c>
      <c r="AN49" s="41" t="inlineStr">
        <is>
          <t>Giữ.</t>
        </is>
      </c>
      <c r="AO49" s="41" t="n"/>
    </row>
    <row r="50" ht="21.75" customHeight="1" s="32">
      <c r="A50" s="39" t="inlineStr">
        <is>
          <t>fpv_hangar</t>
        </is>
      </c>
      <c r="B50" s="39" t="inlineStr">
        <is>
          <t>FPV drone (1.5 kg)</t>
        </is>
      </c>
      <c r="C50" s="39" t="inlineStr">
        <is>
          <t>Drone / đạn lảng vảng</t>
        </is>
      </c>
      <c r="D50" s="39" t="inlineStr">
        <is>
          <t>Nhà chứa drone</t>
        </is>
      </c>
      <c r="E50" s="39" t="inlineStr">
        <is>
          <t>Nổ lõm</t>
        </is>
      </c>
      <c r="F50" s="39" t="inlineStr">
        <is>
          <t>Fpv</t>
        </is>
      </c>
      <c r="G50" s="42" t="n">
        <v>1.5</v>
      </c>
      <c r="H50" s="42" t="n">
        <v>3</v>
      </c>
      <c r="I50" s="42" t="n">
        <v>3</v>
      </c>
      <c r="J50" s="42" t="n">
        <v>140</v>
      </c>
      <c r="K50" s="42" t="n">
        <v>140</v>
      </c>
      <c r="L50" s="39" t="inlineStr">
        <is>
          <t>loạt</t>
        </is>
      </c>
      <c r="M50" s="39" t="inlineStr">
        <is>
          <t>loạt</t>
        </is>
      </c>
      <c r="N50" s="42" t="n">
        <v>1</v>
      </c>
      <c r="O50" s="42" t="n">
        <v>1</v>
      </c>
      <c r="P50" s="42" t="n">
        <v>4</v>
      </c>
      <c r="Q50" s="42" t="n">
        <v>4</v>
      </c>
      <c r="R50" s="42" t="n">
        <v>6.5</v>
      </c>
      <c r="S50" s="42" t="n">
        <v>6.5</v>
      </c>
      <c r="T50" s="42" t="n">
        <v>70</v>
      </c>
      <c r="U50" s="42" t="n">
        <v>70</v>
      </c>
      <c r="V50" s="42" t="n">
        <v>26</v>
      </c>
      <c r="W50" s="42" t="n">
        <v>26</v>
      </c>
      <c r="X50" s="50">
        <f>IFERROR(U50/W50,"")</f>
        <v/>
      </c>
      <c r="Y50" s="52" t="n">
        <v>2.5</v>
      </c>
      <c r="Z50" s="52" t="n">
        <v>2.5</v>
      </c>
      <c r="AA50" s="50">
        <f>IFERROR(IF(L50="từng phát",J50*N50,J50*P50/(P50/N50+R50)),"")</f>
        <v/>
      </c>
      <c r="AB50" s="50">
        <f>IFERROR(IF(M50="từng phát",K50*O50,K50*Q50/(Q50/O50+S50)),"")</f>
        <v/>
      </c>
      <c r="AC50" s="50">
        <f>IFERROR(AB50*VLOOKUP(E50,'Hệ số'!$A$2:$D$8,2,0)*IF((I50-0)&gt;=2,1.2,IF((I50-0)=1,1,IF((I50-0)=0,0.85,IF((I50-0)=-1,0.5,IF((I50-0)=-2,0.25,0.1))))),"")</f>
        <v/>
      </c>
      <c r="AD50" s="50">
        <f>IFERROR(AB50*VLOOKUP(E50,'Hệ số'!$A$2:$D$8,2,0)*IF((I50-1)&gt;=2,1.2,IF((I50-1)=1,1,IF((I50-1)=0,0.85,IF((I50-1)=-1,0.5,IF((I50-1)=-2,0.25,0.1))))),"")</f>
        <v/>
      </c>
      <c r="AE50" s="50">
        <f>IFERROR(AB50*VLOOKUP(E50,'Hệ số'!$A$2:$D$8,2,0)*IF((I50-2)&gt;=2,1.2,IF((I50-2)=1,1,IF((I50-2)=0,0.85,IF((I50-2)=-1,0.5,IF((I50-2)=-2,0.25,0.1))))),"")</f>
        <v/>
      </c>
      <c r="AF50" s="50">
        <f>IFERROR(AB50*VLOOKUP(E50,'Hệ số'!$A$2:$D$8,2,0)*IF((I50-3)&gt;=2,1.2,IF((I50-3)=1,1,IF((I50-3)=0,0.85,IF((I50-3)=-1,0.5,IF((I50-3)=-2,0.25,0.1))))),"")</f>
        <v/>
      </c>
      <c r="AG50" s="50">
        <f>IFERROR(AB50*VLOOKUP(E50,'Hệ số'!$A$2:$D$8,2,0)*IF((I50-4)&gt;=2,1.2,IF((I50-4)=1,1,IF((I50-4)=0,0.85,IF((I50-4)=-1,0.5,IF((I50-4)=-2,0.25,0.1))))),"")</f>
        <v/>
      </c>
      <c r="AH50" s="50">
        <f>IFERROR(AB50*VLOOKUP(E50,'Hệ số'!$A$2:$D$8,2,0)*IF((I50-5)&gt;=2,1.2,IF((I50-5)=1,1,IF((I50-5)=0,0.85,IF((I50-5)=-1,0.5,IF((I50-5)=-2,0.25,0.1))))),"")</f>
        <v/>
      </c>
      <c r="AI50" s="50">
        <f>IFERROR(AB50*VLOOKUP(E50,'Hệ số'!$A$2:$D$8,3,0),"")</f>
        <v/>
      </c>
      <c r="AJ50" s="50">
        <f>IFERROR(AB50*VLOOKUP(E50,'Hệ số'!$A$2:$D$8,4,0)*IF((I50-2)&gt;=2,1.2,IF((I50-2)=1,1,IF((I50-2)=0,0.85,IF((I50-2)=-1,0.5,IF((I50-2)=-2,0.25,0.1))))),"")</f>
        <v/>
      </c>
      <c r="AK50" s="39" t="inlineStr">
        <is>
          <t>Bay chậm, lượn tìm mục tiêu, đánh nóc; bị EW, APS, C-RAM, La-de PK và súng máy bắn hạ.</t>
        </is>
      </c>
      <c r="AL50" s="39" t="n"/>
      <c r="AM50" s="39" t="inlineStr">
        <is>
          <t>FPV</t>
        </is>
      </c>
      <c r="AN50" s="39" t="inlineStr">
        <is>
          <t>Giữ.</t>
        </is>
      </c>
      <c r="AO50" s="39" t="n"/>
    </row>
    <row r="51" ht="21.75" customHeight="1" s="32">
      <c r="A51" s="41" t="inlineStr">
        <is>
          <t>fpv_hangar_swarm</t>
        </is>
      </c>
      <c r="B51" s="41" t="inlineStr">
        <is>
          <t>FPV drone (1.5 kg)</t>
        </is>
      </c>
      <c r="C51" s="41" t="inlineStr">
        <is>
          <t>Drone / đạn lảng vảng</t>
        </is>
      </c>
      <c r="D51" s="41" t="inlineStr">
        <is>
          <t>Bầy đàn</t>
        </is>
      </c>
      <c r="E51" s="41" t="inlineStr">
        <is>
          <t>Nổ lõm</t>
        </is>
      </c>
      <c r="F51" s="41" t="inlineStr">
        <is>
          <t>Fpv</t>
        </is>
      </c>
      <c r="G51" s="43" t="n">
        <v>1.5</v>
      </c>
      <c r="H51" s="43" t="n">
        <v>3</v>
      </c>
      <c r="I51" s="43" t="n">
        <v>3</v>
      </c>
      <c r="J51" s="43" t="n">
        <v>140</v>
      </c>
      <c r="K51" s="43" t="n">
        <v>140</v>
      </c>
      <c r="L51" s="41" t="inlineStr">
        <is>
          <t>loạt</t>
        </is>
      </c>
      <c r="M51" s="41" t="inlineStr">
        <is>
          <t>loạt</t>
        </is>
      </c>
      <c r="N51" s="43" t="n">
        <v>1.67</v>
      </c>
      <c r="O51" s="43" t="n">
        <v>1.67</v>
      </c>
      <c r="P51" s="43" t="n">
        <v>4</v>
      </c>
      <c r="Q51" s="43" t="n">
        <v>4</v>
      </c>
      <c r="R51" s="43" t="n">
        <v>5.5</v>
      </c>
      <c r="S51" s="43" t="n">
        <v>5.5</v>
      </c>
      <c r="T51" s="43" t="n">
        <v>70</v>
      </c>
      <c r="U51" s="43" t="n">
        <v>70</v>
      </c>
      <c r="V51" s="43" t="n">
        <v>26</v>
      </c>
      <c r="W51" s="43" t="n">
        <v>26</v>
      </c>
      <c r="X51" s="51">
        <f>IFERROR(U51/W51,"")</f>
        <v/>
      </c>
      <c r="Y51" s="53" t="n">
        <v>2.5</v>
      </c>
      <c r="Z51" s="53" t="n">
        <v>2.5</v>
      </c>
      <c r="AA51" s="51">
        <f>IFERROR(IF(L51="từng phát",J51*N51,J51*P51/(P51/N51+R51)),"")</f>
        <v/>
      </c>
      <c r="AB51" s="51">
        <f>IFERROR(IF(M51="từng phát",K51*O51,K51*Q51/(Q51/O51+S51)),"")</f>
        <v/>
      </c>
      <c r="AC51" s="51">
        <f>IFERROR(AB51*VLOOKUP(E51,'Hệ số'!$A$2:$D$8,2,0)*IF((I51-0)&gt;=2,1.2,IF((I51-0)=1,1,IF((I51-0)=0,0.85,IF((I51-0)=-1,0.5,IF((I51-0)=-2,0.25,0.1))))),"")</f>
        <v/>
      </c>
      <c r="AD51" s="51">
        <f>IFERROR(AB51*VLOOKUP(E51,'Hệ số'!$A$2:$D$8,2,0)*IF((I51-1)&gt;=2,1.2,IF((I51-1)=1,1,IF((I51-1)=0,0.85,IF((I51-1)=-1,0.5,IF((I51-1)=-2,0.25,0.1))))),"")</f>
        <v/>
      </c>
      <c r="AE51" s="51">
        <f>IFERROR(AB51*VLOOKUP(E51,'Hệ số'!$A$2:$D$8,2,0)*IF((I51-2)&gt;=2,1.2,IF((I51-2)=1,1,IF((I51-2)=0,0.85,IF((I51-2)=-1,0.5,IF((I51-2)=-2,0.25,0.1))))),"")</f>
        <v/>
      </c>
      <c r="AF51" s="51">
        <f>IFERROR(AB51*VLOOKUP(E51,'Hệ số'!$A$2:$D$8,2,0)*IF((I51-3)&gt;=2,1.2,IF((I51-3)=1,1,IF((I51-3)=0,0.85,IF((I51-3)=-1,0.5,IF((I51-3)=-2,0.25,0.1))))),"")</f>
        <v/>
      </c>
      <c r="AG51" s="51">
        <f>IFERROR(AB51*VLOOKUP(E51,'Hệ số'!$A$2:$D$8,2,0)*IF((I51-4)&gt;=2,1.2,IF((I51-4)=1,1,IF((I51-4)=0,0.85,IF((I51-4)=-1,0.5,IF((I51-4)=-2,0.25,0.1))))),"")</f>
        <v/>
      </c>
      <c r="AH51" s="51">
        <f>IFERROR(AB51*VLOOKUP(E51,'Hệ số'!$A$2:$D$8,2,0)*IF((I51-5)&gt;=2,1.2,IF((I51-5)=1,1,IF((I51-5)=0,0.85,IF((I51-5)=-1,0.5,IF((I51-5)=-2,0.25,0.1))))),"")</f>
        <v/>
      </c>
      <c r="AI51" s="51">
        <f>IFERROR(AB51*VLOOKUP(E51,'Hệ số'!$A$2:$D$8,3,0),"")</f>
        <v/>
      </c>
      <c r="AJ51" s="51">
        <f>IFERROR(AB51*VLOOKUP(E51,'Hệ số'!$A$2:$D$8,4,0)*IF((I51-2)&gt;=2,1.2,IF((I51-2)=1,1,IF((I51-2)=0,0.85,IF((I51-2)=-1,0.5,IF((I51-2)=-2,0.25,0.1))))),"")</f>
        <v/>
      </c>
      <c r="AK51" s="41" t="inlineStr">
        <is>
          <t>Bay chậm, lượn tìm mục tiêu, đánh nóc; bị EW, APS, C-RAM, La-de PK và súng máy bắn hạ.</t>
        </is>
      </c>
      <c r="AL51" s="41" t="n"/>
      <c r="AM51" s="41" t="inlineStr">
        <is>
          <t>FPV</t>
        </is>
      </c>
      <c r="AN51" s="41" t="inlineStr">
        <is>
          <t>Giữ.</t>
        </is>
      </c>
      <c r="AO51" s="41" t="n"/>
    </row>
    <row r="52" ht="21.75" customHeight="1" s="32">
      <c r="A52" s="39" t="inlineStr">
        <is>
          <t>fpv_swarm</t>
        </is>
      </c>
      <c r="B52" s="39" t="inlineStr">
        <is>
          <t>FPV drone (1.5 kg)</t>
        </is>
      </c>
      <c r="C52" s="39" t="inlineStr">
        <is>
          <t>Drone / đạn lảng vảng</t>
        </is>
      </c>
      <c r="D52" s="39" t="inlineStr">
        <is>
          <t>Drone FPV, Drone FPV TN</t>
        </is>
      </c>
      <c r="E52" s="39" t="inlineStr">
        <is>
          <t>Nổ lõm</t>
        </is>
      </c>
      <c r="F52" s="39" t="inlineStr">
        <is>
          <t>Fpv</t>
        </is>
      </c>
      <c r="G52" s="42" t="n">
        <v>1.5</v>
      </c>
      <c r="H52" s="42" t="n">
        <v>3</v>
      </c>
      <c r="I52" s="42" t="n">
        <v>3</v>
      </c>
      <c r="J52" s="42" t="n">
        <v>140</v>
      </c>
      <c r="K52" s="42" t="n">
        <v>140</v>
      </c>
      <c r="L52" s="39" t="inlineStr">
        <is>
          <t>từng phát</t>
        </is>
      </c>
      <c r="M52" s="39" t="inlineStr">
        <is>
          <t>từng phát</t>
        </is>
      </c>
      <c r="N52" s="42" t="n">
        <v>0.36</v>
      </c>
      <c r="O52" s="42" t="n">
        <v>0.36</v>
      </c>
      <c r="P52" s="42" t="n">
        <v>1</v>
      </c>
      <c r="Q52" s="42" t="n">
        <v>1</v>
      </c>
      <c r="R52" s="42" t="n">
        <v>2.77777777777778</v>
      </c>
      <c r="S52" s="42" t="n">
        <v>2.77777777777778</v>
      </c>
      <c r="T52" s="42" t="n">
        <v>75</v>
      </c>
      <c r="U52" s="42" t="n">
        <v>75</v>
      </c>
      <c r="V52" s="42" t="n">
        <v>26</v>
      </c>
      <c r="W52" s="42" t="n">
        <v>26</v>
      </c>
      <c r="X52" s="50">
        <f>IFERROR(U52/W52,"")</f>
        <v/>
      </c>
      <c r="Y52" s="52" t="n">
        <v>2.5</v>
      </c>
      <c r="Z52" s="52" t="n">
        <v>2.5</v>
      </c>
      <c r="AA52" s="50">
        <f>IFERROR(IF(L52="từng phát",J52*N52,J52*P52/(P52/N52+R52)),"")</f>
        <v/>
      </c>
      <c r="AB52" s="50">
        <f>IFERROR(IF(M52="từng phát",K52*O52,K52*Q52/(Q52/O52+S52)),"")</f>
        <v/>
      </c>
      <c r="AC52" s="50">
        <f>IFERROR(AB52*VLOOKUP(E52,'Hệ số'!$A$2:$D$8,2,0)*IF((I52-0)&gt;=2,1.2,IF((I52-0)=1,1,IF((I52-0)=0,0.85,IF((I52-0)=-1,0.5,IF((I52-0)=-2,0.25,0.1))))),"")</f>
        <v/>
      </c>
      <c r="AD52" s="50">
        <f>IFERROR(AB52*VLOOKUP(E52,'Hệ số'!$A$2:$D$8,2,0)*IF((I52-1)&gt;=2,1.2,IF((I52-1)=1,1,IF((I52-1)=0,0.85,IF((I52-1)=-1,0.5,IF((I52-1)=-2,0.25,0.1))))),"")</f>
        <v/>
      </c>
      <c r="AE52" s="50">
        <f>IFERROR(AB52*VLOOKUP(E52,'Hệ số'!$A$2:$D$8,2,0)*IF((I52-2)&gt;=2,1.2,IF((I52-2)=1,1,IF((I52-2)=0,0.85,IF((I52-2)=-1,0.5,IF((I52-2)=-2,0.25,0.1))))),"")</f>
        <v/>
      </c>
      <c r="AF52" s="50">
        <f>IFERROR(AB52*VLOOKUP(E52,'Hệ số'!$A$2:$D$8,2,0)*IF((I52-3)&gt;=2,1.2,IF((I52-3)=1,1,IF((I52-3)=0,0.85,IF((I52-3)=-1,0.5,IF((I52-3)=-2,0.25,0.1))))),"")</f>
        <v/>
      </c>
      <c r="AG52" s="50">
        <f>IFERROR(AB52*VLOOKUP(E52,'Hệ số'!$A$2:$D$8,2,0)*IF((I52-4)&gt;=2,1.2,IF((I52-4)=1,1,IF((I52-4)=0,0.85,IF((I52-4)=-1,0.5,IF((I52-4)=-2,0.25,0.1))))),"")</f>
        <v/>
      </c>
      <c r="AH52" s="50">
        <f>IFERROR(AB52*VLOOKUP(E52,'Hệ số'!$A$2:$D$8,2,0)*IF((I52-5)&gt;=2,1.2,IF((I52-5)=1,1,IF((I52-5)=0,0.85,IF((I52-5)=-1,0.5,IF((I52-5)=-2,0.25,0.1))))),"")</f>
        <v/>
      </c>
      <c r="AI52" s="50">
        <f>IFERROR(AB52*VLOOKUP(E52,'Hệ số'!$A$2:$D$8,3,0),"")</f>
        <v/>
      </c>
      <c r="AJ52" s="50">
        <f>IFERROR(AB52*VLOOKUP(E52,'Hệ số'!$A$2:$D$8,4,0)*IF((I52-2)&gt;=2,1.2,IF((I52-2)=1,1,IF((I52-2)=0,0.85,IF((I52-2)=-1,0.5,IF((I52-2)=-2,0.25,0.1))))),"")</f>
        <v/>
      </c>
      <c r="AK52" s="39" t="inlineStr">
        <is>
          <t>Bay chậm, lượn tìm mục tiêu, đánh nóc; bị EW, APS, C-RAM, La-de PK và súng máy bắn hạ.</t>
        </is>
      </c>
      <c r="AL52" s="39" t="n"/>
      <c r="AM52" s="39" t="inlineStr">
        <is>
          <t>FPV: 1–2 kg đầu nổ; tầm 5–10 km</t>
        </is>
      </c>
      <c r="AN52" s="39" t="inlineStr">
        <is>
          <t>Giữ.</t>
        </is>
      </c>
      <c r="AO52" s="39" t="n"/>
    </row>
    <row r="53" ht="21.75" customHeight="1" s="32">
      <c r="A53" s="41" t="inlineStr">
        <is>
          <t>grad_cluster</t>
        </is>
      </c>
      <c r="B53" s="41" t="inlineStr">
        <is>
          <t>BM-21 Grad 122 mm</t>
        </is>
      </c>
      <c r="C53" s="41" t="inlineStr">
        <is>
          <t>Rốc-két</t>
        </is>
      </c>
      <c r="D53" s="41" t="inlineStr">
        <is>
          <t>Grad TN</t>
        </is>
      </c>
      <c r="E53" s="41" t="inlineStr">
        <is>
          <t>Nổ mạnh</t>
        </is>
      </c>
      <c r="F53" s="41" t="inlineStr">
        <is>
          <t>Cluster</t>
        </is>
      </c>
      <c r="G53" s="43" t="n">
        <v>122</v>
      </c>
      <c r="H53" s="43" t="n">
        <v>2</v>
      </c>
      <c r="I53" s="43" t="n">
        <v>2</v>
      </c>
      <c r="J53" s="43" t="n">
        <v>57</v>
      </c>
      <c r="K53" s="43" t="n">
        <v>57</v>
      </c>
      <c r="L53" s="41" t="inlineStr">
        <is>
          <t>loạt</t>
        </is>
      </c>
      <c r="M53" s="41" t="inlineStr">
        <is>
          <t>loạt</t>
        </is>
      </c>
      <c r="N53" s="43" t="n">
        <v>2</v>
      </c>
      <c r="O53" s="43" t="n">
        <v>2</v>
      </c>
      <c r="P53" s="43" t="n">
        <v>11</v>
      </c>
      <c r="Q53" s="43" t="n">
        <v>11</v>
      </c>
      <c r="R53" s="43" t="n">
        <v>7.5</v>
      </c>
      <c r="S53" s="43" t="n">
        <v>7.5</v>
      </c>
      <c r="T53" s="43" t="n">
        <v>78</v>
      </c>
      <c r="U53" s="43" t="n">
        <v>78</v>
      </c>
      <c r="V53" s="43" t="n">
        <v>52</v>
      </c>
      <c r="W53" s="43" t="n">
        <v>45</v>
      </c>
      <c r="X53" s="51">
        <f>IFERROR(U53/W53,"")</f>
        <v/>
      </c>
      <c r="Y53" s="53" t="n">
        <v>3</v>
      </c>
      <c r="Z53" s="53" t="n">
        <v>4</v>
      </c>
      <c r="AA53" s="51">
        <f>IFERROR(IF(L53="từng phát",J53*N53,J53*P53/(P53/N53+R53)),"")</f>
        <v/>
      </c>
      <c r="AB53" s="51">
        <f>IFERROR(IF(M53="từng phát",K53*O53,K53*Q53/(Q53/O53+S53)),"")</f>
        <v/>
      </c>
      <c r="AC53" s="51">
        <f>IFERROR(AB53*VLOOKUP(E53,'Hệ số'!$A$2:$D$8,2,0)*IF((I53-0)&gt;=2,1.2,IF((I53-0)=1,1,IF((I53-0)=0,0.85,IF((I53-0)=-1,0.5,IF((I53-0)=-2,0.25,0.1))))),"")</f>
        <v/>
      </c>
      <c r="AD53" s="51">
        <f>IFERROR(AB53*VLOOKUP(E53,'Hệ số'!$A$2:$D$8,2,0)*IF((I53-1)&gt;=2,1.2,IF((I53-1)=1,1,IF((I53-1)=0,0.85,IF((I53-1)=-1,0.5,IF((I53-1)=-2,0.25,0.1))))),"")</f>
        <v/>
      </c>
      <c r="AE53" s="51">
        <f>IFERROR(AB53*VLOOKUP(E53,'Hệ số'!$A$2:$D$8,2,0)*IF((I53-2)&gt;=2,1.2,IF((I53-2)=1,1,IF((I53-2)=0,0.85,IF((I53-2)=-1,0.5,IF((I53-2)=-2,0.25,0.1))))),"")</f>
        <v/>
      </c>
      <c r="AF53" s="51">
        <f>IFERROR(AB53*VLOOKUP(E53,'Hệ số'!$A$2:$D$8,2,0)*IF((I53-3)&gt;=2,1.2,IF((I53-3)=1,1,IF((I53-3)=0,0.85,IF((I53-3)=-1,0.5,IF((I53-3)=-2,0.25,0.1))))),"")</f>
        <v/>
      </c>
      <c r="AG53" s="51">
        <f>IFERROR(AB53*VLOOKUP(E53,'Hệ số'!$A$2:$D$8,2,0)*IF((I53-4)&gt;=2,1.2,IF((I53-4)=1,1,IF((I53-4)=0,0.85,IF((I53-4)=-1,0.5,IF((I53-4)=-2,0.25,0.1))))),"")</f>
        <v/>
      </c>
      <c r="AH53" s="51">
        <f>IFERROR(AB53*VLOOKUP(E53,'Hệ số'!$A$2:$D$8,2,0)*IF((I53-5)&gt;=2,1.2,IF((I53-5)=1,1,IF((I53-5)=0,0.85,IF((I53-5)=-1,0.5,IF((I53-5)=-2,0.25,0.1))))),"")</f>
        <v/>
      </c>
      <c r="AI53" s="51">
        <f>IFERROR(AB53*VLOOKUP(E53,'Hệ số'!$A$2:$D$8,3,0),"")</f>
        <v/>
      </c>
      <c r="AJ53" s="51">
        <f>IFERROR(AB53*VLOOKUP(E53,'Hệ số'!$A$2:$D$8,4,0)*IF((I53-2)&gt;=2,1.2,IF((I53-2)=1,1,IF((I53-2)=0,0.85,IF((I53-2)=-1,0.5,IF((I53-2)=-2,0.25,0.1))))),"")</f>
        <v/>
      </c>
      <c r="AK53" s="41" t="inlineStr">
        <is>
          <t>Bắn loạt phủ vùng, tản mát; C-RAM, Vòm Sắt và La-de PK bắn hạ được từng quả.</t>
        </is>
      </c>
      <c r="AL53" s="41" t="n"/>
      <c r="AM53" s="41" t="inlineStr">
        <is>
          <t>BM-21</t>
        </is>
      </c>
      <c r="AN53" s="41" t="inlineStr">
        <is>
          <t>Như trên. Tốc độ bay 52→45 m/s: Thống nhất tốc độ Grad ở mọi đơn vị (45 m/s).</t>
        </is>
      </c>
      <c r="AO53" s="48" t="inlineStr">
        <is>
          <t>Trung</t>
        </is>
      </c>
    </row>
    <row r="54" ht="21.75" customHeight="1" s="32">
      <c r="A54" s="39" t="inlineStr">
        <is>
          <t>griffin</t>
        </is>
      </c>
      <c r="B54" s="39" t="inlineStr">
        <is>
          <t>AGM-176 Griffin</t>
        </is>
      </c>
      <c r="C54" s="39" t="inlineStr">
        <is>
          <t>Tên lửa chống tăng / không đối đất</t>
        </is>
      </c>
      <c r="D54" s="39" t="inlineStr">
        <is>
          <t>Spectre</t>
        </is>
      </c>
      <c r="E54" s="39" t="inlineStr">
        <is>
          <t>Nổ lõm</t>
        </is>
      </c>
      <c r="F54" s="39" t="inlineStr">
        <is>
          <t>Atgm</t>
        </is>
      </c>
      <c r="G54" s="42" t="n">
        <v>15</v>
      </c>
      <c r="H54" s="42" t="n">
        <v>3</v>
      </c>
      <c r="I54" s="42" t="n">
        <v>3</v>
      </c>
      <c r="J54" s="42" t="n">
        <v>180</v>
      </c>
      <c r="K54" s="42" t="n">
        <v>180</v>
      </c>
      <c r="L54" s="39" t="inlineStr">
        <is>
          <t>từng phát</t>
        </is>
      </c>
      <c r="M54" s="39" t="inlineStr">
        <is>
          <t>từng phát</t>
        </is>
      </c>
      <c r="N54" s="42" t="n">
        <v>0.233317778814746</v>
      </c>
      <c r="O54" s="42" t="n">
        <v>0.233317778814746</v>
      </c>
      <c r="P54" s="42" t="n">
        <v>1</v>
      </c>
      <c r="Q54" s="42" t="n">
        <v>1</v>
      </c>
      <c r="R54" s="42" t="n">
        <v>4.286</v>
      </c>
      <c r="S54" s="42" t="n">
        <v>4.286</v>
      </c>
      <c r="T54" s="42" t="n">
        <v>50</v>
      </c>
      <c r="U54" s="42" t="n">
        <v>50</v>
      </c>
      <c r="V54" s="42" t="n">
        <v>21</v>
      </c>
      <c r="W54" s="42" t="n">
        <v>22</v>
      </c>
      <c r="X54" s="50">
        <f>IFERROR(U54/W54,"")</f>
        <v/>
      </c>
      <c r="Y54" s="50" t="n"/>
      <c r="Z54" s="50" t="n"/>
      <c r="AA54" s="50">
        <f>IFERROR(IF(L54="từng phát",J54*N54,J54*P54/(P54/N54+R54)),"")</f>
        <v/>
      </c>
      <c r="AB54" s="50">
        <f>IFERROR(IF(M54="từng phát",K54*O54,K54*Q54/(Q54/O54+S54)),"")</f>
        <v/>
      </c>
      <c r="AC54" s="50">
        <f>IFERROR(AB54*VLOOKUP(E54,'Hệ số'!$A$2:$D$8,2,0)*IF((I54-0)&gt;=2,1.2,IF((I54-0)=1,1,IF((I54-0)=0,0.85,IF((I54-0)=-1,0.5,IF((I54-0)=-2,0.25,0.1))))),"")</f>
        <v/>
      </c>
      <c r="AD54" s="50">
        <f>IFERROR(AB54*VLOOKUP(E54,'Hệ số'!$A$2:$D$8,2,0)*IF((I54-1)&gt;=2,1.2,IF((I54-1)=1,1,IF((I54-1)=0,0.85,IF((I54-1)=-1,0.5,IF((I54-1)=-2,0.25,0.1))))),"")</f>
        <v/>
      </c>
      <c r="AE54" s="50">
        <f>IFERROR(AB54*VLOOKUP(E54,'Hệ số'!$A$2:$D$8,2,0)*IF((I54-2)&gt;=2,1.2,IF((I54-2)=1,1,IF((I54-2)=0,0.85,IF((I54-2)=-1,0.5,IF((I54-2)=-2,0.25,0.1))))),"")</f>
        <v/>
      </c>
      <c r="AF54" s="50">
        <f>IFERROR(AB54*VLOOKUP(E54,'Hệ số'!$A$2:$D$8,2,0)*IF((I54-3)&gt;=2,1.2,IF((I54-3)=1,1,IF((I54-3)=0,0.85,IF((I54-3)=-1,0.5,IF((I54-3)=-2,0.25,0.1))))),"")</f>
        <v/>
      </c>
      <c r="AG54" s="50">
        <f>IFERROR(AB54*VLOOKUP(E54,'Hệ số'!$A$2:$D$8,2,0)*IF((I54-4)&gt;=2,1.2,IF((I54-4)=1,1,IF((I54-4)=0,0.85,IF((I54-4)=-1,0.5,IF((I54-4)=-2,0.25,0.1))))),"")</f>
        <v/>
      </c>
      <c r="AH54" s="50">
        <f>IFERROR(AB54*VLOOKUP(E54,'Hệ số'!$A$2:$D$8,2,0)*IF((I54-5)&gt;=2,1.2,IF((I54-5)=1,1,IF((I54-5)=0,0.85,IF((I54-5)=-1,0.5,IF((I54-5)=-2,0.25,0.1))))),"")</f>
        <v/>
      </c>
      <c r="AI54" s="50">
        <f>IFERROR(AB54*VLOOKUP(E54,'Hệ số'!$A$2:$D$8,3,0),"")</f>
        <v/>
      </c>
      <c r="AJ54" s="50">
        <f>IFERROR(AB54*VLOOKUP(E54,'Hệ số'!$A$2:$D$8,4,0)*IF((I54-2)&gt;=2,1.2,IF((I54-2)=1,1,IF((I54-2)=0,0.85,IF((I54-2)=-1,0.5,IF((I54-2)=-2,0.25,0.1))))),"")</f>
        <v/>
      </c>
      <c r="AK54" s="39" t="inlineStr">
        <is>
          <t>Dẫn đường; bị APS và giáp phản ứng nổ giảm (đầu nổ lõm); bay chậm nên né và khói có tác dụng.</t>
        </is>
      </c>
      <c r="AL54" s="39" t="n"/>
      <c r="AM54" s="39" t="inlineStr">
        <is>
          <t>Griffin: 5,5–15 km, cận âm</t>
        </is>
      </c>
      <c r="AN54" s="39" t="inlineStr">
        <is>
          <t>Tốc độ bay 21→22 m/s: Tên lửa nhỏ cận âm.</t>
        </is>
      </c>
      <c r="AO54" s="48" t="inlineStr">
        <is>
          <t>Trung</t>
        </is>
      </c>
    </row>
    <row r="55" ht="32.25" customHeight="1" s="32">
      <c r="A55" s="41" t="inlineStr">
        <is>
          <t>gsh30k</t>
        </is>
      </c>
      <c r="B55" s="41" t="inlineStr">
        <is>
          <t>GSh-30K 30 mm</t>
        </is>
      </c>
      <c r="C55" s="41" t="inlineStr">
        <is>
          <t>Pháo tự động / cao xạ 20–40 mm</t>
        </is>
      </c>
      <c r="D55" s="41" t="inlineStr">
        <is>
          <t>TT hỏa lực</t>
        </is>
      </c>
      <c r="E55" s="41" t="inlineStr">
        <is>
          <t>Động năng</t>
        </is>
      </c>
      <c r="F55" s="41" t="inlineStr">
        <is>
          <t>BeltedAutocannon</t>
        </is>
      </c>
      <c r="G55" s="43" t="n">
        <v>30</v>
      </c>
      <c r="H55" s="43" t="n">
        <v>2</v>
      </c>
      <c r="I55" s="43" t="n">
        <v>2</v>
      </c>
      <c r="J55" s="43" t="n">
        <v>23</v>
      </c>
      <c r="K55" s="43" t="n">
        <v>23</v>
      </c>
      <c r="L55" s="41" t="inlineStr">
        <is>
          <t>băng</t>
        </is>
      </c>
      <c r="M55" s="41" t="inlineStr">
        <is>
          <t>băng</t>
        </is>
      </c>
      <c r="N55" s="43" t="n">
        <v>7</v>
      </c>
      <c r="O55" s="43" t="n">
        <v>7</v>
      </c>
      <c r="P55" s="43" t="n">
        <v>37</v>
      </c>
      <c r="Q55" s="43" t="n">
        <v>37</v>
      </c>
      <c r="R55" s="43" t="n">
        <v>1</v>
      </c>
      <c r="S55" s="43" t="n">
        <v>1</v>
      </c>
      <c r="T55" s="43" t="n">
        <v>28</v>
      </c>
      <c r="U55" s="43" t="n">
        <v>28</v>
      </c>
      <c r="V55" s="43" t="n">
        <v>300</v>
      </c>
      <c r="W55" s="43" t="n">
        <v>300</v>
      </c>
      <c r="X55" s="51">
        <f>IFERROR(U55/W55,"")</f>
        <v/>
      </c>
      <c r="Y55" s="51" t="n"/>
      <c r="Z55" s="51" t="n"/>
      <c r="AA55" s="51">
        <f>IFERROR(IF(L55="từng phát",J55*N55,J55*P55/(P55/N55+R55)),"")</f>
        <v/>
      </c>
      <c r="AB55" s="51">
        <f>IFERROR(IF(M55="từng phát",K55*O55,K55*Q55/(Q55/O55+S55)),"")</f>
        <v/>
      </c>
      <c r="AC55" s="51">
        <f>IFERROR(AB55*VLOOKUP(E55,'Hệ số'!$A$2:$D$8,2,0)*IF((I55-0)&gt;=2,1.2,IF((I55-0)=1,1,IF((I55-0)=0,0.85,IF((I55-0)=-1,0.5,IF((I55-0)=-2,0.25,0.1))))),"")</f>
        <v/>
      </c>
      <c r="AD55" s="51">
        <f>IFERROR(AB55*VLOOKUP(E55,'Hệ số'!$A$2:$D$8,2,0)*IF((I55-1)&gt;=2,1.2,IF((I55-1)=1,1,IF((I55-1)=0,0.85,IF((I55-1)=-1,0.5,IF((I55-1)=-2,0.25,0.1))))),"")</f>
        <v/>
      </c>
      <c r="AE55" s="51">
        <f>IFERROR(AB55*VLOOKUP(E55,'Hệ số'!$A$2:$D$8,2,0)*IF((I55-2)&gt;=2,1.2,IF((I55-2)=1,1,IF((I55-2)=0,0.85,IF((I55-2)=-1,0.5,IF((I55-2)=-2,0.25,0.1))))),"")</f>
        <v/>
      </c>
      <c r="AF55" s="51">
        <f>IFERROR(AB55*VLOOKUP(E55,'Hệ số'!$A$2:$D$8,2,0)*IF((I55-3)&gt;=2,1.2,IF((I55-3)=1,1,IF((I55-3)=0,0.85,IF((I55-3)=-1,0.5,IF((I55-3)=-2,0.25,0.1))))),"")</f>
        <v/>
      </c>
      <c r="AG55" s="51">
        <f>IFERROR(AB55*VLOOKUP(E55,'Hệ số'!$A$2:$D$8,2,0)*IF((I55-4)&gt;=2,1.2,IF((I55-4)=1,1,IF((I55-4)=0,0.85,IF((I55-4)=-1,0.5,IF((I55-4)=-2,0.25,0.1))))),"")</f>
        <v/>
      </c>
      <c r="AH55" s="51">
        <f>IFERROR(AB55*VLOOKUP(E55,'Hệ số'!$A$2:$D$8,2,0)*IF((I55-5)&gt;=2,1.2,IF((I55-5)=1,1,IF((I55-5)=0,0.85,IF((I55-5)=-1,0.5,IF((I55-5)=-2,0.25,0.1))))),"")</f>
        <v/>
      </c>
      <c r="AI55" s="51">
        <f>IFERROR(AB55*VLOOKUP(E55,'Hệ số'!$A$2:$D$8,3,0),"")</f>
        <v/>
      </c>
      <c r="AJ55" s="51">
        <f>IFERROR(AB55*VLOOKUP(E55,'Hệ số'!$A$2:$D$8,4,0)*IF((I55-2)&gt;=2,1.2,IF((I55-2)=1,1,IF((I55-2)=0,0.85,IF((I55-2)=-1,0.5,IF((I55-2)=-2,0.25,0.1))))),"")</f>
        <v/>
      </c>
      <c r="AK55" s="41" t="inlineStr">
        <is>
          <t>Bắn loạt; đạn nổ trên không (Mảnh) mạnh với máy bay và drone, yếu với giáp; đạn xuyên (Động năng) mạnh với giáp 0–2.</t>
        </is>
      </c>
      <c r="AL55" s="41" t="inlineStr">
        <is>
          <t>Tự đổi: đạn xuyên (Động năng) với xe, đạn nổ trên không (Mảnh) với máy bay/drone.</t>
        </is>
      </c>
      <c r="AM55" s="41" t="inlineStr">
        <is>
          <t>GSh-30K: 2.000–2.600</t>
        </is>
      </c>
      <c r="AN55" s="41" t="inlineStr">
        <is>
          <t>Giữ.</t>
        </is>
      </c>
      <c r="AO55" s="41" t="n"/>
    </row>
    <row r="56" ht="32.25" customHeight="1" s="32">
      <c r="A56" s="39" t="inlineStr">
        <is>
          <t>guided_bomb</t>
        </is>
      </c>
      <c r="B56" s="39" t="inlineStr">
        <is>
          <t>GBU-39 SDB (110 kg)</t>
        </is>
      </c>
      <c r="C56" s="39" t="inlineStr">
        <is>
          <t>Bom</t>
        </is>
      </c>
      <c r="D56" s="39" t="inlineStr">
        <is>
          <t>Morrigan, Máy bay mẹ, TK</t>
        </is>
      </c>
      <c r="E56" s="39" t="inlineStr">
        <is>
          <t>Nổ mạnh</t>
        </is>
      </c>
      <c r="F56" s="39" t="inlineStr">
        <is>
          <t>GuidedBomb</t>
        </is>
      </c>
      <c r="G56" s="42" t="n">
        <v>110</v>
      </c>
      <c r="H56" s="42" t="n">
        <v>3</v>
      </c>
      <c r="I56" s="42" t="n">
        <v>3</v>
      </c>
      <c r="J56" s="42" t="n">
        <v>210</v>
      </c>
      <c r="K56" s="42" t="n">
        <v>210</v>
      </c>
      <c r="L56" s="39" t="inlineStr">
        <is>
          <t>từng phát</t>
        </is>
      </c>
      <c r="M56" s="39" t="inlineStr">
        <is>
          <t>từng phát</t>
        </is>
      </c>
      <c r="N56" s="42" t="n">
        <v>0.15</v>
      </c>
      <c r="O56" s="42" t="n">
        <v>0.15</v>
      </c>
      <c r="P56" s="42" t="n">
        <v>1</v>
      </c>
      <c r="Q56" s="42" t="n">
        <v>1</v>
      </c>
      <c r="R56" s="42" t="n">
        <v>6.66666666666667</v>
      </c>
      <c r="S56" s="42" t="n">
        <v>6.66666666666667</v>
      </c>
      <c r="T56" s="42" t="n">
        <v>30</v>
      </c>
      <c r="U56" s="42" t="n">
        <v>30</v>
      </c>
      <c r="V56" s="42" t="n">
        <v>40</v>
      </c>
      <c r="W56" s="42" t="n">
        <v>40</v>
      </c>
      <c r="X56" s="50">
        <f>IFERROR(U56/W56,"")</f>
        <v/>
      </c>
      <c r="Y56" s="52" t="n">
        <v>6</v>
      </c>
      <c r="Z56" s="52" t="n">
        <v>4</v>
      </c>
      <c r="AA56" s="50">
        <f>IFERROR(IF(L56="từng phát",J56*N56,J56*P56/(P56/N56+R56)),"")</f>
        <v/>
      </c>
      <c r="AB56" s="50">
        <f>IFERROR(IF(M56="từng phát",K56*O56,K56*Q56/(Q56/O56+S56)),"")</f>
        <v/>
      </c>
      <c r="AC56" s="50">
        <f>IFERROR(AB56*VLOOKUP(E56,'Hệ số'!$A$2:$D$8,2,0)*IF((I56-0)&gt;=2,1.2,IF((I56-0)=1,1,IF((I56-0)=0,0.85,IF((I56-0)=-1,0.5,IF((I56-0)=-2,0.25,0.1))))),"")</f>
        <v/>
      </c>
      <c r="AD56" s="50">
        <f>IFERROR(AB56*VLOOKUP(E56,'Hệ số'!$A$2:$D$8,2,0)*IF((I56-1)&gt;=2,1.2,IF((I56-1)=1,1,IF((I56-1)=0,0.85,IF((I56-1)=-1,0.5,IF((I56-1)=-2,0.25,0.1))))),"")</f>
        <v/>
      </c>
      <c r="AE56" s="50">
        <f>IFERROR(AB56*VLOOKUP(E56,'Hệ số'!$A$2:$D$8,2,0)*IF((I56-2)&gt;=2,1.2,IF((I56-2)=1,1,IF((I56-2)=0,0.85,IF((I56-2)=-1,0.5,IF((I56-2)=-2,0.25,0.1))))),"")</f>
        <v/>
      </c>
      <c r="AF56" s="50">
        <f>IFERROR(AB56*VLOOKUP(E56,'Hệ số'!$A$2:$D$8,2,0)*IF((I56-3)&gt;=2,1.2,IF((I56-3)=1,1,IF((I56-3)=0,0.85,IF((I56-3)=-1,0.5,IF((I56-3)=-2,0.25,0.1))))),"")</f>
        <v/>
      </c>
      <c r="AG56" s="50">
        <f>IFERROR(AB56*VLOOKUP(E56,'Hệ số'!$A$2:$D$8,2,0)*IF((I56-4)&gt;=2,1.2,IF((I56-4)=1,1,IF((I56-4)=0,0.85,IF((I56-4)=-1,0.5,IF((I56-4)=-2,0.25,0.1))))),"")</f>
        <v/>
      </c>
      <c r="AH56" s="50">
        <f>IFERROR(AB56*VLOOKUP(E56,'Hệ số'!$A$2:$D$8,2,0)*IF((I56-5)&gt;=2,1.2,IF((I56-5)=1,1,IF((I56-5)=0,0.85,IF((I56-5)=-1,0.5,IF((I56-5)=-2,0.25,0.1))))),"")</f>
        <v/>
      </c>
      <c r="AI56" s="50">
        <f>IFERROR(AB56*VLOOKUP(E56,'Hệ số'!$A$2:$D$8,3,0),"")</f>
        <v/>
      </c>
      <c r="AJ56" s="50">
        <f>IFERROR(AB56*VLOOKUP(E56,'Hệ số'!$A$2:$D$8,4,0)*IF((I56-2)&gt;=2,1.2,IF((I56-2)=1,1,IF((I56-2)=0,0.85,IF((I56-2)=-1,0.5,IF((I56-2)=-2,0.25,0.1))))),"")</f>
        <v/>
      </c>
      <c r="AK56" s="39" t="inlineStr">
        <is>
          <t>Bom thường rơi tự do, tản mát 2–3 m, không bắn hạ được; bom dẫn đường chính xác; bom lượn bay chậm và bắn hạ được.</t>
        </is>
      </c>
      <c r="AL56" s="39" t="n"/>
      <c r="AM56" s="39" t="inlineStr">
        <is>
          <t>GBU-39 SDB: chỉ ~17 kg thuốc nổ (bom nhỏ, sát thương gọn)</t>
        </is>
      </c>
      <c r="AN56" s="39" t="inlineStr">
        <is>
          <t>SDB chỉ ~17 kg thuốc nổ.</t>
        </is>
      </c>
      <c r="AO56" s="48" t="inlineStr">
        <is>
          <t>Trung</t>
        </is>
      </c>
    </row>
    <row r="57" ht="32.25" customHeight="1" s="32">
      <c r="A57" s="41" t="inlineStr">
        <is>
          <t>gun_105_apfsds</t>
        </is>
      </c>
      <c r="B57" s="41" t="inlineStr">
        <is>
          <t>2A75 125 mm APFSDS</t>
        </is>
      </c>
      <c r="C57" s="41" t="inlineStr">
        <is>
          <t>Pháo xe tăng / diệt tăng</t>
        </is>
      </c>
      <c r="D57" s="41" t="inlineStr">
        <is>
          <t>Chống tăng TN</t>
        </is>
      </c>
      <c r="E57" s="41" t="inlineStr">
        <is>
          <t>Động năng</t>
        </is>
      </c>
      <c r="F57" s="41" t="inlineStr">
        <is>
          <t>DoubleDart</t>
        </is>
      </c>
      <c r="G57" s="43" t="n">
        <v>125</v>
      </c>
      <c r="H57" s="43" t="n">
        <v>4</v>
      </c>
      <c r="I57" s="43" t="n">
        <v>4</v>
      </c>
      <c r="J57" s="43" t="n">
        <v>260</v>
      </c>
      <c r="K57" s="43" t="n">
        <v>260</v>
      </c>
      <c r="L57" s="41" t="inlineStr">
        <is>
          <t>từng phát</t>
        </is>
      </c>
      <c r="M57" s="41" t="inlineStr">
        <is>
          <t>từng phát</t>
        </is>
      </c>
      <c r="N57" s="43" t="n">
        <v>0.26</v>
      </c>
      <c r="O57" s="43" t="n">
        <v>0.26</v>
      </c>
      <c r="P57" s="43" t="n">
        <v>1</v>
      </c>
      <c r="Q57" s="43" t="n">
        <v>1</v>
      </c>
      <c r="R57" s="43" t="n">
        <v>3.84615384615385</v>
      </c>
      <c r="S57" s="43" t="n">
        <v>3.84615384615385</v>
      </c>
      <c r="T57" s="43" t="n">
        <v>46</v>
      </c>
      <c r="U57" s="43" t="n">
        <v>46</v>
      </c>
      <c r="V57" s="43" t="n">
        <v>260</v>
      </c>
      <c r="W57" s="43" t="n">
        <v>260</v>
      </c>
      <c r="X57" s="51">
        <f>IFERROR(U57/W57,"")</f>
        <v/>
      </c>
      <c r="Y57" s="51" t="n"/>
      <c r="Z57" s="51" t="n"/>
      <c r="AA57" s="51">
        <f>IFERROR(IF(L57="từng phát",J57*N57,J57*P57/(P57/N57+R57)),"")</f>
        <v/>
      </c>
      <c r="AB57" s="51">
        <f>IFERROR(IF(M57="từng phát",K57*O57,K57*Q57/(Q57/O57+S57)),"")</f>
        <v/>
      </c>
      <c r="AC57" s="51">
        <f>IFERROR(AB57*VLOOKUP(E57,'Hệ số'!$A$2:$D$8,2,0)*IF((I57-0)&gt;=2,1.2,IF((I57-0)=1,1,IF((I57-0)=0,0.85,IF((I57-0)=-1,0.5,IF((I57-0)=-2,0.25,0.1))))),"")</f>
        <v/>
      </c>
      <c r="AD57" s="51">
        <f>IFERROR(AB57*VLOOKUP(E57,'Hệ số'!$A$2:$D$8,2,0)*IF((I57-1)&gt;=2,1.2,IF((I57-1)=1,1,IF((I57-1)=0,0.85,IF((I57-1)=-1,0.5,IF((I57-1)=-2,0.25,0.1))))),"")</f>
        <v/>
      </c>
      <c r="AE57" s="51">
        <f>IFERROR(AB57*VLOOKUP(E57,'Hệ số'!$A$2:$D$8,2,0)*IF((I57-2)&gt;=2,1.2,IF((I57-2)=1,1,IF((I57-2)=0,0.85,IF((I57-2)=-1,0.5,IF((I57-2)=-2,0.25,0.1))))),"")</f>
        <v/>
      </c>
      <c r="AF57" s="51">
        <f>IFERROR(AB57*VLOOKUP(E57,'Hệ số'!$A$2:$D$8,2,0)*IF((I57-3)&gt;=2,1.2,IF((I57-3)=1,1,IF((I57-3)=0,0.85,IF((I57-3)=-1,0.5,IF((I57-3)=-2,0.25,0.1))))),"")</f>
        <v/>
      </c>
      <c r="AG57" s="51">
        <f>IFERROR(AB57*VLOOKUP(E57,'Hệ số'!$A$2:$D$8,2,0)*IF((I57-4)&gt;=2,1.2,IF((I57-4)=1,1,IF((I57-4)=0,0.85,IF((I57-4)=-1,0.5,IF((I57-4)=-2,0.25,0.1))))),"")</f>
        <v/>
      </c>
      <c r="AH57" s="51">
        <f>IFERROR(AB57*VLOOKUP(E57,'Hệ số'!$A$2:$D$8,2,0)*IF((I57-5)&gt;=2,1.2,IF((I57-5)=1,1,IF((I57-5)=0,0.85,IF((I57-5)=-1,0.5,IF((I57-5)=-2,0.25,0.1))))),"")</f>
        <v/>
      </c>
      <c r="AI57" s="51">
        <f>IFERROR(AB57*VLOOKUP(E57,'Hệ số'!$A$2:$D$8,3,0),"")</f>
        <v/>
      </c>
      <c r="AJ57" s="51">
        <f>IFERROR(AB57*VLOOKUP(E57,'Hệ số'!$A$2:$D$8,4,0)*IF((I57-2)&gt;=2,1.2,IF((I57-2)=1,1,IF((I57-2)=0,0.85,IF((I57-2)=-1,0.5,IF((I57-2)=-2,0.25,0.1))))),"")</f>
        <v/>
      </c>
      <c r="AK57" s="41" t="inlineStr">
        <is>
          <t>Phát đơn, sơ tốc cao; không bị APS chặn (đạn động năng); bị lệch theo tầm và khi xe đang chạy.</t>
        </is>
      </c>
      <c r="AL57" s="41" t="inlineStr">
        <is>
          <t>Tự đổi: đạn xuyên (Động năng) với xe giáp, đạn nổ mạnh (HE, xuyên 2, nổ lan 3 m) với xe nhẹ và công trình.</t>
        </is>
      </c>
      <c r="AM57" s="41" t="inlineStr">
        <is>
          <t>2A75: ~7 phát/phút</t>
        </is>
      </c>
      <c r="AN57" s="41" t="inlineStr">
        <is>
          <t>Giữ.</t>
        </is>
      </c>
      <c r="AO57" s="41" t="n"/>
    </row>
    <row r="58" ht="32.25" customHeight="1" s="32">
      <c r="A58" s="39" t="inlineStr">
        <is>
          <t>gun_105_bunker</t>
        </is>
      </c>
      <c r="B58" s="39" t="inlineStr">
        <is>
          <t>L7 105 mm</t>
        </is>
      </c>
      <c r="C58" s="39" t="inlineStr">
        <is>
          <t>Pháo xe tăng / diệt tăng</t>
        </is>
      </c>
      <c r="D58" s="39" t="inlineStr">
        <is>
          <t>Xe công sự</t>
        </is>
      </c>
      <c r="E58" s="39" t="inlineStr">
        <is>
          <t>Động năng</t>
        </is>
      </c>
      <c r="F58" s="39" t="inlineStr">
        <is>
          <t>Dart</t>
        </is>
      </c>
      <c r="G58" s="42" t="n">
        <v>105</v>
      </c>
      <c r="H58" s="42" t="n">
        <v>3</v>
      </c>
      <c r="I58" s="42" t="n">
        <v>3</v>
      </c>
      <c r="J58" s="42" t="n">
        <v>212</v>
      </c>
      <c r="K58" s="42" t="n">
        <v>212</v>
      </c>
      <c r="L58" s="39" t="inlineStr">
        <is>
          <t>từng phát</t>
        </is>
      </c>
      <c r="M58" s="39" t="inlineStr">
        <is>
          <t>từng phát</t>
        </is>
      </c>
      <c r="N58" s="42" t="n">
        <v>0.220458553791887</v>
      </c>
      <c r="O58" s="42" t="n">
        <v>0.220458553791887</v>
      </c>
      <c r="P58" s="42" t="n">
        <v>1</v>
      </c>
      <c r="Q58" s="42" t="n">
        <v>1</v>
      </c>
      <c r="R58" s="42" t="n">
        <v>4.536</v>
      </c>
      <c r="S58" s="42" t="n">
        <v>4.536</v>
      </c>
      <c r="T58" s="42" t="n">
        <v>34</v>
      </c>
      <c r="U58" s="42" t="n">
        <v>34</v>
      </c>
      <c r="V58" s="42" t="n">
        <v>190</v>
      </c>
      <c r="W58" s="42" t="n">
        <v>190</v>
      </c>
      <c r="X58" s="50">
        <f>IFERROR(U58/W58,"")</f>
        <v/>
      </c>
      <c r="Y58" s="52" t="n">
        <v>1.5</v>
      </c>
      <c r="Z58" s="52" t="n">
        <v>1.5</v>
      </c>
      <c r="AA58" s="50">
        <f>IFERROR(IF(L58="từng phát",J58*N58,J58*P58/(P58/N58+R58)),"")</f>
        <v/>
      </c>
      <c r="AB58" s="50">
        <f>IFERROR(IF(M58="từng phát",K58*O58,K58*Q58/(Q58/O58+S58)),"")</f>
        <v/>
      </c>
      <c r="AC58" s="50">
        <f>IFERROR(AB58*VLOOKUP(E58,'Hệ số'!$A$2:$D$8,2,0)*IF((I58-0)&gt;=2,1.2,IF((I58-0)=1,1,IF((I58-0)=0,0.85,IF((I58-0)=-1,0.5,IF((I58-0)=-2,0.25,0.1))))),"")</f>
        <v/>
      </c>
      <c r="AD58" s="50">
        <f>IFERROR(AB58*VLOOKUP(E58,'Hệ số'!$A$2:$D$8,2,0)*IF((I58-1)&gt;=2,1.2,IF((I58-1)=1,1,IF((I58-1)=0,0.85,IF((I58-1)=-1,0.5,IF((I58-1)=-2,0.25,0.1))))),"")</f>
        <v/>
      </c>
      <c r="AE58" s="50">
        <f>IFERROR(AB58*VLOOKUP(E58,'Hệ số'!$A$2:$D$8,2,0)*IF((I58-2)&gt;=2,1.2,IF((I58-2)=1,1,IF((I58-2)=0,0.85,IF((I58-2)=-1,0.5,IF((I58-2)=-2,0.25,0.1))))),"")</f>
        <v/>
      </c>
      <c r="AF58" s="50">
        <f>IFERROR(AB58*VLOOKUP(E58,'Hệ số'!$A$2:$D$8,2,0)*IF((I58-3)&gt;=2,1.2,IF((I58-3)=1,1,IF((I58-3)=0,0.85,IF((I58-3)=-1,0.5,IF((I58-3)=-2,0.25,0.1))))),"")</f>
        <v/>
      </c>
      <c r="AG58" s="50">
        <f>IFERROR(AB58*VLOOKUP(E58,'Hệ số'!$A$2:$D$8,2,0)*IF((I58-4)&gt;=2,1.2,IF((I58-4)=1,1,IF((I58-4)=0,0.85,IF((I58-4)=-1,0.5,IF((I58-4)=-2,0.25,0.1))))),"")</f>
        <v/>
      </c>
      <c r="AH58" s="50">
        <f>IFERROR(AB58*VLOOKUP(E58,'Hệ số'!$A$2:$D$8,2,0)*IF((I58-5)&gt;=2,1.2,IF((I58-5)=1,1,IF((I58-5)=0,0.85,IF((I58-5)=-1,0.5,IF((I58-5)=-2,0.25,0.1))))),"")</f>
        <v/>
      </c>
      <c r="AI58" s="50">
        <f>IFERROR(AB58*VLOOKUP(E58,'Hệ số'!$A$2:$D$8,3,0),"")</f>
        <v/>
      </c>
      <c r="AJ58" s="50">
        <f>IFERROR(AB58*VLOOKUP(E58,'Hệ số'!$A$2:$D$8,4,0)*IF((I58-2)&gt;=2,1.2,IF((I58-2)=1,1,IF((I58-2)=0,0.85,IF((I58-2)=-1,0.5,IF((I58-2)=-2,0.25,0.1))))),"")</f>
        <v/>
      </c>
      <c r="AK58" s="39" t="inlineStr">
        <is>
          <t>Phát đơn, sơ tốc cao; không bị APS chặn (đạn động năng); bị lệch theo tầm và khi xe đang chạy.</t>
        </is>
      </c>
      <c r="AL58" s="39" t="inlineStr">
        <is>
          <t>Tự đổi: đạn xuyên (Động năng) với xe giáp, đạn nổ mạnh (HE, xuyên 2, nổ lan 3 m) với xe nhẹ và công trình.</t>
        </is>
      </c>
      <c r="AM58" s="39" t="inlineStr">
        <is>
          <t>L7 105 mm: 6–10 phát/phút</t>
        </is>
      </c>
      <c r="AN58" s="39" t="inlineStr">
        <is>
          <t>Giữ.</t>
        </is>
      </c>
      <c r="AO58" s="39" t="n"/>
    </row>
    <row r="59" ht="32.25" customHeight="1" s="32">
      <c r="A59" s="41" t="inlineStr">
        <is>
          <t>gun_105_long</t>
        </is>
      </c>
      <c r="B59" s="41" t="inlineStr">
        <is>
          <t>2A75 125 mm (2S25</t>
        </is>
      </c>
      <c r="C59" s="41" t="inlineStr">
        <is>
          <t>Pháo xe tăng / diệt tăng</t>
        </is>
      </c>
      <c r="D59" s="41" t="inlineStr">
        <is>
          <t>Chống tăng</t>
        </is>
      </c>
      <c r="E59" s="41" t="inlineStr">
        <is>
          <t>Động năng</t>
        </is>
      </c>
      <c r="F59" s="41" t="inlineStr">
        <is>
          <t>DoubleDart</t>
        </is>
      </c>
      <c r="G59" s="43" t="n">
        <v>125</v>
      </c>
      <c r="H59" s="43" t="n">
        <v>4</v>
      </c>
      <c r="I59" s="43" t="n">
        <v>4</v>
      </c>
      <c r="J59" s="43" t="n">
        <v>260</v>
      </c>
      <c r="K59" s="43" t="n">
        <v>260</v>
      </c>
      <c r="L59" s="41" t="inlineStr">
        <is>
          <t>từng phát</t>
        </is>
      </c>
      <c r="M59" s="41" t="inlineStr">
        <is>
          <t>từng phát</t>
        </is>
      </c>
      <c r="N59" s="43" t="n">
        <v>0.265041081367612</v>
      </c>
      <c r="O59" s="43" t="n">
        <v>0.3</v>
      </c>
      <c r="P59" s="43" t="n">
        <v>1</v>
      </c>
      <c r="Q59" s="43" t="n">
        <v>1</v>
      </c>
      <c r="R59" s="43" t="n">
        <v>3.773</v>
      </c>
      <c r="S59" s="43" t="n">
        <v>3.773</v>
      </c>
      <c r="T59" s="43" t="n">
        <v>40</v>
      </c>
      <c r="U59" s="43" t="n">
        <v>46</v>
      </c>
      <c r="V59" s="43" t="n">
        <v>220</v>
      </c>
      <c r="W59" s="43" t="n">
        <v>220</v>
      </c>
      <c r="X59" s="51">
        <f>IFERROR(U59/W59,"")</f>
        <v/>
      </c>
      <c r="Y59" s="51" t="n"/>
      <c r="Z59" s="51" t="n"/>
      <c r="AA59" s="51">
        <f>IFERROR(IF(L59="từng phát",J59*N59,J59*P59/(P59/N59+R59)),"")</f>
        <v/>
      </c>
      <c r="AB59" s="51">
        <f>IFERROR(IF(M59="từng phát",K59*O59,K59*Q59/(Q59/O59+S59)),"")</f>
        <v/>
      </c>
      <c r="AC59" s="51">
        <f>IFERROR(AB59*VLOOKUP(E59,'Hệ số'!$A$2:$D$8,2,0)*IF((I59-0)&gt;=2,1.2,IF((I59-0)=1,1,IF((I59-0)=0,0.85,IF((I59-0)=-1,0.5,IF((I59-0)=-2,0.25,0.1))))),"")</f>
        <v/>
      </c>
      <c r="AD59" s="51">
        <f>IFERROR(AB59*VLOOKUP(E59,'Hệ số'!$A$2:$D$8,2,0)*IF((I59-1)&gt;=2,1.2,IF((I59-1)=1,1,IF((I59-1)=0,0.85,IF((I59-1)=-1,0.5,IF((I59-1)=-2,0.25,0.1))))),"")</f>
        <v/>
      </c>
      <c r="AE59" s="51">
        <f>IFERROR(AB59*VLOOKUP(E59,'Hệ số'!$A$2:$D$8,2,0)*IF((I59-2)&gt;=2,1.2,IF((I59-2)=1,1,IF((I59-2)=0,0.85,IF((I59-2)=-1,0.5,IF((I59-2)=-2,0.25,0.1))))),"")</f>
        <v/>
      </c>
      <c r="AF59" s="51">
        <f>IFERROR(AB59*VLOOKUP(E59,'Hệ số'!$A$2:$D$8,2,0)*IF((I59-3)&gt;=2,1.2,IF((I59-3)=1,1,IF((I59-3)=0,0.85,IF((I59-3)=-1,0.5,IF((I59-3)=-2,0.25,0.1))))),"")</f>
        <v/>
      </c>
      <c r="AG59" s="51">
        <f>IFERROR(AB59*VLOOKUP(E59,'Hệ số'!$A$2:$D$8,2,0)*IF((I59-4)&gt;=2,1.2,IF((I59-4)=1,1,IF((I59-4)=0,0.85,IF((I59-4)=-1,0.5,IF((I59-4)=-2,0.25,0.1))))),"")</f>
        <v/>
      </c>
      <c r="AH59" s="51">
        <f>IFERROR(AB59*VLOOKUP(E59,'Hệ số'!$A$2:$D$8,2,0)*IF((I59-5)&gt;=2,1.2,IF((I59-5)=1,1,IF((I59-5)=0,0.85,IF((I59-5)=-1,0.5,IF((I59-5)=-2,0.25,0.1))))),"")</f>
        <v/>
      </c>
      <c r="AI59" s="51">
        <f>IFERROR(AB59*VLOOKUP(E59,'Hệ số'!$A$2:$D$8,3,0),"")</f>
        <v/>
      </c>
      <c r="AJ59" s="51">
        <f>IFERROR(AB59*VLOOKUP(E59,'Hệ số'!$A$2:$D$8,4,0)*IF((I59-2)&gt;=2,1.2,IF((I59-2)=1,1,IF((I59-2)=0,0.85,IF((I59-2)=-1,0.5,IF((I59-2)=-2,0.25,0.1))))),"")</f>
        <v/>
      </c>
      <c r="AK59" s="41" t="inlineStr">
        <is>
          <t>Phát đơn, sơ tốc cao; không bị APS chặn (đạn động năng); bị lệch theo tầm và khi xe đang chạy.</t>
        </is>
      </c>
      <c r="AL59" s="41" t="inlineStr">
        <is>
          <t>Tự đổi: đạn xuyên (Động năng) với xe giáp, đạn nổ mạnh (HE, xuyên 2, nổ lan 3 m) với xe nhẹ và công trình.</t>
        </is>
      </c>
      <c r="AM59" s="41" t="inlineStr">
        <is>
          <t>2A75 (2S25 Sprut) nạp tự động: ~7 phát/phút</t>
        </is>
      </c>
      <c r="AN59" s="41" t="inlineStr">
        <is>
          <t>Bù giáp mỏng của 2S25 bằng tầm bắn tỉa.</t>
        </is>
      </c>
      <c r="AO59" s="48" t="inlineStr">
        <is>
          <t>Trung</t>
        </is>
      </c>
    </row>
    <row r="60" ht="32.25" customHeight="1" s="32">
      <c r="A60" s="39" t="inlineStr">
        <is>
          <t>gun_105_wheeled</t>
        </is>
      </c>
      <c r="B60" s="39" t="inlineStr">
        <is>
          <t>Centauro II 120 mm</t>
        </is>
      </c>
      <c r="C60" s="39" t="inlineStr">
        <is>
          <t>Pháo xe tăng / diệt tăng</t>
        </is>
      </c>
      <c r="D60" s="39" t="inlineStr">
        <is>
          <t>Pháo bánh lốp</t>
        </is>
      </c>
      <c r="E60" s="39" t="inlineStr">
        <is>
          <t>Động năng</t>
        </is>
      </c>
      <c r="F60" s="39" t="inlineStr">
        <is>
          <t>DoubleDart</t>
        </is>
      </c>
      <c r="G60" s="42" t="n">
        <v>120</v>
      </c>
      <c r="H60" s="42" t="n">
        <v>4</v>
      </c>
      <c r="I60" s="42" t="n">
        <v>4</v>
      </c>
      <c r="J60" s="42" t="n">
        <v>258</v>
      </c>
      <c r="K60" s="42" t="n">
        <v>258</v>
      </c>
      <c r="L60" s="39" t="inlineStr">
        <is>
          <t>từng phát</t>
        </is>
      </c>
      <c r="M60" s="39" t="inlineStr">
        <is>
          <t>từng phát</t>
        </is>
      </c>
      <c r="N60" s="42" t="n">
        <v>0.363636363636364</v>
      </c>
      <c r="O60" s="42" t="n">
        <v>0.27</v>
      </c>
      <c r="P60" s="42" t="n">
        <v>1</v>
      </c>
      <c r="Q60" s="42" t="n">
        <v>1</v>
      </c>
      <c r="R60" s="42" t="n">
        <v>2.75</v>
      </c>
      <c r="S60" s="42" t="n">
        <v>2.75</v>
      </c>
      <c r="T60" s="42" t="n">
        <v>38</v>
      </c>
      <c r="U60" s="42" t="n">
        <v>38</v>
      </c>
      <c r="V60" s="42" t="n">
        <v>230</v>
      </c>
      <c r="W60" s="42" t="n">
        <v>230</v>
      </c>
      <c r="X60" s="50">
        <f>IFERROR(U60/W60,"")</f>
        <v/>
      </c>
      <c r="Y60" s="50" t="n"/>
      <c r="Z60" s="50" t="n"/>
      <c r="AA60" s="50">
        <f>IFERROR(IF(L60="từng phát",J60*N60,J60*P60/(P60/N60+R60)),"")</f>
        <v/>
      </c>
      <c r="AB60" s="50">
        <f>IFERROR(IF(M60="từng phát",K60*O60,K60*Q60/(Q60/O60+S60)),"")</f>
        <v/>
      </c>
      <c r="AC60" s="50">
        <f>IFERROR(AB60*VLOOKUP(E60,'Hệ số'!$A$2:$D$8,2,0)*IF((I60-0)&gt;=2,1.2,IF((I60-0)=1,1,IF((I60-0)=0,0.85,IF((I60-0)=-1,0.5,IF((I60-0)=-2,0.25,0.1))))),"")</f>
        <v/>
      </c>
      <c r="AD60" s="50">
        <f>IFERROR(AB60*VLOOKUP(E60,'Hệ số'!$A$2:$D$8,2,0)*IF((I60-1)&gt;=2,1.2,IF((I60-1)=1,1,IF((I60-1)=0,0.85,IF((I60-1)=-1,0.5,IF((I60-1)=-2,0.25,0.1))))),"")</f>
        <v/>
      </c>
      <c r="AE60" s="50">
        <f>IFERROR(AB60*VLOOKUP(E60,'Hệ số'!$A$2:$D$8,2,0)*IF((I60-2)&gt;=2,1.2,IF((I60-2)=1,1,IF((I60-2)=0,0.85,IF((I60-2)=-1,0.5,IF((I60-2)=-2,0.25,0.1))))),"")</f>
        <v/>
      </c>
      <c r="AF60" s="50">
        <f>IFERROR(AB60*VLOOKUP(E60,'Hệ số'!$A$2:$D$8,2,0)*IF((I60-3)&gt;=2,1.2,IF((I60-3)=1,1,IF((I60-3)=0,0.85,IF((I60-3)=-1,0.5,IF((I60-3)=-2,0.25,0.1))))),"")</f>
        <v/>
      </c>
      <c r="AG60" s="50">
        <f>IFERROR(AB60*VLOOKUP(E60,'Hệ số'!$A$2:$D$8,2,0)*IF((I60-4)&gt;=2,1.2,IF((I60-4)=1,1,IF((I60-4)=0,0.85,IF((I60-4)=-1,0.5,IF((I60-4)=-2,0.25,0.1))))),"")</f>
        <v/>
      </c>
      <c r="AH60" s="50">
        <f>IFERROR(AB60*VLOOKUP(E60,'Hệ số'!$A$2:$D$8,2,0)*IF((I60-5)&gt;=2,1.2,IF((I60-5)=1,1,IF((I60-5)=0,0.85,IF((I60-5)=-1,0.5,IF((I60-5)=-2,0.25,0.1))))),"")</f>
        <v/>
      </c>
      <c r="AI60" s="50">
        <f>IFERROR(AB60*VLOOKUP(E60,'Hệ số'!$A$2:$D$8,3,0),"")</f>
        <v/>
      </c>
      <c r="AJ60" s="50">
        <f>IFERROR(AB60*VLOOKUP(E60,'Hệ số'!$A$2:$D$8,4,0)*IF((I60-2)&gt;=2,1.2,IF((I60-2)=1,1,IF((I60-2)=0,0.85,IF((I60-2)=-1,0.5,IF((I60-2)=-2,0.25,0.1))))),"")</f>
        <v/>
      </c>
      <c r="AK60" s="39" t="inlineStr">
        <is>
          <t>Phát đơn, sơ tốc cao; không bị APS chặn (đạn động năng); bị lệch theo tầm và khi xe đang chạy.</t>
        </is>
      </c>
      <c r="AL60" s="39" t="inlineStr">
        <is>
          <t>Tự đổi: đạn xuyên (Động năng) với xe giáp, đạn nổ mạnh (HE, xuyên 2, nổ lan 3 m) với xe nhẹ và công trình.</t>
        </is>
      </c>
      <c r="AM60" s="39" t="inlineStr">
        <is>
          <t>Centauro II 120 mm nạp tay: ~6–8 phát/phút</t>
        </is>
      </c>
      <c r="AN60" s="39" t="inlineStr">
        <is>
          <t>Centauro II nạp tay không thể nhanh hơn tăng chủ lực.</t>
        </is>
      </c>
      <c r="AO60" s="47" t="inlineStr">
        <is>
          <t>Cao</t>
        </is>
      </c>
    </row>
    <row r="61" ht="32.25" customHeight="1" s="32">
      <c r="A61" s="41" t="inlineStr">
        <is>
          <t>gun_120_twin</t>
        </is>
      </c>
      <c r="B61" s="41" t="inlineStr">
        <is>
          <t>Rh-120 L/44 120 mm</t>
        </is>
      </c>
      <c r="C61" s="41" t="inlineStr">
        <is>
          <t>Pháo xe tăng / diệt tăng</t>
        </is>
      </c>
      <c r="D61" s="41" t="inlineStr">
        <is>
          <t>Hai nòng</t>
        </is>
      </c>
      <c r="E61" s="41" t="inlineStr">
        <is>
          <t>Động năng</t>
        </is>
      </c>
      <c r="F61" s="41" t="inlineStr">
        <is>
          <t>DoubleDart</t>
        </is>
      </c>
      <c r="G61" s="43" t="n">
        <v>120</v>
      </c>
      <c r="H61" s="43" t="n">
        <v>4</v>
      </c>
      <c r="I61" s="43" t="n">
        <v>4</v>
      </c>
      <c r="J61" s="43" t="n">
        <v>240</v>
      </c>
      <c r="K61" s="43" t="n">
        <v>240</v>
      </c>
      <c r="L61" s="41" t="inlineStr">
        <is>
          <t>loạt</t>
        </is>
      </c>
      <c r="M61" s="41" t="inlineStr">
        <is>
          <t>loạt</t>
        </is>
      </c>
      <c r="N61" s="43" t="n">
        <v>20</v>
      </c>
      <c r="O61" s="43" t="n">
        <v>20</v>
      </c>
      <c r="P61" s="43" t="n">
        <v>2</v>
      </c>
      <c r="Q61" s="43" t="n">
        <v>2</v>
      </c>
      <c r="R61" s="43" t="n">
        <v>5.113</v>
      </c>
      <c r="S61" s="43" t="n">
        <v>5.113</v>
      </c>
      <c r="T61" s="43" t="n">
        <v>34</v>
      </c>
      <c r="U61" s="43" t="n">
        <v>34</v>
      </c>
      <c r="V61" s="43" t="n">
        <v>170</v>
      </c>
      <c r="W61" s="43" t="n">
        <v>170</v>
      </c>
      <c r="X61" s="51">
        <f>IFERROR(U61/W61,"")</f>
        <v/>
      </c>
      <c r="Y61" s="53" t="n">
        <v>1.5</v>
      </c>
      <c r="Z61" s="53" t="n">
        <v>1.5</v>
      </c>
      <c r="AA61" s="51">
        <f>IFERROR(IF(L61="từng phát",J61*N61,J61*P61/(P61/N61+R61)),"")</f>
        <v/>
      </c>
      <c r="AB61" s="51">
        <f>IFERROR(IF(M61="từng phát",K61*O61,K61*Q61/(Q61/O61+S61)),"")</f>
        <v/>
      </c>
      <c r="AC61" s="51">
        <f>IFERROR(AB61*VLOOKUP(E61,'Hệ số'!$A$2:$D$8,2,0)*IF((I61-0)&gt;=2,1.2,IF((I61-0)=1,1,IF((I61-0)=0,0.85,IF((I61-0)=-1,0.5,IF((I61-0)=-2,0.25,0.1))))),"")</f>
        <v/>
      </c>
      <c r="AD61" s="51">
        <f>IFERROR(AB61*VLOOKUP(E61,'Hệ số'!$A$2:$D$8,2,0)*IF((I61-1)&gt;=2,1.2,IF((I61-1)=1,1,IF((I61-1)=0,0.85,IF((I61-1)=-1,0.5,IF((I61-1)=-2,0.25,0.1))))),"")</f>
        <v/>
      </c>
      <c r="AE61" s="51">
        <f>IFERROR(AB61*VLOOKUP(E61,'Hệ số'!$A$2:$D$8,2,0)*IF((I61-2)&gt;=2,1.2,IF((I61-2)=1,1,IF((I61-2)=0,0.85,IF((I61-2)=-1,0.5,IF((I61-2)=-2,0.25,0.1))))),"")</f>
        <v/>
      </c>
      <c r="AF61" s="51">
        <f>IFERROR(AB61*VLOOKUP(E61,'Hệ số'!$A$2:$D$8,2,0)*IF((I61-3)&gt;=2,1.2,IF((I61-3)=1,1,IF((I61-3)=0,0.85,IF((I61-3)=-1,0.5,IF((I61-3)=-2,0.25,0.1))))),"")</f>
        <v/>
      </c>
      <c r="AG61" s="51">
        <f>IFERROR(AB61*VLOOKUP(E61,'Hệ số'!$A$2:$D$8,2,0)*IF((I61-4)&gt;=2,1.2,IF((I61-4)=1,1,IF((I61-4)=0,0.85,IF((I61-4)=-1,0.5,IF((I61-4)=-2,0.25,0.1))))),"")</f>
        <v/>
      </c>
      <c r="AH61" s="51">
        <f>IFERROR(AB61*VLOOKUP(E61,'Hệ số'!$A$2:$D$8,2,0)*IF((I61-5)&gt;=2,1.2,IF((I61-5)=1,1,IF((I61-5)=0,0.85,IF((I61-5)=-1,0.5,IF((I61-5)=-2,0.25,0.1))))),"")</f>
        <v/>
      </c>
      <c r="AI61" s="51">
        <f>IFERROR(AB61*VLOOKUP(E61,'Hệ số'!$A$2:$D$8,3,0),"")</f>
        <v/>
      </c>
      <c r="AJ61" s="51">
        <f>IFERROR(AB61*VLOOKUP(E61,'Hệ số'!$A$2:$D$8,4,0)*IF((I61-2)&gt;=2,1.2,IF((I61-2)=1,1,IF((I61-2)=0,0.85,IF((I61-2)=-1,0.5,IF((I61-2)=-2,0.25,0.1))))),"")</f>
        <v/>
      </c>
      <c r="AK61" s="41" t="inlineStr">
        <is>
          <t>Phát đơn, sơ tốc cao; không bị APS chặn (đạn động năng); bị lệch theo tầm và khi xe đang chạy.</t>
        </is>
      </c>
      <c r="AL61" s="41" t="inlineStr">
        <is>
          <t>Tự đổi: đạn xuyên (Động năng) với xe giáp, đạn nổ mạnh (HE, xuyên 2, nổ lan 3 m) với xe nhẹ và công trình.</t>
        </is>
      </c>
      <c r="AM61" s="41" t="inlineStr">
        <is>
          <t>Rh-120</t>
        </is>
      </c>
      <c r="AN61" s="41" t="inlineStr">
        <is>
          <t>Giữ.</t>
        </is>
      </c>
      <c r="AO61" s="41" t="n"/>
    </row>
    <row r="62" ht="32.25" customHeight="1" s="32">
      <c r="A62" s="39" t="inlineStr">
        <is>
          <t>gun_120mm</t>
        </is>
      </c>
      <c r="B62" s="39" t="inlineStr">
        <is>
          <t>Rh-120 L/44 120 mm</t>
        </is>
      </c>
      <c r="C62" s="39" t="inlineStr">
        <is>
          <t>Pháo xe tăng / diệt tăng</t>
        </is>
      </c>
      <c r="D62" s="39" t="inlineStr">
        <is>
          <t>Behemoth, Behemoth Mk.0,</t>
        </is>
      </c>
      <c r="E62" s="39" t="inlineStr">
        <is>
          <t>Động năng</t>
        </is>
      </c>
      <c r="F62" s="39" t="inlineStr">
        <is>
          <t>DoubleDart</t>
        </is>
      </c>
      <c r="G62" s="42" t="n">
        <v>120</v>
      </c>
      <c r="H62" s="42" t="n">
        <v>4</v>
      </c>
      <c r="I62" s="42" t="n">
        <v>4</v>
      </c>
      <c r="J62" s="42" t="n">
        <v>240</v>
      </c>
      <c r="K62" s="42" t="n">
        <v>240</v>
      </c>
      <c r="L62" s="39" t="inlineStr">
        <is>
          <t>từng phát</t>
        </is>
      </c>
      <c r="M62" s="39" t="inlineStr">
        <is>
          <t>từng phát</t>
        </is>
      </c>
      <c r="N62" s="42" t="n">
        <v>0.196155355041193</v>
      </c>
      <c r="O62" s="42" t="n">
        <v>0.196155355041193</v>
      </c>
      <c r="P62" s="42" t="n">
        <v>1</v>
      </c>
      <c r="Q62" s="42" t="n">
        <v>1</v>
      </c>
      <c r="R62" s="42" t="n">
        <v>5.098</v>
      </c>
      <c r="S62" s="42" t="n">
        <v>5.098</v>
      </c>
      <c r="T62" s="42" t="n">
        <v>32</v>
      </c>
      <c r="U62" s="42" t="n">
        <v>32</v>
      </c>
      <c r="V62" s="42" t="n">
        <v>170</v>
      </c>
      <c r="W62" s="42" t="n">
        <v>170</v>
      </c>
      <c r="X62" s="50">
        <f>IFERROR(U62/W62,"")</f>
        <v/>
      </c>
      <c r="Y62" s="52" t="n">
        <v>1.5</v>
      </c>
      <c r="Z62" s="52" t="n">
        <v>1.5</v>
      </c>
      <c r="AA62" s="50">
        <f>IFERROR(IF(L62="từng phát",J62*N62,J62*P62/(P62/N62+R62)),"")</f>
        <v/>
      </c>
      <c r="AB62" s="50">
        <f>IFERROR(IF(M62="từng phát",K62*O62,K62*Q62/(Q62/O62+S62)),"")</f>
        <v/>
      </c>
      <c r="AC62" s="50">
        <f>IFERROR(AB62*VLOOKUP(E62,'Hệ số'!$A$2:$D$8,2,0)*IF((I62-0)&gt;=2,1.2,IF((I62-0)=1,1,IF((I62-0)=0,0.85,IF((I62-0)=-1,0.5,IF((I62-0)=-2,0.25,0.1))))),"")</f>
        <v/>
      </c>
      <c r="AD62" s="50">
        <f>IFERROR(AB62*VLOOKUP(E62,'Hệ số'!$A$2:$D$8,2,0)*IF((I62-1)&gt;=2,1.2,IF((I62-1)=1,1,IF((I62-1)=0,0.85,IF((I62-1)=-1,0.5,IF((I62-1)=-2,0.25,0.1))))),"")</f>
        <v/>
      </c>
      <c r="AE62" s="50">
        <f>IFERROR(AB62*VLOOKUP(E62,'Hệ số'!$A$2:$D$8,2,0)*IF((I62-2)&gt;=2,1.2,IF((I62-2)=1,1,IF((I62-2)=0,0.85,IF((I62-2)=-1,0.5,IF((I62-2)=-2,0.25,0.1))))),"")</f>
        <v/>
      </c>
      <c r="AF62" s="50">
        <f>IFERROR(AB62*VLOOKUP(E62,'Hệ số'!$A$2:$D$8,2,0)*IF((I62-3)&gt;=2,1.2,IF((I62-3)=1,1,IF((I62-3)=0,0.85,IF((I62-3)=-1,0.5,IF((I62-3)=-2,0.25,0.1))))),"")</f>
        <v/>
      </c>
      <c r="AG62" s="50">
        <f>IFERROR(AB62*VLOOKUP(E62,'Hệ số'!$A$2:$D$8,2,0)*IF((I62-4)&gt;=2,1.2,IF((I62-4)=1,1,IF((I62-4)=0,0.85,IF((I62-4)=-1,0.5,IF((I62-4)=-2,0.25,0.1))))),"")</f>
        <v/>
      </c>
      <c r="AH62" s="50">
        <f>IFERROR(AB62*VLOOKUP(E62,'Hệ số'!$A$2:$D$8,2,0)*IF((I62-5)&gt;=2,1.2,IF((I62-5)=1,1,IF((I62-5)=0,0.85,IF((I62-5)=-1,0.5,IF((I62-5)=-2,0.25,0.1))))),"")</f>
        <v/>
      </c>
      <c r="AI62" s="50">
        <f>IFERROR(AB62*VLOOKUP(E62,'Hệ số'!$A$2:$D$8,3,0),"")</f>
        <v/>
      </c>
      <c r="AJ62" s="50">
        <f>IFERROR(AB62*VLOOKUP(E62,'Hệ số'!$A$2:$D$8,4,0)*IF((I62-2)&gt;=2,1.2,IF((I62-2)=1,1,IF((I62-2)=0,0.85,IF((I62-2)=-1,0.5,IF((I62-2)=-2,0.25,0.1))))),"")</f>
        <v/>
      </c>
      <c r="AK62" s="39" t="inlineStr">
        <is>
          <t>Phát đơn, sơ tốc cao; không bị APS chặn (đạn động năng); bị lệch theo tầm và khi xe đang chạy.</t>
        </is>
      </c>
      <c r="AL62" s="39" t="inlineStr">
        <is>
          <t>Tự đổi: đạn xuyên (Động năng) với xe giáp, đạn nổ mạnh (HE, xuyên 2, nổ lan 3 m) với xe nhẹ và công trình.</t>
        </is>
      </c>
      <c r="AM62" s="39" t="inlineStr">
        <is>
          <t>Rh-120: 6–8 phát/phút</t>
        </is>
      </c>
      <c r="AN62" s="39" t="inlineStr">
        <is>
          <t>Giữ.</t>
        </is>
      </c>
      <c r="AO62" s="39" t="n"/>
    </row>
    <row r="63" ht="32.25" customHeight="1" s="32">
      <c r="A63" s="41" t="inlineStr">
        <is>
          <t>gun_125_elite</t>
        </is>
      </c>
      <c r="B63" s="41" t="inlineStr">
        <is>
          <t>2A46M-5 125 mm</t>
        </is>
      </c>
      <c r="C63" s="41" t="inlineStr">
        <is>
          <t>Pháo xe tăng / diệt tăng</t>
        </is>
      </c>
      <c r="D63" s="41" t="inlineStr">
        <is>
          <t>Tăng tinh nhuệ</t>
        </is>
      </c>
      <c r="E63" s="41" t="inlineStr">
        <is>
          <t>Động năng</t>
        </is>
      </c>
      <c r="F63" s="41" t="inlineStr">
        <is>
          <t>DoubleDart</t>
        </is>
      </c>
      <c r="G63" s="43" t="n">
        <v>125</v>
      </c>
      <c r="H63" s="43" t="n">
        <v>4</v>
      </c>
      <c r="I63" s="43" t="n">
        <v>4</v>
      </c>
      <c r="J63" s="43" t="n">
        <v>260</v>
      </c>
      <c r="K63" s="43" t="n">
        <v>260</v>
      </c>
      <c r="L63" s="41" t="inlineStr">
        <is>
          <t>từng phát</t>
        </is>
      </c>
      <c r="M63" s="41" t="inlineStr">
        <is>
          <t>từng phát</t>
        </is>
      </c>
      <c r="N63" s="43" t="n">
        <v>0.18</v>
      </c>
      <c r="O63" s="43" t="n">
        <v>0.18</v>
      </c>
      <c r="P63" s="43" t="n">
        <v>1</v>
      </c>
      <c r="Q63" s="43" t="n">
        <v>1</v>
      </c>
      <c r="R63" s="43" t="n">
        <v>5.55555555555556</v>
      </c>
      <c r="S63" s="43" t="n">
        <v>5.55555555555556</v>
      </c>
      <c r="T63" s="43" t="n">
        <v>34</v>
      </c>
      <c r="U63" s="43" t="n">
        <v>34</v>
      </c>
      <c r="V63" s="43" t="n">
        <v>190</v>
      </c>
      <c r="W63" s="43" t="n">
        <v>190</v>
      </c>
      <c r="X63" s="51">
        <f>IFERROR(U63/W63,"")</f>
        <v/>
      </c>
      <c r="Y63" s="53" t="n">
        <v>1.5</v>
      </c>
      <c r="Z63" s="53" t="n">
        <v>1.5</v>
      </c>
      <c r="AA63" s="51">
        <f>IFERROR(IF(L63="từng phát",J63*N63,J63*P63/(P63/N63+R63)),"")</f>
        <v/>
      </c>
      <c r="AB63" s="51">
        <f>IFERROR(IF(M63="từng phát",K63*O63,K63*Q63/(Q63/O63+S63)),"")</f>
        <v/>
      </c>
      <c r="AC63" s="51">
        <f>IFERROR(AB63*VLOOKUP(E63,'Hệ số'!$A$2:$D$8,2,0)*IF((I63-0)&gt;=2,1.2,IF((I63-0)=1,1,IF((I63-0)=0,0.85,IF((I63-0)=-1,0.5,IF((I63-0)=-2,0.25,0.1))))),"")</f>
        <v/>
      </c>
      <c r="AD63" s="51">
        <f>IFERROR(AB63*VLOOKUP(E63,'Hệ số'!$A$2:$D$8,2,0)*IF((I63-1)&gt;=2,1.2,IF((I63-1)=1,1,IF((I63-1)=0,0.85,IF((I63-1)=-1,0.5,IF((I63-1)=-2,0.25,0.1))))),"")</f>
        <v/>
      </c>
      <c r="AE63" s="51">
        <f>IFERROR(AB63*VLOOKUP(E63,'Hệ số'!$A$2:$D$8,2,0)*IF((I63-2)&gt;=2,1.2,IF((I63-2)=1,1,IF((I63-2)=0,0.85,IF((I63-2)=-1,0.5,IF((I63-2)=-2,0.25,0.1))))),"")</f>
        <v/>
      </c>
      <c r="AF63" s="51">
        <f>IFERROR(AB63*VLOOKUP(E63,'Hệ số'!$A$2:$D$8,2,0)*IF((I63-3)&gt;=2,1.2,IF((I63-3)=1,1,IF((I63-3)=0,0.85,IF((I63-3)=-1,0.5,IF((I63-3)=-2,0.25,0.1))))),"")</f>
        <v/>
      </c>
      <c r="AG63" s="51">
        <f>IFERROR(AB63*VLOOKUP(E63,'Hệ số'!$A$2:$D$8,2,0)*IF((I63-4)&gt;=2,1.2,IF((I63-4)=1,1,IF((I63-4)=0,0.85,IF((I63-4)=-1,0.5,IF((I63-4)=-2,0.25,0.1))))),"")</f>
        <v/>
      </c>
      <c r="AH63" s="51">
        <f>IFERROR(AB63*VLOOKUP(E63,'Hệ số'!$A$2:$D$8,2,0)*IF((I63-5)&gt;=2,1.2,IF((I63-5)=1,1,IF((I63-5)=0,0.85,IF((I63-5)=-1,0.5,IF((I63-5)=-2,0.25,0.1))))),"")</f>
        <v/>
      </c>
      <c r="AI63" s="51">
        <f>IFERROR(AB63*VLOOKUP(E63,'Hệ số'!$A$2:$D$8,3,0),"")</f>
        <v/>
      </c>
      <c r="AJ63" s="51">
        <f>IFERROR(AB63*VLOOKUP(E63,'Hệ số'!$A$2:$D$8,4,0)*IF((I63-2)&gt;=2,1.2,IF((I63-2)=1,1,IF((I63-2)=0,0.85,IF((I63-2)=-1,0.5,IF((I63-2)=-2,0.25,0.1))))),"")</f>
        <v/>
      </c>
      <c r="AK63" s="41" t="inlineStr">
        <is>
          <t>Phát đơn, sơ tốc cao; không bị APS chặn (đạn động năng); bị lệch theo tầm và khi xe đang chạy.</t>
        </is>
      </c>
      <c r="AL63" s="41" t="inlineStr">
        <is>
          <t>Tự đổi: đạn xuyên (Động năng) với xe giáp, đạn nổ mạnh (HE, xuyên 2, nổ lan 3 m) với xe nhẹ và công trình.</t>
        </is>
      </c>
      <c r="AM63" s="41" t="inlineStr">
        <is>
          <t>2A46M-5: 7–8 phát/phút (nạp tự động)</t>
        </is>
      </c>
      <c r="AN63" s="41" t="inlineStr">
        <is>
          <t>Giữ.</t>
        </is>
      </c>
      <c r="AO63" s="41" t="n"/>
    </row>
    <row r="64" ht="32.25" customHeight="1" s="32">
      <c r="A64" s="39" t="inlineStr">
        <is>
          <t>gun_140_twin</t>
        </is>
      </c>
      <c r="B64" s="39" t="inlineStr">
        <is>
          <t>NPzK 140 mm (twin)</t>
        </is>
      </c>
      <c r="C64" s="39" t="inlineStr">
        <is>
          <t>Pháo xe tăng / diệt tăng</t>
        </is>
      </c>
      <c r="D64" s="39" t="inlineStr">
        <is>
          <t>Siêu tăng</t>
        </is>
      </c>
      <c r="E64" s="39" t="inlineStr">
        <is>
          <t>Động năng</t>
        </is>
      </c>
      <c r="F64" s="39" t="inlineStr">
        <is>
          <t>DoubleDart</t>
        </is>
      </c>
      <c r="G64" s="42" t="n">
        <v>140</v>
      </c>
      <c r="H64" s="42" t="n">
        <v>4</v>
      </c>
      <c r="I64" s="42" t="n">
        <v>4</v>
      </c>
      <c r="J64" s="42" t="n">
        <v>290</v>
      </c>
      <c r="K64" s="42" t="n">
        <v>290</v>
      </c>
      <c r="L64" s="39" t="inlineStr">
        <is>
          <t>loạt</t>
        </is>
      </c>
      <c r="M64" s="39" t="inlineStr">
        <is>
          <t>loạt</t>
        </is>
      </c>
      <c r="N64" s="42" t="n">
        <v>20</v>
      </c>
      <c r="O64" s="42" t="n">
        <v>20</v>
      </c>
      <c r="P64" s="42" t="n">
        <v>2</v>
      </c>
      <c r="Q64" s="42" t="n">
        <v>2</v>
      </c>
      <c r="R64" s="42" t="n">
        <v>4.487</v>
      </c>
      <c r="S64" s="42" t="n">
        <v>4.487</v>
      </c>
      <c r="T64" s="42" t="n">
        <v>40</v>
      </c>
      <c r="U64" s="42" t="n">
        <v>40</v>
      </c>
      <c r="V64" s="42" t="n">
        <v>200</v>
      </c>
      <c r="W64" s="42" t="n">
        <v>200</v>
      </c>
      <c r="X64" s="50">
        <f>IFERROR(U64/W64,"")</f>
        <v/>
      </c>
      <c r="Y64" s="52" t="n">
        <v>2</v>
      </c>
      <c r="Z64" s="52" t="n">
        <v>2</v>
      </c>
      <c r="AA64" s="50">
        <f>IFERROR(IF(L64="từng phát",J64*N64,J64*P64/(P64/N64+R64)),"")</f>
        <v/>
      </c>
      <c r="AB64" s="50">
        <f>IFERROR(IF(M64="từng phát",K64*O64,K64*Q64/(Q64/O64+S64)),"")</f>
        <v/>
      </c>
      <c r="AC64" s="50">
        <f>IFERROR(AB64*VLOOKUP(E64,'Hệ số'!$A$2:$D$8,2,0)*IF((I64-0)&gt;=2,1.2,IF((I64-0)=1,1,IF((I64-0)=0,0.85,IF((I64-0)=-1,0.5,IF((I64-0)=-2,0.25,0.1))))),"")</f>
        <v/>
      </c>
      <c r="AD64" s="50">
        <f>IFERROR(AB64*VLOOKUP(E64,'Hệ số'!$A$2:$D$8,2,0)*IF((I64-1)&gt;=2,1.2,IF((I64-1)=1,1,IF((I64-1)=0,0.85,IF((I64-1)=-1,0.5,IF((I64-1)=-2,0.25,0.1))))),"")</f>
        <v/>
      </c>
      <c r="AE64" s="50">
        <f>IFERROR(AB64*VLOOKUP(E64,'Hệ số'!$A$2:$D$8,2,0)*IF((I64-2)&gt;=2,1.2,IF((I64-2)=1,1,IF((I64-2)=0,0.85,IF((I64-2)=-1,0.5,IF((I64-2)=-2,0.25,0.1))))),"")</f>
        <v/>
      </c>
      <c r="AF64" s="50">
        <f>IFERROR(AB64*VLOOKUP(E64,'Hệ số'!$A$2:$D$8,2,0)*IF((I64-3)&gt;=2,1.2,IF((I64-3)=1,1,IF((I64-3)=0,0.85,IF((I64-3)=-1,0.5,IF((I64-3)=-2,0.25,0.1))))),"")</f>
        <v/>
      </c>
      <c r="AG64" s="50">
        <f>IFERROR(AB64*VLOOKUP(E64,'Hệ số'!$A$2:$D$8,2,0)*IF((I64-4)&gt;=2,1.2,IF((I64-4)=1,1,IF((I64-4)=0,0.85,IF((I64-4)=-1,0.5,IF((I64-4)=-2,0.25,0.1))))),"")</f>
        <v/>
      </c>
      <c r="AH64" s="50">
        <f>IFERROR(AB64*VLOOKUP(E64,'Hệ số'!$A$2:$D$8,2,0)*IF((I64-5)&gt;=2,1.2,IF((I64-5)=1,1,IF((I64-5)=0,0.85,IF((I64-5)=-1,0.5,IF((I64-5)=-2,0.25,0.1))))),"")</f>
        <v/>
      </c>
      <c r="AI64" s="50">
        <f>IFERROR(AB64*VLOOKUP(E64,'Hệ số'!$A$2:$D$8,3,0),"")</f>
        <v/>
      </c>
      <c r="AJ64" s="50">
        <f>IFERROR(AB64*VLOOKUP(E64,'Hệ số'!$A$2:$D$8,4,0)*IF((I64-2)&gt;=2,1.2,IF((I64-2)=1,1,IF((I64-2)=0,0.85,IF((I64-2)=-1,0.5,IF((I64-2)=-2,0.25,0.1))))),"")</f>
        <v/>
      </c>
      <c r="AK64" s="39" t="inlineStr">
        <is>
          <t>Phát đơn, sơ tốc cao; không bị APS chặn (đạn động năng); bị lệch theo tầm và khi xe đang chạy.</t>
        </is>
      </c>
      <c r="AL64" s="39" t="inlineStr">
        <is>
          <t>Tự đổi: đạn xuyên (Động năng) với xe giáp, đạn nổ mạnh (HE, xuyên 2, nổ lan 3 m) với xe nhẹ và công trình.</t>
        </is>
      </c>
      <c r="AM64" s="39" t="inlineStr">
        <is>
          <t>NPzK 140 mm (thử nghiệm)</t>
        </is>
      </c>
      <c r="AN64" s="39" t="inlineStr">
        <is>
          <t>Giữ.</t>
        </is>
      </c>
      <c r="AO64" s="39" t="n"/>
    </row>
    <row r="65" ht="32.25" customHeight="1" s="32">
      <c r="A65" s="41" t="inlineStr">
        <is>
          <t>gun_152</t>
        </is>
      </c>
      <c r="B65" s="41" t="inlineStr">
        <is>
          <t>2A83 152 mm</t>
        </is>
      </c>
      <c r="C65" s="41" t="inlineStr">
        <is>
          <t>Pháo xe tăng / diệt tăng</t>
        </is>
      </c>
      <c r="D65" s="41" t="inlineStr">
        <is>
          <t>Tăng nặng</t>
        </is>
      </c>
      <c r="E65" s="41" t="inlineStr">
        <is>
          <t>Động năng</t>
        </is>
      </c>
      <c r="F65" s="41" t="inlineStr">
        <is>
          <t>DoubleDart</t>
        </is>
      </c>
      <c r="G65" s="43" t="n">
        <v>152</v>
      </c>
      <c r="H65" s="43" t="n">
        <v>4</v>
      </c>
      <c r="I65" s="43" t="n">
        <v>4</v>
      </c>
      <c r="J65" s="43" t="n">
        <v>320</v>
      </c>
      <c r="K65" s="43" t="n">
        <v>320</v>
      </c>
      <c r="L65" s="41" t="inlineStr">
        <is>
          <t>từng phát</t>
        </is>
      </c>
      <c r="M65" s="41" t="inlineStr">
        <is>
          <t>từng phát</t>
        </is>
      </c>
      <c r="N65" s="43" t="n">
        <v>0.175008750437522</v>
      </c>
      <c r="O65" s="43" t="n">
        <v>0.175008750437522</v>
      </c>
      <c r="P65" s="43" t="n">
        <v>1</v>
      </c>
      <c r="Q65" s="43" t="n">
        <v>1</v>
      </c>
      <c r="R65" s="43" t="n">
        <v>5.714</v>
      </c>
      <c r="S65" s="43" t="n">
        <v>5.714</v>
      </c>
      <c r="T65" s="43" t="n">
        <v>34</v>
      </c>
      <c r="U65" s="43" t="n">
        <v>34</v>
      </c>
      <c r="V65" s="43" t="n">
        <v>160</v>
      </c>
      <c r="W65" s="43" t="n">
        <v>160</v>
      </c>
      <c r="X65" s="51">
        <f>IFERROR(U65/W65,"")</f>
        <v/>
      </c>
      <c r="Y65" s="53" t="n">
        <v>2.5</v>
      </c>
      <c r="Z65" s="53" t="n">
        <v>2.5</v>
      </c>
      <c r="AA65" s="51">
        <f>IFERROR(IF(L65="từng phát",J65*N65,J65*P65/(P65/N65+R65)),"")</f>
        <v/>
      </c>
      <c r="AB65" s="51">
        <f>IFERROR(IF(M65="từng phát",K65*O65,K65*Q65/(Q65/O65+S65)),"")</f>
        <v/>
      </c>
      <c r="AC65" s="51">
        <f>IFERROR(AB65*VLOOKUP(E65,'Hệ số'!$A$2:$D$8,2,0)*IF((I65-0)&gt;=2,1.2,IF((I65-0)=1,1,IF((I65-0)=0,0.85,IF((I65-0)=-1,0.5,IF((I65-0)=-2,0.25,0.1))))),"")</f>
        <v/>
      </c>
      <c r="AD65" s="51">
        <f>IFERROR(AB65*VLOOKUP(E65,'Hệ số'!$A$2:$D$8,2,0)*IF((I65-1)&gt;=2,1.2,IF((I65-1)=1,1,IF((I65-1)=0,0.85,IF((I65-1)=-1,0.5,IF((I65-1)=-2,0.25,0.1))))),"")</f>
        <v/>
      </c>
      <c r="AE65" s="51">
        <f>IFERROR(AB65*VLOOKUP(E65,'Hệ số'!$A$2:$D$8,2,0)*IF((I65-2)&gt;=2,1.2,IF((I65-2)=1,1,IF((I65-2)=0,0.85,IF((I65-2)=-1,0.5,IF((I65-2)=-2,0.25,0.1))))),"")</f>
        <v/>
      </c>
      <c r="AF65" s="51">
        <f>IFERROR(AB65*VLOOKUP(E65,'Hệ số'!$A$2:$D$8,2,0)*IF((I65-3)&gt;=2,1.2,IF((I65-3)=1,1,IF((I65-3)=0,0.85,IF((I65-3)=-1,0.5,IF((I65-3)=-2,0.25,0.1))))),"")</f>
        <v/>
      </c>
      <c r="AG65" s="51">
        <f>IFERROR(AB65*VLOOKUP(E65,'Hệ số'!$A$2:$D$8,2,0)*IF((I65-4)&gt;=2,1.2,IF((I65-4)=1,1,IF((I65-4)=0,0.85,IF((I65-4)=-1,0.5,IF((I65-4)=-2,0.25,0.1))))),"")</f>
        <v/>
      </c>
      <c r="AH65" s="51">
        <f>IFERROR(AB65*VLOOKUP(E65,'Hệ số'!$A$2:$D$8,2,0)*IF((I65-5)&gt;=2,1.2,IF((I65-5)=1,1,IF((I65-5)=0,0.85,IF((I65-5)=-1,0.5,IF((I65-5)=-2,0.25,0.1))))),"")</f>
        <v/>
      </c>
      <c r="AI65" s="51">
        <f>IFERROR(AB65*VLOOKUP(E65,'Hệ số'!$A$2:$D$8,3,0),"")</f>
        <v/>
      </c>
      <c r="AJ65" s="51">
        <f>IFERROR(AB65*VLOOKUP(E65,'Hệ số'!$A$2:$D$8,4,0)*IF((I65-2)&gt;=2,1.2,IF((I65-2)=1,1,IF((I65-2)=0,0.85,IF((I65-2)=-1,0.5,IF((I65-2)=-2,0.25,0.1))))),"")</f>
        <v/>
      </c>
      <c r="AK65" s="41" t="inlineStr">
        <is>
          <t>Phát đơn, sơ tốc cao; không bị APS chặn (đạn động năng); bị lệch theo tầm và khi xe đang chạy.</t>
        </is>
      </c>
      <c r="AL65" s="41" t="inlineStr">
        <is>
          <t>Tự đổi: đạn xuyên (Động năng) với xe giáp, đạn nổ mạnh (HE, xuyên 2, nổ lan 3 m) với xe nhẹ và công trình.</t>
        </is>
      </c>
      <c r="AM65" s="41" t="inlineStr">
        <is>
          <t>2A83 152 mm (Object 195): ~10 phát/phút (ước lượng)</t>
        </is>
      </c>
      <c r="AN65" s="41" t="inlineStr">
        <is>
          <t>Giữ.</t>
        </is>
      </c>
      <c r="AO65" s="41" t="n"/>
    </row>
    <row r="66" ht="32.25" customHeight="1" s="32">
      <c r="A66" s="39" t="inlineStr">
        <is>
          <t>gun_152_he</t>
        </is>
      </c>
      <c r="B66" s="39" t="inlineStr">
        <is>
          <t>2A83 152 mm HE-</t>
        </is>
      </c>
      <c r="C66" s="39" t="inlineStr">
        <is>
          <t>Pháo xe tăng / diệt tăng</t>
        </is>
      </c>
      <c r="D66" s="39" t="inlineStr">
        <is>
          <t>Nemesis</t>
        </is>
      </c>
      <c r="E66" s="39" t="inlineStr">
        <is>
          <t>Động năng</t>
        </is>
      </c>
      <c r="F66" s="39" t="inlineStr">
        <is>
          <t>DoubleDart</t>
        </is>
      </c>
      <c r="G66" s="42" t="n">
        <v>152</v>
      </c>
      <c r="H66" s="42" t="n">
        <v>3</v>
      </c>
      <c r="I66" s="42" t="n">
        <v>3</v>
      </c>
      <c r="J66" s="42" t="n">
        <v>320</v>
      </c>
      <c r="K66" s="42" t="n">
        <v>320</v>
      </c>
      <c r="L66" s="39" t="inlineStr">
        <is>
          <t>từng phát</t>
        </is>
      </c>
      <c r="M66" s="39" t="inlineStr">
        <is>
          <t>từng phát</t>
        </is>
      </c>
      <c r="N66" s="42" t="n">
        <v>0.17</v>
      </c>
      <c r="O66" s="42" t="n">
        <v>0.17</v>
      </c>
      <c r="P66" s="42" t="n">
        <v>1</v>
      </c>
      <c r="Q66" s="42" t="n">
        <v>1</v>
      </c>
      <c r="R66" s="42" t="n">
        <v>5.88235294117647</v>
      </c>
      <c r="S66" s="42" t="n">
        <v>5.88235294117647</v>
      </c>
      <c r="T66" s="42" t="n">
        <v>34</v>
      </c>
      <c r="U66" s="42" t="n">
        <v>34</v>
      </c>
      <c r="V66" s="42" t="n">
        <v>150</v>
      </c>
      <c r="W66" s="42" t="n">
        <v>150</v>
      </c>
      <c r="X66" s="50">
        <f>IFERROR(U66/W66,"")</f>
        <v/>
      </c>
      <c r="Y66" s="52" t="n">
        <v>5</v>
      </c>
      <c r="Z66" s="52" t="n">
        <v>6.5</v>
      </c>
      <c r="AA66" s="50">
        <f>IFERROR(IF(L66="từng phát",J66*N66,J66*P66/(P66/N66+R66)),"")</f>
        <v/>
      </c>
      <c r="AB66" s="50">
        <f>IFERROR(IF(M66="từng phát",K66*O66,K66*Q66/(Q66/O66+S66)),"")</f>
        <v/>
      </c>
      <c r="AC66" s="50">
        <f>IFERROR(AB66*VLOOKUP(E66,'Hệ số'!$A$2:$D$8,2,0)*IF((I66-0)&gt;=2,1.2,IF((I66-0)=1,1,IF((I66-0)=0,0.85,IF((I66-0)=-1,0.5,IF((I66-0)=-2,0.25,0.1))))),"")</f>
        <v/>
      </c>
      <c r="AD66" s="50">
        <f>IFERROR(AB66*VLOOKUP(E66,'Hệ số'!$A$2:$D$8,2,0)*IF((I66-1)&gt;=2,1.2,IF((I66-1)=1,1,IF((I66-1)=0,0.85,IF((I66-1)=-1,0.5,IF((I66-1)=-2,0.25,0.1))))),"")</f>
        <v/>
      </c>
      <c r="AE66" s="50">
        <f>IFERROR(AB66*VLOOKUP(E66,'Hệ số'!$A$2:$D$8,2,0)*IF((I66-2)&gt;=2,1.2,IF((I66-2)=1,1,IF((I66-2)=0,0.85,IF((I66-2)=-1,0.5,IF((I66-2)=-2,0.25,0.1))))),"")</f>
        <v/>
      </c>
      <c r="AF66" s="50">
        <f>IFERROR(AB66*VLOOKUP(E66,'Hệ số'!$A$2:$D$8,2,0)*IF((I66-3)&gt;=2,1.2,IF((I66-3)=1,1,IF((I66-3)=0,0.85,IF((I66-3)=-1,0.5,IF((I66-3)=-2,0.25,0.1))))),"")</f>
        <v/>
      </c>
      <c r="AG66" s="50">
        <f>IFERROR(AB66*VLOOKUP(E66,'Hệ số'!$A$2:$D$8,2,0)*IF((I66-4)&gt;=2,1.2,IF((I66-4)=1,1,IF((I66-4)=0,0.85,IF((I66-4)=-1,0.5,IF((I66-4)=-2,0.25,0.1))))),"")</f>
        <v/>
      </c>
      <c r="AH66" s="50">
        <f>IFERROR(AB66*VLOOKUP(E66,'Hệ số'!$A$2:$D$8,2,0)*IF((I66-5)&gt;=2,1.2,IF((I66-5)=1,1,IF((I66-5)=0,0.85,IF((I66-5)=-1,0.5,IF((I66-5)=-2,0.25,0.1))))),"")</f>
        <v/>
      </c>
      <c r="AI66" s="50">
        <f>IFERROR(AB66*VLOOKUP(E66,'Hệ số'!$A$2:$D$8,3,0),"")</f>
        <v/>
      </c>
      <c r="AJ66" s="50">
        <f>IFERROR(AB66*VLOOKUP(E66,'Hệ số'!$A$2:$D$8,4,0)*IF((I66-2)&gt;=2,1.2,IF((I66-2)=1,1,IF((I66-2)=0,0.85,IF((I66-2)=-1,0.5,IF((I66-2)=-2,0.25,0.1))))),"")</f>
        <v/>
      </c>
      <c r="AK66" s="39" t="inlineStr">
        <is>
          <t>Phát đơn, sơ tốc cao; không bị APS chặn (đạn động năng); bị lệch theo tầm và khi xe đang chạy.</t>
        </is>
      </c>
      <c r="AL66" s="39" t="inlineStr">
        <is>
          <t>Tự đổi: đạn xuyên (Động năng) với xe giáp, đạn nổ mạnh (HE, xuyên 2, nổ lan 3 m) với xe nhẹ và công trình.</t>
        </is>
      </c>
      <c r="AM66" s="39" t="inlineStr">
        <is>
          <t>2A83</t>
        </is>
      </c>
      <c r="AN66" s="39" t="inlineStr">
        <is>
          <t>Như trên.</t>
        </is>
      </c>
      <c r="AO66" s="48" t="inlineStr">
        <is>
          <t>Trung</t>
        </is>
      </c>
    </row>
    <row r="67" ht="32.25" customHeight="1" s="32">
      <c r="A67" s="41" t="inlineStr">
        <is>
          <t>gun_152_heat</t>
        </is>
      </c>
      <c r="B67" s="41" t="inlineStr">
        <is>
          <t>2A83 152 mm HEAT</t>
        </is>
      </c>
      <c r="C67" s="41" t="inlineStr">
        <is>
          <t>Pháo xe tăng / diệt tăng</t>
        </is>
      </c>
      <c r="D67" s="41" t="inlineStr">
        <is>
          <t>Tăng nặng TN</t>
        </is>
      </c>
      <c r="E67" s="41" t="inlineStr">
        <is>
          <t>Nổ lõm</t>
        </is>
      </c>
      <c r="F67" s="41" t="inlineStr">
        <is>
          <t>DoubleDart</t>
        </is>
      </c>
      <c r="G67" s="43" t="n">
        <v>152</v>
      </c>
      <c r="H67" s="43" t="n">
        <v>4</v>
      </c>
      <c r="I67" s="43" t="n">
        <v>4</v>
      </c>
      <c r="J67" s="43" t="n">
        <v>336</v>
      </c>
      <c r="K67" s="43" t="n">
        <v>336</v>
      </c>
      <c r="L67" s="41" t="inlineStr">
        <is>
          <t>từng phát</t>
        </is>
      </c>
      <c r="M67" s="41" t="inlineStr">
        <is>
          <t>từng phát</t>
        </is>
      </c>
      <c r="N67" s="43" t="n">
        <v>0.16</v>
      </c>
      <c r="O67" s="43" t="n">
        <v>0.16</v>
      </c>
      <c r="P67" s="43" t="n">
        <v>1</v>
      </c>
      <c r="Q67" s="43" t="n">
        <v>1</v>
      </c>
      <c r="R67" s="43" t="n">
        <v>6.25</v>
      </c>
      <c r="S67" s="43" t="n">
        <v>6.25</v>
      </c>
      <c r="T67" s="43" t="n">
        <v>36</v>
      </c>
      <c r="U67" s="43" t="n">
        <v>36</v>
      </c>
      <c r="V67" s="43" t="n">
        <v>170</v>
      </c>
      <c r="W67" s="43" t="n">
        <v>170</v>
      </c>
      <c r="X67" s="51">
        <f>IFERROR(U67/W67,"")</f>
        <v/>
      </c>
      <c r="Y67" s="53" t="n">
        <v>3.5</v>
      </c>
      <c r="Z67" s="53" t="n">
        <v>3.5</v>
      </c>
      <c r="AA67" s="51">
        <f>IFERROR(IF(L67="từng phát",J67*N67,J67*P67/(P67/N67+R67)),"")</f>
        <v/>
      </c>
      <c r="AB67" s="51">
        <f>IFERROR(IF(M67="từng phát",K67*O67,K67*Q67/(Q67/O67+S67)),"")</f>
        <v/>
      </c>
      <c r="AC67" s="51">
        <f>IFERROR(AB67*VLOOKUP(E67,'Hệ số'!$A$2:$D$8,2,0)*IF((I67-0)&gt;=2,1.2,IF((I67-0)=1,1,IF((I67-0)=0,0.85,IF((I67-0)=-1,0.5,IF((I67-0)=-2,0.25,0.1))))),"")</f>
        <v/>
      </c>
      <c r="AD67" s="51">
        <f>IFERROR(AB67*VLOOKUP(E67,'Hệ số'!$A$2:$D$8,2,0)*IF((I67-1)&gt;=2,1.2,IF((I67-1)=1,1,IF((I67-1)=0,0.85,IF((I67-1)=-1,0.5,IF((I67-1)=-2,0.25,0.1))))),"")</f>
        <v/>
      </c>
      <c r="AE67" s="51">
        <f>IFERROR(AB67*VLOOKUP(E67,'Hệ số'!$A$2:$D$8,2,0)*IF((I67-2)&gt;=2,1.2,IF((I67-2)=1,1,IF((I67-2)=0,0.85,IF((I67-2)=-1,0.5,IF((I67-2)=-2,0.25,0.1))))),"")</f>
        <v/>
      </c>
      <c r="AF67" s="51">
        <f>IFERROR(AB67*VLOOKUP(E67,'Hệ số'!$A$2:$D$8,2,0)*IF((I67-3)&gt;=2,1.2,IF((I67-3)=1,1,IF((I67-3)=0,0.85,IF((I67-3)=-1,0.5,IF((I67-3)=-2,0.25,0.1))))),"")</f>
        <v/>
      </c>
      <c r="AG67" s="51">
        <f>IFERROR(AB67*VLOOKUP(E67,'Hệ số'!$A$2:$D$8,2,0)*IF((I67-4)&gt;=2,1.2,IF((I67-4)=1,1,IF((I67-4)=0,0.85,IF((I67-4)=-1,0.5,IF((I67-4)=-2,0.25,0.1))))),"")</f>
        <v/>
      </c>
      <c r="AH67" s="51">
        <f>IFERROR(AB67*VLOOKUP(E67,'Hệ số'!$A$2:$D$8,2,0)*IF((I67-5)&gt;=2,1.2,IF((I67-5)=1,1,IF((I67-5)=0,0.85,IF((I67-5)=-1,0.5,IF((I67-5)=-2,0.25,0.1))))),"")</f>
        <v/>
      </c>
      <c r="AI67" s="51">
        <f>IFERROR(AB67*VLOOKUP(E67,'Hệ số'!$A$2:$D$8,3,0),"")</f>
        <v/>
      </c>
      <c r="AJ67" s="51">
        <f>IFERROR(AB67*VLOOKUP(E67,'Hệ số'!$A$2:$D$8,4,0)*IF((I67-2)&gt;=2,1.2,IF((I67-2)=1,1,IF((I67-2)=0,0.85,IF((I67-2)=-1,0.5,IF((I67-2)=-2,0.25,0.1))))),"")</f>
        <v/>
      </c>
      <c r="AK67" s="41" t="inlineStr">
        <is>
          <t>Phát đơn, sơ tốc cao; không bị APS chặn (đạn động năng); bị lệch theo tầm và khi xe đang chạy.</t>
        </is>
      </c>
      <c r="AL67" s="41" t="inlineStr">
        <is>
          <t>Tự đổi: đạn xuyên (Động năng) với xe giáp, đạn nổ mạnh (HE, xuyên 2, nổ lan 3 m) với xe nhẹ và công trình.</t>
        </is>
      </c>
      <c r="AM67" s="41" t="inlineStr">
        <is>
          <t>2A83</t>
        </is>
      </c>
      <c r="AN67" s="41" t="inlineStr">
        <is>
          <t>Giữ.</t>
        </is>
      </c>
      <c r="AO67" s="41" t="n"/>
    </row>
    <row r="68" ht="32.25" customHeight="1" s="32">
      <c r="A68" s="39" t="inlineStr">
        <is>
          <t>gun_155_coastal</t>
        </is>
      </c>
      <c r="B68" s="39" t="inlineStr">
        <is>
          <t>M284 155 mm (coastal</t>
        </is>
      </c>
      <c r="C68" s="39" t="inlineStr">
        <is>
          <t>Đạn pháo nổ mạnh</t>
        </is>
      </c>
      <c r="D68" s="39" t="inlineStr">
        <is>
          <t>Pháo bờ biển</t>
        </is>
      </c>
      <c r="E68" s="39" t="inlineStr">
        <is>
          <t>Nổ mạnh</t>
        </is>
      </c>
      <c r="F68" s="39" t="inlineStr">
        <is>
          <t>HeShell</t>
        </is>
      </c>
      <c r="G68" s="42" t="n">
        <v>155</v>
      </c>
      <c r="H68" s="42" t="n">
        <v>3</v>
      </c>
      <c r="I68" s="42" t="n">
        <v>3</v>
      </c>
      <c r="J68" s="42" t="n">
        <v>320</v>
      </c>
      <c r="K68" s="42" t="n">
        <v>320</v>
      </c>
      <c r="L68" s="39" t="inlineStr">
        <is>
          <t>loạt</t>
        </is>
      </c>
      <c r="M68" s="39" t="inlineStr">
        <is>
          <t>loạt</t>
        </is>
      </c>
      <c r="N68" s="42" t="n">
        <v>20</v>
      </c>
      <c r="O68" s="42" t="n">
        <v>20</v>
      </c>
      <c r="P68" s="42" t="n">
        <v>2</v>
      </c>
      <c r="Q68" s="42" t="n">
        <v>2</v>
      </c>
      <c r="R68" s="42" t="n">
        <v>8.789999999999999</v>
      </c>
      <c r="S68" s="42" t="n">
        <v>8.789999999999999</v>
      </c>
      <c r="T68" s="42" t="n">
        <v>135</v>
      </c>
      <c r="U68" s="42" t="n">
        <v>135</v>
      </c>
      <c r="V68" s="42" t="n">
        <v>150</v>
      </c>
      <c r="W68" s="42" t="n">
        <v>150</v>
      </c>
      <c r="X68" s="50">
        <f>IFERROR(U68/W68,"")</f>
        <v/>
      </c>
      <c r="Y68" s="52" t="n">
        <v>4.5</v>
      </c>
      <c r="Z68" s="52" t="n">
        <v>7</v>
      </c>
      <c r="AA68" s="50">
        <f>IFERROR(IF(L68="từng phát",J68*N68,J68*P68/(P68/N68+R68)),"")</f>
        <v/>
      </c>
      <c r="AB68" s="50">
        <f>IFERROR(IF(M68="từng phát",K68*O68,K68*Q68/(Q68/O68+S68)),"")</f>
        <v/>
      </c>
      <c r="AC68" s="50">
        <f>IFERROR(AB68*VLOOKUP(E68,'Hệ số'!$A$2:$D$8,2,0)*IF((I68-0)&gt;=2,1.2,IF((I68-0)=1,1,IF((I68-0)=0,0.85,IF((I68-0)=-1,0.5,IF((I68-0)=-2,0.25,0.1))))),"")</f>
        <v/>
      </c>
      <c r="AD68" s="50">
        <f>IFERROR(AB68*VLOOKUP(E68,'Hệ số'!$A$2:$D$8,2,0)*IF((I68-1)&gt;=2,1.2,IF((I68-1)=1,1,IF((I68-1)=0,0.85,IF((I68-1)=-1,0.5,IF((I68-1)=-2,0.25,0.1))))),"")</f>
        <v/>
      </c>
      <c r="AE68" s="50">
        <f>IFERROR(AB68*VLOOKUP(E68,'Hệ số'!$A$2:$D$8,2,0)*IF((I68-2)&gt;=2,1.2,IF((I68-2)=1,1,IF((I68-2)=0,0.85,IF((I68-2)=-1,0.5,IF((I68-2)=-2,0.25,0.1))))),"")</f>
        <v/>
      </c>
      <c r="AF68" s="50">
        <f>IFERROR(AB68*VLOOKUP(E68,'Hệ số'!$A$2:$D$8,2,0)*IF((I68-3)&gt;=2,1.2,IF((I68-3)=1,1,IF((I68-3)=0,0.85,IF((I68-3)=-1,0.5,IF((I68-3)=-2,0.25,0.1))))),"")</f>
        <v/>
      </c>
      <c r="AG68" s="50">
        <f>IFERROR(AB68*VLOOKUP(E68,'Hệ số'!$A$2:$D$8,2,0)*IF((I68-4)&gt;=2,1.2,IF((I68-4)=1,1,IF((I68-4)=0,0.85,IF((I68-4)=-1,0.5,IF((I68-4)=-2,0.25,0.1))))),"")</f>
        <v/>
      </c>
      <c r="AH68" s="50">
        <f>IFERROR(AB68*VLOOKUP(E68,'Hệ số'!$A$2:$D$8,2,0)*IF((I68-5)&gt;=2,1.2,IF((I68-5)=1,1,IF((I68-5)=0,0.85,IF((I68-5)=-1,0.5,IF((I68-5)=-2,0.25,0.1))))),"")</f>
        <v/>
      </c>
      <c r="AI68" s="50">
        <f>IFERROR(AB68*VLOOKUP(E68,'Hệ số'!$A$2:$D$8,3,0),"")</f>
        <v/>
      </c>
      <c r="AJ68" s="50">
        <f>IFERROR(AB68*VLOOKUP(E68,'Hệ số'!$A$2:$D$8,4,0)*IF((I68-2)&gt;=2,1.2,IF((I68-2)=1,1,IF((I68-2)=0,0.85,IF((I68-2)=-1,0.5,IF((I68-2)=-2,0.25,0.1))))),"")</f>
        <v/>
      </c>
      <c r="AK68" s="39" t="inlineStr">
        <is>
          <t>Bắn cầu vồng hoặc bắn thẳng tùy pháo; nổ lan; C-RAM chặn được một phần; mạnh với công trình (×1,5).</t>
        </is>
      </c>
      <c r="AL68" s="39" t="inlineStr">
        <is>
          <t>Thêm đạn dẫn đường (Excalibur/Krasnopol: 1 phát, không tản mát) cho nhánh hạng 7 hoặc thẻ hỗ trợ.</t>
        </is>
      </c>
      <c r="AM68" s="39" t="inlineStr">
        <is>
          <t>M284 155 mm</t>
        </is>
      </c>
      <c r="AN68" s="39" t="inlineStr">
        <is>
          <t>Như trên.</t>
        </is>
      </c>
      <c r="AO68" s="48" t="inlineStr">
        <is>
          <t>Trung</t>
        </is>
      </c>
    </row>
    <row r="69" ht="32.25" customHeight="1" s="32">
      <c r="A69" s="41" t="inlineStr">
        <is>
          <t>gun_155_twin_coastlr</t>
        </is>
      </c>
      <c r="B69" s="41" t="inlineStr">
        <is>
          <t>M284 155 mm (twin,</t>
        </is>
      </c>
      <c r="C69" s="41" t="inlineStr">
        <is>
          <t>Đạn pháo nổ mạnh</t>
        </is>
      </c>
      <c r="D69" s="41" t="inlineStr">
        <is>
          <t>Pháo bờ biển</t>
        </is>
      </c>
      <c r="E69" s="41" t="inlineStr">
        <is>
          <t>Nổ mạnh</t>
        </is>
      </c>
      <c r="F69" s="41" t="inlineStr">
        <is>
          <t>HeShell</t>
        </is>
      </c>
      <c r="G69" s="43" t="n">
        <v>155</v>
      </c>
      <c r="H69" s="43" t="n">
        <v>3</v>
      </c>
      <c r="I69" s="43" t="n">
        <v>3</v>
      </c>
      <c r="J69" s="43" t="n">
        <v>320</v>
      </c>
      <c r="K69" s="43" t="n">
        <v>320</v>
      </c>
      <c r="L69" s="41" t="inlineStr">
        <is>
          <t>loạt</t>
        </is>
      </c>
      <c r="M69" s="41" t="inlineStr">
        <is>
          <t>loạt</t>
        </is>
      </c>
      <c r="N69" s="43" t="n">
        <v>20</v>
      </c>
      <c r="O69" s="43" t="n">
        <v>20</v>
      </c>
      <c r="P69" s="43" t="n">
        <v>2</v>
      </c>
      <c r="Q69" s="43" t="n">
        <v>2</v>
      </c>
      <c r="R69" s="43" t="n">
        <v>5.5</v>
      </c>
      <c r="S69" s="43" t="n">
        <v>5.5</v>
      </c>
      <c r="T69" s="43" t="n">
        <v>72</v>
      </c>
      <c r="U69" s="43" t="n">
        <v>72</v>
      </c>
      <c r="V69" s="43" t="n">
        <v>150</v>
      </c>
      <c r="W69" s="43" t="n">
        <v>150</v>
      </c>
      <c r="X69" s="51">
        <f>IFERROR(U69/W69,"")</f>
        <v/>
      </c>
      <c r="Y69" s="53" t="n">
        <v>4.5</v>
      </c>
      <c r="Z69" s="53" t="n">
        <v>7</v>
      </c>
      <c r="AA69" s="51">
        <f>IFERROR(IF(L69="từng phát",J69*N69,J69*P69/(P69/N69+R69)),"")</f>
        <v/>
      </c>
      <c r="AB69" s="51">
        <f>IFERROR(IF(M69="từng phát",K69*O69,K69*Q69/(Q69/O69+S69)),"")</f>
        <v/>
      </c>
      <c r="AC69" s="51">
        <f>IFERROR(AB69*VLOOKUP(E69,'Hệ số'!$A$2:$D$8,2,0)*IF((I69-0)&gt;=2,1.2,IF((I69-0)=1,1,IF((I69-0)=0,0.85,IF((I69-0)=-1,0.5,IF((I69-0)=-2,0.25,0.1))))),"")</f>
        <v/>
      </c>
      <c r="AD69" s="51">
        <f>IFERROR(AB69*VLOOKUP(E69,'Hệ số'!$A$2:$D$8,2,0)*IF((I69-1)&gt;=2,1.2,IF((I69-1)=1,1,IF((I69-1)=0,0.85,IF((I69-1)=-1,0.5,IF((I69-1)=-2,0.25,0.1))))),"")</f>
        <v/>
      </c>
      <c r="AE69" s="51">
        <f>IFERROR(AB69*VLOOKUP(E69,'Hệ số'!$A$2:$D$8,2,0)*IF((I69-2)&gt;=2,1.2,IF((I69-2)=1,1,IF((I69-2)=0,0.85,IF((I69-2)=-1,0.5,IF((I69-2)=-2,0.25,0.1))))),"")</f>
        <v/>
      </c>
      <c r="AF69" s="51">
        <f>IFERROR(AB69*VLOOKUP(E69,'Hệ số'!$A$2:$D$8,2,0)*IF((I69-3)&gt;=2,1.2,IF((I69-3)=1,1,IF((I69-3)=0,0.85,IF((I69-3)=-1,0.5,IF((I69-3)=-2,0.25,0.1))))),"")</f>
        <v/>
      </c>
      <c r="AG69" s="51">
        <f>IFERROR(AB69*VLOOKUP(E69,'Hệ số'!$A$2:$D$8,2,0)*IF((I69-4)&gt;=2,1.2,IF((I69-4)=1,1,IF((I69-4)=0,0.85,IF((I69-4)=-1,0.5,IF((I69-4)=-2,0.25,0.1))))),"")</f>
        <v/>
      </c>
      <c r="AH69" s="51">
        <f>IFERROR(AB69*VLOOKUP(E69,'Hệ số'!$A$2:$D$8,2,0)*IF((I69-5)&gt;=2,1.2,IF((I69-5)=1,1,IF((I69-5)=0,0.85,IF((I69-5)=-1,0.5,IF((I69-5)=-2,0.25,0.1))))),"")</f>
        <v/>
      </c>
      <c r="AI69" s="51">
        <f>IFERROR(AB69*VLOOKUP(E69,'Hệ số'!$A$2:$D$8,3,0),"")</f>
        <v/>
      </c>
      <c r="AJ69" s="51">
        <f>IFERROR(AB69*VLOOKUP(E69,'Hệ số'!$A$2:$D$8,4,0)*IF((I69-2)&gt;=2,1.2,IF((I69-2)=1,1,IF((I69-2)=0,0.85,IF((I69-2)=-1,0.5,IF((I69-2)=-2,0.25,0.1))))),"")</f>
        <v/>
      </c>
      <c r="AK69" s="41" t="inlineStr">
        <is>
          <t>Bắn cầu vồng hoặc bắn thẳng tùy pháo; nổ lan; C-RAM chặn được một phần; mạnh với công trình (×1,5).</t>
        </is>
      </c>
      <c r="AL69" s="41" t="inlineStr">
        <is>
          <t>Thêm đạn dẫn đường (Excalibur/Krasnopol: 1 phát, không tản mát) cho nhánh hạng 7 hoặc thẻ hỗ trợ.</t>
        </is>
      </c>
      <c r="AM69" s="41" t="inlineStr">
        <is>
          <t>M284 155 mm</t>
        </is>
      </c>
      <c r="AN69" s="41" t="inlineStr">
        <is>
          <t>Như trên.</t>
        </is>
      </c>
      <c r="AO69" s="48" t="inlineStr">
        <is>
          <t>Trung</t>
        </is>
      </c>
    </row>
    <row r="70" ht="32.25" customHeight="1" s="32">
      <c r="A70" s="39" t="inlineStr">
        <is>
          <t>gun_155_twin_fort</t>
        </is>
      </c>
      <c r="B70" s="39" t="inlineStr">
        <is>
          <t>M284 155 mm (twin)</t>
        </is>
      </c>
      <c r="C70" s="39" t="inlineStr">
        <is>
          <t>Đạn pháo nổ mạnh</t>
        </is>
      </c>
      <c r="D70" s="39" t="inlineStr">
        <is>
          <t>Pháo đài, Pháo đài thép</t>
        </is>
      </c>
      <c r="E70" s="39" t="inlineStr">
        <is>
          <t>Nổ mạnh</t>
        </is>
      </c>
      <c r="F70" s="39" t="inlineStr">
        <is>
          <t>HeShell</t>
        </is>
      </c>
      <c r="G70" s="42" t="n">
        <v>155</v>
      </c>
      <c r="H70" s="42" t="n">
        <v>3</v>
      </c>
      <c r="I70" s="42" t="n">
        <v>3</v>
      </c>
      <c r="J70" s="42" t="n">
        <v>320</v>
      </c>
      <c r="K70" s="42" t="n">
        <v>320</v>
      </c>
      <c r="L70" s="39" t="inlineStr">
        <is>
          <t>loạt</t>
        </is>
      </c>
      <c r="M70" s="39" t="inlineStr">
        <is>
          <t>loạt</t>
        </is>
      </c>
      <c r="N70" s="42" t="n">
        <v>20</v>
      </c>
      <c r="O70" s="42" t="n">
        <v>20</v>
      </c>
      <c r="P70" s="42" t="n">
        <v>2</v>
      </c>
      <c r="Q70" s="42" t="n">
        <v>2</v>
      </c>
      <c r="R70" s="42" t="n">
        <v>5.5</v>
      </c>
      <c r="S70" s="42" t="n">
        <v>5.5</v>
      </c>
      <c r="T70" s="42" t="n">
        <v>50</v>
      </c>
      <c r="U70" s="42" t="n">
        <v>50</v>
      </c>
      <c r="V70" s="42" t="n">
        <v>150</v>
      </c>
      <c r="W70" s="42" t="n">
        <v>150</v>
      </c>
      <c r="X70" s="50">
        <f>IFERROR(U70/W70,"")</f>
        <v/>
      </c>
      <c r="Y70" s="52" t="n">
        <v>4.5</v>
      </c>
      <c r="Z70" s="52" t="n">
        <v>7</v>
      </c>
      <c r="AA70" s="50">
        <f>IFERROR(IF(L70="từng phát",J70*N70,J70*P70/(P70/N70+R70)),"")</f>
        <v/>
      </c>
      <c r="AB70" s="50">
        <f>IFERROR(IF(M70="từng phát",K70*O70,K70*Q70/(Q70/O70+S70)),"")</f>
        <v/>
      </c>
      <c r="AC70" s="50">
        <f>IFERROR(AB70*VLOOKUP(E70,'Hệ số'!$A$2:$D$8,2,0)*IF((I70-0)&gt;=2,1.2,IF((I70-0)=1,1,IF((I70-0)=0,0.85,IF((I70-0)=-1,0.5,IF((I70-0)=-2,0.25,0.1))))),"")</f>
        <v/>
      </c>
      <c r="AD70" s="50">
        <f>IFERROR(AB70*VLOOKUP(E70,'Hệ số'!$A$2:$D$8,2,0)*IF((I70-1)&gt;=2,1.2,IF((I70-1)=1,1,IF((I70-1)=0,0.85,IF((I70-1)=-1,0.5,IF((I70-1)=-2,0.25,0.1))))),"")</f>
        <v/>
      </c>
      <c r="AE70" s="50">
        <f>IFERROR(AB70*VLOOKUP(E70,'Hệ số'!$A$2:$D$8,2,0)*IF((I70-2)&gt;=2,1.2,IF((I70-2)=1,1,IF((I70-2)=0,0.85,IF((I70-2)=-1,0.5,IF((I70-2)=-2,0.25,0.1))))),"")</f>
        <v/>
      </c>
      <c r="AF70" s="50">
        <f>IFERROR(AB70*VLOOKUP(E70,'Hệ số'!$A$2:$D$8,2,0)*IF((I70-3)&gt;=2,1.2,IF((I70-3)=1,1,IF((I70-3)=0,0.85,IF((I70-3)=-1,0.5,IF((I70-3)=-2,0.25,0.1))))),"")</f>
        <v/>
      </c>
      <c r="AG70" s="50">
        <f>IFERROR(AB70*VLOOKUP(E70,'Hệ số'!$A$2:$D$8,2,0)*IF((I70-4)&gt;=2,1.2,IF((I70-4)=1,1,IF((I70-4)=0,0.85,IF((I70-4)=-1,0.5,IF((I70-4)=-2,0.25,0.1))))),"")</f>
        <v/>
      </c>
      <c r="AH70" s="50">
        <f>IFERROR(AB70*VLOOKUP(E70,'Hệ số'!$A$2:$D$8,2,0)*IF((I70-5)&gt;=2,1.2,IF((I70-5)=1,1,IF((I70-5)=0,0.85,IF((I70-5)=-1,0.5,IF((I70-5)=-2,0.25,0.1))))),"")</f>
        <v/>
      </c>
      <c r="AI70" s="50">
        <f>IFERROR(AB70*VLOOKUP(E70,'Hệ số'!$A$2:$D$8,3,0),"")</f>
        <v/>
      </c>
      <c r="AJ70" s="50">
        <f>IFERROR(AB70*VLOOKUP(E70,'Hệ số'!$A$2:$D$8,4,0)*IF((I70-2)&gt;=2,1.2,IF((I70-2)=1,1,IF((I70-2)=0,0.85,IF((I70-2)=-1,0.5,IF((I70-2)=-2,0.25,0.1))))),"")</f>
        <v/>
      </c>
      <c r="AK70" s="39" t="inlineStr">
        <is>
          <t>Bắn cầu vồng hoặc bắn thẳng tùy pháo; nổ lan; C-RAM chặn được một phần; mạnh với công trình (×1,5).</t>
        </is>
      </c>
      <c r="AL70" s="39" t="inlineStr">
        <is>
          <t>Thêm đạn dẫn đường (Excalibur/Krasnopol: 1 phát, không tản mát) cho nhánh hạng 7 hoặc thẻ hỗ trợ.</t>
        </is>
      </c>
      <c r="AM70" s="39" t="inlineStr">
        <is>
          <t>M284 155 mm</t>
        </is>
      </c>
      <c r="AN70" s="39" t="inlineStr">
        <is>
          <t>Thống nhất bán kính nổ 155 mm.</t>
        </is>
      </c>
      <c r="AO70" s="48" t="inlineStr">
        <is>
          <t>Trung</t>
        </is>
      </c>
    </row>
    <row r="71" ht="21.75" customHeight="1" s="32">
      <c r="A71" s="41" t="inlineStr">
        <is>
          <t>gun_57_auto</t>
        </is>
      </c>
      <c r="B71" s="41" t="inlineStr">
        <is>
          <t>AU-220 57 mm (tower)</t>
        </is>
      </c>
      <c r="C71" s="41" t="inlineStr">
        <is>
          <t>Pháo tự động 57 mm</t>
        </is>
      </c>
      <c r="D71" s="41" t="inlineStr">
        <is>
          <t>Pháo 57 mm</t>
        </is>
      </c>
      <c r="E71" s="41" t="inlineStr">
        <is>
          <t>Động năng</t>
        </is>
      </c>
      <c r="F71" s="41" t="inlineStr">
        <is>
          <t>BeltedAutocannon</t>
        </is>
      </c>
      <c r="G71" s="43" t="n">
        <v>57</v>
      </c>
      <c r="H71" s="43" t="n">
        <v>2</v>
      </c>
      <c r="I71" s="43" t="n">
        <v>2</v>
      </c>
      <c r="J71" s="43" t="n">
        <v>70</v>
      </c>
      <c r="K71" s="43" t="n">
        <v>70</v>
      </c>
      <c r="L71" s="41" t="inlineStr">
        <is>
          <t>băng</t>
        </is>
      </c>
      <c r="M71" s="41" t="inlineStr">
        <is>
          <t>băng</t>
        </is>
      </c>
      <c r="N71" s="43" t="n">
        <v>2</v>
      </c>
      <c r="O71" s="43" t="n">
        <v>2</v>
      </c>
      <c r="P71" s="43" t="n">
        <v>6</v>
      </c>
      <c r="Q71" s="43" t="n">
        <v>6</v>
      </c>
      <c r="R71" s="43" t="n">
        <v>2.4</v>
      </c>
      <c r="S71" s="43" t="n">
        <v>2.4</v>
      </c>
      <c r="T71" s="43" t="n">
        <v>40</v>
      </c>
      <c r="U71" s="43" t="n">
        <v>40</v>
      </c>
      <c r="V71" s="43" t="n">
        <v>260</v>
      </c>
      <c r="W71" s="43" t="n">
        <v>260</v>
      </c>
      <c r="X71" s="51">
        <f>IFERROR(U71/W71,"")</f>
        <v/>
      </c>
      <c r="Y71" s="53" t="n">
        <v>1.5</v>
      </c>
      <c r="Z71" s="53" t="n">
        <v>1.5</v>
      </c>
      <c r="AA71" s="51">
        <f>IFERROR(IF(L71="từng phát",J71*N71,J71*P71/(P71/N71+R71)),"")</f>
        <v/>
      </c>
      <c r="AB71" s="51">
        <f>IFERROR(IF(M71="từng phát",K71*O71,K71*Q71/(Q71/O71+S71)),"")</f>
        <v/>
      </c>
      <c r="AC71" s="51">
        <f>IFERROR(AB71*VLOOKUP(E71,'Hệ số'!$A$2:$D$8,2,0)*IF((I71-0)&gt;=2,1.2,IF((I71-0)=1,1,IF((I71-0)=0,0.85,IF((I71-0)=-1,0.5,IF((I71-0)=-2,0.25,0.1))))),"")</f>
        <v/>
      </c>
      <c r="AD71" s="51">
        <f>IFERROR(AB71*VLOOKUP(E71,'Hệ số'!$A$2:$D$8,2,0)*IF((I71-1)&gt;=2,1.2,IF((I71-1)=1,1,IF((I71-1)=0,0.85,IF((I71-1)=-1,0.5,IF((I71-1)=-2,0.25,0.1))))),"")</f>
        <v/>
      </c>
      <c r="AE71" s="51">
        <f>IFERROR(AB71*VLOOKUP(E71,'Hệ số'!$A$2:$D$8,2,0)*IF((I71-2)&gt;=2,1.2,IF((I71-2)=1,1,IF((I71-2)=0,0.85,IF((I71-2)=-1,0.5,IF((I71-2)=-2,0.25,0.1))))),"")</f>
        <v/>
      </c>
      <c r="AF71" s="51">
        <f>IFERROR(AB71*VLOOKUP(E71,'Hệ số'!$A$2:$D$8,2,0)*IF((I71-3)&gt;=2,1.2,IF((I71-3)=1,1,IF((I71-3)=0,0.85,IF((I71-3)=-1,0.5,IF((I71-3)=-2,0.25,0.1))))),"")</f>
        <v/>
      </c>
      <c r="AG71" s="51">
        <f>IFERROR(AB71*VLOOKUP(E71,'Hệ số'!$A$2:$D$8,2,0)*IF((I71-4)&gt;=2,1.2,IF((I71-4)=1,1,IF((I71-4)=0,0.85,IF((I71-4)=-1,0.5,IF((I71-4)=-2,0.25,0.1))))),"")</f>
        <v/>
      </c>
      <c r="AH71" s="51">
        <f>IFERROR(AB71*VLOOKUP(E71,'Hệ số'!$A$2:$D$8,2,0)*IF((I71-5)&gt;=2,1.2,IF((I71-5)=1,1,IF((I71-5)=0,0.85,IF((I71-5)=-1,0.5,IF((I71-5)=-2,0.25,0.1))))),"")</f>
        <v/>
      </c>
      <c r="AI71" s="51">
        <f>IFERROR(AB71*VLOOKUP(E71,'Hệ số'!$A$2:$D$8,3,0),"")</f>
        <v/>
      </c>
      <c r="AJ71" s="51">
        <f>IFERROR(AB71*VLOOKUP(E71,'Hệ số'!$A$2:$D$8,4,0)*IF((I71-2)&gt;=2,1.2,IF((I71-2)=1,1,IF((I71-2)=0,0.85,IF((I71-2)=-1,0.5,IF((I71-2)=-2,0.25,0.1))))),"")</f>
        <v/>
      </c>
      <c r="AK71" s="41" t="inlineStr">
        <is>
          <t>Bắn loạt ngắn; đạn lập trình nổ trên không; bắn được xe bọc thép nhẹ.</t>
        </is>
      </c>
      <c r="AL71" s="41" t="n"/>
      <c r="AM71" s="41" t="inlineStr">
        <is>
          <t>AU-220M 57 mm: 120 phát/phút</t>
        </is>
      </c>
      <c r="AN71" s="41" t="inlineStr">
        <is>
          <t>Giữ.</t>
        </is>
      </c>
      <c r="AO71" s="41" t="n"/>
    </row>
    <row r="72" ht="32.25" customHeight="1" s="32">
      <c r="A72" s="39" t="inlineStr">
        <is>
          <t>gun_57mm</t>
        </is>
      </c>
      <c r="B72" s="39" t="inlineStr">
        <is>
          <t>S-60 57 mm (2A91)</t>
        </is>
      </c>
      <c r="C72" s="39" t="inlineStr">
        <is>
          <t>Pháo xe tăng / diệt tăng</t>
        </is>
      </c>
      <c r="D72" s="39" t="inlineStr">
        <is>
          <t>Tăng nhẹ</t>
        </is>
      </c>
      <c r="E72" s="39" t="inlineStr">
        <is>
          <t>Động năng</t>
        </is>
      </c>
      <c r="F72" s="39" t="inlineStr">
        <is>
          <t>Dart</t>
        </is>
      </c>
      <c r="G72" s="42" t="n">
        <v>57</v>
      </c>
      <c r="H72" s="42" t="n">
        <v>2</v>
      </c>
      <c r="I72" s="42" t="n">
        <v>2</v>
      </c>
      <c r="J72" s="42" t="n">
        <v>77</v>
      </c>
      <c r="K72" s="42" t="n">
        <v>77</v>
      </c>
      <c r="L72" s="39" t="inlineStr">
        <is>
          <t>từng phát</t>
        </is>
      </c>
      <c r="M72" s="39" t="inlineStr">
        <is>
          <t>loạt</t>
        </is>
      </c>
      <c r="N72" s="42" t="n">
        <v>0.395256916996048</v>
      </c>
      <c r="O72" s="42" t="n">
        <v>2</v>
      </c>
      <c r="P72" s="42" t="n">
        <v>1</v>
      </c>
      <c r="Q72" s="42" t="n">
        <v>2</v>
      </c>
      <c r="R72" s="42" t="n">
        <v>2.53</v>
      </c>
      <c r="S72" s="42" t="n">
        <v>3.5</v>
      </c>
      <c r="T72" s="42" t="n">
        <v>28</v>
      </c>
      <c r="U72" s="42" t="n">
        <v>28</v>
      </c>
      <c r="V72" s="42" t="n">
        <v>150</v>
      </c>
      <c r="W72" s="42" t="n">
        <v>150</v>
      </c>
      <c r="X72" s="50">
        <f>IFERROR(U72/W72,"")</f>
        <v/>
      </c>
      <c r="Y72" s="50" t="n"/>
      <c r="Z72" s="50" t="n"/>
      <c r="AA72" s="50">
        <f>IFERROR(IF(L72="từng phát",J72*N72,J72*P72/(P72/N72+R72)),"")</f>
        <v/>
      </c>
      <c r="AB72" s="50">
        <f>IFERROR(IF(M72="từng phát",K72*O72,K72*Q72/(Q72/O72+S72)),"")</f>
        <v/>
      </c>
      <c r="AC72" s="50">
        <f>IFERROR(AB72*VLOOKUP(E72,'Hệ số'!$A$2:$D$8,2,0)*IF((I72-0)&gt;=2,1.2,IF((I72-0)=1,1,IF((I72-0)=0,0.85,IF((I72-0)=-1,0.5,IF((I72-0)=-2,0.25,0.1))))),"")</f>
        <v/>
      </c>
      <c r="AD72" s="50">
        <f>IFERROR(AB72*VLOOKUP(E72,'Hệ số'!$A$2:$D$8,2,0)*IF((I72-1)&gt;=2,1.2,IF((I72-1)=1,1,IF((I72-1)=0,0.85,IF((I72-1)=-1,0.5,IF((I72-1)=-2,0.25,0.1))))),"")</f>
        <v/>
      </c>
      <c r="AE72" s="50">
        <f>IFERROR(AB72*VLOOKUP(E72,'Hệ số'!$A$2:$D$8,2,0)*IF((I72-2)&gt;=2,1.2,IF((I72-2)=1,1,IF((I72-2)=0,0.85,IF((I72-2)=-1,0.5,IF((I72-2)=-2,0.25,0.1))))),"")</f>
        <v/>
      </c>
      <c r="AF72" s="50">
        <f>IFERROR(AB72*VLOOKUP(E72,'Hệ số'!$A$2:$D$8,2,0)*IF((I72-3)&gt;=2,1.2,IF((I72-3)=1,1,IF((I72-3)=0,0.85,IF((I72-3)=-1,0.5,IF((I72-3)=-2,0.25,0.1))))),"")</f>
        <v/>
      </c>
      <c r="AG72" s="50">
        <f>IFERROR(AB72*VLOOKUP(E72,'Hệ số'!$A$2:$D$8,2,0)*IF((I72-4)&gt;=2,1.2,IF((I72-4)=1,1,IF((I72-4)=0,0.85,IF((I72-4)=-1,0.5,IF((I72-4)=-2,0.25,0.1))))),"")</f>
        <v/>
      </c>
      <c r="AH72" s="50">
        <f>IFERROR(AB72*VLOOKUP(E72,'Hệ số'!$A$2:$D$8,2,0)*IF((I72-5)&gt;=2,1.2,IF((I72-5)=1,1,IF((I72-5)=0,0.85,IF((I72-5)=-1,0.5,IF((I72-5)=-2,0.25,0.1))))),"")</f>
        <v/>
      </c>
      <c r="AI72" s="50">
        <f>IFERROR(AB72*VLOOKUP(E72,'Hệ số'!$A$2:$D$8,3,0),"")</f>
        <v/>
      </c>
      <c r="AJ72" s="50">
        <f>IFERROR(AB72*VLOOKUP(E72,'Hệ số'!$A$2:$D$8,4,0)*IF((I72-2)&gt;=2,1.2,IF((I72-2)=1,1,IF((I72-2)=0,0.85,IF((I72-2)=-1,0.5,IF((I72-2)=-2,0.25,0.1))))),"")</f>
        <v/>
      </c>
      <c r="AK72" s="39" t="inlineStr">
        <is>
          <t>Phát đơn, sơ tốc cao; không bị APS chặn (đạn động năng); bị lệch theo tầm và khi xe đang chạy.</t>
        </is>
      </c>
      <c r="AL72" s="39" t="inlineStr">
        <is>
          <t>Tự đổi: đạn xuyên (Động năng) với xe giáp, đạn nổ mạnh (HE, xuyên 2, nổ lan 3 m) với xe nhẹ và công trình.</t>
        </is>
      </c>
      <c r="AM72" s="39" t="inlineStr">
        <is>
          <t>S-60/2A91 57 mm: tự động 120 phát/phút</t>
        </is>
      </c>
      <c r="AN72" s="39" t="inlineStr">
        <is>
          <t>Pháo 57 mm tự động mà bắn như pháo nạp tay.</t>
        </is>
      </c>
      <c r="AO72" s="48" t="inlineStr">
        <is>
          <t>Trung</t>
        </is>
      </c>
    </row>
    <row r="73" ht="32.25" customHeight="1" s="32">
      <c r="A73" s="41" t="inlineStr">
        <is>
          <t>gun_behemoth</t>
        </is>
      </c>
      <c r="B73" s="41" t="inlineStr">
        <is>
          <t>2A65 152 mm (twin)</t>
        </is>
      </c>
      <c r="C73" s="41" t="inlineStr">
        <is>
          <t>Đạn pháo nổ mạnh</t>
        </is>
      </c>
      <c r="D73" s="41" t="inlineStr">
        <is>
          <t>Behemoth, Behemoth Mk.0,</t>
        </is>
      </c>
      <c r="E73" s="41" t="inlineStr">
        <is>
          <t>Nổ mạnh</t>
        </is>
      </c>
      <c r="F73" s="41" t="inlineStr">
        <is>
          <t>HeShell</t>
        </is>
      </c>
      <c r="G73" s="43" t="n">
        <v>152</v>
      </c>
      <c r="H73" s="43" t="n">
        <v>3</v>
      </c>
      <c r="I73" s="43" t="n">
        <v>3</v>
      </c>
      <c r="J73" s="43" t="n">
        <v>320</v>
      </c>
      <c r="K73" s="43" t="n">
        <v>320</v>
      </c>
      <c r="L73" s="41" t="inlineStr">
        <is>
          <t>loạt</t>
        </is>
      </c>
      <c r="M73" s="41" t="inlineStr">
        <is>
          <t>loạt</t>
        </is>
      </c>
      <c r="N73" s="43" t="n">
        <v>20</v>
      </c>
      <c r="O73" s="43" t="n">
        <v>20</v>
      </c>
      <c r="P73" s="43" t="n">
        <v>2</v>
      </c>
      <c r="Q73" s="43" t="n">
        <v>2</v>
      </c>
      <c r="R73" s="43" t="n">
        <v>8.93</v>
      </c>
      <c r="S73" s="43" t="n">
        <v>8.93</v>
      </c>
      <c r="T73" s="43" t="n">
        <v>40</v>
      </c>
      <c r="U73" s="43" t="n">
        <v>40</v>
      </c>
      <c r="V73" s="43" t="n">
        <v>150</v>
      </c>
      <c r="W73" s="43" t="n">
        <v>150</v>
      </c>
      <c r="X73" s="51">
        <f>IFERROR(U73/W73,"")</f>
        <v/>
      </c>
      <c r="Y73" s="53" t="n">
        <v>5</v>
      </c>
      <c r="Z73" s="53" t="n">
        <v>6.5</v>
      </c>
      <c r="AA73" s="51">
        <f>IFERROR(IF(L73="từng phát",J73*N73,J73*P73/(P73/N73+R73)),"")</f>
        <v/>
      </c>
      <c r="AB73" s="51">
        <f>IFERROR(IF(M73="từng phát",K73*O73,K73*Q73/(Q73/O73+S73)),"")</f>
        <v/>
      </c>
      <c r="AC73" s="51">
        <f>IFERROR(AB73*VLOOKUP(E73,'Hệ số'!$A$2:$D$8,2,0)*IF((I73-0)&gt;=2,1.2,IF((I73-0)=1,1,IF((I73-0)=0,0.85,IF((I73-0)=-1,0.5,IF((I73-0)=-2,0.25,0.1))))),"")</f>
        <v/>
      </c>
      <c r="AD73" s="51">
        <f>IFERROR(AB73*VLOOKUP(E73,'Hệ số'!$A$2:$D$8,2,0)*IF((I73-1)&gt;=2,1.2,IF((I73-1)=1,1,IF((I73-1)=0,0.85,IF((I73-1)=-1,0.5,IF((I73-1)=-2,0.25,0.1))))),"")</f>
        <v/>
      </c>
      <c r="AE73" s="51">
        <f>IFERROR(AB73*VLOOKUP(E73,'Hệ số'!$A$2:$D$8,2,0)*IF((I73-2)&gt;=2,1.2,IF((I73-2)=1,1,IF((I73-2)=0,0.85,IF((I73-2)=-1,0.5,IF((I73-2)=-2,0.25,0.1))))),"")</f>
        <v/>
      </c>
      <c r="AF73" s="51">
        <f>IFERROR(AB73*VLOOKUP(E73,'Hệ số'!$A$2:$D$8,2,0)*IF((I73-3)&gt;=2,1.2,IF((I73-3)=1,1,IF((I73-3)=0,0.85,IF((I73-3)=-1,0.5,IF((I73-3)=-2,0.25,0.1))))),"")</f>
        <v/>
      </c>
      <c r="AG73" s="51">
        <f>IFERROR(AB73*VLOOKUP(E73,'Hệ số'!$A$2:$D$8,2,0)*IF((I73-4)&gt;=2,1.2,IF((I73-4)=1,1,IF((I73-4)=0,0.85,IF((I73-4)=-1,0.5,IF((I73-4)=-2,0.25,0.1))))),"")</f>
        <v/>
      </c>
      <c r="AH73" s="51">
        <f>IFERROR(AB73*VLOOKUP(E73,'Hệ số'!$A$2:$D$8,2,0)*IF((I73-5)&gt;=2,1.2,IF((I73-5)=1,1,IF((I73-5)=0,0.85,IF((I73-5)=-1,0.5,IF((I73-5)=-2,0.25,0.1))))),"")</f>
        <v/>
      </c>
      <c r="AI73" s="51">
        <f>IFERROR(AB73*VLOOKUP(E73,'Hệ số'!$A$2:$D$8,3,0),"")</f>
        <v/>
      </c>
      <c r="AJ73" s="51">
        <f>IFERROR(AB73*VLOOKUP(E73,'Hệ số'!$A$2:$D$8,4,0)*IF((I73-2)&gt;=2,1.2,IF((I73-2)=1,1,IF((I73-2)=0,0.85,IF((I73-2)=-1,0.5,IF((I73-2)=-2,0.25,0.1))))),"")</f>
        <v/>
      </c>
      <c r="AK73" s="41" t="inlineStr">
        <is>
          <t>Bắn cầu vồng hoặc bắn thẳng tùy pháo; nổ lan; C-RAM chặn được một phần; mạnh với công trình (×1,5).</t>
        </is>
      </c>
      <c r="AL73" s="41" t="inlineStr">
        <is>
          <t>Thêm đạn dẫn đường (Excalibur/Krasnopol: 1 phát, không tản mát) cho nhánh hạng 7 hoặc thẻ hỗ trợ.</t>
        </is>
      </c>
      <c r="AM73" s="41" t="n"/>
      <c r="AN73" s="41" t="inlineStr">
        <is>
          <t>152 mm nổ mạnh: gần 155 mm.</t>
        </is>
      </c>
      <c r="AO73" s="48" t="inlineStr">
        <is>
          <t>Trung</t>
        </is>
      </c>
    </row>
    <row r="74" ht="32.25" customHeight="1" s="32">
      <c r="A74" s="39" t="inlineStr">
        <is>
          <t>gunship_105</t>
        </is>
      </c>
      <c r="B74" s="39" t="inlineStr">
        <is>
          <t>M102 105 mm</t>
        </is>
      </c>
      <c r="C74" s="39" t="inlineStr">
        <is>
          <t>Đạn pháo nổ mạnh</t>
        </is>
      </c>
      <c r="D74" s="39" t="inlineStr">
        <is>
          <t>Pháo hạm AC-130, Roc,</t>
        </is>
      </c>
      <c r="E74" s="39" t="inlineStr">
        <is>
          <t>Nổ mạnh</t>
        </is>
      </c>
      <c r="F74" s="39" t="inlineStr">
        <is>
          <t>HeShell</t>
        </is>
      </c>
      <c r="G74" s="42" t="n">
        <v>105</v>
      </c>
      <c r="H74" s="42" t="n">
        <v>2</v>
      </c>
      <c r="I74" s="42" t="n">
        <v>2</v>
      </c>
      <c r="J74" s="42" t="n">
        <v>200</v>
      </c>
      <c r="K74" s="42" t="n">
        <v>200</v>
      </c>
      <c r="L74" s="39" t="inlineStr">
        <is>
          <t>từng phát</t>
        </is>
      </c>
      <c r="M74" s="39" t="inlineStr">
        <is>
          <t>từng phát</t>
        </is>
      </c>
      <c r="N74" s="42" t="n">
        <v>0.364564345607</v>
      </c>
      <c r="O74" s="42" t="n">
        <v>0.364564345607</v>
      </c>
      <c r="P74" s="42" t="n">
        <v>1</v>
      </c>
      <c r="Q74" s="42" t="n">
        <v>1</v>
      </c>
      <c r="R74" s="42" t="n">
        <v>2.743</v>
      </c>
      <c r="S74" s="42" t="n">
        <v>2.743</v>
      </c>
      <c r="T74" s="42" t="n">
        <v>58</v>
      </c>
      <c r="U74" s="42" t="n">
        <v>58</v>
      </c>
      <c r="V74" s="42" t="n">
        <v>120</v>
      </c>
      <c r="W74" s="42" t="n">
        <v>120</v>
      </c>
      <c r="X74" s="50">
        <f>IFERROR(U74/W74,"")</f>
        <v/>
      </c>
      <c r="Y74" s="52" t="n">
        <v>6.5</v>
      </c>
      <c r="Z74" s="52" t="n">
        <v>5.5</v>
      </c>
      <c r="AA74" s="50">
        <f>IFERROR(IF(L74="từng phát",J74*N74,J74*P74/(P74/N74+R74)),"")</f>
        <v/>
      </c>
      <c r="AB74" s="50">
        <f>IFERROR(IF(M74="từng phát",K74*O74,K74*Q74/(Q74/O74+S74)),"")</f>
        <v/>
      </c>
      <c r="AC74" s="50">
        <f>IFERROR(AB74*VLOOKUP(E74,'Hệ số'!$A$2:$D$8,2,0)*IF((I74-0)&gt;=2,1.2,IF((I74-0)=1,1,IF((I74-0)=0,0.85,IF((I74-0)=-1,0.5,IF((I74-0)=-2,0.25,0.1))))),"")</f>
        <v/>
      </c>
      <c r="AD74" s="50">
        <f>IFERROR(AB74*VLOOKUP(E74,'Hệ số'!$A$2:$D$8,2,0)*IF((I74-1)&gt;=2,1.2,IF((I74-1)=1,1,IF((I74-1)=0,0.85,IF((I74-1)=-1,0.5,IF((I74-1)=-2,0.25,0.1))))),"")</f>
        <v/>
      </c>
      <c r="AE74" s="50">
        <f>IFERROR(AB74*VLOOKUP(E74,'Hệ số'!$A$2:$D$8,2,0)*IF((I74-2)&gt;=2,1.2,IF((I74-2)=1,1,IF((I74-2)=0,0.85,IF((I74-2)=-1,0.5,IF((I74-2)=-2,0.25,0.1))))),"")</f>
        <v/>
      </c>
      <c r="AF74" s="50">
        <f>IFERROR(AB74*VLOOKUP(E74,'Hệ số'!$A$2:$D$8,2,0)*IF((I74-3)&gt;=2,1.2,IF((I74-3)=1,1,IF((I74-3)=0,0.85,IF((I74-3)=-1,0.5,IF((I74-3)=-2,0.25,0.1))))),"")</f>
        <v/>
      </c>
      <c r="AG74" s="50">
        <f>IFERROR(AB74*VLOOKUP(E74,'Hệ số'!$A$2:$D$8,2,0)*IF((I74-4)&gt;=2,1.2,IF((I74-4)=1,1,IF((I74-4)=0,0.85,IF((I74-4)=-1,0.5,IF((I74-4)=-2,0.25,0.1))))),"")</f>
        <v/>
      </c>
      <c r="AH74" s="50">
        <f>IFERROR(AB74*VLOOKUP(E74,'Hệ số'!$A$2:$D$8,2,0)*IF((I74-5)&gt;=2,1.2,IF((I74-5)=1,1,IF((I74-5)=0,0.85,IF((I74-5)=-1,0.5,IF((I74-5)=-2,0.25,0.1))))),"")</f>
        <v/>
      </c>
      <c r="AI74" s="50">
        <f>IFERROR(AB74*VLOOKUP(E74,'Hệ số'!$A$2:$D$8,3,0),"")</f>
        <v/>
      </c>
      <c r="AJ74" s="50">
        <f>IFERROR(AB74*VLOOKUP(E74,'Hệ số'!$A$2:$D$8,4,0)*IF((I74-2)&gt;=2,1.2,IF((I74-2)=1,1,IF((I74-2)=0,0.85,IF((I74-2)=-1,0.5,IF((I74-2)=-2,0.25,0.1))))),"")</f>
        <v/>
      </c>
      <c r="AK74" s="39" t="inlineStr">
        <is>
          <t>Bắn cầu vồng hoặc bắn thẳng tùy pháo; nổ lan; C-RAM chặn được một phần; mạnh với công trình (×1,5).</t>
        </is>
      </c>
      <c r="AL74" s="39" t="inlineStr">
        <is>
          <t>Thêm đạn dẫn đường (Excalibur/Krasnopol: 1 phát, không tản mát) cho nhánh hạng 7 hoặc thẻ hỗ trợ.</t>
        </is>
      </c>
      <c r="AM74" s="39" t="inlineStr">
        <is>
          <t>M102 105 mm: 10 phát/phút</t>
        </is>
      </c>
      <c r="AN74" s="39" t="inlineStr">
        <is>
          <t>105 mm nhỏ hơn 155 mm (7 m).</t>
        </is>
      </c>
      <c r="AO74" s="48" t="inlineStr">
        <is>
          <t>Trung</t>
        </is>
      </c>
    </row>
    <row r="75" ht="32.25" customHeight="1" s="32">
      <c r="A75" s="41" t="inlineStr">
        <is>
          <t>gunship_25mm</t>
        </is>
      </c>
      <c r="B75" s="41" t="inlineStr">
        <is>
          <t>GAU-12 Equalizer 25</t>
        </is>
      </c>
      <c r="C75" s="41" t="inlineStr">
        <is>
          <t>Pháo tự động / cao xạ 20–40 mm</t>
        </is>
      </c>
      <c r="D75" s="41" t="inlineStr">
        <is>
          <t>Pháo hạm AC-130, Spectre</t>
        </is>
      </c>
      <c r="E75" s="41" t="inlineStr">
        <is>
          <t>Động năng</t>
        </is>
      </c>
      <c r="F75" s="41" t="inlineStr">
        <is>
          <t>BeltedAutocannon</t>
        </is>
      </c>
      <c r="G75" s="43" t="n">
        <v>25</v>
      </c>
      <c r="H75" s="43" t="n">
        <v>2</v>
      </c>
      <c r="I75" s="43" t="n">
        <v>2</v>
      </c>
      <c r="J75" s="43" t="n">
        <v>17</v>
      </c>
      <c r="K75" s="43" t="n">
        <v>17</v>
      </c>
      <c r="L75" s="41" t="inlineStr">
        <is>
          <t>băng</t>
        </is>
      </c>
      <c r="M75" s="41" t="inlineStr">
        <is>
          <t>băng</t>
        </is>
      </c>
      <c r="N75" s="43" t="n">
        <v>11</v>
      </c>
      <c r="O75" s="43" t="n">
        <v>11</v>
      </c>
      <c r="P75" s="43" t="n">
        <v>56</v>
      </c>
      <c r="Q75" s="43" t="n">
        <v>56</v>
      </c>
      <c r="R75" s="43" t="n">
        <v>1</v>
      </c>
      <c r="S75" s="43" t="n">
        <v>1</v>
      </c>
      <c r="T75" s="43" t="n">
        <v>50</v>
      </c>
      <c r="U75" s="43" t="n">
        <v>50</v>
      </c>
      <c r="V75" s="43" t="n">
        <v>280</v>
      </c>
      <c r="W75" s="43" t="n">
        <v>280</v>
      </c>
      <c r="X75" s="51">
        <f>IFERROR(U75/W75,"")</f>
        <v/>
      </c>
      <c r="Y75" s="51" t="n"/>
      <c r="Z75" s="51" t="n"/>
      <c r="AA75" s="51">
        <f>IFERROR(IF(L75="từng phát",J75*N75,J75*P75/(P75/N75+R75)),"")</f>
        <v/>
      </c>
      <c r="AB75" s="51">
        <f>IFERROR(IF(M75="từng phát",K75*O75,K75*Q75/(Q75/O75+S75)),"")</f>
        <v/>
      </c>
      <c r="AC75" s="51">
        <f>IFERROR(AB75*VLOOKUP(E75,'Hệ số'!$A$2:$D$8,2,0)*IF((I75-0)&gt;=2,1.2,IF((I75-0)=1,1,IF((I75-0)=0,0.85,IF((I75-0)=-1,0.5,IF((I75-0)=-2,0.25,0.1))))),"")</f>
        <v/>
      </c>
      <c r="AD75" s="51">
        <f>IFERROR(AB75*VLOOKUP(E75,'Hệ số'!$A$2:$D$8,2,0)*IF((I75-1)&gt;=2,1.2,IF((I75-1)=1,1,IF((I75-1)=0,0.85,IF((I75-1)=-1,0.5,IF((I75-1)=-2,0.25,0.1))))),"")</f>
        <v/>
      </c>
      <c r="AE75" s="51">
        <f>IFERROR(AB75*VLOOKUP(E75,'Hệ số'!$A$2:$D$8,2,0)*IF((I75-2)&gt;=2,1.2,IF((I75-2)=1,1,IF((I75-2)=0,0.85,IF((I75-2)=-1,0.5,IF((I75-2)=-2,0.25,0.1))))),"")</f>
        <v/>
      </c>
      <c r="AF75" s="51">
        <f>IFERROR(AB75*VLOOKUP(E75,'Hệ số'!$A$2:$D$8,2,0)*IF((I75-3)&gt;=2,1.2,IF((I75-3)=1,1,IF((I75-3)=0,0.85,IF((I75-3)=-1,0.5,IF((I75-3)=-2,0.25,0.1))))),"")</f>
        <v/>
      </c>
      <c r="AG75" s="51">
        <f>IFERROR(AB75*VLOOKUP(E75,'Hệ số'!$A$2:$D$8,2,0)*IF((I75-4)&gt;=2,1.2,IF((I75-4)=1,1,IF((I75-4)=0,0.85,IF((I75-4)=-1,0.5,IF((I75-4)=-2,0.25,0.1))))),"")</f>
        <v/>
      </c>
      <c r="AH75" s="51">
        <f>IFERROR(AB75*VLOOKUP(E75,'Hệ số'!$A$2:$D$8,2,0)*IF((I75-5)&gt;=2,1.2,IF((I75-5)=1,1,IF((I75-5)=0,0.85,IF((I75-5)=-1,0.5,IF((I75-5)=-2,0.25,0.1))))),"")</f>
        <v/>
      </c>
      <c r="AI75" s="51">
        <f>IFERROR(AB75*VLOOKUP(E75,'Hệ số'!$A$2:$D$8,3,0),"")</f>
        <v/>
      </c>
      <c r="AJ75" s="51">
        <f>IFERROR(AB75*VLOOKUP(E75,'Hệ số'!$A$2:$D$8,4,0)*IF((I75-2)&gt;=2,1.2,IF((I75-2)=1,1,IF((I75-2)=0,0.85,IF((I75-2)=-1,0.5,IF((I75-2)=-2,0.25,0.1))))),"")</f>
        <v/>
      </c>
      <c r="AK75" s="41" t="inlineStr">
        <is>
          <t>Bắn loạt; đạn nổ trên không (Mảnh) mạnh với máy bay và drone, yếu với giáp; đạn xuyên (Động năng) mạnh với giáp 0–2.</t>
        </is>
      </c>
      <c r="AL75" s="41" t="inlineStr">
        <is>
          <t>Tự đổi: đạn xuyên (Động năng) với xe, đạn nổ trên không (Mảnh) với máy bay/drone.</t>
        </is>
      </c>
      <c r="AM75" s="41" t="inlineStr">
        <is>
          <t>GAU-12: 3.600–4.200</t>
        </is>
      </c>
      <c r="AN75" s="41" t="inlineStr">
        <is>
          <t>Giữ.</t>
        </is>
      </c>
      <c r="AO75" s="41" t="n"/>
    </row>
    <row r="76" ht="32.25" customHeight="1" s="32">
      <c r="A76" s="39" t="inlineStr">
        <is>
          <t>gunship_40mm</t>
        </is>
      </c>
      <c r="B76" s="39" t="inlineStr">
        <is>
          <t>Bofors L/60 40 mm</t>
        </is>
      </c>
      <c r="C76" s="39" t="inlineStr">
        <is>
          <t>Pháo tự động / cao xạ 20–40 mm</t>
        </is>
      </c>
      <c r="D76" s="39" t="inlineStr">
        <is>
          <t>Pháo hạm AC-130, Spectre</t>
        </is>
      </c>
      <c r="E76" s="39" t="inlineStr">
        <is>
          <t>Nổ mạnh</t>
        </is>
      </c>
      <c r="F76" s="39" t="inlineStr">
        <is>
          <t>BeltedAutocannon</t>
        </is>
      </c>
      <c r="G76" s="42" t="n">
        <v>40</v>
      </c>
      <c r="H76" s="42" t="n">
        <v>2</v>
      </c>
      <c r="I76" s="42" t="n">
        <v>2</v>
      </c>
      <c r="J76" s="42" t="n">
        <v>30</v>
      </c>
      <c r="K76" s="42" t="n">
        <v>30</v>
      </c>
      <c r="L76" s="39" t="inlineStr">
        <is>
          <t>băng</t>
        </is>
      </c>
      <c r="M76" s="39" t="inlineStr">
        <is>
          <t>băng</t>
        </is>
      </c>
      <c r="N76" s="42" t="n">
        <v>6</v>
      </c>
      <c r="O76" s="42" t="n">
        <v>6</v>
      </c>
      <c r="P76" s="42" t="n">
        <v>29</v>
      </c>
      <c r="Q76" s="42" t="n">
        <v>29</v>
      </c>
      <c r="R76" s="42" t="n">
        <v>1</v>
      </c>
      <c r="S76" s="42" t="n">
        <v>1</v>
      </c>
      <c r="T76" s="42" t="n">
        <v>55</v>
      </c>
      <c r="U76" s="42" t="n">
        <v>55</v>
      </c>
      <c r="V76" s="42" t="n">
        <v>200</v>
      </c>
      <c r="W76" s="42" t="n">
        <v>200</v>
      </c>
      <c r="X76" s="50">
        <f>IFERROR(U76/W76,"")</f>
        <v/>
      </c>
      <c r="Y76" s="52" t="n">
        <v>3</v>
      </c>
      <c r="Z76" s="52" t="n">
        <v>3</v>
      </c>
      <c r="AA76" s="50">
        <f>IFERROR(IF(L76="từng phát",J76*N76,J76*P76/(P76/N76+R76)),"")</f>
        <v/>
      </c>
      <c r="AB76" s="50">
        <f>IFERROR(IF(M76="từng phát",K76*O76,K76*Q76/(Q76/O76+S76)),"")</f>
        <v/>
      </c>
      <c r="AC76" s="50">
        <f>IFERROR(AB76*VLOOKUP(E76,'Hệ số'!$A$2:$D$8,2,0)*IF((I76-0)&gt;=2,1.2,IF((I76-0)=1,1,IF((I76-0)=0,0.85,IF((I76-0)=-1,0.5,IF((I76-0)=-2,0.25,0.1))))),"")</f>
        <v/>
      </c>
      <c r="AD76" s="50">
        <f>IFERROR(AB76*VLOOKUP(E76,'Hệ số'!$A$2:$D$8,2,0)*IF((I76-1)&gt;=2,1.2,IF((I76-1)=1,1,IF((I76-1)=0,0.85,IF((I76-1)=-1,0.5,IF((I76-1)=-2,0.25,0.1))))),"")</f>
        <v/>
      </c>
      <c r="AE76" s="50">
        <f>IFERROR(AB76*VLOOKUP(E76,'Hệ số'!$A$2:$D$8,2,0)*IF((I76-2)&gt;=2,1.2,IF((I76-2)=1,1,IF((I76-2)=0,0.85,IF((I76-2)=-1,0.5,IF((I76-2)=-2,0.25,0.1))))),"")</f>
        <v/>
      </c>
      <c r="AF76" s="50">
        <f>IFERROR(AB76*VLOOKUP(E76,'Hệ số'!$A$2:$D$8,2,0)*IF((I76-3)&gt;=2,1.2,IF((I76-3)=1,1,IF((I76-3)=0,0.85,IF((I76-3)=-1,0.5,IF((I76-3)=-2,0.25,0.1))))),"")</f>
        <v/>
      </c>
      <c r="AG76" s="50">
        <f>IFERROR(AB76*VLOOKUP(E76,'Hệ số'!$A$2:$D$8,2,0)*IF((I76-4)&gt;=2,1.2,IF((I76-4)=1,1,IF((I76-4)=0,0.85,IF((I76-4)=-1,0.5,IF((I76-4)=-2,0.25,0.1))))),"")</f>
        <v/>
      </c>
      <c r="AH76" s="50">
        <f>IFERROR(AB76*VLOOKUP(E76,'Hệ số'!$A$2:$D$8,2,0)*IF((I76-5)&gt;=2,1.2,IF((I76-5)=1,1,IF((I76-5)=0,0.85,IF((I76-5)=-1,0.5,IF((I76-5)=-2,0.25,0.1))))),"")</f>
        <v/>
      </c>
      <c r="AI76" s="50">
        <f>IFERROR(AB76*VLOOKUP(E76,'Hệ số'!$A$2:$D$8,3,0),"")</f>
        <v/>
      </c>
      <c r="AJ76" s="50">
        <f>IFERROR(AB76*VLOOKUP(E76,'Hệ số'!$A$2:$D$8,4,0)*IF((I76-2)&gt;=2,1.2,IF((I76-2)=1,1,IF((I76-2)=0,0.85,IF((I76-2)=-1,0.5,IF((I76-2)=-2,0.25,0.1))))),"")</f>
        <v/>
      </c>
      <c r="AK76" s="39" t="inlineStr">
        <is>
          <t>Bắn loạt; đạn nổ trên không (Mảnh) mạnh với máy bay và drone, yếu với giáp; đạn xuyên (Động năng) mạnh với giáp 0–2.</t>
        </is>
      </c>
      <c r="AL76" s="39" t="inlineStr">
        <is>
          <t>Tự đổi: đạn xuyên (Động năng) với xe, đạn nổ trên không (Mảnh) với máy bay/drone.</t>
        </is>
      </c>
      <c r="AM76" s="39" t="inlineStr">
        <is>
          <t>Bofors L/60: 120 phát/phút</t>
        </is>
      </c>
      <c r="AN76" s="39" t="inlineStr">
        <is>
          <t>Giữ.</t>
        </is>
      </c>
      <c r="AO76" s="39" t="n"/>
    </row>
    <row r="77" ht="21.75" customHeight="1" s="32">
      <c r="A77" s="41" t="inlineStr">
        <is>
          <t>gunship_rockets</t>
        </is>
      </c>
      <c r="B77" s="41" t="inlineStr">
        <is>
          <t>S-8 80 mm</t>
        </is>
      </c>
      <c r="C77" s="41" t="inlineStr">
        <is>
          <t>Rốc-két</t>
        </is>
      </c>
      <c r="D77" s="41" t="inlineStr">
        <is>
          <t>Harpy, TT hỏa lực</t>
        </is>
      </c>
      <c r="E77" s="41" t="inlineStr">
        <is>
          <t>Nổ mạnh</t>
        </is>
      </c>
      <c r="F77" s="41" t="inlineStr">
        <is>
          <t>RocketSmall</t>
        </is>
      </c>
      <c r="G77" s="43" t="n">
        <v>80</v>
      </c>
      <c r="H77" s="43" t="n">
        <v>2</v>
      </c>
      <c r="I77" s="43" t="n">
        <v>2</v>
      </c>
      <c r="J77" s="43" t="n">
        <v>32</v>
      </c>
      <c r="K77" s="43" t="n">
        <v>32</v>
      </c>
      <c r="L77" s="41" t="inlineStr">
        <is>
          <t>loạt</t>
        </is>
      </c>
      <c r="M77" s="41" t="inlineStr">
        <is>
          <t>loạt</t>
        </is>
      </c>
      <c r="N77" s="43" t="n">
        <v>10</v>
      </c>
      <c r="O77" s="43" t="n">
        <v>10</v>
      </c>
      <c r="P77" s="43" t="n">
        <v>16</v>
      </c>
      <c r="Q77" s="43" t="n">
        <v>16</v>
      </c>
      <c r="R77" s="43" t="n">
        <v>8.271000000000001</v>
      </c>
      <c r="S77" s="43" t="n">
        <v>8.271000000000001</v>
      </c>
      <c r="T77" s="43" t="n">
        <v>34</v>
      </c>
      <c r="U77" s="43" t="n">
        <v>34</v>
      </c>
      <c r="V77" s="43" t="n">
        <v>27</v>
      </c>
      <c r="W77" s="43" t="n">
        <v>40</v>
      </c>
      <c r="X77" s="51">
        <f>IFERROR(U77/W77,"")</f>
        <v/>
      </c>
      <c r="Y77" s="53" t="n">
        <v>3.2</v>
      </c>
      <c r="Z77" s="53" t="n">
        <v>3.2</v>
      </c>
      <c r="AA77" s="51">
        <f>IFERROR(IF(L77="từng phát",J77*N77,J77*P77/(P77/N77+R77)),"")</f>
        <v/>
      </c>
      <c r="AB77" s="51">
        <f>IFERROR(IF(M77="từng phát",K77*O77,K77*Q77/(Q77/O77+S77)),"")</f>
        <v/>
      </c>
      <c r="AC77" s="51">
        <f>IFERROR(AB77*VLOOKUP(E77,'Hệ số'!$A$2:$D$8,2,0)*IF((I77-0)&gt;=2,1.2,IF((I77-0)=1,1,IF((I77-0)=0,0.85,IF((I77-0)=-1,0.5,IF((I77-0)=-2,0.25,0.1))))),"")</f>
        <v/>
      </c>
      <c r="AD77" s="51">
        <f>IFERROR(AB77*VLOOKUP(E77,'Hệ số'!$A$2:$D$8,2,0)*IF((I77-1)&gt;=2,1.2,IF((I77-1)=1,1,IF((I77-1)=0,0.85,IF((I77-1)=-1,0.5,IF((I77-1)=-2,0.25,0.1))))),"")</f>
        <v/>
      </c>
      <c r="AE77" s="51">
        <f>IFERROR(AB77*VLOOKUP(E77,'Hệ số'!$A$2:$D$8,2,0)*IF((I77-2)&gt;=2,1.2,IF((I77-2)=1,1,IF((I77-2)=0,0.85,IF((I77-2)=-1,0.5,IF((I77-2)=-2,0.25,0.1))))),"")</f>
        <v/>
      </c>
      <c r="AF77" s="51">
        <f>IFERROR(AB77*VLOOKUP(E77,'Hệ số'!$A$2:$D$8,2,0)*IF((I77-3)&gt;=2,1.2,IF((I77-3)=1,1,IF((I77-3)=0,0.85,IF((I77-3)=-1,0.5,IF((I77-3)=-2,0.25,0.1))))),"")</f>
        <v/>
      </c>
      <c r="AG77" s="51">
        <f>IFERROR(AB77*VLOOKUP(E77,'Hệ số'!$A$2:$D$8,2,0)*IF((I77-4)&gt;=2,1.2,IF((I77-4)=1,1,IF((I77-4)=0,0.85,IF((I77-4)=-1,0.5,IF((I77-4)=-2,0.25,0.1))))),"")</f>
        <v/>
      </c>
      <c r="AH77" s="51">
        <f>IFERROR(AB77*VLOOKUP(E77,'Hệ số'!$A$2:$D$8,2,0)*IF((I77-5)&gt;=2,1.2,IF((I77-5)=1,1,IF((I77-5)=0,0.85,IF((I77-5)=-1,0.5,IF((I77-5)=-2,0.25,0.1))))),"")</f>
        <v/>
      </c>
      <c r="AI77" s="51">
        <f>IFERROR(AB77*VLOOKUP(E77,'Hệ số'!$A$2:$D$8,3,0),"")</f>
        <v/>
      </c>
      <c r="AJ77" s="51">
        <f>IFERROR(AB77*VLOOKUP(E77,'Hệ số'!$A$2:$D$8,4,0)*IF((I77-2)&gt;=2,1.2,IF((I77-2)=1,1,IF((I77-2)=0,0.85,IF((I77-2)=-1,0.5,IF((I77-2)=-2,0.25,0.1))))),"")</f>
        <v/>
      </c>
      <c r="AK77" s="41" t="inlineStr">
        <is>
          <t>Bắn loạt phủ vùng, tản mát; C-RAM, Vòm Sắt và La-de PK bắn hạ được từng quả.</t>
        </is>
      </c>
      <c r="AL77" s="41" t="n"/>
      <c r="AM77" s="41" t="inlineStr">
        <is>
          <t>S-8 80 mm</t>
        </is>
      </c>
      <c r="AN77" s="41" t="inlineStr">
        <is>
          <t>Tốc độ bay 27→40 m/s: Thống nhất tốc độ rốc-két nhỏ ở mọi đơn vị (40 m/s).</t>
        </is>
      </c>
      <c r="AO77" s="48" t="inlineStr">
        <is>
          <t>Trung</t>
        </is>
      </c>
    </row>
    <row r="78" ht="21.75" customHeight="1" s="32">
      <c r="A78" s="39" t="inlineStr">
        <is>
          <t>hel_beam</t>
        </is>
      </c>
      <c r="B78" s="39" t="inlineStr">
        <is>
          <t>Iron Beam laser (100</t>
        </is>
      </c>
      <c r="C78" s="39" t="inlineStr">
        <is>
          <t>Năng lượng</t>
        </is>
      </c>
      <c r="D78" s="39" t="inlineStr">
        <is>
          <t>La-de PK</t>
        </is>
      </c>
      <c r="E78" s="39" t="inlineStr">
        <is>
          <t>Năng lượng</t>
        </is>
      </c>
      <c r="F78" s="39" t="inlineStr">
        <is>
          <t>Energy</t>
        </is>
      </c>
      <c r="G78" s="42" t="n">
        <v>100</v>
      </c>
      <c r="H78" s="42" t="n">
        <v>2</v>
      </c>
      <c r="I78" s="42" t="n">
        <v>2</v>
      </c>
      <c r="J78" s="42" t="n">
        <v>7.5</v>
      </c>
      <c r="K78" s="42" t="n">
        <v>10</v>
      </c>
      <c r="L78" s="39" t="inlineStr">
        <is>
          <t>từng phát</t>
        </is>
      </c>
      <c r="M78" s="39" t="inlineStr">
        <is>
          <t>từng phát</t>
        </is>
      </c>
      <c r="N78" s="42" t="n">
        <v>19.0476190476191</v>
      </c>
      <c r="O78" s="42" t="n">
        <v>19.0476190476191</v>
      </c>
      <c r="P78" s="42" t="n">
        <v>1</v>
      </c>
      <c r="Q78" s="42" t="n">
        <v>1</v>
      </c>
      <c r="R78" s="42" t="n">
        <v>0.0525</v>
      </c>
      <c r="S78" s="42" t="n">
        <v>0.0525</v>
      </c>
      <c r="T78" s="42" t="n">
        <v>45</v>
      </c>
      <c r="U78" s="42" t="n">
        <v>45</v>
      </c>
      <c r="V78" s="42" t="n">
        <v>3000</v>
      </c>
      <c r="W78" s="42" t="n">
        <v>3000</v>
      </c>
      <c r="X78" s="50">
        <f>IFERROR(U78/W78,"")</f>
        <v/>
      </c>
      <c r="Y78" s="50" t="n"/>
      <c r="Z78" s="50" t="n"/>
      <c r="AA78" s="50">
        <f>IFERROR(IF(L78="từng phát",J78*N78,J78*P78/(P78/N78+R78)),"")</f>
        <v/>
      </c>
      <c r="AB78" s="50">
        <f>IFERROR(IF(M78="từng phát",K78*O78,K78*Q78/(Q78/O78+S78)),"")</f>
        <v/>
      </c>
      <c r="AC78" s="50">
        <f>IFERROR(AB78*VLOOKUP(E78,'Hệ số'!$A$2:$D$8,2,0)*IF((I78-0)&gt;=2,1.2,IF((I78-0)=1,1,IF((I78-0)=0,0.85,IF((I78-0)=-1,0.5,IF((I78-0)=-2,0.25,0.1))))),"")</f>
        <v/>
      </c>
      <c r="AD78" s="50">
        <f>IFERROR(AB78*VLOOKUP(E78,'Hệ số'!$A$2:$D$8,2,0)*IF((I78-1)&gt;=2,1.2,IF((I78-1)=1,1,IF((I78-1)=0,0.85,IF((I78-1)=-1,0.5,IF((I78-1)=-2,0.25,0.1))))),"")</f>
        <v/>
      </c>
      <c r="AE78" s="50">
        <f>IFERROR(AB78*VLOOKUP(E78,'Hệ số'!$A$2:$D$8,2,0)*IF((I78-2)&gt;=2,1.2,IF((I78-2)=1,1,IF((I78-2)=0,0.85,IF((I78-2)=-1,0.5,IF((I78-2)=-2,0.25,0.1))))),"")</f>
        <v/>
      </c>
      <c r="AF78" s="50">
        <f>IFERROR(AB78*VLOOKUP(E78,'Hệ số'!$A$2:$D$8,2,0)*IF((I78-3)&gt;=2,1.2,IF((I78-3)=1,1,IF((I78-3)=0,0.85,IF((I78-3)=-1,0.5,IF((I78-3)=-2,0.25,0.1))))),"")</f>
        <v/>
      </c>
      <c r="AG78" s="50">
        <f>IFERROR(AB78*VLOOKUP(E78,'Hệ số'!$A$2:$D$8,2,0)*IF((I78-4)&gt;=2,1.2,IF((I78-4)=1,1,IF((I78-4)=0,0.85,IF((I78-4)=-1,0.5,IF((I78-4)=-2,0.25,0.1))))),"")</f>
        <v/>
      </c>
      <c r="AH78" s="50">
        <f>IFERROR(AB78*VLOOKUP(E78,'Hệ số'!$A$2:$D$8,2,0)*IF((I78-5)&gt;=2,1.2,IF((I78-5)=1,1,IF((I78-5)=0,0.85,IF((I78-5)=-1,0.5,IF((I78-5)=-2,0.25,0.1))))),"")</f>
        <v/>
      </c>
      <c r="AI78" s="50">
        <f>IFERROR(AB78*VLOOKUP(E78,'Hệ số'!$A$2:$D$8,3,0),"")</f>
        <v/>
      </c>
      <c r="AJ78" s="50">
        <f>IFERROR(AB78*VLOOKUP(E78,'Hệ số'!$A$2:$D$8,4,0)*IF((I78-2)&gt;=2,1.2,IF((I78-2)=1,1,IF((I78-2)=0,0.85,IF((I78-2)=-1,0.5,IF((I78-2)=-2,0.25,0.1))))),"")</f>
        <v/>
      </c>
      <c r="AK78" s="39" t="inlineStr">
        <is>
          <t>Tia tức thời; không bị APS chặn; bị khói giảm 80%; mạnh với máy bay (×1,5).</t>
        </is>
      </c>
      <c r="AL78" s="39" t="n"/>
      <c r="AM78" s="39" t="inlineStr">
        <is>
          <t>Iron Beam: laser 100 kW, chủ yếu đánh chặn drone, rốc-két, cối</t>
        </is>
      </c>
      <c r="AN78" s="39" t="inlineStr">
        <is>
          <t>La-de PK gần như vô dụng; Iron Beam thật chuyên chặn drone, rốc-két, cối.</t>
        </is>
      </c>
      <c r="AO78" s="47" t="inlineStr">
        <is>
          <t>Cao</t>
        </is>
      </c>
    </row>
    <row r="79" ht="21.75" customHeight="1" s="32">
      <c r="A79" s="41" t="inlineStr">
        <is>
          <t>heli_atgm</t>
        </is>
      </c>
      <c r="B79" s="41" t="inlineStr">
        <is>
          <t>AGM-114 Hellfire</t>
        </is>
      </c>
      <c r="C79" s="41" t="inlineStr">
        <is>
          <t>Tên lửa chống tăng / không đối đất</t>
        </is>
      </c>
      <c r="D79" s="41" t="inlineStr">
        <is>
          <t>TT hỏa lực</t>
        </is>
      </c>
      <c r="E79" s="41" t="inlineStr">
        <is>
          <t>Nổ lõm</t>
        </is>
      </c>
      <c r="F79" s="41" t="inlineStr">
        <is>
          <t>Atgm</t>
        </is>
      </c>
      <c r="G79" s="43" t="n">
        <v>49</v>
      </c>
      <c r="H79" s="43" t="n">
        <v>4</v>
      </c>
      <c r="I79" s="43" t="n">
        <v>4</v>
      </c>
      <c r="J79" s="43" t="n">
        <v>260</v>
      </c>
      <c r="K79" s="43" t="n">
        <v>260</v>
      </c>
      <c r="L79" s="41" t="inlineStr">
        <is>
          <t>từng phát</t>
        </is>
      </c>
      <c r="M79" s="41" t="inlineStr">
        <is>
          <t>từng phát</t>
        </is>
      </c>
      <c r="N79" s="43" t="n">
        <v>0.204918032786885</v>
      </c>
      <c r="O79" s="43" t="n">
        <v>0.204918032786885</v>
      </c>
      <c r="P79" s="43" t="n">
        <v>1</v>
      </c>
      <c r="Q79" s="43" t="n">
        <v>1</v>
      </c>
      <c r="R79" s="43" t="n">
        <v>4.88</v>
      </c>
      <c r="S79" s="43" t="n">
        <v>4.88</v>
      </c>
      <c r="T79" s="43" t="n">
        <v>34</v>
      </c>
      <c r="U79" s="43" t="n">
        <v>45</v>
      </c>
      <c r="V79" s="43" t="n">
        <v>12</v>
      </c>
      <c r="W79" s="43" t="n">
        <v>26</v>
      </c>
      <c r="X79" s="51">
        <f>IFERROR(U79/W79,"")</f>
        <v/>
      </c>
      <c r="Y79" s="51" t="n"/>
      <c r="Z79" s="51" t="n"/>
      <c r="AA79" s="51">
        <f>IFERROR(IF(L79="từng phát",J79*N79,J79*P79/(P79/N79+R79)),"")</f>
        <v/>
      </c>
      <c r="AB79" s="51">
        <f>IFERROR(IF(M79="từng phát",K79*O79,K79*Q79/(Q79/O79+S79)),"")</f>
        <v/>
      </c>
      <c r="AC79" s="51">
        <f>IFERROR(AB79*VLOOKUP(E79,'Hệ số'!$A$2:$D$8,2,0)*IF((I79-0)&gt;=2,1.2,IF((I79-0)=1,1,IF((I79-0)=0,0.85,IF((I79-0)=-1,0.5,IF((I79-0)=-2,0.25,0.1))))),"")</f>
        <v/>
      </c>
      <c r="AD79" s="51">
        <f>IFERROR(AB79*VLOOKUP(E79,'Hệ số'!$A$2:$D$8,2,0)*IF((I79-1)&gt;=2,1.2,IF((I79-1)=1,1,IF((I79-1)=0,0.85,IF((I79-1)=-1,0.5,IF((I79-1)=-2,0.25,0.1))))),"")</f>
        <v/>
      </c>
      <c r="AE79" s="51">
        <f>IFERROR(AB79*VLOOKUP(E79,'Hệ số'!$A$2:$D$8,2,0)*IF((I79-2)&gt;=2,1.2,IF((I79-2)=1,1,IF((I79-2)=0,0.85,IF((I79-2)=-1,0.5,IF((I79-2)=-2,0.25,0.1))))),"")</f>
        <v/>
      </c>
      <c r="AF79" s="51">
        <f>IFERROR(AB79*VLOOKUP(E79,'Hệ số'!$A$2:$D$8,2,0)*IF((I79-3)&gt;=2,1.2,IF((I79-3)=1,1,IF((I79-3)=0,0.85,IF((I79-3)=-1,0.5,IF((I79-3)=-2,0.25,0.1))))),"")</f>
        <v/>
      </c>
      <c r="AG79" s="51">
        <f>IFERROR(AB79*VLOOKUP(E79,'Hệ số'!$A$2:$D$8,2,0)*IF((I79-4)&gt;=2,1.2,IF((I79-4)=1,1,IF((I79-4)=0,0.85,IF((I79-4)=-1,0.5,IF((I79-4)=-2,0.25,0.1))))),"")</f>
        <v/>
      </c>
      <c r="AH79" s="51">
        <f>IFERROR(AB79*VLOOKUP(E79,'Hệ số'!$A$2:$D$8,2,0)*IF((I79-5)&gt;=2,1.2,IF((I79-5)=1,1,IF((I79-5)=0,0.85,IF((I79-5)=-1,0.5,IF((I79-5)=-2,0.25,0.1))))),"")</f>
        <v/>
      </c>
      <c r="AI79" s="51">
        <f>IFERROR(AB79*VLOOKUP(E79,'Hệ số'!$A$2:$D$8,3,0),"")</f>
        <v/>
      </c>
      <c r="AJ79" s="51">
        <f>IFERROR(AB79*VLOOKUP(E79,'Hệ số'!$A$2:$D$8,4,0)*IF((I79-2)&gt;=2,1.2,IF((I79-2)=1,1,IF((I79-2)=0,0.85,IF((I79-2)=-1,0.5,IF((I79-2)=-2,0.25,0.1))))),"")</f>
        <v/>
      </c>
      <c r="AK79" s="41" t="inlineStr">
        <is>
          <t>Dẫn đường; bị APS và giáp phản ứng nổ giảm (đầu nổ lõm); bay chậm nên né và khói có tác dụng.</t>
        </is>
      </c>
      <c r="AL79" s="41" t="n"/>
      <c r="AM79" s="41" t="inlineStr">
        <is>
          <t>Hellfire: 8 km, Mach 1,3</t>
        </is>
      </c>
      <c r="AN79" s="41" t="inlineStr">
        <is>
          <t>Tầm 34 thấp hơn các Hellfire khác. Tốc độ bay 12→26 m/s: Hellfire thống nhất 26 m/s mọi nơi (đang 12 ở đây, chậm nhất game).</t>
        </is>
      </c>
      <c r="AO79" s="47" t="inlineStr">
        <is>
          <t>Cao</t>
        </is>
      </c>
    </row>
    <row r="80" ht="32.25" customHeight="1" s="32">
      <c r="A80" s="39" t="inlineStr">
        <is>
          <t>heli_gun</t>
        </is>
      </c>
      <c r="B80" s="39" t="inlineStr">
        <is>
          <t>M230 30 mm</t>
        </is>
      </c>
      <c r="C80" s="39" t="inlineStr">
        <is>
          <t>Pháo tự động / cao xạ 20–40 mm</t>
        </is>
      </c>
      <c r="D80" s="39" t="inlineStr">
        <is>
          <t>Trực thăng, Trực thăng TN</t>
        </is>
      </c>
      <c r="E80" s="39" t="inlineStr">
        <is>
          <t>Động năng</t>
        </is>
      </c>
      <c r="F80" s="39" t="inlineStr">
        <is>
          <t>BeltedAutocannon</t>
        </is>
      </c>
      <c r="G80" s="42" t="n">
        <v>30</v>
      </c>
      <c r="H80" s="42" t="n">
        <v>2</v>
      </c>
      <c r="I80" s="42" t="n">
        <v>2</v>
      </c>
      <c r="J80" s="42" t="n">
        <v>22</v>
      </c>
      <c r="K80" s="42" t="n">
        <v>22</v>
      </c>
      <c r="L80" s="39" t="inlineStr">
        <is>
          <t>băng</t>
        </is>
      </c>
      <c r="M80" s="39" t="inlineStr">
        <is>
          <t>băng</t>
        </is>
      </c>
      <c r="N80" s="42" t="n">
        <v>4</v>
      </c>
      <c r="O80" s="42" t="n">
        <v>6</v>
      </c>
      <c r="P80" s="42" t="n">
        <v>21</v>
      </c>
      <c r="Q80" s="42" t="n">
        <v>40</v>
      </c>
      <c r="R80" s="42" t="n">
        <v>1</v>
      </c>
      <c r="S80" s="42" t="n">
        <v>3</v>
      </c>
      <c r="T80" s="42" t="n">
        <v>26</v>
      </c>
      <c r="U80" s="42" t="n">
        <v>26</v>
      </c>
      <c r="V80" s="42" t="n">
        <v>220</v>
      </c>
      <c r="W80" s="42" t="n">
        <v>220</v>
      </c>
      <c r="X80" s="50">
        <f>IFERROR(U80/W80,"")</f>
        <v/>
      </c>
      <c r="Y80" s="50" t="n"/>
      <c r="Z80" s="50" t="n"/>
      <c r="AA80" s="50">
        <f>IFERROR(IF(L80="từng phát",J80*N80,J80*P80/(P80/N80+R80)),"")</f>
        <v/>
      </c>
      <c r="AB80" s="50">
        <f>IFERROR(IF(M80="từng phát",K80*O80,K80*Q80/(Q80/O80+S80)),"")</f>
        <v/>
      </c>
      <c r="AC80" s="50">
        <f>IFERROR(AB80*VLOOKUP(E80,'Hệ số'!$A$2:$D$8,2,0)*IF((I80-0)&gt;=2,1.2,IF((I80-0)=1,1,IF((I80-0)=0,0.85,IF((I80-0)=-1,0.5,IF((I80-0)=-2,0.25,0.1))))),"")</f>
        <v/>
      </c>
      <c r="AD80" s="50">
        <f>IFERROR(AB80*VLOOKUP(E80,'Hệ số'!$A$2:$D$8,2,0)*IF((I80-1)&gt;=2,1.2,IF((I80-1)=1,1,IF((I80-1)=0,0.85,IF((I80-1)=-1,0.5,IF((I80-1)=-2,0.25,0.1))))),"")</f>
        <v/>
      </c>
      <c r="AE80" s="50">
        <f>IFERROR(AB80*VLOOKUP(E80,'Hệ số'!$A$2:$D$8,2,0)*IF((I80-2)&gt;=2,1.2,IF((I80-2)=1,1,IF((I80-2)=0,0.85,IF((I80-2)=-1,0.5,IF((I80-2)=-2,0.25,0.1))))),"")</f>
        <v/>
      </c>
      <c r="AF80" s="50">
        <f>IFERROR(AB80*VLOOKUP(E80,'Hệ số'!$A$2:$D$8,2,0)*IF((I80-3)&gt;=2,1.2,IF((I80-3)=1,1,IF((I80-3)=0,0.85,IF((I80-3)=-1,0.5,IF((I80-3)=-2,0.25,0.1))))),"")</f>
        <v/>
      </c>
      <c r="AG80" s="50">
        <f>IFERROR(AB80*VLOOKUP(E80,'Hệ số'!$A$2:$D$8,2,0)*IF((I80-4)&gt;=2,1.2,IF((I80-4)=1,1,IF((I80-4)=0,0.85,IF((I80-4)=-1,0.5,IF((I80-4)=-2,0.25,0.1))))),"")</f>
        <v/>
      </c>
      <c r="AH80" s="50">
        <f>IFERROR(AB80*VLOOKUP(E80,'Hệ số'!$A$2:$D$8,2,0)*IF((I80-5)&gt;=2,1.2,IF((I80-5)=1,1,IF((I80-5)=0,0.85,IF((I80-5)=-1,0.5,IF((I80-5)=-2,0.25,0.1))))),"")</f>
        <v/>
      </c>
      <c r="AI80" s="50">
        <f>IFERROR(AB80*VLOOKUP(E80,'Hệ số'!$A$2:$D$8,3,0),"")</f>
        <v/>
      </c>
      <c r="AJ80" s="50">
        <f>IFERROR(AB80*VLOOKUP(E80,'Hệ số'!$A$2:$D$8,4,0)*IF((I80-2)&gt;=2,1.2,IF((I80-2)=1,1,IF((I80-2)=0,0.85,IF((I80-2)=-1,0.5,IF((I80-2)=-2,0.25,0.1))))),"")</f>
        <v/>
      </c>
      <c r="AK80" s="39" t="inlineStr">
        <is>
          <t>Bắn loạt; đạn nổ trên không (Mảnh) mạnh với máy bay và drone, yếu với giáp; đạn xuyên (Động năng) mạnh với giáp 0–2.</t>
        </is>
      </c>
      <c r="AL80" s="39" t="inlineStr">
        <is>
          <t>Tự đổi: đạn xuyên (Động năng) với xe, đạn nổ trên không (Mảnh) với máy bay/drone.</t>
        </is>
      </c>
      <c r="AM80" s="39" t="inlineStr">
        <is>
          <t>M230: 625</t>
        </is>
      </c>
      <c r="AN80" s="39" t="inlineStr">
        <is>
          <t>M230 thật 625 phát/phút, 1.200 viên; hiện băng 21 viên. Tăng nhẹ DPS vì Trực thăng tấn công đang yếu so với giá.</t>
        </is>
      </c>
      <c r="AO80" s="48" t="inlineStr">
        <is>
          <t>Trung</t>
        </is>
      </c>
    </row>
    <row r="81" ht="21.75" customHeight="1" s="32">
      <c r="A81" s="41" t="inlineStr">
        <is>
          <t>heli_rockets</t>
        </is>
      </c>
      <c r="B81" s="41" t="inlineStr">
        <is>
          <t>Hydra 70 mm</t>
        </is>
      </c>
      <c r="C81" s="41" t="inlineStr">
        <is>
          <t>Rốc-két</t>
        </is>
      </c>
      <c r="D81" s="41" t="inlineStr">
        <is>
          <t>Trực thăng, Trực thăng TN</t>
        </is>
      </c>
      <c r="E81" s="41" t="inlineStr">
        <is>
          <t>Nổ mạnh</t>
        </is>
      </c>
      <c r="F81" s="41" t="inlineStr">
        <is>
          <t>RocketSmall</t>
        </is>
      </c>
      <c r="G81" s="43" t="n">
        <v>70</v>
      </c>
      <c r="H81" s="43" t="n">
        <v>2</v>
      </c>
      <c r="I81" s="43" t="n">
        <v>2</v>
      </c>
      <c r="J81" s="43" t="n">
        <v>30</v>
      </c>
      <c r="K81" s="43" t="n">
        <v>30</v>
      </c>
      <c r="L81" s="41" t="inlineStr">
        <is>
          <t>loạt</t>
        </is>
      </c>
      <c r="M81" s="41" t="inlineStr">
        <is>
          <t>loạt</t>
        </is>
      </c>
      <c r="N81" s="43" t="n">
        <v>8.33</v>
      </c>
      <c r="O81" s="43" t="n">
        <v>8.33</v>
      </c>
      <c r="P81" s="43" t="n">
        <v>11</v>
      </c>
      <c r="Q81" s="43" t="n">
        <v>11</v>
      </c>
      <c r="R81" s="43" t="n">
        <v>7.31</v>
      </c>
      <c r="S81" s="43" t="n">
        <v>7.31</v>
      </c>
      <c r="T81" s="43" t="n">
        <v>30</v>
      </c>
      <c r="U81" s="43" t="n">
        <v>30</v>
      </c>
      <c r="V81" s="43" t="n">
        <v>48</v>
      </c>
      <c r="W81" s="43" t="n">
        <v>40</v>
      </c>
      <c r="X81" s="51">
        <f>IFERROR(U81/W81,"")</f>
        <v/>
      </c>
      <c r="Y81" s="53" t="n">
        <v>3</v>
      </c>
      <c r="Z81" s="53" t="n">
        <v>3</v>
      </c>
      <c r="AA81" s="51">
        <f>IFERROR(IF(L81="từng phát",J81*N81,J81*P81/(P81/N81+R81)),"")</f>
        <v/>
      </c>
      <c r="AB81" s="51">
        <f>IFERROR(IF(M81="từng phát",K81*O81,K81*Q81/(Q81/O81+S81)),"")</f>
        <v/>
      </c>
      <c r="AC81" s="51">
        <f>IFERROR(AB81*VLOOKUP(E81,'Hệ số'!$A$2:$D$8,2,0)*IF((I81-0)&gt;=2,1.2,IF((I81-0)=1,1,IF((I81-0)=0,0.85,IF((I81-0)=-1,0.5,IF((I81-0)=-2,0.25,0.1))))),"")</f>
        <v/>
      </c>
      <c r="AD81" s="51">
        <f>IFERROR(AB81*VLOOKUP(E81,'Hệ số'!$A$2:$D$8,2,0)*IF((I81-1)&gt;=2,1.2,IF((I81-1)=1,1,IF((I81-1)=0,0.85,IF((I81-1)=-1,0.5,IF((I81-1)=-2,0.25,0.1))))),"")</f>
        <v/>
      </c>
      <c r="AE81" s="51">
        <f>IFERROR(AB81*VLOOKUP(E81,'Hệ số'!$A$2:$D$8,2,0)*IF((I81-2)&gt;=2,1.2,IF((I81-2)=1,1,IF((I81-2)=0,0.85,IF((I81-2)=-1,0.5,IF((I81-2)=-2,0.25,0.1))))),"")</f>
        <v/>
      </c>
      <c r="AF81" s="51">
        <f>IFERROR(AB81*VLOOKUP(E81,'Hệ số'!$A$2:$D$8,2,0)*IF((I81-3)&gt;=2,1.2,IF((I81-3)=1,1,IF((I81-3)=0,0.85,IF((I81-3)=-1,0.5,IF((I81-3)=-2,0.25,0.1))))),"")</f>
        <v/>
      </c>
      <c r="AG81" s="51">
        <f>IFERROR(AB81*VLOOKUP(E81,'Hệ số'!$A$2:$D$8,2,0)*IF((I81-4)&gt;=2,1.2,IF((I81-4)=1,1,IF((I81-4)=0,0.85,IF((I81-4)=-1,0.5,IF((I81-4)=-2,0.25,0.1))))),"")</f>
        <v/>
      </c>
      <c r="AH81" s="51">
        <f>IFERROR(AB81*VLOOKUP(E81,'Hệ số'!$A$2:$D$8,2,0)*IF((I81-5)&gt;=2,1.2,IF((I81-5)=1,1,IF((I81-5)=0,0.85,IF((I81-5)=-1,0.5,IF((I81-5)=-2,0.25,0.1))))),"")</f>
        <v/>
      </c>
      <c r="AI81" s="51">
        <f>IFERROR(AB81*VLOOKUP(E81,'Hệ số'!$A$2:$D$8,3,0),"")</f>
        <v/>
      </c>
      <c r="AJ81" s="51">
        <f>IFERROR(AB81*VLOOKUP(E81,'Hệ số'!$A$2:$D$8,4,0)*IF((I81-2)&gt;=2,1.2,IF((I81-2)=1,1,IF((I81-2)=0,0.85,IF((I81-2)=-1,0.5,IF((I81-2)=-2,0.25,0.1))))),"")</f>
        <v/>
      </c>
      <c r="AK81" s="41" t="inlineStr">
        <is>
          <t>Bắn loạt phủ vùng, tản mát; C-RAM, Vòm Sắt và La-de PK bắn hạ được từng quả.</t>
        </is>
      </c>
      <c r="AL81" s="41" t="n"/>
      <c r="AM81" s="41" t="inlineStr">
        <is>
          <t>Hydra 70</t>
        </is>
      </c>
      <c r="AN81" s="41" t="inlineStr">
        <is>
          <t>Tốc độ bay 48→40 m/s: Thống nhất tốc độ rốc-két nhỏ ở mọi đơn vị (40 m/s).</t>
        </is>
      </c>
      <c r="AO81" s="48" t="inlineStr">
        <is>
          <t>Trung</t>
        </is>
      </c>
    </row>
    <row r="82" ht="21.75" customHeight="1" s="32">
      <c r="A82" s="39" t="inlineStr">
        <is>
          <t>hellfire_standoff</t>
        </is>
      </c>
      <c r="B82" s="39" t="inlineStr">
        <is>
          <t>AGM-114L Hellfire</t>
        </is>
      </c>
      <c r="C82" s="39" t="inlineStr">
        <is>
          <t>Tên lửa chống tăng / không đối đất</t>
        </is>
      </c>
      <c r="D82" s="39" t="inlineStr">
        <is>
          <t>Trực thăng</t>
        </is>
      </c>
      <c r="E82" s="39" t="inlineStr">
        <is>
          <t>Nổ lõm</t>
        </is>
      </c>
      <c r="F82" s="39" t="inlineStr">
        <is>
          <t>Atgm</t>
        </is>
      </c>
      <c r="G82" s="42" t="n">
        <v>49</v>
      </c>
      <c r="H82" s="42" t="n">
        <v>4</v>
      </c>
      <c r="I82" s="42" t="n">
        <v>4</v>
      </c>
      <c r="J82" s="42" t="n">
        <v>260</v>
      </c>
      <c r="K82" s="42" t="n">
        <v>260</v>
      </c>
      <c r="L82" s="39" t="inlineStr">
        <is>
          <t>loạt</t>
        </is>
      </c>
      <c r="M82" s="39" t="inlineStr">
        <is>
          <t>loạt</t>
        </is>
      </c>
      <c r="N82" s="42" t="n">
        <v>2.22</v>
      </c>
      <c r="O82" s="42" t="n">
        <v>2.22</v>
      </c>
      <c r="P82" s="42" t="n">
        <v>2</v>
      </c>
      <c r="Q82" s="42" t="n">
        <v>2</v>
      </c>
      <c r="R82" s="42" t="n">
        <v>7.1</v>
      </c>
      <c r="S82" s="42" t="n">
        <v>7.1</v>
      </c>
      <c r="T82" s="42" t="n">
        <v>55</v>
      </c>
      <c r="U82" s="42" t="n">
        <v>55</v>
      </c>
      <c r="V82" s="42" t="n">
        <v>24</v>
      </c>
      <c r="W82" s="42" t="n">
        <v>26</v>
      </c>
      <c r="X82" s="50">
        <f>IFERROR(U82/W82,"")</f>
        <v/>
      </c>
      <c r="Y82" s="50" t="n"/>
      <c r="Z82" s="50" t="n"/>
      <c r="AA82" s="50">
        <f>IFERROR(IF(L82="từng phát",J82*N82,J82*P82/(P82/N82+R82)),"")</f>
        <v/>
      </c>
      <c r="AB82" s="50">
        <f>IFERROR(IF(M82="từng phát",K82*O82,K82*Q82/(Q82/O82+S82)),"")</f>
        <v/>
      </c>
      <c r="AC82" s="50">
        <f>IFERROR(AB82*VLOOKUP(E82,'Hệ số'!$A$2:$D$8,2,0)*IF((I82-0)&gt;=2,1.2,IF((I82-0)=1,1,IF((I82-0)=0,0.85,IF((I82-0)=-1,0.5,IF((I82-0)=-2,0.25,0.1))))),"")</f>
        <v/>
      </c>
      <c r="AD82" s="50">
        <f>IFERROR(AB82*VLOOKUP(E82,'Hệ số'!$A$2:$D$8,2,0)*IF((I82-1)&gt;=2,1.2,IF((I82-1)=1,1,IF((I82-1)=0,0.85,IF((I82-1)=-1,0.5,IF((I82-1)=-2,0.25,0.1))))),"")</f>
        <v/>
      </c>
      <c r="AE82" s="50">
        <f>IFERROR(AB82*VLOOKUP(E82,'Hệ số'!$A$2:$D$8,2,0)*IF((I82-2)&gt;=2,1.2,IF((I82-2)=1,1,IF((I82-2)=0,0.85,IF((I82-2)=-1,0.5,IF((I82-2)=-2,0.25,0.1))))),"")</f>
        <v/>
      </c>
      <c r="AF82" s="50">
        <f>IFERROR(AB82*VLOOKUP(E82,'Hệ số'!$A$2:$D$8,2,0)*IF((I82-3)&gt;=2,1.2,IF((I82-3)=1,1,IF((I82-3)=0,0.85,IF((I82-3)=-1,0.5,IF((I82-3)=-2,0.25,0.1))))),"")</f>
        <v/>
      </c>
      <c r="AG82" s="50">
        <f>IFERROR(AB82*VLOOKUP(E82,'Hệ số'!$A$2:$D$8,2,0)*IF((I82-4)&gt;=2,1.2,IF((I82-4)=1,1,IF((I82-4)=0,0.85,IF((I82-4)=-1,0.5,IF((I82-4)=-2,0.25,0.1))))),"")</f>
        <v/>
      </c>
      <c r="AH82" s="50">
        <f>IFERROR(AB82*VLOOKUP(E82,'Hệ số'!$A$2:$D$8,2,0)*IF((I82-5)&gt;=2,1.2,IF((I82-5)=1,1,IF((I82-5)=0,0.85,IF((I82-5)=-1,0.5,IF((I82-5)=-2,0.25,0.1))))),"")</f>
        <v/>
      </c>
      <c r="AI82" s="50">
        <f>IFERROR(AB82*VLOOKUP(E82,'Hệ số'!$A$2:$D$8,3,0),"")</f>
        <v/>
      </c>
      <c r="AJ82" s="50">
        <f>IFERROR(AB82*VLOOKUP(E82,'Hệ số'!$A$2:$D$8,4,0)*IF((I82-2)&gt;=2,1.2,IF((I82-2)=1,1,IF((I82-2)=0,0.85,IF((I82-2)=-1,0.5,IF((I82-2)=-2,0.25,0.1))))),"")</f>
        <v/>
      </c>
      <c r="AK82" s="39" t="inlineStr">
        <is>
          <t>Dẫn đường; bị APS và giáp phản ứng nổ giảm (đầu nổ lõm); bay chậm nên né và khói có tác dụng.</t>
        </is>
      </c>
      <c r="AL82" s="39" t="n"/>
      <c r="AM82" s="39" t="inlineStr">
        <is>
          <t>Hellfire L (radar): 8 km</t>
        </is>
      </c>
      <c r="AN82" s="39" t="inlineStr">
        <is>
          <t>Tốc độ bay 24→26 m/s: Thống nhất Hellfire.</t>
        </is>
      </c>
      <c r="AO82" s="48" t="inlineStr">
        <is>
          <t>Trung</t>
        </is>
      </c>
    </row>
    <row r="83" ht="21.75" customHeight="1" s="32">
      <c r="A83" s="41" t="inlineStr">
        <is>
          <t>hellfire_volley</t>
        </is>
      </c>
      <c r="B83" s="41" t="inlineStr">
        <is>
          <t>AGM-114L Hellfire</t>
        </is>
      </c>
      <c r="C83" s="41" t="inlineStr">
        <is>
          <t>Tên lửa chống tăng / không đối đất</t>
        </is>
      </c>
      <c r="D83" s="41" t="inlineStr">
        <is>
          <t>Trực thăng TN</t>
        </is>
      </c>
      <c r="E83" s="41" t="inlineStr">
        <is>
          <t>Nổ lõm</t>
        </is>
      </c>
      <c r="F83" s="41" t="inlineStr">
        <is>
          <t>Atgm</t>
        </is>
      </c>
      <c r="G83" s="43" t="n">
        <v>49</v>
      </c>
      <c r="H83" s="43" t="n">
        <v>4</v>
      </c>
      <c r="I83" s="43" t="n">
        <v>4</v>
      </c>
      <c r="J83" s="43" t="n">
        <v>260</v>
      </c>
      <c r="K83" s="43" t="n">
        <v>260</v>
      </c>
      <c r="L83" s="41" t="inlineStr">
        <is>
          <t>loạt</t>
        </is>
      </c>
      <c r="M83" s="41" t="inlineStr">
        <is>
          <t>loạt</t>
        </is>
      </c>
      <c r="N83" s="43" t="n">
        <v>2.22</v>
      </c>
      <c r="O83" s="43" t="n">
        <v>2.22</v>
      </c>
      <c r="P83" s="43" t="n">
        <v>2</v>
      </c>
      <c r="Q83" s="43" t="n">
        <v>2</v>
      </c>
      <c r="R83" s="43" t="n">
        <v>10.19</v>
      </c>
      <c r="S83" s="43" t="n">
        <v>10.19</v>
      </c>
      <c r="T83" s="43" t="n">
        <v>34</v>
      </c>
      <c r="U83" s="43" t="n">
        <v>45</v>
      </c>
      <c r="V83" s="43" t="n">
        <v>21</v>
      </c>
      <c r="W83" s="43" t="n">
        <v>26</v>
      </c>
      <c r="X83" s="51">
        <f>IFERROR(U83/W83,"")</f>
        <v/>
      </c>
      <c r="Y83" s="51" t="n"/>
      <c r="Z83" s="51" t="n"/>
      <c r="AA83" s="51">
        <f>IFERROR(IF(L83="từng phát",J83*N83,J83*P83/(P83/N83+R83)),"")</f>
        <v/>
      </c>
      <c r="AB83" s="51">
        <f>IFERROR(IF(M83="từng phát",K83*O83,K83*Q83/(Q83/O83+S83)),"")</f>
        <v/>
      </c>
      <c r="AC83" s="51">
        <f>IFERROR(AB83*VLOOKUP(E83,'Hệ số'!$A$2:$D$8,2,0)*IF((I83-0)&gt;=2,1.2,IF((I83-0)=1,1,IF((I83-0)=0,0.85,IF((I83-0)=-1,0.5,IF((I83-0)=-2,0.25,0.1))))),"")</f>
        <v/>
      </c>
      <c r="AD83" s="51">
        <f>IFERROR(AB83*VLOOKUP(E83,'Hệ số'!$A$2:$D$8,2,0)*IF((I83-1)&gt;=2,1.2,IF((I83-1)=1,1,IF((I83-1)=0,0.85,IF((I83-1)=-1,0.5,IF((I83-1)=-2,0.25,0.1))))),"")</f>
        <v/>
      </c>
      <c r="AE83" s="51">
        <f>IFERROR(AB83*VLOOKUP(E83,'Hệ số'!$A$2:$D$8,2,0)*IF((I83-2)&gt;=2,1.2,IF((I83-2)=1,1,IF((I83-2)=0,0.85,IF((I83-2)=-1,0.5,IF((I83-2)=-2,0.25,0.1))))),"")</f>
        <v/>
      </c>
      <c r="AF83" s="51">
        <f>IFERROR(AB83*VLOOKUP(E83,'Hệ số'!$A$2:$D$8,2,0)*IF((I83-3)&gt;=2,1.2,IF((I83-3)=1,1,IF((I83-3)=0,0.85,IF((I83-3)=-1,0.5,IF((I83-3)=-2,0.25,0.1))))),"")</f>
        <v/>
      </c>
      <c r="AG83" s="51">
        <f>IFERROR(AB83*VLOOKUP(E83,'Hệ số'!$A$2:$D$8,2,0)*IF((I83-4)&gt;=2,1.2,IF((I83-4)=1,1,IF((I83-4)=0,0.85,IF((I83-4)=-1,0.5,IF((I83-4)=-2,0.25,0.1))))),"")</f>
        <v/>
      </c>
      <c r="AH83" s="51">
        <f>IFERROR(AB83*VLOOKUP(E83,'Hệ số'!$A$2:$D$8,2,0)*IF((I83-5)&gt;=2,1.2,IF((I83-5)=1,1,IF((I83-5)=0,0.85,IF((I83-5)=-1,0.5,IF((I83-5)=-2,0.25,0.1))))),"")</f>
        <v/>
      </c>
      <c r="AI83" s="51">
        <f>IFERROR(AB83*VLOOKUP(E83,'Hệ số'!$A$2:$D$8,3,0),"")</f>
        <v/>
      </c>
      <c r="AJ83" s="51">
        <f>IFERROR(AB83*VLOOKUP(E83,'Hệ số'!$A$2:$D$8,4,0)*IF((I83-2)&gt;=2,1.2,IF((I83-2)=1,1,IF((I83-2)=0,0.85,IF((I83-2)=-1,0.5,IF((I83-2)=-2,0.25,0.1))))),"")</f>
        <v/>
      </c>
      <c r="AK83" s="41" t="inlineStr">
        <is>
          <t>Dẫn đường; bị APS và giáp phản ứng nổ giảm (đầu nổ lõm); bay chậm nên né và khói có tác dụng.</t>
        </is>
      </c>
      <c r="AL83" s="41" t="n"/>
      <c r="AM83" s="41" t="inlineStr">
        <is>
          <t>Hellfire L</t>
        </is>
      </c>
      <c r="AN83" s="41" t="inlineStr">
        <is>
          <t>Như trên. Tốc độ bay 21→26 m/s: Thống nhất Hellfire.</t>
        </is>
      </c>
      <c r="AO83" s="48" t="inlineStr">
        <is>
          <t>Trung</t>
        </is>
      </c>
    </row>
    <row r="84" ht="21.75" customHeight="1" s="32">
      <c r="A84" s="39" t="inlineStr">
        <is>
          <t>hmg_roof</t>
        </is>
      </c>
      <c r="B84" s="39" t="inlineStr">
        <is>
          <t>M2 Browning 12.7 mm</t>
        </is>
      </c>
      <c r="C84" s="39" t="inlineStr">
        <is>
          <t>Súng máy 12,7 mm</t>
        </is>
      </c>
      <c r="D84" s="39" t="inlineStr">
        <is>
          <t>Chống tăng, Chống tăng TN,</t>
        </is>
      </c>
      <c r="E84" s="39" t="inlineStr">
        <is>
          <t>Động năng</t>
        </is>
      </c>
      <c r="F84" s="39" t="inlineStr">
        <is>
          <t>BulletBig</t>
        </is>
      </c>
      <c r="G84" s="42" t="n">
        <v>12.7</v>
      </c>
      <c r="H84" s="42" t="n">
        <v>1</v>
      </c>
      <c r="I84" s="42" t="n">
        <v>1</v>
      </c>
      <c r="J84" s="42" t="n">
        <v>9.5</v>
      </c>
      <c r="K84" s="42" t="n">
        <v>9.5</v>
      </c>
      <c r="L84" s="39" t="inlineStr">
        <is>
          <t>băng</t>
        </is>
      </c>
      <c r="M84" s="39" t="inlineStr">
        <is>
          <t>băng</t>
        </is>
      </c>
      <c r="N84" s="42" t="n">
        <v>9</v>
      </c>
      <c r="O84" s="42" t="n">
        <v>9</v>
      </c>
      <c r="P84" s="42" t="n">
        <v>28</v>
      </c>
      <c r="Q84" s="42" t="n">
        <v>100</v>
      </c>
      <c r="R84" s="42" t="n">
        <v>2.02</v>
      </c>
      <c r="S84" s="42" t="n">
        <v>5</v>
      </c>
      <c r="T84" s="42" t="n">
        <v>30</v>
      </c>
      <c r="U84" s="42" t="n">
        <v>30</v>
      </c>
      <c r="V84" s="42" t="n">
        <v>230</v>
      </c>
      <c r="W84" s="42" t="n">
        <v>230</v>
      </c>
      <c r="X84" s="50">
        <f>IFERROR(U84/W84,"")</f>
        <v/>
      </c>
      <c r="Y84" s="50" t="n"/>
      <c r="Z84" s="50" t="n"/>
      <c r="AA84" s="50">
        <f>IFERROR(IF(L84="từng phát",J84*N84,J84*P84/(P84/N84+R84)),"")</f>
        <v/>
      </c>
      <c r="AB84" s="50">
        <f>IFERROR(IF(M84="từng phát",K84*O84,K84*Q84/(Q84/O84+S84)),"")</f>
        <v/>
      </c>
      <c r="AC84" s="50">
        <f>IFERROR(AB84*VLOOKUP(E84,'Hệ số'!$A$2:$D$8,2,0)*IF((I84-0)&gt;=2,1.2,IF((I84-0)=1,1,IF((I84-0)=0,0.85,IF((I84-0)=-1,0.5,IF((I84-0)=-2,0.25,0.1))))),"")</f>
        <v/>
      </c>
      <c r="AD84" s="50">
        <f>IFERROR(AB84*VLOOKUP(E84,'Hệ số'!$A$2:$D$8,2,0)*IF((I84-1)&gt;=2,1.2,IF((I84-1)=1,1,IF((I84-1)=0,0.85,IF((I84-1)=-1,0.5,IF((I84-1)=-2,0.25,0.1))))),"")</f>
        <v/>
      </c>
      <c r="AE84" s="50">
        <f>IFERROR(AB84*VLOOKUP(E84,'Hệ số'!$A$2:$D$8,2,0)*IF((I84-2)&gt;=2,1.2,IF((I84-2)=1,1,IF((I84-2)=0,0.85,IF((I84-2)=-1,0.5,IF((I84-2)=-2,0.25,0.1))))),"")</f>
        <v/>
      </c>
      <c r="AF84" s="50">
        <f>IFERROR(AB84*VLOOKUP(E84,'Hệ số'!$A$2:$D$8,2,0)*IF((I84-3)&gt;=2,1.2,IF((I84-3)=1,1,IF((I84-3)=0,0.85,IF((I84-3)=-1,0.5,IF((I84-3)=-2,0.25,0.1))))),"")</f>
        <v/>
      </c>
      <c r="AG84" s="50">
        <f>IFERROR(AB84*VLOOKUP(E84,'Hệ số'!$A$2:$D$8,2,0)*IF((I84-4)&gt;=2,1.2,IF((I84-4)=1,1,IF((I84-4)=0,0.85,IF((I84-4)=-1,0.5,IF((I84-4)=-2,0.25,0.1))))),"")</f>
        <v/>
      </c>
      <c r="AH84" s="50">
        <f>IFERROR(AB84*VLOOKUP(E84,'Hệ số'!$A$2:$D$8,2,0)*IF((I84-5)&gt;=2,1.2,IF((I84-5)=1,1,IF((I84-5)=0,0.85,IF((I84-5)=-1,0.5,IF((I84-5)=-2,0.25,0.1))))),"")</f>
        <v/>
      </c>
      <c r="AI84" s="50">
        <f>IFERROR(AB84*VLOOKUP(E84,'Hệ số'!$A$2:$D$8,3,0),"")</f>
        <v/>
      </c>
      <c r="AJ84" s="50">
        <f>IFERROR(AB84*VLOOKUP(E84,'Hệ số'!$A$2:$D$8,4,0)*IF((I84-2)&gt;=2,1.2,IF((I84-2)=1,1,IF((I84-2)=0,0.85,IF((I84-2)=-1,0.5,IF((I84-2)=-2,0.25,0.1))))),"")</f>
        <v/>
      </c>
      <c r="AK84" s="39" t="inlineStr">
        <is>
          <t>Bắn cả khi chạy; mạnh với xe không giáp, drone, trực thăng; nảy khỏi giáp từ cấp 2.</t>
        </is>
      </c>
      <c r="AL84" s="39" t="inlineStr">
        <is>
          <t>Đạn xuyên API (xuyên 2) cho bản tinh nhuệ.</t>
        </is>
      </c>
      <c r="AM84" s="39" t="inlineStr">
        <is>
          <t>M2: 450–600 phát/phút</t>
        </is>
      </c>
      <c r="AN84" s="39" t="inlineStr">
        <is>
          <t>Hộp đạn M2 thật 100 viên; hiện băng quá ngắn thay quá nhanh.</t>
        </is>
      </c>
      <c r="AO84" s="48" t="inlineStr">
        <is>
          <t>Trung</t>
        </is>
      </c>
    </row>
    <row r="85" ht="21.75" customHeight="1" s="32">
      <c r="A85" s="41" t="inlineStr">
        <is>
          <t>hmg_selfdef_15</t>
        </is>
      </c>
      <c r="B85" s="41" t="inlineStr">
        <is>
          <t>M2 Browning 12.7 mm</t>
        </is>
      </c>
      <c r="C85" s="41" t="inlineStr">
        <is>
          <t>Súng máy 12,7 mm</t>
        </is>
      </c>
      <c r="D85" s="41" t="inlineStr">
        <is>
          <t>Công binh, Grad TN, Gây</t>
        </is>
      </c>
      <c r="E85" s="41" t="inlineStr">
        <is>
          <t>Động năng</t>
        </is>
      </c>
      <c r="F85" s="41" t="inlineStr">
        <is>
          <t>BulletBig</t>
        </is>
      </c>
      <c r="G85" s="43" t="n">
        <v>12.7</v>
      </c>
      <c r="H85" s="43" t="n">
        <v>1</v>
      </c>
      <c r="I85" s="43" t="n">
        <v>1</v>
      </c>
      <c r="J85" s="43" t="n">
        <v>9.5</v>
      </c>
      <c r="K85" s="43" t="n">
        <v>9.5</v>
      </c>
      <c r="L85" s="41" t="inlineStr">
        <is>
          <t>băng</t>
        </is>
      </c>
      <c r="M85" s="41" t="inlineStr">
        <is>
          <t>băng</t>
        </is>
      </c>
      <c r="N85" s="43" t="n">
        <v>9</v>
      </c>
      <c r="O85" s="43" t="n">
        <v>9</v>
      </c>
      <c r="P85" s="43" t="n">
        <v>28</v>
      </c>
      <c r="Q85" s="43" t="n">
        <v>100</v>
      </c>
      <c r="R85" s="43" t="n">
        <v>2.02</v>
      </c>
      <c r="S85" s="43" t="n">
        <v>5</v>
      </c>
      <c r="T85" s="43" t="n">
        <v>15</v>
      </c>
      <c r="U85" s="43" t="n">
        <v>15</v>
      </c>
      <c r="V85" s="43" t="n">
        <v>230</v>
      </c>
      <c r="W85" s="43" t="n">
        <v>230</v>
      </c>
      <c r="X85" s="51">
        <f>IFERROR(U85/W85,"")</f>
        <v/>
      </c>
      <c r="Y85" s="51" t="n"/>
      <c r="Z85" s="51" t="n"/>
      <c r="AA85" s="51">
        <f>IFERROR(IF(L85="từng phát",J85*N85,J85*P85/(P85/N85+R85)),"")</f>
        <v/>
      </c>
      <c r="AB85" s="51">
        <f>IFERROR(IF(M85="từng phát",K85*O85,K85*Q85/(Q85/O85+S85)),"")</f>
        <v/>
      </c>
      <c r="AC85" s="51">
        <f>IFERROR(AB85*VLOOKUP(E85,'Hệ số'!$A$2:$D$8,2,0)*IF((I85-0)&gt;=2,1.2,IF((I85-0)=1,1,IF((I85-0)=0,0.85,IF((I85-0)=-1,0.5,IF((I85-0)=-2,0.25,0.1))))),"")</f>
        <v/>
      </c>
      <c r="AD85" s="51">
        <f>IFERROR(AB85*VLOOKUP(E85,'Hệ số'!$A$2:$D$8,2,0)*IF((I85-1)&gt;=2,1.2,IF((I85-1)=1,1,IF((I85-1)=0,0.85,IF((I85-1)=-1,0.5,IF((I85-1)=-2,0.25,0.1))))),"")</f>
        <v/>
      </c>
      <c r="AE85" s="51">
        <f>IFERROR(AB85*VLOOKUP(E85,'Hệ số'!$A$2:$D$8,2,0)*IF((I85-2)&gt;=2,1.2,IF((I85-2)=1,1,IF((I85-2)=0,0.85,IF((I85-2)=-1,0.5,IF((I85-2)=-2,0.25,0.1))))),"")</f>
        <v/>
      </c>
      <c r="AF85" s="51">
        <f>IFERROR(AB85*VLOOKUP(E85,'Hệ số'!$A$2:$D$8,2,0)*IF((I85-3)&gt;=2,1.2,IF((I85-3)=1,1,IF((I85-3)=0,0.85,IF((I85-3)=-1,0.5,IF((I85-3)=-2,0.25,0.1))))),"")</f>
        <v/>
      </c>
      <c r="AG85" s="51">
        <f>IFERROR(AB85*VLOOKUP(E85,'Hệ số'!$A$2:$D$8,2,0)*IF((I85-4)&gt;=2,1.2,IF((I85-4)=1,1,IF((I85-4)=0,0.85,IF((I85-4)=-1,0.5,IF((I85-4)=-2,0.25,0.1))))),"")</f>
        <v/>
      </c>
      <c r="AH85" s="51">
        <f>IFERROR(AB85*VLOOKUP(E85,'Hệ số'!$A$2:$D$8,2,0)*IF((I85-5)&gt;=2,1.2,IF((I85-5)=1,1,IF((I85-5)=0,0.85,IF((I85-5)=-1,0.5,IF((I85-5)=-2,0.25,0.1))))),"")</f>
        <v/>
      </c>
      <c r="AI85" s="51">
        <f>IFERROR(AB85*VLOOKUP(E85,'Hệ số'!$A$2:$D$8,3,0),"")</f>
        <v/>
      </c>
      <c r="AJ85" s="51">
        <f>IFERROR(AB85*VLOOKUP(E85,'Hệ số'!$A$2:$D$8,4,0)*IF((I85-2)&gt;=2,1.2,IF((I85-2)=1,1,IF((I85-2)=0,0.85,IF((I85-2)=-1,0.5,IF((I85-2)=-2,0.25,0.1))))),"")</f>
        <v/>
      </c>
      <c r="AK85" s="41" t="inlineStr">
        <is>
          <t>Bắn cả khi chạy; mạnh với xe không giáp, drone, trực thăng; nảy khỏi giáp từ cấp 2.</t>
        </is>
      </c>
      <c r="AL85" s="41" t="inlineStr">
        <is>
          <t>Đạn xuyên API (xuyên 2) cho bản tinh nhuệ.</t>
        </is>
      </c>
      <c r="AM85" s="41" t="n"/>
      <c r="AN85" s="41" t="inlineStr">
        <is>
          <t>Như M2.</t>
        </is>
      </c>
      <c r="AO85" s="48" t="inlineStr">
        <is>
          <t>Trung</t>
        </is>
      </c>
    </row>
    <row r="86" ht="21.75" customHeight="1" s="32">
      <c r="A86" s="39" t="inlineStr">
        <is>
          <t>hmg_selfdef_18</t>
        </is>
      </c>
      <c r="B86" s="39" t="inlineStr">
        <is>
          <t>M2 Browning 12.7 mm</t>
        </is>
      </c>
      <c r="C86" s="39" t="inlineStr">
        <is>
          <t>Súng máy 12,7 mm</t>
        </is>
      </c>
      <c r="D86" s="39" t="inlineStr">
        <is>
          <t>Drone FPV, Drone FPV TN,</t>
        </is>
      </c>
      <c r="E86" s="39" t="inlineStr">
        <is>
          <t>Động năng</t>
        </is>
      </c>
      <c r="F86" s="39" t="inlineStr">
        <is>
          <t>BulletBig</t>
        </is>
      </c>
      <c r="G86" s="42" t="n">
        <v>12.7</v>
      </c>
      <c r="H86" s="42" t="n">
        <v>1</v>
      </c>
      <c r="I86" s="42" t="n">
        <v>1</v>
      </c>
      <c r="J86" s="42" t="n">
        <v>9.5</v>
      </c>
      <c r="K86" s="42" t="n">
        <v>9.5</v>
      </c>
      <c r="L86" s="39" t="inlineStr">
        <is>
          <t>băng</t>
        </is>
      </c>
      <c r="M86" s="39" t="inlineStr">
        <is>
          <t>băng</t>
        </is>
      </c>
      <c r="N86" s="42" t="n">
        <v>9</v>
      </c>
      <c r="O86" s="42" t="n">
        <v>9</v>
      </c>
      <c r="P86" s="42" t="n">
        <v>28</v>
      </c>
      <c r="Q86" s="42" t="n">
        <v>100</v>
      </c>
      <c r="R86" s="42" t="n">
        <v>2.02</v>
      </c>
      <c r="S86" s="42" t="n">
        <v>5</v>
      </c>
      <c r="T86" s="42" t="n">
        <v>18</v>
      </c>
      <c r="U86" s="42" t="n">
        <v>18</v>
      </c>
      <c r="V86" s="42" t="n">
        <v>230</v>
      </c>
      <c r="W86" s="42" t="n">
        <v>230</v>
      </c>
      <c r="X86" s="50">
        <f>IFERROR(U86/W86,"")</f>
        <v/>
      </c>
      <c r="Y86" s="50" t="n"/>
      <c r="Z86" s="50" t="n"/>
      <c r="AA86" s="50">
        <f>IFERROR(IF(L86="từng phát",J86*N86,J86*P86/(P86/N86+R86)),"")</f>
        <v/>
      </c>
      <c r="AB86" s="50">
        <f>IFERROR(IF(M86="từng phát",K86*O86,K86*Q86/(Q86/O86+S86)),"")</f>
        <v/>
      </c>
      <c r="AC86" s="50">
        <f>IFERROR(AB86*VLOOKUP(E86,'Hệ số'!$A$2:$D$8,2,0)*IF((I86-0)&gt;=2,1.2,IF((I86-0)=1,1,IF((I86-0)=0,0.85,IF((I86-0)=-1,0.5,IF((I86-0)=-2,0.25,0.1))))),"")</f>
        <v/>
      </c>
      <c r="AD86" s="50">
        <f>IFERROR(AB86*VLOOKUP(E86,'Hệ số'!$A$2:$D$8,2,0)*IF((I86-1)&gt;=2,1.2,IF((I86-1)=1,1,IF((I86-1)=0,0.85,IF((I86-1)=-1,0.5,IF((I86-1)=-2,0.25,0.1))))),"")</f>
        <v/>
      </c>
      <c r="AE86" s="50">
        <f>IFERROR(AB86*VLOOKUP(E86,'Hệ số'!$A$2:$D$8,2,0)*IF((I86-2)&gt;=2,1.2,IF((I86-2)=1,1,IF((I86-2)=0,0.85,IF((I86-2)=-1,0.5,IF((I86-2)=-2,0.25,0.1))))),"")</f>
        <v/>
      </c>
      <c r="AF86" s="50">
        <f>IFERROR(AB86*VLOOKUP(E86,'Hệ số'!$A$2:$D$8,2,0)*IF((I86-3)&gt;=2,1.2,IF((I86-3)=1,1,IF((I86-3)=0,0.85,IF((I86-3)=-1,0.5,IF((I86-3)=-2,0.25,0.1))))),"")</f>
        <v/>
      </c>
      <c r="AG86" s="50">
        <f>IFERROR(AB86*VLOOKUP(E86,'Hệ số'!$A$2:$D$8,2,0)*IF((I86-4)&gt;=2,1.2,IF((I86-4)=1,1,IF((I86-4)=0,0.85,IF((I86-4)=-1,0.5,IF((I86-4)=-2,0.25,0.1))))),"")</f>
        <v/>
      </c>
      <c r="AH86" s="50">
        <f>IFERROR(AB86*VLOOKUP(E86,'Hệ số'!$A$2:$D$8,2,0)*IF((I86-5)&gt;=2,1.2,IF((I86-5)=1,1,IF((I86-5)=0,0.85,IF((I86-5)=-1,0.5,IF((I86-5)=-2,0.25,0.1))))),"")</f>
        <v/>
      </c>
      <c r="AI86" s="50">
        <f>IFERROR(AB86*VLOOKUP(E86,'Hệ số'!$A$2:$D$8,3,0),"")</f>
        <v/>
      </c>
      <c r="AJ86" s="50">
        <f>IFERROR(AB86*VLOOKUP(E86,'Hệ số'!$A$2:$D$8,4,0)*IF((I86-2)&gt;=2,1.2,IF((I86-2)=1,1,IF((I86-2)=0,0.85,IF((I86-2)=-1,0.5,IF((I86-2)=-2,0.25,0.1))))),"")</f>
        <v/>
      </c>
      <c r="AK86" s="39" t="inlineStr">
        <is>
          <t>Bắn cả khi chạy; mạnh với xe không giáp, drone, trực thăng; nảy khỏi giáp từ cấp 2.</t>
        </is>
      </c>
      <c r="AL86" s="39" t="inlineStr">
        <is>
          <t>Đạn xuyên API (xuyên 2) cho bản tinh nhuệ.</t>
        </is>
      </c>
      <c r="AM86" s="39" t="n"/>
      <c r="AN86" s="39" t="inlineStr">
        <is>
          <t>Như M2.</t>
        </is>
      </c>
      <c r="AO86" s="48" t="inlineStr">
        <is>
          <t>Trung</t>
        </is>
      </c>
    </row>
    <row r="87" ht="21.75" customHeight="1" s="32">
      <c r="A87" s="41" t="inlineStr">
        <is>
          <t>hmg_selfdef_21</t>
        </is>
      </c>
      <c r="B87" s="41" t="inlineStr">
        <is>
          <t>M2 Browning 12.7 mm</t>
        </is>
      </c>
      <c r="C87" s="41" t="inlineStr">
        <is>
          <t>Súng máy 12,7 mm</t>
        </is>
      </c>
      <c r="D87" s="41" t="inlineStr">
        <is>
          <t>Công thành</t>
        </is>
      </c>
      <c r="E87" s="41" t="inlineStr">
        <is>
          <t>Động năng</t>
        </is>
      </c>
      <c r="F87" s="41" t="inlineStr">
        <is>
          <t>BulletBig</t>
        </is>
      </c>
      <c r="G87" s="43" t="n">
        <v>12.7</v>
      </c>
      <c r="H87" s="43" t="n">
        <v>1</v>
      </c>
      <c r="I87" s="43" t="n">
        <v>1</v>
      </c>
      <c r="J87" s="43" t="n">
        <v>9.5</v>
      </c>
      <c r="K87" s="43" t="n">
        <v>9.5</v>
      </c>
      <c r="L87" s="41" t="inlineStr">
        <is>
          <t>băng</t>
        </is>
      </c>
      <c r="M87" s="41" t="inlineStr">
        <is>
          <t>băng</t>
        </is>
      </c>
      <c r="N87" s="43" t="n">
        <v>9</v>
      </c>
      <c r="O87" s="43" t="n">
        <v>9</v>
      </c>
      <c r="P87" s="43" t="n">
        <v>28</v>
      </c>
      <c r="Q87" s="43" t="n">
        <v>100</v>
      </c>
      <c r="R87" s="43" t="n">
        <v>2.02</v>
      </c>
      <c r="S87" s="43" t="n">
        <v>5</v>
      </c>
      <c r="T87" s="43" t="n">
        <v>21</v>
      </c>
      <c r="U87" s="43" t="n">
        <v>21</v>
      </c>
      <c r="V87" s="43" t="n">
        <v>230</v>
      </c>
      <c r="W87" s="43" t="n">
        <v>230</v>
      </c>
      <c r="X87" s="51">
        <f>IFERROR(U87/W87,"")</f>
        <v/>
      </c>
      <c r="Y87" s="51" t="n"/>
      <c r="Z87" s="51" t="n"/>
      <c r="AA87" s="51">
        <f>IFERROR(IF(L87="từng phát",J87*N87,J87*P87/(P87/N87+R87)),"")</f>
        <v/>
      </c>
      <c r="AB87" s="51">
        <f>IFERROR(IF(M87="từng phát",K87*O87,K87*Q87/(Q87/O87+S87)),"")</f>
        <v/>
      </c>
      <c r="AC87" s="51">
        <f>IFERROR(AB87*VLOOKUP(E87,'Hệ số'!$A$2:$D$8,2,0)*IF((I87-0)&gt;=2,1.2,IF((I87-0)=1,1,IF((I87-0)=0,0.85,IF((I87-0)=-1,0.5,IF((I87-0)=-2,0.25,0.1))))),"")</f>
        <v/>
      </c>
      <c r="AD87" s="51">
        <f>IFERROR(AB87*VLOOKUP(E87,'Hệ số'!$A$2:$D$8,2,0)*IF((I87-1)&gt;=2,1.2,IF((I87-1)=1,1,IF((I87-1)=0,0.85,IF((I87-1)=-1,0.5,IF((I87-1)=-2,0.25,0.1))))),"")</f>
        <v/>
      </c>
      <c r="AE87" s="51">
        <f>IFERROR(AB87*VLOOKUP(E87,'Hệ số'!$A$2:$D$8,2,0)*IF((I87-2)&gt;=2,1.2,IF((I87-2)=1,1,IF((I87-2)=0,0.85,IF((I87-2)=-1,0.5,IF((I87-2)=-2,0.25,0.1))))),"")</f>
        <v/>
      </c>
      <c r="AF87" s="51">
        <f>IFERROR(AB87*VLOOKUP(E87,'Hệ số'!$A$2:$D$8,2,0)*IF((I87-3)&gt;=2,1.2,IF((I87-3)=1,1,IF((I87-3)=0,0.85,IF((I87-3)=-1,0.5,IF((I87-3)=-2,0.25,0.1))))),"")</f>
        <v/>
      </c>
      <c r="AG87" s="51">
        <f>IFERROR(AB87*VLOOKUP(E87,'Hệ số'!$A$2:$D$8,2,0)*IF((I87-4)&gt;=2,1.2,IF((I87-4)=1,1,IF((I87-4)=0,0.85,IF((I87-4)=-1,0.5,IF((I87-4)=-2,0.25,0.1))))),"")</f>
        <v/>
      </c>
      <c r="AH87" s="51">
        <f>IFERROR(AB87*VLOOKUP(E87,'Hệ số'!$A$2:$D$8,2,0)*IF((I87-5)&gt;=2,1.2,IF((I87-5)=1,1,IF((I87-5)=0,0.85,IF((I87-5)=-1,0.5,IF((I87-5)=-2,0.25,0.1))))),"")</f>
        <v/>
      </c>
      <c r="AI87" s="51">
        <f>IFERROR(AB87*VLOOKUP(E87,'Hệ số'!$A$2:$D$8,3,0),"")</f>
        <v/>
      </c>
      <c r="AJ87" s="51">
        <f>IFERROR(AB87*VLOOKUP(E87,'Hệ số'!$A$2:$D$8,4,0)*IF((I87-2)&gt;=2,1.2,IF((I87-2)=1,1,IF((I87-2)=0,0.85,IF((I87-2)=-1,0.5,IF((I87-2)=-2,0.25,0.1))))),"")</f>
        <v/>
      </c>
      <c r="AK87" s="41" t="inlineStr">
        <is>
          <t>Bắn cả khi chạy; mạnh với xe không giáp, drone, trực thăng; nảy khỏi giáp từ cấp 2.</t>
        </is>
      </c>
      <c r="AL87" s="41" t="inlineStr">
        <is>
          <t>Đạn xuyên API (xuyên 2) cho bản tinh nhuệ.</t>
        </is>
      </c>
      <c r="AM87" s="41" t="n"/>
      <c r="AN87" s="41" t="inlineStr">
        <is>
          <t>Như M2.</t>
        </is>
      </c>
      <c r="AO87" s="48" t="inlineStr">
        <is>
          <t>Trung</t>
        </is>
      </c>
    </row>
    <row r="88" ht="32.25" customHeight="1" s="32">
      <c r="A88" s="39" t="inlineStr">
        <is>
          <t>hover_ciws</t>
        </is>
      </c>
      <c r="B88" s="39" t="inlineStr">
        <is>
          <t>AK-630 30 mm</t>
        </is>
      </c>
      <c r="C88" s="39" t="inlineStr">
        <is>
          <t>Pháo tự động / cao xạ 20–40 mm</t>
        </is>
      </c>
      <c r="D88" s="39" t="inlineStr">
        <is>
          <t>Caspian, Charybdis,</t>
        </is>
      </c>
      <c r="E88" s="39" t="inlineStr">
        <is>
          <t>Động năng</t>
        </is>
      </c>
      <c r="F88" s="39" t="inlineStr">
        <is>
          <t>BeltedAutocannon</t>
        </is>
      </c>
      <c r="G88" s="42" t="n">
        <v>30</v>
      </c>
      <c r="H88" s="42" t="n">
        <v>2</v>
      </c>
      <c r="I88" s="42" t="n">
        <v>2</v>
      </c>
      <c r="J88" s="42" t="n">
        <v>22</v>
      </c>
      <c r="K88" s="42" t="n">
        <v>12</v>
      </c>
      <c r="L88" s="39" t="inlineStr">
        <is>
          <t>băng</t>
        </is>
      </c>
      <c r="M88" s="39" t="inlineStr">
        <is>
          <t>băng</t>
        </is>
      </c>
      <c r="N88" s="42" t="n">
        <v>60</v>
      </c>
      <c r="O88" s="42" t="n">
        <v>60</v>
      </c>
      <c r="P88" s="42" t="n">
        <v>15</v>
      </c>
      <c r="Q88" s="42" t="n">
        <v>60</v>
      </c>
      <c r="R88" s="42" t="n">
        <v>14.71</v>
      </c>
      <c r="S88" s="42" t="n">
        <v>5</v>
      </c>
      <c r="T88" s="42" t="n">
        <v>34</v>
      </c>
      <c r="U88" s="42" t="n">
        <v>34</v>
      </c>
      <c r="V88" s="42" t="n">
        <v>300</v>
      </c>
      <c r="W88" s="42" t="n">
        <v>300</v>
      </c>
      <c r="X88" s="50">
        <f>IFERROR(U88/W88,"")</f>
        <v/>
      </c>
      <c r="Y88" s="50" t="n"/>
      <c r="Z88" s="50" t="n"/>
      <c r="AA88" s="50">
        <f>IFERROR(IF(L88="từng phát",J88*N88,J88*P88/(P88/N88+R88)),"")</f>
        <v/>
      </c>
      <c r="AB88" s="50">
        <f>IFERROR(IF(M88="từng phát",K88*O88,K88*Q88/(Q88/O88+S88)),"")</f>
        <v/>
      </c>
      <c r="AC88" s="50">
        <f>IFERROR(AB88*VLOOKUP(E88,'Hệ số'!$A$2:$D$8,2,0)*IF((I88-0)&gt;=2,1.2,IF((I88-0)=1,1,IF((I88-0)=0,0.85,IF((I88-0)=-1,0.5,IF((I88-0)=-2,0.25,0.1))))),"")</f>
        <v/>
      </c>
      <c r="AD88" s="50">
        <f>IFERROR(AB88*VLOOKUP(E88,'Hệ số'!$A$2:$D$8,2,0)*IF((I88-1)&gt;=2,1.2,IF((I88-1)=1,1,IF((I88-1)=0,0.85,IF((I88-1)=-1,0.5,IF((I88-1)=-2,0.25,0.1))))),"")</f>
        <v/>
      </c>
      <c r="AE88" s="50">
        <f>IFERROR(AB88*VLOOKUP(E88,'Hệ số'!$A$2:$D$8,2,0)*IF((I88-2)&gt;=2,1.2,IF((I88-2)=1,1,IF((I88-2)=0,0.85,IF((I88-2)=-1,0.5,IF((I88-2)=-2,0.25,0.1))))),"")</f>
        <v/>
      </c>
      <c r="AF88" s="50">
        <f>IFERROR(AB88*VLOOKUP(E88,'Hệ số'!$A$2:$D$8,2,0)*IF((I88-3)&gt;=2,1.2,IF((I88-3)=1,1,IF((I88-3)=0,0.85,IF((I88-3)=-1,0.5,IF((I88-3)=-2,0.25,0.1))))),"")</f>
        <v/>
      </c>
      <c r="AG88" s="50">
        <f>IFERROR(AB88*VLOOKUP(E88,'Hệ số'!$A$2:$D$8,2,0)*IF((I88-4)&gt;=2,1.2,IF((I88-4)=1,1,IF((I88-4)=0,0.85,IF((I88-4)=-1,0.5,IF((I88-4)=-2,0.25,0.1))))),"")</f>
        <v/>
      </c>
      <c r="AH88" s="50">
        <f>IFERROR(AB88*VLOOKUP(E88,'Hệ số'!$A$2:$D$8,2,0)*IF((I88-5)&gt;=2,1.2,IF((I88-5)=1,1,IF((I88-5)=0,0.85,IF((I88-5)=-1,0.5,IF((I88-5)=-2,0.25,0.1))))),"")</f>
        <v/>
      </c>
      <c r="AI88" s="50">
        <f>IFERROR(AB88*VLOOKUP(E88,'Hệ số'!$A$2:$D$8,3,0),"")</f>
        <v/>
      </c>
      <c r="AJ88" s="50">
        <f>IFERROR(AB88*VLOOKUP(E88,'Hệ số'!$A$2:$D$8,4,0)*IF((I88-2)&gt;=2,1.2,IF((I88-2)=1,1,IF((I88-2)=0,0.85,IF((I88-2)=-1,0.5,IF((I88-2)=-2,0.25,0.1))))),"")</f>
        <v/>
      </c>
      <c r="AK88" s="39" t="inlineStr">
        <is>
          <t>Bắn loạt; đạn nổ trên không (Mảnh) mạnh với máy bay và drone, yếu với giáp; đạn xuyên (Động năng) mạnh với giáp 0–2.</t>
        </is>
      </c>
      <c r="AL88" s="39" t="inlineStr">
        <is>
          <t>Tự đổi: đạn xuyên (Động năng) với xe, đạn nổ trên không (Mảnh) với máy bay/drone.</t>
        </is>
      </c>
      <c r="AM88" s="39" t="inlineStr">
        <is>
          <t>AK-630: 4.000–5.000 phát/phút</t>
        </is>
      </c>
      <c r="AN88" s="39" t="inlineStr">
        <is>
          <t>Như AK-630.</t>
        </is>
      </c>
      <c r="AO88" s="48" t="inlineStr">
        <is>
          <t>Trung</t>
        </is>
      </c>
    </row>
    <row r="89" ht="21.75" customHeight="1" s="32">
      <c r="A89" s="41" t="inlineStr">
        <is>
          <t>hover_rockets</t>
        </is>
      </c>
      <c r="B89" s="41" t="inlineStr">
        <is>
          <t>A-22 Ogon 140 mm</t>
        </is>
      </c>
      <c r="C89" s="41" t="inlineStr">
        <is>
          <t>Rốc-két</t>
        </is>
      </c>
      <c r="D89" s="41" t="inlineStr">
        <is>
          <t>Charybdis</t>
        </is>
      </c>
      <c r="E89" s="41" t="inlineStr">
        <is>
          <t>Nổ mạnh</t>
        </is>
      </c>
      <c r="F89" s="41" t="inlineStr">
        <is>
          <t>RocketSmall</t>
        </is>
      </c>
      <c r="G89" s="43" t="n">
        <v>140</v>
      </c>
      <c r="H89" s="43" t="n">
        <v>2</v>
      </c>
      <c r="I89" s="43" t="n">
        <v>2</v>
      </c>
      <c r="J89" s="43" t="n">
        <v>65</v>
      </c>
      <c r="K89" s="43" t="n">
        <v>65</v>
      </c>
      <c r="L89" s="41" t="inlineStr">
        <is>
          <t>loạt</t>
        </is>
      </c>
      <c r="M89" s="41" t="inlineStr">
        <is>
          <t>loạt</t>
        </is>
      </c>
      <c r="N89" s="43" t="n">
        <v>10</v>
      </c>
      <c r="O89" s="43" t="n">
        <v>10</v>
      </c>
      <c r="P89" s="43" t="n">
        <v>11</v>
      </c>
      <c r="Q89" s="43" t="n">
        <v>11</v>
      </c>
      <c r="R89" s="43" t="n">
        <v>22</v>
      </c>
      <c r="S89" s="43" t="n">
        <v>22</v>
      </c>
      <c r="T89" s="43" t="n">
        <v>55</v>
      </c>
      <c r="U89" s="43" t="n">
        <v>55</v>
      </c>
      <c r="V89" s="43" t="n">
        <v>50</v>
      </c>
      <c r="W89" s="43" t="n">
        <v>50</v>
      </c>
      <c r="X89" s="51">
        <f>IFERROR(U89/W89,"")</f>
        <v/>
      </c>
      <c r="Y89" s="53" t="n">
        <v>4</v>
      </c>
      <c r="Z89" s="53" t="n">
        <v>4</v>
      </c>
      <c r="AA89" s="51">
        <f>IFERROR(IF(L89="từng phát",J89*N89,J89*P89/(P89/N89+R89)),"")</f>
        <v/>
      </c>
      <c r="AB89" s="51">
        <f>IFERROR(IF(M89="từng phát",K89*O89,K89*Q89/(Q89/O89+S89)),"")</f>
        <v/>
      </c>
      <c r="AC89" s="51">
        <f>IFERROR(AB89*VLOOKUP(E89,'Hệ số'!$A$2:$D$8,2,0)*IF((I89-0)&gt;=2,1.2,IF((I89-0)=1,1,IF((I89-0)=0,0.85,IF((I89-0)=-1,0.5,IF((I89-0)=-2,0.25,0.1))))),"")</f>
        <v/>
      </c>
      <c r="AD89" s="51">
        <f>IFERROR(AB89*VLOOKUP(E89,'Hệ số'!$A$2:$D$8,2,0)*IF((I89-1)&gt;=2,1.2,IF((I89-1)=1,1,IF((I89-1)=0,0.85,IF((I89-1)=-1,0.5,IF((I89-1)=-2,0.25,0.1))))),"")</f>
        <v/>
      </c>
      <c r="AE89" s="51">
        <f>IFERROR(AB89*VLOOKUP(E89,'Hệ số'!$A$2:$D$8,2,0)*IF((I89-2)&gt;=2,1.2,IF((I89-2)=1,1,IF((I89-2)=0,0.85,IF((I89-2)=-1,0.5,IF((I89-2)=-2,0.25,0.1))))),"")</f>
        <v/>
      </c>
      <c r="AF89" s="51">
        <f>IFERROR(AB89*VLOOKUP(E89,'Hệ số'!$A$2:$D$8,2,0)*IF((I89-3)&gt;=2,1.2,IF((I89-3)=1,1,IF((I89-3)=0,0.85,IF((I89-3)=-1,0.5,IF((I89-3)=-2,0.25,0.1))))),"")</f>
        <v/>
      </c>
      <c r="AG89" s="51">
        <f>IFERROR(AB89*VLOOKUP(E89,'Hệ số'!$A$2:$D$8,2,0)*IF((I89-4)&gt;=2,1.2,IF((I89-4)=1,1,IF((I89-4)=0,0.85,IF((I89-4)=-1,0.5,IF((I89-4)=-2,0.25,0.1))))),"")</f>
        <v/>
      </c>
      <c r="AH89" s="51">
        <f>IFERROR(AB89*VLOOKUP(E89,'Hệ số'!$A$2:$D$8,2,0)*IF((I89-5)&gt;=2,1.2,IF((I89-5)=1,1,IF((I89-5)=0,0.85,IF((I89-5)=-1,0.5,IF((I89-5)=-2,0.25,0.1))))),"")</f>
        <v/>
      </c>
      <c r="AI89" s="51">
        <f>IFERROR(AB89*VLOOKUP(E89,'Hệ số'!$A$2:$D$8,3,0),"")</f>
        <v/>
      </c>
      <c r="AJ89" s="51">
        <f>IFERROR(AB89*VLOOKUP(E89,'Hệ số'!$A$2:$D$8,4,0)*IF((I89-2)&gt;=2,1.2,IF((I89-2)=1,1,IF((I89-2)=0,0.85,IF((I89-2)=-1,0.5,IF((I89-2)=-2,0.25,0.1))))),"")</f>
        <v/>
      </c>
      <c r="AK89" s="41" t="inlineStr">
        <is>
          <t>Bắn loạt phủ vùng, tản mát; C-RAM, Vòm Sắt và La-de PK bắn hạ được từng quả.</t>
        </is>
      </c>
      <c r="AL89" s="41" t="n"/>
      <c r="AM89" s="41" t="inlineStr">
        <is>
          <t>A-22 Ogon 140 mm: 22 quả</t>
        </is>
      </c>
      <c r="AN89" s="41" t="inlineStr">
        <is>
          <t>Giữ.</t>
        </is>
      </c>
      <c r="AO89" s="41" t="n"/>
    </row>
    <row r="90" ht="32.25" customHeight="1" s="32">
      <c r="A90" s="39" t="inlineStr">
        <is>
          <t>howitzer</t>
        </is>
      </c>
      <c r="B90" s="39" t="inlineStr">
        <is>
          <t>M284 155 mm</t>
        </is>
      </c>
      <c r="C90" s="39" t="inlineStr">
        <is>
          <t>Đạn pháo nổ mạnh</t>
        </is>
      </c>
      <c r="D90" s="39" t="inlineStr">
        <is>
          <t>Lựu pháo TN, Pháo tự hành</t>
        </is>
      </c>
      <c r="E90" s="39" t="inlineStr">
        <is>
          <t>Nổ mạnh</t>
        </is>
      </c>
      <c r="F90" s="39" t="inlineStr">
        <is>
          <t>HeShell</t>
        </is>
      </c>
      <c r="G90" s="42" t="n">
        <v>155</v>
      </c>
      <c r="H90" s="42" t="n">
        <v>3</v>
      </c>
      <c r="I90" s="42" t="n">
        <v>3</v>
      </c>
      <c r="J90" s="42" t="n">
        <v>320</v>
      </c>
      <c r="K90" s="42" t="n">
        <v>320</v>
      </c>
      <c r="L90" s="39" t="inlineStr">
        <is>
          <t>từng phát</t>
        </is>
      </c>
      <c r="M90" s="39" t="inlineStr">
        <is>
          <t>từng phát</t>
        </is>
      </c>
      <c r="N90" s="42" t="n">
        <v>0.1</v>
      </c>
      <c r="O90" s="42" t="n">
        <v>0.14</v>
      </c>
      <c r="P90" s="42" t="n">
        <v>1</v>
      </c>
      <c r="Q90" s="42" t="n">
        <v>1</v>
      </c>
      <c r="R90" s="42" t="n">
        <v>10</v>
      </c>
      <c r="S90" s="42" t="n">
        <v>10</v>
      </c>
      <c r="T90" s="42" t="n">
        <v>90</v>
      </c>
      <c r="U90" s="42" t="n">
        <v>90</v>
      </c>
      <c r="V90" s="42" t="n">
        <v>45</v>
      </c>
      <c r="W90" s="42" t="n">
        <v>45</v>
      </c>
      <c r="X90" s="50">
        <f>IFERROR(U90/W90,"")</f>
        <v/>
      </c>
      <c r="Y90" s="52" t="n">
        <v>7</v>
      </c>
      <c r="Z90" s="52" t="n">
        <v>7</v>
      </c>
      <c r="AA90" s="50">
        <f>IFERROR(IF(L90="từng phát",J90*N90,J90*P90/(P90/N90+R90)),"")</f>
        <v/>
      </c>
      <c r="AB90" s="50">
        <f>IFERROR(IF(M90="từng phát",K90*O90,K90*Q90/(Q90/O90+S90)),"")</f>
        <v/>
      </c>
      <c r="AC90" s="50">
        <f>IFERROR(AB90*VLOOKUP(E90,'Hệ số'!$A$2:$D$8,2,0)*IF((I90-0)&gt;=2,1.2,IF((I90-0)=1,1,IF((I90-0)=0,0.85,IF((I90-0)=-1,0.5,IF((I90-0)=-2,0.25,0.1))))),"")</f>
        <v/>
      </c>
      <c r="AD90" s="50">
        <f>IFERROR(AB90*VLOOKUP(E90,'Hệ số'!$A$2:$D$8,2,0)*IF((I90-1)&gt;=2,1.2,IF((I90-1)=1,1,IF((I90-1)=0,0.85,IF((I90-1)=-1,0.5,IF((I90-1)=-2,0.25,0.1))))),"")</f>
        <v/>
      </c>
      <c r="AE90" s="50">
        <f>IFERROR(AB90*VLOOKUP(E90,'Hệ số'!$A$2:$D$8,2,0)*IF((I90-2)&gt;=2,1.2,IF((I90-2)=1,1,IF((I90-2)=0,0.85,IF((I90-2)=-1,0.5,IF((I90-2)=-2,0.25,0.1))))),"")</f>
        <v/>
      </c>
      <c r="AF90" s="50">
        <f>IFERROR(AB90*VLOOKUP(E90,'Hệ số'!$A$2:$D$8,2,0)*IF((I90-3)&gt;=2,1.2,IF((I90-3)=1,1,IF((I90-3)=0,0.85,IF((I90-3)=-1,0.5,IF((I90-3)=-2,0.25,0.1))))),"")</f>
        <v/>
      </c>
      <c r="AG90" s="50">
        <f>IFERROR(AB90*VLOOKUP(E90,'Hệ số'!$A$2:$D$8,2,0)*IF((I90-4)&gt;=2,1.2,IF((I90-4)=1,1,IF((I90-4)=0,0.85,IF((I90-4)=-1,0.5,IF((I90-4)=-2,0.25,0.1))))),"")</f>
        <v/>
      </c>
      <c r="AH90" s="50">
        <f>IFERROR(AB90*VLOOKUP(E90,'Hệ số'!$A$2:$D$8,2,0)*IF((I90-5)&gt;=2,1.2,IF((I90-5)=1,1,IF((I90-5)=0,0.85,IF((I90-5)=-1,0.5,IF((I90-5)=-2,0.25,0.1))))),"")</f>
        <v/>
      </c>
      <c r="AI90" s="50">
        <f>IFERROR(AB90*VLOOKUP(E90,'Hệ số'!$A$2:$D$8,3,0),"")</f>
        <v/>
      </c>
      <c r="AJ90" s="50">
        <f>IFERROR(AB90*VLOOKUP(E90,'Hệ số'!$A$2:$D$8,4,0)*IF((I90-2)&gt;=2,1.2,IF((I90-2)=1,1,IF((I90-2)=0,0.85,IF((I90-2)=-1,0.5,IF((I90-2)=-2,0.25,0.1))))),"")</f>
        <v/>
      </c>
      <c r="AK90" s="39" t="inlineStr">
        <is>
          <t>Bắn cầu vồng hoặc bắn thẳng tùy pháo; nổ lan; C-RAM chặn được một phần; mạnh với công trình (×1,5).</t>
        </is>
      </c>
      <c r="AL90" s="39" t="inlineStr">
        <is>
          <t>Thêm đạn dẫn đường (Excalibur/Krasnopol: 1 phát, không tản mát) cho nhánh hạng 7 hoặc thẻ hỗ trợ.</t>
        </is>
      </c>
      <c r="AM90" s="39" t="inlineStr">
        <is>
          <t>M284 155 mm (M109A7): 4 phát/phút tối đa, 1 phát/phút duy trì; tầm 24–30 km</t>
        </is>
      </c>
      <c r="AN90" s="39" t="inlineStr">
        <is>
          <t>Lựu pháo đang yếu hơn pháo phản lực cùng giá; M109A7 bắn 4 phát/phút.</t>
        </is>
      </c>
      <c r="AO90" s="47" t="inlineStr">
        <is>
          <t>Cao</t>
        </is>
      </c>
    </row>
    <row r="91" ht="32.25" customHeight="1" s="32">
      <c r="A91" s="41" t="inlineStr">
        <is>
          <t>howitzer_cb</t>
        </is>
      </c>
      <c r="B91" s="41" t="inlineStr">
        <is>
          <t>M284 155 mm</t>
        </is>
      </c>
      <c r="C91" s="41" t="inlineStr">
        <is>
          <t>Đạn pháo nổ mạnh</t>
        </is>
      </c>
      <c r="D91" s="41" t="inlineStr">
        <is>
          <t>Phản pháo</t>
        </is>
      </c>
      <c r="E91" s="41" t="inlineStr">
        <is>
          <t>Nổ mạnh</t>
        </is>
      </c>
      <c r="F91" s="41" t="inlineStr">
        <is>
          <t>HeShell</t>
        </is>
      </c>
      <c r="G91" s="43" t="n">
        <v>155</v>
      </c>
      <c r="H91" s="43" t="n">
        <v>3</v>
      </c>
      <c r="I91" s="43" t="n">
        <v>3</v>
      </c>
      <c r="J91" s="43" t="n">
        <v>320</v>
      </c>
      <c r="K91" s="43" t="n">
        <v>320</v>
      </c>
      <c r="L91" s="41" t="inlineStr">
        <is>
          <t>từng phát</t>
        </is>
      </c>
      <c r="M91" s="41" t="inlineStr">
        <is>
          <t>từng phát</t>
        </is>
      </c>
      <c r="N91" s="43" t="n">
        <v>0.26</v>
      </c>
      <c r="O91" s="43" t="n">
        <v>0.26</v>
      </c>
      <c r="P91" s="43" t="n">
        <v>1</v>
      </c>
      <c r="Q91" s="43" t="n">
        <v>1</v>
      </c>
      <c r="R91" s="43" t="n">
        <v>3.84615384615385</v>
      </c>
      <c r="S91" s="43" t="n">
        <v>3.84615384615385</v>
      </c>
      <c r="T91" s="43" t="n">
        <v>90</v>
      </c>
      <c r="U91" s="43" t="n">
        <v>90</v>
      </c>
      <c r="V91" s="43" t="n">
        <v>45</v>
      </c>
      <c r="W91" s="43" t="n">
        <v>45</v>
      </c>
      <c r="X91" s="51">
        <f>IFERROR(U91/W91,"")</f>
        <v/>
      </c>
      <c r="Y91" s="53" t="n">
        <v>7</v>
      </c>
      <c r="Z91" s="53" t="n">
        <v>7</v>
      </c>
      <c r="AA91" s="51">
        <f>IFERROR(IF(L91="từng phát",J91*N91,J91*P91/(P91/N91+R91)),"")</f>
        <v/>
      </c>
      <c r="AB91" s="51">
        <f>IFERROR(IF(M91="từng phát",K91*O91,K91*Q91/(Q91/O91+S91)),"")</f>
        <v/>
      </c>
      <c r="AC91" s="51">
        <f>IFERROR(AB91*VLOOKUP(E91,'Hệ số'!$A$2:$D$8,2,0)*IF((I91-0)&gt;=2,1.2,IF((I91-0)=1,1,IF((I91-0)=0,0.85,IF((I91-0)=-1,0.5,IF((I91-0)=-2,0.25,0.1))))),"")</f>
        <v/>
      </c>
      <c r="AD91" s="51">
        <f>IFERROR(AB91*VLOOKUP(E91,'Hệ số'!$A$2:$D$8,2,0)*IF((I91-1)&gt;=2,1.2,IF((I91-1)=1,1,IF((I91-1)=0,0.85,IF((I91-1)=-1,0.5,IF((I91-1)=-2,0.25,0.1))))),"")</f>
        <v/>
      </c>
      <c r="AE91" s="51">
        <f>IFERROR(AB91*VLOOKUP(E91,'Hệ số'!$A$2:$D$8,2,0)*IF((I91-2)&gt;=2,1.2,IF((I91-2)=1,1,IF((I91-2)=0,0.85,IF((I91-2)=-1,0.5,IF((I91-2)=-2,0.25,0.1))))),"")</f>
        <v/>
      </c>
      <c r="AF91" s="51">
        <f>IFERROR(AB91*VLOOKUP(E91,'Hệ số'!$A$2:$D$8,2,0)*IF((I91-3)&gt;=2,1.2,IF((I91-3)=1,1,IF((I91-3)=0,0.85,IF((I91-3)=-1,0.5,IF((I91-3)=-2,0.25,0.1))))),"")</f>
        <v/>
      </c>
      <c r="AG91" s="51">
        <f>IFERROR(AB91*VLOOKUP(E91,'Hệ số'!$A$2:$D$8,2,0)*IF((I91-4)&gt;=2,1.2,IF((I91-4)=1,1,IF((I91-4)=0,0.85,IF((I91-4)=-1,0.5,IF((I91-4)=-2,0.25,0.1))))),"")</f>
        <v/>
      </c>
      <c r="AH91" s="51">
        <f>IFERROR(AB91*VLOOKUP(E91,'Hệ số'!$A$2:$D$8,2,0)*IF((I91-5)&gt;=2,1.2,IF((I91-5)=1,1,IF((I91-5)=0,0.85,IF((I91-5)=-1,0.5,IF((I91-5)=-2,0.25,0.1))))),"")</f>
        <v/>
      </c>
      <c r="AI91" s="51">
        <f>IFERROR(AB91*VLOOKUP(E91,'Hệ số'!$A$2:$D$8,3,0),"")</f>
        <v/>
      </c>
      <c r="AJ91" s="51">
        <f>IFERROR(AB91*VLOOKUP(E91,'Hệ số'!$A$2:$D$8,4,0)*IF((I91-2)&gt;=2,1.2,IF((I91-2)=1,1,IF((I91-2)=0,0.85,IF((I91-2)=-1,0.5,IF((I91-2)=-2,0.25,0.1))))),"")</f>
        <v/>
      </c>
      <c r="AK91" s="41" t="inlineStr">
        <is>
          <t>Bắn cầu vồng hoặc bắn thẳng tùy pháo; nổ lan; C-RAM chặn được một phần; mạnh với công trình (×1,5).</t>
        </is>
      </c>
      <c r="AL91" s="41" t="inlineStr">
        <is>
          <t>Thêm đạn dẫn đường (Excalibur/Krasnopol: 1 phát, không tản mát) cho nhánh hạng 7 hoặc thẻ hỗ trợ.</t>
        </is>
      </c>
      <c r="AM91" s="41" t="inlineStr">
        <is>
          <t>M284 155 mm</t>
        </is>
      </c>
      <c r="AN91" s="41" t="inlineStr">
        <is>
          <t>Giữ.</t>
        </is>
      </c>
      <c r="AO91" s="41" t="n"/>
    </row>
    <row r="92" ht="32.25" customHeight="1" s="32">
      <c r="A92" s="39" t="inlineStr">
        <is>
          <t>howitzer_fixed</t>
        </is>
      </c>
      <c r="B92" s="39" t="inlineStr">
        <is>
          <t>M284 155 mm</t>
        </is>
      </c>
      <c r="C92" s="39" t="inlineStr">
        <is>
          <t>Đạn pháo nổ mạnh</t>
        </is>
      </c>
      <c r="D92" s="39" t="inlineStr">
        <is>
          <t>Trận địa pháo</t>
        </is>
      </c>
      <c r="E92" s="39" t="inlineStr">
        <is>
          <t>Nổ mạnh</t>
        </is>
      </c>
      <c r="F92" s="39" t="inlineStr">
        <is>
          <t>HeShell</t>
        </is>
      </c>
      <c r="G92" s="42" t="n">
        <v>155</v>
      </c>
      <c r="H92" s="42" t="n">
        <v>3</v>
      </c>
      <c r="I92" s="42" t="n">
        <v>3</v>
      </c>
      <c r="J92" s="42" t="n">
        <v>320</v>
      </c>
      <c r="K92" s="42" t="n">
        <v>320</v>
      </c>
      <c r="L92" s="39" t="inlineStr">
        <is>
          <t>từng phát</t>
        </is>
      </c>
      <c r="M92" s="39" t="inlineStr">
        <is>
          <t>từng phát</t>
        </is>
      </c>
      <c r="N92" s="42" t="n">
        <v>0.26</v>
      </c>
      <c r="O92" s="42" t="n">
        <v>0.26</v>
      </c>
      <c r="P92" s="42" t="n">
        <v>1</v>
      </c>
      <c r="Q92" s="42" t="n">
        <v>1</v>
      </c>
      <c r="R92" s="42" t="n">
        <v>3.84615384615385</v>
      </c>
      <c r="S92" s="42" t="n">
        <v>3.84615384615385</v>
      </c>
      <c r="T92" s="42" t="n">
        <v>90</v>
      </c>
      <c r="U92" s="42" t="n">
        <v>90</v>
      </c>
      <c r="V92" s="42" t="n">
        <v>45</v>
      </c>
      <c r="W92" s="42" t="n">
        <v>45</v>
      </c>
      <c r="X92" s="50">
        <f>IFERROR(U92/W92,"")</f>
        <v/>
      </c>
      <c r="Y92" s="52" t="n">
        <v>7</v>
      </c>
      <c r="Z92" s="52" t="n">
        <v>7</v>
      </c>
      <c r="AA92" s="50">
        <f>IFERROR(IF(L92="từng phát",J92*N92,J92*P92/(P92/N92+R92)),"")</f>
        <v/>
      </c>
      <c r="AB92" s="50">
        <f>IFERROR(IF(M92="từng phát",K92*O92,K92*Q92/(Q92/O92+S92)),"")</f>
        <v/>
      </c>
      <c r="AC92" s="50">
        <f>IFERROR(AB92*VLOOKUP(E92,'Hệ số'!$A$2:$D$8,2,0)*IF((I92-0)&gt;=2,1.2,IF((I92-0)=1,1,IF((I92-0)=0,0.85,IF((I92-0)=-1,0.5,IF((I92-0)=-2,0.25,0.1))))),"")</f>
        <v/>
      </c>
      <c r="AD92" s="50">
        <f>IFERROR(AB92*VLOOKUP(E92,'Hệ số'!$A$2:$D$8,2,0)*IF((I92-1)&gt;=2,1.2,IF((I92-1)=1,1,IF((I92-1)=0,0.85,IF((I92-1)=-1,0.5,IF((I92-1)=-2,0.25,0.1))))),"")</f>
        <v/>
      </c>
      <c r="AE92" s="50">
        <f>IFERROR(AB92*VLOOKUP(E92,'Hệ số'!$A$2:$D$8,2,0)*IF((I92-2)&gt;=2,1.2,IF((I92-2)=1,1,IF((I92-2)=0,0.85,IF((I92-2)=-1,0.5,IF((I92-2)=-2,0.25,0.1))))),"")</f>
        <v/>
      </c>
      <c r="AF92" s="50">
        <f>IFERROR(AB92*VLOOKUP(E92,'Hệ số'!$A$2:$D$8,2,0)*IF((I92-3)&gt;=2,1.2,IF((I92-3)=1,1,IF((I92-3)=0,0.85,IF((I92-3)=-1,0.5,IF((I92-3)=-2,0.25,0.1))))),"")</f>
        <v/>
      </c>
      <c r="AG92" s="50">
        <f>IFERROR(AB92*VLOOKUP(E92,'Hệ số'!$A$2:$D$8,2,0)*IF((I92-4)&gt;=2,1.2,IF((I92-4)=1,1,IF((I92-4)=0,0.85,IF((I92-4)=-1,0.5,IF((I92-4)=-2,0.25,0.1))))),"")</f>
        <v/>
      </c>
      <c r="AH92" s="50">
        <f>IFERROR(AB92*VLOOKUP(E92,'Hệ số'!$A$2:$D$8,2,0)*IF((I92-5)&gt;=2,1.2,IF((I92-5)=1,1,IF((I92-5)=0,0.85,IF((I92-5)=-1,0.5,IF((I92-5)=-2,0.25,0.1))))),"")</f>
        <v/>
      </c>
      <c r="AI92" s="50">
        <f>IFERROR(AB92*VLOOKUP(E92,'Hệ số'!$A$2:$D$8,3,0),"")</f>
        <v/>
      </c>
      <c r="AJ92" s="50">
        <f>IFERROR(AB92*VLOOKUP(E92,'Hệ số'!$A$2:$D$8,4,0)*IF((I92-2)&gt;=2,1.2,IF((I92-2)=1,1,IF((I92-2)=0,0.85,IF((I92-2)=-1,0.5,IF((I92-2)=-2,0.25,0.1))))),"")</f>
        <v/>
      </c>
      <c r="AK92" s="39" t="inlineStr">
        <is>
          <t>Bắn cầu vồng hoặc bắn thẳng tùy pháo; nổ lan; C-RAM chặn được một phần; mạnh với công trình (×1,5).</t>
        </is>
      </c>
      <c r="AL92" s="39" t="inlineStr">
        <is>
          <t>Thêm đạn dẫn đường (Excalibur/Krasnopol: 1 phát, không tản mát) cho nhánh hạng 7 hoặc thẻ hỗ trợ.</t>
        </is>
      </c>
      <c r="AM92" s="39" t="inlineStr">
        <is>
          <t>M284 155 mm</t>
        </is>
      </c>
      <c r="AN92" s="39" t="inlineStr">
        <is>
          <t>Giữ.</t>
        </is>
      </c>
      <c r="AO92" s="39" t="n"/>
    </row>
    <row r="93" ht="32.25" customHeight="1" s="32">
      <c r="A93" s="41" t="inlineStr">
        <is>
          <t>hq_flak</t>
        </is>
      </c>
      <c r="B93" s="41" t="inlineStr">
        <is>
          <t>2A38 30 mm (twin)</t>
        </is>
      </c>
      <c r="C93" s="41" t="inlineStr">
        <is>
          <t>Pháo tự động / cao xạ 20–40 mm</t>
        </is>
      </c>
      <c r="D93" s="41" t="inlineStr">
        <is>
          <t>Sở chỉ huy</t>
        </is>
      </c>
      <c r="E93" s="41" t="inlineStr">
        <is>
          <t>Mảnh</t>
        </is>
      </c>
      <c r="F93" s="41" t="inlineStr">
        <is>
          <t>Airburst</t>
        </is>
      </c>
      <c r="G93" s="43" t="n">
        <v>30</v>
      </c>
      <c r="H93" s="43" t="n">
        <v>2</v>
      </c>
      <c r="I93" s="43" t="n">
        <v>2</v>
      </c>
      <c r="J93" s="43" t="n">
        <v>22</v>
      </c>
      <c r="K93" s="43" t="n">
        <v>7.5</v>
      </c>
      <c r="L93" s="41" t="inlineStr">
        <is>
          <t>băng</t>
        </is>
      </c>
      <c r="M93" s="41" t="inlineStr">
        <is>
          <t>băng</t>
        </is>
      </c>
      <c r="N93" s="43" t="n">
        <v>9</v>
      </c>
      <c r="O93" s="43" t="n">
        <v>35</v>
      </c>
      <c r="P93" s="43" t="n">
        <v>36</v>
      </c>
      <c r="Q93" s="43" t="n">
        <v>120</v>
      </c>
      <c r="R93" s="43" t="n">
        <v>1.21</v>
      </c>
      <c r="S93" s="43" t="n">
        <v>3</v>
      </c>
      <c r="T93" s="43" t="n">
        <v>42</v>
      </c>
      <c r="U93" s="43" t="n">
        <v>42</v>
      </c>
      <c r="V93" s="43" t="n">
        <v>280</v>
      </c>
      <c r="W93" s="43" t="n">
        <v>280</v>
      </c>
      <c r="X93" s="51">
        <f>IFERROR(U93/W93,"")</f>
        <v/>
      </c>
      <c r="Y93" s="53" t="n">
        <v>2.5</v>
      </c>
      <c r="Z93" s="53" t="n">
        <v>2.5</v>
      </c>
      <c r="AA93" s="51">
        <f>IFERROR(IF(L93="từng phát",J93*N93,J93*P93/(P93/N93+R93)),"")</f>
        <v/>
      </c>
      <c r="AB93" s="51">
        <f>IFERROR(IF(M93="từng phát",K93*O93,K93*Q93/(Q93/O93+S93)),"")</f>
        <v/>
      </c>
      <c r="AC93" s="51">
        <f>IFERROR(AB93*VLOOKUP(E93,'Hệ số'!$A$2:$D$8,2,0)*IF((I93-0)&gt;=2,1.2,IF((I93-0)=1,1,IF((I93-0)=0,0.85,IF((I93-0)=-1,0.5,IF((I93-0)=-2,0.25,0.1))))),"")</f>
        <v/>
      </c>
      <c r="AD93" s="51">
        <f>IFERROR(AB93*VLOOKUP(E93,'Hệ số'!$A$2:$D$8,2,0)*IF((I93-1)&gt;=2,1.2,IF((I93-1)=1,1,IF((I93-1)=0,0.85,IF((I93-1)=-1,0.5,IF((I93-1)=-2,0.25,0.1))))),"")</f>
        <v/>
      </c>
      <c r="AE93" s="51">
        <f>IFERROR(AB93*VLOOKUP(E93,'Hệ số'!$A$2:$D$8,2,0)*IF((I93-2)&gt;=2,1.2,IF((I93-2)=1,1,IF((I93-2)=0,0.85,IF((I93-2)=-1,0.5,IF((I93-2)=-2,0.25,0.1))))),"")</f>
        <v/>
      </c>
      <c r="AF93" s="51">
        <f>IFERROR(AB93*VLOOKUP(E93,'Hệ số'!$A$2:$D$8,2,0)*IF((I93-3)&gt;=2,1.2,IF((I93-3)=1,1,IF((I93-3)=0,0.85,IF((I93-3)=-1,0.5,IF((I93-3)=-2,0.25,0.1))))),"")</f>
        <v/>
      </c>
      <c r="AG93" s="51">
        <f>IFERROR(AB93*VLOOKUP(E93,'Hệ số'!$A$2:$D$8,2,0)*IF((I93-4)&gt;=2,1.2,IF((I93-4)=1,1,IF((I93-4)=0,0.85,IF((I93-4)=-1,0.5,IF((I93-4)=-2,0.25,0.1))))),"")</f>
        <v/>
      </c>
      <c r="AH93" s="51">
        <f>IFERROR(AB93*VLOOKUP(E93,'Hệ số'!$A$2:$D$8,2,0)*IF((I93-5)&gt;=2,1.2,IF((I93-5)=1,1,IF((I93-5)=0,0.85,IF((I93-5)=-1,0.5,IF((I93-5)=-2,0.25,0.1))))),"")</f>
        <v/>
      </c>
      <c r="AI93" s="51">
        <f>IFERROR(AB93*VLOOKUP(E93,'Hệ số'!$A$2:$D$8,3,0),"")</f>
        <v/>
      </c>
      <c r="AJ93" s="51">
        <f>IFERROR(AB93*VLOOKUP(E93,'Hệ số'!$A$2:$D$8,4,0)*IF((I93-2)&gt;=2,1.2,IF((I93-2)=1,1,IF((I93-2)=0,0.85,IF((I93-2)=-1,0.5,IF((I93-2)=-2,0.25,0.1))))),"")</f>
        <v/>
      </c>
      <c r="AK93" s="41" t="inlineStr">
        <is>
          <t>Bắn loạt; đạn nổ trên không (Mảnh) mạnh với máy bay và drone, yếu với giáp; đạn xuyên (Động năng) mạnh với giáp 0–2.</t>
        </is>
      </c>
      <c r="AL93" s="41" t="inlineStr">
        <is>
          <t>Tự đổi: đạn xuyên (Động năng) với xe, đạn nổ trên không (Mảnh) với máy bay/drone.</t>
        </is>
      </c>
      <c r="AM93" s="41" t="inlineStr">
        <is>
          <t>2A38M: ~5.000 phát/phút cả cặp</t>
        </is>
      </c>
      <c r="AN93" s="41" t="inlineStr">
        <is>
          <t>Như 2A38.</t>
        </is>
      </c>
      <c r="AO93" s="48" t="inlineStr">
        <is>
          <t>Trung</t>
        </is>
      </c>
    </row>
    <row r="94" ht="32.25" customHeight="1" s="32">
      <c r="A94" s="39" t="inlineStr">
        <is>
          <t>ifv_30</t>
        </is>
      </c>
      <c r="B94" s="39" t="inlineStr">
        <is>
          <t>2A42 30 mm</t>
        </is>
      </c>
      <c r="C94" s="39" t="inlineStr">
        <is>
          <t>Pháo tự động / cao xạ 20–40 mm</t>
        </is>
      </c>
      <c r="D94" s="39" t="inlineStr">
        <is>
          <t>Xe bộ binh</t>
        </is>
      </c>
      <c r="E94" s="39" t="inlineStr">
        <is>
          <t>Động năng</t>
        </is>
      </c>
      <c r="F94" s="39" t="inlineStr">
        <is>
          <t>BeltedAutocannon</t>
        </is>
      </c>
      <c r="G94" s="42" t="n">
        <v>30</v>
      </c>
      <c r="H94" s="42" t="n">
        <v>2</v>
      </c>
      <c r="I94" s="42" t="n">
        <v>2</v>
      </c>
      <c r="J94" s="42" t="n">
        <v>22</v>
      </c>
      <c r="K94" s="42" t="n">
        <v>22</v>
      </c>
      <c r="L94" s="39" t="inlineStr">
        <is>
          <t>băng</t>
        </is>
      </c>
      <c r="M94" s="39" t="inlineStr">
        <is>
          <t>loạt</t>
        </is>
      </c>
      <c r="N94" s="42" t="n">
        <v>5</v>
      </c>
      <c r="O94" s="42" t="n">
        <v>9</v>
      </c>
      <c r="P94" s="42" t="n">
        <v>26</v>
      </c>
      <c r="Q94" s="42" t="n">
        <v>10</v>
      </c>
      <c r="R94" s="42" t="n">
        <v>1</v>
      </c>
      <c r="S94" s="42" t="n">
        <v>1.5</v>
      </c>
      <c r="T94" s="42" t="n">
        <v>30</v>
      </c>
      <c r="U94" s="42" t="n">
        <v>30</v>
      </c>
      <c r="V94" s="42" t="n">
        <v>200</v>
      </c>
      <c r="W94" s="42" t="n">
        <v>200</v>
      </c>
      <c r="X94" s="50">
        <f>IFERROR(U94/W94,"")</f>
        <v/>
      </c>
      <c r="Y94" s="50" t="n"/>
      <c r="Z94" s="50" t="n"/>
      <c r="AA94" s="50">
        <f>IFERROR(IF(L94="từng phát",J94*N94,J94*P94/(P94/N94+R94)),"")</f>
        <v/>
      </c>
      <c r="AB94" s="50">
        <f>IFERROR(IF(M94="từng phát",K94*O94,K94*Q94/(Q94/O94+S94)),"")</f>
        <v/>
      </c>
      <c r="AC94" s="50">
        <f>IFERROR(AB94*VLOOKUP(E94,'Hệ số'!$A$2:$D$8,2,0)*IF((I94-0)&gt;=2,1.2,IF((I94-0)=1,1,IF((I94-0)=0,0.85,IF((I94-0)=-1,0.5,IF((I94-0)=-2,0.25,0.1))))),"")</f>
        <v/>
      </c>
      <c r="AD94" s="50">
        <f>IFERROR(AB94*VLOOKUP(E94,'Hệ số'!$A$2:$D$8,2,0)*IF((I94-1)&gt;=2,1.2,IF((I94-1)=1,1,IF((I94-1)=0,0.85,IF((I94-1)=-1,0.5,IF((I94-1)=-2,0.25,0.1))))),"")</f>
        <v/>
      </c>
      <c r="AE94" s="50">
        <f>IFERROR(AB94*VLOOKUP(E94,'Hệ số'!$A$2:$D$8,2,0)*IF((I94-2)&gt;=2,1.2,IF((I94-2)=1,1,IF((I94-2)=0,0.85,IF((I94-2)=-1,0.5,IF((I94-2)=-2,0.25,0.1))))),"")</f>
        <v/>
      </c>
      <c r="AF94" s="50">
        <f>IFERROR(AB94*VLOOKUP(E94,'Hệ số'!$A$2:$D$8,2,0)*IF((I94-3)&gt;=2,1.2,IF((I94-3)=1,1,IF((I94-3)=0,0.85,IF((I94-3)=-1,0.5,IF((I94-3)=-2,0.25,0.1))))),"")</f>
        <v/>
      </c>
      <c r="AG94" s="50">
        <f>IFERROR(AB94*VLOOKUP(E94,'Hệ số'!$A$2:$D$8,2,0)*IF((I94-4)&gt;=2,1.2,IF((I94-4)=1,1,IF((I94-4)=0,0.85,IF((I94-4)=-1,0.5,IF((I94-4)=-2,0.25,0.1))))),"")</f>
        <v/>
      </c>
      <c r="AH94" s="50">
        <f>IFERROR(AB94*VLOOKUP(E94,'Hệ số'!$A$2:$D$8,2,0)*IF((I94-5)&gt;=2,1.2,IF((I94-5)=1,1,IF((I94-5)=0,0.85,IF((I94-5)=-1,0.5,IF((I94-5)=-2,0.25,0.1))))),"")</f>
        <v/>
      </c>
      <c r="AI94" s="50">
        <f>IFERROR(AB94*VLOOKUP(E94,'Hệ số'!$A$2:$D$8,3,0),"")</f>
        <v/>
      </c>
      <c r="AJ94" s="50">
        <f>IFERROR(AB94*VLOOKUP(E94,'Hệ số'!$A$2:$D$8,4,0)*IF((I94-2)&gt;=2,1.2,IF((I94-2)=1,1,IF((I94-2)=0,0.85,IF((I94-2)=-1,0.5,IF((I94-2)=-2,0.25,0.1))))),"")</f>
        <v/>
      </c>
      <c r="AK94" s="39" t="inlineStr">
        <is>
          <t>Bắn loạt; đạn nổ trên không (Mảnh) mạnh với máy bay và drone, yếu với giáp; đạn xuyên (Động năng) mạnh với giáp 0–2.</t>
        </is>
      </c>
      <c r="AL94" s="39" t="inlineStr">
        <is>
          <t>Tự đổi: đạn xuyên (Động năng) với xe, đạn nổ trên không (Mảnh) với máy bay/drone.</t>
        </is>
      </c>
      <c r="AM94" s="39" t="inlineStr">
        <is>
          <t>2A42: 550–800 phát/phút</t>
        </is>
      </c>
      <c r="AN94" s="39" t="inlineStr">
        <is>
          <t>2A42 bắn loạt nhanh 550–800 phát/phút ngoài đời.</t>
        </is>
      </c>
      <c r="AO94" s="48" t="inlineStr">
        <is>
          <t>Trung</t>
        </is>
      </c>
    </row>
    <row r="95" ht="32.25" customHeight="1" s="32">
      <c r="A95" s="41" t="inlineStr">
        <is>
          <t>jassm</t>
        </is>
      </c>
      <c r="B95" s="41" t="inlineStr">
        <is>
          <t>AGM-158 JASSM (450</t>
        </is>
      </c>
      <c r="C95" s="41" t="inlineStr">
        <is>
          <t>Tên lửa hành trình / đạn đạo</t>
        </is>
      </c>
      <c r="D95" s="41" t="inlineStr">
        <is>
          <t>Tàng hình</t>
        </is>
      </c>
      <c r="E95" s="41" t="inlineStr">
        <is>
          <t>Nổ mạnh</t>
        </is>
      </c>
      <c r="F95" s="41" t="inlineStr">
        <is>
          <t>Cruise</t>
        </is>
      </c>
      <c r="G95" s="43" t="n">
        <v>450</v>
      </c>
      <c r="H95" s="43" t="n">
        <v>3</v>
      </c>
      <c r="I95" s="43" t="n">
        <v>3</v>
      </c>
      <c r="J95" s="43" t="n">
        <v>410</v>
      </c>
      <c r="K95" s="43" t="n">
        <v>410</v>
      </c>
      <c r="L95" s="41" t="inlineStr">
        <is>
          <t>loạt</t>
        </is>
      </c>
      <c r="M95" s="41" t="inlineStr">
        <is>
          <t>loạt</t>
        </is>
      </c>
      <c r="N95" s="43" t="n">
        <v>1.67</v>
      </c>
      <c r="O95" s="43" t="n">
        <v>1.67</v>
      </c>
      <c r="P95" s="43" t="n">
        <v>2</v>
      </c>
      <c r="Q95" s="43" t="n">
        <v>2</v>
      </c>
      <c r="R95" s="43" t="n">
        <v>9.24</v>
      </c>
      <c r="S95" s="43" t="n">
        <v>9.24</v>
      </c>
      <c r="T95" s="43" t="n">
        <v>90</v>
      </c>
      <c r="U95" s="43" t="n">
        <v>90</v>
      </c>
      <c r="V95" s="43" t="n">
        <v>17</v>
      </c>
      <c r="W95" s="43" t="n">
        <v>20</v>
      </c>
      <c r="X95" s="51">
        <f>IFERROR(U95/W95,"")</f>
        <v/>
      </c>
      <c r="Y95" s="53" t="n">
        <v>5</v>
      </c>
      <c r="Z95" s="53" t="n">
        <v>9</v>
      </c>
      <c r="AA95" s="51">
        <f>IFERROR(IF(L95="từng phát",J95*N95,J95*P95/(P95/N95+R95)),"")</f>
        <v/>
      </c>
      <c r="AB95" s="51">
        <f>IFERROR(IF(M95="từng phát",K95*O95,K95*Q95/(Q95/O95+S95)),"")</f>
        <v/>
      </c>
      <c r="AC95" s="51">
        <f>IFERROR(AB95*VLOOKUP(E95,'Hệ số'!$A$2:$D$8,2,0)*IF((I95-0)&gt;=2,1.2,IF((I95-0)=1,1,IF((I95-0)=0,0.85,IF((I95-0)=-1,0.5,IF((I95-0)=-2,0.25,0.1))))),"")</f>
        <v/>
      </c>
      <c r="AD95" s="51">
        <f>IFERROR(AB95*VLOOKUP(E95,'Hệ số'!$A$2:$D$8,2,0)*IF((I95-1)&gt;=2,1.2,IF((I95-1)=1,1,IF((I95-1)=0,0.85,IF((I95-1)=-1,0.5,IF((I95-1)=-2,0.25,0.1))))),"")</f>
        <v/>
      </c>
      <c r="AE95" s="51">
        <f>IFERROR(AB95*VLOOKUP(E95,'Hệ số'!$A$2:$D$8,2,0)*IF((I95-2)&gt;=2,1.2,IF((I95-2)=1,1,IF((I95-2)=0,0.85,IF((I95-2)=-1,0.5,IF((I95-2)=-2,0.25,0.1))))),"")</f>
        <v/>
      </c>
      <c r="AF95" s="51">
        <f>IFERROR(AB95*VLOOKUP(E95,'Hệ số'!$A$2:$D$8,2,0)*IF((I95-3)&gt;=2,1.2,IF((I95-3)=1,1,IF((I95-3)=0,0.85,IF((I95-3)=-1,0.5,IF((I95-3)=-2,0.25,0.1))))),"")</f>
        <v/>
      </c>
      <c r="AG95" s="51">
        <f>IFERROR(AB95*VLOOKUP(E95,'Hệ số'!$A$2:$D$8,2,0)*IF((I95-4)&gt;=2,1.2,IF((I95-4)=1,1,IF((I95-4)=0,0.85,IF((I95-4)=-1,0.5,IF((I95-4)=-2,0.25,0.1))))),"")</f>
        <v/>
      </c>
      <c r="AH95" s="51">
        <f>IFERROR(AB95*VLOOKUP(E95,'Hệ số'!$A$2:$D$8,2,0)*IF((I95-5)&gt;=2,1.2,IF((I95-5)=1,1,IF((I95-5)=0,0.85,IF((I95-5)=-1,0.5,IF((I95-5)=-2,0.25,0.1))))),"")</f>
        <v/>
      </c>
      <c r="AI95" s="51">
        <f>IFERROR(AB95*VLOOKUP(E95,'Hệ số'!$A$2:$D$8,3,0),"")</f>
        <v/>
      </c>
      <c r="AJ95" s="51">
        <f>IFERROR(AB95*VLOOKUP(E95,'Hệ số'!$A$2:$D$8,4,0)*IF((I95-2)&gt;=2,1.2,IF((I95-2)=1,1,IF((I95-2)=0,0.85,IF((I95-2)=-1,0.5,IF((I95-2)=-2,0.25,0.1))))),"")</f>
        <v/>
      </c>
      <c r="AK95" s="41" t="inlineStr">
        <is>
          <t>Hành trình: bay chậm, thấp, bắn hạ được bởi phòng không; đạn đạo: bay nhanh, chỉ PAC-3 và Vòm Sắt bắn hạ.</t>
        </is>
      </c>
      <c r="AL95" s="41" t="n"/>
      <c r="AM95" s="41" t="inlineStr">
        <is>
          <t>JASSM: đầu nổ 450 kg</t>
        </is>
      </c>
      <c r="AN95" s="41" t="inlineStr">
        <is>
          <t>Đầu nổ 450 kg. Tốc độ bay 17→20 m/s: Thống nhất tốc độ tên lửa hành trình ở mọi đơn vị (20 m/s).</t>
        </is>
      </c>
      <c r="AO95" s="48" t="inlineStr">
        <is>
          <t>Trung</t>
        </is>
      </c>
    </row>
    <row r="96" ht="32.25" customHeight="1" s="32">
      <c r="A96" s="39" t="inlineStr">
        <is>
          <t>jet_bombs</t>
        </is>
      </c>
      <c r="B96" s="39" t="inlineStr">
        <is>
          <t>FAB-250 (250 kg)</t>
        </is>
      </c>
      <c r="C96" s="39" t="inlineStr">
        <is>
          <t>Bom</t>
        </is>
      </c>
      <c r="D96" s="39" t="inlineStr">
        <is>
          <t>Cường kích, Cường kích TN</t>
        </is>
      </c>
      <c r="E96" s="39" t="inlineStr">
        <is>
          <t>Nổ mạnh</t>
        </is>
      </c>
      <c r="F96" s="39" t="inlineStr">
        <is>
          <t>Bomb</t>
        </is>
      </c>
      <c r="G96" s="42" t="n">
        <v>250</v>
      </c>
      <c r="H96" s="42" t="n">
        <v>2</v>
      </c>
      <c r="I96" s="42" t="n">
        <v>2</v>
      </c>
      <c r="J96" s="42" t="n">
        <v>310</v>
      </c>
      <c r="K96" s="42" t="n">
        <v>310</v>
      </c>
      <c r="L96" s="39" t="inlineStr">
        <is>
          <t>loạt</t>
        </is>
      </c>
      <c r="M96" s="39" t="inlineStr">
        <is>
          <t>loạt</t>
        </is>
      </c>
      <c r="N96" s="42" t="n">
        <v>4</v>
      </c>
      <c r="O96" s="42" t="n">
        <v>4</v>
      </c>
      <c r="P96" s="42" t="n">
        <v>2</v>
      </c>
      <c r="Q96" s="42" t="n">
        <v>2</v>
      </c>
      <c r="R96" s="42" t="n">
        <v>10.05</v>
      </c>
      <c r="S96" s="42" t="n">
        <v>10.05</v>
      </c>
      <c r="T96" s="42" t="n">
        <v>26</v>
      </c>
      <c r="U96" s="42" t="n">
        <v>26</v>
      </c>
      <c r="V96" s="42" t="n">
        <v>35</v>
      </c>
      <c r="W96" s="42" t="n">
        <v>35</v>
      </c>
      <c r="X96" s="50">
        <f>IFERROR(U96/W96,"")</f>
        <v/>
      </c>
      <c r="Y96" s="52" t="n">
        <v>8</v>
      </c>
      <c r="Z96" s="52" t="n">
        <v>8</v>
      </c>
      <c r="AA96" s="50">
        <f>IFERROR(IF(L96="từng phát",J96*N96,J96*P96/(P96/N96+R96)),"")</f>
        <v/>
      </c>
      <c r="AB96" s="50">
        <f>IFERROR(IF(M96="từng phát",K96*O96,K96*Q96/(Q96/O96+S96)),"")</f>
        <v/>
      </c>
      <c r="AC96" s="50">
        <f>IFERROR(AB96*VLOOKUP(E96,'Hệ số'!$A$2:$D$8,2,0)*IF((I96-0)&gt;=2,1.2,IF((I96-0)=1,1,IF((I96-0)=0,0.85,IF((I96-0)=-1,0.5,IF((I96-0)=-2,0.25,0.1))))),"")</f>
        <v/>
      </c>
      <c r="AD96" s="50">
        <f>IFERROR(AB96*VLOOKUP(E96,'Hệ số'!$A$2:$D$8,2,0)*IF((I96-1)&gt;=2,1.2,IF((I96-1)=1,1,IF((I96-1)=0,0.85,IF((I96-1)=-1,0.5,IF((I96-1)=-2,0.25,0.1))))),"")</f>
        <v/>
      </c>
      <c r="AE96" s="50">
        <f>IFERROR(AB96*VLOOKUP(E96,'Hệ số'!$A$2:$D$8,2,0)*IF((I96-2)&gt;=2,1.2,IF((I96-2)=1,1,IF((I96-2)=0,0.85,IF((I96-2)=-1,0.5,IF((I96-2)=-2,0.25,0.1))))),"")</f>
        <v/>
      </c>
      <c r="AF96" s="50">
        <f>IFERROR(AB96*VLOOKUP(E96,'Hệ số'!$A$2:$D$8,2,0)*IF((I96-3)&gt;=2,1.2,IF((I96-3)=1,1,IF((I96-3)=0,0.85,IF((I96-3)=-1,0.5,IF((I96-3)=-2,0.25,0.1))))),"")</f>
        <v/>
      </c>
      <c r="AG96" s="50">
        <f>IFERROR(AB96*VLOOKUP(E96,'Hệ số'!$A$2:$D$8,2,0)*IF((I96-4)&gt;=2,1.2,IF((I96-4)=1,1,IF((I96-4)=0,0.85,IF((I96-4)=-1,0.5,IF((I96-4)=-2,0.25,0.1))))),"")</f>
        <v/>
      </c>
      <c r="AH96" s="50">
        <f>IFERROR(AB96*VLOOKUP(E96,'Hệ số'!$A$2:$D$8,2,0)*IF((I96-5)&gt;=2,1.2,IF((I96-5)=1,1,IF((I96-5)=0,0.85,IF((I96-5)=-1,0.5,IF((I96-5)=-2,0.25,0.1))))),"")</f>
        <v/>
      </c>
      <c r="AI96" s="50">
        <f>IFERROR(AB96*VLOOKUP(E96,'Hệ số'!$A$2:$D$8,3,0),"")</f>
        <v/>
      </c>
      <c r="AJ96" s="50">
        <f>IFERROR(AB96*VLOOKUP(E96,'Hệ số'!$A$2:$D$8,4,0)*IF((I96-2)&gt;=2,1.2,IF((I96-2)=1,1,IF((I96-2)=0,0.85,IF((I96-2)=-1,0.5,IF((I96-2)=-2,0.25,0.1))))),"")</f>
        <v/>
      </c>
      <c r="AK96" s="39" t="inlineStr">
        <is>
          <t>Bom thường rơi tự do, tản mát 2–3 m, không bắn hạ được; bom dẫn đường chính xác; bom lượn bay chậm và bắn hạ được.</t>
        </is>
      </c>
      <c r="AL96" s="39" t="n"/>
      <c r="AM96" s="39" t="inlineStr">
        <is>
          <t>FAB-250: ~100 kg thuốc nổ</t>
        </is>
      </c>
      <c r="AN96" s="39" t="inlineStr">
        <is>
          <t>Giữ.</t>
        </is>
      </c>
      <c r="AO96" s="39" t="n"/>
    </row>
    <row r="97" ht="32.25" customHeight="1" s="32">
      <c r="A97" s="41" t="inlineStr">
        <is>
          <t>jet_cannon</t>
        </is>
      </c>
      <c r="B97" s="41" t="inlineStr">
        <is>
          <t>GSh-30-2 30 mm</t>
        </is>
      </c>
      <c r="C97" s="41" t="inlineStr">
        <is>
          <t>Pháo tự động / cao xạ 20–40 mm</t>
        </is>
      </c>
      <c r="D97" s="41" t="inlineStr">
        <is>
          <t>Cường kích, Cường kích TN</t>
        </is>
      </c>
      <c r="E97" s="41" t="inlineStr">
        <is>
          <t>Động năng</t>
        </is>
      </c>
      <c r="F97" s="41" t="inlineStr">
        <is>
          <t>BeltedAutocannon</t>
        </is>
      </c>
      <c r="G97" s="43" t="n">
        <v>30</v>
      </c>
      <c r="H97" s="43" t="n">
        <v>2</v>
      </c>
      <c r="I97" s="43" t="n">
        <v>2</v>
      </c>
      <c r="J97" s="43" t="n">
        <v>23</v>
      </c>
      <c r="K97" s="43" t="n">
        <v>23</v>
      </c>
      <c r="L97" s="41" t="inlineStr">
        <is>
          <t>băng</t>
        </is>
      </c>
      <c r="M97" s="41" t="inlineStr">
        <is>
          <t>băng</t>
        </is>
      </c>
      <c r="N97" s="43" t="n">
        <v>19</v>
      </c>
      <c r="O97" s="43" t="n">
        <v>19</v>
      </c>
      <c r="P97" s="43" t="n">
        <v>94</v>
      </c>
      <c r="Q97" s="43" t="n">
        <v>70</v>
      </c>
      <c r="R97" s="43" t="n">
        <v>1</v>
      </c>
      <c r="S97" s="43" t="n">
        <v>1.5</v>
      </c>
      <c r="T97" s="43" t="n">
        <v>30</v>
      </c>
      <c r="U97" s="43" t="n">
        <v>30</v>
      </c>
      <c r="V97" s="43" t="n">
        <v>300</v>
      </c>
      <c r="W97" s="43" t="n">
        <v>300</v>
      </c>
      <c r="X97" s="51">
        <f>IFERROR(U97/W97,"")</f>
        <v/>
      </c>
      <c r="Y97" s="51" t="n"/>
      <c r="Z97" s="51" t="n"/>
      <c r="AA97" s="51">
        <f>IFERROR(IF(L97="từng phát",J97*N97,J97*P97/(P97/N97+R97)),"")</f>
        <v/>
      </c>
      <c r="AB97" s="51">
        <f>IFERROR(IF(M97="từng phát",K97*O97,K97*Q97/(Q97/O97+S97)),"")</f>
        <v/>
      </c>
      <c r="AC97" s="51">
        <f>IFERROR(AB97*VLOOKUP(E97,'Hệ số'!$A$2:$D$8,2,0)*IF((I97-0)&gt;=2,1.2,IF((I97-0)=1,1,IF((I97-0)=0,0.85,IF((I97-0)=-1,0.5,IF((I97-0)=-2,0.25,0.1))))),"")</f>
        <v/>
      </c>
      <c r="AD97" s="51">
        <f>IFERROR(AB97*VLOOKUP(E97,'Hệ số'!$A$2:$D$8,2,0)*IF((I97-1)&gt;=2,1.2,IF((I97-1)=1,1,IF((I97-1)=0,0.85,IF((I97-1)=-1,0.5,IF((I97-1)=-2,0.25,0.1))))),"")</f>
        <v/>
      </c>
      <c r="AE97" s="51">
        <f>IFERROR(AB97*VLOOKUP(E97,'Hệ số'!$A$2:$D$8,2,0)*IF((I97-2)&gt;=2,1.2,IF((I97-2)=1,1,IF((I97-2)=0,0.85,IF((I97-2)=-1,0.5,IF((I97-2)=-2,0.25,0.1))))),"")</f>
        <v/>
      </c>
      <c r="AF97" s="51">
        <f>IFERROR(AB97*VLOOKUP(E97,'Hệ số'!$A$2:$D$8,2,0)*IF((I97-3)&gt;=2,1.2,IF((I97-3)=1,1,IF((I97-3)=0,0.85,IF((I97-3)=-1,0.5,IF((I97-3)=-2,0.25,0.1))))),"")</f>
        <v/>
      </c>
      <c r="AG97" s="51">
        <f>IFERROR(AB97*VLOOKUP(E97,'Hệ số'!$A$2:$D$8,2,0)*IF((I97-4)&gt;=2,1.2,IF((I97-4)=1,1,IF((I97-4)=0,0.85,IF((I97-4)=-1,0.5,IF((I97-4)=-2,0.25,0.1))))),"")</f>
        <v/>
      </c>
      <c r="AH97" s="51">
        <f>IFERROR(AB97*VLOOKUP(E97,'Hệ số'!$A$2:$D$8,2,0)*IF((I97-5)&gt;=2,1.2,IF((I97-5)=1,1,IF((I97-5)=0,0.85,IF((I97-5)=-1,0.5,IF((I97-5)=-2,0.25,0.1))))),"")</f>
        <v/>
      </c>
      <c r="AI97" s="51">
        <f>IFERROR(AB97*VLOOKUP(E97,'Hệ số'!$A$2:$D$8,3,0),"")</f>
        <v/>
      </c>
      <c r="AJ97" s="51">
        <f>IFERROR(AB97*VLOOKUP(E97,'Hệ số'!$A$2:$D$8,4,0)*IF((I97-2)&gt;=2,1.2,IF((I97-2)=1,1,IF((I97-2)=0,0.85,IF((I97-2)=-1,0.5,IF((I97-2)=-2,0.25,0.1))))),"")</f>
        <v/>
      </c>
      <c r="AK97" s="41" t="inlineStr">
        <is>
          <t>Bắn loạt; đạn nổ trên không (Mảnh) mạnh với máy bay và drone, yếu với giáp; đạn xuyên (Động năng) mạnh với giáp 0–2.</t>
        </is>
      </c>
      <c r="AL97" s="41" t="inlineStr">
        <is>
          <t>Tự đổi: đạn xuyên (Động năng) với xe, đạn nổ trên không (Mảnh) với máy bay/drone.</t>
        </is>
      </c>
      <c r="AM97" s="41" t="inlineStr">
        <is>
          <t>GSh-30-2: ~3.000 phát/phút</t>
        </is>
      </c>
      <c r="AN97" s="41" t="inlineStr">
        <is>
          <t>Lần cân bằng 2: Cường kích vẫn mạnh; băng GSh-30-2 94 → 70 viên (Su-25 thật mang 250 viên cho cả lượt bay).</t>
        </is>
      </c>
      <c r="AO97" s="48" t="inlineStr">
        <is>
          <t>Trung</t>
        </is>
      </c>
    </row>
    <row r="98" ht="21.75" customHeight="1" s="32">
      <c r="A98" s="39" t="inlineStr">
        <is>
          <t>kh29</t>
        </is>
      </c>
      <c r="B98" s="39" t="inlineStr">
        <is>
          <t>Kh-29L</t>
        </is>
      </c>
      <c r="C98" s="39" t="inlineStr">
        <is>
          <t>Tên lửa chống tăng / không đối đất</t>
        </is>
      </c>
      <c r="D98" s="39" t="inlineStr">
        <is>
          <t>Cường kích, Cường kích TN</t>
        </is>
      </c>
      <c r="E98" s="39" t="inlineStr">
        <is>
          <t>Nổ lõm</t>
        </is>
      </c>
      <c r="F98" s="39" t="inlineStr">
        <is>
          <t>Atgm</t>
        </is>
      </c>
      <c r="G98" s="42" t="n">
        <v>680</v>
      </c>
      <c r="H98" s="42" t="n">
        <v>4</v>
      </c>
      <c r="I98" s="42" t="n">
        <v>4</v>
      </c>
      <c r="J98" s="42" t="n">
        <v>378</v>
      </c>
      <c r="K98" s="42" t="n">
        <v>378</v>
      </c>
      <c r="L98" s="39" t="inlineStr">
        <is>
          <t>từng phát</t>
        </is>
      </c>
      <c r="M98" s="39" t="inlineStr">
        <is>
          <t>từng phát</t>
        </is>
      </c>
      <c r="N98" s="42" t="n">
        <v>0.127226463104326</v>
      </c>
      <c r="O98" s="42" t="n">
        <v>0.127226463104326</v>
      </c>
      <c r="P98" s="42" t="n">
        <v>1</v>
      </c>
      <c r="Q98" s="42" t="n">
        <v>1</v>
      </c>
      <c r="R98" s="42" t="n">
        <v>7.86</v>
      </c>
      <c r="S98" s="42" t="n">
        <v>7.86</v>
      </c>
      <c r="T98" s="42" t="n">
        <v>40</v>
      </c>
      <c r="U98" s="42" t="n">
        <v>40</v>
      </c>
      <c r="V98" s="42" t="n">
        <v>10</v>
      </c>
      <c r="W98" s="42" t="n">
        <v>32</v>
      </c>
      <c r="X98" s="50">
        <f>IFERROR(U98/W98,"")</f>
        <v/>
      </c>
      <c r="Y98" s="50" t="n"/>
      <c r="Z98" s="50" t="n"/>
      <c r="AA98" s="50">
        <f>IFERROR(IF(L98="từng phát",J98*N98,J98*P98/(P98/N98+R98)),"")</f>
        <v/>
      </c>
      <c r="AB98" s="50">
        <f>IFERROR(IF(M98="từng phát",K98*O98,K98*Q98/(Q98/O98+S98)),"")</f>
        <v/>
      </c>
      <c r="AC98" s="50">
        <f>IFERROR(AB98*VLOOKUP(E98,'Hệ số'!$A$2:$D$8,2,0)*IF((I98-0)&gt;=2,1.2,IF((I98-0)=1,1,IF((I98-0)=0,0.85,IF((I98-0)=-1,0.5,IF((I98-0)=-2,0.25,0.1))))),"")</f>
        <v/>
      </c>
      <c r="AD98" s="50">
        <f>IFERROR(AB98*VLOOKUP(E98,'Hệ số'!$A$2:$D$8,2,0)*IF((I98-1)&gt;=2,1.2,IF((I98-1)=1,1,IF((I98-1)=0,0.85,IF((I98-1)=-1,0.5,IF((I98-1)=-2,0.25,0.1))))),"")</f>
        <v/>
      </c>
      <c r="AE98" s="50">
        <f>IFERROR(AB98*VLOOKUP(E98,'Hệ số'!$A$2:$D$8,2,0)*IF((I98-2)&gt;=2,1.2,IF((I98-2)=1,1,IF((I98-2)=0,0.85,IF((I98-2)=-1,0.5,IF((I98-2)=-2,0.25,0.1))))),"")</f>
        <v/>
      </c>
      <c r="AF98" s="50">
        <f>IFERROR(AB98*VLOOKUP(E98,'Hệ số'!$A$2:$D$8,2,0)*IF((I98-3)&gt;=2,1.2,IF((I98-3)=1,1,IF((I98-3)=0,0.85,IF((I98-3)=-1,0.5,IF((I98-3)=-2,0.25,0.1))))),"")</f>
        <v/>
      </c>
      <c r="AG98" s="50">
        <f>IFERROR(AB98*VLOOKUP(E98,'Hệ số'!$A$2:$D$8,2,0)*IF((I98-4)&gt;=2,1.2,IF((I98-4)=1,1,IF((I98-4)=0,0.85,IF((I98-4)=-1,0.5,IF((I98-4)=-2,0.25,0.1))))),"")</f>
        <v/>
      </c>
      <c r="AH98" s="50">
        <f>IFERROR(AB98*VLOOKUP(E98,'Hệ số'!$A$2:$D$8,2,0)*IF((I98-5)&gt;=2,1.2,IF((I98-5)=1,1,IF((I98-5)=0,0.85,IF((I98-5)=-1,0.5,IF((I98-5)=-2,0.25,0.1))))),"")</f>
        <v/>
      </c>
      <c r="AI98" s="50">
        <f>IFERROR(AB98*VLOOKUP(E98,'Hệ số'!$A$2:$D$8,3,0),"")</f>
        <v/>
      </c>
      <c r="AJ98" s="50">
        <f>IFERROR(AB98*VLOOKUP(E98,'Hệ số'!$A$2:$D$8,4,0)*IF((I98-2)&gt;=2,1.2,IF((I98-2)=1,1,IF((I98-2)=0,0.85,IF((I98-2)=-1,0.5,IF((I98-2)=-2,0.25,0.1))))),"")</f>
        <v/>
      </c>
      <c r="AK98" s="39" t="inlineStr">
        <is>
          <t>Dẫn đường; bị APS và giáp phản ứng nổ giảm (đầu nổ lõm); bay chậm nên né và khói có tác dụng.</t>
        </is>
      </c>
      <c r="AL98" s="39" t="n"/>
      <c r="AM98" s="39" t="inlineStr">
        <is>
          <t>Kh-29L: 10 km, Mach 2,5, đầu nổ 320 kg</t>
        </is>
      </c>
      <c r="AN98" s="39" t="inlineStr">
        <is>
          <t>Tốc độ bay 10→32 m/s: Tên lửa không đối đất nặng Mach 2,5 ngoài đời: đang 10 m/s như drone.</t>
        </is>
      </c>
      <c r="AO98" s="47" t="inlineStr">
        <is>
          <t>Cao</t>
        </is>
      </c>
    </row>
    <row r="99" ht="21.75" customHeight="1" s="32">
      <c r="A99" s="41" t="inlineStr">
        <is>
          <t>kornet_multi</t>
        </is>
      </c>
      <c r="B99" s="41" t="inlineStr">
        <is>
          <t>9M133 Kornet</t>
        </is>
      </c>
      <c r="C99" s="41" t="inlineStr">
        <is>
          <t>Tên lửa chống tăng / không đối đất</t>
        </is>
      </c>
      <c r="D99" s="41" t="inlineStr">
        <is>
          <t>Đa năng</t>
        </is>
      </c>
      <c r="E99" s="41" t="inlineStr">
        <is>
          <t>Nổ lõm</t>
        </is>
      </c>
      <c r="F99" s="41" t="inlineStr">
        <is>
          <t>Atgm</t>
        </is>
      </c>
      <c r="G99" s="43" t="n">
        <v>29</v>
      </c>
      <c r="H99" s="43" t="n">
        <v>4</v>
      </c>
      <c r="I99" s="43" t="n">
        <v>4</v>
      </c>
      <c r="J99" s="43" t="n">
        <v>230</v>
      </c>
      <c r="K99" s="43" t="n">
        <v>230</v>
      </c>
      <c r="L99" s="41" t="inlineStr">
        <is>
          <t>loạt</t>
        </is>
      </c>
      <c r="M99" s="41" t="inlineStr">
        <is>
          <t>loạt</t>
        </is>
      </c>
      <c r="N99" s="43" t="n">
        <v>1.67</v>
      </c>
      <c r="O99" s="43" t="n">
        <v>1.67</v>
      </c>
      <c r="P99" s="43" t="n">
        <v>2</v>
      </c>
      <c r="Q99" s="43" t="n">
        <v>2</v>
      </c>
      <c r="R99" s="43" t="n">
        <v>4.35</v>
      </c>
      <c r="S99" s="43" t="n">
        <v>4.35</v>
      </c>
      <c r="T99" s="43" t="n">
        <v>50</v>
      </c>
      <c r="U99" s="43" t="n">
        <v>50</v>
      </c>
      <c r="V99" s="43" t="n">
        <v>20</v>
      </c>
      <c r="W99" s="43" t="n">
        <v>22</v>
      </c>
      <c r="X99" s="51">
        <f>IFERROR(U99/W99,"")</f>
        <v/>
      </c>
      <c r="Y99" s="51" t="n"/>
      <c r="Z99" s="51" t="n"/>
      <c r="AA99" s="51">
        <f>IFERROR(IF(L99="từng phát",J99*N99,J99*P99/(P99/N99+R99)),"")</f>
        <v/>
      </c>
      <c r="AB99" s="51">
        <f>IFERROR(IF(M99="từng phát",K99*O99,K99*Q99/(Q99/O99+S99)),"")</f>
        <v/>
      </c>
      <c r="AC99" s="51">
        <f>IFERROR(AB99*VLOOKUP(E99,'Hệ số'!$A$2:$D$8,2,0)*IF((I99-0)&gt;=2,1.2,IF((I99-0)=1,1,IF((I99-0)=0,0.85,IF((I99-0)=-1,0.5,IF((I99-0)=-2,0.25,0.1))))),"")</f>
        <v/>
      </c>
      <c r="AD99" s="51">
        <f>IFERROR(AB99*VLOOKUP(E99,'Hệ số'!$A$2:$D$8,2,0)*IF((I99-1)&gt;=2,1.2,IF((I99-1)=1,1,IF((I99-1)=0,0.85,IF((I99-1)=-1,0.5,IF((I99-1)=-2,0.25,0.1))))),"")</f>
        <v/>
      </c>
      <c r="AE99" s="51">
        <f>IFERROR(AB99*VLOOKUP(E99,'Hệ số'!$A$2:$D$8,2,0)*IF((I99-2)&gt;=2,1.2,IF((I99-2)=1,1,IF((I99-2)=0,0.85,IF((I99-2)=-1,0.5,IF((I99-2)=-2,0.25,0.1))))),"")</f>
        <v/>
      </c>
      <c r="AF99" s="51">
        <f>IFERROR(AB99*VLOOKUP(E99,'Hệ số'!$A$2:$D$8,2,0)*IF((I99-3)&gt;=2,1.2,IF((I99-3)=1,1,IF((I99-3)=0,0.85,IF((I99-3)=-1,0.5,IF((I99-3)=-2,0.25,0.1))))),"")</f>
        <v/>
      </c>
      <c r="AG99" s="51">
        <f>IFERROR(AB99*VLOOKUP(E99,'Hệ số'!$A$2:$D$8,2,0)*IF((I99-4)&gt;=2,1.2,IF((I99-4)=1,1,IF((I99-4)=0,0.85,IF((I99-4)=-1,0.5,IF((I99-4)=-2,0.25,0.1))))),"")</f>
        <v/>
      </c>
      <c r="AH99" s="51">
        <f>IFERROR(AB99*VLOOKUP(E99,'Hệ số'!$A$2:$D$8,2,0)*IF((I99-5)&gt;=2,1.2,IF((I99-5)=1,1,IF((I99-5)=0,0.85,IF((I99-5)=-1,0.5,IF((I99-5)=-2,0.25,0.1))))),"")</f>
        <v/>
      </c>
      <c r="AI99" s="51">
        <f>IFERROR(AB99*VLOOKUP(E99,'Hệ số'!$A$2:$D$8,3,0),"")</f>
        <v/>
      </c>
      <c r="AJ99" s="51">
        <f>IFERROR(AB99*VLOOKUP(E99,'Hệ số'!$A$2:$D$8,4,0)*IF((I99-2)&gt;=2,1.2,IF((I99-2)=1,1,IF((I99-2)=0,0.85,IF((I99-2)=-1,0.5,IF((I99-2)=-2,0.25,0.1))))),"")</f>
        <v/>
      </c>
      <c r="AK99" s="41" t="inlineStr">
        <is>
          <t>Dẫn đường; bị APS và giáp phản ứng nổ giảm (đầu nổ lõm); bay chậm nên né và khói có tác dụng.</t>
        </is>
      </c>
      <c r="AL99" s="41" t="n"/>
      <c r="AM99" s="41" t="inlineStr">
        <is>
          <t>Kornet</t>
        </is>
      </c>
      <c r="AN99" s="41" t="inlineStr">
        <is>
          <t>Tốc độ bay 20→22 m/s: Thống nhất tốc độ Kornet ở mọi đơn vị (22 m/s).</t>
        </is>
      </c>
      <c r="AO99" s="48" t="inlineStr">
        <is>
          <t>Trung</t>
        </is>
      </c>
    </row>
    <row r="100" ht="21.75" customHeight="1" s="32">
      <c r="A100" s="39" t="inlineStr">
        <is>
          <t>kornet_top</t>
        </is>
      </c>
      <c r="B100" s="39" t="inlineStr">
        <is>
          <t>9M133 Kornet</t>
        </is>
      </c>
      <c r="C100" s="39" t="inlineStr">
        <is>
          <t>Tên lửa chống tăng / không đối đất</t>
        </is>
      </c>
      <c r="D100" s="39" t="inlineStr">
        <is>
          <t>Đánh từ trên</t>
        </is>
      </c>
      <c r="E100" s="39" t="inlineStr">
        <is>
          <t>Nổ lõm</t>
        </is>
      </c>
      <c r="F100" s="39" t="inlineStr">
        <is>
          <t>Atgm</t>
        </is>
      </c>
      <c r="G100" s="42" t="n">
        <v>29</v>
      </c>
      <c r="H100" s="42" t="n">
        <v>4</v>
      </c>
      <c r="I100" s="42" t="n">
        <v>4</v>
      </c>
      <c r="J100" s="42" t="n">
        <v>230</v>
      </c>
      <c r="K100" s="42" t="n">
        <v>230</v>
      </c>
      <c r="L100" s="39" t="inlineStr">
        <is>
          <t>loạt</t>
        </is>
      </c>
      <c r="M100" s="39" t="inlineStr">
        <is>
          <t>loạt</t>
        </is>
      </c>
      <c r="N100" s="42" t="n">
        <v>1.67</v>
      </c>
      <c r="O100" s="42" t="n">
        <v>1.67</v>
      </c>
      <c r="P100" s="42" t="n">
        <v>2</v>
      </c>
      <c r="Q100" s="42" t="n">
        <v>2</v>
      </c>
      <c r="R100" s="42" t="n">
        <v>4</v>
      </c>
      <c r="S100" s="42" t="n">
        <v>4</v>
      </c>
      <c r="T100" s="42" t="n">
        <v>50</v>
      </c>
      <c r="U100" s="42" t="n">
        <v>50</v>
      </c>
      <c r="V100" s="42" t="n">
        <v>20</v>
      </c>
      <c r="W100" s="42" t="n">
        <v>22</v>
      </c>
      <c r="X100" s="50">
        <f>IFERROR(U100/W100,"")</f>
        <v/>
      </c>
      <c r="Y100" s="50" t="n"/>
      <c r="Z100" s="50" t="n"/>
      <c r="AA100" s="50">
        <f>IFERROR(IF(L100="từng phát",J100*N100,J100*P100/(P100/N100+R100)),"")</f>
        <v/>
      </c>
      <c r="AB100" s="50">
        <f>IFERROR(IF(M100="từng phát",K100*O100,K100*Q100/(Q100/O100+S100)),"")</f>
        <v/>
      </c>
      <c r="AC100" s="50">
        <f>IFERROR(AB100*VLOOKUP(E100,'Hệ số'!$A$2:$D$8,2,0)*IF((I100-0)&gt;=2,1.2,IF((I100-0)=1,1,IF((I100-0)=0,0.85,IF((I100-0)=-1,0.5,IF((I100-0)=-2,0.25,0.1))))),"")</f>
        <v/>
      </c>
      <c r="AD100" s="50">
        <f>IFERROR(AB100*VLOOKUP(E100,'Hệ số'!$A$2:$D$8,2,0)*IF((I100-1)&gt;=2,1.2,IF((I100-1)=1,1,IF((I100-1)=0,0.85,IF((I100-1)=-1,0.5,IF((I100-1)=-2,0.25,0.1))))),"")</f>
        <v/>
      </c>
      <c r="AE100" s="50">
        <f>IFERROR(AB100*VLOOKUP(E100,'Hệ số'!$A$2:$D$8,2,0)*IF((I100-2)&gt;=2,1.2,IF((I100-2)=1,1,IF((I100-2)=0,0.85,IF((I100-2)=-1,0.5,IF((I100-2)=-2,0.25,0.1))))),"")</f>
        <v/>
      </c>
      <c r="AF100" s="50">
        <f>IFERROR(AB100*VLOOKUP(E100,'Hệ số'!$A$2:$D$8,2,0)*IF((I100-3)&gt;=2,1.2,IF((I100-3)=1,1,IF((I100-3)=0,0.85,IF((I100-3)=-1,0.5,IF((I100-3)=-2,0.25,0.1))))),"")</f>
        <v/>
      </c>
      <c r="AG100" s="50">
        <f>IFERROR(AB100*VLOOKUP(E100,'Hệ số'!$A$2:$D$8,2,0)*IF((I100-4)&gt;=2,1.2,IF((I100-4)=1,1,IF((I100-4)=0,0.85,IF((I100-4)=-1,0.5,IF((I100-4)=-2,0.25,0.1))))),"")</f>
        <v/>
      </c>
      <c r="AH100" s="50">
        <f>IFERROR(AB100*VLOOKUP(E100,'Hệ số'!$A$2:$D$8,2,0)*IF((I100-5)&gt;=2,1.2,IF((I100-5)=1,1,IF((I100-5)=0,0.85,IF((I100-5)=-1,0.5,IF((I100-5)=-2,0.25,0.1))))),"")</f>
        <v/>
      </c>
      <c r="AI100" s="50">
        <f>IFERROR(AB100*VLOOKUP(E100,'Hệ số'!$A$2:$D$8,3,0),"")</f>
        <v/>
      </c>
      <c r="AJ100" s="50">
        <f>IFERROR(AB100*VLOOKUP(E100,'Hệ số'!$A$2:$D$8,4,0)*IF((I100-2)&gt;=2,1.2,IF((I100-2)=1,1,IF((I100-2)=0,0.85,IF((I100-2)=-1,0.5,IF((I100-2)=-2,0.25,0.1))))),"")</f>
        <v/>
      </c>
      <c r="AK100" s="39" t="inlineStr">
        <is>
          <t>Dẫn đường; bị APS và giáp phản ứng nổ giảm (đầu nổ lõm); bay chậm nên né và khói có tác dụng.</t>
        </is>
      </c>
      <c r="AL100" s="39" t="n"/>
      <c r="AM100" s="39" t="inlineStr">
        <is>
          <t>Kornet</t>
        </is>
      </c>
      <c r="AN100" s="39" t="inlineStr">
        <is>
          <t>Tốc độ bay 20→22 m/s: Thống nhất tốc độ Kornet ở mọi đơn vị (22 m/s).</t>
        </is>
      </c>
      <c r="AO100" s="48" t="inlineStr">
        <is>
          <t>Trung</t>
        </is>
      </c>
    </row>
    <row r="101" ht="21.75" customHeight="1" s="32">
      <c r="A101" s="41" t="inlineStr">
        <is>
          <t>kornet_twin</t>
        </is>
      </c>
      <c r="B101" s="41" t="inlineStr">
        <is>
          <t>9M133 Kornet</t>
        </is>
      </c>
      <c r="C101" s="41" t="inlineStr">
        <is>
          <t>Tên lửa chống tăng / không đối đất</t>
        </is>
      </c>
      <c r="D101" s="41" t="inlineStr">
        <is>
          <t>Bastion</t>
        </is>
      </c>
      <c r="E101" s="41" t="inlineStr">
        <is>
          <t>Nổ lõm</t>
        </is>
      </c>
      <c r="F101" s="41" t="inlineStr">
        <is>
          <t>Atgm</t>
        </is>
      </c>
      <c r="G101" s="43" t="n">
        <v>29</v>
      </c>
      <c r="H101" s="43" t="n">
        <v>4</v>
      </c>
      <c r="I101" s="43" t="n">
        <v>4</v>
      </c>
      <c r="J101" s="43" t="n">
        <v>230</v>
      </c>
      <c r="K101" s="43" t="n">
        <v>230</v>
      </c>
      <c r="L101" s="41" t="inlineStr">
        <is>
          <t>loạt</t>
        </is>
      </c>
      <c r="M101" s="41" t="inlineStr">
        <is>
          <t>loạt</t>
        </is>
      </c>
      <c r="N101" s="43" t="n">
        <v>1.67</v>
      </c>
      <c r="O101" s="43" t="n">
        <v>1.67</v>
      </c>
      <c r="P101" s="43" t="n">
        <v>2</v>
      </c>
      <c r="Q101" s="43" t="n">
        <v>2</v>
      </c>
      <c r="R101" s="43" t="n">
        <v>9.91</v>
      </c>
      <c r="S101" s="43" t="n">
        <v>9.91</v>
      </c>
      <c r="T101" s="43" t="n">
        <v>50</v>
      </c>
      <c r="U101" s="43" t="n">
        <v>50</v>
      </c>
      <c r="V101" s="43" t="n">
        <v>20</v>
      </c>
      <c r="W101" s="43" t="n">
        <v>22</v>
      </c>
      <c r="X101" s="51">
        <f>IFERROR(U101/W101,"")</f>
        <v/>
      </c>
      <c r="Y101" s="51" t="n"/>
      <c r="Z101" s="51" t="n"/>
      <c r="AA101" s="51">
        <f>IFERROR(IF(L101="từng phát",J101*N101,J101*P101/(P101/N101+R101)),"")</f>
        <v/>
      </c>
      <c r="AB101" s="51">
        <f>IFERROR(IF(M101="từng phát",K101*O101,K101*Q101/(Q101/O101+S101)),"")</f>
        <v/>
      </c>
      <c r="AC101" s="51">
        <f>IFERROR(AB101*VLOOKUP(E101,'Hệ số'!$A$2:$D$8,2,0)*IF((I101-0)&gt;=2,1.2,IF((I101-0)=1,1,IF((I101-0)=0,0.85,IF((I101-0)=-1,0.5,IF((I101-0)=-2,0.25,0.1))))),"")</f>
        <v/>
      </c>
      <c r="AD101" s="51">
        <f>IFERROR(AB101*VLOOKUP(E101,'Hệ số'!$A$2:$D$8,2,0)*IF((I101-1)&gt;=2,1.2,IF((I101-1)=1,1,IF((I101-1)=0,0.85,IF((I101-1)=-1,0.5,IF((I101-1)=-2,0.25,0.1))))),"")</f>
        <v/>
      </c>
      <c r="AE101" s="51">
        <f>IFERROR(AB101*VLOOKUP(E101,'Hệ số'!$A$2:$D$8,2,0)*IF((I101-2)&gt;=2,1.2,IF((I101-2)=1,1,IF((I101-2)=0,0.85,IF((I101-2)=-1,0.5,IF((I101-2)=-2,0.25,0.1))))),"")</f>
        <v/>
      </c>
      <c r="AF101" s="51">
        <f>IFERROR(AB101*VLOOKUP(E101,'Hệ số'!$A$2:$D$8,2,0)*IF((I101-3)&gt;=2,1.2,IF((I101-3)=1,1,IF((I101-3)=0,0.85,IF((I101-3)=-1,0.5,IF((I101-3)=-2,0.25,0.1))))),"")</f>
        <v/>
      </c>
      <c r="AG101" s="51">
        <f>IFERROR(AB101*VLOOKUP(E101,'Hệ số'!$A$2:$D$8,2,0)*IF((I101-4)&gt;=2,1.2,IF((I101-4)=1,1,IF((I101-4)=0,0.85,IF((I101-4)=-1,0.5,IF((I101-4)=-2,0.25,0.1))))),"")</f>
        <v/>
      </c>
      <c r="AH101" s="51">
        <f>IFERROR(AB101*VLOOKUP(E101,'Hệ số'!$A$2:$D$8,2,0)*IF((I101-5)&gt;=2,1.2,IF((I101-5)=1,1,IF((I101-5)=0,0.85,IF((I101-5)=-1,0.5,IF((I101-5)=-2,0.25,0.1))))),"")</f>
        <v/>
      </c>
      <c r="AI101" s="51">
        <f>IFERROR(AB101*VLOOKUP(E101,'Hệ số'!$A$2:$D$8,3,0),"")</f>
        <v/>
      </c>
      <c r="AJ101" s="51">
        <f>IFERROR(AB101*VLOOKUP(E101,'Hệ số'!$A$2:$D$8,4,0)*IF((I101-2)&gt;=2,1.2,IF((I101-2)=1,1,IF((I101-2)=0,0.85,IF((I101-2)=-1,0.5,IF((I101-2)=-2,0.25,0.1))))),"")</f>
        <v/>
      </c>
      <c r="AK101" s="41" t="inlineStr">
        <is>
          <t>Dẫn đường; bị APS và giáp phản ứng nổ giảm (đầu nổ lõm); bay chậm nên né và khói có tác dụng.</t>
        </is>
      </c>
      <c r="AL101" s="41" t="n"/>
      <c r="AM101" s="41" t="inlineStr">
        <is>
          <t>Kornet</t>
        </is>
      </c>
      <c r="AN101" s="41" t="inlineStr">
        <is>
          <t>Tốc độ bay 20→22 m/s: Thống nhất tốc độ Kornet ở mọi đơn vị (22 m/s).</t>
        </is>
      </c>
      <c r="AO101" s="48" t="inlineStr">
        <is>
          <t>Trung</t>
        </is>
      </c>
    </row>
    <row r="102" ht="21.75" customHeight="1" s="32">
      <c r="A102" s="39" t="inlineStr">
        <is>
          <t>lancet</t>
        </is>
      </c>
      <c r="B102" s="39" t="inlineStr">
        <is>
          <t>ZALA Lancet-3 (3 kg)</t>
        </is>
      </c>
      <c r="C102" s="39" t="inlineStr">
        <is>
          <t>Drone / đạn lảng vảng</t>
        </is>
      </c>
      <c r="D102" s="39" t="inlineStr">
        <is>
          <t>Lancet</t>
        </is>
      </c>
      <c r="E102" s="39" t="inlineStr">
        <is>
          <t>Nổ lõm</t>
        </is>
      </c>
      <c r="F102" s="39" t="inlineStr">
        <is>
          <t>Lancet</t>
        </is>
      </c>
      <c r="G102" s="42" t="n">
        <v>3</v>
      </c>
      <c r="H102" s="42" t="n">
        <v>4</v>
      </c>
      <c r="I102" s="42" t="n">
        <v>4</v>
      </c>
      <c r="J102" s="42" t="n">
        <v>240</v>
      </c>
      <c r="K102" s="42" t="n">
        <v>240</v>
      </c>
      <c r="L102" s="39" t="inlineStr">
        <is>
          <t>từng phát</t>
        </is>
      </c>
      <c r="M102" s="39" t="inlineStr">
        <is>
          <t>từng phát</t>
        </is>
      </c>
      <c r="N102" s="42" t="n">
        <v>0.12</v>
      </c>
      <c r="O102" s="42" t="n">
        <v>0.12</v>
      </c>
      <c r="P102" s="42" t="n">
        <v>1</v>
      </c>
      <c r="Q102" s="42" t="n">
        <v>1</v>
      </c>
      <c r="R102" s="42" t="n">
        <v>8.33333333333333</v>
      </c>
      <c r="S102" s="42" t="n">
        <v>8.33333333333333</v>
      </c>
      <c r="T102" s="42" t="n">
        <v>100</v>
      </c>
      <c r="U102" s="42" t="n">
        <v>100</v>
      </c>
      <c r="V102" s="42" t="n">
        <v>28</v>
      </c>
      <c r="W102" s="42" t="n">
        <v>28</v>
      </c>
      <c r="X102" s="50">
        <f>IFERROR(U102/W102,"")</f>
        <v/>
      </c>
      <c r="Y102" s="50" t="n"/>
      <c r="Z102" s="50" t="n"/>
      <c r="AA102" s="50">
        <f>IFERROR(IF(L102="từng phát",J102*N102,J102*P102/(P102/N102+R102)),"")</f>
        <v/>
      </c>
      <c r="AB102" s="50">
        <f>IFERROR(IF(M102="từng phát",K102*O102,K102*Q102/(Q102/O102+S102)),"")</f>
        <v/>
      </c>
      <c r="AC102" s="50">
        <f>IFERROR(AB102*VLOOKUP(E102,'Hệ số'!$A$2:$D$8,2,0)*IF((I102-0)&gt;=2,1.2,IF((I102-0)=1,1,IF((I102-0)=0,0.85,IF((I102-0)=-1,0.5,IF((I102-0)=-2,0.25,0.1))))),"")</f>
        <v/>
      </c>
      <c r="AD102" s="50">
        <f>IFERROR(AB102*VLOOKUP(E102,'Hệ số'!$A$2:$D$8,2,0)*IF((I102-1)&gt;=2,1.2,IF((I102-1)=1,1,IF((I102-1)=0,0.85,IF((I102-1)=-1,0.5,IF((I102-1)=-2,0.25,0.1))))),"")</f>
        <v/>
      </c>
      <c r="AE102" s="50">
        <f>IFERROR(AB102*VLOOKUP(E102,'Hệ số'!$A$2:$D$8,2,0)*IF((I102-2)&gt;=2,1.2,IF((I102-2)=1,1,IF((I102-2)=0,0.85,IF((I102-2)=-1,0.5,IF((I102-2)=-2,0.25,0.1))))),"")</f>
        <v/>
      </c>
      <c r="AF102" s="50">
        <f>IFERROR(AB102*VLOOKUP(E102,'Hệ số'!$A$2:$D$8,2,0)*IF((I102-3)&gt;=2,1.2,IF((I102-3)=1,1,IF((I102-3)=0,0.85,IF((I102-3)=-1,0.5,IF((I102-3)=-2,0.25,0.1))))),"")</f>
        <v/>
      </c>
      <c r="AG102" s="50">
        <f>IFERROR(AB102*VLOOKUP(E102,'Hệ số'!$A$2:$D$8,2,0)*IF((I102-4)&gt;=2,1.2,IF((I102-4)=1,1,IF((I102-4)=0,0.85,IF((I102-4)=-1,0.5,IF((I102-4)=-2,0.25,0.1))))),"")</f>
        <v/>
      </c>
      <c r="AH102" s="50">
        <f>IFERROR(AB102*VLOOKUP(E102,'Hệ số'!$A$2:$D$8,2,0)*IF((I102-5)&gt;=2,1.2,IF((I102-5)=1,1,IF((I102-5)=0,0.85,IF((I102-5)=-1,0.5,IF((I102-5)=-2,0.25,0.1))))),"")</f>
        <v/>
      </c>
      <c r="AI102" s="50">
        <f>IFERROR(AB102*VLOOKUP(E102,'Hệ số'!$A$2:$D$8,3,0),"")</f>
        <v/>
      </c>
      <c r="AJ102" s="50">
        <f>IFERROR(AB102*VLOOKUP(E102,'Hệ số'!$A$2:$D$8,4,0)*IF((I102-2)&gt;=2,1.2,IF((I102-2)=1,1,IF((I102-2)=0,0.85,IF((I102-2)=-1,0.5,IF((I102-2)=-2,0.25,0.1))))),"")</f>
        <v/>
      </c>
      <c r="AK102" s="39" t="inlineStr">
        <is>
          <t>Bay chậm, lượn tìm mục tiêu, đánh nóc; bị EW, APS, C-RAM, La-de PK và súng máy bắn hạ.</t>
        </is>
      </c>
      <c r="AL102" s="39" t="n"/>
      <c r="AM102" s="39" t="inlineStr">
        <is>
          <t>Lancet-3: đầu nổ 3 kg; tầm 40 km</t>
        </is>
      </c>
      <c r="AN102" s="39" t="inlineStr">
        <is>
          <t>Giữ.</t>
        </is>
      </c>
      <c r="AO102" s="39" t="n"/>
    </row>
    <row r="103" ht="21.75" customHeight="1" s="32">
      <c r="A103" s="41" t="inlineStr">
        <is>
          <t>lancet_hangar</t>
        </is>
      </c>
      <c r="B103" s="41" t="inlineStr">
        <is>
          <t>ZALA Lancet-3 (3 kg)</t>
        </is>
      </c>
      <c r="C103" s="41" t="inlineStr">
        <is>
          <t>Drone / đạn lảng vảng</t>
        </is>
      </c>
      <c r="D103" s="41" t="inlineStr">
        <is>
          <t>Lancet</t>
        </is>
      </c>
      <c r="E103" s="41" t="inlineStr">
        <is>
          <t>Nổ lõm</t>
        </is>
      </c>
      <c r="F103" s="41" t="inlineStr">
        <is>
          <t>Lancet</t>
        </is>
      </c>
      <c r="G103" s="43" t="n">
        <v>3</v>
      </c>
      <c r="H103" s="43" t="n">
        <v>4</v>
      </c>
      <c r="I103" s="43" t="n">
        <v>4</v>
      </c>
      <c r="J103" s="43" t="n">
        <v>240</v>
      </c>
      <c r="K103" s="43" t="n">
        <v>240</v>
      </c>
      <c r="L103" s="41" t="inlineStr">
        <is>
          <t>từng phát</t>
        </is>
      </c>
      <c r="M103" s="41" t="inlineStr">
        <is>
          <t>từng phát</t>
        </is>
      </c>
      <c r="N103" s="43" t="n">
        <v>0.28</v>
      </c>
      <c r="O103" s="43" t="n">
        <v>0.28</v>
      </c>
      <c r="P103" s="43" t="n">
        <v>1</v>
      </c>
      <c r="Q103" s="43" t="n">
        <v>1</v>
      </c>
      <c r="R103" s="43" t="n">
        <v>3.57142857142857</v>
      </c>
      <c r="S103" s="43" t="n">
        <v>3.57142857142857</v>
      </c>
      <c r="T103" s="43" t="n">
        <v>100</v>
      </c>
      <c r="U103" s="43" t="n">
        <v>100</v>
      </c>
      <c r="V103" s="43" t="n">
        <v>28</v>
      </c>
      <c r="W103" s="43" t="n">
        <v>28</v>
      </c>
      <c r="X103" s="51">
        <f>IFERROR(U103/W103,"")</f>
        <v/>
      </c>
      <c r="Y103" s="51" t="n"/>
      <c r="Z103" s="51" t="n"/>
      <c r="AA103" s="51">
        <f>IFERROR(IF(L103="từng phát",J103*N103,J103*P103/(P103/N103+R103)),"")</f>
        <v/>
      </c>
      <c r="AB103" s="51">
        <f>IFERROR(IF(M103="từng phát",K103*O103,K103*Q103/(Q103/O103+S103)),"")</f>
        <v/>
      </c>
      <c r="AC103" s="51">
        <f>IFERROR(AB103*VLOOKUP(E103,'Hệ số'!$A$2:$D$8,2,0)*IF((I103-0)&gt;=2,1.2,IF((I103-0)=1,1,IF((I103-0)=0,0.85,IF((I103-0)=-1,0.5,IF((I103-0)=-2,0.25,0.1))))),"")</f>
        <v/>
      </c>
      <c r="AD103" s="51">
        <f>IFERROR(AB103*VLOOKUP(E103,'Hệ số'!$A$2:$D$8,2,0)*IF((I103-1)&gt;=2,1.2,IF((I103-1)=1,1,IF((I103-1)=0,0.85,IF((I103-1)=-1,0.5,IF((I103-1)=-2,0.25,0.1))))),"")</f>
        <v/>
      </c>
      <c r="AE103" s="51">
        <f>IFERROR(AB103*VLOOKUP(E103,'Hệ số'!$A$2:$D$8,2,0)*IF((I103-2)&gt;=2,1.2,IF((I103-2)=1,1,IF((I103-2)=0,0.85,IF((I103-2)=-1,0.5,IF((I103-2)=-2,0.25,0.1))))),"")</f>
        <v/>
      </c>
      <c r="AF103" s="51">
        <f>IFERROR(AB103*VLOOKUP(E103,'Hệ số'!$A$2:$D$8,2,0)*IF((I103-3)&gt;=2,1.2,IF((I103-3)=1,1,IF((I103-3)=0,0.85,IF((I103-3)=-1,0.5,IF((I103-3)=-2,0.25,0.1))))),"")</f>
        <v/>
      </c>
      <c r="AG103" s="51">
        <f>IFERROR(AB103*VLOOKUP(E103,'Hệ số'!$A$2:$D$8,2,0)*IF((I103-4)&gt;=2,1.2,IF((I103-4)=1,1,IF((I103-4)=0,0.85,IF((I103-4)=-1,0.5,IF((I103-4)=-2,0.25,0.1))))),"")</f>
        <v/>
      </c>
      <c r="AH103" s="51">
        <f>IFERROR(AB103*VLOOKUP(E103,'Hệ số'!$A$2:$D$8,2,0)*IF((I103-5)&gt;=2,1.2,IF((I103-5)=1,1,IF((I103-5)=0,0.85,IF((I103-5)=-1,0.5,IF((I103-5)=-2,0.25,0.1))))),"")</f>
        <v/>
      </c>
      <c r="AI103" s="51">
        <f>IFERROR(AB103*VLOOKUP(E103,'Hệ số'!$A$2:$D$8,3,0),"")</f>
        <v/>
      </c>
      <c r="AJ103" s="51">
        <f>IFERROR(AB103*VLOOKUP(E103,'Hệ số'!$A$2:$D$8,4,0)*IF((I103-2)&gt;=2,1.2,IF((I103-2)=1,1,IF((I103-2)=0,0.85,IF((I103-2)=-1,0.5,IF((I103-2)=-2,0.25,0.1))))),"")</f>
        <v/>
      </c>
      <c r="AK103" s="41" t="inlineStr">
        <is>
          <t>Bay chậm, lượn tìm mục tiêu, đánh nóc; bị EW, APS, C-RAM, La-de PK và súng máy bắn hạ.</t>
        </is>
      </c>
      <c r="AL103" s="41" t="n"/>
      <c r="AM103" s="41" t="inlineStr">
        <is>
          <t>Lancet-3</t>
        </is>
      </c>
      <c r="AN103" s="41" t="inlineStr">
        <is>
          <t>Giữ.</t>
        </is>
      </c>
      <c r="AO103" s="41" t="n"/>
    </row>
    <row r="104" ht="32.25" customHeight="1" s="32">
      <c r="A104" s="39" t="inlineStr">
        <is>
          <t>leviathan_460</t>
        </is>
      </c>
      <c r="B104" s="39" t="inlineStr">
        <is>
          <t>Type 94 460 mm/45</t>
        </is>
      </c>
      <c r="C104" s="39" t="inlineStr">
        <is>
          <t>Đạn pháo nổ mạnh</t>
        </is>
      </c>
      <c r="D104" s="39" t="inlineStr">
        <is>
          <t>Leviathan, Scylla</t>
        </is>
      </c>
      <c r="E104" s="39" t="inlineStr">
        <is>
          <t>Nổ mạnh</t>
        </is>
      </c>
      <c r="F104" s="39" t="inlineStr">
        <is>
          <t>HeShell</t>
        </is>
      </c>
      <c r="G104" s="42" t="n">
        <v>460</v>
      </c>
      <c r="H104" s="42" t="n">
        <v>4</v>
      </c>
      <c r="I104" s="42" t="n">
        <v>4</v>
      </c>
      <c r="J104" s="42" t="n">
        <v>950</v>
      </c>
      <c r="K104" s="42" t="n">
        <v>950</v>
      </c>
      <c r="L104" s="39" t="inlineStr">
        <is>
          <t>từng phát</t>
        </is>
      </c>
      <c r="M104" s="39" t="inlineStr">
        <is>
          <t>từng phát</t>
        </is>
      </c>
      <c r="N104" s="42" t="n">
        <v>0.0714285714285714</v>
      </c>
      <c r="O104" s="42" t="n">
        <v>0.0714285714285714</v>
      </c>
      <c r="P104" s="42" t="n">
        <v>1</v>
      </c>
      <c r="Q104" s="42" t="n">
        <v>1</v>
      </c>
      <c r="R104" s="42" t="n">
        <v>14</v>
      </c>
      <c r="S104" s="42" t="n">
        <v>14</v>
      </c>
      <c r="T104" s="42" t="n">
        <v>160</v>
      </c>
      <c r="U104" s="42" t="n">
        <v>160</v>
      </c>
      <c r="V104" s="42" t="n">
        <v>60</v>
      </c>
      <c r="W104" s="42" t="n">
        <v>60</v>
      </c>
      <c r="X104" s="50">
        <f>IFERROR(U104/W104,"")</f>
        <v/>
      </c>
      <c r="Y104" s="52" t="n">
        <v>7</v>
      </c>
      <c r="Z104" s="52" t="n">
        <v>13</v>
      </c>
      <c r="AA104" s="50">
        <f>IFERROR(IF(L104="từng phát",J104*N104,J104*P104/(P104/N104+R104)),"")</f>
        <v/>
      </c>
      <c r="AB104" s="50">
        <f>IFERROR(IF(M104="từng phát",K104*O104,K104*Q104/(Q104/O104+S104)),"")</f>
        <v/>
      </c>
      <c r="AC104" s="50">
        <f>IFERROR(AB104*VLOOKUP(E104,'Hệ số'!$A$2:$D$8,2,0)*IF((I104-0)&gt;=2,1.2,IF((I104-0)=1,1,IF((I104-0)=0,0.85,IF((I104-0)=-1,0.5,IF((I104-0)=-2,0.25,0.1))))),"")</f>
        <v/>
      </c>
      <c r="AD104" s="50">
        <f>IFERROR(AB104*VLOOKUP(E104,'Hệ số'!$A$2:$D$8,2,0)*IF((I104-1)&gt;=2,1.2,IF((I104-1)=1,1,IF((I104-1)=0,0.85,IF((I104-1)=-1,0.5,IF((I104-1)=-2,0.25,0.1))))),"")</f>
        <v/>
      </c>
      <c r="AE104" s="50">
        <f>IFERROR(AB104*VLOOKUP(E104,'Hệ số'!$A$2:$D$8,2,0)*IF((I104-2)&gt;=2,1.2,IF((I104-2)=1,1,IF((I104-2)=0,0.85,IF((I104-2)=-1,0.5,IF((I104-2)=-2,0.25,0.1))))),"")</f>
        <v/>
      </c>
      <c r="AF104" s="50">
        <f>IFERROR(AB104*VLOOKUP(E104,'Hệ số'!$A$2:$D$8,2,0)*IF((I104-3)&gt;=2,1.2,IF((I104-3)=1,1,IF((I104-3)=0,0.85,IF((I104-3)=-1,0.5,IF((I104-3)=-2,0.25,0.1))))),"")</f>
        <v/>
      </c>
      <c r="AG104" s="50">
        <f>IFERROR(AB104*VLOOKUP(E104,'Hệ số'!$A$2:$D$8,2,0)*IF((I104-4)&gt;=2,1.2,IF((I104-4)=1,1,IF((I104-4)=0,0.85,IF((I104-4)=-1,0.5,IF((I104-4)=-2,0.25,0.1))))),"")</f>
        <v/>
      </c>
      <c r="AH104" s="50">
        <f>IFERROR(AB104*VLOOKUP(E104,'Hệ số'!$A$2:$D$8,2,0)*IF((I104-5)&gt;=2,1.2,IF((I104-5)=1,1,IF((I104-5)=0,0.85,IF((I104-5)=-1,0.5,IF((I104-5)=-2,0.25,0.1))))),"")</f>
        <v/>
      </c>
      <c r="AI104" s="50">
        <f>IFERROR(AB104*VLOOKUP(E104,'Hệ số'!$A$2:$D$8,3,0),"")</f>
        <v/>
      </c>
      <c r="AJ104" s="50">
        <f>IFERROR(AB104*VLOOKUP(E104,'Hệ số'!$A$2:$D$8,4,0)*IF((I104-2)&gt;=2,1.2,IF((I104-2)=1,1,IF((I104-2)=0,0.85,IF((I104-2)=-1,0.5,IF((I104-2)=-2,0.25,0.1))))),"")</f>
        <v/>
      </c>
      <c r="AK104" s="39" t="inlineStr">
        <is>
          <t>Bắn cầu vồng hoặc bắn thẳng tùy pháo; nổ lan; C-RAM chặn được một phần; mạnh với công trình (×1,5).</t>
        </is>
      </c>
      <c r="AL104" s="39" t="inlineStr">
        <is>
          <t>Thêm đạn dẫn đường (Excalibur/Krasnopol: 1 phát, không tản mát) cho nhánh hạng 7 hoặc thẻ hỗ trợ.</t>
        </is>
      </c>
      <c r="AM104" s="39" t="inlineStr">
        <is>
          <t>Type 94 460 mm: 1,5–2 phát/phút, đạn 1,46 tấn</t>
        </is>
      </c>
      <c r="AN104" s="39" t="inlineStr">
        <is>
          <t>Đạn 1,46 tấn phải nổ lớn hơn cối 240 mm.</t>
        </is>
      </c>
      <c r="AO104" s="48" t="inlineStr">
        <is>
          <t>Trung</t>
        </is>
      </c>
    </row>
    <row r="105" ht="21.75" customHeight="1" s="32">
      <c r="A105" s="41" t="inlineStr">
        <is>
          <t>mg_coax</t>
        </is>
      </c>
      <c r="B105" s="41" t="inlineStr">
        <is>
          <t>PKT / M240 7.62 mm</t>
        </is>
      </c>
      <c r="C105" s="41" t="inlineStr">
        <is>
          <t>Súng máy 7,62 mm</t>
        </is>
      </c>
      <c r="D105" s="41" t="inlineStr">
        <is>
          <t>BMPT, Bọc thép, Bọc thép</t>
        </is>
      </c>
      <c r="E105" s="41" t="inlineStr">
        <is>
          <t>Động năng</t>
        </is>
      </c>
      <c r="F105" s="41" t="inlineStr">
        <is>
          <t>BulletSmall</t>
        </is>
      </c>
      <c r="G105" s="43" t="n">
        <v>7.6</v>
      </c>
      <c r="H105" s="43" t="n">
        <v>0</v>
      </c>
      <c r="I105" s="43" t="n">
        <v>0</v>
      </c>
      <c r="J105" s="43" t="n">
        <v>5.5</v>
      </c>
      <c r="K105" s="43" t="n">
        <v>5.5</v>
      </c>
      <c r="L105" s="41" t="inlineStr">
        <is>
          <t>băng</t>
        </is>
      </c>
      <c r="M105" s="41" t="inlineStr">
        <is>
          <t>băng</t>
        </is>
      </c>
      <c r="N105" s="43" t="n">
        <v>12</v>
      </c>
      <c r="O105" s="43" t="n">
        <v>12</v>
      </c>
      <c r="P105" s="43" t="n">
        <v>41</v>
      </c>
      <c r="Q105" s="43" t="n">
        <v>100</v>
      </c>
      <c r="R105" s="43" t="n">
        <v>1.59</v>
      </c>
      <c r="S105" s="43" t="n">
        <v>4</v>
      </c>
      <c r="T105" s="43" t="n">
        <v>20</v>
      </c>
      <c r="U105" s="43" t="n">
        <v>20</v>
      </c>
      <c r="V105" s="43" t="n">
        <v>240</v>
      </c>
      <c r="W105" s="43" t="n">
        <v>240</v>
      </c>
      <c r="X105" s="51">
        <f>IFERROR(U105/W105,"")</f>
        <v/>
      </c>
      <c r="Y105" s="51" t="n"/>
      <c r="Z105" s="51" t="n"/>
      <c r="AA105" s="51">
        <f>IFERROR(IF(L105="từng phát",J105*N105,J105*P105/(P105/N105+R105)),"")</f>
        <v/>
      </c>
      <c r="AB105" s="51">
        <f>IFERROR(IF(M105="từng phát",K105*O105,K105*Q105/(Q105/O105+S105)),"")</f>
        <v/>
      </c>
      <c r="AC105" s="51">
        <f>IFERROR(AB105*VLOOKUP(E105,'Hệ số'!$A$2:$D$8,2,0)*IF((I105-0)&gt;=2,1.2,IF((I105-0)=1,1,IF((I105-0)=0,0.85,IF((I105-0)=-1,0.5,IF((I105-0)=-2,0.25,0.1))))),"")</f>
        <v/>
      </c>
      <c r="AD105" s="51">
        <f>IFERROR(AB105*VLOOKUP(E105,'Hệ số'!$A$2:$D$8,2,0)*IF((I105-1)&gt;=2,1.2,IF((I105-1)=1,1,IF((I105-1)=0,0.85,IF((I105-1)=-1,0.5,IF((I105-1)=-2,0.25,0.1))))),"")</f>
        <v/>
      </c>
      <c r="AE105" s="51">
        <f>IFERROR(AB105*VLOOKUP(E105,'Hệ số'!$A$2:$D$8,2,0)*IF((I105-2)&gt;=2,1.2,IF((I105-2)=1,1,IF((I105-2)=0,0.85,IF((I105-2)=-1,0.5,IF((I105-2)=-2,0.25,0.1))))),"")</f>
        <v/>
      </c>
      <c r="AF105" s="51">
        <f>IFERROR(AB105*VLOOKUP(E105,'Hệ số'!$A$2:$D$8,2,0)*IF((I105-3)&gt;=2,1.2,IF((I105-3)=1,1,IF((I105-3)=0,0.85,IF((I105-3)=-1,0.5,IF((I105-3)=-2,0.25,0.1))))),"")</f>
        <v/>
      </c>
      <c r="AG105" s="51">
        <f>IFERROR(AB105*VLOOKUP(E105,'Hệ số'!$A$2:$D$8,2,0)*IF((I105-4)&gt;=2,1.2,IF((I105-4)=1,1,IF((I105-4)=0,0.85,IF((I105-4)=-1,0.5,IF((I105-4)=-2,0.25,0.1))))),"")</f>
        <v/>
      </c>
      <c r="AH105" s="51">
        <f>IFERROR(AB105*VLOOKUP(E105,'Hệ số'!$A$2:$D$8,2,0)*IF((I105-5)&gt;=2,1.2,IF((I105-5)=1,1,IF((I105-5)=0,0.85,IF((I105-5)=-1,0.5,IF((I105-5)=-2,0.25,0.1))))),"")</f>
        <v/>
      </c>
      <c r="AI105" s="51">
        <f>IFERROR(AB105*VLOOKUP(E105,'Hệ số'!$A$2:$D$8,3,0),"")</f>
        <v/>
      </c>
      <c r="AJ105" s="51">
        <f>IFERROR(AB105*VLOOKUP(E105,'Hệ số'!$A$2:$D$8,4,0)*IF((I105-2)&gt;=2,1.2,IF((I105-2)=1,1,IF((I105-2)=0,0.85,IF((I105-2)=-1,0.5,IF((I105-2)=-2,0.25,0.1))))),"")</f>
        <v/>
      </c>
      <c r="AK105" s="41" t="inlineStr">
        <is>
          <t>Bắn cả khi chạy; bắn cả mục tiêu bay thấp; đạn nảy khỏi giáp từ cấp 1.</t>
        </is>
      </c>
      <c r="AL105" s="41" t="n"/>
      <c r="AM105" s="41" t="inlineStr">
        <is>
          <t>PKT/M240: 650–950</t>
        </is>
      </c>
      <c r="AN105" s="41" t="inlineStr">
        <is>
          <t>Băng 41 viên thay 1,6 s quá ngắn; dây đạn PKT/M240 thật 250 viên. Loạt dài hơn, thay lâu hơn, DPS duy trì gần như cũ.</t>
        </is>
      </c>
      <c r="AO105" s="48" t="inlineStr">
        <is>
          <t>Trung</t>
        </is>
      </c>
    </row>
    <row r="106" ht="21.75" customHeight="1" s="32">
      <c r="A106" s="39" t="inlineStr">
        <is>
          <t>mg_jeep</t>
        </is>
      </c>
      <c r="B106" s="39" t="inlineStr">
        <is>
          <t>M2 Browning 12.7 mm</t>
        </is>
      </c>
      <c r="C106" s="39" t="inlineStr">
        <is>
          <t>Súng máy 12,7 mm</t>
        </is>
      </c>
      <c r="D106" s="39" t="inlineStr">
        <is>
          <t>Trinh sát, Xe tiếp tế</t>
        </is>
      </c>
      <c r="E106" s="39" t="inlineStr">
        <is>
          <t>Động năng</t>
        </is>
      </c>
      <c r="F106" s="39" t="inlineStr">
        <is>
          <t>BulletBig</t>
        </is>
      </c>
      <c r="G106" s="42" t="n">
        <v>12.7</v>
      </c>
      <c r="H106" s="42" t="n">
        <v>1</v>
      </c>
      <c r="I106" s="42" t="n">
        <v>1</v>
      </c>
      <c r="J106" s="42" t="n">
        <v>9.5</v>
      </c>
      <c r="K106" s="42" t="n">
        <v>9.5</v>
      </c>
      <c r="L106" s="39" t="inlineStr">
        <is>
          <t>băng</t>
        </is>
      </c>
      <c r="M106" s="39" t="inlineStr">
        <is>
          <t>băng</t>
        </is>
      </c>
      <c r="N106" s="42" t="n">
        <v>9</v>
      </c>
      <c r="O106" s="42" t="n">
        <v>9</v>
      </c>
      <c r="P106" s="42" t="n">
        <v>28</v>
      </c>
      <c r="Q106" s="42" t="n">
        <v>100</v>
      </c>
      <c r="R106" s="42" t="n">
        <v>1.94</v>
      </c>
      <c r="S106" s="42" t="n">
        <v>5</v>
      </c>
      <c r="T106" s="42" t="n">
        <v>22</v>
      </c>
      <c r="U106" s="42" t="n">
        <v>22</v>
      </c>
      <c r="V106" s="42" t="n">
        <v>220</v>
      </c>
      <c r="W106" s="42" t="n">
        <v>220</v>
      </c>
      <c r="X106" s="50">
        <f>IFERROR(U106/W106,"")</f>
        <v/>
      </c>
      <c r="Y106" s="50" t="n"/>
      <c r="Z106" s="50" t="n"/>
      <c r="AA106" s="50">
        <f>IFERROR(IF(L106="từng phát",J106*N106,J106*P106/(P106/N106+R106)),"")</f>
        <v/>
      </c>
      <c r="AB106" s="50">
        <f>IFERROR(IF(M106="từng phát",K106*O106,K106*Q106/(Q106/O106+S106)),"")</f>
        <v/>
      </c>
      <c r="AC106" s="50">
        <f>IFERROR(AB106*VLOOKUP(E106,'Hệ số'!$A$2:$D$8,2,0)*IF((I106-0)&gt;=2,1.2,IF((I106-0)=1,1,IF((I106-0)=0,0.85,IF((I106-0)=-1,0.5,IF((I106-0)=-2,0.25,0.1))))),"")</f>
        <v/>
      </c>
      <c r="AD106" s="50">
        <f>IFERROR(AB106*VLOOKUP(E106,'Hệ số'!$A$2:$D$8,2,0)*IF((I106-1)&gt;=2,1.2,IF((I106-1)=1,1,IF((I106-1)=0,0.85,IF((I106-1)=-1,0.5,IF((I106-1)=-2,0.25,0.1))))),"")</f>
        <v/>
      </c>
      <c r="AE106" s="50">
        <f>IFERROR(AB106*VLOOKUP(E106,'Hệ số'!$A$2:$D$8,2,0)*IF((I106-2)&gt;=2,1.2,IF((I106-2)=1,1,IF((I106-2)=0,0.85,IF((I106-2)=-1,0.5,IF((I106-2)=-2,0.25,0.1))))),"")</f>
        <v/>
      </c>
      <c r="AF106" s="50">
        <f>IFERROR(AB106*VLOOKUP(E106,'Hệ số'!$A$2:$D$8,2,0)*IF((I106-3)&gt;=2,1.2,IF((I106-3)=1,1,IF((I106-3)=0,0.85,IF((I106-3)=-1,0.5,IF((I106-3)=-2,0.25,0.1))))),"")</f>
        <v/>
      </c>
      <c r="AG106" s="50">
        <f>IFERROR(AB106*VLOOKUP(E106,'Hệ số'!$A$2:$D$8,2,0)*IF((I106-4)&gt;=2,1.2,IF((I106-4)=1,1,IF((I106-4)=0,0.85,IF((I106-4)=-1,0.5,IF((I106-4)=-2,0.25,0.1))))),"")</f>
        <v/>
      </c>
      <c r="AH106" s="50">
        <f>IFERROR(AB106*VLOOKUP(E106,'Hệ số'!$A$2:$D$8,2,0)*IF((I106-5)&gt;=2,1.2,IF((I106-5)=1,1,IF((I106-5)=0,0.85,IF((I106-5)=-1,0.5,IF((I106-5)=-2,0.25,0.1))))),"")</f>
        <v/>
      </c>
      <c r="AI106" s="50">
        <f>IFERROR(AB106*VLOOKUP(E106,'Hệ số'!$A$2:$D$8,3,0),"")</f>
        <v/>
      </c>
      <c r="AJ106" s="50">
        <f>IFERROR(AB106*VLOOKUP(E106,'Hệ số'!$A$2:$D$8,4,0)*IF((I106-2)&gt;=2,1.2,IF((I106-2)=1,1,IF((I106-2)=0,0.85,IF((I106-2)=-1,0.5,IF((I106-2)=-2,0.25,0.1))))),"")</f>
        <v/>
      </c>
      <c r="AK106" s="39" t="inlineStr">
        <is>
          <t>Bắn cả khi chạy; mạnh với xe không giáp, drone, trực thăng; nảy khỏi giáp từ cấp 2.</t>
        </is>
      </c>
      <c r="AL106" s="39" t="inlineStr">
        <is>
          <t>Đạn xuyên API (xuyên 2) cho bản tinh nhuệ.</t>
        </is>
      </c>
      <c r="AM106" s="39" t="inlineStr">
        <is>
          <t>M2: 450–600</t>
        </is>
      </c>
      <c r="AN106" s="39" t="inlineStr">
        <is>
          <t>Như M2.</t>
        </is>
      </c>
      <c r="AO106" s="48" t="inlineStr">
        <is>
          <t>Trung</t>
        </is>
      </c>
    </row>
    <row r="107" ht="21.75" customHeight="1" s="32">
      <c r="A107" s="41" t="inlineStr">
        <is>
          <t>mg_jeep_selfdef</t>
        </is>
      </c>
      <c r="B107" s="41" t="inlineStr">
        <is>
          <t>M2 Browning 12.7 mm</t>
        </is>
      </c>
      <c r="C107" s="41" t="inlineStr">
        <is>
          <t>Súng máy 12,7 mm</t>
        </is>
      </c>
      <c r="D107" s="41" t="inlineStr">
        <is>
          <t>Bán tải</t>
        </is>
      </c>
      <c r="E107" s="41" t="inlineStr">
        <is>
          <t>Động năng</t>
        </is>
      </c>
      <c r="F107" s="41" t="inlineStr">
        <is>
          <t>BulletBig</t>
        </is>
      </c>
      <c r="G107" s="43" t="n">
        <v>12.7</v>
      </c>
      <c r="H107" s="43" t="n">
        <v>1</v>
      </c>
      <c r="I107" s="43" t="n">
        <v>1</v>
      </c>
      <c r="J107" s="43" t="n">
        <v>9.5</v>
      </c>
      <c r="K107" s="43" t="n">
        <v>9.5</v>
      </c>
      <c r="L107" s="41" t="inlineStr">
        <is>
          <t>băng</t>
        </is>
      </c>
      <c r="M107" s="41" t="inlineStr">
        <is>
          <t>băng</t>
        </is>
      </c>
      <c r="N107" s="43" t="n">
        <v>9</v>
      </c>
      <c r="O107" s="43" t="n">
        <v>9</v>
      </c>
      <c r="P107" s="43" t="n">
        <v>28</v>
      </c>
      <c r="Q107" s="43" t="n">
        <v>100</v>
      </c>
      <c r="R107" s="43" t="n">
        <v>1.94</v>
      </c>
      <c r="S107" s="43" t="n">
        <v>5</v>
      </c>
      <c r="T107" s="43" t="n">
        <v>13</v>
      </c>
      <c r="U107" s="43" t="n">
        <v>13</v>
      </c>
      <c r="V107" s="43" t="n">
        <v>220</v>
      </c>
      <c r="W107" s="43" t="n">
        <v>220</v>
      </c>
      <c r="X107" s="51">
        <f>IFERROR(U107/W107,"")</f>
        <v/>
      </c>
      <c r="Y107" s="51" t="n"/>
      <c r="Z107" s="51" t="n"/>
      <c r="AA107" s="51">
        <f>IFERROR(IF(L107="từng phát",J107*N107,J107*P107/(P107/N107+R107)),"")</f>
        <v/>
      </c>
      <c r="AB107" s="51">
        <f>IFERROR(IF(M107="từng phát",K107*O107,K107*Q107/(Q107/O107+S107)),"")</f>
        <v/>
      </c>
      <c r="AC107" s="51">
        <f>IFERROR(AB107*VLOOKUP(E107,'Hệ số'!$A$2:$D$8,2,0)*IF((I107-0)&gt;=2,1.2,IF((I107-0)=1,1,IF((I107-0)=0,0.85,IF((I107-0)=-1,0.5,IF((I107-0)=-2,0.25,0.1))))),"")</f>
        <v/>
      </c>
      <c r="AD107" s="51">
        <f>IFERROR(AB107*VLOOKUP(E107,'Hệ số'!$A$2:$D$8,2,0)*IF((I107-1)&gt;=2,1.2,IF((I107-1)=1,1,IF((I107-1)=0,0.85,IF((I107-1)=-1,0.5,IF((I107-1)=-2,0.25,0.1))))),"")</f>
        <v/>
      </c>
      <c r="AE107" s="51">
        <f>IFERROR(AB107*VLOOKUP(E107,'Hệ số'!$A$2:$D$8,2,0)*IF((I107-2)&gt;=2,1.2,IF((I107-2)=1,1,IF((I107-2)=0,0.85,IF((I107-2)=-1,0.5,IF((I107-2)=-2,0.25,0.1))))),"")</f>
        <v/>
      </c>
      <c r="AF107" s="51">
        <f>IFERROR(AB107*VLOOKUP(E107,'Hệ số'!$A$2:$D$8,2,0)*IF((I107-3)&gt;=2,1.2,IF((I107-3)=1,1,IF((I107-3)=0,0.85,IF((I107-3)=-1,0.5,IF((I107-3)=-2,0.25,0.1))))),"")</f>
        <v/>
      </c>
      <c r="AG107" s="51">
        <f>IFERROR(AB107*VLOOKUP(E107,'Hệ số'!$A$2:$D$8,2,0)*IF((I107-4)&gt;=2,1.2,IF((I107-4)=1,1,IF((I107-4)=0,0.85,IF((I107-4)=-1,0.5,IF((I107-4)=-2,0.25,0.1))))),"")</f>
        <v/>
      </c>
      <c r="AH107" s="51">
        <f>IFERROR(AB107*VLOOKUP(E107,'Hệ số'!$A$2:$D$8,2,0)*IF((I107-5)&gt;=2,1.2,IF((I107-5)=1,1,IF((I107-5)=0,0.85,IF((I107-5)=-1,0.5,IF((I107-5)=-2,0.25,0.1))))),"")</f>
        <v/>
      </c>
      <c r="AI107" s="51">
        <f>IFERROR(AB107*VLOOKUP(E107,'Hệ số'!$A$2:$D$8,3,0),"")</f>
        <v/>
      </c>
      <c r="AJ107" s="51">
        <f>IFERROR(AB107*VLOOKUP(E107,'Hệ số'!$A$2:$D$8,4,0)*IF((I107-2)&gt;=2,1.2,IF((I107-2)=1,1,IF((I107-2)=0,0.85,IF((I107-2)=-1,0.5,IF((I107-2)=-2,0.25,0.1))))),"")</f>
        <v/>
      </c>
      <c r="AK107" s="41" t="inlineStr">
        <is>
          <t>Bắn cả khi chạy; mạnh với xe không giáp, drone, trực thăng; nảy khỏi giáp từ cấp 2.</t>
        </is>
      </c>
      <c r="AL107" s="41" t="inlineStr">
        <is>
          <t>Đạn xuyên API (xuyên 2) cho bản tinh nhuệ.</t>
        </is>
      </c>
      <c r="AM107" s="41" t="n"/>
      <c r="AN107" s="41" t="inlineStr">
        <is>
          <t>Như M2.</t>
        </is>
      </c>
      <c r="AO107" s="48" t="inlineStr">
        <is>
          <t>Trung</t>
        </is>
      </c>
    </row>
    <row r="108" ht="21.75" customHeight="1" s="32">
      <c r="A108" s="39" t="inlineStr">
        <is>
          <t>minigun</t>
        </is>
      </c>
      <c r="B108" s="39" t="inlineStr">
        <is>
          <t>M134 Minigun 7.62</t>
        </is>
      </c>
      <c r="C108" s="39" t="inlineStr">
        <is>
          <t>Súng máy 7,62 mm</t>
        </is>
      </c>
      <c r="D108" s="39" t="inlineStr">
        <is>
          <t>TT trinh sát</t>
        </is>
      </c>
      <c r="E108" s="39" t="inlineStr">
        <is>
          <t>Động năng</t>
        </is>
      </c>
      <c r="F108" s="39" t="inlineStr">
        <is>
          <t>BulletSmall</t>
        </is>
      </c>
      <c r="G108" s="42" t="n">
        <v>7.6</v>
      </c>
      <c r="H108" s="42" t="n">
        <v>0</v>
      </c>
      <c r="I108" s="42" t="n">
        <v>0</v>
      </c>
      <c r="J108" s="42" t="n">
        <v>5.5</v>
      </c>
      <c r="K108" s="42" t="n">
        <v>5.5</v>
      </c>
      <c r="L108" s="39" t="inlineStr">
        <is>
          <t>băng</t>
        </is>
      </c>
      <c r="M108" s="39" t="inlineStr">
        <is>
          <t>băng</t>
        </is>
      </c>
      <c r="N108" s="42" t="n">
        <v>50</v>
      </c>
      <c r="O108" s="42" t="n">
        <v>50</v>
      </c>
      <c r="P108" s="42" t="n">
        <v>64</v>
      </c>
      <c r="Q108" s="42" t="n">
        <v>200</v>
      </c>
      <c r="R108" s="42" t="n">
        <v>4.81</v>
      </c>
      <c r="S108" s="42" t="n">
        <v>4</v>
      </c>
      <c r="T108" s="42" t="n">
        <v>24</v>
      </c>
      <c r="U108" s="42" t="n">
        <v>24</v>
      </c>
      <c r="V108" s="42" t="n">
        <v>240</v>
      </c>
      <c r="W108" s="42" t="n">
        <v>240</v>
      </c>
      <c r="X108" s="50">
        <f>IFERROR(U108/W108,"")</f>
        <v/>
      </c>
      <c r="Y108" s="50" t="n"/>
      <c r="Z108" s="50" t="n"/>
      <c r="AA108" s="50">
        <f>IFERROR(IF(L108="từng phát",J108*N108,J108*P108/(P108/N108+R108)),"")</f>
        <v/>
      </c>
      <c r="AB108" s="50">
        <f>IFERROR(IF(M108="từng phát",K108*O108,K108*Q108/(Q108/O108+S108)),"")</f>
        <v/>
      </c>
      <c r="AC108" s="50">
        <f>IFERROR(AB108*VLOOKUP(E108,'Hệ số'!$A$2:$D$8,2,0)*IF((I108-0)&gt;=2,1.2,IF((I108-0)=1,1,IF((I108-0)=0,0.85,IF((I108-0)=-1,0.5,IF((I108-0)=-2,0.25,0.1))))),"")</f>
        <v/>
      </c>
      <c r="AD108" s="50">
        <f>IFERROR(AB108*VLOOKUP(E108,'Hệ số'!$A$2:$D$8,2,0)*IF((I108-1)&gt;=2,1.2,IF((I108-1)=1,1,IF((I108-1)=0,0.85,IF((I108-1)=-1,0.5,IF((I108-1)=-2,0.25,0.1))))),"")</f>
        <v/>
      </c>
      <c r="AE108" s="50">
        <f>IFERROR(AB108*VLOOKUP(E108,'Hệ số'!$A$2:$D$8,2,0)*IF((I108-2)&gt;=2,1.2,IF((I108-2)=1,1,IF((I108-2)=0,0.85,IF((I108-2)=-1,0.5,IF((I108-2)=-2,0.25,0.1))))),"")</f>
        <v/>
      </c>
      <c r="AF108" s="50">
        <f>IFERROR(AB108*VLOOKUP(E108,'Hệ số'!$A$2:$D$8,2,0)*IF((I108-3)&gt;=2,1.2,IF((I108-3)=1,1,IF((I108-3)=0,0.85,IF((I108-3)=-1,0.5,IF((I108-3)=-2,0.25,0.1))))),"")</f>
        <v/>
      </c>
      <c r="AG108" s="50">
        <f>IFERROR(AB108*VLOOKUP(E108,'Hệ số'!$A$2:$D$8,2,0)*IF((I108-4)&gt;=2,1.2,IF((I108-4)=1,1,IF((I108-4)=0,0.85,IF((I108-4)=-1,0.5,IF((I108-4)=-2,0.25,0.1))))),"")</f>
        <v/>
      </c>
      <c r="AH108" s="50">
        <f>IFERROR(AB108*VLOOKUP(E108,'Hệ số'!$A$2:$D$8,2,0)*IF((I108-5)&gt;=2,1.2,IF((I108-5)=1,1,IF((I108-5)=0,0.85,IF((I108-5)=-1,0.5,IF((I108-5)=-2,0.25,0.1))))),"")</f>
        <v/>
      </c>
      <c r="AI108" s="50">
        <f>IFERROR(AB108*VLOOKUP(E108,'Hệ số'!$A$2:$D$8,3,0),"")</f>
        <v/>
      </c>
      <c r="AJ108" s="50">
        <f>IFERROR(AB108*VLOOKUP(E108,'Hệ số'!$A$2:$D$8,4,0)*IF((I108-2)&gt;=2,1.2,IF((I108-2)=1,1,IF((I108-2)=0,0.85,IF((I108-2)=-1,0.5,IF((I108-2)=-2,0.25,0.1))))),"")</f>
        <v/>
      </c>
      <c r="AK108" s="39" t="inlineStr">
        <is>
          <t>Bắn cả khi chạy; bắn cả mục tiêu bay thấp; đạn nảy khỏi giáp từ cấp 1.</t>
        </is>
      </c>
      <c r="AL108" s="39" t="n"/>
      <c r="AM108" s="39" t="inlineStr">
        <is>
          <t>M134: 2.000–6.000</t>
        </is>
      </c>
      <c r="AN108" s="39" t="inlineStr">
        <is>
          <t>M134 bắn luồng dài rồi nghỉ; hiện băng quá ngắn.</t>
        </is>
      </c>
      <c r="AO108" s="48" t="inlineStr">
        <is>
          <t>Trung</t>
        </is>
      </c>
    </row>
    <row r="109" ht="21.75" customHeight="1" s="32">
      <c r="A109" s="41" t="inlineStr">
        <is>
          <t>mlrs_elite</t>
        </is>
      </c>
      <c r="B109" s="41" t="inlineStr">
        <is>
          <t>M30 GMLRS 227 mm</t>
        </is>
      </c>
      <c r="C109" s="41" t="inlineStr">
        <is>
          <t>Rốc-két</t>
        </is>
      </c>
      <c r="D109" s="41" t="inlineStr">
        <is>
          <t>Phản lực TN</t>
        </is>
      </c>
      <c r="E109" s="41" t="inlineStr">
        <is>
          <t>Nổ mạnh</t>
        </is>
      </c>
      <c r="F109" s="41" t="inlineStr">
        <is>
          <t>Cluster</t>
        </is>
      </c>
      <c r="G109" s="43" t="n">
        <v>227</v>
      </c>
      <c r="H109" s="43" t="n">
        <v>3</v>
      </c>
      <c r="I109" s="43" t="n">
        <v>3</v>
      </c>
      <c r="J109" s="43" t="n">
        <v>105</v>
      </c>
      <c r="K109" s="43" t="n">
        <v>105</v>
      </c>
      <c r="L109" s="41" t="inlineStr">
        <is>
          <t>loạt</t>
        </is>
      </c>
      <c r="M109" s="41" t="inlineStr">
        <is>
          <t>loạt</t>
        </is>
      </c>
      <c r="N109" s="43" t="n">
        <v>7.14</v>
      </c>
      <c r="O109" s="43" t="n">
        <v>7.14</v>
      </c>
      <c r="P109" s="43" t="n">
        <v>5</v>
      </c>
      <c r="Q109" s="43" t="n">
        <v>5</v>
      </c>
      <c r="R109" s="43" t="n">
        <v>9.69</v>
      </c>
      <c r="S109" s="43" t="n">
        <v>9.69</v>
      </c>
      <c r="T109" s="43" t="n">
        <v>75</v>
      </c>
      <c r="U109" s="43" t="n">
        <v>75</v>
      </c>
      <c r="V109" s="43" t="n">
        <v>52</v>
      </c>
      <c r="W109" s="43" t="n">
        <v>50</v>
      </c>
      <c r="X109" s="51">
        <f>IFERROR(U109/W109,"")</f>
        <v/>
      </c>
      <c r="Y109" s="53" t="n">
        <v>5</v>
      </c>
      <c r="Z109" s="53" t="n">
        <v>5</v>
      </c>
      <c r="AA109" s="51">
        <f>IFERROR(IF(L109="từng phát",J109*N109,J109*P109/(P109/N109+R109)),"")</f>
        <v/>
      </c>
      <c r="AB109" s="51">
        <f>IFERROR(IF(M109="từng phát",K109*O109,K109*Q109/(Q109/O109+S109)),"")</f>
        <v/>
      </c>
      <c r="AC109" s="51">
        <f>IFERROR(AB109*VLOOKUP(E109,'Hệ số'!$A$2:$D$8,2,0)*IF((I109-0)&gt;=2,1.2,IF((I109-0)=1,1,IF((I109-0)=0,0.85,IF((I109-0)=-1,0.5,IF((I109-0)=-2,0.25,0.1))))),"")</f>
        <v/>
      </c>
      <c r="AD109" s="51">
        <f>IFERROR(AB109*VLOOKUP(E109,'Hệ số'!$A$2:$D$8,2,0)*IF((I109-1)&gt;=2,1.2,IF((I109-1)=1,1,IF((I109-1)=0,0.85,IF((I109-1)=-1,0.5,IF((I109-1)=-2,0.25,0.1))))),"")</f>
        <v/>
      </c>
      <c r="AE109" s="51">
        <f>IFERROR(AB109*VLOOKUP(E109,'Hệ số'!$A$2:$D$8,2,0)*IF((I109-2)&gt;=2,1.2,IF((I109-2)=1,1,IF((I109-2)=0,0.85,IF((I109-2)=-1,0.5,IF((I109-2)=-2,0.25,0.1))))),"")</f>
        <v/>
      </c>
      <c r="AF109" s="51">
        <f>IFERROR(AB109*VLOOKUP(E109,'Hệ số'!$A$2:$D$8,2,0)*IF((I109-3)&gt;=2,1.2,IF((I109-3)=1,1,IF((I109-3)=0,0.85,IF((I109-3)=-1,0.5,IF((I109-3)=-2,0.25,0.1))))),"")</f>
        <v/>
      </c>
      <c r="AG109" s="51">
        <f>IFERROR(AB109*VLOOKUP(E109,'Hệ số'!$A$2:$D$8,2,0)*IF((I109-4)&gt;=2,1.2,IF((I109-4)=1,1,IF((I109-4)=0,0.85,IF((I109-4)=-1,0.5,IF((I109-4)=-2,0.25,0.1))))),"")</f>
        <v/>
      </c>
      <c r="AH109" s="51">
        <f>IFERROR(AB109*VLOOKUP(E109,'Hệ số'!$A$2:$D$8,2,0)*IF((I109-5)&gt;=2,1.2,IF((I109-5)=1,1,IF((I109-5)=0,0.85,IF((I109-5)=-1,0.5,IF((I109-5)=-2,0.25,0.1))))),"")</f>
        <v/>
      </c>
      <c r="AI109" s="51">
        <f>IFERROR(AB109*VLOOKUP(E109,'Hệ số'!$A$2:$D$8,3,0),"")</f>
        <v/>
      </c>
      <c r="AJ109" s="51">
        <f>IFERROR(AB109*VLOOKUP(E109,'Hệ số'!$A$2:$D$8,4,0)*IF((I109-2)&gt;=2,1.2,IF((I109-2)=1,1,IF((I109-2)=0,0.85,IF((I109-2)=-1,0.5,IF((I109-2)=-2,0.25,0.1))))),"")</f>
        <v/>
      </c>
      <c r="AK109" s="41" t="inlineStr">
        <is>
          <t>Bắn loạt phủ vùng, tản mát; C-RAM, Vòm Sắt và La-de PK bắn hạ được từng quả.</t>
        </is>
      </c>
      <c r="AL109" s="41" t="n"/>
      <c r="AM109" s="41" t="inlineStr">
        <is>
          <t>GMLRS</t>
        </is>
      </c>
      <c r="AN109" s="41" t="inlineStr">
        <is>
          <t>Tốc độ bay 52→50 m/s: Thống nhất tốc độ GMLRS ở mọi đơn vị (50 m/s).</t>
        </is>
      </c>
      <c r="AO109" s="48" t="inlineStr">
        <is>
          <t>Trung</t>
        </is>
      </c>
    </row>
    <row r="110" ht="21.75" customHeight="1" s="32">
      <c r="A110" s="39" t="inlineStr">
        <is>
          <t>mlrs_rockets</t>
        </is>
      </c>
      <c r="B110" s="39" t="inlineStr">
        <is>
          <t>M31 GMLRS 227 mm</t>
        </is>
      </c>
      <c r="C110" s="39" t="inlineStr">
        <is>
          <t>Rốc-két</t>
        </is>
      </c>
      <c r="D110" s="39" t="inlineStr">
        <is>
          <t>Phản lực</t>
        </is>
      </c>
      <c r="E110" s="39" t="inlineStr">
        <is>
          <t>Nổ mạnh</t>
        </is>
      </c>
      <c r="F110" s="39" t="inlineStr">
        <is>
          <t>RocketBig</t>
        </is>
      </c>
      <c r="G110" s="42" t="n">
        <v>227</v>
      </c>
      <c r="H110" s="42" t="n">
        <v>3</v>
      </c>
      <c r="I110" s="42" t="n">
        <v>3</v>
      </c>
      <c r="J110" s="42" t="n">
        <v>100</v>
      </c>
      <c r="K110" s="42" t="n">
        <v>100</v>
      </c>
      <c r="L110" s="39" t="inlineStr">
        <is>
          <t>loạt</t>
        </is>
      </c>
      <c r="M110" s="39" t="inlineStr">
        <is>
          <t>loạt</t>
        </is>
      </c>
      <c r="N110" s="42" t="n">
        <v>3.33</v>
      </c>
      <c r="O110" s="42" t="n">
        <v>3.33</v>
      </c>
      <c r="P110" s="42" t="n">
        <v>5</v>
      </c>
      <c r="Q110" s="42" t="n">
        <v>5</v>
      </c>
      <c r="R110" s="42" t="n">
        <v>9.94</v>
      </c>
      <c r="S110" s="42" t="n">
        <v>9.94</v>
      </c>
      <c r="T110" s="42" t="n">
        <v>110</v>
      </c>
      <c r="U110" s="42" t="n">
        <v>110</v>
      </c>
      <c r="V110" s="42" t="n">
        <v>52</v>
      </c>
      <c r="W110" s="42" t="n">
        <v>50</v>
      </c>
      <c r="X110" s="50">
        <f>IFERROR(U110/W110,"")</f>
        <v/>
      </c>
      <c r="Y110" s="52" t="n">
        <v>4.5</v>
      </c>
      <c r="Z110" s="52" t="n">
        <v>4.5</v>
      </c>
      <c r="AA110" s="50">
        <f>IFERROR(IF(L110="từng phát",J110*N110,J110*P110/(P110/N110+R110)),"")</f>
        <v/>
      </c>
      <c r="AB110" s="50">
        <f>IFERROR(IF(M110="từng phát",K110*O110,K110*Q110/(Q110/O110+S110)),"")</f>
        <v/>
      </c>
      <c r="AC110" s="50">
        <f>IFERROR(AB110*VLOOKUP(E110,'Hệ số'!$A$2:$D$8,2,0)*IF((I110-0)&gt;=2,1.2,IF((I110-0)=1,1,IF((I110-0)=0,0.85,IF((I110-0)=-1,0.5,IF((I110-0)=-2,0.25,0.1))))),"")</f>
        <v/>
      </c>
      <c r="AD110" s="50">
        <f>IFERROR(AB110*VLOOKUP(E110,'Hệ số'!$A$2:$D$8,2,0)*IF((I110-1)&gt;=2,1.2,IF((I110-1)=1,1,IF((I110-1)=0,0.85,IF((I110-1)=-1,0.5,IF((I110-1)=-2,0.25,0.1))))),"")</f>
        <v/>
      </c>
      <c r="AE110" s="50">
        <f>IFERROR(AB110*VLOOKUP(E110,'Hệ số'!$A$2:$D$8,2,0)*IF((I110-2)&gt;=2,1.2,IF((I110-2)=1,1,IF((I110-2)=0,0.85,IF((I110-2)=-1,0.5,IF((I110-2)=-2,0.25,0.1))))),"")</f>
        <v/>
      </c>
      <c r="AF110" s="50">
        <f>IFERROR(AB110*VLOOKUP(E110,'Hệ số'!$A$2:$D$8,2,0)*IF((I110-3)&gt;=2,1.2,IF((I110-3)=1,1,IF((I110-3)=0,0.85,IF((I110-3)=-1,0.5,IF((I110-3)=-2,0.25,0.1))))),"")</f>
        <v/>
      </c>
      <c r="AG110" s="50">
        <f>IFERROR(AB110*VLOOKUP(E110,'Hệ số'!$A$2:$D$8,2,0)*IF((I110-4)&gt;=2,1.2,IF((I110-4)=1,1,IF((I110-4)=0,0.85,IF((I110-4)=-1,0.5,IF((I110-4)=-2,0.25,0.1))))),"")</f>
        <v/>
      </c>
      <c r="AH110" s="50">
        <f>IFERROR(AB110*VLOOKUP(E110,'Hệ số'!$A$2:$D$8,2,0)*IF((I110-5)&gt;=2,1.2,IF((I110-5)=1,1,IF((I110-5)=0,0.85,IF((I110-5)=-1,0.5,IF((I110-5)=-2,0.25,0.1))))),"")</f>
        <v/>
      </c>
      <c r="AI110" s="50">
        <f>IFERROR(AB110*VLOOKUP(E110,'Hệ số'!$A$2:$D$8,3,0),"")</f>
        <v/>
      </c>
      <c r="AJ110" s="50">
        <f>IFERROR(AB110*VLOOKUP(E110,'Hệ số'!$A$2:$D$8,4,0)*IF((I110-2)&gt;=2,1.2,IF((I110-2)=1,1,IF((I110-2)=0,0.85,IF((I110-2)=-1,0.5,IF((I110-2)=-2,0.25,0.1))))),"")</f>
        <v/>
      </c>
      <c r="AK110" s="39" t="inlineStr">
        <is>
          <t>Bắn loạt phủ vùng, tản mát; C-RAM, Vòm Sắt và La-de PK bắn hạ được từng quả.</t>
        </is>
      </c>
      <c r="AL110" s="39" t="n"/>
      <c r="AM110" s="39" t="inlineStr">
        <is>
          <t>GMLRS: 6 quả / ~45 s; tầm 70–80 km; đầu nổ 90 kg</t>
        </is>
      </c>
      <c r="AN110" s="39" t="inlineStr">
        <is>
          <t>Tốc độ bay 52→50 m/s: GMLRS: bay ~2,2 s ở tầm 110.</t>
        </is>
      </c>
      <c r="AO110" s="48" t="inlineStr">
        <is>
          <t>Trung</t>
        </is>
      </c>
    </row>
    <row r="111" ht="21.75" customHeight="1" s="32">
      <c r="A111" s="41" t="inlineStr">
        <is>
          <t>mortar_120</t>
        </is>
      </c>
      <c r="B111" s="41" t="inlineStr">
        <is>
          <t>2B11 120 mm</t>
        </is>
      </c>
      <c r="C111" s="41" t="inlineStr">
        <is>
          <t>Đạn cối</t>
        </is>
      </c>
      <c r="D111" s="41" t="inlineStr">
        <is>
          <t>Súng cối</t>
        </is>
      </c>
      <c r="E111" s="41" t="inlineStr">
        <is>
          <t>Nổ mạnh</t>
        </is>
      </c>
      <c r="F111" s="41" t="inlineStr">
        <is>
          <t>MortarBomb</t>
        </is>
      </c>
      <c r="G111" s="43" t="n">
        <v>120</v>
      </c>
      <c r="H111" s="43" t="n">
        <v>2</v>
      </c>
      <c r="I111" s="43" t="n">
        <v>2</v>
      </c>
      <c r="J111" s="43" t="n">
        <v>150</v>
      </c>
      <c r="K111" s="43" t="n">
        <v>150</v>
      </c>
      <c r="L111" s="41" t="inlineStr">
        <is>
          <t>từng phát</t>
        </is>
      </c>
      <c r="M111" s="41" t="inlineStr">
        <is>
          <t>từng phát</t>
        </is>
      </c>
      <c r="N111" s="43" t="n">
        <v>0.17</v>
      </c>
      <c r="O111" s="43" t="n">
        <v>0.2</v>
      </c>
      <c r="P111" s="43" t="n">
        <v>1</v>
      </c>
      <c r="Q111" s="43" t="n">
        <v>1</v>
      </c>
      <c r="R111" s="43" t="n">
        <v>5.88235294117647</v>
      </c>
      <c r="S111" s="43" t="n">
        <v>5.88235294117647</v>
      </c>
      <c r="T111" s="43" t="n">
        <v>55</v>
      </c>
      <c r="U111" s="43" t="n">
        <v>55</v>
      </c>
      <c r="V111" s="43" t="n">
        <v>32</v>
      </c>
      <c r="W111" s="43" t="n">
        <v>32</v>
      </c>
      <c r="X111" s="51">
        <f>IFERROR(U111/W111,"")</f>
        <v/>
      </c>
      <c r="Y111" s="53" t="n">
        <v>5</v>
      </c>
      <c r="Z111" s="53" t="n">
        <v>5</v>
      </c>
      <c r="AA111" s="51">
        <f>IFERROR(IF(L111="từng phát",J111*N111,J111*P111/(P111/N111+R111)),"")</f>
        <v/>
      </c>
      <c r="AB111" s="51">
        <f>IFERROR(IF(M111="từng phát",K111*O111,K111*Q111/(Q111/O111+S111)),"")</f>
        <v/>
      </c>
      <c r="AC111" s="51">
        <f>IFERROR(AB111*VLOOKUP(E111,'Hệ số'!$A$2:$D$8,2,0)*IF((I111-0)&gt;=2,1.2,IF((I111-0)=1,1,IF((I111-0)=0,0.85,IF((I111-0)=-1,0.5,IF((I111-0)=-2,0.25,0.1))))),"")</f>
        <v/>
      </c>
      <c r="AD111" s="51">
        <f>IFERROR(AB111*VLOOKUP(E111,'Hệ số'!$A$2:$D$8,2,0)*IF((I111-1)&gt;=2,1.2,IF((I111-1)=1,1,IF((I111-1)=0,0.85,IF((I111-1)=-1,0.5,IF((I111-1)=-2,0.25,0.1))))),"")</f>
        <v/>
      </c>
      <c r="AE111" s="51">
        <f>IFERROR(AB111*VLOOKUP(E111,'Hệ số'!$A$2:$D$8,2,0)*IF((I111-2)&gt;=2,1.2,IF((I111-2)=1,1,IF((I111-2)=0,0.85,IF((I111-2)=-1,0.5,IF((I111-2)=-2,0.25,0.1))))),"")</f>
        <v/>
      </c>
      <c r="AF111" s="51">
        <f>IFERROR(AB111*VLOOKUP(E111,'Hệ số'!$A$2:$D$8,2,0)*IF((I111-3)&gt;=2,1.2,IF((I111-3)=1,1,IF((I111-3)=0,0.85,IF((I111-3)=-1,0.5,IF((I111-3)=-2,0.25,0.1))))),"")</f>
        <v/>
      </c>
      <c r="AG111" s="51">
        <f>IFERROR(AB111*VLOOKUP(E111,'Hệ số'!$A$2:$D$8,2,0)*IF((I111-4)&gt;=2,1.2,IF((I111-4)=1,1,IF((I111-4)=0,0.85,IF((I111-4)=-1,0.5,IF((I111-4)=-2,0.25,0.1))))),"")</f>
        <v/>
      </c>
      <c r="AH111" s="51">
        <f>IFERROR(AB111*VLOOKUP(E111,'Hệ số'!$A$2:$D$8,2,0)*IF((I111-5)&gt;=2,1.2,IF((I111-5)=1,1,IF((I111-5)=0,0.85,IF((I111-5)=-1,0.5,IF((I111-5)=-2,0.25,0.1))))),"")</f>
        <v/>
      </c>
      <c r="AI111" s="51">
        <f>IFERROR(AB111*VLOOKUP(E111,'Hệ số'!$A$2:$D$8,3,0),"")</f>
        <v/>
      </c>
      <c r="AJ111" s="51">
        <f>IFERROR(AB111*VLOOKUP(E111,'Hệ số'!$A$2:$D$8,4,0)*IF((I111-2)&gt;=2,1.2,IF((I111-2)=1,1,IF((I111-2)=0,0.85,IF((I111-2)=-1,0.5,IF((I111-2)=-2,0.25,0.1))))),"")</f>
        <v/>
      </c>
      <c r="AK111" s="41" t="inlineStr">
        <is>
          <t>Bắn cầu vồng dốc, qua được tường; có tầm tối thiểu; C-RAM và Vòm Sắt bắn hạ được.</t>
        </is>
      </c>
      <c r="AL111" s="41" t="n"/>
      <c r="AM111" s="41" t="inlineStr">
        <is>
          <t>2B11 120 mm: 15 phát/phút; tầm 7 km</t>
        </is>
      </c>
      <c r="AN111" s="41" t="inlineStr">
        <is>
          <t>2B11 thật 15 phát/phút.</t>
        </is>
      </c>
      <c r="AO111" s="48" t="inlineStr">
        <is>
          <t>Trung</t>
        </is>
      </c>
    </row>
    <row r="112" ht="21.75" customHeight="1" s="32">
      <c r="A112" s="39" t="inlineStr">
        <is>
          <t>mortar_240_fixed</t>
        </is>
      </c>
      <c r="B112" s="39" t="inlineStr">
        <is>
          <t>2B8 240 mm</t>
        </is>
      </c>
      <c r="C112" s="39" t="inlineStr">
        <is>
          <t>Đạn cối</t>
        </is>
      </c>
      <c r="D112" s="39" t="inlineStr">
        <is>
          <t>Cối nặng</t>
        </is>
      </c>
      <c r="E112" s="39" t="inlineStr">
        <is>
          <t>Nổ mạnh</t>
        </is>
      </c>
      <c r="F112" s="39" t="inlineStr">
        <is>
          <t>MortarBomb</t>
        </is>
      </c>
      <c r="G112" s="42" t="n">
        <v>240</v>
      </c>
      <c r="H112" s="42" t="n">
        <v>4</v>
      </c>
      <c r="I112" s="42" t="n">
        <v>4</v>
      </c>
      <c r="J112" s="42" t="n">
        <v>450</v>
      </c>
      <c r="K112" s="42" t="n">
        <v>450</v>
      </c>
      <c r="L112" s="39" t="inlineStr">
        <is>
          <t>từng phát</t>
        </is>
      </c>
      <c r="M112" s="39" t="inlineStr">
        <is>
          <t>từng phát</t>
        </is>
      </c>
      <c r="N112" s="42" t="n">
        <v>0.15</v>
      </c>
      <c r="O112" s="42" t="n">
        <v>0.2</v>
      </c>
      <c r="P112" s="42" t="n">
        <v>1</v>
      </c>
      <c r="Q112" s="42" t="n">
        <v>1</v>
      </c>
      <c r="R112" s="42" t="n">
        <v>6.66666666666667</v>
      </c>
      <c r="S112" s="42" t="n">
        <v>5</v>
      </c>
      <c r="T112" s="42" t="n">
        <v>60</v>
      </c>
      <c r="U112" s="42" t="n">
        <v>60</v>
      </c>
      <c r="V112" s="42" t="n">
        <v>30</v>
      </c>
      <c r="W112" s="42" t="n">
        <v>30</v>
      </c>
      <c r="X112" s="50">
        <f>IFERROR(U112/W112,"")</f>
        <v/>
      </c>
      <c r="Y112" s="52" t="n">
        <v>9</v>
      </c>
      <c r="Z112" s="52" t="n">
        <v>9</v>
      </c>
      <c r="AA112" s="50">
        <f>IFERROR(IF(L112="từng phát",J112*N112,J112*P112/(P112/N112+R112)),"")</f>
        <v/>
      </c>
      <c r="AB112" s="50">
        <f>IFERROR(IF(M112="từng phát",K112*O112,K112*Q112/(Q112/O112+S112)),"")</f>
        <v/>
      </c>
      <c r="AC112" s="50">
        <f>IFERROR(AB112*VLOOKUP(E112,'Hệ số'!$A$2:$D$8,2,0)*IF((I112-0)&gt;=2,1.2,IF((I112-0)=1,1,IF((I112-0)=0,0.85,IF((I112-0)=-1,0.5,IF((I112-0)=-2,0.25,0.1))))),"")</f>
        <v/>
      </c>
      <c r="AD112" s="50">
        <f>IFERROR(AB112*VLOOKUP(E112,'Hệ số'!$A$2:$D$8,2,0)*IF((I112-1)&gt;=2,1.2,IF((I112-1)=1,1,IF((I112-1)=0,0.85,IF((I112-1)=-1,0.5,IF((I112-1)=-2,0.25,0.1))))),"")</f>
        <v/>
      </c>
      <c r="AE112" s="50">
        <f>IFERROR(AB112*VLOOKUP(E112,'Hệ số'!$A$2:$D$8,2,0)*IF((I112-2)&gt;=2,1.2,IF((I112-2)=1,1,IF((I112-2)=0,0.85,IF((I112-2)=-1,0.5,IF((I112-2)=-2,0.25,0.1))))),"")</f>
        <v/>
      </c>
      <c r="AF112" s="50">
        <f>IFERROR(AB112*VLOOKUP(E112,'Hệ số'!$A$2:$D$8,2,0)*IF((I112-3)&gt;=2,1.2,IF((I112-3)=1,1,IF((I112-3)=0,0.85,IF((I112-3)=-1,0.5,IF((I112-3)=-2,0.25,0.1))))),"")</f>
        <v/>
      </c>
      <c r="AG112" s="50">
        <f>IFERROR(AB112*VLOOKUP(E112,'Hệ số'!$A$2:$D$8,2,0)*IF((I112-4)&gt;=2,1.2,IF((I112-4)=1,1,IF((I112-4)=0,0.85,IF((I112-4)=-1,0.5,IF((I112-4)=-2,0.25,0.1))))),"")</f>
        <v/>
      </c>
      <c r="AH112" s="50">
        <f>IFERROR(AB112*VLOOKUP(E112,'Hệ số'!$A$2:$D$8,2,0)*IF((I112-5)&gt;=2,1.2,IF((I112-5)=1,1,IF((I112-5)=0,0.85,IF((I112-5)=-1,0.5,IF((I112-5)=-2,0.25,0.1))))),"")</f>
        <v/>
      </c>
      <c r="AI112" s="50">
        <f>IFERROR(AB112*VLOOKUP(E112,'Hệ số'!$A$2:$D$8,3,0),"")</f>
        <v/>
      </c>
      <c r="AJ112" s="50">
        <f>IFERROR(AB112*VLOOKUP(E112,'Hệ số'!$A$2:$D$8,4,0)*IF((I112-2)&gt;=2,1.2,IF((I112-2)=1,1,IF((I112-2)=0,0.85,IF((I112-2)=-1,0.5,IF((I112-2)=-2,0.25,0.1))))),"")</f>
        <v/>
      </c>
      <c r="AK112" s="39" t="inlineStr">
        <is>
          <t>Bắn cầu vồng dốc, qua được tường; có tầm tối thiểu; C-RAM và Vòm Sắt bắn hạ được.</t>
        </is>
      </c>
      <c r="AL112" s="39" t="n"/>
      <c r="AM112" s="39" t="inlineStr">
        <is>
          <t>2B8 240 mm (2S4): ~1 phát/phút</t>
        </is>
      </c>
      <c r="AN112" s="39" t="inlineStr">
        <is>
          <t>Nhánh cối 240 mm đang yếu hơn lựu pháo gốc.</t>
        </is>
      </c>
      <c r="AO112" s="48" t="inlineStr">
        <is>
          <t>Trung</t>
        </is>
      </c>
    </row>
    <row r="113" ht="21.75" customHeight="1" s="32">
      <c r="A113" s="41" t="inlineStr">
        <is>
          <t>mothership_cannon</t>
        </is>
      </c>
      <c r="B113" s="41" t="inlineStr">
        <is>
          <t>AU-220 57 mm</t>
        </is>
      </c>
      <c r="C113" s="41" t="inlineStr">
        <is>
          <t>Pháo tự động 57 mm</t>
        </is>
      </c>
      <c r="D113" s="41" t="inlineStr">
        <is>
          <t>Matriarch</t>
        </is>
      </c>
      <c r="E113" s="41" t="inlineStr">
        <is>
          <t>Nổ mạnh</t>
        </is>
      </c>
      <c r="F113" s="41" t="inlineStr">
        <is>
          <t>BeltedAutocannon</t>
        </is>
      </c>
      <c r="G113" s="43" t="n">
        <v>57</v>
      </c>
      <c r="H113" s="43" t="n">
        <v>2</v>
      </c>
      <c r="I113" s="43" t="n">
        <v>2</v>
      </c>
      <c r="J113" s="43" t="n">
        <v>70</v>
      </c>
      <c r="K113" s="43" t="n">
        <v>70</v>
      </c>
      <c r="L113" s="41" t="inlineStr">
        <is>
          <t>loạt</t>
        </is>
      </c>
      <c r="M113" s="41" t="inlineStr">
        <is>
          <t>loạt</t>
        </is>
      </c>
      <c r="N113" s="43" t="n">
        <v>2</v>
      </c>
      <c r="O113" s="43" t="n">
        <v>2</v>
      </c>
      <c r="P113" s="43" t="n">
        <v>4</v>
      </c>
      <c r="Q113" s="43" t="n">
        <v>4</v>
      </c>
      <c r="R113" s="43" t="n">
        <v>2.79</v>
      </c>
      <c r="S113" s="43" t="n">
        <v>2.79</v>
      </c>
      <c r="T113" s="43" t="n">
        <v>45</v>
      </c>
      <c r="U113" s="43" t="n">
        <v>45</v>
      </c>
      <c r="V113" s="43" t="n">
        <v>150</v>
      </c>
      <c r="W113" s="43" t="n">
        <v>150</v>
      </c>
      <c r="X113" s="51">
        <f>IFERROR(U113/W113,"")</f>
        <v/>
      </c>
      <c r="Y113" s="53" t="n">
        <v>3.5</v>
      </c>
      <c r="Z113" s="53" t="n">
        <v>3.5</v>
      </c>
      <c r="AA113" s="51">
        <f>IFERROR(IF(L113="từng phát",J113*N113,J113*P113/(P113/N113+R113)),"")</f>
        <v/>
      </c>
      <c r="AB113" s="51">
        <f>IFERROR(IF(M113="từng phát",K113*O113,K113*Q113/(Q113/O113+S113)),"")</f>
        <v/>
      </c>
      <c r="AC113" s="51">
        <f>IFERROR(AB113*VLOOKUP(E113,'Hệ số'!$A$2:$D$8,2,0)*IF((I113-0)&gt;=2,1.2,IF((I113-0)=1,1,IF((I113-0)=0,0.85,IF((I113-0)=-1,0.5,IF((I113-0)=-2,0.25,0.1))))),"")</f>
        <v/>
      </c>
      <c r="AD113" s="51">
        <f>IFERROR(AB113*VLOOKUP(E113,'Hệ số'!$A$2:$D$8,2,0)*IF((I113-1)&gt;=2,1.2,IF((I113-1)=1,1,IF((I113-1)=0,0.85,IF((I113-1)=-1,0.5,IF((I113-1)=-2,0.25,0.1))))),"")</f>
        <v/>
      </c>
      <c r="AE113" s="51">
        <f>IFERROR(AB113*VLOOKUP(E113,'Hệ số'!$A$2:$D$8,2,0)*IF((I113-2)&gt;=2,1.2,IF((I113-2)=1,1,IF((I113-2)=0,0.85,IF((I113-2)=-1,0.5,IF((I113-2)=-2,0.25,0.1))))),"")</f>
        <v/>
      </c>
      <c r="AF113" s="51">
        <f>IFERROR(AB113*VLOOKUP(E113,'Hệ số'!$A$2:$D$8,2,0)*IF((I113-3)&gt;=2,1.2,IF((I113-3)=1,1,IF((I113-3)=0,0.85,IF((I113-3)=-1,0.5,IF((I113-3)=-2,0.25,0.1))))),"")</f>
        <v/>
      </c>
      <c r="AG113" s="51">
        <f>IFERROR(AB113*VLOOKUP(E113,'Hệ số'!$A$2:$D$8,2,0)*IF((I113-4)&gt;=2,1.2,IF((I113-4)=1,1,IF((I113-4)=0,0.85,IF((I113-4)=-1,0.5,IF((I113-4)=-2,0.25,0.1))))),"")</f>
        <v/>
      </c>
      <c r="AH113" s="51">
        <f>IFERROR(AB113*VLOOKUP(E113,'Hệ số'!$A$2:$D$8,2,0)*IF((I113-5)&gt;=2,1.2,IF((I113-5)=1,1,IF((I113-5)=0,0.85,IF((I113-5)=-1,0.5,IF((I113-5)=-2,0.25,0.1))))),"")</f>
        <v/>
      </c>
      <c r="AI113" s="51">
        <f>IFERROR(AB113*VLOOKUP(E113,'Hệ số'!$A$2:$D$8,3,0),"")</f>
        <v/>
      </c>
      <c r="AJ113" s="51">
        <f>IFERROR(AB113*VLOOKUP(E113,'Hệ số'!$A$2:$D$8,4,0)*IF((I113-2)&gt;=2,1.2,IF((I113-2)=1,1,IF((I113-2)=0,0.85,IF((I113-2)=-1,0.5,IF((I113-2)=-2,0.25,0.1))))),"")</f>
        <v/>
      </c>
      <c r="AK113" s="41" t="inlineStr">
        <is>
          <t>Bắn loạt ngắn; đạn lập trình nổ trên không; bắn được xe bọc thép nhẹ.</t>
        </is>
      </c>
      <c r="AL113" s="41" t="n"/>
      <c r="AM113" s="41" t="inlineStr">
        <is>
          <t>AU-220M: 120 phát/phút</t>
        </is>
      </c>
      <c r="AN113" s="41" t="inlineStr">
        <is>
          <t>Giữ.</t>
        </is>
      </c>
      <c r="AO113" s="41" t="n"/>
    </row>
    <row r="114" ht="21.75" customHeight="1" s="32">
      <c r="A114" s="39" t="inlineStr">
        <is>
          <t>mothership_drones</t>
        </is>
      </c>
      <c r="B114" s="39" t="inlineStr">
        <is>
          <t>ZALA Lancet-3 (3 kg)</t>
        </is>
      </c>
      <c r="C114" s="39" t="inlineStr">
        <is>
          <t>Drone / đạn lảng vảng</t>
        </is>
      </c>
      <c r="D114" s="39" t="inlineStr">
        <is>
          <t>Hive, Locust, Matriarch</t>
        </is>
      </c>
      <c r="E114" s="39" t="inlineStr">
        <is>
          <t>Nổ lõm</t>
        </is>
      </c>
      <c r="F114" s="39" t="inlineStr">
        <is>
          <t>Lancet</t>
        </is>
      </c>
      <c r="G114" s="42" t="n">
        <v>3</v>
      </c>
      <c r="H114" s="42" t="n">
        <v>4</v>
      </c>
      <c r="I114" s="42" t="n">
        <v>4</v>
      </c>
      <c r="J114" s="42" t="n">
        <v>240</v>
      </c>
      <c r="K114" s="42" t="n">
        <v>240</v>
      </c>
      <c r="L114" s="39" t="inlineStr">
        <is>
          <t>loạt</t>
        </is>
      </c>
      <c r="M114" s="39" t="inlineStr">
        <is>
          <t>loạt</t>
        </is>
      </c>
      <c r="N114" s="42" t="n">
        <v>3.33</v>
      </c>
      <c r="O114" s="42" t="n">
        <v>3.33</v>
      </c>
      <c r="P114" s="42" t="n">
        <v>4</v>
      </c>
      <c r="Q114" s="42" t="n">
        <v>4</v>
      </c>
      <c r="R114" s="42" t="n">
        <v>8.17</v>
      </c>
      <c r="S114" s="42" t="n">
        <v>8.17</v>
      </c>
      <c r="T114" s="42" t="n">
        <v>70</v>
      </c>
      <c r="U114" s="42" t="n">
        <v>70</v>
      </c>
      <c r="V114" s="42" t="n">
        <v>16</v>
      </c>
      <c r="W114" s="42" t="n">
        <v>28</v>
      </c>
      <c r="X114" s="50">
        <f>IFERROR(U114/W114,"")</f>
        <v/>
      </c>
      <c r="Y114" s="52" t="n">
        <v>3</v>
      </c>
      <c r="Z114" s="52" t="n">
        <v>3</v>
      </c>
      <c r="AA114" s="50">
        <f>IFERROR(IF(L114="từng phát",J114*N114,J114*P114/(P114/N114+R114)),"")</f>
        <v/>
      </c>
      <c r="AB114" s="50">
        <f>IFERROR(IF(M114="từng phát",K114*O114,K114*Q114/(Q114/O114+S114)),"")</f>
        <v/>
      </c>
      <c r="AC114" s="50">
        <f>IFERROR(AB114*VLOOKUP(E114,'Hệ số'!$A$2:$D$8,2,0)*IF((I114-0)&gt;=2,1.2,IF((I114-0)=1,1,IF((I114-0)=0,0.85,IF((I114-0)=-1,0.5,IF((I114-0)=-2,0.25,0.1))))),"")</f>
        <v/>
      </c>
      <c r="AD114" s="50">
        <f>IFERROR(AB114*VLOOKUP(E114,'Hệ số'!$A$2:$D$8,2,0)*IF((I114-1)&gt;=2,1.2,IF((I114-1)=1,1,IF((I114-1)=0,0.85,IF((I114-1)=-1,0.5,IF((I114-1)=-2,0.25,0.1))))),"")</f>
        <v/>
      </c>
      <c r="AE114" s="50">
        <f>IFERROR(AB114*VLOOKUP(E114,'Hệ số'!$A$2:$D$8,2,0)*IF((I114-2)&gt;=2,1.2,IF((I114-2)=1,1,IF((I114-2)=0,0.85,IF((I114-2)=-1,0.5,IF((I114-2)=-2,0.25,0.1))))),"")</f>
        <v/>
      </c>
      <c r="AF114" s="50">
        <f>IFERROR(AB114*VLOOKUP(E114,'Hệ số'!$A$2:$D$8,2,0)*IF((I114-3)&gt;=2,1.2,IF((I114-3)=1,1,IF((I114-3)=0,0.85,IF((I114-3)=-1,0.5,IF((I114-3)=-2,0.25,0.1))))),"")</f>
        <v/>
      </c>
      <c r="AG114" s="50">
        <f>IFERROR(AB114*VLOOKUP(E114,'Hệ số'!$A$2:$D$8,2,0)*IF((I114-4)&gt;=2,1.2,IF((I114-4)=1,1,IF((I114-4)=0,0.85,IF((I114-4)=-1,0.5,IF((I114-4)=-2,0.25,0.1))))),"")</f>
        <v/>
      </c>
      <c r="AH114" s="50">
        <f>IFERROR(AB114*VLOOKUP(E114,'Hệ số'!$A$2:$D$8,2,0)*IF((I114-5)&gt;=2,1.2,IF((I114-5)=1,1,IF((I114-5)=0,0.85,IF((I114-5)=-1,0.5,IF((I114-5)=-2,0.25,0.1))))),"")</f>
        <v/>
      </c>
      <c r="AI114" s="50">
        <f>IFERROR(AB114*VLOOKUP(E114,'Hệ số'!$A$2:$D$8,3,0),"")</f>
        <v/>
      </c>
      <c r="AJ114" s="50">
        <f>IFERROR(AB114*VLOOKUP(E114,'Hệ số'!$A$2:$D$8,4,0)*IF((I114-2)&gt;=2,1.2,IF((I114-2)=1,1,IF((I114-2)=0,0.85,IF((I114-2)=-1,0.5,IF((I114-2)=-2,0.25,0.1))))),"")</f>
        <v/>
      </c>
      <c r="AK114" s="39" t="inlineStr">
        <is>
          <t>Bay chậm, lượn tìm mục tiêu, đánh nóc; bị EW, APS, C-RAM, La-de PK và súng máy bắn hạ.</t>
        </is>
      </c>
      <c r="AL114" s="39" t="n"/>
      <c r="AM114" s="39" t="inlineStr">
        <is>
          <t>Lancet-3</t>
        </is>
      </c>
      <c r="AN114" s="39" t="inlineStr">
        <is>
          <t>Tốc độ bay 16→28 m/s: Cùng Lancet nhưng đang 16: thống nhất 28.</t>
        </is>
      </c>
      <c r="AO114" s="48" t="inlineStr">
        <is>
          <t>Trung</t>
        </is>
      </c>
    </row>
    <row r="115" ht="32.25" customHeight="1" s="32">
      <c r="A115" s="41" t="inlineStr">
        <is>
          <t>naval_100</t>
        </is>
      </c>
      <c r="B115" s="41" t="inlineStr">
        <is>
          <t>AK-100 100 mm</t>
        </is>
      </c>
      <c r="C115" s="41" t="inlineStr">
        <is>
          <t>Đạn pháo nổ mạnh</t>
        </is>
      </c>
      <c r="D115" s="41" t="inlineStr">
        <is>
          <t>Typhon</t>
        </is>
      </c>
      <c r="E115" s="41" t="inlineStr">
        <is>
          <t>Nổ mạnh</t>
        </is>
      </c>
      <c r="F115" s="41" t="inlineStr">
        <is>
          <t>HeShell</t>
        </is>
      </c>
      <c r="G115" s="43" t="n">
        <v>100</v>
      </c>
      <c r="H115" s="43" t="n">
        <v>3</v>
      </c>
      <c r="I115" s="43" t="n">
        <v>3</v>
      </c>
      <c r="J115" s="43" t="n">
        <v>160</v>
      </c>
      <c r="K115" s="43" t="n">
        <v>160</v>
      </c>
      <c r="L115" s="41" t="inlineStr">
        <is>
          <t>loạt</t>
        </is>
      </c>
      <c r="M115" s="41" t="inlineStr">
        <is>
          <t>loạt</t>
        </is>
      </c>
      <c r="N115" s="43" t="n">
        <v>2</v>
      </c>
      <c r="O115" s="43" t="n">
        <v>2</v>
      </c>
      <c r="P115" s="43" t="n">
        <v>2</v>
      </c>
      <c r="Q115" s="43" t="n">
        <v>2</v>
      </c>
      <c r="R115" s="43" t="n">
        <v>3</v>
      </c>
      <c r="S115" s="43" t="n">
        <v>3</v>
      </c>
      <c r="T115" s="43" t="n">
        <v>90</v>
      </c>
      <c r="U115" s="43" t="n">
        <v>90</v>
      </c>
      <c r="V115" s="43" t="n">
        <v>110</v>
      </c>
      <c r="W115" s="43" t="n">
        <v>110</v>
      </c>
      <c r="X115" s="51">
        <f>IFERROR(U115/W115,"")</f>
        <v/>
      </c>
      <c r="Y115" s="53" t="n">
        <v>3.5</v>
      </c>
      <c r="Z115" s="53" t="n">
        <v>3.5</v>
      </c>
      <c r="AA115" s="51">
        <f>IFERROR(IF(L115="từng phát",J115*N115,J115*P115/(P115/N115+R115)),"")</f>
        <v/>
      </c>
      <c r="AB115" s="51">
        <f>IFERROR(IF(M115="từng phát",K115*O115,K115*Q115/(Q115/O115+S115)),"")</f>
        <v/>
      </c>
      <c r="AC115" s="51">
        <f>IFERROR(AB115*VLOOKUP(E115,'Hệ số'!$A$2:$D$8,2,0)*IF((I115-0)&gt;=2,1.2,IF((I115-0)=1,1,IF((I115-0)=0,0.85,IF((I115-0)=-1,0.5,IF((I115-0)=-2,0.25,0.1))))),"")</f>
        <v/>
      </c>
      <c r="AD115" s="51">
        <f>IFERROR(AB115*VLOOKUP(E115,'Hệ số'!$A$2:$D$8,2,0)*IF((I115-1)&gt;=2,1.2,IF((I115-1)=1,1,IF((I115-1)=0,0.85,IF((I115-1)=-1,0.5,IF((I115-1)=-2,0.25,0.1))))),"")</f>
        <v/>
      </c>
      <c r="AE115" s="51">
        <f>IFERROR(AB115*VLOOKUP(E115,'Hệ số'!$A$2:$D$8,2,0)*IF((I115-2)&gt;=2,1.2,IF((I115-2)=1,1,IF((I115-2)=0,0.85,IF((I115-2)=-1,0.5,IF((I115-2)=-2,0.25,0.1))))),"")</f>
        <v/>
      </c>
      <c r="AF115" s="51">
        <f>IFERROR(AB115*VLOOKUP(E115,'Hệ số'!$A$2:$D$8,2,0)*IF((I115-3)&gt;=2,1.2,IF((I115-3)=1,1,IF((I115-3)=0,0.85,IF((I115-3)=-1,0.5,IF((I115-3)=-2,0.25,0.1))))),"")</f>
        <v/>
      </c>
      <c r="AG115" s="51">
        <f>IFERROR(AB115*VLOOKUP(E115,'Hệ số'!$A$2:$D$8,2,0)*IF((I115-4)&gt;=2,1.2,IF((I115-4)=1,1,IF((I115-4)=0,0.85,IF((I115-4)=-1,0.5,IF((I115-4)=-2,0.25,0.1))))),"")</f>
        <v/>
      </c>
      <c r="AH115" s="51">
        <f>IFERROR(AB115*VLOOKUP(E115,'Hệ số'!$A$2:$D$8,2,0)*IF((I115-5)&gt;=2,1.2,IF((I115-5)=1,1,IF((I115-5)=0,0.85,IF((I115-5)=-1,0.5,IF((I115-5)=-2,0.25,0.1))))),"")</f>
        <v/>
      </c>
      <c r="AI115" s="51">
        <f>IFERROR(AB115*VLOOKUP(E115,'Hệ số'!$A$2:$D$8,3,0),"")</f>
        <v/>
      </c>
      <c r="AJ115" s="51">
        <f>IFERROR(AB115*VLOOKUP(E115,'Hệ số'!$A$2:$D$8,4,0)*IF((I115-2)&gt;=2,1.2,IF((I115-2)=1,1,IF((I115-2)=0,0.85,IF((I115-2)=-1,0.5,IF((I115-2)=-2,0.25,0.1))))),"")</f>
        <v/>
      </c>
      <c r="AK115" s="41" t="inlineStr">
        <is>
          <t>Bắn cầu vồng hoặc bắn thẳng tùy pháo; nổ lan; C-RAM chặn được một phần; mạnh với công trình (×1,5).</t>
        </is>
      </c>
      <c r="AL115" s="41" t="inlineStr">
        <is>
          <t>Thêm đạn dẫn đường (Excalibur/Krasnopol: 1 phát, không tản mát) cho nhánh hạng 7 hoặc thẻ hỗ trợ.</t>
        </is>
      </c>
      <c r="AM115" s="41" t="inlineStr">
        <is>
          <t>AK-100: 60 phát/phút</t>
        </is>
      </c>
      <c r="AN115" s="41" t="inlineStr">
        <is>
          <t>Giữ.</t>
        </is>
      </c>
      <c r="AO115" s="41" t="n"/>
    </row>
    <row r="116" ht="32.25" customHeight="1" s="32">
      <c r="A116" s="39" t="inlineStr">
        <is>
          <t>naval_155_triple</t>
        </is>
      </c>
      <c r="B116" s="39" t="inlineStr">
        <is>
          <t>155 mm/60 (triple)</t>
        </is>
      </c>
      <c r="C116" s="39" t="inlineStr">
        <is>
          <t>Đạn pháo nổ mạnh</t>
        </is>
      </c>
      <c r="D116" s="39" t="inlineStr">
        <is>
          <t>Leviathan</t>
        </is>
      </c>
      <c r="E116" s="39" t="inlineStr">
        <is>
          <t>Nổ mạnh</t>
        </is>
      </c>
      <c r="F116" s="39" t="inlineStr">
        <is>
          <t>HeShell</t>
        </is>
      </c>
      <c r="G116" s="42" t="n">
        <v>155</v>
      </c>
      <c r="H116" s="42" t="n">
        <v>3</v>
      </c>
      <c r="I116" s="42" t="n">
        <v>3</v>
      </c>
      <c r="J116" s="42" t="n">
        <v>320</v>
      </c>
      <c r="K116" s="42" t="n">
        <v>320</v>
      </c>
      <c r="L116" s="39" t="inlineStr">
        <is>
          <t>loạt</t>
        </is>
      </c>
      <c r="M116" s="39" t="inlineStr">
        <is>
          <t>loạt</t>
        </is>
      </c>
      <c r="N116" s="42" t="n">
        <v>4</v>
      </c>
      <c r="O116" s="42" t="n">
        <v>4</v>
      </c>
      <c r="P116" s="42" t="n">
        <v>3</v>
      </c>
      <c r="Q116" s="42" t="n">
        <v>3</v>
      </c>
      <c r="R116" s="42" t="n">
        <v>10</v>
      </c>
      <c r="S116" s="42" t="n">
        <v>10</v>
      </c>
      <c r="T116" s="42" t="n">
        <v>110</v>
      </c>
      <c r="U116" s="42" t="n">
        <v>110</v>
      </c>
      <c r="V116" s="42" t="n">
        <v>110</v>
      </c>
      <c r="W116" s="42" t="n">
        <v>110</v>
      </c>
      <c r="X116" s="50">
        <f>IFERROR(U116/W116,"")</f>
        <v/>
      </c>
      <c r="Y116" s="52" t="n">
        <v>4.5</v>
      </c>
      <c r="Z116" s="52" t="n">
        <v>4.5</v>
      </c>
      <c r="AA116" s="50">
        <f>IFERROR(IF(L116="từng phát",J116*N116,J116*P116/(P116/N116+R116)),"")</f>
        <v/>
      </c>
      <c r="AB116" s="50">
        <f>IFERROR(IF(M116="từng phát",K116*O116,K116*Q116/(Q116/O116+S116)),"")</f>
        <v/>
      </c>
      <c r="AC116" s="50">
        <f>IFERROR(AB116*VLOOKUP(E116,'Hệ số'!$A$2:$D$8,2,0)*IF((I116-0)&gt;=2,1.2,IF((I116-0)=1,1,IF((I116-0)=0,0.85,IF((I116-0)=-1,0.5,IF((I116-0)=-2,0.25,0.1))))),"")</f>
        <v/>
      </c>
      <c r="AD116" s="50">
        <f>IFERROR(AB116*VLOOKUP(E116,'Hệ số'!$A$2:$D$8,2,0)*IF((I116-1)&gt;=2,1.2,IF((I116-1)=1,1,IF((I116-1)=0,0.85,IF((I116-1)=-1,0.5,IF((I116-1)=-2,0.25,0.1))))),"")</f>
        <v/>
      </c>
      <c r="AE116" s="50">
        <f>IFERROR(AB116*VLOOKUP(E116,'Hệ số'!$A$2:$D$8,2,0)*IF((I116-2)&gt;=2,1.2,IF((I116-2)=1,1,IF((I116-2)=0,0.85,IF((I116-2)=-1,0.5,IF((I116-2)=-2,0.25,0.1))))),"")</f>
        <v/>
      </c>
      <c r="AF116" s="50">
        <f>IFERROR(AB116*VLOOKUP(E116,'Hệ số'!$A$2:$D$8,2,0)*IF((I116-3)&gt;=2,1.2,IF((I116-3)=1,1,IF((I116-3)=0,0.85,IF((I116-3)=-1,0.5,IF((I116-3)=-2,0.25,0.1))))),"")</f>
        <v/>
      </c>
      <c r="AG116" s="50">
        <f>IFERROR(AB116*VLOOKUP(E116,'Hệ số'!$A$2:$D$8,2,0)*IF((I116-4)&gt;=2,1.2,IF((I116-4)=1,1,IF((I116-4)=0,0.85,IF((I116-4)=-1,0.5,IF((I116-4)=-2,0.25,0.1))))),"")</f>
        <v/>
      </c>
      <c r="AH116" s="50">
        <f>IFERROR(AB116*VLOOKUP(E116,'Hệ số'!$A$2:$D$8,2,0)*IF((I116-5)&gt;=2,1.2,IF((I116-5)=1,1,IF((I116-5)=0,0.85,IF((I116-5)=-1,0.5,IF((I116-5)=-2,0.25,0.1))))),"")</f>
        <v/>
      </c>
      <c r="AI116" s="50">
        <f>IFERROR(AB116*VLOOKUP(E116,'Hệ số'!$A$2:$D$8,3,0),"")</f>
        <v/>
      </c>
      <c r="AJ116" s="50">
        <f>IFERROR(AB116*VLOOKUP(E116,'Hệ số'!$A$2:$D$8,4,0)*IF((I116-2)&gt;=2,1.2,IF((I116-2)=1,1,IF((I116-2)=0,0.85,IF((I116-2)=-1,0.5,IF((I116-2)=-2,0.25,0.1))))),"")</f>
        <v/>
      </c>
      <c r="AK116" s="39" t="inlineStr">
        <is>
          <t>Bắn cầu vồng hoặc bắn thẳng tùy pháo; nổ lan; C-RAM chặn được một phần; mạnh với công trình (×1,5).</t>
        </is>
      </c>
      <c r="AL116" s="39" t="inlineStr">
        <is>
          <t>Thêm đạn dẫn đường (Excalibur/Krasnopol: 1 phát, không tản mát) cho nhánh hạng 7 hoặc thẻ hỗ trợ.</t>
        </is>
      </c>
      <c r="AM116" s="39" t="inlineStr">
        <is>
          <t>155 mm/60</t>
        </is>
      </c>
      <c r="AN116" s="39" t="inlineStr">
        <is>
          <t>Giữ.</t>
        </is>
      </c>
      <c r="AO116" s="39" t="n"/>
    </row>
    <row r="117" ht="32.25" customHeight="1" s="32">
      <c r="A117" s="41" t="inlineStr">
        <is>
          <t>naval_76</t>
        </is>
      </c>
      <c r="B117" s="41" t="inlineStr">
        <is>
          <t>OTO Melara 76/62</t>
        </is>
      </c>
      <c r="C117" s="41" t="inlineStr">
        <is>
          <t>Đạn pháo nổ mạnh</t>
        </is>
      </c>
      <c r="D117" s="41" t="inlineStr">
        <is>
          <t>Tàu hộ vệ</t>
        </is>
      </c>
      <c r="E117" s="41" t="inlineStr">
        <is>
          <t>Nổ mạnh</t>
        </is>
      </c>
      <c r="F117" s="41" t="inlineStr">
        <is>
          <t>HeShell</t>
        </is>
      </c>
      <c r="G117" s="43" t="n">
        <v>76</v>
      </c>
      <c r="H117" s="43" t="n">
        <v>3</v>
      </c>
      <c r="I117" s="43" t="n">
        <v>3</v>
      </c>
      <c r="J117" s="43" t="n">
        <v>120</v>
      </c>
      <c r="K117" s="43" t="n">
        <v>120</v>
      </c>
      <c r="L117" s="41" t="inlineStr">
        <is>
          <t>loạt</t>
        </is>
      </c>
      <c r="M117" s="41" t="inlineStr">
        <is>
          <t>loạt</t>
        </is>
      </c>
      <c r="N117" s="43" t="n">
        <v>2</v>
      </c>
      <c r="O117" s="43" t="n">
        <v>2</v>
      </c>
      <c r="P117" s="43" t="n">
        <v>2</v>
      </c>
      <c r="Q117" s="43" t="n">
        <v>2</v>
      </c>
      <c r="R117" s="43" t="n">
        <v>2.6</v>
      </c>
      <c r="S117" s="43" t="n">
        <v>2.6</v>
      </c>
      <c r="T117" s="43" t="n">
        <v>95</v>
      </c>
      <c r="U117" s="43" t="n">
        <v>95</v>
      </c>
      <c r="V117" s="43" t="n">
        <v>110</v>
      </c>
      <c r="W117" s="43" t="n">
        <v>110</v>
      </c>
      <c r="X117" s="51">
        <f>IFERROR(U117/W117,"")</f>
        <v/>
      </c>
      <c r="Y117" s="53" t="n">
        <v>3</v>
      </c>
      <c r="Z117" s="53" t="n">
        <v>3</v>
      </c>
      <c r="AA117" s="51">
        <f>IFERROR(IF(L117="từng phát",J117*N117,J117*P117/(P117/N117+R117)),"")</f>
        <v/>
      </c>
      <c r="AB117" s="51">
        <f>IFERROR(IF(M117="từng phát",K117*O117,K117*Q117/(Q117/O117+S117)),"")</f>
        <v/>
      </c>
      <c r="AC117" s="51">
        <f>IFERROR(AB117*VLOOKUP(E117,'Hệ số'!$A$2:$D$8,2,0)*IF((I117-0)&gt;=2,1.2,IF((I117-0)=1,1,IF((I117-0)=0,0.85,IF((I117-0)=-1,0.5,IF((I117-0)=-2,0.25,0.1))))),"")</f>
        <v/>
      </c>
      <c r="AD117" s="51">
        <f>IFERROR(AB117*VLOOKUP(E117,'Hệ số'!$A$2:$D$8,2,0)*IF((I117-1)&gt;=2,1.2,IF((I117-1)=1,1,IF((I117-1)=0,0.85,IF((I117-1)=-1,0.5,IF((I117-1)=-2,0.25,0.1))))),"")</f>
        <v/>
      </c>
      <c r="AE117" s="51">
        <f>IFERROR(AB117*VLOOKUP(E117,'Hệ số'!$A$2:$D$8,2,0)*IF((I117-2)&gt;=2,1.2,IF((I117-2)=1,1,IF((I117-2)=0,0.85,IF((I117-2)=-1,0.5,IF((I117-2)=-2,0.25,0.1))))),"")</f>
        <v/>
      </c>
      <c r="AF117" s="51">
        <f>IFERROR(AB117*VLOOKUP(E117,'Hệ số'!$A$2:$D$8,2,0)*IF((I117-3)&gt;=2,1.2,IF((I117-3)=1,1,IF((I117-3)=0,0.85,IF((I117-3)=-1,0.5,IF((I117-3)=-2,0.25,0.1))))),"")</f>
        <v/>
      </c>
      <c r="AG117" s="51">
        <f>IFERROR(AB117*VLOOKUP(E117,'Hệ số'!$A$2:$D$8,2,0)*IF((I117-4)&gt;=2,1.2,IF((I117-4)=1,1,IF((I117-4)=0,0.85,IF((I117-4)=-1,0.5,IF((I117-4)=-2,0.25,0.1))))),"")</f>
        <v/>
      </c>
      <c r="AH117" s="51">
        <f>IFERROR(AB117*VLOOKUP(E117,'Hệ số'!$A$2:$D$8,2,0)*IF((I117-5)&gt;=2,1.2,IF((I117-5)=1,1,IF((I117-5)=0,0.85,IF((I117-5)=-1,0.5,IF((I117-5)=-2,0.25,0.1))))),"")</f>
        <v/>
      </c>
      <c r="AI117" s="51">
        <f>IFERROR(AB117*VLOOKUP(E117,'Hệ số'!$A$2:$D$8,3,0),"")</f>
        <v/>
      </c>
      <c r="AJ117" s="51">
        <f>IFERROR(AB117*VLOOKUP(E117,'Hệ số'!$A$2:$D$8,4,0)*IF((I117-2)&gt;=2,1.2,IF((I117-2)=1,1,IF((I117-2)=0,0.85,IF((I117-2)=-1,0.5,IF((I117-2)=-2,0.25,0.1))))),"")</f>
        <v/>
      </c>
      <c r="AK117" s="41" t="inlineStr">
        <is>
          <t>Bắn cầu vồng hoặc bắn thẳng tùy pháo; nổ lan; C-RAM chặn được một phần; mạnh với công trình (×1,5).</t>
        </is>
      </c>
      <c r="AL117" s="41" t="inlineStr">
        <is>
          <t>Thêm đạn dẫn đường (Excalibur/Krasnopol: 1 phát, không tản mát) cho nhánh hạng 7 hoặc thẻ hỗ trợ.</t>
        </is>
      </c>
      <c r="AM117" s="41" t="inlineStr">
        <is>
          <t>OTO 76/62: 80–120 phát/phút</t>
        </is>
      </c>
      <c r="AN117" s="41" t="inlineStr">
        <is>
          <t>Giữ.</t>
        </is>
      </c>
      <c r="AO117" s="41" t="n"/>
    </row>
    <row r="118" ht="21.75" customHeight="1" s="32">
      <c r="A118" s="39" t="inlineStr">
        <is>
          <t>orbital_laser</t>
        </is>
      </c>
      <c r="B118" s="39" t="inlineStr">
        <is>
          <t>laser (150 kW)</t>
        </is>
      </c>
      <c r="C118" s="39" t="inlineStr">
        <is>
          <t>Năng lượng</t>
        </is>
      </c>
      <c r="D118" s="39" t="inlineStr">
        <is>
          <t>Icarus, Icarus Mk.0</t>
        </is>
      </c>
      <c r="E118" s="39" t="inlineStr">
        <is>
          <t>Năng lượng</t>
        </is>
      </c>
      <c r="F118" s="39" t="inlineStr">
        <is>
          <t>Energy</t>
        </is>
      </c>
      <c r="G118" s="42" t="n">
        <v>150</v>
      </c>
      <c r="H118" s="42" t="n">
        <v>4</v>
      </c>
      <c r="I118" s="42" t="n">
        <v>4</v>
      </c>
      <c r="J118" s="42" t="n">
        <v>9</v>
      </c>
      <c r="K118" s="42" t="n">
        <v>9</v>
      </c>
      <c r="L118" s="39" t="inlineStr">
        <is>
          <t>từng phát</t>
        </is>
      </c>
      <c r="M118" s="39" t="inlineStr">
        <is>
          <t>từng phát</t>
        </is>
      </c>
      <c r="N118" s="42" t="n">
        <v>10</v>
      </c>
      <c r="O118" s="42" t="n">
        <v>10</v>
      </c>
      <c r="P118" s="42" t="n">
        <v>1</v>
      </c>
      <c r="Q118" s="42" t="n">
        <v>1</v>
      </c>
      <c r="R118" s="42" t="n">
        <v>0.1</v>
      </c>
      <c r="S118" s="42" t="n">
        <v>0.1</v>
      </c>
      <c r="T118" s="42" t="n">
        <v>36</v>
      </c>
      <c r="U118" s="42" t="n">
        <v>36</v>
      </c>
      <c r="V118" s="42" t="n">
        <v>3000</v>
      </c>
      <c r="W118" s="42" t="n">
        <v>3000</v>
      </c>
      <c r="X118" s="50">
        <f>IFERROR(U118/W118,"")</f>
        <v/>
      </c>
      <c r="Y118" s="52" t="n">
        <v>1.5</v>
      </c>
      <c r="Z118" s="52" t="n">
        <v>1.5</v>
      </c>
      <c r="AA118" s="50">
        <f>IFERROR(IF(L118="từng phát",J118*N118,J118*P118/(P118/N118+R118)),"")</f>
        <v/>
      </c>
      <c r="AB118" s="50">
        <f>IFERROR(IF(M118="từng phát",K118*O118,K118*Q118/(Q118/O118+S118)),"")</f>
        <v/>
      </c>
      <c r="AC118" s="50">
        <f>IFERROR(AB118*VLOOKUP(E118,'Hệ số'!$A$2:$D$8,2,0)*IF((I118-0)&gt;=2,1.2,IF((I118-0)=1,1,IF((I118-0)=0,0.85,IF((I118-0)=-1,0.5,IF((I118-0)=-2,0.25,0.1))))),"")</f>
        <v/>
      </c>
      <c r="AD118" s="50">
        <f>IFERROR(AB118*VLOOKUP(E118,'Hệ số'!$A$2:$D$8,2,0)*IF((I118-1)&gt;=2,1.2,IF((I118-1)=1,1,IF((I118-1)=0,0.85,IF((I118-1)=-1,0.5,IF((I118-1)=-2,0.25,0.1))))),"")</f>
        <v/>
      </c>
      <c r="AE118" s="50">
        <f>IFERROR(AB118*VLOOKUP(E118,'Hệ số'!$A$2:$D$8,2,0)*IF((I118-2)&gt;=2,1.2,IF((I118-2)=1,1,IF((I118-2)=0,0.85,IF((I118-2)=-1,0.5,IF((I118-2)=-2,0.25,0.1))))),"")</f>
        <v/>
      </c>
      <c r="AF118" s="50">
        <f>IFERROR(AB118*VLOOKUP(E118,'Hệ số'!$A$2:$D$8,2,0)*IF((I118-3)&gt;=2,1.2,IF((I118-3)=1,1,IF((I118-3)=0,0.85,IF((I118-3)=-1,0.5,IF((I118-3)=-2,0.25,0.1))))),"")</f>
        <v/>
      </c>
      <c r="AG118" s="50">
        <f>IFERROR(AB118*VLOOKUP(E118,'Hệ số'!$A$2:$D$8,2,0)*IF((I118-4)&gt;=2,1.2,IF((I118-4)=1,1,IF((I118-4)=0,0.85,IF((I118-4)=-1,0.5,IF((I118-4)=-2,0.25,0.1))))),"")</f>
        <v/>
      </c>
      <c r="AH118" s="50">
        <f>IFERROR(AB118*VLOOKUP(E118,'Hệ số'!$A$2:$D$8,2,0)*IF((I118-5)&gt;=2,1.2,IF((I118-5)=1,1,IF((I118-5)=0,0.85,IF((I118-5)=-1,0.5,IF((I118-5)=-2,0.25,0.1))))),"")</f>
        <v/>
      </c>
      <c r="AI118" s="50">
        <f>IFERROR(AB118*VLOOKUP(E118,'Hệ số'!$A$2:$D$8,3,0),"")</f>
        <v/>
      </c>
      <c r="AJ118" s="50">
        <f>IFERROR(AB118*VLOOKUP(E118,'Hệ số'!$A$2:$D$8,4,0)*IF((I118-2)&gt;=2,1.2,IF((I118-2)=1,1,IF((I118-2)=0,0.85,IF((I118-2)=-1,0.5,IF((I118-2)=-2,0.25,0.1))))),"")</f>
        <v/>
      </c>
      <c r="AK118" s="39" t="inlineStr">
        <is>
          <t>Tia tức thời; không bị APS chặn; bị khói giảm 80%; mạnh với máy bay (×1,5).</t>
        </is>
      </c>
      <c r="AL118" s="39" t="n"/>
      <c r="AM118" s="39" t="inlineStr">
        <is>
          <t>laser quỹ đạo (giả tưởng)</t>
        </is>
      </c>
      <c r="AN118" s="39" t="inlineStr">
        <is>
          <t>Giữ.</t>
        </is>
      </c>
      <c r="AO118" s="39" t="n"/>
    </row>
    <row r="119" ht="32.25" customHeight="1" s="32">
      <c r="A119" s="41" t="inlineStr">
        <is>
          <t>patriot</t>
        </is>
      </c>
      <c r="B119" s="41" t="inlineStr">
        <is>
          <t>MIM-104 Patriot PAC-</t>
        </is>
      </c>
      <c r="C119" s="41" t="inlineStr">
        <is>
          <t>Tên lửa phòng không / không đối không</t>
        </is>
      </c>
      <c r="D119" s="41" t="inlineStr">
        <is>
          <t>Patriot</t>
        </is>
      </c>
      <c r="E119" s="41" t="inlineStr">
        <is>
          <t>Mảnh</t>
        </is>
      </c>
      <c r="F119" s="41" t="inlineStr">
        <is>
          <t>Sam</t>
        </is>
      </c>
      <c r="G119" s="43" t="n">
        <v>90</v>
      </c>
      <c r="H119" s="43" t="n">
        <v>3</v>
      </c>
      <c r="I119" s="43" t="n">
        <v>3</v>
      </c>
      <c r="J119" s="43" t="n">
        <v>340</v>
      </c>
      <c r="K119" s="43" t="n">
        <v>340</v>
      </c>
      <c r="L119" s="41" t="inlineStr">
        <is>
          <t>loạt</t>
        </is>
      </c>
      <c r="M119" s="41" t="inlineStr">
        <is>
          <t>loạt</t>
        </is>
      </c>
      <c r="N119" s="43" t="n">
        <v>2.22</v>
      </c>
      <c r="O119" s="43" t="n">
        <v>2.22</v>
      </c>
      <c r="P119" s="43" t="n">
        <v>2</v>
      </c>
      <c r="Q119" s="43" t="n">
        <v>2</v>
      </c>
      <c r="R119" s="43" t="n">
        <v>4.24</v>
      </c>
      <c r="S119" s="43" t="n">
        <v>2.3</v>
      </c>
      <c r="T119" s="43" t="n">
        <v>90</v>
      </c>
      <c r="U119" s="43" t="n">
        <v>90</v>
      </c>
      <c r="V119" s="43" t="n">
        <v>24</v>
      </c>
      <c r="W119" s="43" t="n">
        <v>60</v>
      </c>
      <c r="X119" s="51">
        <f>IFERROR(U119/W119,"")</f>
        <v/>
      </c>
      <c r="Y119" s="53" t="n">
        <v>2.5</v>
      </c>
      <c r="Z119" s="53" t="n">
        <v>2.5</v>
      </c>
      <c r="AA119" s="51">
        <f>IFERROR(IF(L119="từng phát",J119*N119,J119*P119/(P119/N119+R119)),"")</f>
        <v/>
      </c>
      <c r="AB119" s="51">
        <f>IFERROR(IF(M119="từng phát",K119*O119,K119*Q119/(Q119/O119+S119)),"")</f>
        <v/>
      </c>
      <c r="AC119" s="51">
        <f>IFERROR(AB119*VLOOKUP(E119,'Hệ số'!$A$2:$D$8,2,0)*IF((I119-0)&gt;=2,1.2,IF((I119-0)=1,1,IF((I119-0)=0,0.85,IF((I119-0)=-1,0.5,IF((I119-0)=-2,0.25,0.1))))),"")</f>
        <v/>
      </c>
      <c r="AD119" s="51">
        <f>IFERROR(AB119*VLOOKUP(E119,'Hệ số'!$A$2:$D$8,2,0)*IF((I119-1)&gt;=2,1.2,IF((I119-1)=1,1,IF((I119-1)=0,0.85,IF((I119-1)=-1,0.5,IF((I119-1)=-2,0.25,0.1))))),"")</f>
        <v/>
      </c>
      <c r="AE119" s="51">
        <f>IFERROR(AB119*VLOOKUP(E119,'Hệ số'!$A$2:$D$8,2,0)*IF((I119-2)&gt;=2,1.2,IF((I119-2)=1,1,IF((I119-2)=0,0.85,IF((I119-2)=-1,0.5,IF((I119-2)=-2,0.25,0.1))))),"")</f>
        <v/>
      </c>
      <c r="AF119" s="51">
        <f>IFERROR(AB119*VLOOKUP(E119,'Hệ số'!$A$2:$D$8,2,0)*IF((I119-3)&gt;=2,1.2,IF((I119-3)=1,1,IF((I119-3)=0,0.85,IF((I119-3)=-1,0.5,IF((I119-3)=-2,0.25,0.1))))),"")</f>
        <v/>
      </c>
      <c r="AG119" s="51">
        <f>IFERROR(AB119*VLOOKUP(E119,'Hệ số'!$A$2:$D$8,2,0)*IF((I119-4)&gt;=2,1.2,IF((I119-4)=1,1,IF((I119-4)=0,0.85,IF((I119-4)=-1,0.5,IF((I119-4)=-2,0.25,0.1))))),"")</f>
        <v/>
      </c>
      <c r="AH119" s="51">
        <f>IFERROR(AB119*VLOOKUP(E119,'Hệ số'!$A$2:$D$8,2,0)*IF((I119-5)&gt;=2,1.2,IF((I119-5)=1,1,IF((I119-5)=0,0.85,IF((I119-5)=-1,0.5,IF((I119-5)=-2,0.25,0.1))))),"")</f>
        <v/>
      </c>
      <c r="AI119" s="51">
        <f>IFERROR(AB119*VLOOKUP(E119,'Hệ số'!$A$2:$D$8,3,0),"")</f>
        <v/>
      </c>
      <c r="AJ119" s="51">
        <f>IFERROR(AB119*VLOOKUP(E119,'Hệ số'!$A$2:$D$8,4,0)*IF((I119-2)&gt;=2,1.2,IF((I119-2)=1,1,IF((I119-2)=0,0.85,IF((I119-2)=-1,0.5,IF((I119-2)=-2,0.25,0.1))))),"")</f>
        <v/>
      </c>
      <c r="AK119" s="41" t="inlineStr">
        <is>
          <t>Dẫn đường; bị pháo sáng đánh lừa theo độ kháng; phải nhanh hơn mục tiêu.</t>
        </is>
      </c>
      <c r="AL119" s="41" t="n"/>
      <c r="AM119" s="41" t="inlineStr">
        <is>
          <t>PAC-2: 160 km, Mach 4</t>
        </is>
      </c>
      <c r="AN119" s="41" t="inlineStr">
        <is>
          <t>Patriot ô lớn phải chống máy bay mạnh hơn tháp ô nhỏ (188 → ~280). Tốc độ bay 24→60 m/s: Tầm xa: bay ~1,5 s tới rìa tầm, bắt được mọi máy bay.</t>
        </is>
      </c>
      <c r="AO119" s="47" t="inlineStr">
        <is>
          <t>Cao</t>
        </is>
      </c>
    </row>
    <row r="120" ht="21.75" customHeight="1" s="32">
      <c r="A120" s="39" t="inlineStr">
        <is>
          <t>r60</t>
        </is>
      </c>
      <c r="B120" s="39" t="inlineStr">
        <is>
          <t>R-60</t>
        </is>
      </c>
      <c r="C120" s="39" t="inlineStr">
        <is>
          <t>Tên lửa phòng không / không đối không</t>
        </is>
      </c>
      <c r="D120" s="39" t="inlineStr">
        <is>
          <t>Cường kích, Cường kích TN</t>
        </is>
      </c>
      <c r="E120" s="39" t="inlineStr">
        <is>
          <t>Mảnh</t>
        </is>
      </c>
      <c r="F120" s="39" t="inlineStr">
        <is>
          <t>Sam</t>
        </is>
      </c>
      <c r="G120" s="42" t="n">
        <v>3.5</v>
      </c>
      <c r="H120" s="42" t="n">
        <v>2</v>
      </c>
      <c r="I120" s="42" t="n">
        <v>2</v>
      </c>
      <c r="J120" s="42" t="n">
        <v>184</v>
      </c>
      <c r="K120" s="42" t="n">
        <v>184</v>
      </c>
      <c r="L120" s="39" t="inlineStr">
        <is>
          <t>từng phát</t>
        </is>
      </c>
      <c r="M120" s="39" t="inlineStr">
        <is>
          <t>từng phát</t>
        </is>
      </c>
      <c r="N120" s="42" t="n">
        <v>0.14</v>
      </c>
      <c r="O120" s="42" t="n">
        <v>0.14</v>
      </c>
      <c r="P120" s="42" t="n">
        <v>1</v>
      </c>
      <c r="Q120" s="42" t="n">
        <v>1</v>
      </c>
      <c r="R120" s="42" t="n">
        <v>7.14285714285714</v>
      </c>
      <c r="S120" s="42" t="n">
        <v>7.14285714285714</v>
      </c>
      <c r="T120" s="42" t="n">
        <v>28</v>
      </c>
      <c r="U120" s="42" t="n">
        <v>28</v>
      </c>
      <c r="V120" s="42" t="n">
        <v>10</v>
      </c>
      <c r="W120" s="42" t="n">
        <v>42</v>
      </c>
      <c r="X120" s="50">
        <f>IFERROR(U120/W120,"")</f>
        <v/>
      </c>
      <c r="Y120" s="52" t="n">
        <v>1.5</v>
      </c>
      <c r="Z120" s="52" t="n">
        <v>1.5</v>
      </c>
      <c r="AA120" s="50">
        <f>IFERROR(IF(L120="từng phát",J120*N120,J120*P120/(P120/N120+R120)),"")</f>
        <v/>
      </c>
      <c r="AB120" s="50">
        <f>IFERROR(IF(M120="từng phát",K120*O120,K120*Q120/(Q120/O120+S120)),"")</f>
        <v/>
      </c>
      <c r="AC120" s="50">
        <f>IFERROR(AB120*VLOOKUP(E120,'Hệ số'!$A$2:$D$8,2,0)*IF((I120-0)&gt;=2,1.2,IF((I120-0)=1,1,IF((I120-0)=0,0.85,IF((I120-0)=-1,0.5,IF((I120-0)=-2,0.25,0.1))))),"")</f>
        <v/>
      </c>
      <c r="AD120" s="50">
        <f>IFERROR(AB120*VLOOKUP(E120,'Hệ số'!$A$2:$D$8,2,0)*IF((I120-1)&gt;=2,1.2,IF((I120-1)=1,1,IF((I120-1)=0,0.85,IF((I120-1)=-1,0.5,IF((I120-1)=-2,0.25,0.1))))),"")</f>
        <v/>
      </c>
      <c r="AE120" s="50">
        <f>IFERROR(AB120*VLOOKUP(E120,'Hệ số'!$A$2:$D$8,2,0)*IF((I120-2)&gt;=2,1.2,IF((I120-2)=1,1,IF((I120-2)=0,0.85,IF((I120-2)=-1,0.5,IF((I120-2)=-2,0.25,0.1))))),"")</f>
        <v/>
      </c>
      <c r="AF120" s="50">
        <f>IFERROR(AB120*VLOOKUP(E120,'Hệ số'!$A$2:$D$8,2,0)*IF((I120-3)&gt;=2,1.2,IF((I120-3)=1,1,IF((I120-3)=0,0.85,IF((I120-3)=-1,0.5,IF((I120-3)=-2,0.25,0.1))))),"")</f>
        <v/>
      </c>
      <c r="AG120" s="50">
        <f>IFERROR(AB120*VLOOKUP(E120,'Hệ số'!$A$2:$D$8,2,0)*IF((I120-4)&gt;=2,1.2,IF((I120-4)=1,1,IF((I120-4)=0,0.85,IF((I120-4)=-1,0.5,IF((I120-4)=-2,0.25,0.1))))),"")</f>
        <v/>
      </c>
      <c r="AH120" s="50">
        <f>IFERROR(AB120*VLOOKUP(E120,'Hệ số'!$A$2:$D$8,2,0)*IF((I120-5)&gt;=2,1.2,IF((I120-5)=1,1,IF((I120-5)=0,0.85,IF((I120-5)=-1,0.5,IF((I120-5)=-2,0.25,0.1))))),"")</f>
        <v/>
      </c>
      <c r="AI120" s="50">
        <f>IFERROR(AB120*VLOOKUP(E120,'Hệ số'!$A$2:$D$8,3,0),"")</f>
        <v/>
      </c>
      <c r="AJ120" s="50">
        <f>IFERROR(AB120*VLOOKUP(E120,'Hệ số'!$A$2:$D$8,4,0)*IF((I120-2)&gt;=2,1.2,IF((I120-2)=1,1,IF((I120-2)=0,0.85,IF((I120-2)=-1,0.5,IF((I120-2)=-2,0.25,0.1))))),"")</f>
        <v/>
      </c>
      <c r="AK120" s="39" t="inlineStr">
        <is>
          <t>Dẫn đường; bị pháo sáng đánh lừa theo độ kháng; phải nhanh hơn mục tiêu.</t>
        </is>
      </c>
      <c r="AL120" s="39" t="n"/>
      <c r="AM120" s="39" t="inlineStr">
        <is>
          <t>R-60: 8 km, Mach 2,7</t>
        </is>
      </c>
      <c r="AN120" s="39" t="inlineStr">
        <is>
          <t>Tốc độ bay 10→42 m/s: Tên lửa không đối không tầm gần phải bắt kịp tiêm kích (40 m/s).</t>
        </is>
      </c>
      <c r="AO120" s="48" t="inlineStr">
        <is>
          <t>Trung</t>
        </is>
      </c>
    </row>
    <row r="121" ht="21.75" customHeight="1" s="32">
      <c r="A121" s="41" t="inlineStr">
        <is>
          <t>railgun</t>
        </is>
      </c>
      <c r="B121" s="41" t="inlineStr">
        <is>
          <t>railgun (32 MJ)</t>
        </is>
      </c>
      <c r="C121" s="41" t="inlineStr">
        <is>
          <t>Điện từ</t>
        </is>
      </c>
      <c r="D121" s="41" t="inlineStr">
        <is>
          <t>Pháo điện từ</t>
        </is>
      </c>
      <c r="E121" s="41" t="inlineStr">
        <is>
          <t>Động năng</t>
        </is>
      </c>
      <c r="F121" s="41" t="inlineStr">
        <is>
          <t>Rail</t>
        </is>
      </c>
      <c r="G121" s="43" t="n">
        <v>32</v>
      </c>
      <c r="H121" s="43" t="n">
        <v>4</v>
      </c>
      <c r="I121" s="43" t="n">
        <v>4</v>
      </c>
      <c r="J121" s="43" t="n">
        <v>510</v>
      </c>
      <c r="K121" s="43" t="n">
        <v>510</v>
      </c>
      <c r="L121" s="41" t="inlineStr">
        <is>
          <t>từng phát</t>
        </is>
      </c>
      <c r="M121" s="41" t="inlineStr">
        <is>
          <t>từng phát</t>
        </is>
      </c>
      <c r="N121" s="43" t="n">
        <v>0.142857142857143</v>
      </c>
      <c r="O121" s="43" t="n">
        <v>0.142857142857143</v>
      </c>
      <c r="P121" s="43" t="n">
        <v>1</v>
      </c>
      <c r="Q121" s="43" t="n">
        <v>1</v>
      </c>
      <c r="R121" s="43" t="n">
        <v>7</v>
      </c>
      <c r="S121" s="43" t="n">
        <v>7</v>
      </c>
      <c r="T121" s="43" t="n">
        <v>90</v>
      </c>
      <c r="U121" s="43" t="n">
        <v>90</v>
      </c>
      <c r="V121" s="43" t="n">
        <v>700</v>
      </c>
      <c r="W121" s="43" t="n">
        <v>700</v>
      </c>
      <c r="X121" s="51">
        <f>IFERROR(U121/W121,"")</f>
        <v/>
      </c>
      <c r="Y121" s="51" t="n"/>
      <c r="Z121" s="51" t="n"/>
      <c r="AA121" s="51">
        <f>IFERROR(IF(L121="từng phát",J121*N121,J121*P121/(P121/N121+R121)),"")</f>
        <v/>
      </c>
      <c r="AB121" s="51">
        <f>IFERROR(IF(M121="từng phát",K121*O121,K121*Q121/(Q121/O121+S121)),"")</f>
        <v/>
      </c>
      <c r="AC121" s="51">
        <f>IFERROR(AB121*VLOOKUP(E121,'Hệ số'!$A$2:$D$8,2,0)*IF((I121-0)&gt;=2,1.2,IF((I121-0)=1,1,IF((I121-0)=0,0.85,IF((I121-0)=-1,0.5,IF((I121-0)=-2,0.25,0.1))))),"")</f>
        <v/>
      </c>
      <c r="AD121" s="51">
        <f>IFERROR(AB121*VLOOKUP(E121,'Hệ số'!$A$2:$D$8,2,0)*IF((I121-1)&gt;=2,1.2,IF((I121-1)=1,1,IF((I121-1)=0,0.85,IF((I121-1)=-1,0.5,IF((I121-1)=-2,0.25,0.1))))),"")</f>
        <v/>
      </c>
      <c r="AE121" s="51">
        <f>IFERROR(AB121*VLOOKUP(E121,'Hệ số'!$A$2:$D$8,2,0)*IF((I121-2)&gt;=2,1.2,IF((I121-2)=1,1,IF((I121-2)=0,0.85,IF((I121-2)=-1,0.5,IF((I121-2)=-2,0.25,0.1))))),"")</f>
        <v/>
      </c>
      <c r="AF121" s="51">
        <f>IFERROR(AB121*VLOOKUP(E121,'Hệ số'!$A$2:$D$8,2,0)*IF((I121-3)&gt;=2,1.2,IF((I121-3)=1,1,IF((I121-3)=0,0.85,IF((I121-3)=-1,0.5,IF((I121-3)=-2,0.25,0.1))))),"")</f>
        <v/>
      </c>
      <c r="AG121" s="51">
        <f>IFERROR(AB121*VLOOKUP(E121,'Hệ số'!$A$2:$D$8,2,0)*IF((I121-4)&gt;=2,1.2,IF((I121-4)=1,1,IF((I121-4)=0,0.85,IF((I121-4)=-1,0.5,IF((I121-4)=-2,0.25,0.1))))),"")</f>
        <v/>
      </c>
      <c r="AH121" s="51">
        <f>IFERROR(AB121*VLOOKUP(E121,'Hệ số'!$A$2:$D$8,2,0)*IF((I121-5)&gt;=2,1.2,IF((I121-5)=1,1,IF((I121-5)=0,0.85,IF((I121-5)=-1,0.5,IF((I121-5)=-2,0.25,0.1))))),"")</f>
        <v/>
      </c>
      <c r="AI121" s="51">
        <f>IFERROR(AB121*VLOOKUP(E121,'Hệ số'!$A$2:$D$8,3,0),"")</f>
        <v/>
      </c>
      <c r="AJ121" s="51">
        <f>IFERROR(AB121*VLOOKUP(E121,'Hệ số'!$A$2:$D$8,4,0)*IF((I121-2)&gt;=2,1.2,IF((I121-2)=1,1,IF((I121-2)=0,0.85,IF((I121-2)=-1,0.5,IF((I121-2)=-2,0.25,0.1))))),"")</f>
        <v/>
      </c>
      <c r="AK121" s="41" t="inlineStr">
        <is>
          <t>Đạn xuyên thẳng qua nhiều mục tiêu; không bị APS; cần đồng đội soi mục tiêu ở tầm xa.</t>
        </is>
      </c>
      <c r="AL121" s="41" t="n"/>
      <c r="AM121" s="41" t="inlineStr">
        <is>
          <t>EMRG (US Navy): 32 MJ, ~2.500 m/s, ~10 phát/phút (thử nghiệm)</t>
        </is>
      </c>
      <c r="AN121" s="41" t="inlineStr">
        <is>
          <t>Giữ.</t>
        </is>
      </c>
      <c r="AO121" s="41" t="n"/>
    </row>
    <row r="122" ht="21.75" customHeight="1" s="32">
      <c r="A122" s="39" t="inlineStr">
        <is>
          <t>recon_missile</t>
        </is>
      </c>
      <c r="B122" s="39" t="inlineStr">
        <is>
          <t>MAM-L</t>
        </is>
      </c>
      <c r="C122" s="39" t="inlineStr">
        <is>
          <t>Tên lửa chống tăng / không đối đất</t>
        </is>
      </c>
      <c r="D122" s="39" t="inlineStr">
        <is>
          <t>UAV do thám</t>
        </is>
      </c>
      <c r="E122" s="39" t="inlineStr">
        <is>
          <t>Nổ lõm</t>
        </is>
      </c>
      <c r="F122" s="39" t="inlineStr">
        <is>
          <t>Atgm</t>
        </is>
      </c>
      <c r="G122" s="42" t="n">
        <v>22</v>
      </c>
      <c r="H122" s="42" t="n">
        <v>3</v>
      </c>
      <c r="I122" s="42" t="n">
        <v>3</v>
      </c>
      <c r="J122" s="42" t="n">
        <v>190</v>
      </c>
      <c r="K122" s="42" t="n">
        <v>190</v>
      </c>
      <c r="L122" s="39" t="inlineStr">
        <is>
          <t>từng phát</t>
        </is>
      </c>
      <c r="M122" s="39" t="inlineStr">
        <is>
          <t>từng phát</t>
        </is>
      </c>
      <c r="N122" s="42" t="n">
        <v>0.0862812769628991</v>
      </c>
      <c r="O122" s="42" t="n">
        <v>0.0862812769628991</v>
      </c>
      <c r="P122" s="42" t="n">
        <v>1</v>
      </c>
      <c r="Q122" s="42" t="n">
        <v>1</v>
      </c>
      <c r="R122" s="42" t="n">
        <v>11.59</v>
      </c>
      <c r="S122" s="42" t="n">
        <v>11.59</v>
      </c>
      <c r="T122" s="42" t="n">
        <v>50</v>
      </c>
      <c r="U122" s="42" t="n">
        <v>50</v>
      </c>
      <c r="V122" s="42" t="n">
        <v>21</v>
      </c>
      <c r="W122" s="42" t="n">
        <v>22</v>
      </c>
      <c r="X122" s="50">
        <f>IFERROR(U122/W122,"")</f>
        <v/>
      </c>
      <c r="Y122" s="50" t="n"/>
      <c r="Z122" s="50" t="n"/>
      <c r="AA122" s="50">
        <f>IFERROR(IF(L122="từng phát",J122*N122,J122*P122/(P122/N122+R122)),"")</f>
        <v/>
      </c>
      <c r="AB122" s="50">
        <f>IFERROR(IF(M122="từng phát",K122*O122,K122*Q122/(Q122/O122+S122)),"")</f>
        <v/>
      </c>
      <c r="AC122" s="50">
        <f>IFERROR(AB122*VLOOKUP(E122,'Hệ số'!$A$2:$D$8,2,0)*IF((I122-0)&gt;=2,1.2,IF((I122-0)=1,1,IF((I122-0)=0,0.85,IF((I122-0)=-1,0.5,IF((I122-0)=-2,0.25,0.1))))),"")</f>
        <v/>
      </c>
      <c r="AD122" s="50">
        <f>IFERROR(AB122*VLOOKUP(E122,'Hệ số'!$A$2:$D$8,2,0)*IF((I122-1)&gt;=2,1.2,IF((I122-1)=1,1,IF((I122-1)=0,0.85,IF((I122-1)=-1,0.5,IF((I122-1)=-2,0.25,0.1))))),"")</f>
        <v/>
      </c>
      <c r="AE122" s="50">
        <f>IFERROR(AB122*VLOOKUP(E122,'Hệ số'!$A$2:$D$8,2,0)*IF((I122-2)&gt;=2,1.2,IF((I122-2)=1,1,IF((I122-2)=0,0.85,IF((I122-2)=-1,0.5,IF((I122-2)=-2,0.25,0.1))))),"")</f>
        <v/>
      </c>
      <c r="AF122" s="50">
        <f>IFERROR(AB122*VLOOKUP(E122,'Hệ số'!$A$2:$D$8,2,0)*IF((I122-3)&gt;=2,1.2,IF((I122-3)=1,1,IF((I122-3)=0,0.85,IF((I122-3)=-1,0.5,IF((I122-3)=-2,0.25,0.1))))),"")</f>
        <v/>
      </c>
      <c r="AG122" s="50">
        <f>IFERROR(AB122*VLOOKUP(E122,'Hệ số'!$A$2:$D$8,2,0)*IF((I122-4)&gt;=2,1.2,IF((I122-4)=1,1,IF((I122-4)=0,0.85,IF((I122-4)=-1,0.5,IF((I122-4)=-2,0.25,0.1))))),"")</f>
        <v/>
      </c>
      <c r="AH122" s="50">
        <f>IFERROR(AB122*VLOOKUP(E122,'Hệ số'!$A$2:$D$8,2,0)*IF((I122-5)&gt;=2,1.2,IF((I122-5)=1,1,IF((I122-5)=0,0.85,IF((I122-5)=-1,0.5,IF((I122-5)=-2,0.25,0.1))))),"")</f>
        <v/>
      </c>
      <c r="AI122" s="50">
        <f>IFERROR(AB122*VLOOKUP(E122,'Hệ số'!$A$2:$D$8,3,0),"")</f>
        <v/>
      </c>
      <c r="AJ122" s="50">
        <f>IFERROR(AB122*VLOOKUP(E122,'Hệ số'!$A$2:$D$8,4,0)*IF((I122-2)&gt;=2,1.2,IF((I122-2)=1,1,IF((I122-2)=0,0.85,IF((I122-2)=-1,0.5,IF((I122-2)=-2,0.25,0.1))))),"")</f>
        <v/>
      </c>
      <c r="AK122" s="39" t="inlineStr">
        <is>
          <t>Dẫn đường; bị APS và giáp phản ứng nổ giảm (đầu nổ lõm); bay chậm nên né và khói có tác dụng.</t>
        </is>
      </c>
      <c r="AL122" s="39" t="n"/>
      <c r="AM122" s="39" t="inlineStr">
        <is>
          <t>MAM-L: 8–15 km</t>
        </is>
      </c>
      <c r="AN122" s="39" t="inlineStr">
        <is>
          <t>Tốc độ bay 21→22 m/s: Tên lửa nhỏ.</t>
        </is>
      </c>
      <c r="AO122" s="48" t="inlineStr">
        <is>
          <t>Trung</t>
        </is>
      </c>
    </row>
    <row r="123" ht="21.75" customHeight="1" s="32">
      <c r="A123" s="41" t="inlineStr">
        <is>
          <t>rockets_300mm</t>
        </is>
      </c>
      <c r="B123" s="41" t="inlineStr">
        <is>
          <t>9M55 Smerch 300 mm</t>
        </is>
      </c>
      <c r="C123" s="41" t="inlineStr">
        <is>
          <t>Rốc-két</t>
        </is>
      </c>
      <c r="D123" s="41" t="inlineStr">
        <is>
          <t>Phản lực 300</t>
        </is>
      </c>
      <c r="E123" s="41" t="inlineStr">
        <is>
          <t>Nổ mạnh</t>
        </is>
      </c>
      <c r="F123" s="41" t="inlineStr">
        <is>
          <t>RocketBig</t>
        </is>
      </c>
      <c r="G123" s="43" t="n">
        <v>300</v>
      </c>
      <c r="H123" s="43" t="n">
        <v>3</v>
      </c>
      <c r="I123" s="43" t="n">
        <v>3</v>
      </c>
      <c r="J123" s="43" t="n">
        <v>145</v>
      </c>
      <c r="K123" s="43" t="n">
        <v>145</v>
      </c>
      <c r="L123" s="41" t="inlineStr">
        <is>
          <t>loạt</t>
        </is>
      </c>
      <c r="M123" s="41" t="inlineStr">
        <is>
          <t>loạt</t>
        </is>
      </c>
      <c r="N123" s="43" t="n">
        <v>4</v>
      </c>
      <c r="O123" s="43" t="n">
        <v>4</v>
      </c>
      <c r="P123" s="43" t="n">
        <v>11</v>
      </c>
      <c r="Q123" s="43" t="n">
        <v>11</v>
      </c>
      <c r="R123" s="43" t="n">
        <v>15.76</v>
      </c>
      <c r="S123" s="43" t="n">
        <v>15.76</v>
      </c>
      <c r="T123" s="43" t="n">
        <v>140</v>
      </c>
      <c r="U123" s="43" t="n">
        <v>140</v>
      </c>
      <c r="V123" s="43" t="n">
        <v>24</v>
      </c>
      <c r="W123" s="43" t="n">
        <v>55</v>
      </c>
      <c r="X123" s="51">
        <f>IFERROR(U123/W123,"")</f>
        <v/>
      </c>
      <c r="Y123" s="53" t="n">
        <v>8</v>
      </c>
      <c r="Z123" s="53" t="n">
        <v>8</v>
      </c>
      <c r="AA123" s="51">
        <f>IFERROR(IF(L123="từng phát",J123*N123,J123*P123/(P123/N123+R123)),"")</f>
        <v/>
      </c>
      <c r="AB123" s="51">
        <f>IFERROR(IF(M123="từng phát",K123*O123,K123*Q123/(Q123/O123+S123)),"")</f>
        <v/>
      </c>
      <c r="AC123" s="51">
        <f>IFERROR(AB123*VLOOKUP(E123,'Hệ số'!$A$2:$D$8,2,0)*IF((I123-0)&gt;=2,1.2,IF((I123-0)=1,1,IF((I123-0)=0,0.85,IF((I123-0)=-1,0.5,IF((I123-0)=-2,0.25,0.1))))),"")</f>
        <v/>
      </c>
      <c r="AD123" s="51">
        <f>IFERROR(AB123*VLOOKUP(E123,'Hệ số'!$A$2:$D$8,2,0)*IF((I123-1)&gt;=2,1.2,IF((I123-1)=1,1,IF((I123-1)=0,0.85,IF((I123-1)=-1,0.5,IF((I123-1)=-2,0.25,0.1))))),"")</f>
        <v/>
      </c>
      <c r="AE123" s="51">
        <f>IFERROR(AB123*VLOOKUP(E123,'Hệ số'!$A$2:$D$8,2,0)*IF((I123-2)&gt;=2,1.2,IF((I123-2)=1,1,IF((I123-2)=0,0.85,IF((I123-2)=-1,0.5,IF((I123-2)=-2,0.25,0.1))))),"")</f>
        <v/>
      </c>
      <c r="AF123" s="51">
        <f>IFERROR(AB123*VLOOKUP(E123,'Hệ số'!$A$2:$D$8,2,0)*IF((I123-3)&gt;=2,1.2,IF((I123-3)=1,1,IF((I123-3)=0,0.85,IF((I123-3)=-1,0.5,IF((I123-3)=-2,0.25,0.1))))),"")</f>
        <v/>
      </c>
      <c r="AG123" s="51">
        <f>IFERROR(AB123*VLOOKUP(E123,'Hệ số'!$A$2:$D$8,2,0)*IF((I123-4)&gt;=2,1.2,IF((I123-4)=1,1,IF((I123-4)=0,0.85,IF((I123-4)=-1,0.5,IF((I123-4)=-2,0.25,0.1))))),"")</f>
        <v/>
      </c>
      <c r="AH123" s="51">
        <f>IFERROR(AB123*VLOOKUP(E123,'Hệ số'!$A$2:$D$8,2,0)*IF((I123-5)&gt;=2,1.2,IF((I123-5)=1,1,IF((I123-5)=0,0.85,IF((I123-5)=-1,0.5,IF((I123-5)=-2,0.25,0.1))))),"")</f>
        <v/>
      </c>
      <c r="AI123" s="51">
        <f>IFERROR(AB123*VLOOKUP(E123,'Hệ số'!$A$2:$D$8,3,0),"")</f>
        <v/>
      </c>
      <c r="AJ123" s="51">
        <f>IFERROR(AB123*VLOOKUP(E123,'Hệ số'!$A$2:$D$8,4,0)*IF((I123-2)&gt;=2,1.2,IF((I123-2)=1,1,IF((I123-2)=0,0.85,IF((I123-2)=-1,0.5,IF((I123-2)=-2,0.25,0.1))))),"")</f>
        <v/>
      </c>
      <c r="AK123" s="41" t="inlineStr">
        <is>
          <t>Bắn loạt phủ vùng, tản mát; C-RAM, Vòm Sắt và La-de PK bắn hạ được từng quả.</t>
        </is>
      </c>
      <c r="AL123" s="41" t="n"/>
      <c r="AM123" s="41" t="inlineStr">
        <is>
          <t>9M55 Smerch: 12 quả / 38 s; đầu nổ 243–258 kg</t>
        </is>
      </c>
      <c r="AN123" s="41" t="inlineStr">
        <is>
          <t>Tốc độ bay 24→55 m/s: Rốc-két lớn nhất bay nhanh nhất (~2,5 s ở 140).</t>
        </is>
      </c>
      <c r="AO123" s="48" t="inlineStr">
        <is>
          <t>Trung</t>
        </is>
      </c>
    </row>
    <row r="124" ht="21.75" customHeight="1" s="32">
      <c r="A124" s="39" t="inlineStr">
        <is>
          <t>s8_pods</t>
        </is>
      </c>
      <c r="B124" s="39" t="inlineStr">
        <is>
          <t>S-8 80 mm</t>
        </is>
      </c>
      <c r="C124" s="39" t="inlineStr">
        <is>
          <t>Rốc-két</t>
        </is>
      </c>
      <c r="D124" s="39" t="inlineStr">
        <is>
          <t>Cường kích, Cường kích TN</t>
        </is>
      </c>
      <c r="E124" s="39" t="inlineStr">
        <is>
          <t>Nổ mạnh</t>
        </is>
      </c>
      <c r="F124" s="39" t="inlineStr">
        <is>
          <t>RocketSmall</t>
        </is>
      </c>
      <c r="G124" s="42" t="n">
        <v>80</v>
      </c>
      <c r="H124" s="42" t="n">
        <v>2</v>
      </c>
      <c r="I124" s="42" t="n">
        <v>2</v>
      </c>
      <c r="J124" s="42" t="n">
        <v>32</v>
      </c>
      <c r="K124" s="42" t="n">
        <v>32</v>
      </c>
      <c r="L124" s="39" t="inlineStr">
        <is>
          <t>loạt</t>
        </is>
      </c>
      <c r="M124" s="39" t="inlineStr">
        <is>
          <t>loạt</t>
        </is>
      </c>
      <c r="N124" s="42" t="n">
        <v>20</v>
      </c>
      <c r="O124" s="42" t="n">
        <v>20</v>
      </c>
      <c r="P124" s="42" t="n">
        <v>8</v>
      </c>
      <c r="Q124" s="42" t="n">
        <v>8</v>
      </c>
      <c r="R124" s="42" t="n">
        <v>4.05</v>
      </c>
      <c r="S124" s="42" t="n">
        <v>4.05</v>
      </c>
      <c r="T124" s="42" t="n">
        <v>34</v>
      </c>
      <c r="U124" s="42" t="n">
        <v>34</v>
      </c>
      <c r="V124" s="42" t="n">
        <v>20</v>
      </c>
      <c r="W124" s="42" t="n">
        <v>40</v>
      </c>
      <c r="X124" s="50">
        <f>IFERROR(U124/W124,"")</f>
        <v/>
      </c>
      <c r="Y124" s="52" t="n">
        <v>3</v>
      </c>
      <c r="Z124" s="52" t="n">
        <v>3</v>
      </c>
      <c r="AA124" s="50">
        <f>IFERROR(IF(L124="từng phát",J124*N124,J124*P124/(P124/N124+R124)),"")</f>
        <v/>
      </c>
      <c r="AB124" s="50">
        <f>IFERROR(IF(M124="từng phát",K124*O124,K124*Q124/(Q124/O124+S124)),"")</f>
        <v/>
      </c>
      <c r="AC124" s="50">
        <f>IFERROR(AB124*VLOOKUP(E124,'Hệ số'!$A$2:$D$8,2,0)*IF((I124-0)&gt;=2,1.2,IF((I124-0)=1,1,IF((I124-0)=0,0.85,IF((I124-0)=-1,0.5,IF((I124-0)=-2,0.25,0.1))))),"")</f>
        <v/>
      </c>
      <c r="AD124" s="50">
        <f>IFERROR(AB124*VLOOKUP(E124,'Hệ số'!$A$2:$D$8,2,0)*IF((I124-1)&gt;=2,1.2,IF((I124-1)=1,1,IF((I124-1)=0,0.85,IF((I124-1)=-1,0.5,IF((I124-1)=-2,0.25,0.1))))),"")</f>
        <v/>
      </c>
      <c r="AE124" s="50">
        <f>IFERROR(AB124*VLOOKUP(E124,'Hệ số'!$A$2:$D$8,2,0)*IF((I124-2)&gt;=2,1.2,IF((I124-2)=1,1,IF((I124-2)=0,0.85,IF((I124-2)=-1,0.5,IF((I124-2)=-2,0.25,0.1))))),"")</f>
        <v/>
      </c>
      <c r="AF124" s="50">
        <f>IFERROR(AB124*VLOOKUP(E124,'Hệ số'!$A$2:$D$8,2,0)*IF((I124-3)&gt;=2,1.2,IF((I124-3)=1,1,IF((I124-3)=0,0.85,IF((I124-3)=-1,0.5,IF((I124-3)=-2,0.25,0.1))))),"")</f>
        <v/>
      </c>
      <c r="AG124" s="50">
        <f>IFERROR(AB124*VLOOKUP(E124,'Hệ số'!$A$2:$D$8,2,0)*IF((I124-4)&gt;=2,1.2,IF((I124-4)=1,1,IF((I124-4)=0,0.85,IF((I124-4)=-1,0.5,IF((I124-4)=-2,0.25,0.1))))),"")</f>
        <v/>
      </c>
      <c r="AH124" s="50">
        <f>IFERROR(AB124*VLOOKUP(E124,'Hệ số'!$A$2:$D$8,2,0)*IF((I124-5)&gt;=2,1.2,IF((I124-5)=1,1,IF((I124-5)=0,0.85,IF((I124-5)=-1,0.5,IF((I124-5)=-2,0.25,0.1))))),"")</f>
        <v/>
      </c>
      <c r="AI124" s="50">
        <f>IFERROR(AB124*VLOOKUP(E124,'Hệ số'!$A$2:$D$8,3,0),"")</f>
        <v/>
      </c>
      <c r="AJ124" s="50">
        <f>IFERROR(AB124*VLOOKUP(E124,'Hệ số'!$A$2:$D$8,4,0)*IF((I124-2)&gt;=2,1.2,IF((I124-2)=1,1,IF((I124-2)=0,0.85,IF((I124-2)=-1,0.5,IF((I124-2)=-2,0.25,0.1))))),"")</f>
        <v/>
      </c>
      <c r="AK124" s="39" t="inlineStr">
        <is>
          <t>Bắn loạt phủ vùng, tản mát; C-RAM, Vòm Sắt và La-de PK bắn hạ được từng quả.</t>
        </is>
      </c>
      <c r="AL124" s="39" t="n"/>
      <c r="AM124" s="39" t="inlineStr">
        <is>
          <t>S-8 80 mm</t>
        </is>
      </c>
      <c r="AN124" s="39" t="inlineStr">
        <is>
          <t>Tốc độ bay 20→40 m/s: Thống nhất rốc-két nhỏ không điều khiển 40 m/s.</t>
        </is>
      </c>
      <c r="AO124" s="48" t="inlineStr">
        <is>
          <t>Trung</t>
        </is>
      </c>
    </row>
    <row r="125" ht="21.75" customHeight="1" s="32">
      <c r="A125" s="41" t="inlineStr">
        <is>
          <t>sam</t>
        </is>
      </c>
      <c r="B125" s="41" t="inlineStr">
        <is>
          <t>Starstreak / Stinger</t>
        </is>
      </c>
      <c r="C125" s="41" t="inlineStr">
        <is>
          <t>Tên lửa phòng không / không đối không</t>
        </is>
      </c>
      <c r="D125" s="41" t="inlineStr">
        <is>
          <t>PK hỗn hợp, Phòng không,</t>
        </is>
      </c>
      <c r="E125" s="41" t="inlineStr">
        <is>
          <t>Mảnh</t>
        </is>
      </c>
      <c r="F125" s="41" t="inlineStr">
        <is>
          <t>Sam</t>
        </is>
      </c>
      <c r="G125" s="43" t="n">
        <v>3</v>
      </c>
      <c r="H125" s="43" t="n">
        <v>2</v>
      </c>
      <c r="I125" s="43" t="n">
        <v>2</v>
      </c>
      <c r="J125" s="43" t="n">
        <v>170</v>
      </c>
      <c r="K125" s="43" t="n">
        <v>170</v>
      </c>
      <c r="L125" s="41" t="inlineStr">
        <is>
          <t>từng phát</t>
        </is>
      </c>
      <c r="M125" s="41" t="inlineStr">
        <is>
          <t>từng phát</t>
        </is>
      </c>
      <c r="N125" s="43" t="n">
        <v>0.22</v>
      </c>
      <c r="O125" s="43" t="n">
        <v>0.22</v>
      </c>
      <c r="P125" s="43" t="n">
        <v>1</v>
      </c>
      <c r="Q125" s="43" t="n">
        <v>1</v>
      </c>
      <c r="R125" s="43" t="n">
        <v>4.54545454545455</v>
      </c>
      <c r="S125" s="43" t="n">
        <v>4.54545454545455</v>
      </c>
      <c r="T125" s="43" t="n">
        <v>44</v>
      </c>
      <c r="U125" s="43" t="n">
        <v>44</v>
      </c>
      <c r="V125" s="43" t="n">
        <v>24</v>
      </c>
      <c r="W125" s="43" t="n">
        <v>42</v>
      </c>
      <c r="X125" s="51">
        <f>IFERROR(U125/W125,"")</f>
        <v/>
      </c>
      <c r="Y125" s="53" t="n">
        <v>2</v>
      </c>
      <c r="Z125" s="53" t="n">
        <v>2</v>
      </c>
      <c r="AA125" s="51">
        <f>IFERROR(IF(L125="từng phát",J125*N125,J125*P125/(P125/N125+R125)),"")</f>
        <v/>
      </c>
      <c r="AB125" s="51">
        <f>IFERROR(IF(M125="từng phát",K125*O125,K125*Q125/(Q125/O125+S125)),"")</f>
        <v/>
      </c>
      <c r="AC125" s="51">
        <f>IFERROR(AB125*VLOOKUP(E125,'Hệ số'!$A$2:$D$8,2,0)*IF((I125-0)&gt;=2,1.2,IF((I125-0)=1,1,IF((I125-0)=0,0.85,IF((I125-0)=-1,0.5,IF((I125-0)=-2,0.25,0.1))))),"")</f>
        <v/>
      </c>
      <c r="AD125" s="51">
        <f>IFERROR(AB125*VLOOKUP(E125,'Hệ số'!$A$2:$D$8,2,0)*IF((I125-1)&gt;=2,1.2,IF((I125-1)=1,1,IF((I125-1)=0,0.85,IF((I125-1)=-1,0.5,IF((I125-1)=-2,0.25,0.1))))),"")</f>
        <v/>
      </c>
      <c r="AE125" s="51">
        <f>IFERROR(AB125*VLOOKUP(E125,'Hệ số'!$A$2:$D$8,2,0)*IF((I125-2)&gt;=2,1.2,IF((I125-2)=1,1,IF((I125-2)=0,0.85,IF((I125-2)=-1,0.5,IF((I125-2)=-2,0.25,0.1))))),"")</f>
        <v/>
      </c>
      <c r="AF125" s="51">
        <f>IFERROR(AB125*VLOOKUP(E125,'Hệ số'!$A$2:$D$8,2,0)*IF((I125-3)&gt;=2,1.2,IF((I125-3)=1,1,IF((I125-3)=0,0.85,IF((I125-3)=-1,0.5,IF((I125-3)=-2,0.25,0.1))))),"")</f>
        <v/>
      </c>
      <c r="AG125" s="51">
        <f>IFERROR(AB125*VLOOKUP(E125,'Hệ số'!$A$2:$D$8,2,0)*IF((I125-4)&gt;=2,1.2,IF((I125-4)=1,1,IF((I125-4)=0,0.85,IF((I125-4)=-1,0.5,IF((I125-4)=-2,0.25,0.1))))),"")</f>
        <v/>
      </c>
      <c r="AH125" s="51">
        <f>IFERROR(AB125*VLOOKUP(E125,'Hệ số'!$A$2:$D$8,2,0)*IF((I125-5)&gt;=2,1.2,IF((I125-5)=1,1,IF((I125-5)=0,0.85,IF((I125-5)=-1,0.5,IF((I125-5)=-2,0.25,0.1))))),"")</f>
        <v/>
      </c>
      <c r="AI125" s="51">
        <f>IFERROR(AB125*VLOOKUP(E125,'Hệ số'!$A$2:$D$8,3,0),"")</f>
        <v/>
      </c>
      <c r="AJ125" s="51">
        <f>IFERROR(AB125*VLOOKUP(E125,'Hệ số'!$A$2:$D$8,4,0)*IF((I125-2)&gt;=2,1.2,IF((I125-2)=1,1,IF((I125-2)=0,0.85,IF((I125-2)=-1,0.5,IF((I125-2)=-2,0.25,0.1))))),"")</f>
        <v/>
      </c>
      <c r="AK125" s="41" t="inlineStr">
        <is>
          <t>Dẫn đường; bị pháo sáng đánh lừa theo độ kháng; phải nhanh hơn mục tiêu.</t>
        </is>
      </c>
      <c r="AL125" s="41" t="n"/>
      <c r="AM125" s="41" t="inlineStr">
        <is>
          <t>Stinger/Starstreak: 4,8–7 km, Mach 2,2 (Starstreak Mach 3+)</t>
        </is>
      </c>
      <c r="AN125" s="41" t="inlineStr">
        <is>
          <t>Tốc độ bay 24→42 m/s: Tên lửa vác vai: phải nhanh hơn cường kích (32 m/s); bay ~1 s để còn thấy được và bị pháo sáng đánh lừa.</t>
        </is>
      </c>
      <c r="AO125" s="48" t="inlineStr">
        <is>
          <t>Trung</t>
        </is>
      </c>
    </row>
    <row r="126" ht="21.75" customHeight="1" s="32">
      <c r="A126" s="39" t="inlineStr">
        <is>
          <t>sam_48n6</t>
        </is>
      </c>
      <c r="B126" s="39" t="inlineStr">
        <is>
          <t>S-400 48N6</t>
        </is>
      </c>
      <c r="C126" s="39" t="inlineStr">
        <is>
          <t>Tên lửa phòng không / không đối không</t>
        </is>
      </c>
      <c r="D126" s="39" t="inlineStr">
        <is>
          <t>SAM tầm xa, SAM tầm xa TN</t>
        </is>
      </c>
      <c r="E126" s="39" t="inlineStr">
        <is>
          <t>Mảnh</t>
        </is>
      </c>
      <c r="F126" s="39" t="inlineStr">
        <is>
          <t>Sam</t>
        </is>
      </c>
      <c r="G126" s="42" t="n">
        <v>180</v>
      </c>
      <c r="H126" s="42" t="n">
        <v>3</v>
      </c>
      <c r="I126" s="42" t="n">
        <v>3</v>
      </c>
      <c r="J126" s="42" t="n">
        <v>630</v>
      </c>
      <c r="K126" s="42" t="n">
        <v>630</v>
      </c>
      <c r="L126" s="39" t="inlineStr">
        <is>
          <t>từng phát</t>
        </is>
      </c>
      <c r="M126" s="39" t="inlineStr">
        <is>
          <t>từng phát</t>
        </is>
      </c>
      <c r="N126" s="42" t="n">
        <v>0.14</v>
      </c>
      <c r="O126" s="42" t="n">
        <v>0.14</v>
      </c>
      <c r="P126" s="42" t="n">
        <v>1</v>
      </c>
      <c r="Q126" s="42" t="n">
        <v>1</v>
      </c>
      <c r="R126" s="42" t="n">
        <v>7.14285714285714</v>
      </c>
      <c r="S126" s="42" t="n">
        <v>7.14285714285714</v>
      </c>
      <c r="T126" s="42" t="n">
        <v>95</v>
      </c>
      <c r="U126" s="42" t="n">
        <v>95</v>
      </c>
      <c r="V126" s="42" t="n">
        <v>24</v>
      </c>
      <c r="W126" s="42" t="n">
        <v>65</v>
      </c>
      <c r="X126" s="50">
        <f>IFERROR(U126/W126,"")</f>
        <v/>
      </c>
      <c r="Y126" s="52" t="n">
        <v>7.2</v>
      </c>
      <c r="Z126" s="52" t="n">
        <v>7.2</v>
      </c>
      <c r="AA126" s="50">
        <f>IFERROR(IF(L126="từng phát",J126*N126,J126*P126/(P126/N126+R126)),"")</f>
        <v/>
      </c>
      <c r="AB126" s="50">
        <f>IFERROR(IF(M126="từng phát",K126*O126,K126*Q126/(Q126/O126+S126)),"")</f>
        <v/>
      </c>
      <c r="AC126" s="50">
        <f>IFERROR(AB126*VLOOKUP(E126,'Hệ số'!$A$2:$D$8,2,0)*IF((I126-0)&gt;=2,1.2,IF((I126-0)=1,1,IF((I126-0)=0,0.85,IF((I126-0)=-1,0.5,IF((I126-0)=-2,0.25,0.1))))),"")</f>
        <v/>
      </c>
      <c r="AD126" s="50">
        <f>IFERROR(AB126*VLOOKUP(E126,'Hệ số'!$A$2:$D$8,2,0)*IF((I126-1)&gt;=2,1.2,IF((I126-1)=1,1,IF((I126-1)=0,0.85,IF((I126-1)=-1,0.5,IF((I126-1)=-2,0.25,0.1))))),"")</f>
        <v/>
      </c>
      <c r="AE126" s="50">
        <f>IFERROR(AB126*VLOOKUP(E126,'Hệ số'!$A$2:$D$8,2,0)*IF((I126-2)&gt;=2,1.2,IF((I126-2)=1,1,IF((I126-2)=0,0.85,IF((I126-2)=-1,0.5,IF((I126-2)=-2,0.25,0.1))))),"")</f>
        <v/>
      </c>
      <c r="AF126" s="50">
        <f>IFERROR(AB126*VLOOKUP(E126,'Hệ số'!$A$2:$D$8,2,0)*IF((I126-3)&gt;=2,1.2,IF((I126-3)=1,1,IF((I126-3)=0,0.85,IF((I126-3)=-1,0.5,IF((I126-3)=-2,0.25,0.1))))),"")</f>
        <v/>
      </c>
      <c r="AG126" s="50">
        <f>IFERROR(AB126*VLOOKUP(E126,'Hệ số'!$A$2:$D$8,2,0)*IF((I126-4)&gt;=2,1.2,IF((I126-4)=1,1,IF((I126-4)=0,0.85,IF((I126-4)=-1,0.5,IF((I126-4)=-2,0.25,0.1))))),"")</f>
        <v/>
      </c>
      <c r="AH126" s="50">
        <f>IFERROR(AB126*VLOOKUP(E126,'Hệ số'!$A$2:$D$8,2,0)*IF((I126-5)&gt;=2,1.2,IF((I126-5)=1,1,IF((I126-5)=0,0.85,IF((I126-5)=-1,0.5,IF((I126-5)=-2,0.25,0.1))))),"")</f>
        <v/>
      </c>
      <c r="AI126" s="50">
        <f>IFERROR(AB126*VLOOKUP(E126,'Hệ số'!$A$2:$D$8,3,0),"")</f>
        <v/>
      </c>
      <c r="AJ126" s="50">
        <f>IFERROR(AB126*VLOOKUP(E126,'Hệ số'!$A$2:$D$8,4,0)*IF((I126-2)&gt;=2,1.2,IF((I126-2)=1,1,IF((I126-2)=0,0.85,IF((I126-2)=-1,0.5,IF((I126-2)=-2,0.25,0.1))))),"")</f>
        <v/>
      </c>
      <c r="AK126" s="39" t="inlineStr">
        <is>
          <t>Dẫn đường; bị pháo sáng đánh lừa theo độ kháng; phải nhanh hơn mục tiêu.</t>
        </is>
      </c>
      <c r="AL126" s="39" t="n"/>
      <c r="AM126" s="39" t="inlineStr">
        <is>
          <t>48N6 (S-400): 150–250 km, Mach 6</t>
        </is>
      </c>
      <c r="AN126" s="39" t="inlineStr">
        <is>
          <t>Tốc độ bay 24→65 m/s: Tên lửa tầm xa nhất: bay ~1,5 s ở tầm 95.</t>
        </is>
      </c>
      <c r="AO126" s="47" t="inlineStr">
        <is>
          <t>Cao</t>
        </is>
      </c>
    </row>
    <row r="127" ht="21.75" customHeight="1" s="32">
      <c r="A127" s="41" t="inlineStr">
        <is>
          <t>sam_battery</t>
        </is>
      </c>
      <c r="B127" s="41" t="inlineStr">
        <is>
          <t>MIM-104 Patriot PAC-</t>
        </is>
      </c>
      <c r="C127" s="41" t="inlineStr">
        <is>
          <t>Tên lửa phòng không / không đối không</t>
        </is>
      </c>
      <c r="D127" s="41" t="inlineStr">
        <is>
          <t>Nemesis</t>
        </is>
      </c>
      <c r="E127" s="41" t="inlineStr">
        <is>
          <t>Mảnh</t>
        </is>
      </c>
      <c r="F127" s="41" t="inlineStr">
        <is>
          <t>Sam</t>
        </is>
      </c>
      <c r="G127" s="43" t="n">
        <v>90</v>
      </c>
      <c r="H127" s="43" t="n">
        <v>3</v>
      </c>
      <c r="I127" s="43" t="n">
        <v>3</v>
      </c>
      <c r="J127" s="43" t="n">
        <v>340</v>
      </c>
      <c r="K127" s="43" t="n">
        <v>340</v>
      </c>
      <c r="L127" s="41" t="inlineStr">
        <is>
          <t>loạt</t>
        </is>
      </c>
      <c r="M127" s="41" t="inlineStr">
        <is>
          <t>loạt</t>
        </is>
      </c>
      <c r="N127" s="43" t="n">
        <v>2.22</v>
      </c>
      <c r="O127" s="43" t="n">
        <v>2.22</v>
      </c>
      <c r="P127" s="43" t="n">
        <v>2</v>
      </c>
      <c r="Q127" s="43" t="n">
        <v>2</v>
      </c>
      <c r="R127" s="43" t="n">
        <v>10.1</v>
      </c>
      <c r="S127" s="43" t="n">
        <v>10.1</v>
      </c>
      <c r="T127" s="43" t="n">
        <v>90</v>
      </c>
      <c r="U127" s="43" t="n">
        <v>90</v>
      </c>
      <c r="V127" s="43" t="n">
        <v>24</v>
      </c>
      <c r="W127" s="43" t="n">
        <v>60</v>
      </c>
      <c r="X127" s="51">
        <f>IFERROR(U127/W127,"")</f>
        <v/>
      </c>
      <c r="Y127" s="53" t="n">
        <v>2.5</v>
      </c>
      <c r="Z127" s="53" t="n">
        <v>2.5</v>
      </c>
      <c r="AA127" s="51">
        <f>IFERROR(IF(L127="từng phát",J127*N127,J127*P127/(P127/N127+R127)),"")</f>
        <v/>
      </c>
      <c r="AB127" s="51">
        <f>IFERROR(IF(M127="từng phát",K127*O127,K127*Q127/(Q127/O127+S127)),"")</f>
        <v/>
      </c>
      <c r="AC127" s="51">
        <f>IFERROR(AB127*VLOOKUP(E127,'Hệ số'!$A$2:$D$8,2,0)*IF((I127-0)&gt;=2,1.2,IF((I127-0)=1,1,IF((I127-0)=0,0.85,IF((I127-0)=-1,0.5,IF((I127-0)=-2,0.25,0.1))))),"")</f>
        <v/>
      </c>
      <c r="AD127" s="51">
        <f>IFERROR(AB127*VLOOKUP(E127,'Hệ số'!$A$2:$D$8,2,0)*IF((I127-1)&gt;=2,1.2,IF((I127-1)=1,1,IF((I127-1)=0,0.85,IF((I127-1)=-1,0.5,IF((I127-1)=-2,0.25,0.1))))),"")</f>
        <v/>
      </c>
      <c r="AE127" s="51">
        <f>IFERROR(AB127*VLOOKUP(E127,'Hệ số'!$A$2:$D$8,2,0)*IF((I127-2)&gt;=2,1.2,IF((I127-2)=1,1,IF((I127-2)=0,0.85,IF((I127-2)=-1,0.5,IF((I127-2)=-2,0.25,0.1))))),"")</f>
        <v/>
      </c>
      <c r="AF127" s="51">
        <f>IFERROR(AB127*VLOOKUP(E127,'Hệ số'!$A$2:$D$8,2,0)*IF((I127-3)&gt;=2,1.2,IF((I127-3)=1,1,IF((I127-3)=0,0.85,IF((I127-3)=-1,0.5,IF((I127-3)=-2,0.25,0.1))))),"")</f>
        <v/>
      </c>
      <c r="AG127" s="51">
        <f>IFERROR(AB127*VLOOKUP(E127,'Hệ số'!$A$2:$D$8,2,0)*IF((I127-4)&gt;=2,1.2,IF((I127-4)=1,1,IF((I127-4)=0,0.85,IF((I127-4)=-1,0.5,IF((I127-4)=-2,0.25,0.1))))),"")</f>
        <v/>
      </c>
      <c r="AH127" s="51">
        <f>IFERROR(AB127*VLOOKUP(E127,'Hệ số'!$A$2:$D$8,2,0)*IF((I127-5)&gt;=2,1.2,IF((I127-5)=1,1,IF((I127-5)=0,0.85,IF((I127-5)=-1,0.5,IF((I127-5)=-2,0.25,0.1))))),"")</f>
        <v/>
      </c>
      <c r="AI127" s="51">
        <f>IFERROR(AB127*VLOOKUP(E127,'Hệ số'!$A$2:$D$8,3,0),"")</f>
        <v/>
      </c>
      <c r="AJ127" s="51">
        <f>IFERROR(AB127*VLOOKUP(E127,'Hệ số'!$A$2:$D$8,4,0)*IF((I127-2)&gt;=2,1.2,IF((I127-2)=1,1,IF((I127-2)=0,0.85,IF((I127-2)=-1,0.5,IF((I127-2)=-2,0.25,0.1))))),"")</f>
        <v/>
      </c>
      <c r="AK127" s="41" t="inlineStr">
        <is>
          <t>Dẫn đường; bị pháo sáng đánh lừa theo độ kháng; phải nhanh hơn mục tiêu.</t>
        </is>
      </c>
      <c r="AL127" s="41" t="n"/>
      <c r="AM127" s="41" t="inlineStr">
        <is>
          <t>PAC-2</t>
        </is>
      </c>
      <c r="AN127" s="41" t="inlineStr">
        <is>
          <t>Tốc độ bay 24→60 m/s: Thống nhất tốc độ Patriot ở mọi đơn vị (60 m/s).</t>
        </is>
      </c>
      <c r="AO127" s="48" t="inlineStr">
        <is>
          <t>Trung</t>
        </is>
      </c>
    </row>
    <row r="128" ht="21.75" customHeight="1" s="32">
      <c r="A128" s="39" t="inlineStr">
        <is>
          <t>sam_battery_lrr</t>
        </is>
      </c>
      <c r="B128" s="39" t="inlineStr">
        <is>
          <t>MIM-104 Patriot PAC-</t>
        </is>
      </c>
      <c r="C128" s="39" t="inlineStr">
        <is>
          <t>Tên lửa phòng không / không đối không</t>
        </is>
      </c>
      <c r="D128" s="39" t="inlineStr">
        <is>
          <t>Radar tầm xa</t>
        </is>
      </c>
      <c r="E128" s="39" t="inlineStr">
        <is>
          <t>Mảnh</t>
        </is>
      </c>
      <c r="F128" s="39" t="inlineStr">
        <is>
          <t>Sam</t>
        </is>
      </c>
      <c r="G128" s="42" t="n">
        <v>90</v>
      </c>
      <c r="H128" s="42" t="n">
        <v>3</v>
      </c>
      <c r="I128" s="42" t="n">
        <v>3</v>
      </c>
      <c r="J128" s="42" t="n">
        <v>340</v>
      </c>
      <c r="K128" s="42" t="n">
        <v>340</v>
      </c>
      <c r="L128" s="39" t="inlineStr">
        <is>
          <t>loạt</t>
        </is>
      </c>
      <c r="M128" s="39" t="inlineStr">
        <is>
          <t>loạt</t>
        </is>
      </c>
      <c r="N128" s="42" t="n">
        <v>2.22</v>
      </c>
      <c r="O128" s="42" t="n">
        <v>2.22</v>
      </c>
      <c r="P128" s="42" t="n">
        <v>2</v>
      </c>
      <c r="Q128" s="42" t="n">
        <v>2</v>
      </c>
      <c r="R128" s="42" t="n">
        <v>4.3</v>
      </c>
      <c r="S128" s="42" t="n">
        <v>3</v>
      </c>
      <c r="T128" s="42" t="n">
        <v>100</v>
      </c>
      <c r="U128" s="42" t="n">
        <v>100</v>
      </c>
      <c r="V128" s="42" t="n">
        <v>24</v>
      </c>
      <c r="W128" s="42" t="n">
        <v>60</v>
      </c>
      <c r="X128" s="50">
        <f>IFERROR(U128/W128,"")</f>
        <v/>
      </c>
      <c r="Y128" s="52" t="n">
        <v>2.5</v>
      </c>
      <c r="Z128" s="52" t="n">
        <v>2.5</v>
      </c>
      <c r="AA128" s="50">
        <f>IFERROR(IF(L128="từng phát",J128*N128,J128*P128/(P128/N128+R128)),"")</f>
        <v/>
      </c>
      <c r="AB128" s="50">
        <f>IFERROR(IF(M128="từng phát",K128*O128,K128*Q128/(Q128/O128+S128)),"")</f>
        <v/>
      </c>
      <c r="AC128" s="50">
        <f>IFERROR(AB128*VLOOKUP(E128,'Hệ số'!$A$2:$D$8,2,0)*IF((I128-0)&gt;=2,1.2,IF((I128-0)=1,1,IF((I128-0)=0,0.85,IF((I128-0)=-1,0.5,IF((I128-0)=-2,0.25,0.1))))),"")</f>
        <v/>
      </c>
      <c r="AD128" s="50">
        <f>IFERROR(AB128*VLOOKUP(E128,'Hệ số'!$A$2:$D$8,2,0)*IF((I128-1)&gt;=2,1.2,IF((I128-1)=1,1,IF((I128-1)=0,0.85,IF((I128-1)=-1,0.5,IF((I128-1)=-2,0.25,0.1))))),"")</f>
        <v/>
      </c>
      <c r="AE128" s="50">
        <f>IFERROR(AB128*VLOOKUP(E128,'Hệ số'!$A$2:$D$8,2,0)*IF((I128-2)&gt;=2,1.2,IF((I128-2)=1,1,IF((I128-2)=0,0.85,IF((I128-2)=-1,0.5,IF((I128-2)=-2,0.25,0.1))))),"")</f>
        <v/>
      </c>
      <c r="AF128" s="50">
        <f>IFERROR(AB128*VLOOKUP(E128,'Hệ số'!$A$2:$D$8,2,0)*IF((I128-3)&gt;=2,1.2,IF((I128-3)=1,1,IF((I128-3)=0,0.85,IF((I128-3)=-1,0.5,IF((I128-3)=-2,0.25,0.1))))),"")</f>
        <v/>
      </c>
      <c r="AG128" s="50">
        <f>IFERROR(AB128*VLOOKUP(E128,'Hệ số'!$A$2:$D$8,2,0)*IF((I128-4)&gt;=2,1.2,IF((I128-4)=1,1,IF((I128-4)=0,0.85,IF((I128-4)=-1,0.5,IF((I128-4)=-2,0.25,0.1))))),"")</f>
        <v/>
      </c>
      <c r="AH128" s="50">
        <f>IFERROR(AB128*VLOOKUP(E128,'Hệ số'!$A$2:$D$8,2,0)*IF((I128-5)&gt;=2,1.2,IF((I128-5)=1,1,IF((I128-5)=0,0.85,IF((I128-5)=-1,0.5,IF((I128-5)=-2,0.25,0.1))))),"")</f>
        <v/>
      </c>
      <c r="AI128" s="50">
        <f>IFERROR(AB128*VLOOKUP(E128,'Hệ số'!$A$2:$D$8,3,0),"")</f>
        <v/>
      </c>
      <c r="AJ128" s="50">
        <f>IFERROR(AB128*VLOOKUP(E128,'Hệ số'!$A$2:$D$8,4,0)*IF((I128-2)&gt;=2,1.2,IF((I128-2)=1,1,IF((I128-2)=0,0.85,IF((I128-2)=-1,0.5,IF((I128-2)=-2,0.25,0.1))))),"")</f>
        <v/>
      </c>
      <c r="AK128" s="39" t="inlineStr">
        <is>
          <t>Dẫn đường; bị pháo sáng đánh lừa theo độ kháng; phải nhanh hơn mục tiêu.</t>
        </is>
      </c>
      <c r="AL128" s="39" t="n"/>
      <c r="AM128" s="39" t="inlineStr">
        <is>
          <t>PAC-2</t>
        </is>
      </c>
      <c r="AN128" s="39" t="inlineStr">
        <is>
          <t>Nhánh radar tầm xa chống máy bay → ~260. Tốc độ bay 24→60 m/s: Thống nhất tốc độ Patriot ở mọi đơn vị (60 m/s).</t>
        </is>
      </c>
      <c r="AO128" s="48" t="inlineStr">
        <is>
          <t>Trung</t>
        </is>
      </c>
    </row>
    <row r="129" ht="21.75" customHeight="1" s="32">
      <c r="A129" s="41" t="inlineStr">
        <is>
          <t>sam_pac3</t>
        </is>
      </c>
      <c r="B129" s="41" t="inlineStr">
        <is>
          <t>Patriot PAC-3 MSE</t>
        </is>
      </c>
      <c r="C129" s="41" t="inlineStr">
        <is>
          <t>Tên lửa phòng không / không đối không</t>
        </is>
      </c>
      <c r="D129" s="41" t="inlineStr">
        <is>
          <t>PAC-3</t>
        </is>
      </c>
      <c r="E129" s="41" t="inlineStr">
        <is>
          <t>Mảnh</t>
        </is>
      </c>
      <c r="F129" s="41" t="inlineStr">
        <is>
          <t>Sam</t>
        </is>
      </c>
      <c r="G129" s="43" t="n">
        <v>100</v>
      </c>
      <c r="H129" s="43" t="n">
        <v>3</v>
      </c>
      <c r="I129" s="43" t="n">
        <v>3</v>
      </c>
      <c r="J129" s="43" t="n">
        <v>360</v>
      </c>
      <c r="K129" s="43" t="n">
        <v>360</v>
      </c>
      <c r="L129" s="41" t="inlineStr">
        <is>
          <t>loạt</t>
        </is>
      </c>
      <c r="M129" s="41" t="inlineStr">
        <is>
          <t>loạt</t>
        </is>
      </c>
      <c r="N129" s="43" t="n">
        <v>2.22</v>
      </c>
      <c r="O129" s="43" t="n">
        <v>2.22</v>
      </c>
      <c r="P129" s="43" t="n">
        <v>2</v>
      </c>
      <c r="Q129" s="43" t="n">
        <v>2</v>
      </c>
      <c r="R129" s="43" t="n">
        <v>5.8</v>
      </c>
      <c r="S129" s="43" t="n">
        <v>5.8</v>
      </c>
      <c r="T129" s="43" t="n">
        <v>72</v>
      </c>
      <c r="U129" s="43" t="n">
        <v>72</v>
      </c>
      <c r="V129" s="43" t="n">
        <v>24</v>
      </c>
      <c r="W129" s="43" t="n">
        <v>65</v>
      </c>
      <c r="X129" s="51">
        <f>IFERROR(U129/W129,"")</f>
        <v/>
      </c>
      <c r="Y129" s="53" t="n">
        <v>2.5</v>
      </c>
      <c r="Z129" s="53" t="n">
        <v>2.5</v>
      </c>
      <c r="AA129" s="51">
        <f>IFERROR(IF(L129="từng phát",J129*N129,J129*P129/(P129/N129+R129)),"")</f>
        <v/>
      </c>
      <c r="AB129" s="51">
        <f>IFERROR(IF(M129="từng phát",K129*O129,K129*Q129/(Q129/O129+S129)),"")</f>
        <v/>
      </c>
      <c r="AC129" s="51">
        <f>IFERROR(AB129*VLOOKUP(E129,'Hệ số'!$A$2:$D$8,2,0)*IF((I129-0)&gt;=2,1.2,IF((I129-0)=1,1,IF((I129-0)=0,0.85,IF((I129-0)=-1,0.5,IF((I129-0)=-2,0.25,0.1))))),"")</f>
        <v/>
      </c>
      <c r="AD129" s="51">
        <f>IFERROR(AB129*VLOOKUP(E129,'Hệ số'!$A$2:$D$8,2,0)*IF((I129-1)&gt;=2,1.2,IF((I129-1)=1,1,IF((I129-1)=0,0.85,IF((I129-1)=-1,0.5,IF((I129-1)=-2,0.25,0.1))))),"")</f>
        <v/>
      </c>
      <c r="AE129" s="51">
        <f>IFERROR(AB129*VLOOKUP(E129,'Hệ số'!$A$2:$D$8,2,0)*IF((I129-2)&gt;=2,1.2,IF((I129-2)=1,1,IF((I129-2)=0,0.85,IF((I129-2)=-1,0.5,IF((I129-2)=-2,0.25,0.1))))),"")</f>
        <v/>
      </c>
      <c r="AF129" s="51">
        <f>IFERROR(AB129*VLOOKUP(E129,'Hệ số'!$A$2:$D$8,2,0)*IF((I129-3)&gt;=2,1.2,IF((I129-3)=1,1,IF((I129-3)=0,0.85,IF((I129-3)=-1,0.5,IF((I129-3)=-2,0.25,0.1))))),"")</f>
        <v/>
      </c>
      <c r="AG129" s="51">
        <f>IFERROR(AB129*VLOOKUP(E129,'Hệ số'!$A$2:$D$8,2,0)*IF((I129-4)&gt;=2,1.2,IF((I129-4)=1,1,IF((I129-4)=0,0.85,IF((I129-4)=-1,0.5,IF((I129-4)=-2,0.25,0.1))))),"")</f>
        <v/>
      </c>
      <c r="AH129" s="51">
        <f>IFERROR(AB129*VLOOKUP(E129,'Hệ số'!$A$2:$D$8,2,0)*IF((I129-5)&gt;=2,1.2,IF((I129-5)=1,1,IF((I129-5)=0,0.85,IF((I129-5)=-1,0.5,IF((I129-5)=-2,0.25,0.1))))),"")</f>
        <v/>
      </c>
      <c r="AI129" s="51">
        <f>IFERROR(AB129*VLOOKUP(E129,'Hệ số'!$A$2:$D$8,3,0),"")</f>
        <v/>
      </c>
      <c r="AJ129" s="51">
        <f>IFERROR(AB129*VLOOKUP(E129,'Hệ số'!$A$2:$D$8,4,0)*IF((I129-2)&gt;=2,1.2,IF((I129-2)=1,1,IF((I129-2)=0,0.85,IF((I129-2)=-1,0.5,IF((I129-2)=-2,0.25,0.1))))),"")</f>
        <v/>
      </c>
      <c r="AK129" s="41" t="inlineStr">
        <is>
          <t>Dẫn đường; bị pháo sáng đánh lừa theo độ kháng; phải nhanh hơn mục tiêu.</t>
        </is>
      </c>
      <c r="AL129" s="41" t="n"/>
      <c r="AM129" s="41" t="inlineStr">
        <is>
          <t>PAC-3 MSE: 35–60 km, Mach 5</t>
        </is>
      </c>
      <c r="AN129" s="41" t="inlineStr">
        <is>
          <t>Tốc độ bay 24→65 m/s: Đánh chặn tên lửa đạn đạo (đề xuất 50 m/s) và hành trình: phải nhanh hơn chúng.</t>
        </is>
      </c>
      <c r="AO129" s="48" t="inlineStr">
        <is>
          <t>Trung</t>
        </is>
      </c>
    </row>
    <row r="130" ht="21.75" customHeight="1" s="32">
      <c r="A130" s="39" t="inlineStr">
        <is>
          <t>sam_post</t>
        </is>
      </c>
      <c r="B130" s="39" t="inlineStr">
        <is>
          <t>9M317 Buk</t>
        </is>
      </c>
      <c r="C130" s="39" t="inlineStr">
        <is>
          <t>Tên lửa phòng không / không đối không</t>
        </is>
      </c>
      <c r="D130" s="39" t="inlineStr">
        <is>
          <t>Jötunn, Trạm tên lửa, Typhon</t>
        </is>
      </c>
      <c r="E130" s="39" t="inlineStr">
        <is>
          <t>Mảnh</t>
        </is>
      </c>
      <c r="F130" s="39" t="inlineStr">
        <is>
          <t>Sam</t>
        </is>
      </c>
      <c r="G130" s="42" t="n">
        <v>70</v>
      </c>
      <c r="H130" s="42" t="n">
        <v>3</v>
      </c>
      <c r="I130" s="42" t="n">
        <v>3</v>
      </c>
      <c r="J130" s="42" t="n">
        <v>320</v>
      </c>
      <c r="K130" s="42" t="n">
        <v>320</v>
      </c>
      <c r="L130" s="39" t="inlineStr">
        <is>
          <t>loạt</t>
        </is>
      </c>
      <c r="M130" s="39" t="inlineStr">
        <is>
          <t>loạt</t>
        </is>
      </c>
      <c r="N130" s="42" t="n">
        <v>2</v>
      </c>
      <c r="O130" s="42" t="n">
        <v>2</v>
      </c>
      <c r="P130" s="42" t="n">
        <v>2</v>
      </c>
      <c r="Q130" s="42" t="n">
        <v>2</v>
      </c>
      <c r="R130" s="42" t="n">
        <v>3.4</v>
      </c>
      <c r="S130" s="42" t="n">
        <v>3.4</v>
      </c>
      <c r="T130" s="42" t="n">
        <v>60</v>
      </c>
      <c r="U130" s="42" t="n">
        <v>60</v>
      </c>
      <c r="V130" s="42" t="n">
        <v>24</v>
      </c>
      <c r="W130" s="42" t="n">
        <v>50</v>
      </c>
      <c r="X130" s="50">
        <f>IFERROR(U130/W130,"")</f>
        <v/>
      </c>
      <c r="Y130" s="52" t="n">
        <v>2</v>
      </c>
      <c r="Z130" s="52" t="n">
        <v>2</v>
      </c>
      <c r="AA130" s="50">
        <f>IFERROR(IF(L130="từng phát",J130*N130,J130*P130/(P130/N130+R130)),"")</f>
        <v/>
      </c>
      <c r="AB130" s="50">
        <f>IFERROR(IF(M130="từng phát",K130*O130,K130*Q130/(Q130/O130+S130)),"")</f>
        <v/>
      </c>
      <c r="AC130" s="50">
        <f>IFERROR(AB130*VLOOKUP(E130,'Hệ số'!$A$2:$D$8,2,0)*IF((I130-0)&gt;=2,1.2,IF((I130-0)=1,1,IF((I130-0)=0,0.85,IF((I130-0)=-1,0.5,IF((I130-0)=-2,0.25,0.1))))),"")</f>
        <v/>
      </c>
      <c r="AD130" s="50">
        <f>IFERROR(AB130*VLOOKUP(E130,'Hệ số'!$A$2:$D$8,2,0)*IF((I130-1)&gt;=2,1.2,IF((I130-1)=1,1,IF((I130-1)=0,0.85,IF((I130-1)=-1,0.5,IF((I130-1)=-2,0.25,0.1))))),"")</f>
        <v/>
      </c>
      <c r="AE130" s="50">
        <f>IFERROR(AB130*VLOOKUP(E130,'Hệ số'!$A$2:$D$8,2,0)*IF((I130-2)&gt;=2,1.2,IF((I130-2)=1,1,IF((I130-2)=0,0.85,IF((I130-2)=-1,0.5,IF((I130-2)=-2,0.25,0.1))))),"")</f>
        <v/>
      </c>
      <c r="AF130" s="50">
        <f>IFERROR(AB130*VLOOKUP(E130,'Hệ số'!$A$2:$D$8,2,0)*IF((I130-3)&gt;=2,1.2,IF((I130-3)=1,1,IF((I130-3)=0,0.85,IF((I130-3)=-1,0.5,IF((I130-3)=-2,0.25,0.1))))),"")</f>
        <v/>
      </c>
      <c r="AG130" s="50">
        <f>IFERROR(AB130*VLOOKUP(E130,'Hệ số'!$A$2:$D$8,2,0)*IF((I130-4)&gt;=2,1.2,IF((I130-4)=1,1,IF((I130-4)=0,0.85,IF((I130-4)=-1,0.5,IF((I130-4)=-2,0.25,0.1))))),"")</f>
        <v/>
      </c>
      <c r="AH130" s="50">
        <f>IFERROR(AB130*VLOOKUP(E130,'Hệ số'!$A$2:$D$8,2,0)*IF((I130-5)&gt;=2,1.2,IF((I130-5)=1,1,IF((I130-5)=0,0.85,IF((I130-5)=-1,0.5,IF((I130-5)=-2,0.25,0.1))))),"")</f>
        <v/>
      </c>
      <c r="AI130" s="50">
        <f>IFERROR(AB130*VLOOKUP(E130,'Hệ số'!$A$2:$D$8,3,0),"")</f>
        <v/>
      </c>
      <c r="AJ130" s="50">
        <f>IFERROR(AB130*VLOOKUP(E130,'Hệ số'!$A$2:$D$8,4,0)*IF((I130-2)&gt;=2,1.2,IF((I130-2)=1,1,IF((I130-2)=0,0.85,IF((I130-2)=-1,0.5,IF((I130-2)=-2,0.25,0.1))))),"")</f>
        <v/>
      </c>
      <c r="AK130" s="39" t="inlineStr">
        <is>
          <t>Dẫn đường; bị pháo sáng đánh lừa theo độ kháng; phải nhanh hơn mục tiêu.</t>
        </is>
      </c>
      <c r="AL130" s="39" t="n"/>
      <c r="AM130" s="39" t="inlineStr">
        <is>
          <t>9M317 Buk</t>
        </is>
      </c>
      <c r="AN130" s="39" t="inlineStr">
        <is>
          <t>Tốc độ bay 24→50 m/s: Thống nhất tốc độ Buk ở mọi đơn vị (50 m/s).</t>
        </is>
      </c>
      <c r="AO130" s="48" t="inlineStr">
        <is>
          <t>Trung</t>
        </is>
      </c>
    </row>
    <row r="131" ht="21.75" customHeight="1" s="32">
      <c r="A131" s="41" t="inlineStr">
        <is>
          <t>scout_rockets</t>
        </is>
      </c>
      <c r="B131" s="41" t="inlineStr">
        <is>
          <t>Hydra 70 mm</t>
        </is>
      </c>
      <c r="C131" s="41" t="inlineStr">
        <is>
          <t>Rốc-két</t>
        </is>
      </c>
      <c r="D131" s="41" t="inlineStr">
        <is>
          <t>TT trinh sát</t>
        </is>
      </c>
      <c r="E131" s="41" t="inlineStr">
        <is>
          <t>Nổ mạnh</t>
        </is>
      </c>
      <c r="F131" s="41" t="inlineStr">
        <is>
          <t>RocketSmall</t>
        </is>
      </c>
      <c r="G131" s="43" t="n">
        <v>70</v>
      </c>
      <c r="H131" s="43" t="n">
        <v>2</v>
      </c>
      <c r="I131" s="43" t="n">
        <v>2</v>
      </c>
      <c r="J131" s="43" t="n">
        <v>30</v>
      </c>
      <c r="K131" s="43" t="n">
        <v>30</v>
      </c>
      <c r="L131" s="41" t="inlineStr">
        <is>
          <t>loạt</t>
        </is>
      </c>
      <c r="M131" s="41" t="inlineStr">
        <is>
          <t>loạt</t>
        </is>
      </c>
      <c r="N131" s="43" t="n">
        <v>9.09</v>
      </c>
      <c r="O131" s="43" t="n">
        <v>9.09</v>
      </c>
      <c r="P131" s="43" t="n">
        <v>12</v>
      </c>
      <c r="Q131" s="43" t="n">
        <v>12</v>
      </c>
      <c r="R131" s="43" t="n">
        <v>7.4</v>
      </c>
      <c r="S131" s="43" t="n">
        <v>7.4</v>
      </c>
      <c r="T131" s="43" t="n">
        <v>28</v>
      </c>
      <c r="U131" s="43" t="n">
        <v>28</v>
      </c>
      <c r="V131" s="43" t="n">
        <v>38</v>
      </c>
      <c r="W131" s="43" t="n">
        <v>40</v>
      </c>
      <c r="X131" s="51">
        <f>IFERROR(U131/W131,"")</f>
        <v/>
      </c>
      <c r="Y131" s="53" t="n">
        <v>3</v>
      </c>
      <c r="Z131" s="53" t="n">
        <v>3</v>
      </c>
      <c r="AA131" s="51">
        <f>IFERROR(IF(L131="từng phát",J131*N131,J131*P131/(P131/N131+R131)),"")</f>
        <v/>
      </c>
      <c r="AB131" s="51">
        <f>IFERROR(IF(M131="từng phát",K131*O131,K131*Q131/(Q131/O131+S131)),"")</f>
        <v/>
      </c>
      <c r="AC131" s="51">
        <f>IFERROR(AB131*VLOOKUP(E131,'Hệ số'!$A$2:$D$8,2,0)*IF((I131-0)&gt;=2,1.2,IF((I131-0)=1,1,IF((I131-0)=0,0.85,IF((I131-0)=-1,0.5,IF((I131-0)=-2,0.25,0.1))))),"")</f>
        <v/>
      </c>
      <c r="AD131" s="51">
        <f>IFERROR(AB131*VLOOKUP(E131,'Hệ số'!$A$2:$D$8,2,0)*IF((I131-1)&gt;=2,1.2,IF((I131-1)=1,1,IF((I131-1)=0,0.85,IF((I131-1)=-1,0.5,IF((I131-1)=-2,0.25,0.1))))),"")</f>
        <v/>
      </c>
      <c r="AE131" s="51">
        <f>IFERROR(AB131*VLOOKUP(E131,'Hệ số'!$A$2:$D$8,2,0)*IF((I131-2)&gt;=2,1.2,IF((I131-2)=1,1,IF((I131-2)=0,0.85,IF((I131-2)=-1,0.5,IF((I131-2)=-2,0.25,0.1))))),"")</f>
        <v/>
      </c>
      <c r="AF131" s="51">
        <f>IFERROR(AB131*VLOOKUP(E131,'Hệ số'!$A$2:$D$8,2,0)*IF((I131-3)&gt;=2,1.2,IF((I131-3)=1,1,IF((I131-3)=0,0.85,IF((I131-3)=-1,0.5,IF((I131-3)=-2,0.25,0.1))))),"")</f>
        <v/>
      </c>
      <c r="AG131" s="51">
        <f>IFERROR(AB131*VLOOKUP(E131,'Hệ số'!$A$2:$D$8,2,0)*IF((I131-4)&gt;=2,1.2,IF((I131-4)=1,1,IF((I131-4)=0,0.85,IF((I131-4)=-1,0.5,IF((I131-4)=-2,0.25,0.1))))),"")</f>
        <v/>
      </c>
      <c r="AH131" s="51">
        <f>IFERROR(AB131*VLOOKUP(E131,'Hệ số'!$A$2:$D$8,2,0)*IF((I131-5)&gt;=2,1.2,IF((I131-5)=1,1,IF((I131-5)=0,0.85,IF((I131-5)=-1,0.5,IF((I131-5)=-2,0.25,0.1))))),"")</f>
        <v/>
      </c>
      <c r="AI131" s="51">
        <f>IFERROR(AB131*VLOOKUP(E131,'Hệ số'!$A$2:$D$8,3,0),"")</f>
        <v/>
      </c>
      <c r="AJ131" s="51">
        <f>IFERROR(AB131*VLOOKUP(E131,'Hệ số'!$A$2:$D$8,4,0)*IF((I131-2)&gt;=2,1.2,IF((I131-2)=1,1,IF((I131-2)=0,0.85,IF((I131-2)=-1,0.5,IF((I131-2)=-2,0.25,0.1))))),"")</f>
        <v/>
      </c>
      <c r="AK131" s="41" t="inlineStr">
        <is>
          <t>Bắn loạt phủ vùng, tản mát; C-RAM, Vòm Sắt và La-de PK bắn hạ được từng quả.</t>
        </is>
      </c>
      <c r="AL131" s="41" t="n"/>
      <c r="AM131" s="41" t="inlineStr">
        <is>
          <t>Hydra 70</t>
        </is>
      </c>
      <c r="AN131" s="41" t="inlineStr">
        <is>
          <t>Tốc độ bay 38→40 m/s: Thống nhất tốc độ rốc-két nhỏ ở mọi đơn vị (40 m/s).</t>
        </is>
      </c>
      <c r="AO131" s="48" t="inlineStr">
        <is>
          <t>Trung</t>
        </is>
      </c>
    </row>
    <row r="132" ht="21.75" customHeight="1" s="32">
      <c r="A132" s="39" t="inlineStr">
        <is>
          <t>shahed</t>
        </is>
      </c>
      <c r="B132" s="39" t="inlineStr">
        <is>
          <t>Shahed-136 (50 kg)</t>
        </is>
      </c>
      <c r="C132" s="39" t="inlineStr">
        <is>
          <t>Drone / đạn lảng vảng</t>
        </is>
      </c>
      <c r="D132" s="39" t="inlineStr">
        <is>
          <t>Shahed</t>
        </is>
      </c>
      <c r="E132" s="39" t="inlineStr">
        <is>
          <t>Nổ mạnh</t>
        </is>
      </c>
      <c r="F132" s="39" t="inlineStr">
        <is>
          <t>Shahed</t>
        </is>
      </c>
      <c r="G132" s="42" t="n">
        <v>50</v>
      </c>
      <c r="H132" s="42" t="n">
        <v>3</v>
      </c>
      <c r="I132" s="42" t="n">
        <v>3</v>
      </c>
      <c r="J132" s="42" t="n">
        <v>344</v>
      </c>
      <c r="K132" s="42" t="n">
        <v>344</v>
      </c>
      <c r="L132" s="39" t="inlineStr">
        <is>
          <t>từng phát</t>
        </is>
      </c>
      <c r="M132" s="39" t="inlineStr">
        <is>
          <t>từng phát</t>
        </is>
      </c>
      <c r="N132" s="42" t="n">
        <v>0.12</v>
      </c>
      <c r="O132" s="42" t="n">
        <v>0.12</v>
      </c>
      <c r="P132" s="42" t="n">
        <v>1</v>
      </c>
      <c r="Q132" s="42" t="n">
        <v>1</v>
      </c>
      <c r="R132" s="42" t="n">
        <v>8.33333333333333</v>
      </c>
      <c r="S132" s="42" t="n">
        <v>8.33333333333333</v>
      </c>
      <c r="T132" s="42" t="n">
        <v>150</v>
      </c>
      <c r="U132" s="42" t="n">
        <v>150</v>
      </c>
      <c r="V132" s="42" t="n">
        <v>20</v>
      </c>
      <c r="W132" s="42" t="n">
        <v>20</v>
      </c>
      <c r="X132" s="50">
        <f>IFERROR(U132/W132,"")</f>
        <v/>
      </c>
      <c r="Y132" s="52" t="n">
        <v>6</v>
      </c>
      <c r="Z132" s="52" t="n">
        <v>4.5</v>
      </c>
      <c r="AA132" s="50">
        <f>IFERROR(IF(L132="từng phát",J132*N132,J132*P132/(P132/N132+R132)),"")</f>
        <v/>
      </c>
      <c r="AB132" s="50">
        <f>IFERROR(IF(M132="từng phát",K132*O132,K132*Q132/(Q132/O132+S132)),"")</f>
        <v/>
      </c>
      <c r="AC132" s="50">
        <f>IFERROR(AB132*VLOOKUP(E132,'Hệ số'!$A$2:$D$8,2,0)*IF((I132-0)&gt;=2,1.2,IF((I132-0)=1,1,IF((I132-0)=0,0.85,IF((I132-0)=-1,0.5,IF((I132-0)=-2,0.25,0.1))))),"")</f>
        <v/>
      </c>
      <c r="AD132" s="50">
        <f>IFERROR(AB132*VLOOKUP(E132,'Hệ số'!$A$2:$D$8,2,0)*IF((I132-1)&gt;=2,1.2,IF((I132-1)=1,1,IF((I132-1)=0,0.85,IF((I132-1)=-1,0.5,IF((I132-1)=-2,0.25,0.1))))),"")</f>
        <v/>
      </c>
      <c r="AE132" s="50">
        <f>IFERROR(AB132*VLOOKUP(E132,'Hệ số'!$A$2:$D$8,2,0)*IF((I132-2)&gt;=2,1.2,IF((I132-2)=1,1,IF((I132-2)=0,0.85,IF((I132-2)=-1,0.5,IF((I132-2)=-2,0.25,0.1))))),"")</f>
        <v/>
      </c>
      <c r="AF132" s="50">
        <f>IFERROR(AB132*VLOOKUP(E132,'Hệ số'!$A$2:$D$8,2,0)*IF((I132-3)&gt;=2,1.2,IF((I132-3)=1,1,IF((I132-3)=0,0.85,IF((I132-3)=-1,0.5,IF((I132-3)=-2,0.25,0.1))))),"")</f>
        <v/>
      </c>
      <c r="AG132" s="50">
        <f>IFERROR(AB132*VLOOKUP(E132,'Hệ số'!$A$2:$D$8,2,0)*IF((I132-4)&gt;=2,1.2,IF((I132-4)=1,1,IF((I132-4)=0,0.85,IF((I132-4)=-1,0.5,IF((I132-4)=-2,0.25,0.1))))),"")</f>
        <v/>
      </c>
      <c r="AH132" s="50">
        <f>IFERROR(AB132*VLOOKUP(E132,'Hệ số'!$A$2:$D$8,2,0)*IF((I132-5)&gt;=2,1.2,IF((I132-5)=1,1,IF((I132-5)=0,0.85,IF((I132-5)=-1,0.5,IF((I132-5)=-2,0.25,0.1))))),"")</f>
        <v/>
      </c>
      <c r="AI132" s="50">
        <f>IFERROR(AB132*VLOOKUP(E132,'Hệ số'!$A$2:$D$8,3,0),"")</f>
        <v/>
      </c>
      <c r="AJ132" s="50">
        <f>IFERROR(AB132*VLOOKUP(E132,'Hệ số'!$A$2:$D$8,4,0)*IF((I132-2)&gt;=2,1.2,IF((I132-2)=1,1,IF((I132-2)=0,0.85,IF((I132-2)=-1,0.5,IF((I132-2)=-2,0.25,0.1))))),"")</f>
        <v/>
      </c>
      <c r="AK132" s="39" t="inlineStr">
        <is>
          <t>Bay chậm, lượn tìm mục tiêu, đánh nóc; bị EW, APS, C-RAM, La-de PK và súng máy bắn hạ.</t>
        </is>
      </c>
      <c r="AL132" s="39" t="n"/>
      <c r="AM132" s="39" t="inlineStr">
        <is>
          <t>Shahed-136: đầu nổ 40–50 kg</t>
        </is>
      </c>
      <c r="AN132" s="39" t="inlineStr">
        <is>
          <t>Đầu nổ 40–50 kg.</t>
        </is>
      </c>
      <c r="AO132" s="48" t="inlineStr">
        <is>
          <t>Trung</t>
        </is>
      </c>
    </row>
    <row r="133" ht="32.25" customHeight="1" s="32">
      <c r="A133" s="41" t="inlineStr">
        <is>
          <t>siege_gun_105</t>
        </is>
      </c>
      <c r="B133" s="41" t="inlineStr">
        <is>
          <t>L7 105 mm (siege</t>
        </is>
      </c>
      <c r="C133" s="41" t="inlineStr">
        <is>
          <t>Pháo xe tăng / diệt tăng</t>
        </is>
      </c>
      <c r="D133" s="41" t="inlineStr">
        <is>
          <t>Công thành</t>
        </is>
      </c>
      <c r="E133" s="41" t="inlineStr">
        <is>
          <t>Động năng</t>
        </is>
      </c>
      <c r="F133" s="41" t="inlineStr">
        <is>
          <t>Dart</t>
        </is>
      </c>
      <c r="G133" s="43" t="n">
        <v>105</v>
      </c>
      <c r="H133" s="43" t="n">
        <v>3</v>
      </c>
      <c r="I133" s="43" t="n">
        <v>3</v>
      </c>
      <c r="J133" s="43" t="n">
        <v>212</v>
      </c>
      <c r="K133" s="43" t="n">
        <v>212</v>
      </c>
      <c r="L133" s="41" t="inlineStr">
        <is>
          <t>từng phát</t>
        </is>
      </c>
      <c r="M133" s="41" t="inlineStr">
        <is>
          <t>từng phát</t>
        </is>
      </c>
      <c r="N133" s="43" t="n">
        <v>0.217391304347826</v>
      </c>
      <c r="O133" s="43" t="n">
        <v>0.217391304347826</v>
      </c>
      <c r="P133" s="43" t="n">
        <v>1</v>
      </c>
      <c r="Q133" s="43" t="n">
        <v>1</v>
      </c>
      <c r="R133" s="43" t="n">
        <v>4.6</v>
      </c>
      <c r="S133" s="43" t="n">
        <v>4.6</v>
      </c>
      <c r="T133" s="43" t="n">
        <v>34</v>
      </c>
      <c r="U133" s="43" t="n">
        <v>34</v>
      </c>
      <c r="V133" s="43" t="n">
        <v>190</v>
      </c>
      <c r="W133" s="43" t="n">
        <v>190</v>
      </c>
      <c r="X133" s="51">
        <f>IFERROR(U133/W133,"")</f>
        <v/>
      </c>
      <c r="Y133" s="53" t="n">
        <v>1.5</v>
      </c>
      <c r="Z133" s="53" t="n">
        <v>1.5</v>
      </c>
      <c r="AA133" s="51">
        <f>IFERROR(IF(L133="từng phát",J133*N133,J133*P133/(P133/N133+R133)),"")</f>
        <v/>
      </c>
      <c r="AB133" s="51">
        <f>IFERROR(IF(M133="từng phát",K133*O133,K133*Q133/(Q133/O133+S133)),"")</f>
        <v/>
      </c>
      <c r="AC133" s="51">
        <f>IFERROR(AB133*VLOOKUP(E133,'Hệ số'!$A$2:$D$8,2,0)*IF((I133-0)&gt;=2,1.2,IF((I133-0)=1,1,IF((I133-0)=0,0.85,IF((I133-0)=-1,0.5,IF((I133-0)=-2,0.25,0.1))))),"")</f>
        <v/>
      </c>
      <c r="AD133" s="51">
        <f>IFERROR(AB133*VLOOKUP(E133,'Hệ số'!$A$2:$D$8,2,0)*IF((I133-1)&gt;=2,1.2,IF((I133-1)=1,1,IF((I133-1)=0,0.85,IF((I133-1)=-1,0.5,IF((I133-1)=-2,0.25,0.1))))),"")</f>
        <v/>
      </c>
      <c r="AE133" s="51">
        <f>IFERROR(AB133*VLOOKUP(E133,'Hệ số'!$A$2:$D$8,2,0)*IF((I133-2)&gt;=2,1.2,IF((I133-2)=1,1,IF((I133-2)=0,0.85,IF((I133-2)=-1,0.5,IF((I133-2)=-2,0.25,0.1))))),"")</f>
        <v/>
      </c>
      <c r="AF133" s="51">
        <f>IFERROR(AB133*VLOOKUP(E133,'Hệ số'!$A$2:$D$8,2,0)*IF((I133-3)&gt;=2,1.2,IF((I133-3)=1,1,IF((I133-3)=0,0.85,IF((I133-3)=-1,0.5,IF((I133-3)=-2,0.25,0.1))))),"")</f>
        <v/>
      </c>
      <c r="AG133" s="51">
        <f>IFERROR(AB133*VLOOKUP(E133,'Hệ số'!$A$2:$D$8,2,0)*IF((I133-4)&gt;=2,1.2,IF((I133-4)=1,1,IF((I133-4)=0,0.85,IF((I133-4)=-1,0.5,IF((I133-4)=-2,0.25,0.1))))),"")</f>
        <v/>
      </c>
      <c r="AH133" s="51">
        <f>IFERROR(AB133*VLOOKUP(E133,'Hệ số'!$A$2:$D$8,2,0)*IF((I133-5)&gt;=2,1.2,IF((I133-5)=1,1,IF((I133-5)=0,0.85,IF((I133-5)=-1,0.5,IF((I133-5)=-2,0.25,0.1))))),"")</f>
        <v/>
      </c>
      <c r="AI133" s="51">
        <f>IFERROR(AB133*VLOOKUP(E133,'Hệ số'!$A$2:$D$8,3,0),"")</f>
        <v/>
      </c>
      <c r="AJ133" s="51">
        <f>IFERROR(AB133*VLOOKUP(E133,'Hệ số'!$A$2:$D$8,4,0)*IF((I133-2)&gt;=2,1.2,IF((I133-2)=1,1,IF((I133-2)=0,0.85,IF((I133-2)=-1,0.5,IF((I133-2)=-2,0.25,0.1))))),"")</f>
        <v/>
      </c>
      <c r="AK133" s="41" t="inlineStr">
        <is>
          <t>Phát đơn, sơ tốc cao; không bị APS chặn (đạn động năng); bị lệch theo tầm và khi xe đang chạy.</t>
        </is>
      </c>
      <c r="AL133" s="41" t="inlineStr">
        <is>
          <t>Tự đổi: đạn xuyên (Động năng) với xe giáp, đạn nổ mạnh (HE, xuyên 2, nổ lan 3 m) với xe nhẹ và công trình.</t>
        </is>
      </c>
      <c r="AM133" s="41" t="inlineStr">
        <is>
          <t>L7 105 mm</t>
        </is>
      </c>
      <c r="AN133" s="41" t="inlineStr">
        <is>
          <t>Giữ.</t>
        </is>
      </c>
      <c r="AO133" s="41" t="n"/>
    </row>
    <row r="134" ht="21.75" customHeight="1" s="32">
      <c r="A134" s="39" t="inlineStr">
        <is>
          <t>siege_mortar_240</t>
        </is>
      </c>
      <c r="B134" s="39" t="inlineStr">
        <is>
          <t>2B8 240 mm (siege</t>
        </is>
      </c>
      <c r="C134" s="39" t="inlineStr">
        <is>
          <t>Đạn cối</t>
        </is>
      </c>
      <c r="D134" s="39" t="inlineStr">
        <is>
          <t>Công thành</t>
        </is>
      </c>
      <c r="E134" s="39" t="inlineStr">
        <is>
          <t>Nổ mạnh</t>
        </is>
      </c>
      <c r="F134" s="39" t="inlineStr">
        <is>
          <t>MortarBomb</t>
        </is>
      </c>
      <c r="G134" s="42" t="n">
        <v>240</v>
      </c>
      <c r="H134" s="42" t="n">
        <v>4</v>
      </c>
      <c r="I134" s="42" t="n">
        <v>4</v>
      </c>
      <c r="J134" s="42" t="n">
        <v>450</v>
      </c>
      <c r="K134" s="42" t="n">
        <v>450</v>
      </c>
      <c r="L134" s="39" t="inlineStr">
        <is>
          <t>từng phát</t>
        </is>
      </c>
      <c r="M134" s="39" t="inlineStr">
        <is>
          <t>từng phát</t>
        </is>
      </c>
      <c r="N134" s="42" t="n">
        <v>0.13</v>
      </c>
      <c r="O134" s="42" t="n">
        <v>0.13</v>
      </c>
      <c r="P134" s="42" t="n">
        <v>1</v>
      </c>
      <c r="Q134" s="42" t="n">
        <v>1</v>
      </c>
      <c r="R134" s="42" t="n">
        <v>7.69230769230769</v>
      </c>
      <c r="S134" s="42" t="n">
        <v>7.69230769230769</v>
      </c>
      <c r="T134" s="42" t="n">
        <v>70</v>
      </c>
      <c r="U134" s="42" t="n">
        <v>70</v>
      </c>
      <c r="V134" s="42" t="n">
        <v>38</v>
      </c>
      <c r="W134" s="42" t="n">
        <v>38</v>
      </c>
      <c r="X134" s="50">
        <f>IFERROR(U134/W134,"")</f>
        <v/>
      </c>
      <c r="Y134" s="52" t="n">
        <v>7.2</v>
      </c>
      <c r="Z134" s="52" t="n">
        <v>7.2</v>
      </c>
      <c r="AA134" s="50">
        <f>IFERROR(IF(L134="từng phát",J134*N134,J134*P134/(P134/N134+R134)),"")</f>
        <v/>
      </c>
      <c r="AB134" s="50">
        <f>IFERROR(IF(M134="từng phát",K134*O134,K134*Q134/(Q134/O134+S134)),"")</f>
        <v/>
      </c>
      <c r="AC134" s="50">
        <f>IFERROR(AB134*VLOOKUP(E134,'Hệ số'!$A$2:$D$8,2,0)*IF((I134-0)&gt;=2,1.2,IF((I134-0)=1,1,IF((I134-0)=0,0.85,IF((I134-0)=-1,0.5,IF((I134-0)=-2,0.25,0.1))))),"")</f>
        <v/>
      </c>
      <c r="AD134" s="50">
        <f>IFERROR(AB134*VLOOKUP(E134,'Hệ số'!$A$2:$D$8,2,0)*IF((I134-1)&gt;=2,1.2,IF((I134-1)=1,1,IF((I134-1)=0,0.85,IF((I134-1)=-1,0.5,IF((I134-1)=-2,0.25,0.1))))),"")</f>
        <v/>
      </c>
      <c r="AE134" s="50">
        <f>IFERROR(AB134*VLOOKUP(E134,'Hệ số'!$A$2:$D$8,2,0)*IF((I134-2)&gt;=2,1.2,IF((I134-2)=1,1,IF((I134-2)=0,0.85,IF((I134-2)=-1,0.5,IF((I134-2)=-2,0.25,0.1))))),"")</f>
        <v/>
      </c>
      <c r="AF134" s="50">
        <f>IFERROR(AB134*VLOOKUP(E134,'Hệ số'!$A$2:$D$8,2,0)*IF((I134-3)&gt;=2,1.2,IF((I134-3)=1,1,IF((I134-3)=0,0.85,IF((I134-3)=-1,0.5,IF((I134-3)=-2,0.25,0.1))))),"")</f>
        <v/>
      </c>
      <c r="AG134" s="50">
        <f>IFERROR(AB134*VLOOKUP(E134,'Hệ số'!$A$2:$D$8,2,0)*IF((I134-4)&gt;=2,1.2,IF((I134-4)=1,1,IF((I134-4)=0,0.85,IF((I134-4)=-1,0.5,IF((I134-4)=-2,0.25,0.1))))),"")</f>
        <v/>
      </c>
      <c r="AH134" s="50">
        <f>IFERROR(AB134*VLOOKUP(E134,'Hệ số'!$A$2:$D$8,2,0)*IF((I134-5)&gt;=2,1.2,IF((I134-5)=1,1,IF((I134-5)=0,0.85,IF((I134-5)=-1,0.5,IF((I134-5)=-2,0.25,0.1))))),"")</f>
        <v/>
      </c>
      <c r="AI134" s="50">
        <f>IFERROR(AB134*VLOOKUP(E134,'Hệ số'!$A$2:$D$8,3,0),"")</f>
        <v/>
      </c>
      <c r="AJ134" s="50">
        <f>IFERROR(AB134*VLOOKUP(E134,'Hệ số'!$A$2:$D$8,4,0)*IF((I134-2)&gt;=2,1.2,IF((I134-2)=1,1,IF((I134-2)=0,0.85,IF((I134-2)=-1,0.5,IF((I134-2)=-2,0.25,0.1))))),"")</f>
        <v/>
      </c>
      <c r="AK134" s="39" t="inlineStr">
        <is>
          <t>Bắn cầu vồng dốc, qua được tường; có tầm tối thiểu; C-RAM và Vòm Sắt bắn hạ được.</t>
        </is>
      </c>
      <c r="AL134" s="39" t="n"/>
      <c r="AM134" s="39" t="inlineStr">
        <is>
          <t>2B8 240 mm</t>
        </is>
      </c>
      <c r="AN134" s="39" t="inlineStr">
        <is>
          <t>Giữ.</t>
        </is>
      </c>
      <c r="AO134" s="39" t="n"/>
    </row>
    <row r="135" ht="32.25" customHeight="1" s="32">
      <c r="A135" s="41" t="inlineStr">
        <is>
          <t>stealth_payload</t>
        </is>
      </c>
      <c r="B135" s="41" t="inlineStr">
        <is>
          <t>GBU-31 JDAM (907 kg)</t>
        </is>
      </c>
      <c r="C135" s="41" t="inlineStr">
        <is>
          <t>Bom</t>
        </is>
      </c>
      <c r="D135" s="41" t="inlineStr">
        <is>
          <t>Tàng hình</t>
        </is>
      </c>
      <c r="E135" s="41" t="inlineStr">
        <is>
          <t>Nổ mạnh</t>
        </is>
      </c>
      <c r="F135" s="41" t="inlineStr">
        <is>
          <t>HeavyBomb</t>
        </is>
      </c>
      <c r="G135" s="43" t="n">
        <v>907</v>
      </c>
      <c r="H135" s="43" t="n">
        <v>4</v>
      </c>
      <c r="I135" s="43" t="n">
        <v>4</v>
      </c>
      <c r="J135" s="43" t="n">
        <v>892</v>
      </c>
      <c r="K135" s="43" t="n">
        <v>892</v>
      </c>
      <c r="L135" s="41" t="inlineStr">
        <is>
          <t>loạt</t>
        </is>
      </c>
      <c r="M135" s="41" t="inlineStr">
        <is>
          <t>loạt</t>
        </is>
      </c>
      <c r="N135" s="43" t="n">
        <v>3.33</v>
      </c>
      <c r="O135" s="43" t="n">
        <v>3.33</v>
      </c>
      <c r="P135" s="43" t="n">
        <v>2</v>
      </c>
      <c r="Q135" s="43" t="n">
        <v>2</v>
      </c>
      <c r="R135" s="43" t="n">
        <v>14</v>
      </c>
      <c r="S135" s="43" t="n">
        <v>14</v>
      </c>
      <c r="T135" s="43" t="n">
        <v>30</v>
      </c>
      <c r="U135" s="43" t="n">
        <v>30</v>
      </c>
      <c r="V135" s="43" t="n">
        <v>40</v>
      </c>
      <c r="W135" s="43" t="n">
        <v>40</v>
      </c>
      <c r="X135" s="51">
        <f>IFERROR(U135/W135,"")</f>
        <v/>
      </c>
      <c r="Y135" s="53" t="n">
        <v>13</v>
      </c>
      <c r="Z135" s="53" t="n">
        <v>13</v>
      </c>
      <c r="AA135" s="51">
        <f>IFERROR(IF(L135="từng phát",J135*N135,J135*P135/(P135/N135+R135)),"")</f>
        <v/>
      </c>
      <c r="AB135" s="51">
        <f>IFERROR(IF(M135="từng phát",K135*O135,K135*Q135/(Q135/O135+S135)),"")</f>
        <v/>
      </c>
      <c r="AC135" s="51">
        <f>IFERROR(AB135*VLOOKUP(E135,'Hệ số'!$A$2:$D$8,2,0)*IF((I135-0)&gt;=2,1.2,IF((I135-0)=1,1,IF((I135-0)=0,0.85,IF((I135-0)=-1,0.5,IF((I135-0)=-2,0.25,0.1))))),"")</f>
        <v/>
      </c>
      <c r="AD135" s="51">
        <f>IFERROR(AB135*VLOOKUP(E135,'Hệ số'!$A$2:$D$8,2,0)*IF((I135-1)&gt;=2,1.2,IF((I135-1)=1,1,IF((I135-1)=0,0.85,IF((I135-1)=-1,0.5,IF((I135-1)=-2,0.25,0.1))))),"")</f>
        <v/>
      </c>
      <c r="AE135" s="51">
        <f>IFERROR(AB135*VLOOKUP(E135,'Hệ số'!$A$2:$D$8,2,0)*IF((I135-2)&gt;=2,1.2,IF((I135-2)=1,1,IF((I135-2)=0,0.85,IF((I135-2)=-1,0.5,IF((I135-2)=-2,0.25,0.1))))),"")</f>
        <v/>
      </c>
      <c r="AF135" s="51">
        <f>IFERROR(AB135*VLOOKUP(E135,'Hệ số'!$A$2:$D$8,2,0)*IF((I135-3)&gt;=2,1.2,IF((I135-3)=1,1,IF((I135-3)=0,0.85,IF((I135-3)=-1,0.5,IF((I135-3)=-2,0.25,0.1))))),"")</f>
        <v/>
      </c>
      <c r="AG135" s="51">
        <f>IFERROR(AB135*VLOOKUP(E135,'Hệ số'!$A$2:$D$8,2,0)*IF((I135-4)&gt;=2,1.2,IF((I135-4)=1,1,IF((I135-4)=0,0.85,IF((I135-4)=-1,0.5,IF((I135-4)=-2,0.25,0.1))))),"")</f>
        <v/>
      </c>
      <c r="AH135" s="51">
        <f>IFERROR(AB135*VLOOKUP(E135,'Hệ số'!$A$2:$D$8,2,0)*IF((I135-5)&gt;=2,1.2,IF((I135-5)=1,1,IF((I135-5)=0,0.85,IF((I135-5)=-1,0.5,IF((I135-5)=-2,0.25,0.1))))),"")</f>
        <v/>
      </c>
      <c r="AI135" s="51">
        <f>IFERROR(AB135*VLOOKUP(E135,'Hệ số'!$A$2:$D$8,3,0),"")</f>
        <v/>
      </c>
      <c r="AJ135" s="51">
        <f>IFERROR(AB135*VLOOKUP(E135,'Hệ số'!$A$2:$D$8,4,0)*IF((I135-2)&gt;=2,1.2,IF((I135-2)=1,1,IF((I135-2)=0,0.85,IF((I135-2)=-1,0.5,IF((I135-2)=-2,0.25,0.1))))),"")</f>
        <v/>
      </c>
      <c r="AK135" s="41" t="inlineStr">
        <is>
          <t>Bom thường rơi tự do, tản mát 2–3 m, không bắn hạ được; bom dẫn đường chính xác; bom lượn bay chậm và bắn hạ được.</t>
        </is>
      </c>
      <c r="AL135" s="41" t="n"/>
      <c r="AM135" s="41" t="inlineStr">
        <is>
          <t>GBU-31 (Mk 84): ~430 kg thuốc nổ</t>
        </is>
      </c>
      <c r="AN135" s="41" t="inlineStr">
        <is>
          <t>Giữ.</t>
        </is>
      </c>
      <c r="AO135" s="41" t="n"/>
    </row>
    <row r="136" ht="21.75" customHeight="1" s="32">
      <c r="A136" s="39" t="inlineStr">
        <is>
          <t>stinger_atas</t>
        </is>
      </c>
      <c r="B136" s="39" t="inlineStr">
        <is>
          <t>FIM-92 Stinger (ATAS)</t>
        </is>
      </c>
      <c r="C136" s="39" t="inlineStr">
        <is>
          <t>Tên lửa phòng không / không đối không</t>
        </is>
      </c>
      <c r="D136" s="39" t="inlineStr">
        <is>
          <t>Trực thăng, Trực thăng TN</t>
        </is>
      </c>
      <c r="E136" s="39" t="inlineStr">
        <is>
          <t>Mảnh</t>
        </is>
      </c>
      <c r="F136" s="39" t="inlineStr">
        <is>
          <t>Sam</t>
        </is>
      </c>
      <c r="G136" s="42" t="n">
        <v>3</v>
      </c>
      <c r="H136" s="42" t="n">
        <v>2</v>
      </c>
      <c r="I136" s="42" t="n">
        <v>2</v>
      </c>
      <c r="J136" s="42" t="n">
        <v>178</v>
      </c>
      <c r="K136" s="42" t="n">
        <v>178</v>
      </c>
      <c r="L136" s="39" t="inlineStr">
        <is>
          <t>từng phát</t>
        </is>
      </c>
      <c r="M136" s="39" t="inlineStr">
        <is>
          <t>từng phát</t>
        </is>
      </c>
      <c r="N136" s="42" t="n">
        <v>0.11</v>
      </c>
      <c r="O136" s="42" t="n">
        <v>0.11</v>
      </c>
      <c r="P136" s="42" t="n">
        <v>1</v>
      </c>
      <c r="Q136" s="42" t="n">
        <v>1</v>
      </c>
      <c r="R136" s="42" t="n">
        <v>9.09090909090909</v>
      </c>
      <c r="S136" s="42" t="n">
        <v>9.09090909090909</v>
      </c>
      <c r="T136" s="42" t="n">
        <v>30</v>
      </c>
      <c r="U136" s="42" t="n">
        <v>30</v>
      </c>
      <c r="V136" s="42" t="n">
        <v>24</v>
      </c>
      <c r="W136" s="42" t="n">
        <v>42</v>
      </c>
      <c r="X136" s="50">
        <f>IFERROR(U136/W136,"")</f>
        <v/>
      </c>
      <c r="Y136" s="52" t="n">
        <v>1.5</v>
      </c>
      <c r="Z136" s="52" t="n">
        <v>1.5</v>
      </c>
      <c r="AA136" s="50">
        <f>IFERROR(IF(L136="từng phát",J136*N136,J136*P136/(P136/N136+R136)),"")</f>
        <v/>
      </c>
      <c r="AB136" s="50">
        <f>IFERROR(IF(M136="từng phát",K136*O136,K136*Q136/(Q136/O136+S136)),"")</f>
        <v/>
      </c>
      <c r="AC136" s="50">
        <f>IFERROR(AB136*VLOOKUP(E136,'Hệ số'!$A$2:$D$8,2,0)*IF((I136-0)&gt;=2,1.2,IF((I136-0)=1,1,IF((I136-0)=0,0.85,IF((I136-0)=-1,0.5,IF((I136-0)=-2,0.25,0.1))))),"")</f>
        <v/>
      </c>
      <c r="AD136" s="50">
        <f>IFERROR(AB136*VLOOKUP(E136,'Hệ số'!$A$2:$D$8,2,0)*IF((I136-1)&gt;=2,1.2,IF((I136-1)=1,1,IF((I136-1)=0,0.85,IF((I136-1)=-1,0.5,IF((I136-1)=-2,0.25,0.1))))),"")</f>
        <v/>
      </c>
      <c r="AE136" s="50">
        <f>IFERROR(AB136*VLOOKUP(E136,'Hệ số'!$A$2:$D$8,2,0)*IF((I136-2)&gt;=2,1.2,IF((I136-2)=1,1,IF((I136-2)=0,0.85,IF((I136-2)=-1,0.5,IF((I136-2)=-2,0.25,0.1))))),"")</f>
        <v/>
      </c>
      <c r="AF136" s="50">
        <f>IFERROR(AB136*VLOOKUP(E136,'Hệ số'!$A$2:$D$8,2,0)*IF((I136-3)&gt;=2,1.2,IF((I136-3)=1,1,IF((I136-3)=0,0.85,IF((I136-3)=-1,0.5,IF((I136-3)=-2,0.25,0.1))))),"")</f>
        <v/>
      </c>
      <c r="AG136" s="50">
        <f>IFERROR(AB136*VLOOKUP(E136,'Hệ số'!$A$2:$D$8,2,0)*IF((I136-4)&gt;=2,1.2,IF((I136-4)=1,1,IF((I136-4)=0,0.85,IF((I136-4)=-1,0.5,IF((I136-4)=-2,0.25,0.1))))),"")</f>
        <v/>
      </c>
      <c r="AH136" s="50">
        <f>IFERROR(AB136*VLOOKUP(E136,'Hệ số'!$A$2:$D$8,2,0)*IF((I136-5)&gt;=2,1.2,IF((I136-5)=1,1,IF((I136-5)=0,0.85,IF((I136-5)=-1,0.5,IF((I136-5)=-2,0.25,0.1))))),"")</f>
        <v/>
      </c>
      <c r="AI136" s="50">
        <f>IFERROR(AB136*VLOOKUP(E136,'Hệ số'!$A$2:$D$8,3,0),"")</f>
        <v/>
      </c>
      <c r="AJ136" s="50">
        <f>IFERROR(AB136*VLOOKUP(E136,'Hệ số'!$A$2:$D$8,4,0)*IF((I136-2)&gt;=2,1.2,IF((I136-2)=1,1,IF((I136-2)=0,0.85,IF((I136-2)=-1,0.5,IF((I136-2)=-2,0.25,0.1))))),"")</f>
        <v/>
      </c>
      <c r="AK136" s="39" t="inlineStr">
        <is>
          <t>Dẫn đường; bị pháo sáng đánh lừa theo độ kháng; phải nhanh hơn mục tiêu.</t>
        </is>
      </c>
      <c r="AL136" s="39" t="n"/>
      <c r="AM136" s="39" t="inlineStr">
        <is>
          <t>Stinger: 4,8 km, Mach 2,2</t>
        </is>
      </c>
      <c r="AN136" s="39" t="inlineStr">
        <is>
          <t>Tốc độ bay 24→42 m/s: Thống nhất tốc độ Stinger ở mọi đơn vị (42 m/s).</t>
        </is>
      </c>
      <c r="AO136" s="48" t="inlineStr">
        <is>
          <t>Trung</t>
        </is>
      </c>
    </row>
    <row r="137" ht="21.75" customHeight="1" s="32">
      <c r="A137" s="41" t="inlineStr">
        <is>
          <t>swarm_drones</t>
        </is>
      </c>
      <c r="B137" s="41" t="inlineStr">
        <is>
          <t>FPV drone (1.5 kg)</t>
        </is>
      </c>
      <c r="C137" s="41" t="inlineStr">
        <is>
          <t>Drone / đạn lảng vảng</t>
        </is>
      </c>
      <c r="D137" s="41" t="inlineStr">
        <is>
          <t>Máy bay mẹ</t>
        </is>
      </c>
      <c r="E137" s="41" t="inlineStr">
        <is>
          <t>Nổ lõm</t>
        </is>
      </c>
      <c r="F137" s="41" t="inlineStr">
        <is>
          <t>Fpv</t>
        </is>
      </c>
      <c r="G137" s="43" t="n">
        <v>1.5</v>
      </c>
      <c r="H137" s="43" t="n">
        <v>3</v>
      </c>
      <c r="I137" s="43" t="n">
        <v>3</v>
      </c>
      <c r="J137" s="43" t="n">
        <v>140</v>
      </c>
      <c r="K137" s="43" t="n">
        <v>140</v>
      </c>
      <c r="L137" s="41" t="inlineStr">
        <is>
          <t>từng phát</t>
        </is>
      </c>
      <c r="M137" s="41" t="inlineStr">
        <is>
          <t>từng phát</t>
        </is>
      </c>
      <c r="N137" s="43" t="n">
        <v>0.3</v>
      </c>
      <c r="O137" s="43" t="n">
        <v>0.3</v>
      </c>
      <c r="P137" s="43" t="n">
        <v>1</v>
      </c>
      <c r="Q137" s="43" t="n">
        <v>1</v>
      </c>
      <c r="R137" s="43" t="n">
        <v>3.33333333333333</v>
      </c>
      <c r="S137" s="43" t="n">
        <v>3.33333333333333</v>
      </c>
      <c r="T137" s="43" t="n">
        <v>60</v>
      </c>
      <c r="U137" s="43" t="n">
        <v>60</v>
      </c>
      <c r="V137" s="43" t="n">
        <v>18</v>
      </c>
      <c r="W137" s="43" t="n">
        <v>26</v>
      </c>
      <c r="X137" s="51">
        <f>IFERROR(U137/W137,"")</f>
        <v/>
      </c>
      <c r="Y137" s="53" t="n">
        <v>2.5</v>
      </c>
      <c r="Z137" s="53" t="n">
        <v>2.5</v>
      </c>
      <c r="AA137" s="51">
        <f>IFERROR(IF(L137="từng phát",J137*N137,J137*P137/(P137/N137+R137)),"")</f>
        <v/>
      </c>
      <c r="AB137" s="51">
        <f>IFERROR(IF(M137="từng phát",K137*O137,K137*Q137/(Q137/O137+S137)),"")</f>
        <v/>
      </c>
      <c r="AC137" s="51">
        <f>IFERROR(AB137*VLOOKUP(E137,'Hệ số'!$A$2:$D$8,2,0)*IF((I137-0)&gt;=2,1.2,IF((I137-0)=1,1,IF((I137-0)=0,0.85,IF((I137-0)=-1,0.5,IF((I137-0)=-2,0.25,0.1))))),"")</f>
        <v/>
      </c>
      <c r="AD137" s="51">
        <f>IFERROR(AB137*VLOOKUP(E137,'Hệ số'!$A$2:$D$8,2,0)*IF((I137-1)&gt;=2,1.2,IF((I137-1)=1,1,IF((I137-1)=0,0.85,IF((I137-1)=-1,0.5,IF((I137-1)=-2,0.25,0.1))))),"")</f>
        <v/>
      </c>
      <c r="AE137" s="51">
        <f>IFERROR(AB137*VLOOKUP(E137,'Hệ số'!$A$2:$D$8,2,0)*IF((I137-2)&gt;=2,1.2,IF((I137-2)=1,1,IF((I137-2)=0,0.85,IF((I137-2)=-1,0.5,IF((I137-2)=-2,0.25,0.1))))),"")</f>
        <v/>
      </c>
      <c r="AF137" s="51">
        <f>IFERROR(AB137*VLOOKUP(E137,'Hệ số'!$A$2:$D$8,2,0)*IF((I137-3)&gt;=2,1.2,IF((I137-3)=1,1,IF((I137-3)=0,0.85,IF((I137-3)=-1,0.5,IF((I137-3)=-2,0.25,0.1))))),"")</f>
        <v/>
      </c>
      <c r="AG137" s="51">
        <f>IFERROR(AB137*VLOOKUP(E137,'Hệ số'!$A$2:$D$8,2,0)*IF((I137-4)&gt;=2,1.2,IF((I137-4)=1,1,IF((I137-4)=0,0.85,IF((I137-4)=-1,0.5,IF((I137-4)=-2,0.25,0.1))))),"")</f>
        <v/>
      </c>
      <c r="AH137" s="51">
        <f>IFERROR(AB137*VLOOKUP(E137,'Hệ số'!$A$2:$D$8,2,0)*IF((I137-5)&gt;=2,1.2,IF((I137-5)=1,1,IF((I137-5)=0,0.85,IF((I137-5)=-1,0.5,IF((I137-5)=-2,0.25,0.1))))),"")</f>
        <v/>
      </c>
      <c r="AI137" s="51">
        <f>IFERROR(AB137*VLOOKUP(E137,'Hệ số'!$A$2:$D$8,3,0),"")</f>
        <v/>
      </c>
      <c r="AJ137" s="51">
        <f>IFERROR(AB137*VLOOKUP(E137,'Hệ số'!$A$2:$D$8,4,0)*IF((I137-2)&gt;=2,1.2,IF((I137-2)=1,1,IF((I137-2)=0,0.85,IF((I137-2)=-1,0.5,IF((I137-2)=-2,0.25,0.1))))),"")</f>
        <v/>
      </c>
      <c r="AK137" s="41" t="inlineStr">
        <is>
          <t>Bay chậm, lượn tìm mục tiêu, đánh nóc; bị EW, APS, C-RAM, La-de PK và súng máy bắn hạ.</t>
        </is>
      </c>
      <c r="AL137" s="41" t="n"/>
      <c r="AM137" s="41" t="inlineStr">
        <is>
          <t>FPV</t>
        </is>
      </c>
      <c r="AN137" s="41" t="inlineStr">
        <is>
          <t>Tốc độ bay 18→26 m/s: Cùng loại FPV nhưng đang 18: thống nhất 26.</t>
        </is>
      </c>
      <c r="AO137" s="48" t="inlineStr">
        <is>
          <t>Trung</t>
        </is>
      </c>
    </row>
    <row r="138" ht="21.75" customHeight="1" s="32">
      <c r="A138" s="39" t="inlineStr">
        <is>
          <t>tamir</t>
        </is>
      </c>
      <c r="B138" s="39" t="inlineStr">
        <is>
          <t>Tamir interceptor (Iron</t>
        </is>
      </c>
      <c r="C138" s="39" t="inlineStr">
        <is>
          <t>Tên lửa phòng không / không đối không</t>
        </is>
      </c>
      <c r="D138" s="39" t="inlineStr">
        <is>
          <t>Vòm Sắt</t>
        </is>
      </c>
      <c r="E138" s="39" t="inlineStr">
        <is>
          <t>Mảnh</t>
        </is>
      </c>
      <c r="F138" s="39" t="inlineStr">
        <is>
          <t>Sam</t>
        </is>
      </c>
      <c r="G138" s="42" t="n">
        <v>1</v>
      </c>
      <c r="H138" s="42" t="n">
        <v>2</v>
      </c>
      <c r="I138" s="42" t="n">
        <v>2</v>
      </c>
      <c r="J138" s="42" t="n">
        <v>110</v>
      </c>
      <c r="K138" s="42" t="n">
        <v>110</v>
      </c>
      <c r="L138" s="39" t="inlineStr">
        <is>
          <t>từng phát</t>
        </is>
      </c>
      <c r="M138" s="39" t="inlineStr">
        <is>
          <t>từng phát</t>
        </is>
      </c>
      <c r="N138" s="42" t="n">
        <v>0.29</v>
      </c>
      <c r="O138" s="42" t="n">
        <v>0.29</v>
      </c>
      <c r="P138" s="42" t="n">
        <v>1</v>
      </c>
      <c r="Q138" s="42" t="n">
        <v>1</v>
      </c>
      <c r="R138" s="42" t="n">
        <v>3.44827586206897</v>
      </c>
      <c r="S138" s="42" t="n">
        <v>3.44827586206897</v>
      </c>
      <c r="T138" s="42" t="n">
        <v>60</v>
      </c>
      <c r="U138" s="42" t="n">
        <v>60</v>
      </c>
      <c r="V138" s="42" t="n">
        <v>24</v>
      </c>
      <c r="W138" s="42" t="n">
        <v>50</v>
      </c>
      <c r="X138" s="50">
        <f>IFERROR(U138/W138,"")</f>
        <v/>
      </c>
      <c r="Y138" s="52" t="n">
        <v>2.5</v>
      </c>
      <c r="Z138" s="52" t="n">
        <v>2.5</v>
      </c>
      <c r="AA138" s="50">
        <f>IFERROR(IF(L138="từng phát",J138*N138,J138*P138/(P138/N138+R138)),"")</f>
        <v/>
      </c>
      <c r="AB138" s="50">
        <f>IFERROR(IF(M138="từng phát",K138*O138,K138*Q138/(Q138/O138+S138)),"")</f>
        <v/>
      </c>
      <c r="AC138" s="50">
        <f>IFERROR(AB138*VLOOKUP(E138,'Hệ số'!$A$2:$D$8,2,0)*IF((I138-0)&gt;=2,1.2,IF((I138-0)=1,1,IF((I138-0)=0,0.85,IF((I138-0)=-1,0.5,IF((I138-0)=-2,0.25,0.1))))),"")</f>
        <v/>
      </c>
      <c r="AD138" s="50">
        <f>IFERROR(AB138*VLOOKUP(E138,'Hệ số'!$A$2:$D$8,2,0)*IF((I138-1)&gt;=2,1.2,IF((I138-1)=1,1,IF((I138-1)=0,0.85,IF((I138-1)=-1,0.5,IF((I138-1)=-2,0.25,0.1))))),"")</f>
        <v/>
      </c>
      <c r="AE138" s="50">
        <f>IFERROR(AB138*VLOOKUP(E138,'Hệ số'!$A$2:$D$8,2,0)*IF((I138-2)&gt;=2,1.2,IF((I138-2)=1,1,IF((I138-2)=0,0.85,IF((I138-2)=-1,0.5,IF((I138-2)=-2,0.25,0.1))))),"")</f>
        <v/>
      </c>
      <c r="AF138" s="50">
        <f>IFERROR(AB138*VLOOKUP(E138,'Hệ số'!$A$2:$D$8,2,0)*IF((I138-3)&gt;=2,1.2,IF((I138-3)=1,1,IF((I138-3)=0,0.85,IF((I138-3)=-1,0.5,IF((I138-3)=-2,0.25,0.1))))),"")</f>
        <v/>
      </c>
      <c r="AG138" s="50">
        <f>IFERROR(AB138*VLOOKUP(E138,'Hệ số'!$A$2:$D$8,2,0)*IF((I138-4)&gt;=2,1.2,IF((I138-4)=1,1,IF((I138-4)=0,0.85,IF((I138-4)=-1,0.5,IF((I138-4)=-2,0.25,0.1))))),"")</f>
        <v/>
      </c>
      <c r="AH138" s="50">
        <f>IFERROR(AB138*VLOOKUP(E138,'Hệ số'!$A$2:$D$8,2,0)*IF((I138-5)&gt;=2,1.2,IF((I138-5)=1,1,IF((I138-5)=0,0.85,IF((I138-5)=-1,0.5,IF((I138-5)=-2,0.25,0.1))))),"")</f>
        <v/>
      </c>
      <c r="AI138" s="50">
        <f>IFERROR(AB138*VLOOKUP(E138,'Hệ số'!$A$2:$D$8,3,0),"")</f>
        <v/>
      </c>
      <c r="AJ138" s="50">
        <f>IFERROR(AB138*VLOOKUP(E138,'Hệ số'!$A$2:$D$8,4,0)*IF((I138-2)&gt;=2,1.2,IF((I138-2)=1,1,IF((I138-2)=0,0.85,IF((I138-2)=-1,0.5,IF((I138-2)=-2,0.25,0.1))))),"")</f>
        <v/>
      </c>
      <c r="AK138" s="39" t="inlineStr">
        <is>
          <t>Dẫn đường; bị pháo sáng đánh lừa theo độ kháng; phải nhanh hơn mục tiêu.</t>
        </is>
      </c>
      <c r="AL138" s="39" t="n"/>
      <c r="AM138" s="39" t="inlineStr">
        <is>
          <t>Tamir: 4–70 km, Mach 2,2</t>
        </is>
      </c>
      <c r="AN138" s="39" t="inlineStr">
        <is>
          <t>Tốc độ bay 24→50 m/s: Đánh chặn rốc-két Grad và GMLRS (45–50 m/s) từ phía trước.</t>
        </is>
      </c>
      <c r="AO138" s="48" t="inlineStr">
        <is>
          <t>Trung</t>
        </is>
      </c>
    </row>
    <row r="139" ht="21.75" customHeight="1" s="32">
      <c r="A139" s="41" t="inlineStr">
        <is>
          <t>technical_rockets</t>
        </is>
      </c>
      <c r="B139" s="41" t="inlineStr">
        <is>
          <t>Type 63 107 mm</t>
        </is>
      </c>
      <c r="C139" s="41" t="inlineStr">
        <is>
          <t>Rốc-két</t>
        </is>
      </c>
      <c r="D139" s="41" t="inlineStr">
        <is>
          <t>Bán tải</t>
        </is>
      </c>
      <c r="E139" s="41" t="inlineStr">
        <is>
          <t>Nổ mạnh</t>
        </is>
      </c>
      <c r="F139" s="41" t="inlineStr">
        <is>
          <t>RocketSmall</t>
        </is>
      </c>
      <c r="G139" s="43" t="n">
        <v>107</v>
      </c>
      <c r="H139" s="43" t="n">
        <v>2</v>
      </c>
      <c r="I139" s="43" t="n">
        <v>2</v>
      </c>
      <c r="J139" s="43" t="n">
        <v>49.5</v>
      </c>
      <c r="K139" s="43" t="n">
        <v>49.5</v>
      </c>
      <c r="L139" s="41" t="inlineStr">
        <is>
          <t>loạt</t>
        </is>
      </c>
      <c r="M139" s="41" t="inlineStr">
        <is>
          <t>loạt</t>
        </is>
      </c>
      <c r="N139" s="43" t="n">
        <v>2</v>
      </c>
      <c r="O139" s="43" t="n">
        <v>2</v>
      </c>
      <c r="P139" s="43" t="n">
        <v>5</v>
      </c>
      <c r="Q139" s="43" t="n">
        <v>5</v>
      </c>
      <c r="R139" s="43" t="n">
        <v>5.1</v>
      </c>
      <c r="S139" s="43" t="n">
        <v>5.1</v>
      </c>
      <c r="T139" s="43" t="n">
        <v>48</v>
      </c>
      <c r="U139" s="43" t="n">
        <v>48</v>
      </c>
      <c r="V139" s="43" t="n">
        <v>38</v>
      </c>
      <c r="W139" s="43" t="n">
        <v>38</v>
      </c>
      <c r="X139" s="51">
        <f>IFERROR(U139/W139,"")</f>
        <v/>
      </c>
      <c r="Y139" s="53" t="n">
        <v>3.5</v>
      </c>
      <c r="Z139" s="53" t="n">
        <v>3.5</v>
      </c>
      <c r="AA139" s="51">
        <f>IFERROR(IF(L139="từng phát",J139*N139,J139*P139/(P139/N139+R139)),"")</f>
        <v/>
      </c>
      <c r="AB139" s="51">
        <f>IFERROR(IF(M139="từng phát",K139*O139,K139*Q139/(Q139/O139+S139)),"")</f>
        <v/>
      </c>
      <c r="AC139" s="51">
        <f>IFERROR(AB139*VLOOKUP(E139,'Hệ số'!$A$2:$D$8,2,0)*IF((I139-0)&gt;=2,1.2,IF((I139-0)=1,1,IF((I139-0)=0,0.85,IF((I139-0)=-1,0.5,IF((I139-0)=-2,0.25,0.1))))),"")</f>
        <v/>
      </c>
      <c r="AD139" s="51">
        <f>IFERROR(AB139*VLOOKUP(E139,'Hệ số'!$A$2:$D$8,2,0)*IF((I139-1)&gt;=2,1.2,IF((I139-1)=1,1,IF((I139-1)=0,0.85,IF((I139-1)=-1,0.5,IF((I139-1)=-2,0.25,0.1))))),"")</f>
        <v/>
      </c>
      <c r="AE139" s="51">
        <f>IFERROR(AB139*VLOOKUP(E139,'Hệ số'!$A$2:$D$8,2,0)*IF((I139-2)&gt;=2,1.2,IF((I139-2)=1,1,IF((I139-2)=0,0.85,IF((I139-2)=-1,0.5,IF((I139-2)=-2,0.25,0.1))))),"")</f>
        <v/>
      </c>
      <c r="AF139" s="51">
        <f>IFERROR(AB139*VLOOKUP(E139,'Hệ số'!$A$2:$D$8,2,0)*IF((I139-3)&gt;=2,1.2,IF((I139-3)=1,1,IF((I139-3)=0,0.85,IF((I139-3)=-1,0.5,IF((I139-3)=-2,0.25,0.1))))),"")</f>
        <v/>
      </c>
      <c r="AG139" s="51">
        <f>IFERROR(AB139*VLOOKUP(E139,'Hệ số'!$A$2:$D$8,2,0)*IF((I139-4)&gt;=2,1.2,IF((I139-4)=1,1,IF((I139-4)=0,0.85,IF((I139-4)=-1,0.5,IF((I139-4)=-2,0.25,0.1))))),"")</f>
        <v/>
      </c>
      <c r="AH139" s="51">
        <f>IFERROR(AB139*VLOOKUP(E139,'Hệ số'!$A$2:$D$8,2,0)*IF((I139-5)&gt;=2,1.2,IF((I139-5)=1,1,IF((I139-5)=0,0.85,IF((I139-5)=-1,0.5,IF((I139-5)=-2,0.25,0.1))))),"")</f>
        <v/>
      </c>
      <c r="AI139" s="51">
        <f>IFERROR(AB139*VLOOKUP(E139,'Hệ số'!$A$2:$D$8,3,0),"")</f>
        <v/>
      </c>
      <c r="AJ139" s="51">
        <f>IFERROR(AB139*VLOOKUP(E139,'Hệ số'!$A$2:$D$8,4,0)*IF((I139-2)&gt;=2,1.2,IF((I139-2)=1,1,IF((I139-2)=0,0.85,IF((I139-2)=-1,0.5,IF((I139-2)=-2,0.25,0.1))))),"")</f>
        <v/>
      </c>
      <c r="AK139" s="41" t="inlineStr">
        <is>
          <t>Bắn loạt phủ vùng, tản mát; C-RAM, Vòm Sắt và La-de PK bắn hạ được từng quả.</t>
        </is>
      </c>
      <c r="AL139" s="41" t="n"/>
      <c r="AM139" s="41" t="inlineStr">
        <is>
          <t>Type 63 107 mm: 12 quả trong ~7–9 s</t>
        </is>
      </c>
      <c r="AN139" s="41" t="inlineStr">
        <is>
          <t>Giữ.</t>
        </is>
      </c>
      <c r="AO139" s="41" t="n"/>
    </row>
    <row r="140" ht="21.75" customHeight="1" s="32">
      <c r="A140" s="39" t="inlineStr">
        <is>
          <t>thermobaric_rockets</t>
        </is>
      </c>
      <c r="B140" s="39" t="inlineStr">
        <is>
          <t>TOS-1A 220 mm</t>
        </is>
      </c>
      <c r="C140" s="39" t="inlineStr">
        <is>
          <t>Rốc-két</t>
        </is>
      </c>
      <c r="D140" s="39" t="inlineStr">
        <is>
          <t>Nhiệt áp</t>
        </is>
      </c>
      <c r="E140" s="39" t="inlineStr">
        <is>
          <t>Nổ mạnh</t>
        </is>
      </c>
      <c r="F140" s="39" t="inlineStr">
        <is>
          <t>RocketBig</t>
        </is>
      </c>
      <c r="G140" s="42" t="n">
        <v>220</v>
      </c>
      <c r="H140" s="42" t="n">
        <v>3</v>
      </c>
      <c r="I140" s="42" t="n">
        <v>3</v>
      </c>
      <c r="J140" s="42" t="n">
        <v>97</v>
      </c>
      <c r="K140" s="42" t="n">
        <v>97</v>
      </c>
      <c r="L140" s="39" t="inlineStr">
        <is>
          <t>loạt</t>
        </is>
      </c>
      <c r="M140" s="39" t="inlineStr">
        <is>
          <t>loạt</t>
        </is>
      </c>
      <c r="N140" s="42" t="n">
        <v>3.33</v>
      </c>
      <c r="O140" s="42" t="n">
        <v>3.33</v>
      </c>
      <c r="P140" s="42" t="n">
        <v>9</v>
      </c>
      <c r="Q140" s="42" t="n">
        <v>9</v>
      </c>
      <c r="R140" s="42" t="n">
        <v>10.55</v>
      </c>
      <c r="S140" s="42" t="n">
        <v>10.55</v>
      </c>
      <c r="T140" s="42" t="n">
        <v>48</v>
      </c>
      <c r="U140" s="42" t="n">
        <v>48</v>
      </c>
      <c r="V140" s="42" t="n">
        <v>24</v>
      </c>
      <c r="W140" s="42" t="n">
        <v>35</v>
      </c>
      <c r="X140" s="50">
        <f>IFERROR(U140/W140,"")</f>
        <v/>
      </c>
      <c r="Y140" s="52" t="n">
        <v>7</v>
      </c>
      <c r="Z140" s="52" t="n">
        <v>7</v>
      </c>
      <c r="AA140" s="50">
        <f>IFERROR(IF(L140="từng phát",J140*N140,J140*P140/(P140/N140+R140)),"")</f>
        <v/>
      </c>
      <c r="AB140" s="50">
        <f>IFERROR(IF(M140="từng phát",K140*O140,K140*Q140/(Q140/O140+S140)),"")</f>
        <v/>
      </c>
      <c r="AC140" s="50">
        <f>IFERROR(AB140*VLOOKUP(E140,'Hệ số'!$A$2:$D$8,2,0)*IF((I140-0)&gt;=2,1.2,IF((I140-0)=1,1,IF((I140-0)=0,0.85,IF((I140-0)=-1,0.5,IF((I140-0)=-2,0.25,0.1))))),"")</f>
        <v/>
      </c>
      <c r="AD140" s="50">
        <f>IFERROR(AB140*VLOOKUP(E140,'Hệ số'!$A$2:$D$8,2,0)*IF((I140-1)&gt;=2,1.2,IF((I140-1)=1,1,IF((I140-1)=0,0.85,IF((I140-1)=-1,0.5,IF((I140-1)=-2,0.25,0.1))))),"")</f>
        <v/>
      </c>
      <c r="AE140" s="50">
        <f>IFERROR(AB140*VLOOKUP(E140,'Hệ số'!$A$2:$D$8,2,0)*IF((I140-2)&gt;=2,1.2,IF((I140-2)=1,1,IF((I140-2)=0,0.85,IF((I140-2)=-1,0.5,IF((I140-2)=-2,0.25,0.1))))),"")</f>
        <v/>
      </c>
      <c r="AF140" s="50">
        <f>IFERROR(AB140*VLOOKUP(E140,'Hệ số'!$A$2:$D$8,2,0)*IF((I140-3)&gt;=2,1.2,IF((I140-3)=1,1,IF((I140-3)=0,0.85,IF((I140-3)=-1,0.5,IF((I140-3)=-2,0.25,0.1))))),"")</f>
        <v/>
      </c>
      <c r="AG140" s="50">
        <f>IFERROR(AB140*VLOOKUP(E140,'Hệ số'!$A$2:$D$8,2,0)*IF((I140-4)&gt;=2,1.2,IF((I140-4)=1,1,IF((I140-4)=0,0.85,IF((I140-4)=-1,0.5,IF((I140-4)=-2,0.25,0.1))))),"")</f>
        <v/>
      </c>
      <c r="AH140" s="50">
        <f>IFERROR(AB140*VLOOKUP(E140,'Hệ số'!$A$2:$D$8,2,0)*IF((I140-5)&gt;=2,1.2,IF((I140-5)=1,1,IF((I140-5)=0,0.85,IF((I140-5)=-1,0.5,IF((I140-5)=-2,0.25,0.1))))),"")</f>
        <v/>
      </c>
      <c r="AI140" s="50">
        <f>IFERROR(AB140*VLOOKUP(E140,'Hệ số'!$A$2:$D$8,3,0),"")</f>
        <v/>
      </c>
      <c r="AJ140" s="50">
        <f>IFERROR(AB140*VLOOKUP(E140,'Hệ số'!$A$2:$D$8,4,0)*IF((I140-2)&gt;=2,1.2,IF((I140-2)=1,1,IF((I140-2)=0,0.85,IF((I140-2)=-1,0.5,IF((I140-2)=-2,0.25,0.1))))),"")</f>
        <v/>
      </c>
      <c r="AK140" s="39" t="inlineStr">
        <is>
          <t>Bắn loạt phủ vùng, tản mát; C-RAM, Vòm Sắt và La-de PK bắn hạ được từng quả.</t>
        </is>
      </c>
      <c r="AL140" s="39" t="n"/>
      <c r="AM140" s="39" t="inlineStr">
        <is>
          <t>TOS-1A: 24 quả / ~7,5 s; tầm 6 km</t>
        </is>
      </c>
      <c r="AN140" s="39" t="inlineStr">
        <is>
          <t>Tốc độ bay 24→35 m/s: Thống nhất TOS 35 m/s.</t>
        </is>
      </c>
      <c r="AO140" s="48" t="inlineStr">
        <is>
          <t>Trung</t>
        </is>
      </c>
    </row>
    <row r="141" ht="32.25" customHeight="1" s="32">
      <c r="A141" s="41" t="inlineStr">
        <is>
          <t>tower_ac25</t>
        </is>
      </c>
      <c r="B141" s="41" t="inlineStr">
        <is>
          <t>M242 Bushmaster 25</t>
        </is>
      </c>
      <c r="C141" s="41" t="inlineStr">
        <is>
          <t>Pháo tự động / cao xạ 20–40 mm</t>
        </is>
      </c>
      <c r="D141" s="41" t="inlineStr">
        <is>
          <t>Ổ súng</t>
        </is>
      </c>
      <c r="E141" s="41" t="inlineStr">
        <is>
          <t>Động năng</t>
        </is>
      </c>
      <c r="F141" s="41" t="inlineStr">
        <is>
          <t>BeltedAutocannon</t>
        </is>
      </c>
      <c r="G141" s="43" t="n">
        <v>25</v>
      </c>
      <c r="H141" s="43" t="n">
        <v>2</v>
      </c>
      <c r="I141" s="43" t="n">
        <v>2</v>
      </c>
      <c r="J141" s="43" t="n">
        <v>17</v>
      </c>
      <c r="K141" s="43" t="n">
        <v>17</v>
      </c>
      <c r="L141" s="41" t="inlineStr">
        <is>
          <t>băng</t>
        </is>
      </c>
      <c r="M141" s="41" t="inlineStr">
        <is>
          <t>băng</t>
        </is>
      </c>
      <c r="N141" s="43" t="n">
        <v>8</v>
      </c>
      <c r="O141" s="43" t="n">
        <v>8</v>
      </c>
      <c r="P141" s="43" t="n">
        <v>10</v>
      </c>
      <c r="Q141" s="43" t="n">
        <v>10</v>
      </c>
      <c r="R141" s="43" t="n">
        <v>1.3</v>
      </c>
      <c r="S141" s="43" t="n">
        <v>1.3</v>
      </c>
      <c r="T141" s="43" t="n">
        <v>30</v>
      </c>
      <c r="U141" s="43" t="n">
        <v>30</v>
      </c>
      <c r="V141" s="43" t="n">
        <v>210</v>
      </c>
      <c r="W141" s="43" t="n">
        <v>210</v>
      </c>
      <c r="X141" s="51">
        <f>IFERROR(U141/W141,"")</f>
        <v/>
      </c>
      <c r="Y141" s="51" t="n"/>
      <c r="Z141" s="51" t="n"/>
      <c r="AA141" s="51">
        <f>IFERROR(IF(L141="từng phát",J141*N141,J141*P141/(P141/N141+R141)),"")</f>
        <v/>
      </c>
      <c r="AB141" s="51">
        <f>IFERROR(IF(M141="từng phát",K141*O141,K141*Q141/(Q141/O141+S141)),"")</f>
        <v/>
      </c>
      <c r="AC141" s="51">
        <f>IFERROR(AB141*VLOOKUP(E141,'Hệ số'!$A$2:$D$8,2,0)*IF((I141-0)&gt;=2,1.2,IF((I141-0)=1,1,IF((I141-0)=0,0.85,IF((I141-0)=-1,0.5,IF((I141-0)=-2,0.25,0.1))))),"")</f>
        <v/>
      </c>
      <c r="AD141" s="51">
        <f>IFERROR(AB141*VLOOKUP(E141,'Hệ số'!$A$2:$D$8,2,0)*IF((I141-1)&gt;=2,1.2,IF((I141-1)=1,1,IF((I141-1)=0,0.85,IF((I141-1)=-1,0.5,IF((I141-1)=-2,0.25,0.1))))),"")</f>
        <v/>
      </c>
      <c r="AE141" s="51">
        <f>IFERROR(AB141*VLOOKUP(E141,'Hệ số'!$A$2:$D$8,2,0)*IF((I141-2)&gt;=2,1.2,IF((I141-2)=1,1,IF((I141-2)=0,0.85,IF((I141-2)=-1,0.5,IF((I141-2)=-2,0.25,0.1))))),"")</f>
        <v/>
      </c>
      <c r="AF141" s="51">
        <f>IFERROR(AB141*VLOOKUP(E141,'Hệ số'!$A$2:$D$8,2,0)*IF((I141-3)&gt;=2,1.2,IF((I141-3)=1,1,IF((I141-3)=0,0.85,IF((I141-3)=-1,0.5,IF((I141-3)=-2,0.25,0.1))))),"")</f>
        <v/>
      </c>
      <c r="AG141" s="51">
        <f>IFERROR(AB141*VLOOKUP(E141,'Hệ số'!$A$2:$D$8,2,0)*IF((I141-4)&gt;=2,1.2,IF((I141-4)=1,1,IF((I141-4)=0,0.85,IF((I141-4)=-1,0.5,IF((I141-4)=-2,0.25,0.1))))),"")</f>
        <v/>
      </c>
      <c r="AH141" s="51">
        <f>IFERROR(AB141*VLOOKUP(E141,'Hệ số'!$A$2:$D$8,2,0)*IF((I141-5)&gt;=2,1.2,IF((I141-5)=1,1,IF((I141-5)=0,0.85,IF((I141-5)=-1,0.5,IF((I141-5)=-2,0.25,0.1))))),"")</f>
        <v/>
      </c>
      <c r="AI141" s="51">
        <f>IFERROR(AB141*VLOOKUP(E141,'Hệ số'!$A$2:$D$8,3,0),"")</f>
        <v/>
      </c>
      <c r="AJ141" s="51">
        <f>IFERROR(AB141*VLOOKUP(E141,'Hệ số'!$A$2:$D$8,4,0)*IF((I141-2)&gt;=2,1.2,IF((I141-2)=1,1,IF((I141-2)=0,0.85,IF((I141-2)=-1,0.5,IF((I141-2)=-2,0.25,0.1))))),"")</f>
        <v/>
      </c>
      <c r="AK141" s="41" t="inlineStr">
        <is>
          <t>Bắn loạt; đạn nổ trên không (Mảnh) mạnh với máy bay và drone, yếu với giáp; đạn xuyên (Động năng) mạnh với giáp 0–2.</t>
        </is>
      </c>
      <c r="AL141" s="41" t="inlineStr">
        <is>
          <t>Tự đổi: đạn xuyên (Động năng) với xe, đạn nổ trên không (Mảnh) với máy bay/drone.</t>
        </is>
      </c>
      <c r="AM141" s="41" t="inlineStr">
        <is>
          <t>M242: 200/500 phát/phút</t>
        </is>
      </c>
      <c r="AN141" s="41" t="inlineStr">
        <is>
          <t>Giữ.</t>
        </is>
      </c>
      <c r="AO141" s="41" t="n"/>
    </row>
    <row r="142" ht="32.25" customHeight="1" s="32">
      <c r="A142" s="39" t="inlineStr">
        <is>
          <t>tower_flak_30</t>
        </is>
      </c>
      <c r="B142" s="39" t="inlineStr">
        <is>
          <t>2A38 30 mm (twin)</t>
        </is>
      </c>
      <c r="C142" s="39" t="inlineStr">
        <is>
          <t>Pháo tự động / cao xạ 20–40 mm</t>
        </is>
      </c>
      <c r="D142" s="39" t="inlineStr">
        <is>
          <t>Tháp PK</t>
        </is>
      </c>
      <c r="E142" s="39" t="inlineStr">
        <is>
          <t>Mảnh</t>
        </is>
      </c>
      <c r="F142" s="39" t="inlineStr">
        <is>
          <t>Airburst</t>
        </is>
      </c>
      <c r="G142" s="42" t="n">
        <v>30</v>
      </c>
      <c r="H142" s="42" t="n">
        <v>2</v>
      </c>
      <c r="I142" s="42" t="n">
        <v>2</v>
      </c>
      <c r="J142" s="42" t="n">
        <v>22</v>
      </c>
      <c r="K142" s="42" t="n">
        <v>7</v>
      </c>
      <c r="L142" s="39" t="inlineStr">
        <is>
          <t>băng</t>
        </is>
      </c>
      <c r="M142" s="39" t="inlineStr">
        <is>
          <t>băng</t>
        </is>
      </c>
      <c r="N142" s="42" t="n">
        <v>11</v>
      </c>
      <c r="O142" s="42" t="n">
        <v>35</v>
      </c>
      <c r="P142" s="42" t="n">
        <v>46</v>
      </c>
      <c r="Q142" s="42" t="n">
        <v>120</v>
      </c>
      <c r="R142" s="42" t="n">
        <v>1.2</v>
      </c>
      <c r="S142" s="42" t="n">
        <v>3</v>
      </c>
      <c r="T142" s="42" t="n">
        <v>42</v>
      </c>
      <c r="U142" s="42" t="n">
        <v>42</v>
      </c>
      <c r="V142" s="42" t="n">
        <v>280</v>
      </c>
      <c r="W142" s="42" t="n">
        <v>280</v>
      </c>
      <c r="X142" s="50">
        <f>IFERROR(U142/W142,"")</f>
        <v/>
      </c>
      <c r="Y142" s="52" t="n">
        <v>2.5</v>
      </c>
      <c r="Z142" s="52" t="n">
        <v>2.5</v>
      </c>
      <c r="AA142" s="50">
        <f>IFERROR(IF(L142="từng phát",J142*N142,J142*P142/(P142/N142+R142)),"")</f>
        <v/>
      </c>
      <c r="AB142" s="50">
        <f>IFERROR(IF(M142="từng phát",K142*O142,K142*Q142/(Q142/O142+S142)),"")</f>
        <v/>
      </c>
      <c r="AC142" s="50">
        <f>IFERROR(AB142*VLOOKUP(E142,'Hệ số'!$A$2:$D$8,2,0)*IF((I142-0)&gt;=2,1.2,IF((I142-0)=1,1,IF((I142-0)=0,0.85,IF((I142-0)=-1,0.5,IF((I142-0)=-2,0.25,0.1))))),"")</f>
        <v/>
      </c>
      <c r="AD142" s="50">
        <f>IFERROR(AB142*VLOOKUP(E142,'Hệ số'!$A$2:$D$8,2,0)*IF((I142-1)&gt;=2,1.2,IF((I142-1)=1,1,IF((I142-1)=0,0.85,IF((I142-1)=-1,0.5,IF((I142-1)=-2,0.25,0.1))))),"")</f>
        <v/>
      </c>
      <c r="AE142" s="50">
        <f>IFERROR(AB142*VLOOKUP(E142,'Hệ số'!$A$2:$D$8,2,0)*IF((I142-2)&gt;=2,1.2,IF((I142-2)=1,1,IF((I142-2)=0,0.85,IF((I142-2)=-1,0.5,IF((I142-2)=-2,0.25,0.1))))),"")</f>
        <v/>
      </c>
      <c r="AF142" s="50">
        <f>IFERROR(AB142*VLOOKUP(E142,'Hệ số'!$A$2:$D$8,2,0)*IF((I142-3)&gt;=2,1.2,IF((I142-3)=1,1,IF((I142-3)=0,0.85,IF((I142-3)=-1,0.5,IF((I142-3)=-2,0.25,0.1))))),"")</f>
        <v/>
      </c>
      <c r="AG142" s="50">
        <f>IFERROR(AB142*VLOOKUP(E142,'Hệ số'!$A$2:$D$8,2,0)*IF((I142-4)&gt;=2,1.2,IF((I142-4)=1,1,IF((I142-4)=0,0.85,IF((I142-4)=-1,0.5,IF((I142-4)=-2,0.25,0.1))))),"")</f>
        <v/>
      </c>
      <c r="AH142" s="50">
        <f>IFERROR(AB142*VLOOKUP(E142,'Hệ số'!$A$2:$D$8,2,0)*IF((I142-5)&gt;=2,1.2,IF((I142-5)=1,1,IF((I142-5)=0,0.85,IF((I142-5)=-1,0.5,IF((I142-5)=-2,0.25,0.1))))),"")</f>
        <v/>
      </c>
      <c r="AI142" s="50">
        <f>IFERROR(AB142*VLOOKUP(E142,'Hệ số'!$A$2:$D$8,3,0),"")</f>
        <v/>
      </c>
      <c r="AJ142" s="50">
        <f>IFERROR(AB142*VLOOKUP(E142,'Hệ số'!$A$2:$D$8,4,0)*IF((I142-2)&gt;=2,1.2,IF((I142-2)=1,1,IF((I142-2)=0,0.85,IF((I142-2)=-1,0.5,IF((I142-2)=-2,0.25,0.1))))),"")</f>
        <v/>
      </c>
      <c r="AK142" s="39" t="inlineStr">
        <is>
          <t>Bắn loạt; đạn nổ trên không (Mảnh) mạnh với máy bay và drone, yếu với giáp; đạn xuyên (Động năng) mạnh với giáp 0–2.</t>
        </is>
      </c>
      <c r="AL142" s="39" t="inlineStr">
        <is>
          <t>Tự đổi: đạn xuyên (Động năng) với xe, đạn nổ trên không (Mảnh) với máy bay/drone.</t>
        </is>
      </c>
      <c r="AM142" s="39" t="inlineStr">
        <is>
          <t>2A38M: ~5.000 phát/phút cả cặp</t>
        </is>
      </c>
      <c r="AN142" s="39" t="inlineStr">
        <is>
          <t>Như 2A38; đồng thời giảm phòng không của tháp ô nhỏ (300→~220) để Patriot ô lớn mạnh hơn.</t>
        </is>
      </c>
      <c r="AO142" s="48" t="inlineStr">
        <is>
          <t>Trung</t>
        </is>
      </c>
    </row>
    <row r="143" ht="21.75" customHeight="1" s="32">
      <c r="A143" s="41" t="inlineStr">
        <is>
          <t>tower_hmg</t>
        </is>
      </c>
      <c r="B143" s="41" t="inlineStr">
        <is>
          <t>M2 Browning 12.7 mm</t>
        </is>
      </c>
      <c r="C143" s="41" t="inlineStr">
        <is>
          <t>Súng máy 12,7 mm</t>
        </is>
      </c>
      <c r="D143" s="41" t="inlineStr">
        <is>
          <t>Tháp canh, Tháp quan sát</t>
        </is>
      </c>
      <c r="E143" s="41" t="inlineStr">
        <is>
          <t>Động năng</t>
        </is>
      </c>
      <c r="F143" s="41" t="inlineStr">
        <is>
          <t>BulletBig</t>
        </is>
      </c>
      <c r="G143" s="43" t="n">
        <v>12.7</v>
      </c>
      <c r="H143" s="43" t="n">
        <v>1</v>
      </c>
      <c r="I143" s="43" t="n">
        <v>1</v>
      </c>
      <c r="J143" s="43" t="n">
        <v>9.5</v>
      </c>
      <c r="K143" s="43" t="n">
        <v>9.5</v>
      </c>
      <c r="L143" s="41" t="inlineStr">
        <is>
          <t>băng</t>
        </is>
      </c>
      <c r="M143" s="41" t="inlineStr">
        <is>
          <t>băng</t>
        </is>
      </c>
      <c r="N143" s="43" t="n">
        <v>11.76</v>
      </c>
      <c r="O143" s="43" t="n">
        <v>11.76</v>
      </c>
      <c r="P143" s="43" t="n">
        <v>46</v>
      </c>
      <c r="Q143" s="43" t="n">
        <v>100</v>
      </c>
      <c r="R143" s="43" t="n">
        <v>1.1</v>
      </c>
      <c r="S143" s="43" t="n">
        <v>4</v>
      </c>
      <c r="T143" s="43" t="n">
        <v>30</v>
      </c>
      <c r="U143" s="43" t="n">
        <v>30</v>
      </c>
      <c r="V143" s="43" t="n">
        <v>230</v>
      </c>
      <c r="W143" s="43" t="n">
        <v>230</v>
      </c>
      <c r="X143" s="51">
        <f>IFERROR(U143/W143,"")</f>
        <v/>
      </c>
      <c r="Y143" s="51" t="n"/>
      <c r="Z143" s="51" t="n"/>
      <c r="AA143" s="51">
        <f>IFERROR(IF(L143="từng phát",J143*N143,J143*P143/(P143/N143+R143)),"")</f>
        <v/>
      </c>
      <c r="AB143" s="51">
        <f>IFERROR(IF(M143="từng phát",K143*O143,K143*Q143/(Q143/O143+S143)),"")</f>
        <v/>
      </c>
      <c r="AC143" s="51">
        <f>IFERROR(AB143*VLOOKUP(E143,'Hệ số'!$A$2:$D$8,2,0)*IF((I143-0)&gt;=2,1.2,IF((I143-0)=1,1,IF((I143-0)=0,0.85,IF((I143-0)=-1,0.5,IF((I143-0)=-2,0.25,0.1))))),"")</f>
        <v/>
      </c>
      <c r="AD143" s="51">
        <f>IFERROR(AB143*VLOOKUP(E143,'Hệ số'!$A$2:$D$8,2,0)*IF((I143-1)&gt;=2,1.2,IF((I143-1)=1,1,IF((I143-1)=0,0.85,IF((I143-1)=-1,0.5,IF((I143-1)=-2,0.25,0.1))))),"")</f>
        <v/>
      </c>
      <c r="AE143" s="51">
        <f>IFERROR(AB143*VLOOKUP(E143,'Hệ số'!$A$2:$D$8,2,0)*IF((I143-2)&gt;=2,1.2,IF((I143-2)=1,1,IF((I143-2)=0,0.85,IF((I143-2)=-1,0.5,IF((I143-2)=-2,0.25,0.1))))),"")</f>
        <v/>
      </c>
      <c r="AF143" s="51">
        <f>IFERROR(AB143*VLOOKUP(E143,'Hệ số'!$A$2:$D$8,2,0)*IF((I143-3)&gt;=2,1.2,IF((I143-3)=1,1,IF((I143-3)=0,0.85,IF((I143-3)=-1,0.5,IF((I143-3)=-2,0.25,0.1))))),"")</f>
        <v/>
      </c>
      <c r="AG143" s="51">
        <f>IFERROR(AB143*VLOOKUP(E143,'Hệ số'!$A$2:$D$8,2,0)*IF((I143-4)&gt;=2,1.2,IF((I143-4)=1,1,IF((I143-4)=0,0.85,IF((I143-4)=-1,0.5,IF((I143-4)=-2,0.25,0.1))))),"")</f>
        <v/>
      </c>
      <c r="AH143" s="51">
        <f>IFERROR(AB143*VLOOKUP(E143,'Hệ số'!$A$2:$D$8,2,0)*IF((I143-5)&gt;=2,1.2,IF((I143-5)=1,1,IF((I143-5)=0,0.85,IF((I143-5)=-1,0.5,IF((I143-5)=-2,0.25,0.1))))),"")</f>
        <v/>
      </c>
      <c r="AI143" s="51">
        <f>IFERROR(AB143*VLOOKUP(E143,'Hệ số'!$A$2:$D$8,3,0),"")</f>
        <v/>
      </c>
      <c r="AJ143" s="51">
        <f>IFERROR(AB143*VLOOKUP(E143,'Hệ số'!$A$2:$D$8,4,0)*IF((I143-2)&gt;=2,1.2,IF((I143-2)=1,1,IF((I143-2)=0,0.85,IF((I143-2)=-1,0.5,IF((I143-2)=-2,0.25,0.1))))),"")</f>
        <v/>
      </c>
      <c r="AK143" s="41" t="inlineStr">
        <is>
          <t>Bắn cả khi chạy; mạnh với xe không giáp, drone, trực thăng; nảy khỏi giáp từ cấp 2.</t>
        </is>
      </c>
      <c r="AL143" s="41" t="inlineStr">
        <is>
          <t>Đạn xuyên API (xuyên 2) cho bản tinh nhuệ.</t>
        </is>
      </c>
      <c r="AM143" s="41" t="inlineStr">
        <is>
          <t>M2: 450–600</t>
        </is>
      </c>
      <c r="AN143" s="41" t="inlineStr">
        <is>
          <t>Như M2, tháp nạp nhanh hơn một chút.</t>
        </is>
      </c>
      <c r="AO143" s="48" t="inlineStr">
        <is>
          <t>Trung</t>
        </is>
      </c>
    </row>
    <row r="144" ht="21.75" customHeight="1" s="32">
      <c r="A144" s="39" t="inlineStr">
        <is>
          <t>tower_kornet</t>
        </is>
      </c>
      <c r="B144" s="39" t="inlineStr">
        <is>
          <t>9M133 Kornet</t>
        </is>
      </c>
      <c r="C144" s="39" t="inlineStr">
        <is>
          <t>Tên lửa chống tăng / không đối đất</t>
        </is>
      </c>
      <c r="D144" s="39" t="inlineStr">
        <is>
          <t>Tháp ATGM</t>
        </is>
      </c>
      <c r="E144" s="39" t="inlineStr">
        <is>
          <t>Nổ lõm</t>
        </is>
      </c>
      <c r="F144" s="39" t="inlineStr">
        <is>
          <t>Atgm</t>
        </is>
      </c>
      <c r="G144" s="42" t="n">
        <v>29</v>
      </c>
      <c r="H144" s="42" t="n">
        <v>4</v>
      </c>
      <c r="I144" s="42" t="n">
        <v>4</v>
      </c>
      <c r="J144" s="42" t="n">
        <v>230</v>
      </c>
      <c r="K144" s="42" t="n">
        <v>230</v>
      </c>
      <c r="L144" s="39" t="inlineStr">
        <is>
          <t>loạt</t>
        </is>
      </c>
      <c r="M144" s="39" t="inlineStr">
        <is>
          <t>loạt</t>
        </is>
      </c>
      <c r="N144" s="42" t="n">
        <v>1.67</v>
      </c>
      <c r="O144" s="42" t="n">
        <v>1.67</v>
      </c>
      <c r="P144" s="42" t="n">
        <v>2</v>
      </c>
      <c r="Q144" s="42" t="n">
        <v>2</v>
      </c>
      <c r="R144" s="42" t="n">
        <v>4.35</v>
      </c>
      <c r="S144" s="42" t="n">
        <v>4.35</v>
      </c>
      <c r="T144" s="42" t="n">
        <v>50</v>
      </c>
      <c r="U144" s="42" t="n">
        <v>50</v>
      </c>
      <c r="V144" s="42" t="n">
        <v>20</v>
      </c>
      <c r="W144" s="42" t="n">
        <v>22</v>
      </c>
      <c r="X144" s="50">
        <f>IFERROR(U144/W144,"")</f>
        <v/>
      </c>
      <c r="Y144" s="50" t="n"/>
      <c r="Z144" s="50" t="n"/>
      <c r="AA144" s="50">
        <f>IFERROR(IF(L144="từng phát",J144*N144,J144*P144/(P144/N144+R144)),"")</f>
        <v/>
      </c>
      <c r="AB144" s="50">
        <f>IFERROR(IF(M144="từng phát",K144*O144,K144*Q144/(Q144/O144+S144)),"")</f>
        <v/>
      </c>
      <c r="AC144" s="50">
        <f>IFERROR(AB144*VLOOKUP(E144,'Hệ số'!$A$2:$D$8,2,0)*IF((I144-0)&gt;=2,1.2,IF((I144-0)=1,1,IF((I144-0)=0,0.85,IF((I144-0)=-1,0.5,IF((I144-0)=-2,0.25,0.1))))),"")</f>
        <v/>
      </c>
      <c r="AD144" s="50">
        <f>IFERROR(AB144*VLOOKUP(E144,'Hệ số'!$A$2:$D$8,2,0)*IF((I144-1)&gt;=2,1.2,IF((I144-1)=1,1,IF((I144-1)=0,0.85,IF((I144-1)=-1,0.5,IF((I144-1)=-2,0.25,0.1))))),"")</f>
        <v/>
      </c>
      <c r="AE144" s="50">
        <f>IFERROR(AB144*VLOOKUP(E144,'Hệ số'!$A$2:$D$8,2,0)*IF((I144-2)&gt;=2,1.2,IF((I144-2)=1,1,IF((I144-2)=0,0.85,IF((I144-2)=-1,0.5,IF((I144-2)=-2,0.25,0.1))))),"")</f>
        <v/>
      </c>
      <c r="AF144" s="50">
        <f>IFERROR(AB144*VLOOKUP(E144,'Hệ số'!$A$2:$D$8,2,0)*IF((I144-3)&gt;=2,1.2,IF((I144-3)=1,1,IF((I144-3)=0,0.85,IF((I144-3)=-1,0.5,IF((I144-3)=-2,0.25,0.1))))),"")</f>
        <v/>
      </c>
      <c r="AG144" s="50">
        <f>IFERROR(AB144*VLOOKUP(E144,'Hệ số'!$A$2:$D$8,2,0)*IF((I144-4)&gt;=2,1.2,IF((I144-4)=1,1,IF((I144-4)=0,0.85,IF((I144-4)=-1,0.5,IF((I144-4)=-2,0.25,0.1))))),"")</f>
        <v/>
      </c>
      <c r="AH144" s="50">
        <f>IFERROR(AB144*VLOOKUP(E144,'Hệ số'!$A$2:$D$8,2,0)*IF((I144-5)&gt;=2,1.2,IF((I144-5)=1,1,IF((I144-5)=0,0.85,IF((I144-5)=-1,0.5,IF((I144-5)=-2,0.25,0.1))))),"")</f>
        <v/>
      </c>
      <c r="AI144" s="50">
        <f>IFERROR(AB144*VLOOKUP(E144,'Hệ số'!$A$2:$D$8,3,0),"")</f>
        <v/>
      </c>
      <c r="AJ144" s="50">
        <f>IFERROR(AB144*VLOOKUP(E144,'Hệ số'!$A$2:$D$8,4,0)*IF((I144-2)&gt;=2,1.2,IF((I144-2)=1,1,IF((I144-2)=0,0.85,IF((I144-2)=-1,0.5,IF((I144-2)=-2,0.25,0.1))))),"")</f>
        <v/>
      </c>
      <c r="AK144" s="39" t="inlineStr">
        <is>
          <t>Dẫn đường; bị APS và giáp phản ứng nổ giảm (đầu nổ lõm); bay chậm nên né và khói có tác dụng.</t>
        </is>
      </c>
      <c r="AL144" s="39" t="n"/>
      <c r="AM144" s="39" t="inlineStr">
        <is>
          <t>Kornet: tầm 5,5–8 km, ~300 m/s</t>
        </is>
      </c>
      <c r="AN144" s="39" t="inlineStr">
        <is>
          <t>Tốc độ bay 20→22 m/s: Bay ~2,3 s ở tầm 50; nhanh hơn TOW một chút.</t>
        </is>
      </c>
      <c r="AO144" s="48" t="inlineStr">
        <is>
          <t>Trung</t>
        </is>
      </c>
    </row>
    <row r="145" ht="32.25" customHeight="1" s="32">
      <c r="A145" s="41" t="inlineStr">
        <is>
          <t>train_gun</t>
        </is>
      </c>
      <c r="B145" s="41" t="inlineStr">
        <is>
          <t>B-38 152 mm</t>
        </is>
      </c>
      <c r="C145" s="41" t="inlineStr">
        <is>
          <t>Pháo xe tăng / diệt tăng</t>
        </is>
      </c>
      <c r="D145" s="41" t="inlineStr">
        <is>
          <t>Juggernaut</t>
        </is>
      </c>
      <c r="E145" s="41" t="inlineStr">
        <is>
          <t>Động năng</t>
        </is>
      </c>
      <c r="F145" s="41" t="inlineStr">
        <is>
          <t>DoubleDart</t>
        </is>
      </c>
      <c r="G145" s="43" t="n">
        <v>152</v>
      </c>
      <c r="H145" s="43" t="n">
        <v>4</v>
      </c>
      <c r="I145" s="43" t="n">
        <v>4</v>
      </c>
      <c r="J145" s="43" t="n">
        <v>320</v>
      </c>
      <c r="K145" s="43" t="n">
        <v>320</v>
      </c>
      <c r="L145" s="41" t="inlineStr">
        <is>
          <t>từng phát</t>
        </is>
      </c>
      <c r="M145" s="41" t="inlineStr">
        <is>
          <t>từng phát</t>
        </is>
      </c>
      <c r="N145" s="43" t="n">
        <v>0.195694716242661</v>
      </c>
      <c r="O145" s="43" t="n">
        <v>0.195694716242661</v>
      </c>
      <c r="P145" s="43" t="n">
        <v>1</v>
      </c>
      <c r="Q145" s="43" t="n">
        <v>1</v>
      </c>
      <c r="R145" s="43" t="n">
        <v>5.11</v>
      </c>
      <c r="S145" s="43" t="n">
        <v>5.11</v>
      </c>
      <c r="T145" s="43" t="n">
        <v>42</v>
      </c>
      <c r="U145" s="43" t="n">
        <v>42</v>
      </c>
      <c r="V145" s="43" t="n">
        <v>170</v>
      </c>
      <c r="W145" s="43" t="n">
        <v>170</v>
      </c>
      <c r="X145" s="51">
        <f>IFERROR(U145/W145,"")</f>
        <v/>
      </c>
      <c r="Y145" s="53" t="n">
        <v>2.5</v>
      </c>
      <c r="Z145" s="53" t="n">
        <v>2.5</v>
      </c>
      <c r="AA145" s="51">
        <f>IFERROR(IF(L145="từng phát",J145*N145,J145*P145/(P145/N145+R145)),"")</f>
        <v/>
      </c>
      <c r="AB145" s="51">
        <f>IFERROR(IF(M145="từng phát",K145*O145,K145*Q145/(Q145/O145+S145)),"")</f>
        <v/>
      </c>
      <c r="AC145" s="51">
        <f>IFERROR(AB145*VLOOKUP(E145,'Hệ số'!$A$2:$D$8,2,0)*IF((I145-0)&gt;=2,1.2,IF((I145-0)=1,1,IF((I145-0)=0,0.85,IF((I145-0)=-1,0.5,IF((I145-0)=-2,0.25,0.1))))),"")</f>
        <v/>
      </c>
      <c r="AD145" s="51">
        <f>IFERROR(AB145*VLOOKUP(E145,'Hệ số'!$A$2:$D$8,2,0)*IF((I145-1)&gt;=2,1.2,IF((I145-1)=1,1,IF((I145-1)=0,0.85,IF((I145-1)=-1,0.5,IF((I145-1)=-2,0.25,0.1))))),"")</f>
        <v/>
      </c>
      <c r="AE145" s="51">
        <f>IFERROR(AB145*VLOOKUP(E145,'Hệ số'!$A$2:$D$8,2,0)*IF((I145-2)&gt;=2,1.2,IF((I145-2)=1,1,IF((I145-2)=0,0.85,IF((I145-2)=-1,0.5,IF((I145-2)=-2,0.25,0.1))))),"")</f>
        <v/>
      </c>
      <c r="AF145" s="51">
        <f>IFERROR(AB145*VLOOKUP(E145,'Hệ số'!$A$2:$D$8,2,0)*IF((I145-3)&gt;=2,1.2,IF((I145-3)=1,1,IF((I145-3)=0,0.85,IF((I145-3)=-1,0.5,IF((I145-3)=-2,0.25,0.1))))),"")</f>
        <v/>
      </c>
      <c r="AG145" s="51">
        <f>IFERROR(AB145*VLOOKUP(E145,'Hệ số'!$A$2:$D$8,2,0)*IF((I145-4)&gt;=2,1.2,IF((I145-4)=1,1,IF((I145-4)=0,0.85,IF((I145-4)=-1,0.5,IF((I145-4)=-2,0.25,0.1))))),"")</f>
        <v/>
      </c>
      <c r="AH145" s="51">
        <f>IFERROR(AB145*VLOOKUP(E145,'Hệ số'!$A$2:$D$8,2,0)*IF((I145-5)&gt;=2,1.2,IF((I145-5)=1,1,IF((I145-5)=0,0.85,IF((I145-5)=-1,0.5,IF((I145-5)=-2,0.25,0.1))))),"")</f>
        <v/>
      </c>
      <c r="AI145" s="51">
        <f>IFERROR(AB145*VLOOKUP(E145,'Hệ số'!$A$2:$D$8,3,0),"")</f>
        <v/>
      </c>
      <c r="AJ145" s="51">
        <f>IFERROR(AB145*VLOOKUP(E145,'Hệ số'!$A$2:$D$8,4,0)*IF((I145-2)&gt;=2,1.2,IF((I145-2)=1,1,IF((I145-2)=0,0.85,IF((I145-2)=-1,0.5,IF((I145-2)=-2,0.25,0.1))))),"")</f>
        <v/>
      </c>
      <c r="AK145" s="41" t="inlineStr">
        <is>
          <t>Phát đơn, sơ tốc cao; không bị APS chặn (đạn động năng); bị lệch theo tầm và khi xe đang chạy.</t>
        </is>
      </c>
      <c r="AL145" s="41" t="inlineStr">
        <is>
          <t>Tự đổi: đạn xuyên (Động năng) với xe giáp, đạn nổ mạnh (HE, xuyên 2, nổ lan 3 m) với xe nhẹ và công trình.</t>
        </is>
      </c>
      <c r="AM145" s="41" t="n"/>
      <c r="AN145" s="41" t="inlineStr">
        <is>
          <t>Giữ.</t>
        </is>
      </c>
      <c r="AO145" s="41" t="n"/>
    </row>
    <row r="146" ht="21.75" customHeight="1" s="32">
      <c r="A146" s="39" t="inlineStr">
        <is>
          <t>turret_gmlrs</t>
        </is>
      </c>
      <c r="B146" s="39" t="inlineStr">
        <is>
          <t>M31 GMLRS 227 mm</t>
        </is>
      </c>
      <c r="C146" s="39" t="inlineStr">
        <is>
          <t>Rốc-két</t>
        </is>
      </c>
      <c r="D146" s="39" t="inlineStr">
        <is>
          <t>Dẫn đường</t>
        </is>
      </c>
      <c r="E146" s="39" t="inlineStr">
        <is>
          <t>Nổ mạnh</t>
        </is>
      </c>
      <c r="F146" s="39" t="inlineStr">
        <is>
          <t>RocketBig</t>
        </is>
      </c>
      <c r="G146" s="42" t="n">
        <v>227</v>
      </c>
      <c r="H146" s="42" t="n">
        <v>3</v>
      </c>
      <c r="I146" s="42" t="n">
        <v>3</v>
      </c>
      <c r="J146" s="42" t="n">
        <v>100</v>
      </c>
      <c r="K146" s="42" t="n">
        <v>160</v>
      </c>
      <c r="L146" s="39" t="inlineStr">
        <is>
          <t>loạt</t>
        </is>
      </c>
      <c r="M146" s="39" t="inlineStr">
        <is>
          <t>loạt</t>
        </is>
      </c>
      <c r="N146" s="42" t="n">
        <v>2</v>
      </c>
      <c r="O146" s="42" t="n">
        <v>2</v>
      </c>
      <c r="P146" s="42" t="n">
        <v>2</v>
      </c>
      <c r="Q146" s="42" t="n">
        <v>2</v>
      </c>
      <c r="R146" s="42" t="n">
        <v>7</v>
      </c>
      <c r="S146" s="42" t="n">
        <v>7</v>
      </c>
      <c r="T146" s="42" t="n">
        <v>90</v>
      </c>
      <c r="U146" s="42" t="n">
        <v>90</v>
      </c>
      <c r="V146" s="42" t="n">
        <v>24</v>
      </c>
      <c r="W146" s="42" t="n">
        <v>50</v>
      </c>
      <c r="X146" s="50">
        <f>IFERROR(U146/W146,"")</f>
        <v/>
      </c>
      <c r="Y146" s="52" t="n">
        <v>3</v>
      </c>
      <c r="Z146" s="52" t="n">
        <v>4.5</v>
      </c>
      <c r="AA146" s="50">
        <f>IFERROR(IF(L146="từng phát",J146*N146,J146*P146/(P146/N146+R146)),"")</f>
        <v/>
      </c>
      <c r="AB146" s="50">
        <f>IFERROR(IF(M146="từng phát",K146*O146,K146*Q146/(Q146/O146+S146)),"")</f>
        <v/>
      </c>
      <c r="AC146" s="50">
        <f>IFERROR(AB146*VLOOKUP(E146,'Hệ số'!$A$2:$D$8,2,0)*IF((I146-0)&gt;=2,1.2,IF((I146-0)=1,1,IF((I146-0)=0,0.85,IF((I146-0)=-1,0.5,IF((I146-0)=-2,0.25,0.1))))),"")</f>
        <v/>
      </c>
      <c r="AD146" s="50">
        <f>IFERROR(AB146*VLOOKUP(E146,'Hệ số'!$A$2:$D$8,2,0)*IF((I146-1)&gt;=2,1.2,IF((I146-1)=1,1,IF((I146-1)=0,0.85,IF((I146-1)=-1,0.5,IF((I146-1)=-2,0.25,0.1))))),"")</f>
        <v/>
      </c>
      <c r="AE146" s="50">
        <f>IFERROR(AB146*VLOOKUP(E146,'Hệ số'!$A$2:$D$8,2,0)*IF((I146-2)&gt;=2,1.2,IF((I146-2)=1,1,IF((I146-2)=0,0.85,IF((I146-2)=-1,0.5,IF((I146-2)=-2,0.25,0.1))))),"")</f>
        <v/>
      </c>
      <c r="AF146" s="50">
        <f>IFERROR(AB146*VLOOKUP(E146,'Hệ số'!$A$2:$D$8,2,0)*IF((I146-3)&gt;=2,1.2,IF((I146-3)=1,1,IF((I146-3)=0,0.85,IF((I146-3)=-1,0.5,IF((I146-3)=-2,0.25,0.1))))),"")</f>
        <v/>
      </c>
      <c r="AG146" s="50">
        <f>IFERROR(AB146*VLOOKUP(E146,'Hệ số'!$A$2:$D$8,2,0)*IF((I146-4)&gt;=2,1.2,IF((I146-4)=1,1,IF((I146-4)=0,0.85,IF((I146-4)=-1,0.5,IF((I146-4)=-2,0.25,0.1))))),"")</f>
        <v/>
      </c>
      <c r="AH146" s="50">
        <f>IFERROR(AB146*VLOOKUP(E146,'Hệ số'!$A$2:$D$8,2,0)*IF((I146-5)&gt;=2,1.2,IF((I146-5)=1,1,IF((I146-5)=0,0.85,IF((I146-5)=-1,0.5,IF((I146-5)=-2,0.25,0.1))))),"")</f>
        <v/>
      </c>
      <c r="AI146" s="50">
        <f>IFERROR(AB146*VLOOKUP(E146,'Hệ số'!$A$2:$D$8,3,0),"")</f>
        <v/>
      </c>
      <c r="AJ146" s="50">
        <f>IFERROR(AB146*VLOOKUP(E146,'Hệ số'!$A$2:$D$8,4,0)*IF((I146-2)&gt;=2,1.2,IF((I146-2)=1,1,IF((I146-2)=0,0.85,IF((I146-2)=-1,0.5,IF((I146-2)=-2,0.25,0.1))))),"")</f>
        <v/>
      </c>
      <c r="AK146" s="39" t="inlineStr">
        <is>
          <t>Bắn loạt phủ vùng, tản mát; C-RAM, Vòm Sắt và La-de PK bắn hạ được từng quả.</t>
        </is>
      </c>
      <c r="AL146" s="39" t="n"/>
      <c r="AM146" s="39" t="inlineStr">
        <is>
          <t>GMLRS dẫn đường</t>
        </is>
      </c>
      <c r="AN146" s="39" t="inlineStr">
        <is>
          <t>Nhánh rốc-két dẫn đường gần như vô dụng (27/27). Tốc độ bay 24→50 m/s: Thống nhất tốc độ GMLRS ở mọi đơn vị (50 m/s).</t>
        </is>
      </c>
      <c r="AO146" s="47" t="inlineStr">
        <is>
          <t>Cao</t>
        </is>
      </c>
    </row>
    <row r="147" ht="32.25" customHeight="1" s="32">
      <c r="A147" s="41" t="inlineStr">
        <is>
          <t>turret_gun_120</t>
        </is>
      </c>
      <c r="B147" s="41" t="inlineStr">
        <is>
          <t>Rh-120 L/44 120 mm</t>
        </is>
      </c>
      <c r="C147" s="41" t="inlineStr">
        <is>
          <t>Pháo xe tăng / diệt tăng</t>
        </is>
      </c>
      <c r="D147" s="41" t="inlineStr">
        <is>
          <t>Tháp pháo</t>
        </is>
      </c>
      <c r="E147" s="41" t="inlineStr">
        <is>
          <t>Động năng</t>
        </is>
      </c>
      <c r="F147" s="41" t="inlineStr">
        <is>
          <t>DoubleDart</t>
        </is>
      </c>
      <c r="G147" s="43" t="n">
        <v>120</v>
      </c>
      <c r="H147" s="43" t="n">
        <v>4</v>
      </c>
      <c r="I147" s="43" t="n">
        <v>4</v>
      </c>
      <c r="J147" s="43" t="n">
        <v>240</v>
      </c>
      <c r="K147" s="43" t="n">
        <v>240</v>
      </c>
      <c r="L147" s="41" t="inlineStr">
        <is>
          <t>từng phát</t>
        </is>
      </c>
      <c r="M147" s="41" t="inlineStr">
        <is>
          <t>từng phát</t>
        </is>
      </c>
      <c r="N147" s="43" t="n">
        <v>0.347222222222222</v>
      </c>
      <c r="O147" s="43" t="n">
        <v>0.347222222222222</v>
      </c>
      <c r="P147" s="43" t="n">
        <v>1</v>
      </c>
      <c r="Q147" s="43" t="n">
        <v>1</v>
      </c>
      <c r="R147" s="43" t="n">
        <v>2.88</v>
      </c>
      <c r="S147" s="43" t="n">
        <v>2.88</v>
      </c>
      <c r="T147" s="43" t="n">
        <v>32</v>
      </c>
      <c r="U147" s="43" t="n">
        <v>32</v>
      </c>
      <c r="V147" s="43" t="n">
        <v>170</v>
      </c>
      <c r="W147" s="43" t="n">
        <v>170</v>
      </c>
      <c r="X147" s="51">
        <f>IFERROR(U147/W147,"")</f>
        <v/>
      </c>
      <c r="Y147" s="53" t="n">
        <v>1.5</v>
      </c>
      <c r="Z147" s="53" t="n">
        <v>1.5</v>
      </c>
      <c r="AA147" s="51">
        <f>IFERROR(IF(L147="từng phát",J147*N147,J147*P147/(P147/N147+R147)),"")</f>
        <v/>
      </c>
      <c r="AB147" s="51">
        <f>IFERROR(IF(M147="từng phát",K147*O147,K147*Q147/(Q147/O147+S147)),"")</f>
        <v/>
      </c>
      <c r="AC147" s="51">
        <f>IFERROR(AB147*VLOOKUP(E147,'Hệ số'!$A$2:$D$8,2,0)*IF((I147-0)&gt;=2,1.2,IF((I147-0)=1,1,IF((I147-0)=0,0.85,IF((I147-0)=-1,0.5,IF((I147-0)=-2,0.25,0.1))))),"")</f>
        <v/>
      </c>
      <c r="AD147" s="51">
        <f>IFERROR(AB147*VLOOKUP(E147,'Hệ số'!$A$2:$D$8,2,0)*IF((I147-1)&gt;=2,1.2,IF((I147-1)=1,1,IF((I147-1)=0,0.85,IF((I147-1)=-1,0.5,IF((I147-1)=-2,0.25,0.1))))),"")</f>
        <v/>
      </c>
      <c r="AE147" s="51">
        <f>IFERROR(AB147*VLOOKUP(E147,'Hệ số'!$A$2:$D$8,2,0)*IF((I147-2)&gt;=2,1.2,IF((I147-2)=1,1,IF((I147-2)=0,0.85,IF((I147-2)=-1,0.5,IF((I147-2)=-2,0.25,0.1))))),"")</f>
        <v/>
      </c>
      <c r="AF147" s="51">
        <f>IFERROR(AB147*VLOOKUP(E147,'Hệ số'!$A$2:$D$8,2,0)*IF((I147-3)&gt;=2,1.2,IF((I147-3)=1,1,IF((I147-3)=0,0.85,IF((I147-3)=-1,0.5,IF((I147-3)=-2,0.25,0.1))))),"")</f>
        <v/>
      </c>
      <c r="AG147" s="51">
        <f>IFERROR(AB147*VLOOKUP(E147,'Hệ số'!$A$2:$D$8,2,0)*IF((I147-4)&gt;=2,1.2,IF((I147-4)=1,1,IF((I147-4)=0,0.85,IF((I147-4)=-1,0.5,IF((I147-4)=-2,0.25,0.1))))),"")</f>
        <v/>
      </c>
      <c r="AH147" s="51">
        <f>IFERROR(AB147*VLOOKUP(E147,'Hệ số'!$A$2:$D$8,2,0)*IF((I147-5)&gt;=2,1.2,IF((I147-5)=1,1,IF((I147-5)=0,0.85,IF((I147-5)=-1,0.5,IF((I147-5)=-2,0.25,0.1))))),"")</f>
        <v/>
      </c>
      <c r="AI147" s="51">
        <f>IFERROR(AB147*VLOOKUP(E147,'Hệ số'!$A$2:$D$8,3,0),"")</f>
        <v/>
      </c>
      <c r="AJ147" s="51">
        <f>IFERROR(AB147*VLOOKUP(E147,'Hệ số'!$A$2:$D$8,4,0)*IF((I147-2)&gt;=2,1.2,IF((I147-2)=1,1,IF((I147-2)=0,0.85,IF((I147-2)=-1,0.5,IF((I147-2)=-2,0.25,0.1))))),"")</f>
        <v/>
      </c>
      <c r="AK147" s="41" t="inlineStr">
        <is>
          <t>Phát đơn, sơ tốc cao; không bị APS chặn (đạn động năng); bị lệch theo tầm và khi xe đang chạy.</t>
        </is>
      </c>
      <c r="AL147" s="41" t="inlineStr">
        <is>
          <t>Tự đổi: đạn xuyên (Động năng) với xe giáp, đạn nổ mạnh (HE, xuyên 2, nổ lan 3 m) với xe nhẹ và công trình.</t>
        </is>
      </c>
      <c r="AM147" s="41" t="inlineStr">
        <is>
          <t>Rh-120 nạp tay: 6–8 phát/phút</t>
        </is>
      </c>
      <c r="AN147" s="41" t="inlineStr">
        <is>
          <t>Giữ.</t>
        </is>
      </c>
      <c r="AO147" s="41" t="n"/>
    </row>
    <row r="148" ht="32.25" customHeight="1" s="32">
      <c r="A148" s="39" t="inlineStr">
        <is>
          <t>turret_gun_120_long</t>
        </is>
      </c>
      <c r="B148" s="39" t="inlineStr">
        <is>
          <t>Rh-120 L/55 120 mm</t>
        </is>
      </c>
      <c r="C148" s="39" t="inlineStr">
        <is>
          <t>Pháo xe tăng / diệt tăng</t>
        </is>
      </c>
      <c r="D148" s="39" t="inlineStr">
        <is>
          <t>Pháo bắn tỉa</t>
        </is>
      </c>
      <c r="E148" s="39" t="inlineStr">
        <is>
          <t>Động năng</t>
        </is>
      </c>
      <c r="F148" s="39" t="inlineStr">
        <is>
          <t>DoubleDart</t>
        </is>
      </c>
      <c r="G148" s="42" t="n">
        <v>120</v>
      </c>
      <c r="H148" s="42" t="n">
        <v>4</v>
      </c>
      <c r="I148" s="42" t="n">
        <v>5</v>
      </c>
      <c r="J148" s="42" t="n">
        <v>240</v>
      </c>
      <c r="K148" s="42" t="n">
        <v>240</v>
      </c>
      <c r="L148" s="39" t="inlineStr">
        <is>
          <t>từng phát</t>
        </is>
      </c>
      <c r="M148" s="39" t="inlineStr">
        <is>
          <t>từng phát</t>
        </is>
      </c>
      <c r="N148" s="42" t="n">
        <v>0.256410256410256</v>
      </c>
      <c r="O148" s="42" t="n">
        <v>0.256410256410256</v>
      </c>
      <c r="P148" s="42" t="n">
        <v>1</v>
      </c>
      <c r="Q148" s="42" t="n">
        <v>1</v>
      </c>
      <c r="R148" s="42" t="n">
        <v>3.9</v>
      </c>
      <c r="S148" s="42" t="n">
        <v>3.9</v>
      </c>
      <c r="T148" s="42" t="n">
        <v>48</v>
      </c>
      <c r="U148" s="42" t="n">
        <v>48</v>
      </c>
      <c r="V148" s="42" t="n">
        <v>170</v>
      </c>
      <c r="W148" s="42" t="n">
        <v>170</v>
      </c>
      <c r="X148" s="50">
        <f>IFERROR(U148/W148,"")</f>
        <v/>
      </c>
      <c r="Y148" s="52" t="n">
        <v>1.5</v>
      </c>
      <c r="Z148" s="52" t="n">
        <v>1.5</v>
      </c>
      <c r="AA148" s="50">
        <f>IFERROR(IF(L148="từng phát",J148*N148,J148*P148/(P148/N148+R148)),"")</f>
        <v/>
      </c>
      <c r="AB148" s="50">
        <f>IFERROR(IF(M148="từng phát",K148*O148,K148*Q148/(Q148/O148+S148)),"")</f>
        <v/>
      </c>
      <c r="AC148" s="50">
        <f>IFERROR(AB148*VLOOKUP(E148,'Hệ số'!$A$2:$D$8,2,0)*IF((I148-0)&gt;=2,1.2,IF((I148-0)=1,1,IF((I148-0)=0,0.85,IF((I148-0)=-1,0.5,IF((I148-0)=-2,0.25,0.1))))),"")</f>
        <v/>
      </c>
      <c r="AD148" s="50">
        <f>IFERROR(AB148*VLOOKUP(E148,'Hệ số'!$A$2:$D$8,2,0)*IF((I148-1)&gt;=2,1.2,IF((I148-1)=1,1,IF((I148-1)=0,0.85,IF((I148-1)=-1,0.5,IF((I148-1)=-2,0.25,0.1))))),"")</f>
        <v/>
      </c>
      <c r="AE148" s="50">
        <f>IFERROR(AB148*VLOOKUP(E148,'Hệ số'!$A$2:$D$8,2,0)*IF((I148-2)&gt;=2,1.2,IF((I148-2)=1,1,IF((I148-2)=0,0.85,IF((I148-2)=-1,0.5,IF((I148-2)=-2,0.25,0.1))))),"")</f>
        <v/>
      </c>
      <c r="AF148" s="50">
        <f>IFERROR(AB148*VLOOKUP(E148,'Hệ số'!$A$2:$D$8,2,0)*IF((I148-3)&gt;=2,1.2,IF((I148-3)=1,1,IF((I148-3)=0,0.85,IF((I148-3)=-1,0.5,IF((I148-3)=-2,0.25,0.1))))),"")</f>
        <v/>
      </c>
      <c r="AG148" s="50">
        <f>IFERROR(AB148*VLOOKUP(E148,'Hệ số'!$A$2:$D$8,2,0)*IF((I148-4)&gt;=2,1.2,IF((I148-4)=1,1,IF((I148-4)=0,0.85,IF((I148-4)=-1,0.5,IF((I148-4)=-2,0.25,0.1))))),"")</f>
        <v/>
      </c>
      <c r="AH148" s="50">
        <f>IFERROR(AB148*VLOOKUP(E148,'Hệ số'!$A$2:$D$8,2,0)*IF((I148-5)&gt;=2,1.2,IF((I148-5)=1,1,IF((I148-5)=0,0.85,IF((I148-5)=-1,0.5,IF((I148-5)=-2,0.25,0.1))))),"")</f>
        <v/>
      </c>
      <c r="AI148" s="50">
        <f>IFERROR(AB148*VLOOKUP(E148,'Hệ số'!$A$2:$D$8,3,0),"")</f>
        <v/>
      </c>
      <c r="AJ148" s="50">
        <f>IFERROR(AB148*VLOOKUP(E148,'Hệ số'!$A$2:$D$8,4,0)*IF((I148-2)&gt;=2,1.2,IF((I148-2)=1,1,IF((I148-2)=0,0.85,IF((I148-2)=-1,0.5,IF((I148-2)=-2,0.25,0.1))))),"")</f>
        <v/>
      </c>
      <c r="AK148" s="39" t="inlineStr">
        <is>
          <t>Phát đơn, sơ tốc cao; không bị APS chặn (đạn động năng); bị lệch theo tầm và khi xe đang chạy.</t>
        </is>
      </c>
      <c r="AL148" s="39" t="inlineStr">
        <is>
          <t>Tự đổi: đạn xuyên (Động năng) với xe giáp, đạn nổ mạnh (HE, xuyên 2, nổ lan 3 m) với xe nhẹ và công trình.</t>
        </is>
      </c>
      <c r="AM148" s="39" t="inlineStr">
        <is>
          <t>Rh-120 L/55: 6–8 phát/phút, sơ tốc cao hơn</t>
        </is>
      </c>
      <c r="AN148" s="39" t="inlineStr">
        <is>
          <t>Nhánh bắn tỉa L/55 sơ tốc cao: xuyên hơn bản L/44 (ngoài thang 0–4 nghĩa là luôn ×1,2 với giáp ≤3), bù DPS thấp.</t>
        </is>
      </c>
      <c r="AO148" s="48" t="inlineStr">
        <is>
          <t>Trung</t>
        </is>
      </c>
    </row>
    <row r="149" ht="21.75" customHeight="1" s="32">
      <c r="A149" s="41" t="inlineStr">
        <is>
          <t>turret_rockets</t>
        </is>
      </c>
      <c r="B149" s="41" t="inlineStr">
        <is>
          <t>BM-21 Grad 122 mm</t>
        </is>
      </c>
      <c r="C149" s="41" t="inlineStr">
        <is>
          <t>Rốc-két</t>
        </is>
      </c>
      <c r="D149" s="41" t="inlineStr">
        <is>
          <t>Dàn rốc-két</t>
        </is>
      </c>
      <c r="E149" s="41" t="inlineStr">
        <is>
          <t>Nổ mạnh</t>
        </is>
      </c>
      <c r="F149" s="41" t="inlineStr">
        <is>
          <t>RocketSmall</t>
        </is>
      </c>
      <c r="G149" s="43" t="n">
        <v>122</v>
      </c>
      <c r="H149" s="43" t="n">
        <v>2</v>
      </c>
      <c r="I149" s="43" t="n">
        <v>2</v>
      </c>
      <c r="J149" s="43" t="n">
        <v>57</v>
      </c>
      <c r="K149" s="43" t="n">
        <v>66</v>
      </c>
      <c r="L149" s="41" t="inlineStr">
        <is>
          <t>loạt</t>
        </is>
      </c>
      <c r="M149" s="41" t="inlineStr">
        <is>
          <t>loạt</t>
        </is>
      </c>
      <c r="N149" s="43" t="n">
        <v>8.33</v>
      </c>
      <c r="O149" s="43" t="n">
        <v>8.33</v>
      </c>
      <c r="P149" s="43" t="n">
        <v>6</v>
      </c>
      <c r="Q149" s="43" t="n">
        <v>6</v>
      </c>
      <c r="R149" s="43" t="n">
        <v>3.35</v>
      </c>
      <c r="S149" s="43" t="n">
        <v>3.35</v>
      </c>
      <c r="T149" s="43" t="n">
        <v>55</v>
      </c>
      <c r="U149" s="43" t="n">
        <v>55</v>
      </c>
      <c r="V149" s="43" t="n">
        <v>24</v>
      </c>
      <c r="W149" s="43" t="n">
        <v>45</v>
      </c>
      <c r="X149" s="51">
        <f>IFERROR(U149/W149,"")</f>
        <v/>
      </c>
      <c r="Y149" s="53" t="n">
        <v>4.5</v>
      </c>
      <c r="Z149" s="53" t="n">
        <v>4.5</v>
      </c>
      <c r="AA149" s="51">
        <f>IFERROR(IF(L149="từng phát",J149*N149,J149*P149/(P149/N149+R149)),"")</f>
        <v/>
      </c>
      <c r="AB149" s="51">
        <f>IFERROR(IF(M149="từng phát",K149*O149,K149*Q149/(Q149/O149+S149)),"")</f>
        <v/>
      </c>
      <c r="AC149" s="51">
        <f>IFERROR(AB149*VLOOKUP(E149,'Hệ số'!$A$2:$D$8,2,0)*IF((I149-0)&gt;=2,1.2,IF((I149-0)=1,1,IF((I149-0)=0,0.85,IF((I149-0)=-1,0.5,IF((I149-0)=-2,0.25,0.1))))),"")</f>
        <v/>
      </c>
      <c r="AD149" s="51">
        <f>IFERROR(AB149*VLOOKUP(E149,'Hệ số'!$A$2:$D$8,2,0)*IF((I149-1)&gt;=2,1.2,IF((I149-1)=1,1,IF((I149-1)=0,0.85,IF((I149-1)=-1,0.5,IF((I149-1)=-2,0.25,0.1))))),"")</f>
        <v/>
      </c>
      <c r="AE149" s="51">
        <f>IFERROR(AB149*VLOOKUP(E149,'Hệ số'!$A$2:$D$8,2,0)*IF((I149-2)&gt;=2,1.2,IF((I149-2)=1,1,IF((I149-2)=0,0.85,IF((I149-2)=-1,0.5,IF((I149-2)=-2,0.25,0.1))))),"")</f>
        <v/>
      </c>
      <c r="AF149" s="51">
        <f>IFERROR(AB149*VLOOKUP(E149,'Hệ số'!$A$2:$D$8,2,0)*IF((I149-3)&gt;=2,1.2,IF((I149-3)=1,1,IF((I149-3)=0,0.85,IF((I149-3)=-1,0.5,IF((I149-3)=-2,0.25,0.1))))),"")</f>
        <v/>
      </c>
      <c r="AG149" s="51">
        <f>IFERROR(AB149*VLOOKUP(E149,'Hệ số'!$A$2:$D$8,2,0)*IF((I149-4)&gt;=2,1.2,IF((I149-4)=1,1,IF((I149-4)=0,0.85,IF((I149-4)=-1,0.5,IF((I149-4)=-2,0.25,0.1))))),"")</f>
        <v/>
      </c>
      <c r="AH149" s="51">
        <f>IFERROR(AB149*VLOOKUP(E149,'Hệ số'!$A$2:$D$8,2,0)*IF((I149-5)&gt;=2,1.2,IF((I149-5)=1,1,IF((I149-5)=0,0.85,IF((I149-5)=-1,0.5,IF((I149-5)=-2,0.25,0.1))))),"")</f>
        <v/>
      </c>
      <c r="AI149" s="51">
        <f>IFERROR(AB149*VLOOKUP(E149,'Hệ số'!$A$2:$D$8,3,0),"")</f>
        <v/>
      </c>
      <c r="AJ149" s="51">
        <f>IFERROR(AB149*VLOOKUP(E149,'Hệ số'!$A$2:$D$8,4,0)*IF((I149-2)&gt;=2,1.2,IF((I149-2)=1,1,IF((I149-2)=0,0.85,IF((I149-2)=-1,0.5,IF((I149-2)=-2,0.25,0.1))))),"")</f>
        <v/>
      </c>
      <c r="AK149" s="41" t="inlineStr">
        <is>
          <t>Bắn loạt phủ vùng, tản mát; C-RAM, Vòm Sắt và La-de PK bắn hạ được từng quả.</t>
        </is>
      </c>
      <c r="AL149" s="41" t="n"/>
      <c r="AM149" s="41" t="inlineStr">
        <is>
          <t>BM-21 Grad: 40 quả trong 20 s</t>
        </is>
      </c>
      <c r="AN149" s="41" t="inlineStr">
        <is>
          <t>Dàn rốc-két hơi dưới mục tiêu (87/40 → ~100/45). Tốc độ bay 24→45 m/s: Thống nhất Grad 45 m/s.</t>
        </is>
      </c>
      <c r="AO149" s="48" t="inlineStr">
        <is>
          <t>Trung</t>
        </is>
      </c>
    </row>
    <row r="150" ht="21.75" customHeight="1" s="32">
      <c r="A150" s="39" t="inlineStr">
        <is>
          <t>turret_rockets_cluster</t>
        </is>
      </c>
      <c r="B150" s="39" t="inlineStr">
        <is>
          <t>BM-21 Grad 122 mm</t>
        </is>
      </c>
      <c r="C150" s="39" t="inlineStr">
        <is>
          <t>Rốc-két</t>
        </is>
      </c>
      <c r="D150" s="39" t="inlineStr">
        <is>
          <t>Rốc-két chùm</t>
        </is>
      </c>
      <c r="E150" s="39" t="inlineStr">
        <is>
          <t>Nổ mạnh</t>
        </is>
      </c>
      <c r="F150" s="39" t="inlineStr">
        <is>
          <t>Cluster</t>
        </is>
      </c>
      <c r="G150" s="42" t="n">
        <v>122</v>
      </c>
      <c r="H150" s="42" t="n">
        <v>2</v>
      </c>
      <c r="I150" s="42" t="n">
        <v>2</v>
      </c>
      <c r="J150" s="42" t="n">
        <v>57</v>
      </c>
      <c r="K150" s="42" t="n">
        <v>57</v>
      </c>
      <c r="L150" s="39" t="inlineStr">
        <is>
          <t>loạt</t>
        </is>
      </c>
      <c r="M150" s="39" t="inlineStr">
        <is>
          <t>loạt</t>
        </is>
      </c>
      <c r="N150" s="42" t="n">
        <v>8.33</v>
      </c>
      <c r="O150" s="42" t="n">
        <v>8.33</v>
      </c>
      <c r="P150" s="42" t="n">
        <v>6</v>
      </c>
      <c r="Q150" s="42" t="n">
        <v>6</v>
      </c>
      <c r="R150" s="42" t="n">
        <v>3.2</v>
      </c>
      <c r="S150" s="42" t="n">
        <v>3.2</v>
      </c>
      <c r="T150" s="42" t="n">
        <v>55</v>
      </c>
      <c r="U150" s="42" t="n">
        <v>55</v>
      </c>
      <c r="V150" s="42" t="n">
        <v>24</v>
      </c>
      <c r="W150" s="42" t="n">
        <v>45</v>
      </c>
      <c r="X150" s="50">
        <f>IFERROR(U150/W150,"")</f>
        <v/>
      </c>
      <c r="Y150" s="52" t="n">
        <v>4.5</v>
      </c>
      <c r="Z150" s="52" t="n">
        <v>4</v>
      </c>
      <c r="AA150" s="50">
        <f>IFERROR(IF(L150="từng phát",J150*N150,J150*P150/(P150/N150+R150)),"")</f>
        <v/>
      </c>
      <c r="AB150" s="50">
        <f>IFERROR(IF(M150="từng phát",K150*O150,K150*Q150/(Q150/O150+S150)),"")</f>
        <v/>
      </c>
      <c r="AC150" s="50">
        <f>IFERROR(AB150*VLOOKUP(E150,'Hệ số'!$A$2:$D$8,2,0)*IF((I150-0)&gt;=2,1.2,IF((I150-0)=1,1,IF((I150-0)=0,0.85,IF((I150-0)=-1,0.5,IF((I150-0)=-2,0.25,0.1))))),"")</f>
        <v/>
      </c>
      <c r="AD150" s="50">
        <f>IFERROR(AB150*VLOOKUP(E150,'Hệ số'!$A$2:$D$8,2,0)*IF((I150-1)&gt;=2,1.2,IF((I150-1)=1,1,IF((I150-1)=0,0.85,IF((I150-1)=-1,0.5,IF((I150-1)=-2,0.25,0.1))))),"")</f>
        <v/>
      </c>
      <c r="AE150" s="50">
        <f>IFERROR(AB150*VLOOKUP(E150,'Hệ số'!$A$2:$D$8,2,0)*IF((I150-2)&gt;=2,1.2,IF((I150-2)=1,1,IF((I150-2)=0,0.85,IF((I150-2)=-1,0.5,IF((I150-2)=-2,0.25,0.1))))),"")</f>
        <v/>
      </c>
      <c r="AF150" s="50">
        <f>IFERROR(AB150*VLOOKUP(E150,'Hệ số'!$A$2:$D$8,2,0)*IF((I150-3)&gt;=2,1.2,IF((I150-3)=1,1,IF((I150-3)=0,0.85,IF((I150-3)=-1,0.5,IF((I150-3)=-2,0.25,0.1))))),"")</f>
        <v/>
      </c>
      <c r="AG150" s="50">
        <f>IFERROR(AB150*VLOOKUP(E150,'Hệ số'!$A$2:$D$8,2,0)*IF((I150-4)&gt;=2,1.2,IF((I150-4)=1,1,IF((I150-4)=0,0.85,IF((I150-4)=-1,0.5,IF((I150-4)=-2,0.25,0.1))))),"")</f>
        <v/>
      </c>
      <c r="AH150" s="50">
        <f>IFERROR(AB150*VLOOKUP(E150,'Hệ số'!$A$2:$D$8,2,0)*IF((I150-5)&gt;=2,1.2,IF((I150-5)=1,1,IF((I150-5)=0,0.85,IF((I150-5)=-1,0.5,IF((I150-5)=-2,0.25,0.1))))),"")</f>
        <v/>
      </c>
      <c r="AI150" s="50">
        <f>IFERROR(AB150*VLOOKUP(E150,'Hệ số'!$A$2:$D$8,3,0),"")</f>
        <v/>
      </c>
      <c r="AJ150" s="50">
        <f>IFERROR(AB150*VLOOKUP(E150,'Hệ số'!$A$2:$D$8,4,0)*IF((I150-2)&gt;=2,1.2,IF((I150-2)=1,1,IF((I150-2)=0,0.85,IF((I150-2)=-1,0.5,IF((I150-2)=-2,0.25,0.1))))),"")</f>
        <v/>
      </c>
      <c r="AK150" s="39" t="inlineStr">
        <is>
          <t>Bắn loạt phủ vùng, tản mát; C-RAM, Vòm Sắt và La-de PK bắn hạ được từng quả.</t>
        </is>
      </c>
      <c r="AL150" s="39" t="n"/>
      <c r="AM150" s="39" t="inlineStr">
        <is>
          <t>BM-21</t>
        </is>
      </c>
      <c r="AN150" s="39" t="inlineStr">
        <is>
          <t>Như trên. Tốc độ bay 24→45 m/s: Thống nhất tốc độ Grad ở mọi đơn vị (45 m/s).</t>
        </is>
      </c>
      <c r="AO150" s="48" t="inlineStr">
        <is>
          <t>Trung</t>
        </is>
      </c>
    </row>
    <row r="151" ht="32.25" customHeight="1" s="32">
      <c r="A151" s="41" t="inlineStr">
        <is>
          <t>twin_30_bmpt</t>
        </is>
      </c>
      <c r="B151" s="41" t="inlineStr">
        <is>
          <t>2A42 30 mm (twin)</t>
        </is>
      </c>
      <c r="C151" s="41" t="inlineStr">
        <is>
          <t>Pháo tự động / cao xạ 20–40 mm</t>
        </is>
      </c>
      <c r="D151" s="41" t="inlineStr">
        <is>
          <t>BMPT</t>
        </is>
      </c>
      <c r="E151" s="41" t="inlineStr">
        <is>
          <t>Động năng</t>
        </is>
      </c>
      <c r="F151" s="41" t="inlineStr">
        <is>
          <t>BeltedAutocannon</t>
        </is>
      </c>
      <c r="G151" s="43" t="n">
        <v>30</v>
      </c>
      <c r="H151" s="43" t="n">
        <v>2</v>
      </c>
      <c r="I151" s="43" t="n">
        <v>2</v>
      </c>
      <c r="J151" s="43" t="n">
        <v>22</v>
      </c>
      <c r="K151" s="43" t="n">
        <v>22</v>
      </c>
      <c r="L151" s="41" t="inlineStr">
        <is>
          <t>băng</t>
        </is>
      </c>
      <c r="M151" s="41" t="inlineStr">
        <is>
          <t>loạt</t>
        </is>
      </c>
      <c r="N151" s="43" t="n">
        <v>5</v>
      </c>
      <c r="O151" s="43" t="n">
        <v>12</v>
      </c>
      <c r="P151" s="43" t="n">
        <v>26</v>
      </c>
      <c r="Q151" s="43" t="n">
        <v>12</v>
      </c>
      <c r="R151" s="43" t="n">
        <v>1</v>
      </c>
      <c r="S151" s="43" t="n">
        <v>1.5</v>
      </c>
      <c r="T151" s="43" t="n">
        <v>30</v>
      </c>
      <c r="U151" s="43" t="n">
        <v>30</v>
      </c>
      <c r="V151" s="43" t="n">
        <v>210</v>
      </c>
      <c r="W151" s="43" t="n">
        <v>210</v>
      </c>
      <c r="X151" s="51">
        <f>IFERROR(U151/W151,"")</f>
        <v/>
      </c>
      <c r="Y151" s="51" t="n"/>
      <c r="Z151" s="51" t="n"/>
      <c r="AA151" s="51">
        <f>IFERROR(IF(L151="từng phát",J151*N151,J151*P151/(P151/N151+R151)),"")</f>
        <v/>
      </c>
      <c r="AB151" s="51">
        <f>IFERROR(IF(M151="từng phát",K151*O151,K151*Q151/(Q151/O151+S151)),"")</f>
        <v/>
      </c>
      <c r="AC151" s="51">
        <f>IFERROR(AB151*VLOOKUP(E151,'Hệ số'!$A$2:$D$8,2,0)*IF((I151-0)&gt;=2,1.2,IF((I151-0)=1,1,IF((I151-0)=0,0.85,IF((I151-0)=-1,0.5,IF((I151-0)=-2,0.25,0.1))))),"")</f>
        <v/>
      </c>
      <c r="AD151" s="51">
        <f>IFERROR(AB151*VLOOKUP(E151,'Hệ số'!$A$2:$D$8,2,0)*IF((I151-1)&gt;=2,1.2,IF((I151-1)=1,1,IF((I151-1)=0,0.85,IF((I151-1)=-1,0.5,IF((I151-1)=-2,0.25,0.1))))),"")</f>
        <v/>
      </c>
      <c r="AE151" s="51">
        <f>IFERROR(AB151*VLOOKUP(E151,'Hệ số'!$A$2:$D$8,2,0)*IF((I151-2)&gt;=2,1.2,IF((I151-2)=1,1,IF((I151-2)=0,0.85,IF((I151-2)=-1,0.5,IF((I151-2)=-2,0.25,0.1))))),"")</f>
        <v/>
      </c>
      <c r="AF151" s="51">
        <f>IFERROR(AB151*VLOOKUP(E151,'Hệ số'!$A$2:$D$8,2,0)*IF((I151-3)&gt;=2,1.2,IF((I151-3)=1,1,IF((I151-3)=0,0.85,IF((I151-3)=-1,0.5,IF((I151-3)=-2,0.25,0.1))))),"")</f>
        <v/>
      </c>
      <c r="AG151" s="51">
        <f>IFERROR(AB151*VLOOKUP(E151,'Hệ số'!$A$2:$D$8,2,0)*IF((I151-4)&gt;=2,1.2,IF((I151-4)=1,1,IF((I151-4)=0,0.85,IF((I151-4)=-1,0.5,IF((I151-4)=-2,0.25,0.1))))),"")</f>
        <v/>
      </c>
      <c r="AH151" s="51">
        <f>IFERROR(AB151*VLOOKUP(E151,'Hệ số'!$A$2:$D$8,2,0)*IF((I151-5)&gt;=2,1.2,IF((I151-5)=1,1,IF((I151-5)=0,0.85,IF((I151-5)=-1,0.5,IF((I151-5)=-2,0.25,0.1))))),"")</f>
        <v/>
      </c>
      <c r="AI151" s="51">
        <f>IFERROR(AB151*VLOOKUP(E151,'Hệ số'!$A$2:$D$8,3,0),"")</f>
        <v/>
      </c>
      <c r="AJ151" s="51">
        <f>IFERROR(AB151*VLOOKUP(E151,'Hệ số'!$A$2:$D$8,4,0)*IF((I151-2)&gt;=2,1.2,IF((I151-2)=1,1,IF((I151-2)=0,0.85,IF((I151-2)=-1,0.5,IF((I151-2)=-2,0.25,0.1))))),"")</f>
        <v/>
      </c>
      <c r="AK151" s="41" t="inlineStr">
        <is>
          <t>Bắn loạt; đạn nổ trên không (Mảnh) mạnh với máy bay và drone, yếu với giáp; đạn xuyên (Động năng) mạnh với giáp 0–2.</t>
        </is>
      </c>
      <c r="AL151" s="41" t="inlineStr">
        <is>
          <t>Tự đổi: đạn xuyên (Động năng) với xe, đạn nổ trên không (Mảnh) với máy bay/drone.</t>
        </is>
      </c>
      <c r="AM151" s="41" t="inlineStr">
        <is>
          <t>2 × 2A42: tổng ~1.100–1.600 phát/phút</t>
        </is>
      </c>
      <c r="AN151" s="41" t="inlineStr">
        <is>
          <t>Hai pháo 2A42 của BMPT.</t>
        </is>
      </c>
      <c r="AO151" s="48" t="inlineStr">
        <is>
          <t>Trung</t>
        </is>
      </c>
    </row>
    <row r="152" ht="32.25" customHeight="1" s="32">
      <c r="A152" s="39" t="inlineStr">
        <is>
          <t>twin_30_flak</t>
        </is>
      </c>
      <c r="B152" s="39" t="inlineStr">
        <is>
          <t>2A38 30 mm (twin)</t>
        </is>
      </c>
      <c r="C152" s="39" t="inlineStr">
        <is>
          <t>Pháo tự động / cao xạ 20–40 mm</t>
        </is>
      </c>
      <c r="D152" s="39" t="inlineStr">
        <is>
          <t>PK hỗn hợp</t>
        </is>
      </c>
      <c r="E152" s="39" t="inlineStr">
        <is>
          <t>Mảnh</t>
        </is>
      </c>
      <c r="F152" s="39" t="inlineStr">
        <is>
          <t>Airburst</t>
        </is>
      </c>
      <c r="G152" s="42" t="n">
        <v>30</v>
      </c>
      <c r="H152" s="42" t="n">
        <v>2</v>
      </c>
      <c r="I152" s="42" t="n">
        <v>2</v>
      </c>
      <c r="J152" s="42" t="n">
        <v>22</v>
      </c>
      <c r="K152" s="42" t="n">
        <v>7.5</v>
      </c>
      <c r="L152" s="39" t="inlineStr">
        <is>
          <t>băng</t>
        </is>
      </c>
      <c r="M152" s="39" t="inlineStr">
        <is>
          <t>băng</t>
        </is>
      </c>
      <c r="N152" s="42" t="n">
        <v>14</v>
      </c>
      <c r="O152" s="42" t="n">
        <v>40</v>
      </c>
      <c r="P152" s="42" t="n">
        <v>69</v>
      </c>
      <c r="Q152" s="42" t="n">
        <v>160</v>
      </c>
      <c r="R152" s="42" t="n">
        <v>1</v>
      </c>
      <c r="S152" s="42" t="n">
        <v>3</v>
      </c>
      <c r="T152" s="42" t="n">
        <v>42</v>
      </c>
      <c r="U152" s="42" t="n">
        <v>42</v>
      </c>
      <c r="V152" s="42" t="n">
        <v>280</v>
      </c>
      <c r="W152" s="42" t="n">
        <v>280</v>
      </c>
      <c r="X152" s="50">
        <f>IFERROR(U152/W152,"")</f>
        <v/>
      </c>
      <c r="Y152" s="52" t="n">
        <v>2.5</v>
      </c>
      <c r="Z152" s="52" t="n">
        <v>2.5</v>
      </c>
      <c r="AA152" s="50">
        <f>IFERROR(IF(L152="từng phát",J152*N152,J152*P152/(P152/N152+R152)),"")</f>
        <v/>
      </c>
      <c r="AB152" s="50">
        <f>IFERROR(IF(M152="từng phát",K152*O152,K152*Q152/(Q152/O152+S152)),"")</f>
        <v/>
      </c>
      <c r="AC152" s="50">
        <f>IFERROR(AB152*VLOOKUP(E152,'Hệ số'!$A$2:$D$8,2,0)*IF((I152-0)&gt;=2,1.2,IF((I152-0)=1,1,IF((I152-0)=0,0.85,IF((I152-0)=-1,0.5,IF((I152-0)=-2,0.25,0.1))))),"")</f>
        <v/>
      </c>
      <c r="AD152" s="50">
        <f>IFERROR(AB152*VLOOKUP(E152,'Hệ số'!$A$2:$D$8,2,0)*IF((I152-1)&gt;=2,1.2,IF((I152-1)=1,1,IF((I152-1)=0,0.85,IF((I152-1)=-1,0.5,IF((I152-1)=-2,0.25,0.1))))),"")</f>
        <v/>
      </c>
      <c r="AE152" s="50">
        <f>IFERROR(AB152*VLOOKUP(E152,'Hệ số'!$A$2:$D$8,2,0)*IF((I152-2)&gt;=2,1.2,IF((I152-2)=1,1,IF((I152-2)=0,0.85,IF((I152-2)=-1,0.5,IF((I152-2)=-2,0.25,0.1))))),"")</f>
        <v/>
      </c>
      <c r="AF152" s="50">
        <f>IFERROR(AB152*VLOOKUP(E152,'Hệ số'!$A$2:$D$8,2,0)*IF((I152-3)&gt;=2,1.2,IF((I152-3)=1,1,IF((I152-3)=0,0.85,IF((I152-3)=-1,0.5,IF((I152-3)=-2,0.25,0.1))))),"")</f>
        <v/>
      </c>
      <c r="AG152" s="50">
        <f>IFERROR(AB152*VLOOKUP(E152,'Hệ số'!$A$2:$D$8,2,0)*IF((I152-4)&gt;=2,1.2,IF((I152-4)=1,1,IF((I152-4)=0,0.85,IF((I152-4)=-1,0.5,IF((I152-4)=-2,0.25,0.1))))),"")</f>
        <v/>
      </c>
      <c r="AH152" s="50">
        <f>IFERROR(AB152*VLOOKUP(E152,'Hệ số'!$A$2:$D$8,2,0)*IF((I152-5)&gt;=2,1.2,IF((I152-5)=1,1,IF((I152-5)=0,0.85,IF((I152-5)=-1,0.5,IF((I152-5)=-2,0.25,0.1))))),"")</f>
        <v/>
      </c>
      <c r="AI152" s="50">
        <f>IFERROR(AB152*VLOOKUP(E152,'Hệ số'!$A$2:$D$8,3,0),"")</f>
        <v/>
      </c>
      <c r="AJ152" s="50">
        <f>IFERROR(AB152*VLOOKUP(E152,'Hệ số'!$A$2:$D$8,4,0)*IF((I152-2)&gt;=2,1.2,IF((I152-2)=1,1,IF((I152-2)=0,0.85,IF((I152-2)=-1,0.5,IF((I152-2)=-2,0.25,0.1))))),"")</f>
        <v/>
      </c>
      <c r="AK152" s="39" t="inlineStr">
        <is>
          <t>Bắn loạt; đạn nổ trên không (Mảnh) mạnh với máy bay và drone, yếu với giáp; đạn xuyên (Động năng) mạnh với giáp 0–2.</t>
        </is>
      </c>
      <c r="AL152" s="39" t="inlineStr">
        <is>
          <t>Tự đổi: đạn xuyên (Động năng) với xe, đạn nổ trên không (Mảnh) với máy bay/drone.</t>
        </is>
      </c>
      <c r="AM152" s="39" t="inlineStr">
        <is>
          <t>2A38M (Pantsir/Tunguska): ~5.000 phát/phút cả cặp; tầm ~4 km</t>
        </is>
      </c>
      <c r="AN152" s="39" t="inlineStr">
        <is>
          <t>2A38 thật ~5.000 phát/phút cả cặp; giữ DPS, thành luồng đạn.</t>
        </is>
      </c>
      <c r="AO152" s="48" t="inlineStr">
        <is>
          <t>Trung</t>
        </is>
      </c>
    </row>
    <row r="153" ht="32.25" customHeight="1" s="32">
      <c r="A153" s="41" t="inlineStr">
        <is>
          <t>twin_35_ahead</t>
        </is>
      </c>
      <c r="B153" s="41" t="inlineStr">
        <is>
          <t>Skyranger 35 mm</t>
        </is>
      </c>
      <c r="C153" s="41" t="inlineStr">
        <is>
          <t>Pháo tự động / cao xạ 20–40 mm</t>
        </is>
      </c>
      <c r="D153" s="41" t="inlineStr">
        <is>
          <t>Phòng không TN</t>
        </is>
      </c>
      <c r="E153" s="41" t="inlineStr">
        <is>
          <t>Mảnh</t>
        </is>
      </c>
      <c r="F153" s="41" t="inlineStr">
        <is>
          <t>Airburst</t>
        </is>
      </c>
      <c r="G153" s="43" t="n">
        <v>35</v>
      </c>
      <c r="H153" s="43" t="n">
        <v>2</v>
      </c>
      <c r="I153" s="43" t="n">
        <v>2</v>
      </c>
      <c r="J153" s="43" t="n">
        <v>26</v>
      </c>
      <c r="K153" s="43" t="n">
        <v>26</v>
      </c>
      <c r="L153" s="41" t="inlineStr">
        <is>
          <t>băng</t>
        </is>
      </c>
      <c r="M153" s="41" t="inlineStr">
        <is>
          <t>băng</t>
        </is>
      </c>
      <c r="N153" s="43" t="n">
        <v>4.68</v>
      </c>
      <c r="O153" s="43" t="n">
        <v>4.68</v>
      </c>
      <c r="P153" s="41" t="n"/>
      <c r="Q153" s="41" t="n"/>
      <c r="R153" s="43" t="n">
        <v>1</v>
      </c>
      <c r="S153" s="43" t="n">
        <v>1</v>
      </c>
      <c r="T153" s="43" t="n">
        <v>46</v>
      </c>
      <c r="U153" s="43" t="n">
        <v>46</v>
      </c>
      <c r="V153" s="43" t="n">
        <v>300</v>
      </c>
      <c r="W153" s="43" t="n">
        <v>300</v>
      </c>
      <c r="X153" s="51">
        <f>IFERROR(U153/W153,"")</f>
        <v/>
      </c>
      <c r="Y153" s="53" t="n">
        <v>4</v>
      </c>
      <c r="Z153" s="53" t="n">
        <v>4</v>
      </c>
      <c r="AA153" s="51">
        <f>IFERROR(IF(L153="từng phát",J153*N153,J153*P153/(P153/N153+R153)),"")</f>
        <v/>
      </c>
      <c r="AB153" s="51">
        <f>IFERROR(IF(M153="từng phát",K153*O153,K153*Q153/(Q153/O153+S153)),"")</f>
        <v/>
      </c>
      <c r="AC153" s="51">
        <f>IFERROR(AB153*VLOOKUP(E153,'Hệ số'!$A$2:$D$8,2,0)*IF((I153-0)&gt;=2,1.2,IF((I153-0)=1,1,IF((I153-0)=0,0.85,IF((I153-0)=-1,0.5,IF((I153-0)=-2,0.25,0.1))))),"")</f>
        <v/>
      </c>
      <c r="AD153" s="51">
        <f>IFERROR(AB153*VLOOKUP(E153,'Hệ số'!$A$2:$D$8,2,0)*IF((I153-1)&gt;=2,1.2,IF((I153-1)=1,1,IF((I153-1)=0,0.85,IF((I153-1)=-1,0.5,IF((I153-1)=-2,0.25,0.1))))),"")</f>
        <v/>
      </c>
      <c r="AE153" s="51">
        <f>IFERROR(AB153*VLOOKUP(E153,'Hệ số'!$A$2:$D$8,2,0)*IF((I153-2)&gt;=2,1.2,IF((I153-2)=1,1,IF((I153-2)=0,0.85,IF((I153-2)=-1,0.5,IF((I153-2)=-2,0.25,0.1))))),"")</f>
        <v/>
      </c>
      <c r="AF153" s="51">
        <f>IFERROR(AB153*VLOOKUP(E153,'Hệ số'!$A$2:$D$8,2,0)*IF((I153-3)&gt;=2,1.2,IF((I153-3)=1,1,IF((I153-3)=0,0.85,IF((I153-3)=-1,0.5,IF((I153-3)=-2,0.25,0.1))))),"")</f>
        <v/>
      </c>
      <c r="AG153" s="51">
        <f>IFERROR(AB153*VLOOKUP(E153,'Hệ số'!$A$2:$D$8,2,0)*IF((I153-4)&gt;=2,1.2,IF((I153-4)=1,1,IF((I153-4)=0,0.85,IF((I153-4)=-1,0.5,IF((I153-4)=-2,0.25,0.1))))),"")</f>
        <v/>
      </c>
      <c r="AH153" s="51">
        <f>IFERROR(AB153*VLOOKUP(E153,'Hệ số'!$A$2:$D$8,2,0)*IF((I153-5)&gt;=2,1.2,IF((I153-5)=1,1,IF((I153-5)=0,0.85,IF((I153-5)=-1,0.5,IF((I153-5)=-2,0.25,0.1))))),"")</f>
        <v/>
      </c>
      <c r="AI153" s="51">
        <f>IFERROR(AB153*VLOOKUP(E153,'Hệ số'!$A$2:$D$8,3,0),"")</f>
        <v/>
      </c>
      <c r="AJ153" s="51">
        <f>IFERROR(AB153*VLOOKUP(E153,'Hệ số'!$A$2:$D$8,4,0)*IF((I153-2)&gt;=2,1.2,IF((I153-2)=1,1,IF((I153-2)=0,0.85,IF((I153-2)=-1,0.5,IF((I153-2)=-2,0.25,0.1))))),"")</f>
        <v/>
      </c>
      <c r="AK153" s="41" t="inlineStr">
        <is>
          <t>Bắn loạt; đạn nổ trên không (Mảnh) mạnh với máy bay và drone, yếu với giáp; đạn xuyên (Động năng) mạnh với giáp 0–2.</t>
        </is>
      </c>
      <c r="AL153" s="41" t="inlineStr">
        <is>
          <t>Tự đổi: đạn xuyên (Động năng) với xe, đạn nổ trên không (Mảnh) với máy bay/drone.</t>
        </is>
      </c>
      <c r="AM153" s="41" t="inlineStr">
        <is>
          <t>Skyranger 35: 1.000 phát/phút, đạn AHEAD</t>
        </is>
      </c>
      <c r="AN153" s="41" t="inlineStr">
        <is>
          <t>Giữ.</t>
        </is>
      </c>
      <c r="AO153" s="41" t="n"/>
    </row>
    <row r="154" ht="21.75" customHeight="1" s="32">
      <c r="A154" s="39" t="inlineStr">
        <is>
          <t>wvr_aam</t>
        </is>
      </c>
      <c r="B154" s="39" t="inlineStr">
        <is>
          <t>AIM-9X Sidewinder</t>
        </is>
      </c>
      <c r="C154" s="39" t="inlineStr">
        <is>
          <t>Tên lửa phòng không / không đối không</t>
        </is>
      </c>
      <c r="D154" s="39" t="inlineStr">
        <is>
          <t>Tiêm kích</t>
        </is>
      </c>
      <c r="E154" s="39" t="inlineStr">
        <is>
          <t>Mảnh</t>
        </is>
      </c>
      <c r="F154" s="39" t="inlineStr">
        <is>
          <t>Sam</t>
        </is>
      </c>
      <c r="G154" s="42" t="n">
        <v>9.4</v>
      </c>
      <c r="H154" s="42" t="n">
        <v>2</v>
      </c>
      <c r="I154" s="42" t="n">
        <v>2</v>
      </c>
      <c r="J154" s="42" t="n">
        <v>231</v>
      </c>
      <c r="K154" s="42" t="n">
        <v>231</v>
      </c>
      <c r="L154" s="39" t="inlineStr">
        <is>
          <t>từng phát</t>
        </is>
      </c>
      <c r="M154" s="39" t="inlineStr">
        <is>
          <t>từng phát</t>
        </is>
      </c>
      <c r="N154" s="42" t="n">
        <v>0.47</v>
      </c>
      <c r="O154" s="42" t="n">
        <v>0.47</v>
      </c>
      <c r="P154" s="42" t="n">
        <v>1</v>
      </c>
      <c r="Q154" s="42" t="n">
        <v>1</v>
      </c>
      <c r="R154" s="42" t="n">
        <v>2.12765957446809</v>
      </c>
      <c r="S154" s="42" t="n">
        <v>2.12765957446809</v>
      </c>
      <c r="T154" s="42" t="n">
        <v>30</v>
      </c>
      <c r="U154" s="42" t="n">
        <v>30</v>
      </c>
      <c r="V154" s="42" t="n">
        <v>24</v>
      </c>
      <c r="W154" s="42" t="n">
        <v>55</v>
      </c>
      <c r="X154" s="50">
        <f>IFERROR(U154/W154,"")</f>
        <v/>
      </c>
      <c r="Y154" s="52" t="n">
        <v>1.5</v>
      </c>
      <c r="Z154" s="52" t="n">
        <v>1.5</v>
      </c>
      <c r="AA154" s="50">
        <f>IFERROR(IF(L154="từng phát",J154*N154,J154*P154/(P154/N154+R154)),"")</f>
        <v/>
      </c>
      <c r="AB154" s="50">
        <f>IFERROR(IF(M154="từng phát",K154*O154,K154*Q154/(Q154/O154+S154)),"")</f>
        <v/>
      </c>
      <c r="AC154" s="50">
        <f>IFERROR(AB154*VLOOKUP(E154,'Hệ số'!$A$2:$D$8,2,0)*IF((I154-0)&gt;=2,1.2,IF((I154-0)=1,1,IF((I154-0)=0,0.85,IF((I154-0)=-1,0.5,IF((I154-0)=-2,0.25,0.1))))),"")</f>
        <v/>
      </c>
      <c r="AD154" s="50">
        <f>IFERROR(AB154*VLOOKUP(E154,'Hệ số'!$A$2:$D$8,2,0)*IF((I154-1)&gt;=2,1.2,IF((I154-1)=1,1,IF((I154-1)=0,0.85,IF((I154-1)=-1,0.5,IF((I154-1)=-2,0.25,0.1))))),"")</f>
        <v/>
      </c>
      <c r="AE154" s="50">
        <f>IFERROR(AB154*VLOOKUP(E154,'Hệ số'!$A$2:$D$8,2,0)*IF((I154-2)&gt;=2,1.2,IF((I154-2)=1,1,IF((I154-2)=0,0.85,IF((I154-2)=-1,0.5,IF((I154-2)=-2,0.25,0.1))))),"")</f>
        <v/>
      </c>
      <c r="AF154" s="50">
        <f>IFERROR(AB154*VLOOKUP(E154,'Hệ số'!$A$2:$D$8,2,0)*IF((I154-3)&gt;=2,1.2,IF((I154-3)=1,1,IF((I154-3)=0,0.85,IF((I154-3)=-1,0.5,IF((I154-3)=-2,0.25,0.1))))),"")</f>
        <v/>
      </c>
      <c r="AG154" s="50">
        <f>IFERROR(AB154*VLOOKUP(E154,'Hệ số'!$A$2:$D$8,2,0)*IF((I154-4)&gt;=2,1.2,IF((I154-4)=1,1,IF((I154-4)=0,0.85,IF((I154-4)=-1,0.5,IF((I154-4)=-2,0.25,0.1))))),"")</f>
        <v/>
      </c>
      <c r="AH154" s="50">
        <f>IFERROR(AB154*VLOOKUP(E154,'Hệ số'!$A$2:$D$8,2,0)*IF((I154-5)&gt;=2,1.2,IF((I154-5)=1,1,IF((I154-5)=0,0.85,IF((I154-5)=-1,0.5,IF((I154-5)=-2,0.25,0.1))))),"")</f>
        <v/>
      </c>
      <c r="AI154" s="50">
        <f>IFERROR(AB154*VLOOKUP(E154,'Hệ số'!$A$2:$D$8,3,0),"")</f>
        <v/>
      </c>
      <c r="AJ154" s="50">
        <f>IFERROR(AB154*VLOOKUP(E154,'Hệ số'!$A$2:$D$8,4,0)*IF((I154-2)&gt;=2,1.2,IF((I154-2)=1,1,IF((I154-2)=0,0.85,IF((I154-2)=-1,0.5,IF((I154-2)=-2,0.25,0.1))))),"")</f>
        <v/>
      </c>
      <c r="AK154" s="39" t="inlineStr">
        <is>
          <t>Dẫn đường; bị pháo sáng đánh lừa theo độ kháng; phải nhanh hơn mục tiêu.</t>
        </is>
      </c>
      <c r="AL154" s="39" t="n"/>
      <c r="AM154" s="39" t="inlineStr">
        <is>
          <t>AIM-9X: 35 km, Mach 2,5+</t>
        </is>
      </c>
      <c r="AN154" s="39" t="inlineStr">
        <is>
          <t>Tốc độ bay 24→55 m/s: Thống nhất tốc độ AIM-9 ở mọi đơn vị (55 m/s).</t>
        </is>
      </c>
      <c r="AO154" s="48" t="inlineStr">
        <is>
          <t>Trung</t>
        </is>
      </c>
    </row>
    <row r="155" ht="32.25" customHeight="1" s="32">
      <c r="A155" s="41" t="inlineStr">
        <is>
          <t>zu23</t>
        </is>
      </c>
      <c r="B155" s="41" t="inlineStr">
        <is>
          <t>ZU-23-2 23 mm</t>
        </is>
      </c>
      <c r="C155" s="41" t="inlineStr">
        <is>
          <t>Pháo tự động / cao xạ 20–40 mm</t>
        </is>
      </c>
      <c r="D155" s="41" t="inlineStr">
        <is>
          <t>Bastion, ZU-23</t>
        </is>
      </c>
      <c r="E155" s="41" t="inlineStr">
        <is>
          <t>Mảnh</t>
        </is>
      </c>
      <c r="F155" s="41" t="inlineStr">
        <is>
          <t>Airburst</t>
        </is>
      </c>
      <c r="G155" s="43" t="n">
        <v>23</v>
      </c>
      <c r="H155" s="43" t="n">
        <v>1</v>
      </c>
      <c r="I155" s="43" t="n">
        <v>1</v>
      </c>
      <c r="J155" s="43" t="n">
        <v>15</v>
      </c>
      <c r="K155" s="43" t="n">
        <v>7</v>
      </c>
      <c r="L155" s="41" t="inlineStr">
        <is>
          <t>băng</t>
        </is>
      </c>
      <c r="M155" s="41" t="inlineStr">
        <is>
          <t>băng</t>
        </is>
      </c>
      <c r="N155" s="43" t="n">
        <v>11</v>
      </c>
      <c r="O155" s="43" t="n">
        <v>25</v>
      </c>
      <c r="P155" s="43" t="n">
        <v>57</v>
      </c>
      <c r="Q155" s="43" t="n">
        <v>50</v>
      </c>
      <c r="R155" s="43" t="n">
        <v>1</v>
      </c>
      <c r="S155" s="43" t="n">
        <v>3</v>
      </c>
      <c r="T155" s="43" t="n">
        <v>32</v>
      </c>
      <c r="U155" s="43" t="n">
        <v>38</v>
      </c>
      <c r="V155" s="43" t="n">
        <v>240</v>
      </c>
      <c r="W155" s="43" t="n">
        <v>240</v>
      </c>
      <c r="X155" s="51">
        <f>IFERROR(U155/W155,"")</f>
        <v/>
      </c>
      <c r="Y155" s="51" t="n"/>
      <c r="Z155" s="51" t="n"/>
      <c r="AA155" s="51">
        <f>IFERROR(IF(L155="từng phát",J155*N155,J155*P155/(P155/N155+R155)),"")</f>
        <v/>
      </c>
      <c r="AB155" s="51">
        <f>IFERROR(IF(M155="từng phát",K155*O155,K155*Q155/(Q155/O155+S155)),"")</f>
        <v/>
      </c>
      <c r="AC155" s="51">
        <f>IFERROR(AB155*VLOOKUP(E155,'Hệ số'!$A$2:$D$8,2,0)*IF((I155-0)&gt;=2,1.2,IF((I155-0)=1,1,IF((I155-0)=0,0.85,IF((I155-0)=-1,0.5,IF((I155-0)=-2,0.25,0.1))))),"")</f>
        <v/>
      </c>
      <c r="AD155" s="51">
        <f>IFERROR(AB155*VLOOKUP(E155,'Hệ số'!$A$2:$D$8,2,0)*IF((I155-1)&gt;=2,1.2,IF((I155-1)=1,1,IF((I155-1)=0,0.85,IF((I155-1)=-1,0.5,IF((I155-1)=-2,0.25,0.1))))),"")</f>
        <v/>
      </c>
      <c r="AE155" s="51">
        <f>IFERROR(AB155*VLOOKUP(E155,'Hệ số'!$A$2:$D$8,2,0)*IF((I155-2)&gt;=2,1.2,IF((I155-2)=1,1,IF((I155-2)=0,0.85,IF((I155-2)=-1,0.5,IF((I155-2)=-2,0.25,0.1))))),"")</f>
        <v/>
      </c>
      <c r="AF155" s="51">
        <f>IFERROR(AB155*VLOOKUP(E155,'Hệ số'!$A$2:$D$8,2,0)*IF((I155-3)&gt;=2,1.2,IF((I155-3)=1,1,IF((I155-3)=0,0.85,IF((I155-3)=-1,0.5,IF((I155-3)=-2,0.25,0.1))))),"")</f>
        <v/>
      </c>
      <c r="AG155" s="51">
        <f>IFERROR(AB155*VLOOKUP(E155,'Hệ số'!$A$2:$D$8,2,0)*IF((I155-4)&gt;=2,1.2,IF((I155-4)=1,1,IF((I155-4)=0,0.85,IF((I155-4)=-1,0.5,IF((I155-4)=-2,0.25,0.1))))),"")</f>
        <v/>
      </c>
      <c r="AH155" s="51">
        <f>IFERROR(AB155*VLOOKUP(E155,'Hệ số'!$A$2:$D$8,2,0)*IF((I155-5)&gt;=2,1.2,IF((I155-5)=1,1,IF((I155-5)=0,0.85,IF((I155-5)=-1,0.5,IF((I155-5)=-2,0.25,0.1))))),"")</f>
        <v/>
      </c>
      <c r="AI155" s="51">
        <f>IFERROR(AB155*VLOOKUP(E155,'Hệ số'!$A$2:$D$8,3,0),"")</f>
        <v/>
      </c>
      <c r="AJ155" s="51">
        <f>IFERROR(AB155*VLOOKUP(E155,'Hệ số'!$A$2:$D$8,4,0)*IF((I155-2)&gt;=2,1.2,IF((I155-2)=1,1,IF((I155-2)=0,0.85,IF((I155-2)=-1,0.5,IF((I155-2)=-2,0.25,0.1))))),"")</f>
        <v/>
      </c>
      <c r="AK155" s="41" t="inlineStr">
        <is>
          <t>Bắn loạt; đạn nổ trên không (Mảnh) mạnh với máy bay và drone, yếu với giáp; đạn xuyên (Động năng) mạnh với giáp 0–2.</t>
        </is>
      </c>
      <c r="AL155" s="41" t="inlineStr">
        <is>
          <t>Tự đổi: đạn xuyên (Động năng) với xe, đạn nổ trên không (Mảnh) với máy bay/drone.</t>
        </is>
      </c>
      <c r="AM155" s="41" t="inlineStr">
        <is>
          <t>ZU-23-2: 2.000 phát/phút cả cặp; tầm 2,5 km</t>
        </is>
      </c>
      <c r="AN155" s="41" t="inlineStr">
        <is>
          <t>ZU-23-2 thật 2.000 phát/phút, hộp 50 viên, tầm 2,5 km; hiện tầm quá ngắn nên máy bay bắn trước.</t>
        </is>
      </c>
      <c r="AO155" s="47" t="inlineStr">
        <is>
          <t>Cao</t>
        </is>
      </c>
    </row>
  </sheetData>
  <autoFilter ref="A1:AO15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M3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30" customWidth="1" style="31" min="2" max="2"/>
    <col width="10" customWidth="1" style="31" min="3" max="3"/>
    <col width="20" customWidth="1" style="31" min="4" max="4"/>
    <col width="30" customWidth="1" style="31" min="5" max="5"/>
    <col width="9" customWidth="1" style="31" min="6" max="12"/>
    <col width="60" customWidth="1" style="31" min="13" max="13"/>
  </cols>
  <sheetData>
    <row r="1" ht="42" customHeight="1" s="32">
      <c r="A1" s="37" t="inlineStr">
        <is>
          <t>Đơn vị id</t>
        </is>
      </c>
      <c r="B1" s="37" t="inlineStr">
        <is>
          <t>Đơn vị</t>
        </is>
      </c>
      <c r="C1" s="37" t="inlineStr">
        <is>
          <t>Nhóm</t>
        </is>
      </c>
      <c r="D1" s="37" t="inlineStr">
        <is>
          <t>Vũ khí id</t>
        </is>
      </c>
      <c r="E1" s="37" t="inlineStr">
        <is>
          <t>Vũ khí</t>
        </is>
      </c>
      <c r="F1" s="45" t="inlineStr">
        <is>
          <t>Giữ trong đề xuất (1/0)</t>
        </is>
      </c>
      <c r="G1" s="44" t="inlineStr">
        <is>
          <t>DPS duy trì hiện</t>
        </is>
      </c>
      <c r="H1" s="45" t="inlineStr">
        <is>
          <t>DPS duy trì đề xuất</t>
        </is>
      </c>
      <c r="I1" s="37" t="inlineStr">
        <is>
          <t>vs giáp 1 (xe nhẹ)</t>
        </is>
      </c>
      <c r="J1" s="37" t="inlineStr">
        <is>
          <t>vs giáp 3 (xe tăng)</t>
        </is>
      </c>
      <c r="K1" s="37" t="inlineStr">
        <is>
          <t>trên không</t>
        </is>
      </c>
      <c r="L1" s="37" t="inlineStr">
        <is>
          <t>công trình</t>
        </is>
      </c>
      <c r="M1" s="37" t="inlineStr">
        <is>
          <t>Ghi chú thay đổi bộ vũ khí</t>
        </is>
      </c>
    </row>
    <row r="2" ht="15" customHeight="1" s="32">
      <c r="A2" s="39" t="inlineStr">
        <is>
          <t>hover_gunboat</t>
        </is>
      </c>
      <c r="B2" s="39" t="inlineStr">
        <is>
          <t>Xuồng cao tốc đệm khí</t>
        </is>
      </c>
      <c r="C2" s="39" t="inlineStr">
        <is>
          <t>Xe</t>
        </is>
      </c>
      <c r="D2" s="39" t="inlineStr">
        <is>
          <t>hover_ciws</t>
        </is>
      </c>
      <c r="E2" s="39" t="inlineStr">
        <is>
          <t>AK-630 30 mm</t>
        </is>
      </c>
      <c r="F2" s="42" t="n">
        <v>1</v>
      </c>
      <c r="G2" s="50">
        <f>IFERROR(VLOOKUP(D2,'Vũ khí đề xuất'!$A:$AO,27,0),"")</f>
        <v/>
      </c>
      <c r="H2" s="50">
        <f>IFERROR(VLOOKUP(D2,'Vũ khí đề xuất'!$A:$AO,28,0),"")</f>
        <v/>
      </c>
      <c r="I2" s="50">
        <f>IFERROR(VLOOKUP(D2,'Vũ khí đề xuất'!$A:$AO,30,0),"")</f>
        <v/>
      </c>
      <c r="J2" s="50">
        <f>IFERROR(VLOOKUP(D2,'Vũ khí đề xuất'!$A:$AO,32,0),"")</f>
        <v/>
      </c>
      <c r="K2" s="50">
        <f>IFERROR(VLOOKUP(D2,'Vũ khí đề xuất'!$A:$AO,35,0),"")</f>
        <v/>
      </c>
      <c r="L2" s="50">
        <f>IFERROR(VLOOKUP(D2,'Vũ khí đề xuất'!$A:$AO,36,0),"")</f>
        <v/>
      </c>
      <c r="M2" s="39" t="n"/>
    </row>
    <row r="3" ht="15" customHeight="1" s="32">
      <c r="A3" s="41" t="inlineStr">
        <is>
          <t>armored_car</t>
        </is>
      </c>
      <c r="B3" s="41" t="inlineStr">
        <is>
          <t>Xe bọc thép</t>
        </is>
      </c>
      <c r="C3" s="41" t="inlineStr">
        <is>
          <t>Xe</t>
        </is>
      </c>
      <c r="D3" s="41" t="inlineStr">
        <is>
          <t>autocannon_25</t>
        </is>
      </c>
      <c r="E3" s="41" t="inlineStr">
        <is>
          <t>M242 Bushmaster 25 mm</t>
        </is>
      </c>
      <c r="F3" s="43" t="n">
        <v>1</v>
      </c>
      <c r="G3" s="51">
        <f>IFERROR(VLOOKUP(D3,'Vũ khí đề xuất'!$A:$AO,27,0),"")</f>
        <v/>
      </c>
      <c r="H3" s="51">
        <f>IFERROR(VLOOKUP(D3,'Vũ khí đề xuất'!$A:$AO,28,0),"")</f>
        <v/>
      </c>
      <c r="I3" s="51">
        <f>IFERROR(VLOOKUP(D3,'Vũ khí đề xuất'!$A:$AO,30,0),"")</f>
        <v/>
      </c>
      <c r="J3" s="51">
        <f>IFERROR(VLOOKUP(D3,'Vũ khí đề xuất'!$A:$AO,32,0),"")</f>
        <v/>
      </c>
      <c r="K3" s="51">
        <f>IFERROR(VLOOKUP(D3,'Vũ khí đề xuất'!$A:$AO,35,0),"")</f>
        <v/>
      </c>
      <c r="L3" s="51">
        <f>IFERROR(VLOOKUP(D3,'Vũ khí đề xuất'!$A:$AO,36,0),"")</f>
        <v/>
      </c>
      <c r="M3" s="41" t="n"/>
    </row>
    <row r="4" ht="15" customHeight="1" s="32">
      <c r="A4" s="39" t="inlineStr">
        <is>
          <t>armored_car</t>
        </is>
      </c>
      <c r="B4" s="39" t="inlineStr">
        <is>
          <t>Xe bọc thép</t>
        </is>
      </c>
      <c r="C4" s="39" t="inlineStr">
        <is>
          <t>Xe</t>
        </is>
      </c>
      <c r="D4" s="39" t="inlineStr">
        <is>
          <t>mg_coax</t>
        </is>
      </c>
      <c r="E4" s="39" t="inlineStr">
        <is>
          <t>PKT / M240 7.62 mm</t>
        </is>
      </c>
      <c r="F4" s="42" t="n">
        <v>1</v>
      </c>
      <c r="G4" s="50">
        <f>IFERROR(VLOOKUP(D4,'Vũ khí đề xuất'!$A:$AO,27,0),"")</f>
        <v/>
      </c>
      <c r="H4" s="50">
        <f>IFERROR(VLOOKUP(D4,'Vũ khí đề xuất'!$A:$AO,28,0),"")</f>
        <v/>
      </c>
      <c r="I4" s="50">
        <f>IFERROR(VLOOKUP(D4,'Vũ khí đề xuất'!$A:$AO,30,0),"")</f>
        <v/>
      </c>
      <c r="J4" s="50">
        <f>IFERROR(VLOOKUP(D4,'Vũ khí đề xuất'!$A:$AO,32,0),"")</f>
        <v/>
      </c>
      <c r="K4" s="50">
        <f>IFERROR(VLOOKUP(D4,'Vũ khí đề xuất'!$A:$AO,35,0),"")</f>
        <v/>
      </c>
      <c r="L4" s="50">
        <f>IFERROR(VLOOKUP(D4,'Vũ khí đề xuất'!$A:$AO,36,0),"")</f>
        <v/>
      </c>
      <c r="M4" s="39" t="n"/>
    </row>
    <row r="5" ht="15" customHeight="1" s="32">
      <c r="A5" s="41" t="inlineStr">
        <is>
          <t>ifv</t>
        </is>
      </c>
      <c r="B5" s="41" t="inlineStr">
        <is>
          <t>Xe chiến đấu bộ binh</t>
        </is>
      </c>
      <c r="C5" s="41" t="inlineStr">
        <is>
          <t>Xe</t>
        </is>
      </c>
      <c r="D5" s="41" t="inlineStr">
        <is>
          <t>ifv_30</t>
        </is>
      </c>
      <c r="E5" s="41" t="inlineStr">
        <is>
          <t>2A42 30 mm</t>
        </is>
      </c>
      <c r="F5" s="43" t="n">
        <v>1</v>
      </c>
      <c r="G5" s="51">
        <f>IFERROR(VLOOKUP(D5,'Vũ khí đề xuất'!$A:$AO,27,0),"")</f>
        <v/>
      </c>
      <c r="H5" s="51">
        <f>IFERROR(VLOOKUP(D5,'Vũ khí đề xuất'!$A:$AO,28,0),"")</f>
        <v/>
      </c>
      <c r="I5" s="51">
        <f>IFERROR(VLOOKUP(D5,'Vũ khí đề xuất'!$A:$AO,30,0),"")</f>
        <v/>
      </c>
      <c r="J5" s="51">
        <f>IFERROR(VLOOKUP(D5,'Vũ khí đề xuất'!$A:$AO,32,0),"")</f>
        <v/>
      </c>
      <c r="K5" s="51">
        <f>IFERROR(VLOOKUP(D5,'Vũ khí đề xuất'!$A:$AO,35,0),"")</f>
        <v/>
      </c>
      <c r="L5" s="51">
        <f>IFERROR(VLOOKUP(D5,'Vũ khí đề xuất'!$A:$AO,36,0),"")</f>
        <v/>
      </c>
      <c r="M5" s="41" t="n"/>
    </row>
    <row r="6" ht="15" customHeight="1" s="32">
      <c r="A6" s="39" t="inlineStr">
        <is>
          <t>ifv</t>
        </is>
      </c>
      <c r="B6" s="39" t="inlineStr">
        <is>
          <t>Xe chiến đấu bộ binh</t>
        </is>
      </c>
      <c r="C6" s="39" t="inlineStr">
        <is>
          <t>Xe</t>
        </is>
      </c>
      <c r="D6" s="39" t="inlineStr">
        <is>
          <t>mg_coax</t>
        </is>
      </c>
      <c r="E6" s="39" t="inlineStr">
        <is>
          <t>PKT / M240 7.62 mm</t>
        </is>
      </c>
      <c r="F6" s="42" t="n">
        <v>1</v>
      </c>
      <c r="G6" s="50">
        <f>IFERROR(VLOOKUP(D6,'Vũ khí đề xuất'!$A:$AO,27,0),"")</f>
        <v/>
      </c>
      <c r="H6" s="50">
        <f>IFERROR(VLOOKUP(D6,'Vũ khí đề xuất'!$A:$AO,28,0),"")</f>
        <v/>
      </c>
      <c r="I6" s="50">
        <f>IFERROR(VLOOKUP(D6,'Vũ khí đề xuất'!$A:$AO,30,0),"")</f>
        <v/>
      </c>
      <c r="J6" s="50">
        <f>IFERROR(VLOOKUP(D6,'Vũ khí đề xuất'!$A:$AO,32,0),"")</f>
        <v/>
      </c>
      <c r="K6" s="50">
        <f>IFERROR(VLOOKUP(D6,'Vũ khí đề xuất'!$A:$AO,35,0),"")</f>
        <v/>
      </c>
      <c r="L6" s="50">
        <f>IFERROR(VLOOKUP(D6,'Vũ khí đề xuất'!$A:$AO,36,0),"")</f>
        <v/>
      </c>
      <c r="M6" s="39" t="n"/>
    </row>
    <row r="7" ht="15" customHeight="1" s="32">
      <c r="A7" s="41" t="inlineStr">
        <is>
          <t>ifv</t>
        </is>
      </c>
      <c r="B7" s="41" t="inlineStr">
        <is>
          <t>Xe chiến đấu bộ binh</t>
        </is>
      </c>
      <c r="C7" s="41" t="inlineStr">
        <is>
          <t>Xe</t>
        </is>
      </c>
      <c r="D7" s="41" t="inlineStr">
        <is>
          <t>atgm</t>
        </is>
      </c>
      <c r="E7" s="41" t="inlineStr">
        <is>
          <t>BGM-71 TOW-2</t>
        </is>
      </c>
      <c r="F7" s="43" t="n">
        <v>1</v>
      </c>
      <c r="G7" s="51">
        <f>IFERROR(VLOOKUP(D7,'Vũ khí đề xuất'!$A:$AO,27,0),"")</f>
        <v/>
      </c>
      <c r="H7" s="51">
        <f>IFERROR(VLOOKUP(D7,'Vũ khí đề xuất'!$A:$AO,28,0),"")</f>
        <v/>
      </c>
      <c r="I7" s="51">
        <f>IFERROR(VLOOKUP(D7,'Vũ khí đề xuất'!$A:$AO,30,0),"")</f>
        <v/>
      </c>
      <c r="J7" s="51">
        <f>IFERROR(VLOOKUP(D7,'Vũ khí đề xuất'!$A:$AO,32,0),"")</f>
        <v/>
      </c>
      <c r="K7" s="51">
        <f>IFERROR(VLOOKUP(D7,'Vũ khí đề xuất'!$A:$AO,35,0),"")</f>
        <v/>
      </c>
      <c r="L7" s="51">
        <f>IFERROR(VLOOKUP(D7,'Vũ khí đề xuất'!$A:$AO,36,0),"")</f>
        <v/>
      </c>
      <c r="M7" s="41" t="n"/>
    </row>
    <row r="8" ht="15" customHeight="1" s="32">
      <c r="A8" s="39" t="inlineStr">
        <is>
          <t>supply_truck</t>
        </is>
      </c>
      <c r="B8" s="39" t="inlineStr">
        <is>
          <t>Xe tiếp tế</t>
        </is>
      </c>
      <c r="C8" s="39" t="inlineStr">
        <is>
          <t>Xe</t>
        </is>
      </c>
      <c r="D8" s="39" t="inlineStr">
        <is>
          <t>mg_jeep</t>
        </is>
      </c>
      <c r="E8" s="39" t="inlineStr">
        <is>
          <t>M2 Browning 12.7 mm</t>
        </is>
      </c>
      <c r="F8" s="42" t="n">
        <v>1</v>
      </c>
      <c r="G8" s="50">
        <f>IFERROR(VLOOKUP(D8,'Vũ khí đề xuất'!$A:$AO,27,0),"")</f>
        <v/>
      </c>
      <c r="H8" s="50">
        <f>IFERROR(VLOOKUP(D8,'Vũ khí đề xuất'!$A:$AO,28,0),"")</f>
        <v/>
      </c>
      <c r="I8" s="50">
        <f>IFERROR(VLOOKUP(D8,'Vũ khí đề xuất'!$A:$AO,30,0),"")</f>
        <v/>
      </c>
      <c r="J8" s="50">
        <f>IFERROR(VLOOKUP(D8,'Vũ khí đề xuất'!$A:$AO,32,0),"")</f>
        <v/>
      </c>
      <c r="K8" s="50">
        <f>IFERROR(VLOOKUP(D8,'Vũ khí đề xuất'!$A:$AO,35,0),"")</f>
        <v/>
      </c>
      <c r="L8" s="50">
        <f>IFERROR(VLOOKUP(D8,'Vũ khí đề xuất'!$A:$AO,36,0),"")</f>
        <v/>
      </c>
      <c r="M8" s="39" t="n"/>
    </row>
    <row r="9" ht="15" customHeight="1" s="32">
      <c r="A9" s="41" t="inlineStr">
        <is>
          <t>engineer_vehicle</t>
        </is>
      </c>
      <c r="B9" s="41" t="inlineStr">
        <is>
          <t>Xe công binh</t>
        </is>
      </c>
      <c r="C9" s="41" t="inlineStr">
        <is>
          <t>Xe</t>
        </is>
      </c>
      <c r="D9" s="41" t="inlineStr">
        <is>
          <t>hmg_selfdef_15</t>
        </is>
      </c>
      <c r="E9" s="41" t="inlineStr">
        <is>
          <t>M2 Browning 12.7 mm</t>
        </is>
      </c>
      <c r="F9" s="43" t="n">
        <v>1</v>
      </c>
      <c r="G9" s="51">
        <f>IFERROR(VLOOKUP(D9,'Vũ khí đề xuất'!$A:$AO,27,0),"")</f>
        <v/>
      </c>
      <c r="H9" s="51">
        <f>IFERROR(VLOOKUP(D9,'Vũ khí đề xuất'!$A:$AO,28,0),"")</f>
        <v/>
      </c>
      <c r="I9" s="51">
        <f>IFERROR(VLOOKUP(D9,'Vũ khí đề xuất'!$A:$AO,30,0),"")</f>
        <v/>
      </c>
      <c r="J9" s="51">
        <f>IFERROR(VLOOKUP(D9,'Vũ khí đề xuất'!$A:$AO,32,0),"")</f>
        <v/>
      </c>
      <c r="K9" s="51">
        <f>IFERROR(VLOOKUP(D9,'Vũ khí đề xuất'!$A:$AO,35,0),"")</f>
        <v/>
      </c>
      <c r="L9" s="51">
        <f>IFERROR(VLOOKUP(D9,'Vũ khí đề xuất'!$A:$AO,36,0),"")</f>
        <v/>
      </c>
      <c r="M9" s="41" t="n"/>
    </row>
    <row r="10" ht="15" customHeight="1" s="32">
      <c r="A10" s="39"/>
      <c r="B10" s="39"/>
      <c r="C10" s="39"/>
      <c r="D10" s="39"/>
      <c r="E10" s="39"/>
      <c r="F10" s="42"/>
      <c r="G10" s="50"/>
      <c r="H10" s="50"/>
      <c r="I10" s="50"/>
      <c r="J10" s="50"/>
      <c r="K10" s="50"/>
      <c r="L10" s="50"/>
      <c r="M10" s="39"/>
    </row>
    <row r="11" ht="15" customHeight="1" s="32">
      <c r="A11" s="41" t="inlineStr">
        <is>
          <t>ammo_carrier</t>
        </is>
      </c>
      <c r="B11" s="41" t="inlineStr">
        <is>
          <t>Xe tiếp đạn</t>
        </is>
      </c>
      <c r="C11" s="41" t="inlineStr">
        <is>
          <t>Xe</t>
        </is>
      </c>
      <c r="D11" s="41" t="inlineStr">
        <is>
          <t>hmg_selfdef_15</t>
        </is>
      </c>
      <c r="E11" s="41" t="inlineStr">
        <is>
          <t>M2 Browning 12.7 mm</t>
        </is>
      </c>
      <c r="F11" s="43" t="n">
        <v>1</v>
      </c>
      <c r="G11" s="51">
        <f>IFERROR(VLOOKUP(D11,'Vũ khí đề xuất'!$A:$AO,27,0),"")</f>
        <v/>
      </c>
      <c r="H11" s="51">
        <f>IFERROR(VLOOKUP(D11,'Vũ khí đề xuất'!$A:$AO,28,0),"")</f>
        <v/>
      </c>
      <c r="I11" s="51">
        <f>IFERROR(VLOOKUP(D11,'Vũ khí đề xuất'!$A:$AO,30,0),"")</f>
        <v/>
      </c>
      <c r="J11" s="51">
        <f>IFERROR(VLOOKUP(D11,'Vũ khí đề xuất'!$A:$AO,32,0),"")</f>
        <v/>
      </c>
      <c r="K11" s="51">
        <f>IFERROR(VLOOKUP(D11,'Vũ khí đề xuất'!$A:$AO,35,0),"")</f>
        <v/>
      </c>
      <c r="L11" s="51">
        <f>IFERROR(VLOOKUP(D11,'Vũ khí đề xuất'!$A:$AO,36,0),"")</f>
        <v/>
      </c>
      <c r="M11" s="41" t="n"/>
    </row>
    <row r="12" ht="15" customHeight="1" s="32">
      <c r="A12" s="39"/>
      <c r="B12" s="39"/>
      <c r="C12" s="39"/>
      <c r="D12" s="39"/>
      <c r="E12" s="39"/>
      <c r="F12" s="42"/>
      <c r="G12" s="50"/>
      <c r="H12" s="50"/>
      <c r="I12" s="50"/>
      <c r="J12" s="50"/>
      <c r="K12" s="50"/>
      <c r="L12" s="50"/>
      <c r="M12" s="39"/>
    </row>
    <row r="13" ht="15" customHeight="1" s="32">
      <c r="A13" s="41" t="inlineStr">
        <is>
          <t>ew_jammer</t>
        </is>
      </c>
      <c r="B13" s="41" t="inlineStr">
        <is>
          <t>Xe tác chiến điện tử</t>
        </is>
      </c>
      <c r="C13" s="41" t="inlineStr">
        <is>
          <t>Xe</t>
        </is>
      </c>
      <c r="D13" s="41" t="inlineStr">
        <is>
          <t>hmg_selfdef_15</t>
        </is>
      </c>
      <c r="E13" s="41" t="inlineStr">
        <is>
          <t>M2 Browning 12.7 mm</t>
        </is>
      </c>
      <c r="F13" s="43" t="n">
        <v>1</v>
      </c>
      <c r="G13" s="51">
        <f>IFERROR(VLOOKUP(D13,'Vũ khí đề xuất'!$A:$AO,27,0),"")</f>
        <v/>
      </c>
      <c r="H13" s="51">
        <f>IFERROR(VLOOKUP(D13,'Vũ khí đề xuất'!$A:$AO,28,0),"")</f>
        <v/>
      </c>
      <c r="I13" s="51">
        <f>IFERROR(VLOOKUP(D13,'Vũ khí đề xuất'!$A:$AO,30,0),"")</f>
        <v/>
      </c>
      <c r="J13" s="51">
        <f>IFERROR(VLOOKUP(D13,'Vũ khí đề xuất'!$A:$AO,32,0),"")</f>
        <v/>
      </c>
      <c r="K13" s="51">
        <f>IFERROR(VLOOKUP(D13,'Vũ khí đề xuất'!$A:$AO,35,0),"")</f>
        <v/>
      </c>
      <c r="L13" s="51">
        <f>IFERROR(VLOOKUP(D13,'Vũ khí đề xuất'!$A:$AO,36,0),"")</f>
        <v/>
      </c>
      <c r="M13" s="41" t="n"/>
    </row>
    <row r="14" ht="15" customHeight="1" s="32">
      <c r="A14" s="39" t="inlineStr">
        <is>
          <t>mine_layer</t>
        </is>
      </c>
      <c r="B14" s="39" t="inlineStr">
        <is>
          <t>Xe rải mìn</t>
        </is>
      </c>
      <c r="C14" s="39" t="inlineStr">
        <is>
          <t>Xe</t>
        </is>
      </c>
      <c r="D14" s="39" t="inlineStr">
        <is>
          <t>hmg_selfdef_15</t>
        </is>
      </c>
      <c r="E14" s="39" t="inlineStr">
        <is>
          <t>M2 Browning 12.7 mm</t>
        </is>
      </c>
      <c r="F14" s="42" t="n">
        <v>1</v>
      </c>
      <c r="G14" s="50">
        <f>IFERROR(VLOOKUP(D14,'Vũ khí đề xuất'!$A:$AO,27,0),"")</f>
        <v/>
      </c>
      <c r="H14" s="50">
        <f>IFERROR(VLOOKUP(D14,'Vũ khí đề xuất'!$A:$AO,28,0),"")</f>
        <v/>
      </c>
      <c r="I14" s="50">
        <f>IFERROR(VLOOKUP(D14,'Vũ khí đề xuất'!$A:$AO,30,0),"")</f>
        <v/>
      </c>
      <c r="J14" s="50">
        <f>IFERROR(VLOOKUP(D14,'Vũ khí đề xuất'!$A:$AO,32,0),"")</f>
        <v/>
      </c>
      <c r="K14" s="50">
        <f>IFERROR(VLOOKUP(D14,'Vũ khí đề xuất'!$A:$AO,35,0),"")</f>
        <v/>
      </c>
      <c r="L14" s="50">
        <f>IFERROR(VLOOKUP(D14,'Vũ khí đề xuất'!$A:$AO,36,0),"")</f>
        <v/>
      </c>
      <c r="M14" s="39" t="n"/>
    </row>
    <row r="15" ht="15" customHeight="1" s="32">
      <c r="A15" s="41" t="inlineStr">
        <is>
          <t>command_vehicle</t>
        </is>
      </c>
      <c r="B15" s="41" t="inlineStr">
        <is>
          <t>Xe chỉ huy</t>
        </is>
      </c>
      <c r="C15" s="41" t="inlineStr">
        <is>
          <t>Xe</t>
        </is>
      </c>
      <c r="D15" s="41" t="inlineStr">
        <is>
          <t>hmg_selfdef_15</t>
        </is>
      </c>
      <c r="E15" s="41" t="inlineStr">
        <is>
          <t>M2 Browning 12.7 mm</t>
        </is>
      </c>
      <c r="F15" s="43" t="n">
        <v>1</v>
      </c>
      <c r="G15" s="51">
        <f>IFERROR(VLOOKUP(D15,'Vũ khí đề xuất'!$A:$AO,27,0),"")</f>
        <v/>
      </c>
      <c r="H15" s="51">
        <f>IFERROR(VLOOKUP(D15,'Vũ khí đề xuất'!$A:$AO,28,0),"")</f>
        <v/>
      </c>
      <c r="I15" s="51">
        <f>IFERROR(VLOOKUP(D15,'Vũ khí đề xuất'!$A:$AO,30,0),"")</f>
        <v/>
      </c>
      <c r="J15" s="51">
        <f>IFERROR(VLOOKUP(D15,'Vũ khí đề xuất'!$A:$AO,32,0),"")</f>
        <v/>
      </c>
      <c r="K15" s="51">
        <f>IFERROR(VLOOKUP(D15,'Vũ khí đề xuất'!$A:$AO,35,0),"")</f>
        <v/>
      </c>
      <c r="L15" s="51">
        <f>IFERROR(VLOOKUP(D15,'Vũ khí đề xuất'!$A:$AO,36,0),"")</f>
        <v/>
      </c>
      <c r="M15" s="41" t="n"/>
    </row>
    <row r="16" ht="15" customHeight="1" s="32">
      <c r="A16" s="39" t="inlineStr">
        <is>
          <t>shield_carrier</t>
        </is>
      </c>
      <c r="B16" s="39" t="inlineStr">
        <is>
          <t>Xe phát khiên</t>
        </is>
      </c>
      <c r="C16" s="39" t="inlineStr">
        <is>
          <t>Xe</t>
        </is>
      </c>
      <c r="D16" s="39" t="inlineStr">
        <is>
          <t>hmg_selfdef_15</t>
        </is>
      </c>
      <c r="E16" s="39" t="inlineStr">
        <is>
          <t>M2 Browning 12.7 mm</t>
        </is>
      </c>
      <c r="F16" s="42" t="n">
        <v>1</v>
      </c>
      <c r="G16" s="50">
        <f>IFERROR(VLOOKUP(D16,'Vũ khí đề xuất'!$A:$AO,27,0),"")</f>
        <v/>
      </c>
      <c r="H16" s="50">
        <f>IFERROR(VLOOKUP(D16,'Vũ khí đề xuất'!$A:$AO,28,0),"")</f>
        <v/>
      </c>
      <c r="I16" s="50">
        <f>IFERROR(VLOOKUP(D16,'Vũ khí đề xuất'!$A:$AO,30,0),"")</f>
        <v/>
      </c>
      <c r="J16" s="50">
        <f>IFERROR(VLOOKUP(D16,'Vũ khí đề xuất'!$A:$AO,32,0),"")</f>
        <v/>
      </c>
      <c r="K16" s="50">
        <f>IFERROR(VLOOKUP(D16,'Vũ khí đề xuất'!$A:$AO,35,0),"")</f>
        <v/>
      </c>
      <c r="L16" s="50">
        <f>IFERROR(VLOOKUP(D16,'Vũ khí đề xuất'!$A:$AO,36,0),"")</f>
        <v/>
      </c>
      <c r="M16" s="39" t="n"/>
    </row>
    <row r="17" ht="15" customHeight="1" s="32">
      <c r="A17" s="41" t="inlineStr">
        <is>
          <t>scout_jeep</t>
        </is>
      </c>
      <c r="B17" s="41" t="inlineStr">
        <is>
          <t>Xe trinh sát</t>
        </is>
      </c>
      <c r="C17" s="41" t="inlineStr">
        <is>
          <t>Xe</t>
        </is>
      </c>
      <c r="D17" s="41" t="inlineStr">
        <is>
          <t>mg_jeep</t>
        </is>
      </c>
      <c r="E17" s="41" t="inlineStr">
        <is>
          <t>M2 Browning 12.7 mm</t>
        </is>
      </c>
      <c r="F17" s="43" t="n">
        <v>1</v>
      </c>
      <c r="G17" s="51">
        <f>IFERROR(VLOOKUP(D17,'Vũ khí đề xuất'!$A:$AO,27,0),"")</f>
        <v/>
      </c>
      <c r="H17" s="51">
        <f>IFERROR(VLOOKUP(D17,'Vũ khí đề xuất'!$A:$AO,28,0),"")</f>
        <v/>
      </c>
      <c r="I17" s="51">
        <f>IFERROR(VLOOKUP(D17,'Vũ khí đề xuất'!$A:$AO,30,0),"")</f>
        <v/>
      </c>
      <c r="J17" s="51">
        <f>IFERROR(VLOOKUP(D17,'Vũ khí đề xuất'!$A:$AO,32,0),"")</f>
        <v/>
      </c>
      <c r="K17" s="51">
        <f>IFERROR(VLOOKUP(D17,'Vũ khí đề xuất'!$A:$AO,35,0),"")</f>
        <v/>
      </c>
      <c r="L17" s="51">
        <f>IFERROR(VLOOKUP(D17,'Vũ khí đề xuất'!$A:$AO,36,0),"")</f>
        <v/>
      </c>
      <c r="M17" s="41" t="n"/>
    </row>
    <row r="18" ht="15" customHeight="1" s="32">
      <c r="A18" s="39" t="inlineStr">
        <is>
          <t>vbied</t>
        </is>
      </c>
      <c r="B18" s="39" t="inlineStr">
        <is>
          <t>Xe bom tự sát bọc thép</t>
        </is>
      </c>
      <c r="C18" s="39" t="inlineStr">
        <is>
          <t>Xe</t>
        </is>
      </c>
      <c r="D18" s="39" t="inlineStr">
        <is>
          <t>detonator</t>
        </is>
      </c>
      <c r="E18" s="39" t="inlineStr">
        <is>
          <t>car bomb (900 kg) 900 mm</t>
        </is>
      </c>
      <c r="F18" s="42" t="n">
        <v>1</v>
      </c>
      <c r="G18" s="50">
        <f>IFERROR(VLOOKUP(D18,'Vũ khí đề xuất'!$A:$AO,27,0),"")</f>
        <v/>
      </c>
      <c r="H18" s="50">
        <f>IFERROR(VLOOKUP(D18,'Vũ khí đề xuất'!$A:$AO,28,0),"")</f>
        <v/>
      </c>
      <c r="I18" s="50">
        <f>IFERROR(VLOOKUP(D18,'Vũ khí đề xuất'!$A:$AO,30,0),"")</f>
        <v/>
      </c>
      <c r="J18" s="50">
        <f>IFERROR(VLOOKUP(D18,'Vũ khí đề xuất'!$A:$AO,32,0),"")</f>
        <v/>
      </c>
      <c r="K18" s="50">
        <f>IFERROR(VLOOKUP(D18,'Vũ khí đề xuất'!$A:$AO,35,0),"")</f>
        <v/>
      </c>
      <c r="L18" s="50">
        <f>IFERROR(VLOOKUP(D18,'Vũ khí đề xuất'!$A:$AO,36,0),"")</f>
        <v/>
      </c>
      <c r="M18" s="39" t="n"/>
    </row>
    <row r="19" ht="32.25" customHeight="1" s="32">
      <c r="A19" s="41" t="inlineStr">
        <is>
          <t>light_tank</t>
        </is>
      </c>
      <c r="B19" s="41" t="inlineStr">
        <is>
          <t>Tăng hạng nhẹ</t>
        </is>
      </c>
      <c r="C19" s="41" t="inlineStr">
        <is>
          <t>Xe</t>
        </is>
      </c>
      <c r="D19" s="41" t="inlineStr">
        <is>
          <t>gun_57mm</t>
        </is>
      </c>
      <c r="E19" s="41" t="inlineStr">
        <is>
          <t>S-60 57 mm (2A91)</t>
        </is>
      </c>
      <c r="F19" s="43" t="n">
        <v>1</v>
      </c>
      <c r="G19" s="51">
        <f>IFERROR(VLOOKUP(D19,'Vũ khí đề xuất'!$A:$AO,27,0),"")</f>
        <v/>
      </c>
      <c r="H19" s="51">
        <f>IFERROR(VLOOKUP(D19,'Vũ khí đề xuất'!$A:$AO,28,0),"")</f>
        <v/>
      </c>
      <c r="I19" s="51">
        <f>IFERROR(VLOOKUP(D19,'Vũ khí đề xuất'!$A:$AO,30,0),"")</f>
        <v/>
      </c>
      <c r="J19" s="51">
        <f>IFERROR(VLOOKUP(D19,'Vũ khí đề xuất'!$A:$AO,32,0),"")</f>
        <v/>
      </c>
      <c r="K19" s="51">
        <f>IFERROR(VLOOKUP(D19,'Vũ khí đề xuất'!$A:$AO,35,0),"")</f>
        <v/>
      </c>
      <c r="L19" s="51">
        <f>IFERROR(VLOOKUP(D19,'Vũ khí đề xuất'!$A:$AO,36,0),"")</f>
        <v/>
      </c>
      <c r="M19" s="41" t="inlineStr">
        <is>
          <t>Thêm tên lửa bắn qua nòng (1 quả × 200, xuyên 3, mỗi 20 s, tầm 34) — ZBD-05 và nhiều tăng nhẹ bắn được tên lửa qua nòng; cho tăng nhẹ một cách đối phó xe giáp.</t>
        </is>
      </c>
    </row>
    <row r="20" ht="32.25" customHeight="1" s="32">
      <c r="A20" s="39" t="inlineStr">
        <is>
          <t>light_tank</t>
        </is>
      </c>
      <c r="B20" s="39" t="inlineStr">
        <is>
          <t>Tăng hạng nhẹ</t>
        </is>
      </c>
      <c r="C20" s="39" t="inlineStr">
        <is>
          <t>Xe</t>
        </is>
      </c>
      <c r="D20" s="39" t="inlineStr">
        <is>
          <t>mg_coax</t>
        </is>
      </c>
      <c r="E20" s="39" t="inlineStr">
        <is>
          <t>PKT / M240 7.62 mm</t>
        </is>
      </c>
      <c r="F20" s="42" t="n">
        <v>1</v>
      </c>
      <c r="G20" s="50">
        <f>IFERROR(VLOOKUP(D20,'Vũ khí đề xuất'!$A:$AO,27,0),"")</f>
        <v/>
      </c>
      <c r="H20" s="50">
        <f>IFERROR(VLOOKUP(D20,'Vũ khí đề xuất'!$A:$AO,28,0),"")</f>
        <v/>
      </c>
      <c r="I20" s="50">
        <f>IFERROR(VLOOKUP(D20,'Vũ khí đề xuất'!$A:$AO,30,0),"")</f>
        <v/>
      </c>
      <c r="J20" s="50">
        <f>IFERROR(VLOOKUP(D20,'Vũ khí đề xuất'!$A:$AO,32,0),"")</f>
        <v/>
      </c>
      <c r="K20" s="50">
        <f>IFERROR(VLOOKUP(D20,'Vũ khí đề xuất'!$A:$AO,35,0),"")</f>
        <v/>
      </c>
      <c r="L20" s="50">
        <f>IFERROR(VLOOKUP(D20,'Vũ khí đề xuất'!$A:$AO,36,0),"")</f>
        <v/>
      </c>
      <c r="M20" s="39" t="inlineStr">
        <is>
          <t>Thêm tên lửa bắn qua nòng (1 quả × 200, xuyên 3, mỗi 20 s, tầm 34) — ZBD-05 và nhiều tăng nhẹ bắn được tên lửa qua nòng; cho tăng nhẹ một cách đối phó xe giáp.</t>
        </is>
      </c>
    </row>
    <row r="21" ht="15" customHeight="1" s="32">
      <c r="A21" s="41" t="inlineStr">
        <is>
          <t>flame_tank</t>
        </is>
      </c>
      <c r="B21" s="41" t="inlineStr">
        <is>
          <t>Tăng phun lửa</t>
        </is>
      </c>
      <c r="C21" s="41" t="inlineStr">
        <is>
          <t>Xe</t>
        </is>
      </c>
      <c r="D21" s="41" t="inlineStr">
        <is>
          <t>flamethrower</t>
        </is>
      </c>
      <c r="E21" s="41" t="inlineStr">
        <is>
          <t>flamethrower</t>
        </is>
      </c>
      <c r="F21" s="43" t="n">
        <v>1</v>
      </c>
      <c r="G21" s="51">
        <f>IFERROR(VLOOKUP(D21,'Vũ khí đề xuất'!$A:$AO,27,0),"")</f>
        <v/>
      </c>
      <c r="H21" s="51">
        <f>IFERROR(VLOOKUP(D21,'Vũ khí đề xuất'!$A:$AO,28,0),"")</f>
        <v/>
      </c>
      <c r="I21" s="51">
        <f>IFERROR(VLOOKUP(D21,'Vũ khí đề xuất'!$A:$AO,30,0),"")</f>
        <v/>
      </c>
      <c r="J21" s="51">
        <f>IFERROR(VLOOKUP(D21,'Vũ khí đề xuất'!$A:$AO,32,0),"")</f>
        <v/>
      </c>
      <c r="K21" s="51">
        <f>IFERROR(VLOOKUP(D21,'Vũ khí đề xuất'!$A:$AO,35,0),"")</f>
        <v/>
      </c>
      <c r="L21" s="51">
        <f>IFERROR(VLOOKUP(D21,'Vũ khí đề xuất'!$A:$AO,36,0),"")</f>
        <v/>
      </c>
      <c r="M21" s="41" t="n"/>
    </row>
    <row r="22" ht="15" customHeight="1" s="32">
      <c r="A22" s="39" t="inlineStr">
        <is>
          <t>flame_tank</t>
        </is>
      </c>
      <c r="B22" s="39" t="inlineStr">
        <is>
          <t>Tăng phun lửa</t>
        </is>
      </c>
      <c r="C22" s="39" t="inlineStr">
        <is>
          <t>Xe</t>
        </is>
      </c>
      <c r="D22" s="39" t="inlineStr">
        <is>
          <t>mg_coax</t>
        </is>
      </c>
      <c r="E22" s="39" t="inlineStr">
        <is>
          <t>PKT / M240 7.62 mm</t>
        </is>
      </c>
      <c r="F22" s="42" t="n">
        <v>1</v>
      </c>
      <c r="G22" s="50">
        <f>IFERROR(VLOOKUP(D22,'Vũ khí đề xuất'!$A:$AO,27,0),"")</f>
        <v/>
      </c>
      <c r="H22" s="50">
        <f>IFERROR(VLOOKUP(D22,'Vũ khí đề xuất'!$A:$AO,28,0),"")</f>
        <v/>
      </c>
      <c r="I22" s="50">
        <f>IFERROR(VLOOKUP(D22,'Vũ khí đề xuất'!$A:$AO,30,0),"")</f>
        <v/>
      </c>
      <c r="J22" s="50">
        <f>IFERROR(VLOOKUP(D22,'Vũ khí đề xuất'!$A:$AO,32,0),"")</f>
        <v/>
      </c>
      <c r="K22" s="50">
        <f>IFERROR(VLOOKUP(D22,'Vũ khí đề xuất'!$A:$AO,35,0),"")</f>
        <v/>
      </c>
      <c r="L22" s="50">
        <f>IFERROR(VLOOKUP(D22,'Vũ khí đề xuất'!$A:$AO,36,0),"")</f>
        <v/>
      </c>
      <c r="M22" s="39" t="n"/>
    </row>
    <row r="23" ht="15" customHeight="1" s="32">
      <c r="A23" s="41"/>
      <c r="B23" s="41"/>
      <c r="C23" s="41"/>
      <c r="D23" s="41"/>
      <c r="E23" s="41"/>
      <c r="F23" s="43"/>
      <c r="G23" s="51"/>
      <c r="H23" s="51"/>
      <c r="I23" s="51"/>
      <c r="J23" s="51"/>
      <c r="K23" s="51"/>
      <c r="L23" s="51"/>
      <c r="M23" s="41"/>
    </row>
    <row r="24" ht="15" customHeight="1" s="32">
      <c r="A24" s="39"/>
      <c r="B24" s="39"/>
      <c r="C24" s="39"/>
      <c r="D24" s="39"/>
      <c r="E24" s="39"/>
      <c r="F24" s="42"/>
      <c r="G24" s="50"/>
      <c r="H24" s="50"/>
      <c r="I24" s="50"/>
      <c r="J24" s="50"/>
      <c r="K24" s="50"/>
      <c r="L24" s="50"/>
      <c r="M24" s="39"/>
    </row>
    <row r="25" ht="15" customHeight="1" s="32">
      <c r="A25" s="41"/>
      <c r="B25" s="41"/>
      <c r="C25" s="41"/>
      <c r="D25" s="41"/>
      <c r="E25" s="41"/>
      <c r="F25" s="43"/>
      <c r="G25" s="51"/>
      <c r="H25" s="51"/>
      <c r="I25" s="51"/>
      <c r="J25" s="51"/>
      <c r="K25" s="51"/>
      <c r="L25" s="51"/>
      <c r="M25" s="41"/>
    </row>
    <row r="26" ht="15" customHeight="1" s="32">
      <c r="A26" s="39"/>
      <c r="B26" s="39"/>
      <c r="C26" s="39"/>
      <c r="D26" s="39"/>
      <c r="E26" s="39"/>
      <c r="F26" s="42"/>
      <c r="G26" s="50"/>
      <c r="H26" s="50"/>
      <c r="I26" s="50"/>
      <c r="J26" s="50"/>
      <c r="K26" s="50"/>
      <c r="L26" s="50"/>
      <c r="M26" s="39"/>
    </row>
    <row r="27" ht="15" customHeight="1" s="32">
      <c r="A27" s="41"/>
      <c r="B27" s="41"/>
      <c r="C27" s="41"/>
      <c r="D27" s="41"/>
      <c r="E27" s="41"/>
      <c r="F27" s="43"/>
      <c r="G27" s="51"/>
      <c r="H27" s="51"/>
      <c r="I27" s="51"/>
      <c r="J27" s="51"/>
      <c r="K27" s="51"/>
      <c r="L27" s="51"/>
      <c r="M27" s="41"/>
    </row>
    <row r="28" ht="15" customHeight="1" s="32">
      <c r="A28" s="39"/>
      <c r="B28" s="39"/>
      <c r="C28" s="39"/>
      <c r="D28" s="39"/>
      <c r="E28" s="39"/>
      <c r="F28" s="42"/>
      <c r="G28" s="50"/>
      <c r="H28" s="50"/>
      <c r="I28" s="50"/>
      <c r="J28" s="50"/>
      <c r="K28" s="50"/>
      <c r="L28" s="50"/>
      <c r="M28" s="39"/>
    </row>
    <row r="29" ht="15" customHeight="1" s="32">
      <c r="A29" s="41"/>
      <c r="B29" s="41"/>
      <c r="C29" s="41"/>
      <c r="D29" s="41"/>
      <c r="E29" s="41"/>
      <c r="F29" s="43"/>
      <c r="G29" s="51"/>
      <c r="H29" s="51"/>
      <c r="I29" s="51"/>
      <c r="J29" s="51"/>
      <c r="K29" s="51"/>
      <c r="L29" s="51"/>
      <c r="M29" s="41"/>
    </row>
    <row r="30" ht="15" customHeight="1" s="32">
      <c r="A30" s="39" t="inlineStr">
        <is>
          <t>rocket_technical</t>
        </is>
      </c>
      <c r="B30" s="39" t="inlineStr">
        <is>
          <t>Bán tải rốc-két</t>
        </is>
      </c>
      <c r="C30" s="39" t="inlineStr">
        <is>
          <t>Xe</t>
        </is>
      </c>
      <c r="D30" s="39" t="inlineStr">
        <is>
          <t>technical_rockets</t>
        </is>
      </c>
      <c r="E30" s="39" t="inlineStr">
        <is>
          <t>Type 63 107 mm</t>
        </is>
      </c>
      <c r="F30" s="42" t="n">
        <v>1</v>
      </c>
      <c r="G30" s="50">
        <f>IFERROR(VLOOKUP(D30,'Vũ khí đề xuất'!$A:$AO,27,0),"")</f>
        <v/>
      </c>
      <c r="H30" s="50">
        <f>IFERROR(VLOOKUP(D30,'Vũ khí đề xuất'!$A:$AO,28,0),"")</f>
        <v/>
      </c>
      <c r="I30" s="50">
        <f>IFERROR(VLOOKUP(D30,'Vũ khí đề xuất'!$A:$AO,30,0),"")</f>
        <v/>
      </c>
      <c r="J30" s="50">
        <f>IFERROR(VLOOKUP(D30,'Vũ khí đề xuất'!$A:$AO,32,0),"")</f>
        <v/>
      </c>
      <c r="K30" s="50">
        <f>IFERROR(VLOOKUP(D30,'Vũ khí đề xuất'!$A:$AO,35,0),"")</f>
        <v/>
      </c>
      <c r="L30" s="50">
        <f>IFERROR(VLOOKUP(D30,'Vũ khí đề xuất'!$A:$AO,36,0),"")</f>
        <v/>
      </c>
      <c r="M30" s="39" t="n"/>
    </row>
    <row r="31" ht="15" customHeight="1" s="32">
      <c r="A31" s="41" t="inlineStr">
        <is>
          <t>rocket_technical</t>
        </is>
      </c>
      <c r="B31" s="41" t="inlineStr">
        <is>
          <t>Bán tải rốc-két</t>
        </is>
      </c>
      <c r="C31" s="41" t="inlineStr">
        <is>
          <t>Xe</t>
        </is>
      </c>
      <c r="D31" s="41" t="inlineStr">
        <is>
          <t>mg_jeep_selfdef</t>
        </is>
      </c>
      <c r="E31" s="41" t="inlineStr">
        <is>
          <t>M2 Browning 12.7 mm</t>
        </is>
      </c>
      <c r="F31" s="43" t="n">
        <v>1</v>
      </c>
      <c r="G31" s="51">
        <f>IFERROR(VLOOKUP(D31,'Vũ khí đề xuất'!$A:$AO,27,0),"")</f>
        <v/>
      </c>
      <c r="H31" s="51">
        <f>IFERROR(VLOOKUP(D31,'Vũ khí đề xuất'!$A:$AO,28,0),"")</f>
        <v/>
      </c>
      <c r="I31" s="51">
        <f>IFERROR(VLOOKUP(D31,'Vũ khí đề xuất'!$A:$AO,30,0),"")</f>
        <v/>
      </c>
      <c r="J31" s="51">
        <f>IFERROR(VLOOKUP(D31,'Vũ khí đề xuất'!$A:$AO,32,0),"")</f>
        <v/>
      </c>
      <c r="K31" s="51">
        <f>IFERROR(VLOOKUP(D31,'Vũ khí đề xuất'!$A:$AO,35,0),"")</f>
        <v/>
      </c>
      <c r="L31" s="51">
        <f>IFERROR(VLOOKUP(D31,'Vũ khí đề xuất'!$A:$AO,36,0),"")</f>
        <v/>
      </c>
      <c r="M31" s="41" t="n"/>
    </row>
    <row r="32" ht="15" customHeight="1" s="32">
      <c r="A32" s="39" t="inlineStr">
        <is>
          <t>mortar_carrier</t>
        </is>
      </c>
      <c r="B32" s="39" t="inlineStr">
        <is>
          <t>Xe súng cối</t>
        </is>
      </c>
      <c r="C32" s="39" t="inlineStr">
        <is>
          <t>Xe</t>
        </is>
      </c>
      <c r="D32" s="39" t="inlineStr">
        <is>
          <t>mortar_120</t>
        </is>
      </c>
      <c r="E32" s="39" t="inlineStr">
        <is>
          <t>2B11 120 mm</t>
        </is>
      </c>
      <c r="F32" s="42" t="n">
        <v>1</v>
      </c>
      <c r="G32" s="50">
        <f>IFERROR(VLOOKUP(D32,'Vũ khí đề xuất'!$A:$AO,27,0),"")</f>
        <v/>
      </c>
      <c r="H32" s="50">
        <f>IFERROR(VLOOKUP(D32,'Vũ khí đề xuất'!$A:$AO,28,0),"")</f>
        <v/>
      </c>
      <c r="I32" s="50">
        <f>IFERROR(VLOOKUP(D32,'Vũ khí đề xuất'!$A:$AO,30,0),"")</f>
        <v/>
      </c>
      <c r="J32" s="50">
        <f>IFERROR(VLOOKUP(D32,'Vũ khí đề xuất'!$A:$AO,32,0),"")</f>
        <v/>
      </c>
      <c r="K32" s="50">
        <f>IFERROR(VLOOKUP(D32,'Vũ khí đề xuất'!$A:$AO,35,0),"")</f>
        <v/>
      </c>
      <c r="L32" s="50">
        <f>IFERROR(VLOOKUP(D32,'Vũ khí đề xuất'!$A:$AO,36,0),"")</f>
        <v/>
      </c>
      <c r="M32" s="39" t="n"/>
    </row>
    <row r="33" ht="15" customHeight="1" s="32">
      <c r="A33" s="41" t="inlineStr">
        <is>
          <t>mortar_carrier</t>
        </is>
      </c>
      <c r="B33" s="41" t="inlineStr">
        <is>
          <t>Xe súng cối</t>
        </is>
      </c>
      <c r="C33" s="41" t="inlineStr">
        <is>
          <t>Xe</t>
        </is>
      </c>
      <c r="D33" s="41" t="inlineStr">
        <is>
          <t>hmg_selfdef_18</t>
        </is>
      </c>
      <c r="E33" s="41" t="inlineStr">
        <is>
          <t>M2 Browning 12.7 mm</t>
        </is>
      </c>
      <c r="F33" s="43" t="n">
        <v>1</v>
      </c>
      <c r="G33" s="51">
        <f>IFERROR(VLOOKUP(D33,'Vũ khí đề xuất'!$A:$AO,27,0),"")</f>
        <v/>
      </c>
      <c r="H33" s="51">
        <f>IFERROR(VLOOKUP(D33,'Vũ khí đề xuất'!$A:$AO,28,0),"")</f>
        <v/>
      </c>
      <c r="I33" s="51">
        <f>IFERROR(VLOOKUP(D33,'Vũ khí đề xuất'!$A:$AO,30,0),"")</f>
        <v/>
      </c>
      <c r="J33" s="51">
        <f>IFERROR(VLOOKUP(D33,'Vũ khí đề xuất'!$A:$AO,32,0),"")</f>
        <v/>
      </c>
      <c r="K33" s="51">
        <f>IFERROR(VLOOKUP(D33,'Vũ khí đề xuất'!$A:$AO,35,0),"")</f>
        <v/>
      </c>
      <c r="L33" s="51">
        <f>IFERROR(VLOOKUP(D33,'Vũ khí đề xuất'!$A:$AO,36,0),"")</f>
        <v/>
      </c>
      <c r="M33" s="41" t="n"/>
    </row>
    <row r="34" ht="15" customHeight="1" s="32">
      <c r="A34" s="39" t="inlineStr">
        <is>
          <t>artillery</t>
        </is>
      </c>
      <c r="B34" s="39" t="inlineStr">
        <is>
          <t>Pháo tự hành</t>
        </is>
      </c>
      <c r="C34" s="39" t="inlineStr">
        <is>
          <t>Xe</t>
        </is>
      </c>
      <c r="D34" s="39" t="inlineStr">
        <is>
          <t>howitzer</t>
        </is>
      </c>
      <c r="E34" s="39" t="inlineStr">
        <is>
          <t>M284 155 mm</t>
        </is>
      </c>
      <c r="F34" s="42" t="n">
        <v>1</v>
      </c>
      <c r="G34" s="50">
        <f>IFERROR(VLOOKUP(D34,'Vũ khí đề xuất'!$A:$AO,27,0),"")</f>
        <v/>
      </c>
      <c r="H34" s="50">
        <f>IFERROR(VLOOKUP(D34,'Vũ khí đề xuất'!$A:$AO,28,0),"")</f>
        <v/>
      </c>
      <c r="I34" s="50">
        <f>IFERROR(VLOOKUP(D34,'Vũ khí đề xuất'!$A:$AO,30,0),"")</f>
        <v/>
      </c>
      <c r="J34" s="50">
        <f>IFERROR(VLOOKUP(D34,'Vũ khí đề xuất'!$A:$AO,32,0),"")</f>
        <v/>
      </c>
      <c r="K34" s="50">
        <f>IFERROR(VLOOKUP(D34,'Vũ khí đề xuất'!$A:$AO,35,0),"")</f>
        <v/>
      </c>
      <c r="L34" s="50">
        <f>IFERROR(VLOOKUP(D34,'Vũ khí đề xuất'!$A:$AO,36,0),"")</f>
        <v/>
      </c>
      <c r="M34" s="39" t="n"/>
    </row>
    <row r="35" ht="15" customHeight="1" s="32">
      <c r="A35" s="41" t="inlineStr">
        <is>
          <t>artillery</t>
        </is>
      </c>
      <c r="B35" s="41" t="inlineStr">
        <is>
          <t>Pháo tự hành</t>
        </is>
      </c>
      <c r="C35" s="41" t="inlineStr">
        <is>
          <t>Xe</t>
        </is>
      </c>
      <c r="D35" s="41" t="inlineStr">
        <is>
          <t>hmg_selfdef_15</t>
        </is>
      </c>
      <c r="E35" s="41" t="inlineStr">
        <is>
          <t>M2 Browning 12.7 mm</t>
        </is>
      </c>
      <c r="F35" s="43" t="n">
        <v>1</v>
      </c>
      <c r="G35" s="51">
        <f>IFERROR(VLOOKUP(D35,'Vũ khí đề xuất'!$A:$AO,27,0),"")</f>
        <v/>
      </c>
      <c r="H35" s="51">
        <f>IFERROR(VLOOKUP(D35,'Vũ khí đề xuất'!$A:$AO,28,0),"")</f>
        <v/>
      </c>
      <c r="I35" s="51">
        <f>IFERROR(VLOOKUP(D35,'Vũ khí đề xuất'!$A:$AO,30,0),"")</f>
        <v/>
      </c>
      <c r="J35" s="51">
        <f>IFERROR(VLOOKUP(D35,'Vũ khí đề xuất'!$A:$AO,32,0),"")</f>
        <v/>
      </c>
      <c r="K35" s="51">
        <f>IFERROR(VLOOKUP(D35,'Vũ khí đề xuất'!$A:$AO,35,0),"")</f>
        <v/>
      </c>
      <c r="L35" s="51">
        <f>IFERROR(VLOOKUP(D35,'Vũ khí đề xuất'!$A:$AO,36,0),"")</f>
        <v/>
      </c>
      <c r="M35" s="41" t="n"/>
    </row>
    <row r="36" ht="21.75" customHeight="1" s="32">
      <c r="A36" s="39" t="inlineStr">
        <is>
          <t>mlrs</t>
        </is>
      </c>
      <c r="B36" s="39" t="inlineStr">
        <is>
          <t>Pháo phản lực</t>
        </is>
      </c>
      <c r="C36" s="39" t="inlineStr">
        <is>
          <t>Xe</t>
        </is>
      </c>
      <c r="D36" s="39" t="inlineStr">
        <is>
          <t>mlrs_rockets</t>
        </is>
      </c>
      <c r="E36" s="39" t="inlineStr">
        <is>
          <t>M31 GMLRS 227 mm</t>
        </is>
      </c>
      <c r="F36" s="42" t="n">
        <v>1</v>
      </c>
      <c r="G36" s="50">
        <f>IFERROR(VLOOKUP(D36,'Vũ khí đề xuất'!$A:$AO,27,0),"")</f>
        <v/>
      </c>
      <c r="H36" s="50">
        <f>IFERROR(VLOOKUP(D36,'Vũ khí đề xuất'!$A:$AO,28,0),"")</f>
        <v/>
      </c>
      <c r="I36" s="50">
        <f>IFERROR(VLOOKUP(D36,'Vũ khí đề xuất'!$A:$AO,30,0),"")</f>
        <v/>
      </c>
      <c r="J36" s="50">
        <f>IFERROR(VLOOKUP(D36,'Vũ khí đề xuất'!$A:$AO,32,0),"")</f>
        <v/>
      </c>
      <c r="K36" s="50">
        <f>IFERROR(VLOOKUP(D36,'Vũ khí đề xuất'!$A:$AO,35,0),"")</f>
        <v/>
      </c>
      <c r="L36" s="50">
        <f>IFERROR(VLOOKUP(D36,'Vũ khí đề xuất'!$A:$AO,36,0),"")</f>
        <v/>
      </c>
      <c r="M36" s="39" t="inlineStr">
        <is>
          <t>Bỏ súng máy M2 — HIMARS thường không mang súng máy; tăng rủi ro khi bị áp sát.</t>
        </is>
      </c>
    </row>
    <row r="37" ht="21.75" customHeight="1" s="32">
      <c r="A37" s="41" t="inlineStr">
        <is>
          <t>mlrs</t>
        </is>
      </c>
      <c r="B37" s="41" t="inlineStr">
        <is>
          <t>Pháo phản lực</t>
        </is>
      </c>
      <c r="C37" s="41" t="inlineStr">
        <is>
          <t>Xe</t>
        </is>
      </c>
      <c r="D37" s="41" t="inlineStr">
        <is>
          <t>hmg_selfdef_15</t>
        </is>
      </c>
      <c r="E37" s="41" t="inlineStr">
        <is>
          <t>M2 Browning 12.7 mm</t>
        </is>
      </c>
      <c r="F37" s="43" t="n">
        <v>0</v>
      </c>
      <c r="G37" s="51">
        <f>IFERROR(VLOOKUP(D37,'Vũ khí đề xuất'!$A:$AO,27,0),"")</f>
        <v/>
      </c>
      <c r="H37" s="51">
        <f>IFERROR(VLOOKUP(D37,'Vũ khí đề xuất'!$A:$AO,28,0),"")</f>
        <v/>
      </c>
      <c r="I37" s="51">
        <f>IFERROR(VLOOKUP(D37,'Vũ khí đề xuất'!$A:$AO,30,0),"")</f>
        <v/>
      </c>
      <c r="J37" s="51">
        <f>IFERROR(VLOOKUP(D37,'Vũ khí đề xuất'!$A:$AO,32,0),"")</f>
        <v/>
      </c>
      <c r="K37" s="51">
        <f>IFERROR(VLOOKUP(D37,'Vũ khí đề xuất'!$A:$AO,35,0),"")</f>
        <v/>
      </c>
      <c r="L37" s="51">
        <f>IFERROR(VLOOKUP(D37,'Vũ khí đề xuất'!$A:$AO,36,0),"")</f>
        <v/>
      </c>
      <c r="M37" s="41" t="inlineStr">
        <is>
          <t>Bỏ súng máy M2 — HIMARS thường không mang súng máy; tăng rủi ro khi bị áp sát.</t>
        </is>
      </c>
    </row>
    <row r="38" ht="15" customHeight="1" s="32">
      <c r="A38" s="39" t="inlineStr">
        <is>
          <t>shahed_truck</t>
        </is>
      </c>
      <c r="B38" s="39" t="inlineStr">
        <is>
          <t>Xe phóng Shahed</t>
        </is>
      </c>
      <c r="C38" s="39" t="inlineStr">
        <is>
          <t>Xe</t>
        </is>
      </c>
      <c r="D38" s="39" t="inlineStr">
        <is>
          <t>shahed</t>
        </is>
      </c>
      <c r="E38" s="39" t="inlineStr">
        <is>
          <t>Shahed-136 (50 kg)</t>
        </is>
      </c>
      <c r="F38" s="42" t="n">
        <v>1</v>
      </c>
      <c r="G38" s="50">
        <f>IFERROR(VLOOKUP(D38,'Vũ khí đề xuất'!$A:$AO,27,0),"")</f>
        <v/>
      </c>
      <c r="H38" s="50">
        <f>IFERROR(VLOOKUP(D38,'Vũ khí đề xuất'!$A:$AO,28,0),"")</f>
        <v/>
      </c>
      <c r="I38" s="50">
        <f>IFERROR(VLOOKUP(D38,'Vũ khí đề xuất'!$A:$AO,30,0),"")</f>
        <v/>
      </c>
      <c r="J38" s="50">
        <f>IFERROR(VLOOKUP(D38,'Vũ khí đề xuất'!$A:$AO,32,0),"")</f>
        <v/>
      </c>
      <c r="K38" s="50">
        <f>IFERROR(VLOOKUP(D38,'Vũ khí đề xuất'!$A:$AO,35,0),"")</f>
        <v/>
      </c>
      <c r="L38" s="50">
        <f>IFERROR(VLOOKUP(D38,'Vũ khí đề xuất'!$A:$AO,36,0),"")</f>
        <v/>
      </c>
      <c r="M38" s="39" t="n"/>
    </row>
    <row r="39" ht="15" customHeight="1" s="32">
      <c r="A39" s="41" t="inlineStr">
        <is>
          <t>shahed_truck</t>
        </is>
      </c>
      <c r="B39" s="41" t="inlineStr">
        <is>
          <t>Xe phóng Shahed</t>
        </is>
      </c>
      <c r="C39" s="41" t="inlineStr">
        <is>
          <t>Xe</t>
        </is>
      </c>
      <c r="D39" s="41" t="inlineStr">
        <is>
          <t>hmg_selfdef_15</t>
        </is>
      </c>
      <c r="E39" s="41" t="inlineStr">
        <is>
          <t>M2 Browning 12.7 mm</t>
        </is>
      </c>
      <c r="F39" s="43" t="n">
        <v>1</v>
      </c>
      <c r="G39" s="51">
        <f>IFERROR(VLOOKUP(D39,'Vũ khí đề xuất'!$A:$AO,27,0),"")</f>
        <v/>
      </c>
      <c r="H39" s="51">
        <f>IFERROR(VLOOKUP(D39,'Vũ khí đề xuất'!$A:$AO,28,0),"")</f>
        <v/>
      </c>
      <c r="I39" s="51">
        <f>IFERROR(VLOOKUP(D39,'Vũ khí đề xuất'!$A:$AO,30,0),"")</f>
        <v/>
      </c>
      <c r="J39" s="51">
        <f>IFERROR(VLOOKUP(D39,'Vũ khí đề xuất'!$A:$AO,32,0),"")</f>
        <v/>
      </c>
      <c r="K39" s="51">
        <f>IFERROR(VLOOKUP(D39,'Vũ khí đề xuất'!$A:$AO,35,0),"")</f>
        <v/>
      </c>
      <c r="L39" s="51">
        <f>IFERROR(VLOOKUP(D39,'Vũ khí đề xuất'!$A:$AO,36,0),"")</f>
        <v/>
      </c>
      <c r="M39" s="41" t="n"/>
    </row>
    <row r="40" ht="15" customHeight="1" s="32">
      <c r="A40" s="39" t="inlineStr">
        <is>
          <t>thermobaric_launcher</t>
        </is>
      </c>
      <c r="B40" s="39" t="inlineStr">
        <is>
          <t>Pháo phản lực nhiệt áp</t>
        </is>
      </c>
      <c r="C40" s="39" t="inlineStr">
        <is>
          <t>Xe</t>
        </is>
      </c>
      <c r="D40" s="39" t="inlineStr">
        <is>
          <t>thermobaric_rockets</t>
        </is>
      </c>
      <c r="E40" s="39" t="inlineStr">
        <is>
          <t>TOS-1A 220 mm thermobaric</t>
        </is>
      </c>
      <c r="F40" s="42" t="n">
        <v>1</v>
      </c>
      <c r="G40" s="50">
        <f>IFERROR(VLOOKUP(D40,'Vũ khí đề xuất'!$A:$AO,27,0),"")</f>
        <v/>
      </c>
      <c r="H40" s="50">
        <f>IFERROR(VLOOKUP(D40,'Vũ khí đề xuất'!$A:$AO,28,0),"")</f>
        <v/>
      </c>
      <c r="I40" s="50">
        <f>IFERROR(VLOOKUP(D40,'Vũ khí đề xuất'!$A:$AO,30,0),"")</f>
        <v/>
      </c>
      <c r="J40" s="50">
        <f>IFERROR(VLOOKUP(D40,'Vũ khí đề xuất'!$A:$AO,32,0),"")</f>
        <v/>
      </c>
      <c r="K40" s="50">
        <f>IFERROR(VLOOKUP(D40,'Vũ khí đề xuất'!$A:$AO,35,0),"")</f>
        <v/>
      </c>
      <c r="L40" s="50">
        <f>IFERROR(VLOOKUP(D40,'Vũ khí đề xuất'!$A:$AO,36,0),"")</f>
        <v/>
      </c>
      <c r="M40" s="39" t="n"/>
    </row>
    <row r="41" ht="15" customHeight="1" s="32">
      <c r="A41" s="41" t="inlineStr">
        <is>
          <t>thermobaric_launcher</t>
        </is>
      </c>
      <c r="B41" s="41" t="inlineStr">
        <is>
          <t>Pháo phản lực nhiệt áp</t>
        </is>
      </c>
      <c r="C41" s="41" t="inlineStr">
        <is>
          <t>Xe</t>
        </is>
      </c>
      <c r="D41" s="41" t="inlineStr">
        <is>
          <t>hmg_selfdef_18</t>
        </is>
      </c>
      <c r="E41" s="41" t="inlineStr">
        <is>
          <t>M2 Browning 12.7 mm</t>
        </is>
      </c>
      <c r="F41" s="43" t="n">
        <v>1</v>
      </c>
      <c r="G41" s="51">
        <f>IFERROR(VLOOKUP(D41,'Vũ khí đề xuất'!$A:$AO,27,0),"")</f>
        <v/>
      </c>
      <c r="H41" s="51">
        <f>IFERROR(VLOOKUP(D41,'Vũ khí đề xuất'!$A:$AO,28,0),"")</f>
        <v/>
      </c>
      <c r="I41" s="51">
        <f>IFERROR(VLOOKUP(D41,'Vũ khí đề xuất'!$A:$AO,30,0),"")</f>
        <v/>
      </c>
      <c r="J41" s="51">
        <f>IFERROR(VLOOKUP(D41,'Vũ khí đề xuất'!$A:$AO,32,0),"")</f>
        <v/>
      </c>
      <c r="K41" s="51">
        <f>IFERROR(VLOOKUP(D41,'Vũ khí đề xuất'!$A:$AO,35,0),"")</f>
        <v/>
      </c>
      <c r="L41" s="51">
        <f>IFERROR(VLOOKUP(D41,'Vũ khí đề xuất'!$A:$AO,36,0),"")</f>
        <v/>
      </c>
      <c r="M41" s="41" t="n"/>
    </row>
    <row r="42" ht="15" customHeight="1" s="32">
      <c r="A42" s="39" t="inlineStr">
        <is>
          <t>ballistic_launcher</t>
        </is>
      </c>
      <c r="B42" s="39" t="inlineStr">
        <is>
          <t>Xe phóng tên lửa đạn đạo</t>
        </is>
      </c>
      <c r="C42" s="39" t="inlineStr">
        <is>
          <t>Xe</t>
        </is>
      </c>
      <c r="D42" s="39" t="inlineStr">
        <is>
          <t>ballistic_missile</t>
        </is>
      </c>
      <c r="E42" s="39" t="inlineStr">
        <is>
          <t>9M723 Iskander (700 kg)</t>
        </is>
      </c>
      <c r="F42" s="42" t="n">
        <v>1</v>
      </c>
      <c r="G42" s="50">
        <f>IFERROR(VLOOKUP(D42,'Vũ khí đề xuất'!$A:$AO,27,0),"")</f>
        <v/>
      </c>
      <c r="H42" s="50">
        <f>IFERROR(VLOOKUP(D42,'Vũ khí đề xuất'!$A:$AO,28,0),"")</f>
        <v/>
      </c>
      <c r="I42" s="50">
        <f>IFERROR(VLOOKUP(D42,'Vũ khí đề xuất'!$A:$AO,30,0),"")</f>
        <v/>
      </c>
      <c r="J42" s="50">
        <f>IFERROR(VLOOKUP(D42,'Vũ khí đề xuất'!$A:$AO,32,0),"")</f>
        <v/>
      </c>
      <c r="K42" s="50">
        <f>IFERROR(VLOOKUP(D42,'Vũ khí đề xuất'!$A:$AO,35,0),"")</f>
        <v/>
      </c>
      <c r="L42" s="50">
        <f>IFERROR(VLOOKUP(D42,'Vũ khí đề xuất'!$A:$AO,36,0),"")</f>
        <v/>
      </c>
      <c r="M42" s="39" t="inlineStr">
        <is>
          <t>Bỏ súng máy M2 — Iskander không có súng máy tự vệ.</t>
        </is>
      </c>
    </row>
    <row r="43" ht="15" customHeight="1" s="32">
      <c r="A43" s="41" t="inlineStr">
        <is>
          <t>ballistic_launcher</t>
        </is>
      </c>
      <c r="B43" s="41" t="inlineStr">
        <is>
          <t>Xe phóng tên lửa đạn đạo</t>
        </is>
      </c>
      <c r="C43" s="41" t="inlineStr">
        <is>
          <t>Xe</t>
        </is>
      </c>
      <c r="D43" s="41" t="inlineStr">
        <is>
          <t>hmg_selfdef_15</t>
        </is>
      </c>
      <c r="E43" s="41" t="inlineStr">
        <is>
          <t>M2 Browning 12.7 mm</t>
        </is>
      </c>
      <c r="F43" s="43" t="n">
        <v>0</v>
      </c>
      <c r="G43" s="51">
        <f>IFERROR(VLOOKUP(D43,'Vũ khí đề xuất'!$A:$AO,27,0),"")</f>
        <v/>
      </c>
      <c r="H43" s="51">
        <f>IFERROR(VLOOKUP(D43,'Vũ khí đề xuất'!$A:$AO,28,0),"")</f>
        <v/>
      </c>
      <c r="I43" s="51">
        <f>IFERROR(VLOOKUP(D43,'Vũ khí đề xuất'!$A:$AO,30,0),"")</f>
        <v/>
      </c>
      <c r="J43" s="51">
        <f>IFERROR(VLOOKUP(D43,'Vũ khí đề xuất'!$A:$AO,32,0),"")</f>
        <v/>
      </c>
      <c r="K43" s="51">
        <f>IFERROR(VLOOKUP(D43,'Vũ khí đề xuất'!$A:$AO,35,0),"")</f>
        <v/>
      </c>
      <c r="L43" s="51">
        <f>IFERROR(VLOOKUP(D43,'Vũ khí đề xuất'!$A:$AO,36,0),"")</f>
        <v/>
      </c>
      <c r="M43" s="41" t="inlineStr">
        <is>
          <t>Bỏ súng máy M2 — Iskander không có súng máy tự vệ.</t>
        </is>
      </c>
    </row>
    <row r="44" ht="15" customHeight="1" s="32">
      <c r="A44" s="39" t="inlineStr">
        <is>
          <t>heavy_rocket_artillery</t>
        </is>
      </c>
      <c r="B44" s="39" t="inlineStr">
        <is>
          <t>Pháo phản lực hạng nặng</t>
        </is>
      </c>
      <c r="C44" s="39" t="inlineStr">
        <is>
          <t>Xe</t>
        </is>
      </c>
      <c r="D44" s="39" t="inlineStr">
        <is>
          <t>rockets_300mm</t>
        </is>
      </c>
      <c r="E44" s="39" t="inlineStr">
        <is>
          <t>9M55 Smerch 300 mm</t>
        </is>
      </c>
      <c r="F44" s="42" t="n">
        <v>1</v>
      </c>
      <c r="G44" s="50">
        <f>IFERROR(VLOOKUP(D44,'Vũ khí đề xuất'!$A:$AO,27,0),"")</f>
        <v/>
      </c>
      <c r="H44" s="50">
        <f>IFERROR(VLOOKUP(D44,'Vũ khí đề xuất'!$A:$AO,28,0),"")</f>
        <v/>
      </c>
      <c r="I44" s="50">
        <f>IFERROR(VLOOKUP(D44,'Vũ khí đề xuất'!$A:$AO,30,0),"")</f>
        <v/>
      </c>
      <c r="J44" s="50">
        <f>IFERROR(VLOOKUP(D44,'Vũ khí đề xuất'!$A:$AO,32,0),"")</f>
        <v/>
      </c>
      <c r="K44" s="50">
        <f>IFERROR(VLOOKUP(D44,'Vũ khí đề xuất'!$A:$AO,35,0),"")</f>
        <v/>
      </c>
      <c r="L44" s="50">
        <f>IFERROR(VLOOKUP(D44,'Vũ khí đề xuất'!$A:$AO,36,0),"")</f>
        <v/>
      </c>
      <c r="M44" s="39" t="inlineStr">
        <is>
          <t>Bỏ súng máy M2 — Smerch không có súng máy tự vệ.</t>
        </is>
      </c>
    </row>
    <row r="45" ht="15" customHeight="1" s="32">
      <c r="A45" s="41" t="inlineStr">
        <is>
          <t>heavy_rocket_artillery</t>
        </is>
      </c>
      <c r="B45" s="41" t="inlineStr">
        <is>
          <t>Pháo phản lực hạng nặng</t>
        </is>
      </c>
      <c r="C45" s="41" t="inlineStr">
        <is>
          <t>Xe</t>
        </is>
      </c>
      <c r="D45" s="41" t="inlineStr">
        <is>
          <t>hmg_selfdef_15</t>
        </is>
      </c>
      <c r="E45" s="41" t="inlineStr">
        <is>
          <t>M2 Browning 12.7 mm</t>
        </is>
      </c>
      <c r="F45" s="43" t="n">
        <v>0</v>
      </c>
      <c r="G45" s="51">
        <f>IFERROR(VLOOKUP(D45,'Vũ khí đề xuất'!$A:$AO,27,0),"")</f>
        <v/>
      </c>
      <c r="H45" s="51">
        <f>IFERROR(VLOOKUP(D45,'Vũ khí đề xuất'!$A:$AO,28,0),"")</f>
        <v/>
      </c>
      <c r="I45" s="51">
        <f>IFERROR(VLOOKUP(D45,'Vũ khí đề xuất'!$A:$AO,30,0),"")</f>
        <v/>
      </c>
      <c r="J45" s="51">
        <f>IFERROR(VLOOKUP(D45,'Vũ khí đề xuất'!$A:$AO,32,0),"")</f>
        <v/>
      </c>
      <c r="K45" s="51">
        <f>IFERROR(VLOOKUP(D45,'Vũ khí đề xuất'!$A:$AO,35,0),"")</f>
        <v/>
      </c>
      <c r="L45" s="51">
        <f>IFERROR(VLOOKUP(D45,'Vũ khí đề xuất'!$A:$AO,36,0),"")</f>
        <v/>
      </c>
      <c r="M45" s="41" t="inlineStr">
        <is>
          <t>Bỏ súng máy M2 — Smerch không có súng máy tự vệ.</t>
        </is>
      </c>
    </row>
    <row r="46" ht="15" customHeight="1" s="32">
      <c r="A46" s="39" t="inlineStr">
        <is>
          <t>siege_tank</t>
        </is>
      </c>
      <c r="B46" s="39" t="inlineStr">
        <is>
          <t>Tăng công thành</t>
        </is>
      </c>
      <c r="C46" s="39" t="inlineStr">
        <is>
          <t>Xe</t>
        </is>
      </c>
      <c r="D46" s="39" t="inlineStr">
        <is>
          <t>siege_mortar_240</t>
        </is>
      </c>
      <c r="E46" s="39" t="inlineStr">
        <is>
          <t>2B8 240 mm (siege tank)</t>
        </is>
      </c>
      <c r="F46" s="42" t="n">
        <v>1</v>
      </c>
      <c r="G46" s="50">
        <f>IFERROR(VLOOKUP(D46,'Vũ khí đề xuất'!$A:$AO,27,0),"")</f>
        <v/>
      </c>
      <c r="H46" s="50">
        <f>IFERROR(VLOOKUP(D46,'Vũ khí đề xuất'!$A:$AO,28,0),"")</f>
        <v/>
      </c>
      <c r="I46" s="50">
        <f>IFERROR(VLOOKUP(D46,'Vũ khí đề xuất'!$A:$AO,30,0),"")</f>
        <v/>
      </c>
      <c r="J46" s="50">
        <f>IFERROR(VLOOKUP(D46,'Vũ khí đề xuất'!$A:$AO,32,0),"")</f>
        <v/>
      </c>
      <c r="K46" s="50">
        <f>IFERROR(VLOOKUP(D46,'Vũ khí đề xuất'!$A:$AO,35,0),"")</f>
        <v/>
      </c>
      <c r="L46" s="50">
        <f>IFERROR(VLOOKUP(D46,'Vũ khí đề xuất'!$A:$AO,36,0),"")</f>
        <v/>
      </c>
      <c r="M46" s="39" t="n"/>
    </row>
    <row r="47" ht="15" customHeight="1" s="32">
      <c r="A47" s="41" t="inlineStr">
        <is>
          <t>siege_tank</t>
        </is>
      </c>
      <c r="B47" s="41" t="inlineStr">
        <is>
          <t>Tăng công thành</t>
        </is>
      </c>
      <c r="C47" s="41" t="inlineStr">
        <is>
          <t>Xe</t>
        </is>
      </c>
      <c r="D47" s="41" t="inlineStr">
        <is>
          <t>siege_gun_105</t>
        </is>
      </c>
      <c r="E47" s="41" t="inlineStr">
        <is>
          <t>L7 105 mm (siege tank)</t>
        </is>
      </c>
      <c r="F47" s="43" t="n">
        <v>1</v>
      </c>
      <c r="G47" s="51">
        <f>IFERROR(VLOOKUP(D47,'Vũ khí đề xuất'!$A:$AO,27,0),"")</f>
        <v/>
      </c>
      <c r="H47" s="51">
        <f>IFERROR(VLOOKUP(D47,'Vũ khí đề xuất'!$A:$AO,28,0),"")</f>
        <v/>
      </c>
      <c r="I47" s="51">
        <f>IFERROR(VLOOKUP(D47,'Vũ khí đề xuất'!$A:$AO,30,0),"")</f>
        <v/>
      </c>
      <c r="J47" s="51">
        <f>IFERROR(VLOOKUP(D47,'Vũ khí đề xuất'!$A:$AO,32,0),"")</f>
        <v/>
      </c>
      <c r="K47" s="51">
        <f>IFERROR(VLOOKUP(D47,'Vũ khí đề xuất'!$A:$AO,35,0),"")</f>
        <v/>
      </c>
      <c r="L47" s="51">
        <f>IFERROR(VLOOKUP(D47,'Vũ khí đề xuất'!$A:$AO,36,0),"")</f>
        <v/>
      </c>
      <c r="M47" s="41" t="n"/>
    </row>
    <row r="48" ht="15" customHeight="1" s="32">
      <c r="A48" s="39" t="inlineStr">
        <is>
          <t>siege_tank</t>
        </is>
      </c>
      <c r="B48" s="39" t="inlineStr">
        <is>
          <t>Tăng công thành</t>
        </is>
      </c>
      <c r="C48" s="39" t="inlineStr">
        <is>
          <t>Xe</t>
        </is>
      </c>
      <c r="D48" s="39" t="inlineStr">
        <is>
          <t>hmg_selfdef_21</t>
        </is>
      </c>
      <c r="E48" s="39" t="inlineStr">
        <is>
          <t>M2 Browning 12.7 mm</t>
        </is>
      </c>
      <c r="F48" s="42" t="n">
        <v>1</v>
      </c>
      <c r="G48" s="50">
        <f>IFERROR(VLOOKUP(D48,'Vũ khí đề xuất'!$A:$AO,27,0),"")</f>
        <v/>
      </c>
      <c r="H48" s="50">
        <f>IFERROR(VLOOKUP(D48,'Vũ khí đề xuất'!$A:$AO,28,0),"")</f>
        <v/>
      </c>
      <c r="I48" s="50">
        <f>IFERROR(VLOOKUP(D48,'Vũ khí đề xuất'!$A:$AO,30,0),"")</f>
        <v/>
      </c>
      <c r="J48" s="50">
        <f>IFERROR(VLOOKUP(D48,'Vũ khí đề xuất'!$A:$AO,32,0),"")</f>
        <v/>
      </c>
      <c r="K48" s="50">
        <f>IFERROR(VLOOKUP(D48,'Vũ khí đề xuất'!$A:$AO,35,0),"")</f>
        <v/>
      </c>
      <c r="L48" s="50">
        <f>IFERROR(VLOOKUP(D48,'Vũ khí đề xuất'!$A:$AO,36,0),"")</f>
        <v/>
      </c>
      <c r="M48" s="39" t="n"/>
    </row>
    <row r="49" ht="15" customHeight="1" s="32">
      <c r="A49" s="41" t="inlineStr">
        <is>
          <t>zu23_technical</t>
        </is>
      </c>
      <c r="B49" s="41" t="inlineStr">
        <is>
          <t>Bán tải ZU-23</t>
        </is>
      </c>
      <c r="C49" s="41" t="inlineStr">
        <is>
          <t>Xe</t>
        </is>
      </c>
      <c r="D49" s="41" t="inlineStr">
        <is>
          <t>zu23</t>
        </is>
      </c>
      <c r="E49" s="41" t="inlineStr">
        <is>
          <t>ZU-23-2 23 mm</t>
        </is>
      </c>
      <c r="F49" s="43" t="n">
        <v>1</v>
      </c>
      <c r="G49" s="51">
        <f>IFERROR(VLOOKUP(D49,'Vũ khí đề xuất'!$A:$AO,27,0),"")</f>
        <v/>
      </c>
      <c r="H49" s="51">
        <f>IFERROR(VLOOKUP(D49,'Vũ khí đề xuất'!$A:$AO,28,0),"")</f>
        <v/>
      </c>
      <c r="I49" s="51">
        <f>IFERROR(VLOOKUP(D49,'Vũ khí đề xuất'!$A:$AO,30,0),"")</f>
        <v/>
      </c>
      <c r="J49" s="51">
        <f>IFERROR(VLOOKUP(D49,'Vũ khí đề xuất'!$A:$AO,32,0),"")</f>
        <v/>
      </c>
      <c r="K49" s="51">
        <f>IFERROR(VLOOKUP(D49,'Vũ khí đề xuất'!$A:$AO,35,0),"")</f>
        <v/>
      </c>
      <c r="L49" s="51">
        <f>IFERROR(VLOOKUP(D49,'Vũ khí đề xuất'!$A:$AO,36,0),"")</f>
        <v/>
      </c>
      <c r="M49" s="41" t="n"/>
    </row>
    <row r="50" ht="15" customHeight="1" s="32">
      <c r="A50" s="39" t="inlineStr">
        <is>
          <t>aa_vehicle</t>
        </is>
      </c>
      <c r="B50" s="39" t="inlineStr">
        <is>
          <t>Xe phòng không</t>
        </is>
      </c>
      <c r="C50" s="39" t="inlineStr">
        <is>
          <t>Xe</t>
        </is>
      </c>
      <c r="D50" s="39" t="inlineStr">
        <is>
          <t>flak_35</t>
        </is>
      </c>
      <c r="E50" s="39" t="inlineStr">
        <is>
          <t>Oerlikon KDA 35 mm (Gepard)</t>
        </is>
      </c>
      <c r="F50" s="42" t="n">
        <v>1</v>
      </c>
      <c r="G50" s="50">
        <f>IFERROR(VLOOKUP(D50,'Vũ khí đề xuất'!$A:$AO,27,0),"")</f>
        <v/>
      </c>
      <c r="H50" s="50">
        <f>IFERROR(VLOOKUP(D50,'Vũ khí đề xuất'!$A:$AO,28,0),"")</f>
        <v/>
      </c>
      <c r="I50" s="50">
        <f>IFERROR(VLOOKUP(D50,'Vũ khí đề xuất'!$A:$AO,30,0),"")</f>
        <v/>
      </c>
      <c r="J50" s="50">
        <f>IFERROR(VLOOKUP(D50,'Vũ khí đề xuất'!$A:$AO,32,0),"")</f>
        <v/>
      </c>
      <c r="K50" s="50">
        <f>IFERROR(VLOOKUP(D50,'Vũ khí đề xuất'!$A:$AO,35,0),"")</f>
        <v/>
      </c>
      <c r="L50" s="50">
        <f>IFERROR(VLOOKUP(D50,'Vũ khí đề xuất'!$A:$AO,36,0),"")</f>
        <v/>
      </c>
      <c r="M50" s="39" t="inlineStr">
        <is>
          <t>Giữ Stinger phụ — Gepard bản nâng cấp có thể mang Stinger.</t>
        </is>
      </c>
    </row>
    <row r="51" ht="15" customHeight="1" s="32">
      <c r="A51" s="41" t="inlineStr">
        <is>
          <t>aa_vehicle</t>
        </is>
      </c>
      <c r="B51" s="41" t="inlineStr">
        <is>
          <t>Xe phòng không</t>
        </is>
      </c>
      <c r="C51" s="41" t="inlineStr">
        <is>
          <t>Xe</t>
        </is>
      </c>
      <c r="D51" s="41" t="inlineStr">
        <is>
          <t>sam</t>
        </is>
      </c>
      <c r="E51" s="41" t="inlineStr">
        <is>
          <t>Starstreak / Stinger SHORAD</t>
        </is>
      </c>
      <c r="F51" s="43" t="n">
        <v>1</v>
      </c>
      <c r="G51" s="51">
        <f>IFERROR(VLOOKUP(D51,'Vũ khí đề xuất'!$A:$AO,27,0),"")</f>
        <v/>
      </c>
      <c r="H51" s="51">
        <f>IFERROR(VLOOKUP(D51,'Vũ khí đề xuất'!$A:$AO,28,0),"")</f>
        <v/>
      </c>
      <c r="I51" s="51">
        <f>IFERROR(VLOOKUP(D51,'Vũ khí đề xuất'!$A:$AO,30,0),"")</f>
        <v/>
      </c>
      <c r="J51" s="51">
        <f>IFERROR(VLOOKUP(D51,'Vũ khí đề xuất'!$A:$AO,32,0),"")</f>
        <v/>
      </c>
      <c r="K51" s="51">
        <f>IFERROR(VLOOKUP(D51,'Vũ khí đề xuất'!$A:$AO,35,0),"")</f>
        <v/>
      </c>
      <c r="L51" s="51">
        <f>IFERROR(VLOOKUP(D51,'Vũ khí đề xuất'!$A:$AO,36,0),"")</f>
        <v/>
      </c>
      <c r="M51" s="41" t="inlineStr">
        <is>
          <t>Giữ Stinger phụ — Gepard bản nâng cấp có thể mang Stinger.</t>
        </is>
      </c>
    </row>
    <row r="52" ht="21.75" customHeight="1" s="32">
      <c r="A52" s="39" t="inlineStr">
        <is>
          <t>sam_launcher</t>
        </is>
      </c>
      <c r="B52" s="39" t="inlineStr">
        <is>
          <t>Tên lửa phòng không</t>
        </is>
      </c>
      <c r="C52" s="39" t="inlineStr">
        <is>
          <t>Xe</t>
        </is>
      </c>
      <c r="D52" s="39" t="inlineStr">
        <is>
          <t>buk_launcher</t>
        </is>
      </c>
      <c r="E52" s="39" t="inlineStr">
        <is>
          <t>9M317 Buk</t>
        </is>
      </c>
      <c r="F52" s="42" t="n">
        <v>1</v>
      </c>
      <c r="G52" s="50">
        <f>IFERROR(VLOOKUP(D52,'Vũ khí đề xuất'!$A:$AO,27,0),"")</f>
        <v/>
      </c>
      <c r="H52" s="50">
        <f>IFERROR(VLOOKUP(D52,'Vũ khí đề xuất'!$A:$AO,28,0),"")</f>
        <v/>
      </c>
      <c r="I52" s="50">
        <f>IFERROR(VLOOKUP(D52,'Vũ khí đề xuất'!$A:$AO,30,0),"")</f>
        <v/>
      </c>
      <c r="J52" s="50">
        <f>IFERROR(VLOOKUP(D52,'Vũ khí đề xuất'!$A:$AO,32,0),"")</f>
        <v/>
      </c>
      <c r="K52" s="50">
        <f>IFERROR(VLOOKUP(D52,'Vũ khí đề xuất'!$A:$AO,35,0),"")</f>
        <v/>
      </c>
      <c r="L52" s="50">
        <f>IFERROR(VLOOKUP(D52,'Vũ khí đề xuất'!$A:$AO,36,0),"")</f>
        <v/>
      </c>
      <c r="M52" s="39" t="inlineStr">
        <is>
          <t>Bỏ súng máy M2 — Buk TELAR thật không có súng máy; để xe phóng tên lửa yếu khi bị áp sát (cần hộ tống).</t>
        </is>
      </c>
    </row>
    <row r="53" ht="21.75" customHeight="1" s="32">
      <c r="A53" s="41" t="inlineStr">
        <is>
          <t>sam_launcher</t>
        </is>
      </c>
      <c r="B53" s="41" t="inlineStr">
        <is>
          <t>Tên lửa phòng không</t>
        </is>
      </c>
      <c r="C53" s="41" t="inlineStr">
        <is>
          <t>Xe</t>
        </is>
      </c>
      <c r="D53" s="41" t="inlineStr">
        <is>
          <t>hmg_selfdef_18</t>
        </is>
      </c>
      <c r="E53" s="41" t="inlineStr">
        <is>
          <t>M2 Browning 12.7 mm</t>
        </is>
      </c>
      <c r="F53" s="43" t="n">
        <v>0</v>
      </c>
      <c r="G53" s="51">
        <f>IFERROR(VLOOKUP(D53,'Vũ khí đề xuất'!$A:$AO,27,0),"")</f>
        <v/>
      </c>
      <c r="H53" s="51">
        <f>IFERROR(VLOOKUP(D53,'Vũ khí đề xuất'!$A:$AO,28,0),"")</f>
        <v/>
      </c>
      <c r="I53" s="51">
        <f>IFERROR(VLOOKUP(D53,'Vũ khí đề xuất'!$A:$AO,30,0),"")</f>
        <v/>
      </c>
      <c r="J53" s="51">
        <f>IFERROR(VLOOKUP(D53,'Vũ khí đề xuất'!$A:$AO,32,0),"")</f>
        <v/>
      </c>
      <c r="K53" s="51">
        <f>IFERROR(VLOOKUP(D53,'Vũ khí đề xuất'!$A:$AO,35,0),"")</f>
        <v/>
      </c>
      <c r="L53" s="51">
        <f>IFERROR(VLOOKUP(D53,'Vũ khí đề xuất'!$A:$AO,36,0),"")</f>
        <v/>
      </c>
      <c r="M53" s="41" t="inlineStr">
        <is>
          <t>Bỏ súng máy M2 — Buk TELAR thật không có súng máy; để xe phóng tên lửa yếu khi bị áp sát (cần hộ tống).</t>
        </is>
      </c>
    </row>
    <row r="54" ht="21.75" customHeight="1" s="32">
      <c r="A54" s="39" t="inlineStr">
        <is>
          <t>heavy_aa</t>
        </is>
      </c>
      <c r="B54" s="39" t="inlineStr">
        <is>
          <t>Pháo tên lửa phòng không</t>
        </is>
      </c>
      <c r="C54" s="39" t="inlineStr">
        <is>
          <t>Xe</t>
        </is>
      </c>
      <c r="D54" s="39" t="inlineStr">
        <is>
          <t>twin_30_flak</t>
        </is>
      </c>
      <c r="E54" s="39" t="inlineStr">
        <is>
          <t>2A38 30 mm (twin)</t>
        </is>
      </c>
      <c r="F54" s="42" t="n">
        <v>1</v>
      </c>
      <c r="G54" s="50">
        <f>IFERROR(VLOOKUP(D54,'Vũ khí đề xuất'!$A:$AO,27,0),"")</f>
        <v/>
      </c>
      <c r="H54" s="50">
        <f>IFERROR(VLOOKUP(D54,'Vũ khí đề xuất'!$A:$AO,28,0),"")</f>
        <v/>
      </c>
      <c r="I54" s="50">
        <f>IFERROR(VLOOKUP(D54,'Vũ khí đề xuất'!$A:$AO,30,0),"")</f>
        <v/>
      </c>
      <c r="J54" s="50">
        <f>IFERROR(VLOOKUP(D54,'Vũ khí đề xuất'!$A:$AO,32,0),"")</f>
        <v/>
      </c>
      <c r="K54" s="50">
        <f>IFERROR(VLOOKUP(D54,'Vũ khí đề xuất'!$A:$AO,35,0),"")</f>
        <v/>
      </c>
      <c r="L54" s="50">
        <f>IFERROR(VLOOKUP(D54,'Vũ khí đề xuất'!$A:$AO,36,0),"")</f>
        <v/>
      </c>
      <c r="M54" s="39" t="inlineStr">
        <is>
          <t>Đổi Stinger → tên lửa 57E6 (Pantsir): 1 × 220, Mảnh xuyên 3, tầm 55, tốc độ 55 — Pantsir thật mang tên lửa riêng tầm xa hơn Stinger.</t>
        </is>
      </c>
    </row>
    <row r="55" ht="21.75" customHeight="1" s="32">
      <c r="A55" s="41" t="inlineStr">
        <is>
          <t>heavy_aa</t>
        </is>
      </c>
      <c r="B55" s="41" t="inlineStr">
        <is>
          <t>Pháo tên lửa phòng không</t>
        </is>
      </c>
      <c r="C55" s="41" t="inlineStr">
        <is>
          <t>Xe</t>
        </is>
      </c>
      <c r="D55" s="41" t="inlineStr">
        <is>
          <t>sam</t>
        </is>
      </c>
      <c r="E55" s="41" t="inlineStr">
        <is>
          <t>Starstreak / Stinger SHORAD</t>
        </is>
      </c>
      <c r="F55" s="43" t="n">
        <v>1</v>
      </c>
      <c r="G55" s="51">
        <f>IFERROR(VLOOKUP(D55,'Vũ khí đề xuất'!$A:$AO,27,0),"")</f>
        <v/>
      </c>
      <c r="H55" s="51">
        <f>IFERROR(VLOOKUP(D55,'Vũ khí đề xuất'!$A:$AO,28,0),"")</f>
        <v/>
      </c>
      <c r="I55" s="51">
        <f>IFERROR(VLOOKUP(D55,'Vũ khí đề xuất'!$A:$AO,30,0),"")</f>
        <v/>
      </c>
      <c r="J55" s="51">
        <f>IFERROR(VLOOKUP(D55,'Vũ khí đề xuất'!$A:$AO,32,0),"")</f>
        <v/>
      </c>
      <c r="K55" s="51">
        <f>IFERROR(VLOOKUP(D55,'Vũ khí đề xuất'!$A:$AO,35,0),"")</f>
        <v/>
      </c>
      <c r="L55" s="51">
        <f>IFERROR(VLOOKUP(D55,'Vũ khí đề xuất'!$A:$AO,36,0),"")</f>
        <v/>
      </c>
      <c r="M55" s="41" t="inlineStr">
        <is>
          <t>Đổi Stinger → tên lửa 57E6 (Pantsir): 1 × 220, Mảnh xuyên 3, tầm 55, tốc độ 55 — Pantsir thật mang tên lửa riêng tầm xa hơn Stinger.</t>
        </is>
      </c>
    </row>
    <row r="56" ht="15" customHeight="1" s="32">
      <c r="A56" s="39" t="inlineStr">
        <is>
          <t>iron_beam</t>
        </is>
      </c>
      <c r="B56" s="39" t="inlineStr">
        <is>
          <t>La-de phòng không</t>
        </is>
      </c>
      <c r="C56" s="39" t="inlineStr">
        <is>
          <t>Xe</t>
        </is>
      </c>
      <c r="D56" s="39" t="inlineStr">
        <is>
          <t>hel_beam</t>
        </is>
      </c>
      <c r="E56" s="39" t="inlineStr">
        <is>
          <t>Iron Beam laser (100 kW) 100 mm</t>
        </is>
      </c>
      <c r="F56" s="42" t="n">
        <v>1</v>
      </c>
      <c r="G56" s="50">
        <f>IFERROR(VLOOKUP(D56,'Vũ khí đề xuất'!$A:$AO,27,0),"")</f>
        <v/>
      </c>
      <c r="H56" s="50">
        <f>IFERROR(VLOOKUP(D56,'Vũ khí đề xuất'!$A:$AO,28,0),"")</f>
        <v/>
      </c>
      <c r="I56" s="50">
        <f>IFERROR(VLOOKUP(D56,'Vũ khí đề xuất'!$A:$AO,30,0),"")</f>
        <v/>
      </c>
      <c r="J56" s="50">
        <f>IFERROR(VLOOKUP(D56,'Vũ khí đề xuất'!$A:$AO,32,0),"")</f>
        <v/>
      </c>
      <c r="K56" s="50">
        <f>IFERROR(VLOOKUP(D56,'Vũ khí đề xuất'!$A:$AO,35,0),"")</f>
        <v/>
      </c>
      <c r="L56" s="50">
        <f>IFERROR(VLOOKUP(D56,'Vũ khí đề xuất'!$A:$AO,36,0),"")</f>
        <v/>
      </c>
      <c r="M56" s="39" t="n"/>
    </row>
    <row r="57" ht="15" customHeight="1" s="32">
      <c r="A57" s="41" t="inlineStr">
        <is>
          <t>long_sam</t>
        </is>
      </c>
      <c r="B57" s="41" t="inlineStr">
        <is>
          <t>Tên lửa phòng không tầm xa</t>
        </is>
      </c>
      <c r="C57" s="41" t="inlineStr">
        <is>
          <t>Xe</t>
        </is>
      </c>
      <c r="D57" s="41" t="inlineStr">
        <is>
          <t>sam_48n6</t>
        </is>
      </c>
      <c r="E57" s="41" t="inlineStr">
        <is>
          <t>S-400 48N6</t>
        </is>
      </c>
      <c r="F57" s="43" t="n">
        <v>1</v>
      </c>
      <c r="G57" s="51">
        <f>IFERROR(VLOOKUP(D57,'Vũ khí đề xuất'!$A:$AO,27,0),"")</f>
        <v/>
      </c>
      <c r="H57" s="51">
        <f>IFERROR(VLOOKUP(D57,'Vũ khí đề xuất'!$A:$AO,28,0),"")</f>
        <v/>
      </c>
      <c r="I57" s="51">
        <f>IFERROR(VLOOKUP(D57,'Vũ khí đề xuất'!$A:$AO,30,0),"")</f>
        <v/>
      </c>
      <c r="J57" s="51">
        <f>IFERROR(VLOOKUP(D57,'Vũ khí đề xuất'!$A:$AO,32,0),"")</f>
        <v/>
      </c>
      <c r="K57" s="51">
        <f>IFERROR(VLOOKUP(D57,'Vũ khí đề xuất'!$A:$AO,35,0),"")</f>
        <v/>
      </c>
      <c r="L57" s="51">
        <f>IFERROR(VLOOKUP(D57,'Vũ khí đề xuất'!$A:$AO,36,0),"")</f>
        <v/>
      </c>
      <c r="M57" s="41" t="n"/>
    </row>
    <row r="58" ht="21.75" customHeight="1" s="32">
      <c r="A58" s="39" t="inlineStr">
        <is>
          <t>scout_heli</t>
        </is>
      </c>
      <c r="B58" s="39" t="inlineStr">
        <is>
          <t>Trực thăng trinh sát</t>
        </is>
      </c>
      <c r="C58" s="39" t="inlineStr">
        <is>
          <t>Xe</t>
        </is>
      </c>
      <c r="D58" s="39" t="inlineStr">
        <is>
          <t>minigun</t>
        </is>
      </c>
      <c r="E58" s="39" t="inlineStr">
        <is>
          <t>M134 Minigun 7.62 mm</t>
        </is>
      </c>
      <c r="F58" s="42" t="n">
        <v>1</v>
      </c>
      <c r="G58" s="50">
        <f>IFERROR(VLOOKUP(D58,'Vũ khí đề xuất'!$A:$AO,27,0),"")</f>
        <v/>
      </c>
      <c r="H58" s="50">
        <f>IFERROR(VLOOKUP(D58,'Vũ khí đề xuất'!$A:$AO,28,0),"")</f>
        <v/>
      </c>
      <c r="I58" s="50">
        <f>IFERROR(VLOOKUP(D58,'Vũ khí đề xuất'!$A:$AO,30,0),"")</f>
        <v/>
      </c>
      <c r="J58" s="50">
        <f>IFERROR(VLOOKUP(D58,'Vũ khí đề xuất'!$A:$AO,32,0),"")</f>
        <v/>
      </c>
      <c r="K58" s="50">
        <f>IFERROR(VLOOKUP(D58,'Vũ khí đề xuất'!$A:$AO,35,0),"")</f>
        <v/>
      </c>
      <c r="L58" s="50">
        <f>IFERROR(VLOOKUP(D58,'Vũ khí đề xuất'!$A:$AO,36,0),"")</f>
        <v/>
      </c>
      <c r="M58" s="39" t="inlineStr">
        <is>
          <t>Hydra: 12 → 6 quả mỗi lần đầy đạn — Trực thăng trinh sát đang diệt xe nhẹ mạnh nhất game theo CP.</t>
        </is>
      </c>
    </row>
    <row r="59" ht="21.75" customHeight="1" s="32">
      <c r="A59" s="41" t="inlineStr">
        <is>
          <t>scout_heli</t>
        </is>
      </c>
      <c r="B59" s="41" t="inlineStr">
        <is>
          <t>Trực thăng trinh sát</t>
        </is>
      </c>
      <c r="C59" s="41" t="inlineStr">
        <is>
          <t>Xe</t>
        </is>
      </c>
      <c r="D59" s="41" t="inlineStr">
        <is>
          <t>scout_rockets</t>
        </is>
      </c>
      <c r="E59" s="41" t="inlineStr">
        <is>
          <t>Hydra 70 mm</t>
        </is>
      </c>
      <c r="F59" s="43" t="n">
        <v>1</v>
      </c>
      <c r="G59" s="51">
        <f>IFERROR(VLOOKUP(D59,'Vũ khí đề xuất'!$A:$AO,27,0),"")</f>
        <v/>
      </c>
      <c r="H59" s="51">
        <f>IFERROR(VLOOKUP(D59,'Vũ khí đề xuất'!$A:$AO,28,0),"")</f>
        <v/>
      </c>
      <c r="I59" s="51">
        <f>IFERROR(VLOOKUP(D59,'Vũ khí đề xuất'!$A:$AO,30,0),"")</f>
        <v/>
      </c>
      <c r="J59" s="51">
        <f>IFERROR(VLOOKUP(D59,'Vũ khí đề xuất'!$A:$AO,32,0),"")</f>
        <v/>
      </c>
      <c r="K59" s="51">
        <f>IFERROR(VLOOKUP(D59,'Vũ khí đề xuất'!$A:$AO,35,0),"")</f>
        <v/>
      </c>
      <c r="L59" s="51">
        <f>IFERROR(VLOOKUP(D59,'Vũ khí đề xuất'!$A:$AO,36,0),"")</f>
        <v/>
      </c>
      <c r="M59" s="41" t="inlineStr">
        <is>
          <t>Hydra: 12 → 6 quả mỗi lần đầy đạn — Trực thăng trinh sát đang diệt xe nhẹ mạnh nhất game theo CP.</t>
        </is>
      </c>
    </row>
    <row r="60" ht="15" customHeight="1" s="32">
      <c r="A60" s="39" t="inlineStr">
        <is>
          <t>recon_drone</t>
        </is>
      </c>
      <c r="B60" s="39" t="inlineStr">
        <is>
          <t>UAV trinh sát</t>
        </is>
      </c>
      <c r="C60" s="39" t="inlineStr">
        <is>
          <t>Xe</t>
        </is>
      </c>
      <c r="D60" s="39" t="inlineStr">
        <is>
          <t>recon_missile</t>
        </is>
      </c>
      <c r="E60" s="39" t="inlineStr">
        <is>
          <t>MAM-L</t>
        </is>
      </c>
      <c r="F60" s="42" t="n">
        <v>1</v>
      </c>
      <c r="G60" s="50">
        <f>IFERROR(VLOOKUP(D60,'Vũ khí đề xuất'!$A:$AO,27,0),"")</f>
        <v/>
      </c>
      <c r="H60" s="50">
        <f>IFERROR(VLOOKUP(D60,'Vũ khí đề xuất'!$A:$AO,28,0),"")</f>
        <v/>
      </c>
      <c r="I60" s="50">
        <f>IFERROR(VLOOKUP(D60,'Vũ khí đề xuất'!$A:$AO,30,0),"")</f>
        <v/>
      </c>
      <c r="J60" s="50">
        <f>IFERROR(VLOOKUP(D60,'Vũ khí đề xuất'!$A:$AO,32,0),"")</f>
        <v/>
      </c>
      <c r="K60" s="50">
        <f>IFERROR(VLOOKUP(D60,'Vũ khí đề xuất'!$A:$AO,35,0),"")</f>
        <v/>
      </c>
      <c r="L60" s="50">
        <f>IFERROR(VLOOKUP(D60,'Vũ khí đề xuất'!$A:$AO,36,0),"")</f>
        <v/>
      </c>
      <c r="M60" s="39" t="n"/>
    </row>
    <row r="61" ht="15" customHeight="1" s="32">
      <c r="A61" s="41"/>
      <c r="B61" s="41"/>
      <c r="C61" s="41"/>
      <c r="D61" s="41"/>
      <c r="E61" s="41"/>
      <c r="F61" s="43"/>
      <c r="G61" s="51"/>
      <c r="H61" s="51"/>
      <c r="I61" s="51"/>
      <c r="J61" s="51"/>
      <c r="K61" s="51"/>
      <c r="L61" s="51"/>
      <c r="M61" s="41"/>
    </row>
    <row r="62" ht="15" customHeight="1" s="32">
      <c r="A62" s="39" t="inlineStr">
        <is>
          <t>strike_drone</t>
        </is>
      </c>
      <c r="B62" s="39" t="inlineStr">
        <is>
          <t>UAV tấn công</t>
        </is>
      </c>
      <c r="C62" s="39" t="inlineStr">
        <is>
          <t>Xe</t>
        </is>
      </c>
      <c r="D62" s="39" t="inlineStr">
        <is>
          <t>drone_missile</t>
        </is>
      </c>
      <c r="E62" s="39" t="inlineStr">
        <is>
          <t>AGM-114 Hellfire</t>
        </is>
      </c>
      <c r="F62" s="42" t="n">
        <v>1</v>
      </c>
      <c r="G62" s="50">
        <f>IFERROR(VLOOKUP(D62,'Vũ khí đề xuất'!$A:$AO,27,0),"")</f>
        <v/>
      </c>
      <c r="H62" s="50">
        <f>IFERROR(VLOOKUP(D62,'Vũ khí đề xuất'!$A:$AO,28,0),"")</f>
        <v/>
      </c>
      <c r="I62" s="50">
        <f>IFERROR(VLOOKUP(D62,'Vũ khí đề xuất'!$A:$AO,30,0),"")</f>
        <v/>
      </c>
      <c r="J62" s="50">
        <f>IFERROR(VLOOKUP(D62,'Vũ khí đề xuất'!$A:$AO,32,0),"")</f>
        <v/>
      </c>
      <c r="K62" s="50">
        <f>IFERROR(VLOOKUP(D62,'Vũ khí đề xuất'!$A:$AO,35,0),"")</f>
        <v/>
      </c>
      <c r="L62" s="50">
        <f>IFERROR(VLOOKUP(D62,'Vũ khí đề xuất'!$A:$AO,36,0),"")</f>
        <v/>
      </c>
      <c r="M62" s="39" t="n"/>
    </row>
    <row r="63" ht="15" customHeight="1" s="32">
      <c r="A63" s="41" t="inlineStr">
        <is>
          <t>strike_drone</t>
        </is>
      </c>
      <c r="B63" s="41" t="inlineStr">
        <is>
          <t>UAV tấn công</t>
        </is>
      </c>
      <c r="C63" s="41" t="inlineStr">
        <is>
          <t>Xe</t>
        </is>
      </c>
      <c r="D63" s="41" t="inlineStr">
        <is>
          <t>guided_bomb</t>
        </is>
      </c>
      <c r="E63" s="41" t="inlineStr">
        <is>
          <t>GBU-39 SDB (110 kg)</t>
        </is>
      </c>
      <c r="F63" s="43" t="n">
        <v>1</v>
      </c>
      <c r="G63" s="51">
        <f>IFERROR(VLOOKUP(D63,'Vũ khí đề xuất'!$A:$AO,27,0),"")</f>
        <v/>
      </c>
      <c r="H63" s="51">
        <f>IFERROR(VLOOKUP(D63,'Vũ khí đề xuất'!$A:$AO,28,0),"")</f>
        <v/>
      </c>
      <c r="I63" s="51">
        <f>IFERROR(VLOOKUP(D63,'Vũ khí đề xuất'!$A:$AO,30,0),"")</f>
        <v/>
      </c>
      <c r="J63" s="51">
        <f>IFERROR(VLOOKUP(D63,'Vũ khí đề xuất'!$A:$AO,32,0),"")</f>
        <v/>
      </c>
      <c r="K63" s="51">
        <f>IFERROR(VLOOKUP(D63,'Vũ khí đề xuất'!$A:$AO,35,0),"")</f>
        <v/>
      </c>
      <c r="L63" s="51">
        <f>IFERROR(VLOOKUP(D63,'Vũ khí đề xuất'!$A:$AO,36,0),"")</f>
        <v/>
      </c>
      <c r="M63" s="41" t="n"/>
    </row>
    <row r="64" ht="32.25" customHeight="1" s="32">
      <c r="A64" s="39" t="inlineStr">
        <is>
          <t>swarm_carrier</t>
        </is>
      </c>
      <c r="B64" s="39" t="inlineStr">
        <is>
          <t>Máy bay mẹ thả drone</t>
        </is>
      </c>
      <c r="C64" s="39" t="inlineStr">
        <is>
          <t>Xe</t>
        </is>
      </c>
      <c r="D64" s="39" t="inlineStr">
        <is>
          <t>swarm_drones</t>
        </is>
      </c>
      <c r="E64" s="39" t="inlineStr">
        <is>
          <t>FPV drone (1.5 kg)</t>
        </is>
      </c>
      <c r="F64" s="42" t="n">
        <v>1</v>
      </c>
      <c r="G64" s="50">
        <f>IFERROR(VLOOKUP(D64,'Vũ khí đề xuất'!$A:$AO,27,0),"")</f>
        <v/>
      </c>
      <c r="H64" s="50">
        <f>IFERROR(VLOOKUP(D64,'Vũ khí đề xuất'!$A:$AO,28,0),"")</f>
        <v/>
      </c>
      <c r="I64" s="50">
        <f>IFERROR(VLOOKUP(D64,'Vũ khí đề xuất'!$A:$AO,30,0),"")</f>
        <v/>
      </c>
      <c r="J64" s="50">
        <f>IFERROR(VLOOKUP(D64,'Vũ khí đề xuất'!$A:$AO,32,0),"")</f>
        <v/>
      </c>
      <c r="K64" s="50">
        <f>IFERROR(VLOOKUP(D64,'Vũ khí đề xuất'!$A:$AO,35,0),"")</f>
        <v/>
      </c>
      <c r="L64" s="50">
        <f>IFERROR(VLOOKUP(D64,'Vũ khí đề xuất'!$A:$AO,36,0),"")</f>
        <v/>
      </c>
      <c r="M64" s="39" t="inlineStr">
        <is>
          <t>Bỏ bom SDB; thêm 2 tên lửa hành trình Rapid Dragon mỗi lượt — C-130 không mang bom dẫn đường, nhưng thả được tên lửa hành trình theo pallet (Rapid Dragon); xứng với kích thước và giá mới 13 CP.</t>
        </is>
      </c>
    </row>
    <row r="65" ht="32.25" customHeight="1" s="32">
      <c r="A65" s="41" t="inlineStr">
        <is>
          <t>swarm_carrier</t>
        </is>
      </c>
      <c r="B65" s="41" t="inlineStr">
        <is>
          <t>Máy bay mẹ thả drone</t>
        </is>
      </c>
      <c r="C65" s="41" t="inlineStr">
        <is>
          <t>Xe</t>
        </is>
      </c>
      <c r="D65" s="41" t="inlineStr">
        <is>
          <t>guided_bomb</t>
        </is>
      </c>
      <c r="E65" s="41" t="inlineStr">
        <is>
          <t>GBU-39 SDB (110 kg)</t>
        </is>
      </c>
      <c r="F65" s="43" t="n">
        <v>0</v>
      </c>
      <c r="G65" s="51">
        <f>IFERROR(VLOOKUP(D65,'Vũ khí đề xuất'!$A:$AO,27,0),"")</f>
        <v/>
      </c>
      <c r="H65" s="51">
        <f>IFERROR(VLOOKUP(D65,'Vũ khí đề xuất'!$A:$AO,28,0),"")</f>
        <v/>
      </c>
      <c r="I65" s="51">
        <f>IFERROR(VLOOKUP(D65,'Vũ khí đề xuất'!$A:$AO,30,0),"")</f>
        <v/>
      </c>
      <c r="J65" s="51">
        <f>IFERROR(VLOOKUP(D65,'Vũ khí đề xuất'!$A:$AO,32,0),"")</f>
        <v/>
      </c>
      <c r="K65" s="51">
        <f>IFERROR(VLOOKUP(D65,'Vũ khí đề xuất'!$A:$AO,35,0),"")</f>
        <v/>
      </c>
      <c r="L65" s="51">
        <f>IFERROR(VLOOKUP(D65,'Vũ khí đề xuất'!$A:$AO,36,0),"")</f>
        <v/>
      </c>
      <c r="M65" s="41" t="inlineStr">
        <is>
          <t>Bỏ bom SDB; thêm 2 tên lửa hành trình Rapid Dragon mỗi lượt — C-130 không mang bom dẫn đường, nhưng thả được tên lửa hành trình theo pallet (Rapid Dragon); xứng với kích thước và giá mới 13 CP.</t>
        </is>
      </c>
    </row>
    <row r="66" ht="15" customHeight="1" s="32">
      <c r="A66" s="39" t="inlineStr">
        <is>
          <t>attack_helicopter</t>
        </is>
      </c>
      <c r="B66" s="39" t="inlineStr">
        <is>
          <t>Trực thăng tấn công</t>
        </is>
      </c>
      <c r="C66" s="39" t="inlineStr">
        <is>
          <t>Xe</t>
        </is>
      </c>
      <c r="D66" s="39" t="inlineStr">
        <is>
          <t>hellfire_standoff</t>
        </is>
      </c>
      <c r="E66" s="39" t="inlineStr">
        <is>
          <t>AGM-114L Hellfire Longbow</t>
        </is>
      </c>
      <c r="F66" s="42" t="n">
        <v>1</v>
      </c>
      <c r="G66" s="50">
        <f>IFERROR(VLOOKUP(D66,'Vũ khí đề xuất'!$A:$AO,27,0),"")</f>
        <v/>
      </c>
      <c r="H66" s="50">
        <f>IFERROR(VLOOKUP(D66,'Vũ khí đề xuất'!$A:$AO,28,0),"")</f>
        <v/>
      </c>
      <c r="I66" s="50">
        <f>IFERROR(VLOOKUP(D66,'Vũ khí đề xuất'!$A:$AO,30,0),"")</f>
        <v/>
      </c>
      <c r="J66" s="50">
        <f>IFERROR(VLOOKUP(D66,'Vũ khí đề xuất'!$A:$AO,32,0),"")</f>
        <v/>
      </c>
      <c r="K66" s="50">
        <f>IFERROR(VLOOKUP(D66,'Vũ khí đề xuất'!$A:$AO,35,0),"")</f>
        <v/>
      </c>
      <c r="L66" s="50">
        <f>IFERROR(VLOOKUP(D66,'Vũ khí đề xuất'!$A:$AO,36,0),"")</f>
        <v/>
      </c>
      <c r="M66" s="39" t="n"/>
    </row>
    <row r="67" ht="15" customHeight="1" s="32">
      <c r="A67" s="41" t="inlineStr">
        <is>
          <t>attack_helicopter</t>
        </is>
      </c>
      <c r="B67" s="41" t="inlineStr">
        <is>
          <t>Trực thăng tấn công</t>
        </is>
      </c>
      <c r="C67" s="41" t="inlineStr">
        <is>
          <t>Xe</t>
        </is>
      </c>
      <c r="D67" s="41" t="inlineStr">
        <is>
          <t>heli_gun</t>
        </is>
      </c>
      <c r="E67" s="41" t="inlineStr">
        <is>
          <t>M230 30 mm</t>
        </is>
      </c>
      <c r="F67" s="43" t="n">
        <v>1</v>
      </c>
      <c r="G67" s="51">
        <f>IFERROR(VLOOKUP(D67,'Vũ khí đề xuất'!$A:$AO,27,0),"")</f>
        <v/>
      </c>
      <c r="H67" s="51">
        <f>IFERROR(VLOOKUP(D67,'Vũ khí đề xuất'!$A:$AO,28,0),"")</f>
        <v/>
      </c>
      <c r="I67" s="51">
        <f>IFERROR(VLOOKUP(D67,'Vũ khí đề xuất'!$A:$AO,30,0),"")</f>
        <v/>
      </c>
      <c r="J67" s="51">
        <f>IFERROR(VLOOKUP(D67,'Vũ khí đề xuất'!$A:$AO,32,0),"")</f>
        <v/>
      </c>
      <c r="K67" s="51">
        <f>IFERROR(VLOOKUP(D67,'Vũ khí đề xuất'!$A:$AO,35,0),"")</f>
        <v/>
      </c>
      <c r="L67" s="51">
        <f>IFERROR(VLOOKUP(D67,'Vũ khí đề xuất'!$A:$AO,36,0),"")</f>
        <v/>
      </c>
      <c r="M67" s="41" t="n"/>
    </row>
    <row r="68" ht="15" customHeight="1" s="32">
      <c r="A68" s="39" t="inlineStr">
        <is>
          <t>attack_helicopter</t>
        </is>
      </c>
      <c r="B68" s="39" t="inlineStr">
        <is>
          <t>Trực thăng tấn công</t>
        </is>
      </c>
      <c r="C68" s="39" t="inlineStr">
        <is>
          <t>Xe</t>
        </is>
      </c>
      <c r="D68" s="39" t="inlineStr">
        <is>
          <t>heli_rockets</t>
        </is>
      </c>
      <c r="E68" s="39" t="inlineStr">
        <is>
          <t>Hydra 70 mm</t>
        </is>
      </c>
      <c r="F68" s="42" t="n">
        <v>1</v>
      </c>
      <c r="G68" s="50">
        <f>IFERROR(VLOOKUP(D68,'Vũ khí đề xuất'!$A:$AO,27,0),"")</f>
        <v/>
      </c>
      <c r="H68" s="50">
        <f>IFERROR(VLOOKUP(D68,'Vũ khí đề xuất'!$A:$AO,28,0),"")</f>
        <v/>
      </c>
      <c r="I68" s="50">
        <f>IFERROR(VLOOKUP(D68,'Vũ khí đề xuất'!$A:$AO,30,0),"")</f>
        <v/>
      </c>
      <c r="J68" s="50">
        <f>IFERROR(VLOOKUP(D68,'Vũ khí đề xuất'!$A:$AO,32,0),"")</f>
        <v/>
      </c>
      <c r="K68" s="50">
        <f>IFERROR(VLOOKUP(D68,'Vũ khí đề xuất'!$A:$AO,35,0),"")</f>
        <v/>
      </c>
      <c r="L68" s="50">
        <f>IFERROR(VLOOKUP(D68,'Vũ khí đề xuất'!$A:$AO,36,0),"")</f>
        <v/>
      </c>
      <c r="M68" s="39" t="n"/>
    </row>
    <row r="69" ht="15" customHeight="1" s="32">
      <c r="A69" s="41" t="inlineStr">
        <is>
          <t>attack_helicopter</t>
        </is>
      </c>
      <c r="B69" s="41" t="inlineStr">
        <is>
          <t>Trực thăng tấn công</t>
        </is>
      </c>
      <c r="C69" s="41" t="inlineStr">
        <is>
          <t>Xe</t>
        </is>
      </c>
      <c r="D69" s="41" t="inlineStr">
        <is>
          <t>stinger_atas</t>
        </is>
      </c>
      <c r="E69" s="41" t="inlineStr">
        <is>
          <t>FIM-92 Stinger (ATAS)</t>
        </is>
      </c>
      <c r="F69" s="43" t="n">
        <v>1</v>
      </c>
      <c r="G69" s="51">
        <f>IFERROR(VLOOKUP(D69,'Vũ khí đề xuất'!$A:$AO,27,0),"")</f>
        <v/>
      </c>
      <c r="H69" s="51">
        <f>IFERROR(VLOOKUP(D69,'Vũ khí đề xuất'!$A:$AO,28,0),"")</f>
        <v/>
      </c>
      <c r="I69" s="51">
        <f>IFERROR(VLOOKUP(D69,'Vũ khí đề xuất'!$A:$AO,30,0),"")</f>
        <v/>
      </c>
      <c r="J69" s="51">
        <f>IFERROR(VLOOKUP(D69,'Vũ khí đề xuất'!$A:$AO,32,0),"")</f>
        <v/>
      </c>
      <c r="K69" s="51">
        <f>IFERROR(VLOOKUP(D69,'Vũ khí đề xuất'!$A:$AO,35,0),"")</f>
        <v/>
      </c>
      <c r="L69" s="51">
        <f>IFERROR(VLOOKUP(D69,'Vũ khí đề xuất'!$A:$AO,36,0),"")</f>
        <v/>
      </c>
      <c r="M69" s="41" t="n"/>
    </row>
    <row r="70" ht="15" customHeight="1" s="32">
      <c r="A70" s="39" t="inlineStr">
        <is>
          <t>fighter_jet</t>
        </is>
      </c>
      <c r="B70" s="39" t="inlineStr">
        <is>
          <t>Tiêm kích</t>
        </is>
      </c>
      <c r="C70" s="39" t="inlineStr">
        <is>
          <t>Xe</t>
        </is>
      </c>
      <c r="D70" s="39" t="inlineStr">
        <is>
          <t>air_to_air</t>
        </is>
      </c>
      <c r="E70" s="39" t="inlineStr">
        <is>
          <t>AIM-120 AMRAAM</t>
        </is>
      </c>
      <c r="F70" s="42" t="n">
        <v>1</v>
      </c>
      <c r="G70" s="50">
        <f>IFERROR(VLOOKUP(D70,'Vũ khí đề xuất'!$A:$AO,27,0),"")</f>
        <v/>
      </c>
      <c r="H70" s="50">
        <f>IFERROR(VLOOKUP(D70,'Vũ khí đề xuất'!$A:$AO,28,0),"")</f>
        <v/>
      </c>
      <c r="I70" s="50">
        <f>IFERROR(VLOOKUP(D70,'Vũ khí đề xuất'!$A:$AO,30,0),"")</f>
        <v/>
      </c>
      <c r="J70" s="50">
        <f>IFERROR(VLOOKUP(D70,'Vũ khí đề xuất'!$A:$AO,32,0),"")</f>
        <v/>
      </c>
      <c r="K70" s="50">
        <f>IFERROR(VLOOKUP(D70,'Vũ khí đề xuất'!$A:$AO,35,0),"")</f>
        <v/>
      </c>
      <c r="L70" s="50">
        <f>IFERROR(VLOOKUP(D70,'Vũ khí đề xuất'!$A:$AO,36,0),"")</f>
        <v/>
      </c>
      <c r="M70" s="39" t="n"/>
    </row>
    <row r="71" ht="15" customHeight="1" s="32">
      <c r="A71" s="41" t="inlineStr">
        <is>
          <t>fighter_jet</t>
        </is>
      </c>
      <c r="B71" s="41" t="inlineStr">
        <is>
          <t>Tiêm kích</t>
        </is>
      </c>
      <c r="C71" s="41" t="inlineStr">
        <is>
          <t>Xe</t>
        </is>
      </c>
      <c r="D71" s="41" t="inlineStr">
        <is>
          <t>wvr_aam</t>
        </is>
      </c>
      <c r="E71" s="41" t="inlineStr">
        <is>
          <t>AIM-9X Sidewinder</t>
        </is>
      </c>
      <c r="F71" s="43" t="n">
        <v>1</v>
      </c>
      <c r="G71" s="51">
        <f>IFERROR(VLOOKUP(D71,'Vũ khí đề xuất'!$A:$AO,27,0),"")</f>
        <v/>
      </c>
      <c r="H71" s="51">
        <f>IFERROR(VLOOKUP(D71,'Vũ khí đề xuất'!$A:$AO,28,0),"")</f>
        <v/>
      </c>
      <c r="I71" s="51">
        <f>IFERROR(VLOOKUP(D71,'Vũ khí đề xuất'!$A:$AO,30,0),"")</f>
        <v/>
      </c>
      <c r="J71" s="51">
        <f>IFERROR(VLOOKUP(D71,'Vũ khí đề xuất'!$A:$AO,32,0),"")</f>
        <v/>
      </c>
      <c r="K71" s="51">
        <f>IFERROR(VLOOKUP(D71,'Vũ khí đề xuất'!$A:$AO,35,0),"")</f>
        <v/>
      </c>
      <c r="L71" s="51">
        <f>IFERROR(VLOOKUP(D71,'Vũ khí đề xuất'!$A:$AO,36,0),"")</f>
        <v/>
      </c>
      <c r="M71" s="41" t="n"/>
    </row>
    <row r="72" ht="15" customHeight="1" s="32">
      <c r="A72" s="39" t="inlineStr">
        <is>
          <t>fighter_jet</t>
        </is>
      </c>
      <c r="B72" s="39" t="inlineStr">
        <is>
          <t>Tiêm kích</t>
        </is>
      </c>
      <c r="C72" s="39" t="inlineStr">
        <is>
          <t>Xe</t>
        </is>
      </c>
      <c r="D72" s="39" t="inlineStr">
        <is>
          <t>fighter_cannon</t>
        </is>
      </c>
      <c r="E72" s="39" t="inlineStr">
        <is>
          <t>GAU-22/A 25 mm</t>
        </is>
      </c>
      <c r="F72" s="42" t="n">
        <v>1</v>
      </c>
      <c r="G72" s="50">
        <f>IFERROR(VLOOKUP(D72,'Vũ khí đề xuất'!$A:$AO,27,0),"")</f>
        <v/>
      </c>
      <c r="H72" s="50">
        <f>IFERROR(VLOOKUP(D72,'Vũ khí đề xuất'!$A:$AO,28,0),"")</f>
        <v/>
      </c>
      <c r="I72" s="50">
        <f>IFERROR(VLOOKUP(D72,'Vũ khí đề xuất'!$A:$AO,30,0),"")</f>
        <v/>
      </c>
      <c r="J72" s="50">
        <f>IFERROR(VLOOKUP(D72,'Vũ khí đề xuất'!$A:$AO,32,0),"")</f>
        <v/>
      </c>
      <c r="K72" s="50">
        <f>IFERROR(VLOOKUP(D72,'Vũ khí đề xuất'!$A:$AO,35,0),"")</f>
        <v/>
      </c>
      <c r="L72" s="50">
        <f>IFERROR(VLOOKUP(D72,'Vũ khí đề xuất'!$A:$AO,36,0),"")</f>
        <v/>
      </c>
      <c r="M72" s="39" t="n"/>
    </row>
    <row r="73" ht="15" customHeight="1" s="32">
      <c r="A73" s="41" t="inlineStr">
        <is>
          <t>stealth_fighter</t>
        </is>
      </c>
      <c r="B73" s="41" t="inlineStr">
        <is>
          <t>Tiêm kích tàng hình</t>
        </is>
      </c>
      <c r="C73" s="41" t="inlineStr">
        <is>
          <t>Xe</t>
        </is>
      </c>
      <c r="D73" s="41" t="inlineStr">
        <is>
          <t>air_to_air</t>
        </is>
      </c>
      <c r="E73" s="41" t="inlineStr">
        <is>
          <t>AIM-120 AMRAAM</t>
        </is>
      </c>
      <c r="F73" s="43" t="n">
        <v>1</v>
      </c>
      <c r="G73" s="51">
        <f>IFERROR(VLOOKUP(D73,'Vũ khí đề xuất'!$A:$AO,27,0),"")</f>
        <v/>
      </c>
      <c r="H73" s="51">
        <f>IFERROR(VLOOKUP(D73,'Vũ khí đề xuất'!$A:$AO,28,0),"")</f>
        <v/>
      </c>
      <c r="I73" s="51">
        <f>IFERROR(VLOOKUP(D73,'Vũ khí đề xuất'!$A:$AO,30,0),"")</f>
        <v/>
      </c>
      <c r="J73" s="51">
        <f>IFERROR(VLOOKUP(D73,'Vũ khí đề xuất'!$A:$AO,32,0),"")</f>
        <v/>
      </c>
      <c r="K73" s="51">
        <f>IFERROR(VLOOKUP(D73,'Vũ khí đề xuất'!$A:$AO,35,0),"")</f>
        <v/>
      </c>
      <c r="L73" s="51">
        <f>IFERROR(VLOOKUP(D73,'Vũ khí đề xuất'!$A:$AO,36,0),"")</f>
        <v/>
      </c>
      <c r="M73" s="41" t="inlineStr">
        <is>
          <t>Thêm 1 AIM-120 mỗi lần đầy đạn — Kém tiêm kích thường ở vai trò chính.</t>
        </is>
      </c>
    </row>
    <row r="74" ht="15" customHeight="1" s="32">
      <c r="A74" s="39" t="inlineStr">
        <is>
          <t>stealth_fighter</t>
        </is>
      </c>
      <c r="B74" s="39" t="inlineStr">
        <is>
          <t>Tiêm kích tàng hình</t>
        </is>
      </c>
      <c r="C74" s="39" t="inlineStr">
        <is>
          <t>Xe</t>
        </is>
      </c>
      <c r="D74" s="39" t="inlineStr">
        <is>
          <t>guided_bomb</t>
        </is>
      </c>
      <c r="E74" s="39" t="inlineStr">
        <is>
          <t>GBU-39 SDB (110 kg)</t>
        </is>
      </c>
      <c r="F74" s="42" t="n">
        <v>1</v>
      </c>
      <c r="G74" s="50">
        <f>IFERROR(VLOOKUP(D74,'Vũ khí đề xuất'!$A:$AO,27,0),"")</f>
        <v/>
      </c>
      <c r="H74" s="50">
        <f>IFERROR(VLOOKUP(D74,'Vũ khí đề xuất'!$A:$AO,28,0),"")</f>
        <v/>
      </c>
      <c r="I74" s="50">
        <f>IFERROR(VLOOKUP(D74,'Vũ khí đề xuất'!$A:$AO,30,0),"")</f>
        <v/>
      </c>
      <c r="J74" s="50">
        <f>IFERROR(VLOOKUP(D74,'Vũ khí đề xuất'!$A:$AO,32,0),"")</f>
        <v/>
      </c>
      <c r="K74" s="50">
        <f>IFERROR(VLOOKUP(D74,'Vũ khí đề xuất'!$A:$AO,35,0),"")</f>
        <v/>
      </c>
      <c r="L74" s="50">
        <f>IFERROR(VLOOKUP(D74,'Vũ khí đề xuất'!$A:$AO,36,0),"")</f>
        <v/>
      </c>
      <c r="M74" s="39" t="inlineStr">
        <is>
          <t>Thêm 1 AIM-120 mỗi lần đầy đạn — Kém tiêm kích thường ở vai trò chính.</t>
        </is>
      </c>
    </row>
    <row r="75" ht="15" customHeight="1" s="32">
      <c r="A75" s="41" t="inlineStr">
        <is>
          <t>stealth_fighter</t>
        </is>
      </c>
      <c r="B75" s="41" t="inlineStr">
        <is>
          <t>Tiêm kích tàng hình</t>
        </is>
      </c>
      <c r="C75" s="41" t="inlineStr">
        <is>
          <t>Xe</t>
        </is>
      </c>
      <c r="D75" s="41" t="inlineStr">
        <is>
          <t>fighter_cannon</t>
        </is>
      </c>
      <c r="E75" s="41" t="inlineStr">
        <is>
          <t>GAU-22/A 25 mm</t>
        </is>
      </c>
      <c r="F75" s="43" t="n">
        <v>1</v>
      </c>
      <c r="G75" s="51">
        <f>IFERROR(VLOOKUP(D75,'Vũ khí đề xuất'!$A:$AO,27,0),"")</f>
        <v/>
      </c>
      <c r="H75" s="51">
        <f>IFERROR(VLOOKUP(D75,'Vũ khí đề xuất'!$A:$AO,28,0),"")</f>
        <v/>
      </c>
      <c r="I75" s="51">
        <f>IFERROR(VLOOKUP(D75,'Vũ khí đề xuất'!$A:$AO,30,0),"")</f>
        <v/>
      </c>
      <c r="J75" s="51">
        <f>IFERROR(VLOOKUP(D75,'Vũ khí đề xuất'!$A:$AO,32,0),"")</f>
        <v/>
      </c>
      <c r="K75" s="51">
        <f>IFERROR(VLOOKUP(D75,'Vũ khí đề xuất'!$A:$AO,35,0),"")</f>
        <v/>
      </c>
      <c r="L75" s="51">
        <f>IFERROR(VLOOKUP(D75,'Vũ khí đề xuất'!$A:$AO,36,0),"")</f>
        <v/>
      </c>
      <c r="M75" s="41" t="inlineStr">
        <is>
          <t>Thêm 1 AIM-120 mỗi lần đầy đạn — Kém tiêm kích thường ở vai trò chính.</t>
        </is>
      </c>
    </row>
    <row r="76" ht="15" customHeight="1" s="32">
      <c r="A76" s="39"/>
      <c r="B76" s="39"/>
      <c r="C76" s="39"/>
      <c r="D76" s="39"/>
      <c r="E76" s="39"/>
      <c r="F76" s="42"/>
      <c r="G76" s="50"/>
      <c r="H76" s="50"/>
      <c r="I76" s="50"/>
      <c r="J76" s="50"/>
      <c r="K76" s="50"/>
      <c r="L76" s="50"/>
      <c r="M76" s="39"/>
    </row>
    <row r="77" ht="15" customHeight="1" s="32">
      <c r="A77" s="41"/>
      <c r="B77" s="41"/>
      <c r="C77" s="41"/>
      <c r="D77" s="41"/>
      <c r="E77" s="41"/>
      <c r="F77" s="43"/>
      <c r="G77" s="51"/>
      <c r="H77" s="51"/>
      <c r="I77" s="51"/>
      <c r="J77" s="51"/>
      <c r="K77" s="51"/>
      <c r="L77" s="51"/>
      <c r="M77" s="41"/>
    </row>
    <row r="78" ht="15" customHeight="1" s="32">
      <c r="A78" s="39"/>
      <c r="B78" s="39"/>
      <c r="C78" s="39"/>
      <c r="D78" s="39"/>
      <c r="E78" s="39"/>
      <c r="F78" s="42"/>
      <c r="G78" s="50"/>
      <c r="H78" s="50"/>
      <c r="I78" s="50"/>
      <c r="J78" s="50"/>
      <c r="K78" s="50"/>
      <c r="L78" s="50"/>
      <c r="M78" s="39"/>
    </row>
    <row r="79" ht="15" customHeight="1" s="32">
      <c r="A79" s="41"/>
      <c r="B79" s="41"/>
      <c r="C79" s="41"/>
      <c r="D79" s="41"/>
      <c r="E79" s="41"/>
      <c r="F79" s="43"/>
      <c r="G79" s="51"/>
      <c r="H79" s="51"/>
      <c r="I79" s="51"/>
      <c r="J79" s="51"/>
      <c r="K79" s="51"/>
      <c r="L79" s="51"/>
      <c r="M79" s="41"/>
    </row>
    <row r="80" ht="15" customHeight="1" s="32">
      <c r="A80" s="39"/>
      <c r="B80" s="39"/>
      <c r="C80" s="39"/>
      <c r="D80" s="39"/>
      <c r="E80" s="39"/>
      <c r="F80" s="42"/>
      <c r="G80" s="50"/>
      <c r="H80" s="50"/>
      <c r="I80" s="50"/>
      <c r="J80" s="50"/>
      <c r="K80" s="50"/>
      <c r="L80" s="50"/>
      <c r="M80" s="39"/>
    </row>
    <row r="81" ht="21.75" customHeight="1" s="32">
      <c r="A81" s="41" t="inlineStr">
        <is>
          <t>attack_jet</t>
        </is>
      </c>
      <c r="B81" s="41" t="inlineStr">
        <is>
          <t>Máy bay cường kích</t>
        </is>
      </c>
      <c r="C81" s="41" t="inlineStr">
        <is>
          <t>Xe</t>
        </is>
      </c>
      <c r="D81" s="41" t="inlineStr">
        <is>
          <t>jet_cannon</t>
        </is>
      </c>
      <c r="E81" s="41" t="inlineStr">
        <is>
          <t>GSh-30-2 30 mm</t>
        </is>
      </c>
      <c r="F81" s="43" t="n">
        <v>1</v>
      </c>
      <c r="G81" s="51">
        <f>IFERROR(VLOOKUP(D81,'Vũ khí đề xuất'!$A:$AO,27,0),"")</f>
        <v/>
      </c>
      <c r="H81" s="51">
        <f>IFERROR(VLOOKUP(D81,'Vũ khí đề xuất'!$A:$AO,28,0),"")</f>
        <v/>
      </c>
      <c r="I81" s="51">
        <f>IFERROR(VLOOKUP(D81,'Vũ khí đề xuất'!$A:$AO,30,0),"")</f>
        <v/>
      </c>
      <c r="J81" s="51">
        <f>IFERROR(VLOOKUP(D81,'Vũ khí đề xuất'!$A:$AO,32,0),"")</f>
        <v/>
      </c>
      <c r="K81" s="51">
        <f>IFERROR(VLOOKUP(D81,'Vũ khí đề xuất'!$A:$AO,35,0),"")</f>
        <v/>
      </c>
      <c r="L81" s="51">
        <f>IFERROR(VLOOKUP(D81,'Vũ khí đề xuất'!$A:$AO,36,0),"")</f>
        <v/>
      </c>
      <c r="M81" s="41" t="inlineStr">
        <is>
          <t>FAB-250: 2 → 1 quả mỗi lần đầy đạn — Giá trị lên công sự cao nhất nhóm cùng giá.</t>
        </is>
      </c>
    </row>
    <row r="82" ht="21.75" customHeight="1" s="32">
      <c r="A82" s="39" t="inlineStr">
        <is>
          <t>attack_jet</t>
        </is>
      </c>
      <c r="B82" s="39" t="inlineStr">
        <is>
          <t>Máy bay cường kích</t>
        </is>
      </c>
      <c r="C82" s="39" t="inlineStr">
        <is>
          <t>Xe</t>
        </is>
      </c>
      <c r="D82" s="39" t="inlineStr">
        <is>
          <t>s8_pods</t>
        </is>
      </c>
      <c r="E82" s="39" t="inlineStr">
        <is>
          <t>S-8 80 mm</t>
        </is>
      </c>
      <c r="F82" s="42" t="n">
        <v>1</v>
      </c>
      <c r="G82" s="50">
        <f>IFERROR(VLOOKUP(D82,'Vũ khí đề xuất'!$A:$AO,27,0),"")</f>
        <v/>
      </c>
      <c r="H82" s="50">
        <f>IFERROR(VLOOKUP(D82,'Vũ khí đề xuất'!$A:$AO,28,0),"")</f>
        <v/>
      </c>
      <c r="I82" s="50">
        <f>IFERROR(VLOOKUP(D82,'Vũ khí đề xuất'!$A:$AO,30,0),"")</f>
        <v/>
      </c>
      <c r="J82" s="50">
        <f>IFERROR(VLOOKUP(D82,'Vũ khí đề xuất'!$A:$AO,32,0),"")</f>
        <v/>
      </c>
      <c r="K82" s="50">
        <f>IFERROR(VLOOKUP(D82,'Vũ khí đề xuất'!$A:$AO,35,0),"")</f>
        <v/>
      </c>
      <c r="L82" s="50">
        <f>IFERROR(VLOOKUP(D82,'Vũ khí đề xuất'!$A:$AO,36,0),"")</f>
        <v/>
      </c>
      <c r="M82" s="39" t="inlineStr">
        <is>
          <t>FAB-250: 2 → 1 quả mỗi lần đầy đạn — Giá trị lên công sự cao nhất nhóm cùng giá.</t>
        </is>
      </c>
    </row>
    <row r="83" ht="21.75" customHeight="1" s="32">
      <c r="A83" s="41" t="inlineStr">
        <is>
          <t>attack_jet</t>
        </is>
      </c>
      <c r="B83" s="41" t="inlineStr">
        <is>
          <t>Máy bay cường kích</t>
        </is>
      </c>
      <c r="C83" s="41" t="inlineStr">
        <is>
          <t>Xe</t>
        </is>
      </c>
      <c r="D83" s="41" t="inlineStr">
        <is>
          <t>jet_bombs</t>
        </is>
      </c>
      <c r="E83" s="41" t="inlineStr">
        <is>
          <t>FAB-250 (250 kg)</t>
        </is>
      </c>
      <c r="F83" s="43" t="n">
        <v>1</v>
      </c>
      <c r="G83" s="51">
        <f>IFERROR(VLOOKUP(D83,'Vũ khí đề xuất'!$A:$AO,27,0),"")</f>
        <v/>
      </c>
      <c r="H83" s="51">
        <f>IFERROR(VLOOKUP(D83,'Vũ khí đề xuất'!$A:$AO,28,0),"")</f>
        <v/>
      </c>
      <c r="I83" s="51">
        <f>IFERROR(VLOOKUP(D83,'Vũ khí đề xuất'!$A:$AO,30,0),"")</f>
        <v/>
      </c>
      <c r="J83" s="51">
        <f>IFERROR(VLOOKUP(D83,'Vũ khí đề xuất'!$A:$AO,32,0),"")</f>
        <v/>
      </c>
      <c r="K83" s="51">
        <f>IFERROR(VLOOKUP(D83,'Vũ khí đề xuất'!$A:$AO,35,0),"")</f>
        <v/>
      </c>
      <c r="L83" s="51">
        <f>IFERROR(VLOOKUP(D83,'Vũ khí đề xuất'!$A:$AO,36,0),"")</f>
        <v/>
      </c>
      <c r="M83" s="41" t="inlineStr">
        <is>
          <t>FAB-250: 2 → 1 quả mỗi lần đầy đạn — Giá trị lên công sự cao nhất nhóm cùng giá.</t>
        </is>
      </c>
    </row>
    <row r="84" ht="21.75" customHeight="1" s="32">
      <c r="A84" s="39" t="inlineStr">
        <is>
          <t>attack_jet</t>
        </is>
      </c>
      <c r="B84" s="39" t="inlineStr">
        <is>
          <t>Máy bay cường kích</t>
        </is>
      </c>
      <c r="C84" s="39" t="inlineStr">
        <is>
          <t>Xe</t>
        </is>
      </c>
      <c r="D84" s="39" t="inlineStr">
        <is>
          <t>kh29</t>
        </is>
      </c>
      <c r="E84" s="39" t="inlineStr">
        <is>
          <t>Kh-29L</t>
        </is>
      </c>
      <c r="F84" s="42" t="n">
        <v>1</v>
      </c>
      <c r="G84" s="50">
        <f>IFERROR(VLOOKUP(D84,'Vũ khí đề xuất'!$A:$AO,27,0),"")</f>
        <v/>
      </c>
      <c r="H84" s="50">
        <f>IFERROR(VLOOKUP(D84,'Vũ khí đề xuất'!$A:$AO,28,0),"")</f>
        <v/>
      </c>
      <c r="I84" s="50">
        <f>IFERROR(VLOOKUP(D84,'Vũ khí đề xuất'!$A:$AO,30,0),"")</f>
        <v/>
      </c>
      <c r="J84" s="50">
        <f>IFERROR(VLOOKUP(D84,'Vũ khí đề xuất'!$A:$AO,32,0),"")</f>
        <v/>
      </c>
      <c r="K84" s="50">
        <f>IFERROR(VLOOKUP(D84,'Vũ khí đề xuất'!$A:$AO,35,0),"")</f>
        <v/>
      </c>
      <c r="L84" s="50">
        <f>IFERROR(VLOOKUP(D84,'Vũ khí đề xuất'!$A:$AO,36,0),"")</f>
        <v/>
      </c>
      <c r="M84" s="39" t="inlineStr">
        <is>
          <t>FAB-250: 2 → 1 quả mỗi lần đầy đạn — Giá trị lên công sự cao nhất nhóm cùng giá.</t>
        </is>
      </c>
    </row>
    <row r="85" ht="21.75" customHeight="1" s="32">
      <c r="A85" s="41" t="inlineStr">
        <is>
          <t>attack_jet</t>
        </is>
      </c>
      <c r="B85" s="41" t="inlineStr">
        <is>
          <t>Máy bay cường kích</t>
        </is>
      </c>
      <c r="C85" s="41" t="inlineStr">
        <is>
          <t>Xe</t>
        </is>
      </c>
      <c r="D85" s="41" t="inlineStr">
        <is>
          <t>r60</t>
        </is>
      </c>
      <c r="E85" s="41" t="inlineStr">
        <is>
          <t>R-60</t>
        </is>
      </c>
      <c r="F85" s="43" t="n">
        <v>1</v>
      </c>
      <c r="G85" s="51">
        <f>IFERROR(VLOOKUP(D85,'Vũ khí đề xuất'!$A:$AO,27,0),"")</f>
        <v/>
      </c>
      <c r="H85" s="51">
        <f>IFERROR(VLOOKUP(D85,'Vũ khí đề xuất'!$A:$AO,28,0),"")</f>
        <v/>
      </c>
      <c r="I85" s="51">
        <f>IFERROR(VLOOKUP(D85,'Vũ khí đề xuất'!$A:$AO,30,0),"")</f>
        <v/>
      </c>
      <c r="J85" s="51">
        <f>IFERROR(VLOOKUP(D85,'Vũ khí đề xuất'!$A:$AO,32,0),"")</f>
        <v/>
      </c>
      <c r="K85" s="51">
        <f>IFERROR(VLOOKUP(D85,'Vũ khí đề xuất'!$A:$AO,35,0),"")</f>
        <v/>
      </c>
      <c r="L85" s="51">
        <f>IFERROR(VLOOKUP(D85,'Vũ khí đề xuất'!$A:$AO,36,0),"")</f>
        <v/>
      </c>
      <c r="M85" s="41" t="inlineStr">
        <is>
          <t>FAB-250: 2 → 1 quả mỗi lần đầy đạn — Giá trị lên công sự cao nhất nhóm cùng giá.</t>
        </is>
      </c>
    </row>
    <row r="86" ht="15" customHeight="1" s="32">
      <c r="A86" s="39" t="inlineStr">
        <is>
          <t>stealth_bomber</t>
        </is>
      </c>
      <c r="B86" s="39" t="inlineStr">
        <is>
          <t>Máy bay ném bom tàng hình</t>
        </is>
      </c>
      <c r="C86" s="39" t="inlineStr">
        <is>
          <t>Xe</t>
        </is>
      </c>
      <c r="D86" s="39" t="inlineStr">
        <is>
          <t>stealth_payload</t>
        </is>
      </c>
      <c r="E86" s="39" t="inlineStr">
        <is>
          <t>GBU-31 JDAM (907 kg)</t>
        </is>
      </c>
      <c r="F86" s="42" t="n">
        <v>1</v>
      </c>
      <c r="G86" s="50">
        <f>IFERROR(VLOOKUP(D86,'Vũ khí đề xuất'!$A:$AO,27,0),"")</f>
        <v/>
      </c>
      <c r="H86" s="50">
        <f>IFERROR(VLOOKUP(D86,'Vũ khí đề xuất'!$A:$AO,28,0),"")</f>
        <v/>
      </c>
      <c r="I86" s="50">
        <f>IFERROR(VLOOKUP(D86,'Vũ khí đề xuất'!$A:$AO,30,0),"")</f>
        <v/>
      </c>
      <c r="J86" s="50">
        <f>IFERROR(VLOOKUP(D86,'Vũ khí đề xuất'!$A:$AO,32,0),"")</f>
        <v/>
      </c>
      <c r="K86" s="50">
        <f>IFERROR(VLOOKUP(D86,'Vũ khí đề xuất'!$A:$AO,35,0),"")</f>
        <v/>
      </c>
      <c r="L86" s="50">
        <f>IFERROR(VLOOKUP(D86,'Vũ khí đề xuất'!$A:$AO,36,0),"")</f>
        <v/>
      </c>
      <c r="M86" s="39" t="n"/>
    </row>
    <row r="87" ht="15" customHeight="1" s="32">
      <c r="A87" s="41" t="inlineStr">
        <is>
          <t>stealth_bomber</t>
        </is>
      </c>
      <c r="B87" s="41" t="inlineStr">
        <is>
          <t>Máy bay ném bom tàng hình</t>
        </is>
      </c>
      <c r="C87" s="41" t="inlineStr">
        <is>
          <t>Xe</t>
        </is>
      </c>
      <c r="D87" s="41" t="inlineStr">
        <is>
          <t>jassm</t>
        </is>
      </c>
      <c r="E87" s="41" t="inlineStr">
        <is>
          <t>AGM-158 JASSM (450 kg)</t>
        </is>
      </c>
      <c r="F87" s="43" t="n">
        <v>1</v>
      </c>
      <c r="G87" s="51">
        <f>IFERROR(VLOOKUP(D87,'Vũ khí đề xuất'!$A:$AO,27,0),"")</f>
        <v/>
      </c>
      <c r="H87" s="51">
        <f>IFERROR(VLOOKUP(D87,'Vũ khí đề xuất'!$A:$AO,28,0),"")</f>
        <v/>
      </c>
      <c r="I87" s="51">
        <f>IFERROR(VLOOKUP(D87,'Vũ khí đề xuất'!$A:$AO,30,0),"")</f>
        <v/>
      </c>
      <c r="J87" s="51">
        <f>IFERROR(VLOOKUP(D87,'Vũ khí đề xuất'!$A:$AO,32,0),"")</f>
        <v/>
      </c>
      <c r="K87" s="51">
        <f>IFERROR(VLOOKUP(D87,'Vũ khí đề xuất'!$A:$AO,35,0),"")</f>
        <v/>
      </c>
      <c r="L87" s="51">
        <f>IFERROR(VLOOKUP(D87,'Vũ khí đề xuất'!$A:$AO,36,0),"")</f>
        <v/>
      </c>
      <c r="M87" s="41" t="n"/>
    </row>
    <row r="88" ht="15" customHeight="1" s="32">
      <c r="A88" s="39" t="inlineStr">
        <is>
          <t>heavy_bomber</t>
        </is>
      </c>
      <c r="B88" s="39" t="inlineStr">
        <is>
          <t>Oanh tạc cơ hạng nặng</t>
        </is>
      </c>
      <c r="C88" s="39" t="inlineStr">
        <is>
          <t>Xe</t>
        </is>
      </c>
      <c r="D88" s="39" t="inlineStr">
        <is>
          <t>bomber_payload</t>
        </is>
      </c>
      <c r="E88" s="39" t="inlineStr">
        <is>
          <t>FAB-500 (500 kg)</t>
        </is>
      </c>
      <c r="F88" s="42" t="n">
        <v>1</v>
      </c>
      <c r="G88" s="50">
        <f>IFERROR(VLOOKUP(D88,'Vũ khí đề xuất'!$A:$AO,27,0),"")</f>
        <v/>
      </c>
      <c r="H88" s="50">
        <f>IFERROR(VLOOKUP(D88,'Vũ khí đề xuất'!$A:$AO,28,0),"")</f>
        <v/>
      </c>
      <c r="I88" s="50">
        <f>IFERROR(VLOOKUP(D88,'Vũ khí đề xuất'!$A:$AO,30,0),"")</f>
        <v/>
      </c>
      <c r="J88" s="50">
        <f>IFERROR(VLOOKUP(D88,'Vũ khí đề xuất'!$A:$AO,32,0),"")</f>
        <v/>
      </c>
      <c r="K88" s="50">
        <f>IFERROR(VLOOKUP(D88,'Vũ khí đề xuất'!$A:$AO,35,0),"")</f>
        <v/>
      </c>
      <c r="L88" s="50">
        <f>IFERROR(VLOOKUP(D88,'Vũ khí đề xuất'!$A:$AO,36,0),"")</f>
        <v/>
      </c>
      <c r="M88" s="39" t="n"/>
    </row>
    <row r="89" ht="15" customHeight="1" s="32">
      <c r="A89" s="41" t="inlineStr">
        <is>
          <t>heavy_bomber</t>
        </is>
      </c>
      <c r="B89" s="41" t="inlineStr">
        <is>
          <t>Oanh tạc cơ hạng nặng</t>
        </is>
      </c>
      <c r="C89" s="41" t="inlineStr">
        <is>
          <t>Xe</t>
        </is>
      </c>
      <c r="D89" s="41" t="inlineStr">
        <is>
          <t>bomber_tail_guns</t>
        </is>
      </c>
      <c r="E89" s="41" t="inlineStr">
        <is>
          <t>M3 12.7 mm (quad tail)</t>
        </is>
      </c>
      <c r="F89" s="43" t="n">
        <v>1</v>
      </c>
      <c r="G89" s="51">
        <f>IFERROR(VLOOKUP(D89,'Vũ khí đề xuất'!$A:$AO,27,0),"")</f>
        <v/>
      </c>
      <c r="H89" s="51">
        <f>IFERROR(VLOOKUP(D89,'Vũ khí đề xuất'!$A:$AO,28,0),"")</f>
        <v/>
      </c>
      <c r="I89" s="51">
        <f>IFERROR(VLOOKUP(D89,'Vũ khí đề xuất'!$A:$AO,30,0),"")</f>
        <v/>
      </c>
      <c r="J89" s="51">
        <f>IFERROR(VLOOKUP(D89,'Vũ khí đề xuất'!$A:$AO,32,0),"")</f>
        <v/>
      </c>
      <c r="K89" s="51">
        <f>IFERROR(VLOOKUP(D89,'Vũ khí đề xuất'!$A:$AO,35,0),"")</f>
        <v/>
      </c>
      <c r="L89" s="51">
        <f>IFERROR(VLOOKUP(D89,'Vũ khí đề xuất'!$A:$AO,36,0),"")</f>
        <v/>
      </c>
      <c r="M89" s="41" t="n"/>
    </row>
    <row r="90" ht="15" customHeight="1" s="32">
      <c r="A90" s="39" t="inlineStr">
        <is>
          <t>heavy_bomber</t>
        </is>
      </c>
      <c r="B90" s="39" t="inlineStr">
        <is>
          <t>Oanh tạc cơ hạng nặng</t>
        </is>
      </c>
      <c r="C90" s="39" t="inlineStr">
        <is>
          <t>Xe</t>
        </is>
      </c>
      <c r="D90" s="39" t="inlineStr">
        <is>
          <t>air_cruise_missile</t>
        </is>
      </c>
      <c r="E90" s="39" t="inlineStr">
        <is>
          <t>Kh-101 (400 kg)</t>
        </is>
      </c>
      <c r="F90" s="42" t="n">
        <v>1</v>
      </c>
      <c r="G90" s="50">
        <f>IFERROR(VLOOKUP(D90,'Vũ khí đề xuất'!$A:$AO,27,0),"")</f>
        <v/>
      </c>
      <c r="H90" s="50">
        <f>IFERROR(VLOOKUP(D90,'Vũ khí đề xuất'!$A:$AO,28,0),"")</f>
        <v/>
      </c>
      <c r="I90" s="50">
        <f>IFERROR(VLOOKUP(D90,'Vũ khí đề xuất'!$A:$AO,30,0),"")</f>
        <v/>
      </c>
      <c r="J90" s="50">
        <f>IFERROR(VLOOKUP(D90,'Vũ khí đề xuất'!$A:$AO,32,0),"")</f>
        <v/>
      </c>
      <c r="K90" s="50">
        <f>IFERROR(VLOOKUP(D90,'Vũ khí đề xuất'!$A:$AO,35,0),"")</f>
        <v/>
      </c>
      <c r="L90" s="50">
        <f>IFERROR(VLOOKUP(D90,'Vũ khí đề xuất'!$A:$AO,36,0),"")</f>
        <v/>
      </c>
      <c r="M90" s="39" t="n"/>
    </row>
    <row r="91" ht="15" customHeight="1" s="32">
      <c r="A91" s="41" t="inlineStr">
        <is>
          <t>sky_gunship</t>
        </is>
      </c>
      <c r="B91" s="41" t="inlineStr">
        <is>
          <t>Pháo hạm AC-130</t>
        </is>
      </c>
      <c r="C91" s="41" t="inlineStr">
        <is>
          <t>Xe</t>
        </is>
      </c>
      <c r="D91" s="41" t="inlineStr">
        <is>
          <t>gunship_105</t>
        </is>
      </c>
      <c r="E91" s="41" t="inlineStr">
        <is>
          <t>M102 105 mm</t>
        </is>
      </c>
      <c r="F91" s="43" t="n">
        <v>1</v>
      </c>
      <c r="G91" s="51">
        <f>IFERROR(VLOOKUP(D91,'Vũ khí đề xuất'!$A:$AO,27,0),"")</f>
        <v/>
      </c>
      <c r="H91" s="51">
        <f>IFERROR(VLOOKUP(D91,'Vũ khí đề xuất'!$A:$AO,28,0),"")</f>
        <v/>
      </c>
      <c r="I91" s="51">
        <f>IFERROR(VLOOKUP(D91,'Vũ khí đề xuất'!$A:$AO,30,0),"")</f>
        <v/>
      </c>
      <c r="J91" s="51">
        <f>IFERROR(VLOOKUP(D91,'Vũ khí đề xuất'!$A:$AO,32,0),"")</f>
        <v/>
      </c>
      <c r="K91" s="51">
        <f>IFERROR(VLOOKUP(D91,'Vũ khí đề xuất'!$A:$AO,35,0),"")</f>
        <v/>
      </c>
      <c r="L91" s="51">
        <f>IFERROR(VLOOKUP(D91,'Vũ khí đề xuất'!$A:$AO,36,0),"")</f>
        <v/>
      </c>
      <c r="M91" s="41" t="n"/>
    </row>
    <row r="92" ht="15" customHeight="1" s="32">
      <c r="A92" s="39" t="inlineStr">
        <is>
          <t>sky_gunship</t>
        </is>
      </c>
      <c r="B92" s="39" t="inlineStr">
        <is>
          <t>Pháo hạm AC-130</t>
        </is>
      </c>
      <c r="C92" s="39" t="inlineStr">
        <is>
          <t>Xe</t>
        </is>
      </c>
      <c r="D92" s="39" t="inlineStr">
        <is>
          <t>gunship_40mm</t>
        </is>
      </c>
      <c r="E92" s="39" t="inlineStr">
        <is>
          <t>Bofors L/60 40 mm</t>
        </is>
      </c>
      <c r="F92" s="42" t="n">
        <v>1</v>
      </c>
      <c r="G92" s="50">
        <f>IFERROR(VLOOKUP(D92,'Vũ khí đề xuất'!$A:$AO,27,0),"")</f>
        <v/>
      </c>
      <c r="H92" s="50">
        <f>IFERROR(VLOOKUP(D92,'Vũ khí đề xuất'!$A:$AO,28,0),"")</f>
        <v/>
      </c>
      <c r="I92" s="50">
        <f>IFERROR(VLOOKUP(D92,'Vũ khí đề xuất'!$A:$AO,30,0),"")</f>
        <v/>
      </c>
      <c r="J92" s="50">
        <f>IFERROR(VLOOKUP(D92,'Vũ khí đề xuất'!$A:$AO,32,0),"")</f>
        <v/>
      </c>
      <c r="K92" s="50">
        <f>IFERROR(VLOOKUP(D92,'Vũ khí đề xuất'!$A:$AO,35,0),"")</f>
        <v/>
      </c>
      <c r="L92" s="50">
        <f>IFERROR(VLOOKUP(D92,'Vũ khí đề xuất'!$A:$AO,36,0),"")</f>
        <v/>
      </c>
      <c r="M92" s="39" t="n"/>
    </row>
    <row r="93" ht="15" customHeight="1" s="32">
      <c r="A93" s="41" t="inlineStr">
        <is>
          <t>sky_gunship</t>
        </is>
      </c>
      <c r="B93" s="41" t="inlineStr">
        <is>
          <t>Pháo hạm AC-130</t>
        </is>
      </c>
      <c r="C93" s="41" t="inlineStr">
        <is>
          <t>Xe</t>
        </is>
      </c>
      <c r="D93" s="41" t="inlineStr">
        <is>
          <t>gunship_25mm</t>
        </is>
      </c>
      <c r="E93" s="41" t="inlineStr">
        <is>
          <t>GAU-12 Equalizer 25 mm</t>
        </is>
      </c>
      <c r="F93" s="43" t="n">
        <v>1</v>
      </c>
      <c r="G93" s="51">
        <f>IFERROR(VLOOKUP(D93,'Vũ khí đề xuất'!$A:$AO,27,0),"")</f>
        <v/>
      </c>
      <c r="H93" s="51">
        <f>IFERROR(VLOOKUP(D93,'Vũ khí đề xuất'!$A:$AO,28,0),"")</f>
        <v/>
      </c>
      <c r="I93" s="51">
        <f>IFERROR(VLOOKUP(D93,'Vũ khí đề xuất'!$A:$AO,30,0),"")</f>
        <v/>
      </c>
      <c r="J93" s="51">
        <f>IFERROR(VLOOKUP(D93,'Vũ khí đề xuất'!$A:$AO,32,0),"")</f>
        <v/>
      </c>
      <c r="K93" s="51">
        <f>IFERROR(VLOOKUP(D93,'Vũ khí đề xuất'!$A:$AO,35,0),"")</f>
        <v/>
      </c>
      <c r="L93" s="51">
        <f>IFERROR(VLOOKUP(D93,'Vũ khí đề xuất'!$A:$AO,36,0),"")</f>
        <v/>
      </c>
      <c r="M93" s="41" t="n"/>
    </row>
    <row r="94" ht="15" customHeight="1" s="32">
      <c r="A94" s="39"/>
      <c r="B94" s="39"/>
      <c r="C94" s="39"/>
      <c r="D94" s="39"/>
      <c r="E94" s="39"/>
      <c r="F94" s="42"/>
      <c r="G94" s="50"/>
      <c r="H94" s="50"/>
      <c r="I94" s="50"/>
      <c r="J94" s="50"/>
      <c r="K94" s="50"/>
      <c r="L94" s="50"/>
      <c r="M94" s="39"/>
    </row>
    <row r="95" ht="15" customHeight="1" s="32">
      <c r="A95" s="41"/>
      <c r="B95" s="41"/>
      <c r="C95" s="41"/>
      <c r="D95" s="41"/>
      <c r="E95" s="41"/>
      <c r="F95" s="43"/>
      <c r="G95" s="51"/>
      <c r="H95" s="51"/>
      <c r="I95" s="51"/>
      <c r="J95" s="51"/>
      <c r="K95" s="51"/>
      <c r="L95" s="51"/>
      <c r="M95" s="41"/>
    </row>
    <row r="96" ht="15" customHeight="1" s="32">
      <c r="A96" s="39" t="inlineStr">
        <is>
          <t>armored_bulldozer</t>
        </is>
      </c>
      <c r="B96" s="39" t="inlineStr">
        <is>
          <t>Xe ủi bọc thép</t>
        </is>
      </c>
      <c r="C96" s="39" t="inlineStr">
        <is>
          <t>Xe</t>
        </is>
      </c>
      <c r="D96" s="39" t="inlineStr">
        <is>
          <t>dozer_blade</t>
        </is>
      </c>
      <c r="E96" s="39" t="inlineStr">
        <is>
          <t>dozer blade</t>
        </is>
      </c>
      <c r="F96" s="42" t="n">
        <v>1</v>
      </c>
      <c r="G96" s="50">
        <f>IFERROR(VLOOKUP(D96,'Vũ khí đề xuất'!$A:$AO,27,0),"")</f>
        <v/>
      </c>
      <c r="H96" s="50">
        <f>IFERROR(VLOOKUP(D96,'Vũ khí đề xuất'!$A:$AO,28,0),"")</f>
        <v/>
      </c>
      <c r="I96" s="50">
        <f>IFERROR(VLOOKUP(D96,'Vũ khí đề xuất'!$A:$AO,30,0),"")</f>
        <v/>
      </c>
      <c r="J96" s="50">
        <f>IFERROR(VLOOKUP(D96,'Vũ khí đề xuất'!$A:$AO,32,0),"")</f>
        <v/>
      </c>
      <c r="K96" s="50">
        <f>IFERROR(VLOOKUP(D96,'Vũ khí đề xuất'!$A:$AO,35,0),"")</f>
        <v/>
      </c>
      <c r="L96" s="50">
        <f>IFERROR(VLOOKUP(D96,'Vũ khí đề xuất'!$A:$AO,36,0),"")</f>
        <v/>
      </c>
      <c r="M96" s="39" t="n"/>
    </row>
    <row r="97" ht="15" customHeight="1" s="32">
      <c r="A97" s="41" t="inlineStr">
        <is>
          <t>armored_bulldozer</t>
        </is>
      </c>
      <c r="B97" s="41" t="inlineStr">
        <is>
          <t>Xe ủi bọc thép</t>
        </is>
      </c>
      <c r="C97" s="41" t="inlineStr">
        <is>
          <t>Xe</t>
        </is>
      </c>
      <c r="D97" s="41" t="inlineStr">
        <is>
          <t>hmg_roof</t>
        </is>
      </c>
      <c r="E97" s="41" t="inlineStr">
        <is>
          <t>M2 Browning 12.7 mm</t>
        </is>
      </c>
      <c r="F97" s="43" t="n">
        <v>1</v>
      </c>
      <c r="G97" s="51">
        <f>IFERROR(VLOOKUP(D97,'Vũ khí đề xuất'!$A:$AO,27,0),"")</f>
        <v/>
      </c>
      <c r="H97" s="51">
        <f>IFERROR(VLOOKUP(D97,'Vũ khí đề xuất'!$A:$AO,28,0),"")</f>
        <v/>
      </c>
      <c r="I97" s="51">
        <f>IFERROR(VLOOKUP(D97,'Vũ khí đề xuất'!$A:$AO,30,0),"")</f>
        <v/>
      </c>
      <c r="J97" s="51">
        <f>IFERROR(VLOOKUP(D97,'Vũ khí đề xuất'!$A:$AO,32,0),"")</f>
        <v/>
      </c>
      <c r="K97" s="51">
        <f>IFERROR(VLOOKUP(D97,'Vũ khí đề xuất'!$A:$AO,35,0),"")</f>
        <v/>
      </c>
      <c r="L97" s="51">
        <f>IFERROR(VLOOKUP(D97,'Vũ khí đề xuất'!$A:$AO,36,0),"")</f>
        <v/>
      </c>
      <c r="M97" s="41" t="n"/>
    </row>
    <row r="98" ht="15" customHeight="1" s="32">
      <c r="A98" s="39" t="inlineStr">
        <is>
          <t>main_battle_tank</t>
        </is>
      </c>
      <c r="B98" s="39" t="inlineStr">
        <is>
          <t>Tăng chủ lực</t>
        </is>
      </c>
      <c r="C98" s="39" t="inlineStr">
        <is>
          <t>Xe</t>
        </is>
      </c>
      <c r="D98" s="39" t="inlineStr">
        <is>
          <t>gun_120mm</t>
        </is>
      </c>
      <c r="E98" s="39" t="inlineStr">
        <is>
          <t>Rh-120 L/44 120 mm</t>
        </is>
      </c>
      <c r="F98" s="42" t="n">
        <v>1</v>
      </c>
      <c r="G98" s="50">
        <f>IFERROR(VLOOKUP(D98,'Vũ khí đề xuất'!$A:$AO,27,0),"")</f>
        <v/>
      </c>
      <c r="H98" s="50">
        <f>IFERROR(VLOOKUP(D98,'Vũ khí đề xuất'!$A:$AO,28,0),"")</f>
        <v/>
      </c>
      <c r="I98" s="50">
        <f>IFERROR(VLOOKUP(D98,'Vũ khí đề xuất'!$A:$AO,30,0),"")</f>
        <v/>
      </c>
      <c r="J98" s="50">
        <f>IFERROR(VLOOKUP(D98,'Vũ khí đề xuất'!$A:$AO,32,0),"")</f>
        <v/>
      </c>
      <c r="K98" s="50">
        <f>IFERROR(VLOOKUP(D98,'Vũ khí đề xuất'!$A:$AO,35,0),"")</f>
        <v/>
      </c>
      <c r="L98" s="50">
        <f>IFERROR(VLOOKUP(D98,'Vũ khí đề xuất'!$A:$AO,36,0),"")</f>
        <v/>
      </c>
      <c r="M98" s="39" t="n"/>
    </row>
    <row r="99" ht="15" customHeight="1" s="32">
      <c r="A99" s="41" t="inlineStr">
        <is>
          <t>main_battle_tank</t>
        </is>
      </c>
      <c r="B99" s="41" t="inlineStr">
        <is>
          <t>Tăng chủ lực</t>
        </is>
      </c>
      <c r="C99" s="41" t="inlineStr">
        <is>
          <t>Xe</t>
        </is>
      </c>
      <c r="D99" s="41" t="inlineStr">
        <is>
          <t>mg_coax</t>
        </is>
      </c>
      <c r="E99" s="41" t="inlineStr">
        <is>
          <t>PKT / M240 7.62 mm</t>
        </is>
      </c>
      <c r="F99" s="43" t="n">
        <v>1</v>
      </c>
      <c r="G99" s="51">
        <f>IFERROR(VLOOKUP(D99,'Vũ khí đề xuất'!$A:$AO,27,0),"")</f>
        <v/>
      </c>
      <c r="H99" s="51">
        <f>IFERROR(VLOOKUP(D99,'Vũ khí đề xuất'!$A:$AO,28,0),"")</f>
        <v/>
      </c>
      <c r="I99" s="51">
        <f>IFERROR(VLOOKUP(D99,'Vũ khí đề xuất'!$A:$AO,30,0),"")</f>
        <v/>
      </c>
      <c r="J99" s="51">
        <f>IFERROR(VLOOKUP(D99,'Vũ khí đề xuất'!$A:$AO,32,0),"")</f>
        <v/>
      </c>
      <c r="K99" s="51">
        <f>IFERROR(VLOOKUP(D99,'Vũ khí đề xuất'!$A:$AO,35,0),"")</f>
        <v/>
      </c>
      <c r="L99" s="51">
        <f>IFERROR(VLOOKUP(D99,'Vũ khí đề xuất'!$A:$AO,36,0),"")</f>
        <v/>
      </c>
      <c r="M99" s="41" t="n"/>
    </row>
    <row r="100" ht="15" customHeight="1" s="32">
      <c r="A100" s="39" t="inlineStr">
        <is>
          <t>main_battle_tank</t>
        </is>
      </c>
      <c r="B100" s="39" t="inlineStr">
        <is>
          <t>Tăng chủ lực</t>
        </is>
      </c>
      <c r="C100" s="39" t="inlineStr">
        <is>
          <t>Xe</t>
        </is>
      </c>
      <c r="D100" s="39" t="inlineStr">
        <is>
          <t>hmg_roof</t>
        </is>
      </c>
      <c r="E100" s="39" t="inlineStr">
        <is>
          <t>M2 Browning 12.7 mm</t>
        </is>
      </c>
      <c r="F100" s="42" t="n">
        <v>1</v>
      </c>
      <c r="G100" s="50">
        <f>IFERROR(VLOOKUP(D100,'Vũ khí đề xuất'!$A:$AO,27,0),"")</f>
        <v/>
      </c>
      <c r="H100" s="50">
        <f>IFERROR(VLOOKUP(D100,'Vũ khí đề xuất'!$A:$AO,28,0),"")</f>
        <v/>
      </c>
      <c r="I100" s="50">
        <f>IFERROR(VLOOKUP(D100,'Vũ khí đề xuất'!$A:$AO,30,0),"")</f>
        <v/>
      </c>
      <c r="J100" s="50">
        <f>IFERROR(VLOOKUP(D100,'Vũ khí đề xuất'!$A:$AO,32,0),"")</f>
        <v/>
      </c>
      <c r="K100" s="50">
        <f>IFERROR(VLOOKUP(D100,'Vũ khí đề xuất'!$A:$AO,35,0),"")</f>
        <v/>
      </c>
      <c r="L100" s="50">
        <f>IFERROR(VLOOKUP(D100,'Vũ khí đề xuất'!$A:$AO,36,0),"")</f>
        <v/>
      </c>
      <c r="M100" s="39" t="n"/>
    </row>
    <row r="101" ht="15" customHeight="1" s="32">
      <c r="A101" s="41" t="inlineStr">
        <is>
          <t>twin_tank</t>
        </is>
      </c>
      <c r="B101" s="41" t="inlineStr">
        <is>
          <t>Tăng hai nòng</t>
        </is>
      </c>
      <c r="C101" s="41" t="inlineStr">
        <is>
          <t>Xe</t>
        </is>
      </c>
      <c r="D101" s="41" t="inlineStr">
        <is>
          <t>gun_120_twin</t>
        </is>
      </c>
      <c r="E101" s="41" t="inlineStr">
        <is>
          <t>Rh-120 L/44 120 mm (twin)</t>
        </is>
      </c>
      <c r="F101" s="43" t="n">
        <v>1</v>
      </c>
      <c r="G101" s="51">
        <f>IFERROR(VLOOKUP(D101,'Vũ khí đề xuất'!$A:$AO,27,0),"")</f>
        <v/>
      </c>
      <c r="H101" s="51">
        <f>IFERROR(VLOOKUP(D101,'Vũ khí đề xuất'!$A:$AO,28,0),"")</f>
        <v/>
      </c>
      <c r="I101" s="51">
        <f>IFERROR(VLOOKUP(D101,'Vũ khí đề xuất'!$A:$AO,30,0),"")</f>
        <v/>
      </c>
      <c r="J101" s="51">
        <f>IFERROR(VLOOKUP(D101,'Vũ khí đề xuất'!$A:$AO,32,0),"")</f>
        <v/>
      </c>
      <c r="K101" s="51">
        <f>IFERROR(VLOOKUP(D101,'Vũ khí đề xuất'!$A:$AO,35,0),"")</f>
        <v/>
      </c>
      <c r="L101" s="51">
        <f>IFERROR(VLOOKUP(D101,'Vũ khí đề xuất'!$A:$AO,36,0),"")</f>
        <v/>
      </c>
      <c r="M101" s="41" t="n"/>
    </row>
    <row r="102" ht="15" customHeight="1" s="32">
      <c r="A102" s="39" t="inlineStr">
        <is>
          <t>twin_tank</t>
        </is>
      </c>
      <c r="B102" s="39" t="inlineStr">
        <is>
          <t>Tăng hai nòng</t>
        </is>
      </c>
      <c r="C102" s="39" t="inlineStr">
        <is>
          <t>Xe</t>
        </is>
      </c>
      <c r="D102" s="39" t="inlineStr">
        <is>
          <t>mg_coax</t>
        </is>
      </c>
      <c r="E102" s="39" t="inlineStr">
        <is>
          <t>PKT / M240 7.62 mm</t>
        </is>
      </c>
      <c r="F102" s="42" t="n">
        <v>1</v>
      </c>
      <c r="G102" s="50">
        <f>IFERROR(VLOOKUP(D102,'Vũ khí đề xuất'!$A:$AO,27,0),"")</f>
        <v/>
      </c>
      <c r="H102" s="50">
        <f>IFERROR(VLOOKUP(D102,'Vũ khí đề xuất'!$A:$AO,28,0),"")</f>
        <v/>
      </c>
      <c r="I102" s="50">
        <f>IFERROR(VLOOKUP(D102,'Vũ khí đề xuất'!$A:$AO,30,0),"")</f>
        <v/>
      </c>
      <c r="J102" s="50">
        <f>IFERROR(VLOOKUP(D102,'Vũ khí đề xuất'!$A:$AO,32,0),"")</f>
        <v/>
      </c>
      <c r="K102" s="50">
        <f>IFERROR(VLOOKUP(D102,'Vũ khí đề xuất'!$A:$AO,35,0),"")</f>
        <v/>
      </c>
      <c r="L102" s="50">
        <f>IFERROR(VLOOKUP(D102,'Vũ khí đề xuất'!$A:$AO,36,0),"")</f>
        <v/>
      </c>
      <c r="M102" s="39" t="n"/>
    </row>
    <row r="103" ht="15" customHeight="1" s="32">
      <c r="A103" s="41" t="inlineStr">
        <is>
          <t>twin_tank</t>
        </is>
      </c>
      <c r="B103" s="41" t="inlineStr">
        <is>
          <t>Tăng hai nòng</t>
        </is>
      </c>
      <c r="C103" s="41" t="inlineStr">
        <is>
          <t>Xe</t>
        </is>
      </c>
      <c r="D103" s="41" t="inlineStr">
        <is>
          <t>hmg_roof</t>
        </is>
      </c>
      <c r="E103" s="41" t="inlineStr">
        <is>
          <t>M2 Browning 12.7 mm</t>
        </is>
      </c>
      <c r="F103" s="43" t="n">
        <v>1</v>
      </c>
      <c r="G103" s="51">
        <f>IFERROR(VLOOKUP(D103,'Vũ khí đề xuất'!$A:$AO,27,0),"")</f>
        <v/>
      </c>
      <c r="H103" s="51">
        <f>IFERROR(VLOOKUP(D103,'Vũ khí đề xuất'!$A:$AO,28,0),"")</f>
        <v/>
      </c>
      <c r="I103" s="51">
        <f>IFERROR(VLOOKUP(D103,'Vũ khí đề xuất'!$A:$AO,30,0),"")</f>
        <v/>
      </c>
      <c r="J103" s="51">
        <f>IFERROR(VLOOKUP(D103,'Vũ khí đề xuất'!$A:$AO,32,0),"")</f>
        <v/>
      </c>
      <c r="K103" s="51">
        <f>IFERROR(VLOOKUP(D103,'Vũ khí đề xuất'!$A:$AO,35,0),"")</f>
        <v/>
      </c>
      <c r="L103" s="51">
        <f>IFERROR(VLOOKUP(D103,'Vũ khí đề xuất'!$A:$AO,36,0),"")</f>
        <v/>
      </c>
      <c r="M103" s="41" t="n"/>
    </row>
    <row r="104" ht="15" customHeight="1" s="32">
      <c r="A104" s="39" t="inlineStr">
        <is>
          <t>heavy_tank</t>
        </is>
      </c>
      <c r="B104" s="39" t="inlineStr">
        <is>
          <t>Tăng hạng nặng</t>
        </is>
      </c>
      <c r="C104" s="39" t="inlineStr">
        <is>
          <t>Xe</t>
        </is>
      </c>
      <c r="D104" s="39" t="inlineStr">
        <is>
          <t>gun_152</t>
        </is>
      </c>
      <c r="E104" s="39" t="inlineStr">
        <is>
          <t>2A83 152 mm</t>
        </is>
      </c>
      <c r="F104" s="42" t="n">
        <v>1</v>
      </c>
      <c r="G104" s="50">
        <f>IFERROR(VLOOKUP(D104,'Vũ khí đề xuất'!$A:$AO,27,0),"")</f>
        <v/>
      </c>
      <c r="H104" s="50">
        <f>IFERROR(VLOOKUP(D104,'Vũ khí đề xuất'!$A:$AO,28,0),"")</f>
        <v/>
      </c>
      <c r="I104" s="50">
        <f>IFERROR(VLOOKUP(D104,'Vũ khí đề xuất'!$A:$AO,30,0),"")</f>
        <v/>
      </c>
      <c r="J104" s="50">
        <f>IFERROR(VLOOKUP(D104,'Vũ khí đề xuất'!$A:$AO,32,0),"")</f>
        <v/>
      </c>
      <c r="K104" s="50">
        <f>IFERROR(VLOOKUP(D104,'Vũ khí đề xuất'!$A:$AO,35,0),"")</f>
        <v/>
      </c>
      <c r="L104" s="50">
        <f>IFERROR(VLOOKUP(D104,'Vũ khí đề xuất'!$A:$AO,36,0),"")</f>
        <v/>
      </c>
      <c r="M104" s="39" t="n"/>
    </row>
    <row r="105" ht="15" customHeight="1" s="32">
      <c r="A105" s="41" t="inlineStr">
        <is>
          <t>heavy_tank</t>
        </is>
      </c>
      <c r="B105" s="41" t="inlineStr">
        <is>
          <t>Tăng hạng nặng</t>
        </is>
      </c>
      <c r="C105" s="41" t="inlineStr">
        <is>
          <t>Xe</t>
        </is>
      </c>
      <c r="D105" s="41" t="inlineStr">
        <is>
          <t>autocannon_30</t>
        </is>
      </c>
      <c r="E105" s="41" t="inlineStr">
        <is>
          <t>2A42 30 mm</t>
        </is>
      </c>
      <c r="F105" s="43" t="n">
        <v>1</v>
      </c>
      <c r="G105" s="51">
        <f>IFERROR(VLOOKUP(D105,'Vũ khí đề xuất'!$A:$AO,27,0),"")</f>
        <v/>
      </c>
      <c r="H105" s="51">
        <f>IFERROR(VLOOKUP(D105,'Vũ khí đề xuất'!$A:$AO,28,0),"")</f>
        <v/>
      </c>
      <c r="I105" s="51">
        <f>IFERROR(VLOOKUP(D105,'Vũ khí đề xuất'!$A:$AO,30,0),"")</f>
        <v/>
      </c>
      <c r="J105" s="51">
        <f>IFERROR(VLOOKUP(D105,'Vũ khí đề xuất'!$A:$AO,32,0),"")</f>
        <v/>
      </c>
      <c r="K105" s="51">
        <f>IFERROR(VLOOKUP(D105,'Vũ khí đề xuất'!$A:$AO,35,0),"")</f>
        <v/>
      </c>
      <c r="L105" s="51">
        <f>IFERROR(VLOOKUP(D105,'Vũ khí đề xuất'!$A:$AO,36,0),"")</f>
        <v/>
      </c>
      <c r="M105" s="41" t="n"/>
    </row>
    <row r="106" ht="15" customHeight="1" s="32">
      <c r="A106" s="39" t="inlineStr">
        <is>
          <t>heavy_tank</t>
        </is>
      </c>
      <c r="B106" s="39" t="inlineStr">
        <is>
          <t>Tăng hạng nặng</t>
        </is>
      </c>
      <c r="C106" s="39" t="inlineStr">
        <is>
          <t>Xe</t>
        </is>
      </c>
      <c r="D106" s="39" t="inlineStr">
        <is>
          <t>hmg_roof</t>
        </is>
      </c>
      <c r="E106" s="39" t="inlineStr">
        <is>
          <t>M2 Browning 12.7 mm</t>
        </is>
      </c>
      <c r="F106" s="42" t="n">
        <v>1</v>
      </c>
      <c r="G106" s="50">
        <f>IFERROR(VLOOKUP(D106,'Vũ khí đề xuất'!$A:$AO,27,0),"")</f>
        <v/>
      </c>
      <c r="H106" s="50">
        <f>IFERROR(VLOOKUP(D106,'Vũ khí đề xuất'!$A:$AO,28,0),"")</f>
        <v/>
      </c>
      <c r="I106" s="50">
        <f>IFERROR(VLOOKUP(D106,'Vũ khí đề xuất'!$A:$AO,30,0),"")</f>
        <v/>
      </c>
      <c r="J106" s="50">
        <f>IFERROR(VLOOKUP(D106,'Vũ khí đề xuất'!$A:$AO,32,0),"")</f>
        <v/>
      </c>
      <c r="K106" s="50">
        <f>IFERROR(VLOOKUP(D106,'Vũ khí đề xuất'!$A:$AO,35,0),"")</f>
        <v/>
      </c>
      <c r="L106" s="50">
        <f>IFERROR(VLOOKUP(D106,'Vũ khí đề xuất'!$A:$AO,36,0),"")</f>
        <v/>
      </c>
      <c r="M106" s="39" t="n"/>
    </row>
    <row r="107" ht="15" customHeight="1" s="32">
      <c r="A107" s="41" t="inlineStr">
        <is>
          <t>titan_tank</t>
        </is>
      </c>
      <c r="B107" s="41" t="inlineStr">
        <is>
          <t>Siêu tăng Titan</t>
        </is>
      </c>
      <c r="C107" s="41" t="inlineStr">
        <is>
          <t>Xe</t>
        </is>
      </c>
      <c r="D107" s="41" t="inlineStr">
        <is>
          <t>gun_140_twin</t>
        </is>
      </c>
      <c r="E107" s="41" t="inlineStr">
        <is>
          <t>NPzK 140 mm (twin)</t>
        </is>
      </c>
      <c r="F107" s="43" t="n">
        <v>1</v>
      </c>
      <c r="G107" s="51">
        <f>IFERROR(VLOOKUP(D107,'Vũ khí đề xuất'!$A:$AO,27,0),"")</f>
        <v/>
      </c>
      <c r="H107" s="51">
        <f>IFERROR(VLOOKUP(D107,'Vũ khí đề xuất'!$A:$AO,28,0),"")</f>
        <v/>
      </c>
      <c r="I107" s="51">
        <f>IFERROR(VLOOKUP(D107,'Vũ khí đề xuất'!$A:$AO,30,0),"")</f>
        <v/>
      </c>
      <c r="J107" s="51">
        <f>IFERROR(VLOOKUP(D107,'Vũ khí đề xuất'!$A:$AO,32,0),"")</f>
        <v/>
      </c>
      <c r="K107" s="51">
        <f>IFERROR(VLOOKUP(D107,'Vũ khí đề xuất'!$A:$AO,35,0),"")</f>
        <v/>
      </c>
      <c r="L107" s="51">
        <f>IFERROR(VLOOKUP(D107,'Vũ khí đề xuất'!$A:$AO,36,0),"")</f>
        <v/>
      </c>
      <c r="M107" s="41" t="n"/>
    </row>
    <row r="108" ht="15" customHeight="1" s="32">
      <c r="A108" s="39" t="inlineStr">
        <is>
          <t>titan_tank</t>
        </is>
      </c>
      <c r="B108" s="39" t="inlineStr">
        <is>
          <t>Siêu tăng Titan</t>
        </is>
      </c>
      <c r="C108" s="39" t="inlineStr">
        <is>
          <t>Xe</t>
        </is>
      </c>
      <c r="D108" s="39" t="inlineStr">
        <is>
          <t>mg_coax</t>
        </is>
      </c>
      <c r="E108" s="39" t="inlineStr">
        <is>
          <t>PKT / M240 7.62 mm</t>
        </is>
      </c>
      <c r="F108" s="42" t="n">
        <v>1</v>
      </c>
      <c r="G108" s="50">
        <f>IFERROR(VLOOKUP(D108,'Vũ khí đề xuất'!$A:$AO,27,0),"")</f>
        <v/>
      </c>
      <c r="H108" s="50">
        <f>IFERROR(VLOOKUP(D108,'Vũ khí đề xuất'!$A:$AO,28,0),"")</f>
        <v/>
      </c>
      <c r="I108" s="50">
        <f>IFERROR(VLOOKUP(D108,'Vũ khí đề xuất'!$A:$AO,30,0),"")</f>
        <v/>
      </c>
      <c r="J108" s="50">
        <f>IFERROR(VLOOKUP(D108,'Vũ khí đề xuất'!$A:$AO,32,0),"")</f>
        <v/>
      </c>
      <c r="K108" s="50">
        <f>IFERROR(VLOOKUP(D108,'Vũ khí đề xuất'!$A:$AO,35,0),"")</f>
        <v/>
      </c>
      <c r="L108" s="50">
        <f>IFERROR(VLOOKUP(D108,'Vũ khí đề xuất'!$A:$AO,36,0),"")</f>
        <v/>
      </c>
      <c r="M108" s="39" t="n"/>
    </row>
    <row r="109" ht="15" customHeight="1" s="32">
      <c r="A109" s="41" t="inlineStr">
        <is>
          <t>titan_tank</t>
        </is>
      </c>
      <c r="B109" s="41" t="inlineStr">
        <is>
          <t>Siêu tăng Titan</t>
        </is>
      </c>
      <c r="C109" s="41" t="inlineStr">
        <is>
          <t>Xe</t>
        </is>
      </c>
      <c r="D109" s="41" t="inlineStr">
        <is>
          <t>hmg_roof</t>
        </is>
      </c>
      <c r="E109" s="41" t="inlineStr">
        <is>
          <t>M2 Browning 12.7 mm</t>
        </is>
      </c>
      <c r="F109" s="43" t="n">
        <v>1</v>
      </c>
      <c r="G109" s="51">
        <f>IFERROR(VLOOKUP(D109,'Vũ khí đề xuất'!$A:$AO,27,0),"")</f>
        <v/>
      </c>
      <c r="H109" s="51">
        <f>IFERROR(VLOOKUP(D109,'Vũ khí đề xuất'!$A:$AO,28,0),"")</f>
        <v/>
      </c>
      <c r="I109" s="51">
        <f>IFERROR(VLOOKUP(D109,'Vũ khí đề xuất'!$A:$AO,30,0),"")</f>
        <v/>
      </c>
      <c r="J109" s="51">
        <f>IFERROR(VLOOKUP(D109,'Vũ khí đề xuất'!$A:$AO,32,0),"")</f>
        <v/>
      </c>
      <c r="K109" s="51">
        <f>IFERROR(VLOOKUP(D109,'Vũ khí đề xuất'!$A:$AO,35,0),"")</f>
        <v/>
      </c>
      <c r="L109" s="51">
        <f>IFERROR(VLOOKUP(D109,'Vũ khí đề xuất'!$A:$AO,36,0),"")</f>
        <v/>
      </c>
      <c r="M109" s="41" t="n"/>
    </row>
    <row r="110" ht="15" customHeight="1" s="32">
      <c r="A110" s="39" t="inlineStr">
        <is>
          <t>titan_tank</t>
        </is>
      </c>
      <c r="B110" s="39" t="inlineStr">
        <is>
          <t>Siêu tăng Titan</t>
        </is>
      </c>
      <c r="C110" s="39" t="inlineStr">
        <is>
          <t>Xe</t>
        </is>
      </c>
      <c r="D110" s="39" t="inlineStr">
        <is>
          <t>atgm</t>
        </is>
      </c>
      <c r="E110" s="39" t="inlineStr">
        <is>
          <t>BGM-71 TOW-2</t>
        </is>
      </c>
      <c r="F110" s="42" t="n">
        <v>1</v>
      </c>
      <c r="G110" s="50">
        <f>IFERROR(VLOOKUP(D110,'Vũ khí đề xuất'!$A:$AO,27,0),"")</f>
        <v/>
      </c>
      <c r="H110" s="50">
        <f>IFERROR(VLOOKUP(D110,'Vũ khí đề xuất'!$A:$AO,28,0),"")</f>
        <v/>
      </c>
      <c r="I110" s="50">
        <f>IFERROR(VLOOKUP(D110,'Vũ khí đề xuất'!$A:$AO,30,0),"")</f>
        <v/>
      </c>
      <c r="J110" s="50">
        <f>IFERROR(VLOOKUP(D110,'Vũ khí đề xuất'!$A:$AO,32,0),"")</f>
        <v/>
      </c>
      <c r="K110" s="50">
        <f>IFERROR(VLOOKUP(D110,'Vũ khí đề xuất'!$A:$AO,35,0),"")</f>
        <v/>
      </c>
      <c r="L110" s="50">
        <f>IFERROR(VLOOKUP(D110,'Vũ khí đề xuất'!$A:$AO,36,0),"")</f>
        <v/>
      </c>
      <c r="M110" s="39" t="n"/>
    </row>
    <row r="111" ht="15" customHeight="1" s="32">
      <c r="A111" s="41" t="inlineStr">
        <is>
          <t>fpv_carrier</t>
        </is>
      </c>
      <c r="B111" s="41" t="inlineStr">
        <is>
          <t>Xe phóng drone FPV</t>
        </is>
      </c>
      <c r="C111" s="41" t="inlineStr">
        <is>
          <t>Xe</t>
        </is>
      </c>
      <c r="D111" s="41" t="inlineStr">
        <is>
          <t>fpv_swarm</t>
        </is>
      </c>
      <c r="E111" s="41" t="inlineStr">
        <is>
          <t>FPV drone (1.5 kg)</t>
        </is>
      </c>
      <c r="F111" s="43" t="n">
        <v>1</v>
      </c>
      <c r="G111" s="51">
        <f>IFERROR(VLOOKUP(D111,'Vũ khí đề xuất'!$A:$AO,27,0),"")</f>
        <v/>
      </c>
      <c r="H111" s="51">
        <f>IFERROR(VLOOKUP(D111,'Vũ khí đề xuất'!$A:$AO,28,0),"")</f>
        <v/>
      </c>
      <c r="I111" s="51">
        <f>IFERROR(VLOOKUP(D111,'Vũ khí đề xuất'!$A:$AO,30,0),"")</f>
        <v/>
      </c>
      <c r="J111" s="51">
        <f>IFERROR(VLOOKUP(D111,'Vũ khí đề xuất'!$A:$AO,32,0),"")</f>
        <v/>
      </c>
      <c r="K111" s="51">
        <f>IFERROR(VLOOKUP(D111,'Vũ khí đề xuất'!$A:$AO,35,0),"")</f>
        <v/>
      </c>
      <c r="L111" s="51">
        <f>IFERROR(VLOOKUP(D111,'Vũ khí đề xuất'!$A:$AO,36,0),"")</f>
        <v/>
      </c>
      <c r="M111" s="41" t="n"/>
    </row>
    <row r="112" ht="15" customHeight="1" s="32">
      <c r="A112" s="39" t="inlineStr">
        <is>
          <t>fpv_carrier</t>
        </is>
      </c>
      <c r="B112" s="39" t="inlineStr">
        <is>
          <t>Xe phóng drone FPV</t>
        </is>
      </c>
      <c r="C112" s="39" t="inlineStr">
        <is>
          <t>Xe</t>
        </is>
      </c>
      <c r="D112" s="39" t="inlineStr">
        <is>
          <t>hmg_selfdef_18</t>
        </is>
      </c>
      <c r="E112" s="39" t="inlineStr">
        <is>
          <t>M2 Browning 12.7 mm</t>
        </is>
      </c>
      <c r="F112" s="42" t="n">
        <v>1</v>
      </c>
      <c r="G112" s="50">
        <f>IFERROR(VLOOKUP(D112,'Vũ khí đề xuất'!$A:$AO,27,0),"")</f>
        <v/>
      </c>
      <c r="H112" s="50">
        <f>IFERROR(VLOOKUP(D112,'Vũ khí đề xuất'!$A:$AO,28,0),"")</f>
        <v/>
      </c>
      <c r="I112" s="50">
        <f>IFERROR(VLOOKUP(D112,'Vũ khí đề xuất'!$A:$AO,30,0),"")</f>
        <v/>
      </c>
      <c r="J112" s="50">
        <f>IFERROR(VLOOKUP(D112,'Vũ khí đề xuất'!$A:$AO,32,0),"")</f>
        <v/>
      </c>
      <c r="K112" s="50">
        <f>IFERROR(VLOOKUP(D112,'Vũ khí đề xuất'!$A:$AO,35,0),"")</f>
        <v/>
      </c>
      <c r="L112" s="50">
        <f>IFERROR(VLOOKUP(D112,'Vũ khí đề xuất'!$A:$AO,36,0),"")</f>
        <v/>
      </c>
      <c r="M112" s="39" t="n"/>
    </row>
    <row r="113" ht="15" customHeight="1" s="32">
      <c r="A113" s="41"/>
      <c r="B113" s="41"/>
      <c r="C113" s="41"/>
      <c r="D113" s="41"/>
      <c r="E113" s="41"/>
      <c r="F113" s="43"/>
      <c r="G113" s="51"/>
      <c r="H113" s="51"/>
      <c r="I113" s="51"/>
      <c r="J113" s="51"/>
      <c r="K113" s="51"/>
      <c r="L113" s="51"/>
      <c r="M113" s="41"/>
    </row>
    <row r="114" ht="15" customHeight="1" s="32">
      <c r="A114" s="39"/>
      <c r="B114" s="39"/>
      <c r="C114" s="39"/>
      <c r="D114" s="39"/>
      <c r="E114" s="39"/>
      <c r="F114" s="42"/>
      <c r="G114" s="50"/>
      <c r="H114" s="50"/>
      <c r="I114" s="50"/>
      <c r="J114" s="50"/>
      <c r="K114" s="50"/>
      <c r="L114" s="50"/>
      <c r="M114" s="39"/>
    </row>
    <row r="115" ht="21.75" customHeight="1" s="32">
      <c r="A115" s="41" t="inlineStr">
        <is>
          <t>wheeled_gun</t>
        </is>
      </c>
      <c r="B115" s="41" t="inlineStr">
        <is>
          <t>Pháo bánh lốp diệt tăng</t>
        </is>
      </c>
      <c r="C115" s="41" t="inlineStr">
        <is>
          <t>Xe</t>
        </is>
      </c>
      <c r="D115" s="41" t="inlineStr">
        <is>
          <t>gun_105_wheeled</t>
        </is>
      </c>
      <c r="E115" s="41" t="inlineStr">
        <is>
          <t>Centauro II 120 mm</t>
        </is>
      </c>
      <c r="F115" s="43" t="n">
        <v>1</v>
      </c>
      <c r="G115" s="51">
        <f>IFERROR(VLOOKUP(D115,'Vũ khí đề xuất'!$A:$AO,27,0),"")</f>
        <v/>
      </c>
      <c r="H115" s="51">
        <f>IFERROR(VLOOKUP(D115,'Vũ khí đề xuất'!$A:$AO,28,0),"")</f>
        <v/>
      </c>
      <c r="I115" s="51">
        <f>IFERROR(VLOOKUP(D115,'Vũ khí đề xuất'!$A:$AO,30,0),"")</f>
        <v/>
      </c>
      <c r="J115" s="51">
        <f>IFERROR(VLOOKUP(D115,'Vũ khí đề xuất'!$A:$AO,32,0),"")</f>
        <v/>
      </c>
      <c r="K115" s="51">
        <f>IFERROR(VLOOKUP(D115,'Vũ khí đề xuất'!$A:$AO,35,0),"")</f>
        <v/>
      </c>
      <c r="L115" s="51">
        <f>IFERROR(VLOOKUP(D115,'Vũ khí đề xuất'!$A:$AO,36,0),"")</f>
        <v/>
      </c>
      <c r="M115" s="41" t="inlineStr">
        <is>
          <t>Thêm súng máy 12,7 mm trên nóc — Centauro II có súng máy trên nóc; tự vệ trước drone và xe nhẹ.</t>
        </is>
      </c>
    </row>
    <row r="116" ht="21.75" customHeight="1" s="32">
      <c r="A116" s="39" t="inlineStr">
        <is>
          <t>wheeled_gun</t>
        </is>
      </c>
      <c r="B116" s="39" t="inlineStr">
        <is>
          <t>Pháo bánh lốp diệt tăng</t>
        </is>
      </c>
      <c r="C116" s="39" t="inlineStr">
        <is>
          <t>Xe</t>
        </is>
      </c>
      <c r="D116" s="39" t="inlineStr">
        <is>
          <t>mg_coax</t>
        </is>
      </c>
      <c r="E116" s="39" t="inlineStr">
        <is>
          <t>PKT / M240 7.62 mm</t>
        </is>
      </c>
      <c r="F116" s="42" t="n">
        <v>1</v>
      </c>
      <c r="G116" s="50">
        <f>IFERROR(VLOOKUP(D116,'Vũ khí đề xuất'!$A:$AO,27,0),"")</f>
        <v/>
      </c>
      <c r="H116" s="50">
        <f>IFERROR(VLOOKUP(D116,'Vũ khí đề xuất'!$A:$AO,28,0),"")</f>
        <v/>
      </c>
      <c r="I116" s="50">
        <f>IFERROR(VLOOKUP(D116,'Vũ khí đề xuất'!$A:$AO,30,0),"")</f>
        <v/>
      </c>
      <c r="J116" s="50">
        <f>IFERROR(VLOOKUP(D116,'Vũ khí đề xuất'!$A:$AO,32,0),"")</f>
        <v/>
      </c>
      <c r="K116" s="50">
        <f>IFERROR(VLOOKUP(D116,'Vũ khí đề xuất'!$A:$AO,35,0),"")</f>
        <v/>
      </c>
      <c r="L116" s="50">
        <f>IFERROR(VLOOKUP(D116,'Vũ khí đề xuất'!$A:$AO,36,0),"")</f>
        <v/>
      </c>
      <c r="M116" s="39" t="inlineStr">
        <is>
          <t>Thêm súng máy 12,7 mm trên nóc — Centauro II có súng máy trên nóc; tự vệ trước drone và xe nhẹ.</t>
        </is>
      </c>
    </row>
    <row r="117" ht="15" customHeight="1" s="32">
      <c r="A117" s="41" t="inlineStr">
        <is>
          <t>tank_destroyer</t>
        </is>
      </c>
      <c r="B117" s="41" t="inlineStr">
        <is>
          <t>Pháo chống tăng</t>
        </is>
      </c>
      <c r="C117" s="41" t="inlineStr">
        <is>
          <t>Xe</t>
        </is>
      </c>
      <c r="D117" s="41" t="inlineStr">
        <is>
          <t>gun_105_long</t>
        </is>
      </c>
      <c r="E117" s="41" t="inlineStr">
        <is>
          <t>2A75 125 mm (2S25 Sprut)</t>
        </is>
      </c>
      <c r="F117" s="43" t="n">
        <v>1</v>
      </c>
      <c r="G117" s="51">
        <f>IFERROR(VLOOKUP(D117,'Vũ khí đề xuất'!$A:$AO,27,0),"")</f>
        <v/>
      </c>
      <c r="H117" s="51">
        <f>IFERROR(VLOOKUP(D117,'Vũ khí đề xuất'!$A:$AO,28,0),"")</f>
        <v/>
      </c>
      <c r="I117" s="51">
        <f>IFERROR(VLOOKUP(D117,'Vũ khí đề xuất'!$A:$AO,30,0),"")</f>
        <v/>
      </c>
      <c r="J117" s="51">
        <f>IFERROR(VLOOKUP(D117,'Vũ khí đề xuất'!$A:$AO,32,0),"")</f>
        <v/>
      </c>
      <c r="K117" s="51">
        <f>IFERROR(VLOOKUP(D117,'Vũ khí đề xuất'!$A:$AO,35,0),"")</f>
        <v/>
      </c>
      <c r="L117" s="51">
        <f>IFERROR(VLOOKUP(D117,'Vũ khí đề xuất'!$A:$AO,36,0),"")</f>
        <v/>
      </c>
      <c r="M117" s="41" t="n"/>
    </row>
    <row r="118" ht="15" customHeight="1" s="32">
      <c r="A118" s="39" t="inlineStr">
        <is>
          <t>tank_destroyer</t>
        </is>
      </c>
      <c r="B118" s="39" t="inlineStr">
        <is>
          <t>Pháo chống tăng</t>
        </is>
      </c>
      <c r="C118" s="39" t="inlineStr">
        <is>
          <t>Xe</t>
        </is>
      </c>
      <c r="D118" s="39" t="inlineStr">
        <is>
          <t>hmg_roof</t>
        </is>
      </c>
      <c r="E118" s="39" t="inlineStr">
        <is>
          <t>M2 Browning 12.7 mm</t>
        </is>
      </c>
      <c r="F118" s="42" t="n">
        <v>1</v>
      </c>
      <c r="G118" s="50">
        <f>IFERROR(VLOOKUP(D118,'Vũ khí đề xuất'!$A:$AO,27,0),"")</f>
        <v/>
      </c>
      <c r="H118" s="50">
        <f>IFERROR(VLOOKUP(D118,'Vũ khí đề xuất'!$A:$AO,28,0),"")</f>
        <v/>
      </c>
      <c r="I118" s="50">
        <f>IFERROR(VLOOKUP(D118,'Vũ khí đề xuất'!$A:$AO,30,0),"")</f>
        <v/>
      </c>
      <c r="J118" s="50">
        <f>IFERROR(VLOOKUP(D118,'Vũ khí đề xuất'!$A:$AO,32,0),"")</f>
        <v/>
      </c>
      <c r="K118" s="50">
        <f>IFERROR(VLOOKUP(D118,'Vũ khí đề xuất'!$A:$AO,35,0),"")</f>
        <v/>
      </c>
      <c r="L118" s="50">
        <f>IFERROR(VLOOKUP(D118,'Vũ khí đề xuất'!$A:$AO,36,0),"")</f>
        <v/>
      </c>
      <c r="M118" s="39" t="n"/>
    </row>
    <row r="119" ht="15" customHeight="1" s="32">
      <c r="A119" s="41" t="inlineStr">
        <is>
          <t>railgun_truck</t>
        </is>
      </c>
      <c r="B119" s="41" t="inlineStr">
        <is>
          <t>Xe súng điện từ</t>
        </is>
      </c>
      <c r="C119" s="41" t="inlineStr">
        <is>
          <t>Xe</t>
        </is>
      </c>
      <c r="D119" s="41" t="inlineStr">
        <is>
          <t>railgun</t>
        </is>
      </c>
      <c r="E119" s="41" t="inlineStr">
        <is>
          <t>railgun (32 MJ) 32 mm</t>
        </is>
      </c>
      <c r="F119" s="43" t="n">
        <v>1</v>
      </c>
      <c r="G119" s="51">
        <f>IFERROR(VLOOKUP(D119,'Vũ khí đề xuất'!$A:$AO,27,0),"")</f>
        <v/>
      </c>
      <c r="H119" s="51">
        <f>IFERROR(VLOOKUP(D119,'Vũ khí đề xuất'!$A:$AO,28,0),"")</f>
        <v/>
      </c>
      <c r="I119" s="51">
        <f>IFERROR(VLOOKUP(D119,'Vũ khí đề xuất'!$A:$AO,30,0),"")</f>
        <v/>
      </c>
      <c r="J119" s="51">
        <f>IFERROR(VLOOKUP(D119,'Vũ khí đề xuất'!$A:$AO,32,0),"")</f>
        <v/>
      </c>
      <c r="K119" s="51">
        <f>IFERROR(VLOOKUP(D119,'Vũ khí đề xuất'!$A:$AO,35,0),"")</f>
        <v/>
      </c>
      <c r="L119" s="51">
        <f>IFERROR(VLOOKUP(D119,'Vũ khí đề xuất'!$A:$AO,36,0),"")</f>
        <v/>
      </c>
      <c r="M119" s="41" t="n"/>
    </row>
    <row r="120" ht="15" customHeight="1" s="32">
      <c r="A120" s="39" t="inlineStr">
        <is>
          <t>laser_tank</t>
        </is>
      </c>
      <c r="B120" s="39" t="inlineStr">
        <is>
          <t>Xe la-de tập trung</t>
        </is>
      </c>
      <c r="C120" s="39" t="inlineStr">
        <is>
          <t>Xe</t>
        </is>
      </c>
      <c r="D120" s="39" t="inlineStr">
        <is>
          <t>focus_laser</t>
        </is>
      </c>
      <c r="E120" s="39" t="inlineStr">
        <is>
          <t>focused laser (300 kW) 300 mm</t>
        </is>
      </c>
      <c r="F120" s="42" t="n">
        <v>1</v>
      </c>
      <c r="G120" s="50">
        <f>IFERROR(VLOOKUP(D120,'Vũ khí đề xuất'!$A:$AO,27,0),"")</f>
        <v/>
      </c>
      <c r="H120" s="50">
        <f>IFERROR(VLOOKUP(D120,'Vũ khí đề xuất'!$A:$AO,28,0),"")</f>
        <v/>
      </c>
      <c r="I120" s="50">
        <f>IFERROR(VLOOKUP(D120,'Vũ khí đề xuất'!$A:$AO,30,0),"")</f>
        <v/>
      </c>
      <c r="J120" s="50">
        <f>IFERROR(VLOOKUP(D120,'Vũ khí đề xuất'!$A:$AO,32,0),"")</f>
        <v/>
      </c>
      <c r="K120" s="50">
        <f>IFERROR(VLOOKUP(D120,'Vũ khí đề xuất'!$A:$AO,35,0),"")</f>
        <v/>
      </c>
      <c r="L120" s="50">
        <f>IFERROR(VLOOKUP(D120,'Vũ khí đề xuất'!$A:$AO,36,0),"")</f>
        <v/>
      </c>
      <c r="M120" s="39" t="n"/>
    </row>
    <row r="121" ht="15" customHeight="1" s="32">
      <c r="A121" s="41" t="inlineStr">
        <is>
          <t>aa_turret</t>
        </is>
      </c>
      <c r="B121" s="41" t="inlineStr">
        <is>
          <t>Tháp phòng không</t>
        </is>
      </c>
      <c r="C121" s="41" t="inlineStr">
        <is>
          <t>Công trình</t>
        </is>
      </c>
      <c r="D121" s="41" t="inlineStr">
        <is>
          <t>tower_flak_30</t>
        </is>
      </c>
      <c r="E121" s="41" t="inlineStr">
        <is>
          <t>2A38 30 mm (twin)</t>
        </is>
      </c>
      <c r="F121" s="43" t="n">
        <v>1</v>
      </c>
      <c r="G121" s="51">
        <f>IFERROR(VLOOKUP(D121,'Vũ khí đề xuất'!$A:$AO,27,0),"")</f>
        <v/>
      </c>
      <c r="H121" s="51">
        <f>IFERROR(VLOOKUP(D121,'Vũ khí đề xuất'!$A:$AO,28,0),"")</f>
        <v/>
      </c>
      <c r="I121" s="51">
        <f>IFERROR(VLOOKUP(D121,'Vũ khí đề xuất'!$A:$AO,30,0),"")</f>
        <v/>
      </c>
      <c r="J121" s="51">
        <f>IFERROR(VLOOKUP(D121,'Vũ khí đề xuất'!$A:$AO,32,0),"")</f>
        <v/>
      </c>
      <c r="K121" s="51">
        <f>IFERROR(VLOOKUP(D121,'Vũ khí đề xuất'!$A:$AO,35,0),"")</f>
        <v/>
      </c>
      <c r="L121" s="51">
        <f>IFERROR(VLOOKUP(D121,'Vũ khí đề xuất'!$A:$AO,36,0),"")</f>
        <v/>
      </c>
      <c r="M121" s="41" t="n"/>
    </row>
    <row r="122" ht="15" customHeight="1" s="32">
      <c r="A122" s="39" t="inlineStr">
        <is>
          <t>aa_turret</t>
        </is>
      </c>
      <c r="B122" s="39" t="inlineStr">
        <is>
          <t>Tháp phòng không</t>
        </is>
      </c>
      <c r="C122" s="39" t="inlineStr">
        <is>
          <t>Công trình</t>
        </is>
      </c>
      <c r="D122" s="39" t="inlineStr">
        <is>
          <t>sam</t>
        </is>
      </c>
      <c r="E122" s="39" t="inlineStr">
        <is>
          <t>Starstreak / Stinger SHORAD</t>
        </is>
      </c>
      <c r="F122" s="42" t="n">
        <v>1</v>
      </c>
      <c r="G122" s="50">
        <f>IFERROR(VLOOKUP(D122,'Vũ khí đề xuất'!$A:$AO,27,0),"")</f>
        <v/>
      </c>
      <c r="H122" s="50">
        <f>IFERROR(VLOOKUP(D122,'Vũ khí đề xuất'!$A:$AO,28,0),"")</f>
        <v/>
      </c>
      <c r="I122" s="50">
        <f>IFERROR(VLOOKUP(D122,'Vũ khí đề xuất'!$A:$AO,30,0),"")</f>
        <v/>
      </c>
      <c r="J122" s="50">
        <f>IFERROR(VLOOKUP(D122,'Vũ khí đề xuất'!$A:$AO,32,0),"")</f>
        <v/>
      </c>
      <c r="K122" s="50">
        <f>IFERROR(VLOOKUP(D122,'Vũ khí đề xuất'!$A:$AO,35,0),"")</f>
        <v/>
      </c>
      <c r="L122" s="50">
        <f>IFERROR(VLOOKUP(D122,'Vũ khí đề xuất'!$A:$AO,36,0),"")</f>
        <v/>
      </c>
      <c r="M122" s="39" t="n"/>
    </row>
    <row r="123" ht="21.75" customHeight="1" s="32">
      <c r="A123" s="41" t="inlineStr">
        <is>
          <t>aa_turret.flak</t>
        </is>
      </c>
      <c r="B123" s="41" t="inlineStr">
        <is>
          <t>Tháp phòng không · nhánh Tháp cao xạ</t>
        </is>
      </c>
      <c r="C123" s="41" t="inlineStr">
        <is>
          <t>Công trình</t>
        </is>
      </c>
      <c r="D123" s="41" t="inlineStr">
        <is>
          <t>flak_quad</t>
        </is>
      </c>
      <c r="E123" s="41" t="inlineStr">
        <is>
          <t>ZSU-23-4 23 mm (quad)</t>
        </is>
      </c>
      <c r="F123" s="43" t="n">
        <v>1</v>
      </c>
      <c r="G123" s="51">
        <f>IFERROR(VLOOKUP(D123,'Vũ khí đề xuất'!$A:$AO,27,0),"")</f>
        <v/>
      </c>
      <c r="H123" s="51">
        <f>IFERROR(VLOOKUP(D123,'Vũ khí đề xuất'!$A:$AO,28,0),"")</f>
        <v/>
      </c>
      <c r="I123" s="51">
        <f>IFERROR(VLOOKUP(D123,'Vũ khí đề xuất'!$A:$AO,30,0),"")</f>
        <v/>
      </c>
      <c r="J123" s="51">
        <f>IFERROR(VLOOKUP(D123,'Vũ khí đề xuất'!$A:$AO,32,0),"")</f>
        <v/>
      </c>
      <c r="K123" s="51">
        <f>IFERROR(VLOOKUP(D123,'Vũ khí đề xuất'!$A:$AO,35,0),"")</f>
        <v/>
      </c>
      <c r="L123" s="51">
        <f>IFERROR(VLOOKUP(D123,'Vũ khí đề xuất'!$A:$AO,36,0),"")</f>
        <v/>
      </c>
      <c r="M123" s="41" t="n"/>
    </row>
    <row r="124" ht="21.75" customHeight="1" s="32">
      <c r="A124" s="39" t="inlineStr">
        <is>
          <t>aa_turret.sam</t>
        </is>
      </c>
      <c r="B124" s="39" t="inlineStr">
        <is>
          <t>Tháp phòng không · nhánh Trạm tên lửa</t>
        </is>
      </c>
      <c r="C124" s="39" t="inlineStr">
        <is>
          <t>Công trình</t>
        </is>
      </c>
      <c r="D124" s="39" t="inlineStr">
        <is>
          <t>sam_post</t>
        </is>
      </c>
      <c r="E124" s="39" t="inlineStr">
        <is>
          <t>9M317 Buk</t>
        </is>
      </c>
      <c r="F124" s="42" t="n">
        <v>1</v>
      </c>
      <c r="G124" s="50">
        <f>IFERROR(VLOOKUP(D124,'Vũ khí đề xuất'!$A:$AO,27,0),"")</f>
        <v/>
      </c>
      <c r="H124" s="50">
        <f>IFERROR(VLOOKUP(D124,'Vũ khí đề xuất'!$A:$AO,28,0),"")</f>
        <v/>
      </c>
      <c r="I124" s="50">
        <f>IFERROR(VLOOKUP(D124,'Vũ khí đề xuất'!$A:$AO,30,0),"")</f>
        <v/>
      </c>
      <c r="J124" s="50">
        <f>IFERROR(VLOOKUP(D124,'Vũ khí đề xuất'!$A:$AO,32,0),"")</f>
        <v/>
      </c>
      <c r="K124" s="50">
        <f>IFERROR(VLOOKUP(D124,'Vũ khí đề xuất'!$A:$AO,35,0),"")</f>
        <v/>
      </c>
      <c r="L124" s="50">
        <f>IFERROR(VLOOKUP(D124,'Vũ khí đề xuất'!$A:$AO,36,0),"")</f>
        <v/>
      </c>
      <c r="M124" s="39" t="n"/>
    </row>
    <row r="125" ht="15" customHeight="1" s="32">
      <c r="A125" s="41" t="inlineStr">
        <is>
          <t>guard_tower</t>
        </is>
      </c>
      <c r="B125" s="41" t="inlineStr">
        <is>
          <t>Tháp canh</t>
        </is>
      </c>
      <c r="C125" s="41" t="inlineStr">
        <is>
          <t>Công trình</t>
        </is>
      </c>
      <c r="D125" s="41" t="inlineStr">
        <is>
          <t>mg_jeep</t>
        </is>
      </c>
      <c r="E125" s="41" t="inlineStr">
        <is>
          <t>M2 Browning 12.7 mm</t>
        </is>
      </c>
      <c r="F125" s="43" t="n">
        <v>1</v>
      </c>
      <c r="G125" s="51">
        <f>IFERROR(VLOOKUP(D125,'Vũ khí đề xuất'!$A:$AO,27,0),"")</f>
        <v/>
      </c>
      <c r="H125" s="51">
        <f>IFERROR(VLOOKUP(D125,'Vũ khí đề xuất'!$A:$AO,28,0),"")</f>
        <v/>
      </c>
      <c r="I125" s="51">
        <f>IFERROR(VLOOKUP(D125,'Vũ khí đề xuất'!$A:$AO,30,0),"")</f>
        <v/>
      </c>
      <c r="J125" s="51">
        <f>IFERROR(VLOOKUP(D125,'Vũ khí đề xuất'!$A:$AO,32,0),"")</f>
        <v/>
      </c>
      <c r="K125" s="51">
        <f>IFERROR(VLOOKUP(D125,'Vũ khí đề xuất'!$A:$AO,35,0),"")</f>
        <v/>
      </c>
      <c r="L125" s="51">
        <f>IFERROR(VLOOKUP(D125,'Vũ khí đề xuất'!$A:$AO,36,0),"")</f>
        <v/>
      </c>
      <c r="M125" s="41" t="n"/>
    </row>
    <row r="126" ht="15" customHeight="1" s="32">
      <c r="A126" s="39" t="inlineStr">
        <is>
          <t>guard_tower.watch</t>
        </is>
      </c>
      <c r="B126" s="39" t="inlineStr">
        <is>
          <t>Tháp canh · nhánh Tháp quan sát</t>
        </is>
      </c>
      <c r="C126" s="39" t="inlineStr">
        <is>
          <t>Công trình</t>
        </is>
      </c>
      <c r="D126" s="39" t="inlineStr">
        <is>
          <t>mg_jeep</t>
        </is>
      </c>
      <c r="E126" s="39" t="inlineStr">
        <is>
          <t>M2 Browning 12.7 mm</t>
        </is>
      </c>
      <c r="F126" s="42" t="n">
        <v>1</v>
      </c>
      <c r="G126" s="50">
        <f>IFERROR(VLOOKUP(D126,'Vũ khí đề xuất'!$A:$AO,27,0),"")</f>
        <v/>
      </c>
      <c r="H126" s="50">
        <f>IFERROR(VLOOKUP(D126,'Vũ khí đề xuất'!$A:$AO,28,0),"")</f>
        <v/>
      </c>
      <c r="I126" s="50">
        <f>IFERROR(VLOOKUP(D126,'Vũ khí đề xuất'!$A:$AO,30,0),"")</f>
        <v/>
      </c>
      <c r="J126" s="50">
        <f>IFERROR(VLOOKUP(D126,'Vũ khí đề xuất'!$A:$AO,32,0),"")</f>
        <v/>
      </c>
      <c r="K126" s="50">
        <f>IFERROR(VLOOKUP(D126,'Vũ khí đề xuất'!$A:$AO,35,0),"")</f>
        <v/>
      </c>
      <c r="L126" s="50">
        <f>IFERROR(VLOOKUP(D126,'Vũ khí đề xuất'!$A:$AO,36,0),"")</f>
        <v/>
      </c>
      <c r="M126" s="39" t="n"/>
    </row>
    <row r="127" ht="15" customHeight="1" s="32">
      <c r="A127" s="41" t="inlineStr">
        <is>
          <t>guard_tower.nest</t>
        </is>
      </c>
      <c r="B127" s="41" t="inlineStr">
        <is>
          <t>Tháp canh · nhánh Ổ súng</t>
        </is>
      </c>
      <c r="C127" s="41" t="inlineStr">
        <is>
          <t>Công trình</t>
        </is>
      </c>
      <c r="D127" s="41" t="inlineStr">
        <is>
          <t>tower_ac25</t>
        </is>
      </c>
      <c r="E127" s="41" t="inlineStr">
        <is>
          <t>M242 Bushmaster 25 mm</t>
        </is>
      </c>
      <c r="F127" s="43" t="n">
        <v>1</v>
      </c>
      <c r="G127" s="51">
        <f>IFERROR(VLOOKUP(D127,'Vũ khí đề xuất'!$A:$AO,27,0),"")</f>
        <v/>
      </c>
      <c r="H127" s="51">
        <f>IFERROR(VLOOKUP(D127,'Vũ khí đề xuất'!$A:$AO,28,0),"")</f>
        <v/>
      </c>
      <c r="I127" s="51">
        <f>IFERROR(VLOOKUP(D127,'Vũ khí đề xuất'!$A:$AO,30,0),"")</f>
        <v/>
      </c>
      <c r="J127" s="51">
        <f>IFERROR(VLOOKUP(D127,'Vũ khí đề xuất'!$A:$AO,32,0),"")</f>
        <v/>
      </c>
      <c r="K127" s="51">
        <f>IFERROR(VLOOKUP(D127,'Vũ khí đề xuất'!$A:$AO,35,0),"")</f>
        <v/>
      </c>
      <c r="L127" s="51">
        <f>IFERROR(VLOOKUP(D127,'Vũ khí đề xuất'!$A:$AO,36,0),"")</f>
        <v/>
      </c>
      <c r="M127" s="41" t="n"/>
    </row>
    <row r="128" ht="15" customHeight="1" s="32">
      <c r="A128" s="39" t="inlineStr">
        <is>
          <t>headquarters</t>
        </is>
      </c>
      <c r="B128" s="39" t="inlineStr">
        <is>
          <t>Sở chỉ huy</t>
        </is>
      </c>
      <c r="C128" s="39" t="inlineStr">
        <is>
          <t>Công trình</t>
        </is>
      </c>
      <c r="D128" s="39" t="inlineStr">
        <is>
          <t>bastion_gun</t>
        </is>
      </c>
      <c r="E128" s="39" t="inlineStr">
        <is>
          <t>2A83 152 mm (twin)</t>
        </is>
      </c>
      <c r="F128" s="42" t="n">
        <v>1</v>
      </c>
      <c r="G128" s="50">
        <f>IFERROR(VLOOKUP(D128,'Vũ khí đề xuất'!$A:$AO,27,0),"")</f>
        <v/>
      </c>
      <c r="H128" s="50">
        <f>IFERROR(VLOOKUP(D128,'Vũ khí đề xuất'!$A:$AO,28,0),"")</f>
        <v/>
      </c>
      <c r="I128" s="50">
        <f>IFERROR(VLOOKUP(D128,'Vũ khí đề xuất'!$A:$AO,30,0),"")</f>
        <v/>
      </c>
      <c r="J128" s="50">
        <f>IFERROR(VLOOKUP(D128,'Vũ khí đề xuất'!$A:$AO,32,0),"")</f>
        <v/>
      </c>
      <c r="K128" s="50">
        <f>IFERROR(VLOOKUP(D128,'Vũ khí đề xuất'!$A:$AO,35,0),"")</f>
        <v/>
      </c>
      <c r="L128" s="50">
        <f>IFERROR(VLOOKUP(D128,'Vũ khí đề xuất'!$A:$AO,36,0),"")</f>
        <v/>
      </c>
      <c r="M128" s="39" t="n"/>
    </row>
    <row r="129" ht="15" customHeight="1" s="32">
      <c r="A129" s="41" t="inlineStr">
        <is>
          <t>headquarters</t>
        </is>
      </c>
      <c r="B129" s="41" t="inlineStr">
        <is>
          <t>Sở chỉ huy</t>
        </is>
      </c>
      <c r="C129" s="41" t="inlineStr">
        <is>
          <t>Công trình</t>
        </is>
      </c>
      <c r="D129" s="41" t="inlineStr">
        <is>
          <t>hq_flak</t>
        </is>
      </c>
      <c r="E129" s="41" t="inlineStr">
        <is>
          <t>2A38 30 mm (twin)</t>
        </is>
      </c>
      <c r="F129" s="43" t="n">
        <v>1</v>
      </c>
      <c r="G129" s="51">
        <f>IFERROR(VLOOKUP(D129,'Vũ khí đề xuất'!$A:$AO,27,0),"")</f>
        <v/>
      </c>
      <c r="H129" s="51">
        <f>IFERROR(VLOOKUP(D129,'Vũ khí đề xuất'!$A:$AO,28,0),"")</f>
        <v/>
      </c>
      <c r="I129" s="51">
        <f>IFERROR(VLOOKUP(D129,'Vũ khí đề xuất'!$A:$AO,30,0),"")</f>
        <v/>
      </c>
      <c r="J129" s="51">
        <f>IFERROR(VLOOKUP(D129,'Vũ khí đề xuất'!$A:$AO,32,0),"")</f>
        <v/>
      </c>
      <c r="K129" s="51">
        <f>IFERROR(VLOOKUP(D129,'Vũ khí đề xuất'!$A:$AO,35,0),"")</f>
        <v/>
      </c>
      <c r="L129" s="51">
        <f>IFERROR(VLOOKUP(D129,'Vũ khí đề xuất'!$A:$AO,36,0),"")</f>
        <v/>
      </c>
      <c r="M129" s="41" t="n"/>
    </row>
    <row r="130" ht="15" customHeight="1" s="32">
      <c r="A130" s="39" t="inlineStr">
        <is>
          <t>headquarters</t>
        </is>
      </c>
      <c r="B130" s="39" t="inlineStr">
        <is>
          <t>Sở chỉ huy</t>
        </is>
      </c>
      <c r="C130" s="39" t="inlineStr">
        <is>
          <t>Công trình</t>
        </is>
      </c>
      <c r="D130" s="39" t="inlineStr">
        <is>
          <t>hq_flak</t>
        </is>
      </c>
      <c r="E130" s="39" t="inlineStr">
        <is>
          <t>2A38 30 mm (twin)</t>
        </is>
      </c>
      <c r="F130" s="42" t="n">
        <v>1</v>
      </c>
      <c r="G130" s="50">
        <f>IFERROR(VLOOKUP(D130,'Vũ khí đề xuất'!$A:$AO,27,0),"")</f>
        <v/>
      </c>
      <c r="H130" s="50">
        <f>IFERROR(VLOOKUP(D130,'Vũ khí đề xuất'!$A:$AO,28,0),"")</f>
        <v/>
      </c>
      <c r="I130" s="50">
        <f>IFERROR(VLOOKUP(D130,'Vũ khí đề xuất'!$A:$AO,30,0),"")</f>
        <v/>
      </c>
      <c r="J130" s="50">
        <f>IFERROR(VLOOKUP(D130,'Vũ khí đề xuất'!$A:$AO,32,0),"")</f>
        <v/>
      </c>
      <c r="K130" s="50">
        <f>IFERROR(VLOOKUP(D130,'Vũ khí đề xuất'!$A:$AO,35,0),"")</f>
        <v/>
      </c>
      <c r="L130" s="50">
        <f>IFERROR(VLOOKUP(D130,'Vũ khí đề xuất'!$A:$AO,36,0),"")</f>
        <v/>
      </c>
      <c r="M130" s="39" t="n"/>
    </row>
    <row r="131" ht="15" customHeight="1" s="32">
      <c r="A131" s="41" t="inlineStr">
        <is>
          <t>headquarters</t>
        </is>
      </c>
      <c r="B131" s="41" t="inlineStr">
        <is>
          <t>Sở chỉ huy</t>
        </is>
      </c>
      <c r="C131" s="41" t="inlineStr">
        <is>
          <t>Công trình</t>
        </is>
      </c>
      <c r="D131" s="41" t="inlineStr">
        <is>
          <t>mg_coax</t>
        </is>
      </c>
      <c r="E131" s="41" t="inlineStr">
        <is>
          <t>PKT / M240 7.62 mm</t>
        </is>
      </c>
      <c r="F131" s="43" t="n">
        <v>1</v>
      </c>
      <c r="G131" s="51">
        <f>IFERROR(VLOOKUP(D131,'Vũ khí đề xuất'!$A:$AO,27,0),"")</f>
        <v/>
      </c>
      <c r="H131" s="51">
        <f>IFERROR(VLOOKUP(D131,'Vũ khí đề xuất'!$A:$AO,28,0),"")</f>
        <v/>
      </c>
      <c r="I131" s="51">
        <f>IFERROR(VLOOKUP(D131,'Vũ khí đề xuất'!$A:$AO,30,0),"")</f>
        <v/>
      </c>
      <c r="J131" s="51">
        <f>IFERROR(VLOOKUP(D131,'Vũ khí đề xuất'!$A:$AO,32,0),"")</f>
        <v/>
      </c>
      <c r="K131" s="51">
        <f>IFERROR(VLOOKUP(D131,'Vũ khí đề xuất'!$A:$AO,35,0),"")</f>
        <v/>
      </c>
      <c r="L131" s="51">
        <f>IFERROR(VLOOKUP(D131,'Vũ khí đề xuất'!$A:$AO,36,0),"")</f>
        <v/>
      </c>
      <c r="M131" s="41" t="n"/>
    </row>
    <row r="132" ht="15" customHeight="1" s="32">
      <c r="A132" s="39" t="inlineStr">
        <is>
          <t>mg_bunker</t>
        </is>
      </c>
      <c r="B132" s="39" t="inlineStr">
        <is>
          <t>Lô cốt súng máy</t>
        </is>
      </c>
      <c r="C132" s="39" t="inlineStr">
        <is>
          <t>Công trình</t>
        </is>
      </c>
      <c r="D132" s="39" t="inlineStr">
        <is>
          <t>bunker_hmg</t>
        </is>
      </c>
      <c r="E132" s="39" t="inlineStr">
        <is>
          <t>NSV 12.7 mm</t>
        </is>
      </c>
      <c r="F132" s="42" t="n">
        <v>1</v>
      </c>
      <c r="G132" s="50">
        <f>IFERROR(VLOOKUP(D132,'Vũ khí đề xuất'!$A:$AO,27,0),"")</f>
        <v/>
      </c>
      <c r="H132" s="50">
        <f>IFERROR(VLOOKUP(D132,'Vũ khí đề xuất'!$A:$AO,28,0),"")</f>
        <v/>
      </c>
      <c r="I132" s="50">
        <f>IFERROR(VLOOKUP(D132,'Vũ khí đề xuất'!$A:$AO,30,0),"")</f>
        <v/>
      </c>
      <c r="J132" s="50">
        <f>IFERROR(VLOOKUP(D132,'Vũ khí đề xuất'!$A:$AO,32,0),"")</f>
        <v/>
      </c>
      <c r="K132" s="50">
        <f>IFERROR(VLOOKUP(D132,'Vũ khí đề xuất'!$A:$AO,35,0),"")</f>
        <v/>
      </c>
      <c r="L132" s="50">
        <f>IFERROR(VLOOKUP(D132,'Vũ khí đề xuất'!$A:$AO,36,0),"")</f>
        <v/>
      </c>
      <c r="M132" s="39" t="n"/>
    </row>
    <row r="133" ht="15" customHeight="1" s="32">
      <c r="A133" s="41" t="inlineStr">
        <is>
          <t>mg_bunker.twin</t>
        </is>
      </c>
      <c r="B133" s="41" t="inlineStr">
        <is>
          <t>Lô cốt súng máy · nhánh Súng máy đôi</t>
        </is>
      </c>
      <c r="C133" s="41" t="inlineStr">
        <is>
          <t>Công trình</t>
        </is>
      </c>
      <c r="D133" s="41" t="inlineStr">
        <is>
          <t>bunker_hmg_twin</t>
        </is>
      </c>
      <c r="E133" s="41" t="inlineStr">
        <is>
          <t>NSV 12.7 mm (twin)</t>
        </is>
      </c>
      <c r="F133" s="43" t="n">
        <v>1</v>
      </c>
      <c r="G133" s="51">
        <f>IFERROR(VLOOKUP(D133,'Vũ khí đề xuất'!$A:$AO,27,0),"")</f>
        <v/>
      </c>
      <c r="H133" s="51">
        <f>IFERROR(VLOOKUP(D133,'Vũ khí đề xuất'!$A:$AO,28,0),"")</f>
        <v/>
      </c>
      <c r="I133" s="51">
        <f>IFERROR(VLOOKUP(D133,'Vũ khí đề xuất'!$A:$AO,30,0),"")</f>
        <v/>
      </c>
      <c r="J133" s="51">
        <f>IFERROR(VLOOKUP(D133,'Vũ khí đề xuất'!$A:$AO,32,0),"")</f>
        <v/>
      </c>
      <c r="K133" s="51">
        <f>IFERROR(VLOOKUP(D133,'Vũ khí đề xuất'!$A:$AO,35,0),"")</f>
        <v/>
      </c>
      <c r="L133" s="51">
        <f>IFERROR(VLOOKUP(D133,'Vũ khí đề xuất'!$A:$AO,36,0),"")</f>
        <v/>
      </c>
      <c r="M133" s="41" t="n"/>
    </row>
    <row r="134" ht="21.75" customHeight="1" s="32">
      <c r="A134" s="39" t="inlineStr">
        <is>
          <t>mg_bunker.flame</t>
        </is>
      </c>
      <c r="B134" s="39" t="inlineStr">
        <is>
          <t>Lô cốt súng máy · nhánh Lô cốt phun lửa</t>
        </is>
      </c>
      <c r="C134" s="39" t="inlineStr">
        <is>
          <t>Công trình</t>
        </is>
      </c>
      <c r="D134" s="39" t="inlineStr">
        <is>
          <t>bunker_flame</t>
        </is>
      </c>
      <c r="E134" s="39" t="inlineStr">
        <is>
          <t>flamethrower (bunker)</t>
        </is>
      </c>
      <c r="F134" s="42" t="n">
        <v>1</v>
      </c>
      <c r="G134" s="50">
        <f>IFERROR(VLOOKUP(D134,'Vũ khí đề xuất'!$A:$AO,27,0),"")</f>
        <v/>
      </c>
      <c r="H134" s="50">
        <f>IFERROR(VLOOKUP(D134,'Vũ khí đề xuất'!$A:$AO,28,0),"")</f>
        <v/>
      </c>
      <c r="I134" s="50">
        <f>IFERROR(VLOOKUP(D134,'Vũ khí đề xuất'!$A:$AO,30,0),"")</f>
        <v/>
      </c>
      <c r="J134" s="50">
        <f>IFERROR(VLOOKUP(D134,'Vũ khí đề xuất'!$A:$AO,32,0),"")</f>
        <v/>
      </c>
      <c r="K134" s="50">
        <f>IFERROR(VLOOKUP(D134,'Vũ khí đề xuất'!$A:$AO,35,0),"")</f>
        <v/>
      </c>
      <c r="L134" s="50">
        <f>IFERROR(VLOOKUP(D134,'Vũ khí đề xuất'!$A:$AO,36,0),"")</f>
        <v/>
      </c>
      <c r="M134" s="39" t="n"/>
    </row>
    <row r="135" ht="15" customHeight="1" s="32">
      <c r="A135" s="41" t="inlineStr">
        <is>
          <t>atgm_tower</t>
        </is>
      </c>
      <c r="B135" s="41" t="inlineStr">
        <is>
          <t>Tháp tên lửa chống tăng</t>
        </is>
      </c>
      <c r="C135" s="41" t="inlineStr">
        <is>
          <t>Công trình</t>
        </is>
      </c>
      <c r="D135" s="41" t="inlineStr">
        <is>
          <t>tower_kornet</t>
        </is>
      </c>
      <c r="E135" s="41" t="inlineStr">
        <is>
          <t>9M133 Kornet</t>
        </is>
      </c>
      <c r="F135" s="43" t="n">
        <v>1</v>
      </c>
      <c r="G135" s="51">
        <f>IFERROR(VLOOKUP(D135,'Vũ khí đề xuất'!$A:$AO,27,0),"")</f>
        <v/>
      </c>
      <c r="H135" s="51">
        <f>IFERROR(VLOOKUP(D135,'Vũ khí đề xuất'!$A:$AO,28,0),"")</f>
        <v/>
      </c>
      <c r="I135" s="51">
        <f>IFERROR(VLOOKUP(D135,'Vũ khí đề xuất'!$A:$AO,30,0),"")</f>
        <v/>
      </c>
      <c r="J135" s="51">
        <f>IFERROR(VLOOKUP(D135,'Vũ khí đề xuất'!$A:$AO,32,0),"")</f>
        <v/>
      </c>
      <c r="K135" s="51">
        <f>IFERROR(VLOOKUP(D135,'Vũ khí đề xuất'!$A:$AO,35,0),"")</f>
        <v/>
      </c>
      <c r="L135" s="51">
        <f>IFERROR(VLOOKUP(D135,'Vũ khí đề xuất'!$A:$AO,36,0),"")</f>
        <v/>
      </c>
      <c r="M135" s="41" t="n"/>
    </row>
    <row r="136" ht="21.75" customHeight="1" s="32">
      <c r="A136" s="39" t="inlineStr">
        <is>
          <t>atgm_tower.top</t>
        </is>
      </c>
      <c r="B136" s="39" t="inlineStr">
        <is>
          <t>Tháp tên lửa chống tăng · nhánh Tấn công từ trên</t>
        </is>
      </c>
      <c r="C136" s="39" t="inlineStr">
        <is>
          <t>Công trình</t>
        </is>
      </c>
      <c r="D136" s="39" t="inlineStr">
        <is>
          <t>kornet_top</t>
        </is>
      </c>
      <c r="E136" s="39" t="inlineStr">
        <is>
          <t>9M133 Kornet</t>
        </is>
      </c>
      <c r="F136" s="42" t="n">
        <v>1</v>
      </c>
      <c r="G136" s="50">
        <f>IFERROR(VLOOKUP(D136,'Vũ khí đề xuất'!$A:$AO,27,0),"")</f>
        <v/>
      </c>
      <c r="H136" s="50">
        <f>IFERROR(VLOOKUP(D136,'Vũ khí đề xuất'!$A:$AO,28,0),"")</f>
        <v/>
      </c>
      <c r="I136" s="50">
        <f>IFERROR(VLOOKUP(D136,'Vũ khí đề xuất'!$A:$AO,30,0),"")</f>
        <v/>
      </c>
      <c r="J136" s="50">
        <f>IFERROR(VLOOKUP(D136,'Vũ khí đề xuất'!$A:$AO,32,0),"")</f>
        <v/>
      </c>
      <c r="K136" s="50">
        <f>IFERROR(VLOOKUP(D136,'Vũ khí đề xuất'!$A:$AO,35,0),"")</f>
        <v/>
      </c>
      <c r="L136" s="50">
        <f>IFERROR(VLOOKUP(D136,'Vũ khí đề xuất'!$A:$AO,36,0),"")</f>
        <v/>
      </c>
      <c r="M136" s="39" t="n"/>
    </row>
    <row r="137" ht="21.75" customHeight="1" s="32">
      <c r="A137" s="41" t="inlineStr">
        <is>
          <t>atgm_tower.multi</t>
        </is>
      </c>
      <c r="B137" s="41" t="inlineStr">
        <is>
          <t>Tháp tên lửa chống tăng · nhánh Đa năng</t>
        </is>
      </c>
      <c r="C137" s="41" t="inlineStr">
        <is>
          <t>Công trình</t>
        </is>
      </c>
      <c r="D137" s="41" t="inlineStr">
        <is>
          <t>kornet_multi</t>
        </is>
      </c>
      <c r="E137" s="41" t="inlineStr">
        <is>
          <t>9M133 Kornet</t>
        </is>
      </c>
      <c r="F137" s="43" t="n">
        <v>1</v>
      </c>
      <c r="G137" s="51">
        <f>IFERROR(VLOOKUP(D137,'Vũ khí đề xuất'!$A:$AO,27,0),"")</f>
        <v/>
      </c>
      <c r="H137" s="51">
        <f>IFERROR(VLOOKUP(D137,'Vũ khí đề xuất'!$A:$AO,28,0),"")</f>
        <v/>
      </c>
      <c r="I137" s="51">
        <f>IFERROR(VLOOKUP(D137,'Vũ khí đề xuất'!$A:$AO,30,0),"")</f>
        <v/>
      </c>
      <c r="J137" s="51">
        <f>IFERROR(VLOOKUP(D137,'Vũ khí đề xuất'!$A:$AO,32,0),"")</f>
        <v/>
      </c>
      <c r="K137" s="51">
        <f>IFERROR(VLOOKUP(D137,'Vũ khí đề xuất'!$A:$AO,35,0),"")</f>
        <v/>
      </c>
      <c r="L137" s="51">
        <f>IFERROR(VLOOKUP(D137,'Vũ khí đề xuất'!$A:$AO,36,0),"")</f>
        <v/>
      </c>
      <c r="M137" s="41" t="n"/>
    </row>
    <row r="138" ht="15" customHeight="1" s="32">
      <c r="A138" s="39" t="inlineStr">
        <is>
          <t>c_ram</t>
        </is>
      </c>
      <c r="B138" s="39" t="inlineStr">
        <is>
          <t>Trạm C-RAM</t>
        </is>
      </c>
      <c r="C138" s="39" t="inlineStr">
        <is>
          <t>Công trình</t>
        </is>
      </c>
      <c r="D138" s="39" t="inlineStr">
        <is>
          <t>c_ram_gatling</t>
        </is>
      </c>
      <c r="E138" s="39" t="inlineStr">
        <is>
          <t>Phalanx M61 20 mm</t>
        </is>
      </c>
      <c r="F138" s="42" t="n">
        <v>1</v>
      </c>
      <c r="G138" s="50">
        <f>IFERROR(VLOOKUP(D138,'Vũ khí đề xuất'!$A:$AO,27,0),"")</f>
        <v/>
      </c>
      <c r="H138" s="50">
        <f>IFERROR(VLOOKUP(D138,'Vũ khí đề xuất'!$A:$AO,28,0),"")</f>
        <v/>
      </c>
      <c r="I138" s="50">
        <f>IFERROR(VLOOKUP(D138,'Vũ khí đề xuất'!$A:$AO,30,0),"")</f>
        <v/>
      </c>
      <c r="J138" s="50">
        <f>IFERROR(VLOOKUP(D138,'Vũ khí đề xuất'!$A:$AO,32,0),"")</f>
        <v/>
      </c>
      <c r="K138" s="50">
        <f>IFERROR(VLOOKUP(D138,'Vũ khí đề xuất'!$A:$AO,35,0),"")</f>
        <v/>
      </c>
      <c r="L138" s="50">
        <f>IFERROR(VLOOKUP(D138,'Vũ khí đề xuất'!$A:$AO,36,0),"")</f>
        <v/>
      </c>
      <c r="M138" s="39" t="n"/>
    </row>
    <row r="139" ht="15" customHeight="1" s="32">
      <c r="A139" s="41" t="inlineStr">
        <is>
          <t>c_ram.centurion</t>
        </is>
      </c>
      <c r="B139" s="41" t="inlineStr">
        <is>
          <t>Trạm C-RAM · nhánh Centurion</t>
        </is>
      </c>
      <c r="C139" s="41" t="inlineStr">
        <is>
          <t>Công trình</t>
        </is>
      </c>
      <c r="D139" s="41" t="inlineStr">
        <is>
          <t>c_ram_gatling</t>
        </is>
      </c>
      <c r="E139" s="41" t="inlineStr">
        <is>
          <t>Phalanx M61 20 mm</t>
        </is>
      </c>
      <c r="F139" s="43" t="n">
        <v>1</v>
      </c>
      <c r="G139" s="51">
        <f>IFERROR(VLOOKUP(D139,'Vũ khí đề xuất'!$A:$AO,27,0),"")</f>
        <v/>
      </c>
      <c r="H139" s="51">
        <f>IFERROR(VLOOKUP(D139,'Vũ khí đề xuất'!$A:$AO,28,0),"")</f>
        <v/>
      </c>
      <c r="I139" s="51">
        <f>IFERROR(VLOOKUP(D139,'Vũ khí đề xuất'!$A:$AO,30,0),"")</f>
        <v/>
      </c>
      <c r="J139" s="51">
        <f>IFERROR(VLOOKUP(D139,'Vũ khí đề xuất'!$A:$AO,32,0),"")</f>
        <v/>
      </c>
      <c r="K139" s="51">
        <f>IFERROR(VLOOKUP(D139,'Vũ khí đề xuất'!$A:$AO,35,0),"")</f>
        <v/>
      </c>
      <c r="L139" s="51">
        <f>IFERROR(VLOOKUP(D139,'Vũ khí đề xuất'!$A:$AO,36,0),"")</f>
        <v/>
      </c>
      <c r="M139" s="41" t="n"/>
    </row>
    <row r="140" ht="15" customHeight="1" s="32">
      <c r="A140" s="39" t="inlineStr">
        <is>
          <t>c_ram.dome</t>
        </is>
      </c>
      <c r="B140" s="39" t="inlineStr">
        <is>
          <t>Trạm C-RAM · nhánh Vòm Sắt</t>
        </is>
      </c>
      <c r="C140" s="39" t="inlineStr">
        <is>
          <t>Công trình</t>
        </is>
      </c>
      <c r="D140" s="39" t="inlineStr">
        <is>
          <t>tamir</t>
        </is>
      </c>
      <c r="E140" s="39" t="inlineStr">
        <is>
          <t>Tamir interceptor (Iron Dome)</t>
        </is>
      </c>
      <c r="F140" s="42" t="n">
        <v>1</v>
      </c>
      <c r="G140" s="50">
        <f>IFERROR(VLOOKUP(D140,'Vũ khí đề xuất'!$A:$AO,27,0),"")</f>
        <v/>
      </c>
      <c r="H140" s="50">
        <f>IFERROR(VLOOKUP(D140,'Vũ khí đề xuất'!$A:$AO,28,0),"")</f>
        <v/>
      </c>
      <c r="I140" s="50">
        <f>IFERROR(VLOOKUP(D140,'Vũ khí đề xuất'!$A:$AO,30,0),"")</f>
        <v/>
      </c>
      <c r="J140" s="50">
        <f>IFERROR(VLOOKUP(D140,'Vũ khí đề xuất'!$A:$AO,32,0),"")</f>
        <v/>
      </c>
      <c r="K140" s="50">
        <f>IFERROR(VLOOKUP(D140,'Vũ khí đề xuất'!$A:$AO,35,0),"")</f>
        <v/>
      </c>
      <c r="L140" s="50">
        <f>IFERROR(VLOOKUP(D140,'Vũ khí đề xuất'!$A:$AO,36,0),"")</f>
        <v/>
      </c>
      <c r="M140" s="39" t="n"/>
    </row>
    <row r="141" ht="15" customHeight="1" s="32">
      <c r="A141" s="41" t="inlineStr">
        <is>
          <t>gun_turret</t>
        </is>
      </c>
      <c r="B141" s="41" t="inlineStr">
        <is>
          <t>Tháp pháo</t>
        </is>
      </c>
      <c r="C141" s="41" t="inlineStr">
        <is>
          <t>Công trình</t>
        </is>
      </c>
      <c r="D141" s="41" t="inlineStr">
        <is>
          <t>turret_gun_120</t>
        </is>
      </c>
      <c r="E141" s="41" t="inlineStr">
        <is>
          <t>Rh-120 L/44 120 mm</t>
        </is>
      </c>
      <c r="F141" s="43" t="n">
        <v>1</v>
      </c>
      <c r="G141" s="51">
        <f>IFERROR(VLOOKUP(D141,'Vũ khí đề xuất'!$A:$AO,27,0),"")</f>
        <v/>
      </c>
      <c r="H141" s="51">
        <f>IFERROR(VLOOKUP(D141,'Vũ khí đề xuất'!$A:$AO,28,0),"")</f>
        <v/>
      </c>
      <c r="I141" s="51">
        <f>IFERROR(VLOOKUP(D141,'Vũ khí đề xuất'!$A:$AO,30,0),"")</f>
        <v/>
      </c>
      <c r="J141" s="51">
        <f>IFERROR(VLOOKUP(D141,'Vũ khí đề xuất'!$A:$AO,32,0),"")</f>
        <v/>
      </c>
      <c r="K141" s="51">
        <f>IFERROR(VLOOKUP(D141,'Vũ khí đề xuất'!$A:$AO,35,0),"")</f>
        <v/>
      </c>
      <c r="L141" s="51">
        <f>IFERROR(VLOOKUP(D141,'Vũ khí đề xuất'!$A:$AO,36,0),"")</f>
        <v/>
      </c>
      <c r="M141" s="41" t="n"/>
    </row>
    <row r="142" ht="15" customHeight="1" s="32">
      <c r="A142" s="39" t="inlineStr">
        <is>
          <t>gun_turret.long</t>
        </is>
      </c>
      <c r="B142" s="39" t="inlineStr">
        <is>
          <t>Tháp pháo · nhánh Pháo bắn tỉa</t>
        </is>
      </c>
      <c r="C142" s="39" t="inlineStr">
        <is>
          <t>Công trình</t>
        </is>
      </c>
      <c r="D142" s="39" t="inlineStr">
        <is>
          <t>turret_gun_120_long</t>
        </is>
      </c>
      <c r="E142" s="39" t="inlineStr">
        <is>
          <t>Rh-120 L/55 120 mm</t>
        </is>
      </c>
      <c r="F142" s="42" t="n">
        <v>1</v>
      </c>
      <c r="G142" s="50">
        <f>IFERROR(VLOOKUP(D142,'Vũ khí đề xuất'!$A:$AO,27,0),"")</f>
        <v/>
      </c>
      <c r="H142" s="50">
        <f>IFERROR(VLOOKUP(D142,'Vũ khí đề xuất'!$A:$AO,28,0),"")</f>
        <v/>
      </c>
      <c r="I142" s="50">
        <f>IFERROR(VLOOKUP(D142,'Vũ khí đề xuất'!$A:$AO,30,0),"")</f>
        <v/>
      </c>
      <c r="J142" s="50">
        <f>IFERROR(VLOOKUP(D142,'Vũ khí đề xuất'!$A:$AO,32,0),"")</f>
        <v/>
      </c>
      <c r="K142" s="50">
        <f>IFERROR(VLOOKUP(D142,'Vũ khí đề xuất'!$A:$AO,35,0),"")</f>
        <v/>
      </c>
      <c r="L142" s="50">
        <f>IFERROR(VLOOKUP(D142,'Vũ khí đề xuất'!$A:$AO,36,0),"")</f>
        <v/>
      </c>
      <c r="M142" s="39" t="n"/>
    </row>
    <row r="143" ht="21.75" customHeight="1" s="32">
      <c r="A143" s="41" t="inlineStr">
        <is>
          <t>gun_turret.auto</t>
        </is>
      </c>
      <c r="B143" s="41" t="inlineStr">
        <is>
          <t>Tháp pháo · nhánh Pháo tự động 57 mm</t>
        </is>
      </c>
      <c r="C143" s="41" t="inlineStr">
        <is>
          <t>Công trình</t>
        </is>
      </c>
      <c r="D143" s="41" t="inlineStr">
        <is>
          <t>gun_57_auto</t>
        </is>
      </c>
      <c r="E143" s="41" t="inlineStr">
        <is>
          <t>AU-220 57 mm (tower)</t>
        </is>
      </c>
      <c r="F143" s="43" t="n">
        <v>1</v>
      </c>
      <c r="G143" s="51">
        <f>IFERROR(VLOOKUP(D143,'Vũ khí đề xuất'!$A:$AO,27,0),"")</f>
        <v/>
      </c>
      <c r="H143" s="51">
        <f>IFERROR(VLOOKUP(D143,'Vũ khí đề xuất'!$A:$AO,28,0),"")</f>
        <v/>
      </c>
      <c r="I143" s="51">
        <f>IFERROR(VLOOKUP(D143,'Vũ khí đề xuất'!$A:$AO,30,0),"")</f>
        <v/>
      </c>
      <c r="J143" s="51">
        <f>IFERROR(VLOOKUP(D143,'Vũ khí đề xuất'!$A:$AO,32,0),"")</f>
        <v/>
      </c>
      <c r="K143" s="51">
        <f>IFERROR(VLOOKUP(D143,'Vũ khí đề xuất'!$A:$AO,35,0),"")</f>
        <v/>
      </c>
      <c r="L143" s="51">
        <f>IFERROR(VLOOKUP(D143,'Vũ khí đề xuất'!$A:$AO,36,0),"")</f>
        <v/>
      </c>
      <c r="M143" s="41" t="n"/>
    </row>
    <row r="144" ht="15" customHeight="1" s="32">
      <c r="A144" s="39" t="inlineStr">
        <is>
          <t>rocket_turret</t>
        </is>
      </c>
      <c r="B144" s="39" t="inlineStr">
        <is>
          <t>Dàn rốc-két</t>
        </is>
      </c>
      <c r="C144" s="39" t="inlineStr">
        <is>
          <t>Công trình</t>
        </is>
      </c>
      <c r="D144" s="39" t="inlineStr">
        <is>
          <t>turret_rockets</t>
        </is>
      </c>
      <c r="E144" s="39" t="inlineStr">
        <is>
          <t>BM-21 Grad 122 mm</t>
        </is>
      </c>
      <c r="F144" s="42" t="n">
        <v>1</v>
      </c>
      <c r="G144" s="50">
        <f>IFERROR(VLOOKUP(D144,'Vũ khí đề xuất'!$A:$AO,27,0),"")</f>
        <v/>
      </c>
      <c r="H144" s="50">
        <f>IFERROR(VLOOKUP(D144,'Vũ khí đề xuất'!$A:$AO,28,0),"")</f>
        <v/>
      </c>
      <c r="I144" s="50">
        <f>IFERROR(VLOOKUP(D144,'Vũ khí đề xuất'!$A:$AO,30,0),"")</f>
        <v/>
      </c>
      <c r="J144" s="50">
        <f>IFERROR(VLOOKUP(D144,'Vũ khí đề xuất'!$A:$AO,32,0),"")</f>
        <v/>
      </c>
      <c r="K144" s="50">
        <f>IFERROR(VLOOKUP(D144,'Vũ khí đề xuất'!$A:$AO,35,0),"")</f>
        <v/>
      </c>
      <c r="L144" s="50">
        <f>IFERROR(VLOOKUP(D144,'Vũ khí đề xuất'!$A:$AO,36,0),"")</f>
        <v/>
      </c>
      <c r="M144" s="39" t="n"/>
    </row>
    <row r="145" ht="15" customHeight="1" s="32">
      <c r="A145" s="41" t="inlineStr">
        <is>
          <t>rocket_turret.cluster</t>
        </is>
      </c>
      <c r="B145" s="41" t="inlineStr">
        <is>
          <t>Dàn rốc-két · nhánh Rốc-két chùm</t>
        </is>
      </c>
      <c r="C145" s="41" t="inlineStr">
        <is>
          <t>Công trình</t>
        </is>
      </c>
      <c r="D145" s="41" t="inlineStr">
        <is>
          <t>turret_rockets</t>
        </is>
      </c>
      <c r="E145" s="41" t="inlineStr">
        <is>
          <t>BM-21 Grad 122 mm (cluster)</t>
        </is>
      </c>
      <c r="F145" s="43" t="n">
        <v>1</v>
      </c>
      <c r="G145" s="51">
        <f>IFERROR(VLOOKUP(D145,'Vũ khí đề xuất'!$A:$AO,27,0),"")</f>
        <v/>
      </c>
      <c r="H145" s="51">
        <f>IFERROR(VLOOKUP(D145,'Vũ khí đề xuất'!$A:$AO,28,0),"")</f>
        <v/>
      </c>
      <c r="I145" s="51">
        <f>IFERROR(VLOOKUP(D145,'Vũ khí đề xuất'!$A:$AO,30,0),"")</f>
        <v/>
      </c>
      <c r="J145" s="51">
        <f>IFERROR(VLOOKUP(D145,'Vũ khí đề xuất'!$A:$AO,32,0),"")</f>
        <v/>
      </c>
      <c r="K145" s="51">
        <f>IFERROR(VLOOKUP(D145,'Vũ khí đề xuất'!$A:$AO,35,0),"")</f>
        <v/>
      </c>
      <c r="L145" s="51">
        <f>IFERROR(VLOOKUP(D145,'Vũ khí đề xuất'!$A:$AO,36,0),"")</f>
        <v/>
      </c>
      <c r="M145" s="41" t="n"/>
    </row>
    <row r="146" ht="21.75" customHeight="1" s="32">
      <c r="A146" s="39" t="inlineStr">
        <is>
          <t>rocket_turret.guided</t>
        </is>
      </c>
      <c r="B146" s="39" t="inlineStr">
        <is>
          <t>Dàn rốc-két · nhánh Rốc-két dẫn đường</t>
        </is>
      </c>
      <c r="C146" s="39" t="inlineStr">
        <is>
          <t>Công trình</t>
        </is>
      </c>
      <c r="D146" s="39" t="inlineStr">
        <is>
          <t>turret_gmlrs</t>
        </is>
      </c>
      <c r="E146" s="39" t="inlineStr">
        <is>
          <t>M31 GMLRS 227 mm (tower)</t>
        </is>
      </c>
      <c r="F146" s="42" t="n">
        <v>1</v>
      </c>
      <c r="G146" s="50">
        <f>IFERROR(VLOOKUP(D146,'Vũ khí đề xuất'!$A:$AO,27,0),"")</f>
        <v/>
      </c>
      <c r="H146" s="50">
        <f>IFERROR(VLOOKUP(D146,'Vũ khí đề xuất'!$A:$AO,28,0),"")</f>
        <v/>
      </c>
      <c r="I146" s="50">
        <f>IFERROR(VLOOKUP(D146,'Vũ khí đề xuất'!$A:$AO,30,0),"")</f>
        <v/>
      </c>
      <c r="J146" s="50">
        <f>IFERROR(VLOOKUP(D146,'Vũ khí đề xuất'!$A:$AO,32,0),"")</f>
        <v/>
      </c>
      <c r="K146" s="50">
        <f>IFERROR(VLOOKUP(D146,'Vũ khí đề xuất'!$A:$AO,35,0),"")</f>
        <v/>
      </c>
      <c r="L146" s="50">
        <f>IFERROR(VLOOKUP(D146,'Vũ khí đề xuất'!$A:$AO,36,0),"")</f>
        <v/>
      </c>
      <c r="M146" s="39" t="n"/>
    </row>
    <row r="147" ht="15" customHeight="1" s="32">
      <c r="A147" s="41"/>
      <c r="B147" s="41"/>
      <c r="C147" s="41"/>
      <c r="D147" s="41"/>
      <c r="E147" s="41"/>
      <c r="F147" s="43"/>
      <c r="G147" s="51"/>
      <c r="H147" s="51"/>
      <c r="I147" s="51"/>
      <c r="J147" s="51"/>
      <c r="K147" s="51"/>
      <c r="L147" s="51"/>
      <c r="M147" s="41"/>
    </row>
    <row r="148" ht="15" customHeight="1" s="32">
      <c r="A148" s="39"/>
      <c r="B148" s="39"/>
      <c r="C148" s="39"/>
      <c r="D148" s="39"/>
      <c r="E148" s="39"/>
      <c r="F148" s="42"/>
      <c r="G148" s="50"/>
      <c r="H148" s="50"/>
      <c r="I148" s="50"/>
      <c r="J148" s="50"/>
      <c r="K148" s="50"/>
      <c r="L148" s="50"/>
      <c r="M148" s="39"/>
    </row>
    <row r="149" ht="21.75" customHeight="1" s="32">
      <c r="A149" s="41"/>
      <c r="B149" s="41"/>
      <c r="C149" s="41"/>
      <c r="D149" s="41"/>
      <c r="E149" s="41"/>
      <c r="F149" s="43"/>
      <c r="G149" s="51"/>
      <c r="H149" s="51"/>
      <c r="I149" s="51"/>
      <c r="J149" s="51"/>
      <c r="K149" s="51"/>
      <c r="L149" s="51"/>
      <c r="M149" s="41"/>
    </row>
    <row r="150" ht="15" customHeight="1" s="32">
      <c r="A150" s="39" t="inlineStr">
        <is>
          <t>drone_hangar</t>
        </is>
      </c>
      <c r="B150" s="39" t="inlineStr">
        <is>
          <t>Nhà chứa drone</t>
        </is>
      </c>
      <c r="C150" s="39" t="inlineStr">
        <is>
          <t>Công trình</t>
        </is>
      </c>
      <c r="D150" s="39" t="inlineStr">
        <is>
          <t>fpv_hangar</t>
        </is>
      </c>
      <c r="E150" s="39" t="inlineStr">
        <is>
          <t>FPV drone (1.5 kg)</t>
        </is>
      </c>
      <c r="F150" s="42" t="n">
        <v>1</v>
      </c>
      <c r="G150" s="50">
        <f>IFERROR(VLOOKUP(D150,'Vũ khí đề xuất'!$A:$AO,27,0),"")</f>
        <v/>
      </c>
      <c r="H150" s="50">
        <f>IFERROR(VLOOKUP(D150,'Vũ khí đề xuất'!$A:$AO,28,0),"")</f>
        <v/>
      </c>
      <c r="I150" s="50">
        <f>IFERROR(VLOOKUP(D150,'Vũ khí đề xuất'!$A:$AO,30,0),"")</f>
        <v/>
      </c>
      <c r="J150" s="50">
        <f>IFERROR(VLOOKUP(D150,'Vũ khí đề xuất'!$A:$AO,32,0),"")</f>
        <v/>
      </c>
      <c r="K150" s="50">
        <f>IFERROR(VLOOKUP(D150,'Vũ khí đề xuất'!$A:$AO,35,0),"")</f>
        <v/>
      </c>
      <c r="L150" s="50">
        <f>IFERROR(VLOOKUP(D150,'Vũ khí đề xuất'!$A:$AO,36,0),"")</f>
        <v/>
      </c>
      <c r="M150" s="39" t="n"/>
    </row>
    <row r="151" ht="21.75" customHeight="1" s="32">
      <c r="A151" s="41" t="inlineStr">
        <is>
          <t>drone_hangar.lancet</t>
        </is>
      </c>
      <c r="B151" s="41" t="inlineStr">
        <is>
          <t>Nhà chứa drone · nhánh Nhà chứa Lancet</t>
        </is>
      </c>
      <c r="C151" s="41" t="inlineStr">
        <is>
          <t>Công trình</t>
        </is>
      </c>
      <c r="D151" s="41" t="inlineStr">
        <is>
          <t>lancet_hangar</t>
        </is>
      </c>
      <c r="E151" s="41" t="inlineStr">
        <is>
          <t>ZALA Lancet-3 (3 kg)</t>
        </is>
      </c>
      <c r="F151" s="43" t="n">
        <v>1</v>
      </c>
      <c r="G151" s="51">
        <f>IFERROR(VLOOKUP(D151,'Vũ khí đề xuất'!$A:$AO,27,0),"")</f>
        <v/>
      </c>
      <c r="H151" s="51">
        <f>IFERROR(VLOOKUP(D151,'Vũ khí đề xuất'!$A:$AO,28,0),"")</f>
        <v/>
      </c>
      <c r="I151" s="51">
        <f>IFERROR(VLOOKUP(D151,'Vũ khí đề xuất'!$A:$AO,30,0),"")</f>
        <v/>
      </c>
      <c r="J151" s="51">
        <f>IFERROR(VLOOKUP(D151,'Vũ khí đề xuất'!$A:$AO,32,0),"")</f>
        <v/>
      </c>
      <c r="K151" s="51">
        <f>IFERROR(VLOOKUP(D151,'Vũ khí đề xuất'!$A:$AO,35,0),"")</f>
        <v/>
      </c>
      <c r="L151" s="51">
        <f>IFERROR(VLOOKUP(D151,'Vũ khí đề xuất'!$A:$AO,36,0),"")</f>
        <v/>
      </c>
      <c r="M151" s="41" t="n"/>
    </row>
    <row r="152" ht="15" customHeight="1" s="32">
      <c r="A152" s="39" t="inlineStr">
        <is>
          <t>drone_hangar.swarm</t>
        </is>
      </c>
      <c r="B152" s="39" t="inlineStr">
        <is>
          <t>Nhà chứa drone · nhánh Bầy đàn</t>
        </is>
      </c>
      <c r="C152" s="39" t="inlineStr">
        <is>
          <t>Công trình</t>
        </is>
      </c>
      <c r="D152" s="39" t="inlineStr">
        <is>
          <t>fpv_hangar</t>
        </is>
      </c>
      <c r="E152" s="39" t="inlineStr">
        <is>
          <t>FPV drone (1.5 kg)</t>
        </is>
      </c>
      <c r="F152" s="42" t="n">
        <v>1</v>
      </c>
      <c r="G152" s="50">
        <f>IFERROR(VLOOKUP(D152,'Vũ khí đề xuất'!$A:$AO,27,0),"")</f>
        <v/>
      </c>
      <c r="H152" s="50">
        <f>IFERROR(VLOOKUP(D152,'Vũ khí đề xuất'!$A:$AO,28,0),"")</f>
        <v/>
      </c>
      <c r="I152" s="50">
        <f>IFERROR(VLOOKUP(D152,'Vũ khí đề xuất'!$A:$AO,30,0),"")</f>
        <v/>
      </c>
      <c r="J152" s="50">
        <f>IFERROR(VLOOKUP(D152,'Vũ khí đề xuất'!$A:$AO,32,0),"")</f>
        <v/>
      </c>
      <c r="K152" s="50">
        <f>IFERROR(VLOOKUP(D152,'Vũ khí đề xuất'!$A:$AO,35,0),"")</f>
        <v/>
      </c>
      <c r="L152" s="50">
        <f>IFERROR(VLOOKUP(D152,'Vũ khí đề xuất'!$A:$AO,36,0),"")</f>
        <v/>
      </c>
      <c r="M152" s="39" t="n"/>
    </row>
    <row r="153" ht="15" customHeight="1" s="32">
      <c r="A153" s="41" t="inlineStr">
        <is>
          <t>heavy_turret</t>
        </is>
      </c>
      <c r="B153" s="41" t="inlineStr">
        <is>
          <t>Pháo đài hạng nặng</t>
        </is>
      </c>
      <c r="C153" s="41" t="inlineStr">
        <is>
          <t>Công trình</t>
        </is>
      </c>
      <c r="D153" s="41" t="inlineStr">
        <is>
          <t>gun_155_twin_fort</t>
        </is>
      </c>
      <c r="E153" s="41" t="inlineStr">
        <is>
          <t>M284 155 mm (twin)</t>
        </is>
      </c>
      <c r="F153" s="43" t="n">
        <v>1</v>
      </c>
      <c r="G153" s="51">
        <f>IFERROR(VLOOKUP(D153,'Vũ khí đề xuất'!$A:$AO,27,0),"")</f>
        <v/>
      </c>
      <c r="H153" s="51">
        <f>IFERROR(VLOOKUP(D153,'Vũ khí đề xuất'!$A:$AO,28,0),"")</f>
        <v/>
      </c>
      <c r="I153" s="51">
        <f>IFERROR(VLOOKUP(D153,'Vũ khí đề xuất'!$A:$AO,30,0),"")</f>
        <v/>
      </c>
      <c r="J153" s="51">
        <f>IFERROR(VLOOKUP(D153,'Vũ khí đề xuất'!$A:$AO,32,0),"")</f>
        <v/>
      </c>
      <c r="K153" s="51">
        <f>IFERROR(VLOOKUP(D153,'Vũ khí đề xuất'!$A:$AO,35,0),"")</f>
        <v/>
      </c>
      <c r="L153" s="51">
        <f>IFERROR(VLOOKUP(D153,'Vũ khí đề xuất'!$A:$AO,36,0),"")</f>
        <v/>
      </c>
      <c r="M153" s="41" t="n"/>
    </row>
    <row r="154" ht="21.75" customHeight="1" s="32">
      <c r="A154" s="39" t="inlineStr">
        <is>
          <t>heavy_turret.coastal</t>
        </is>
      </c>
      <c r="B154" s="39" t="inlineStr">
        <is>
          <t>Pháo đài hạng nặng · nhánh Pháo bờ biển tầm xa</t>
        </is>
      </c>
      <c r="C154" s="39" t="inlineStr">
        <is>
          <t>Công trình</t>
        </is>
      </c>
      <c r="D154" s="39" t="inlineStr">
        <is>
          <t>gun_155_twin_coastlr</t>
        </is>
      </c>
      <c r="E154" s="39" t="inlineStr">
        <is>
          <t>M284 155 mm (twin, long-range coastal)</t>
        </is>
      </c>
      <c r="F154" s="42" t="n">
        <v>1</v>
      </c>
      <c r="G154" s="50">
        <f>IFERROR(VLOOKUP(D154,'Vũ khí đề xuất'!$A:$AO,27,0),"")</f>
        <v/>
      </c>
      <c r="H154" s="50">
        <f>IFERROR(VLOOKUP(D154,'Vũ khí đề xuất'!$A:$AO,28,0),"")</f>
        <v/>
      </c>
      <c r="I154" s="50">
        <f>IFERROR(VLOOKUP(D154,'Vũ khí đề xuất'!$A:$AO,30,0),"")</f>
        <v/>
      </c>
      <c r="J154" s="50">
        <f>IFERROR(VLOOKUP(D154,'Vũ khí đề xuất'!$A:$AO,32,0),"")</f>
        <v/>
      </c>
      <c r="K154" s="50">
        <f>IFERROR(VLOOKUP(D154,'Vũ khí đề xuất'!$A:$AO,35,0),"")</f>
        <v/>
      </c>
      <c r="L154" s="50">
        <f>IFERROR(VLOOKUP(D154,'Vũ khí đề xuất'!$A:$AO,36,0),"")</f>
        <v/>
      </c>
      <c r="M154" s="39" t="n"/>
    </row>
    <row r="155" ht="21.75" customHeight="1" s="32">
      <c r="A155" s="41" t="inlineStr">
        <is>
          <t>heavy_turret.bastion</t>
        </is>
      </c>
      <c r="B155" s="41" t="inlineStr">
        <is>
          <t>Pháo đài hạng nặng · nhánh Pháo đài thép</t>
        </is>
      </c>
      <c r="C155" s="41" t="inlineStr">
        <is>
          <t>Công trình</t>
        </is>
      </c>
      <c r="D155" s="41" t="inlineStr">
        <is>
          <t>gun_155_twin_fort</t>
        </is>
      </c>
      <c r="E155" s="41" t="inlineStr">
        <is>
          <t>M284 155 mm (twin)</t>
        </is>
      </c>
      <c r="F155" s="43" t="n">
        <v>1</v>
      </c>
      <c r="G155" s="51">
        <f>IFERROR(VLOOKUP(D155,'Vũ khí đề xuất'!$A:$AO,27,0),"")</f>
        <v/>
      </c>
      <c r="H155" s="51">
        <f>IFERROR(VLOOKUP(D155,'Vũ khí đề xuất'!$A:$AO,28,0),"")</f>
        <v/>
      </c>
      <c r="I155" s="51">
        <f>IFERROR(VLOOKUP(D155,'Vũ khí đề xuất'!$A:$AO,30,0),"")</f>
        <v/>
      </c>
      <c r="J155" s="51">
        <f>IFERROR(VLOOKUP(D155,'Vũ khí đề xuất'!$A:$AO,32,0),"")</f>
        <v/>
      </c>
      <c r="K155" s="51">
        <f>IFERROR(VLOOKUP(D155,'Vũ khí đề xuất'!$A:$AO,35,0),"")</f>
        <v/>
      </c>
      <c r="L155" s="51">
        <f>IFERROR(VLOOKUP(D155,'Vũ khí đề xuất'!$A:$AO,36,0),"")</f>
        <v/>
      </c>
      <c r="M155" s="41" t="n"/>
    </row>
    <row r="156" ht="21.75" customHeight="1" s="32">
      <c r="A156" s="39" t="inlineStr">
        <is>
          <t>heavy_turret.bastion</t>
        </is>
      </c>
      <c r="B156" s="39" t="inlineStr">
        <is>
          <t>Pháo đài hạng nặng · nhánh Pháo đài thép</t>
        </is>
      </c>
      <c r="C156" s="39" t="inlineStr">
        <is>
          <t>Công trình</t>
        </is>
      </c>
      <c r="D156" s="39" t="inlineStr">
        <is>
          <t>hmg_roof</t>
        </is>
      </c>
      <c r="E156" s="39" t="inlineStr">
        <is>
          <t>M2 Browning 12.7 mm</t>
        </is>
      </c>
      <c r="F156" s="42" t="n">
        <v>1</v>
      </c>
      <c r="G156" s="50">
        <f>IFERROR(VLOOKUP(D156,'Vũ khí đề xuất'!$A:$AO,27,0),"")</f>
        <v/>
      </c>
      <c r="H156" s="50">
        <f>IFERROR(VLOOKUP(D156,'Vũ khí đề xuất'!$A:$AO,28,0),"")</f>
        <v/>
      </c>
      <c r="I156" s="50">
        <f>IFERROR(VLOOKUP(D156,'Vũ khí đề xuất'!$A:$AO,30,0),"")</f>
        <v/>
      </c>
      <c r="J156" s="50">
        <f>IFERROR(VLOOKUP(D156,'Vũ khí đề xuất'!$A:$AO,32,0),"")</f>
        <v/>
      </c>
      <c r="K156" s="50">
        <f>IFERROR(VLOOKUP(D156,'Vũ khí đề xuất'!$A:$AO,35,0),"")</f>
        <v/>
      </c>
      <c r="L156" s="50">
        <f>IFERROR(VLOOKUP(D156,'Vũ khí đề xuất'!$A:$AO,36,0),"")</f>
        <v/>
      </c>
      <c r="M156" s="39" t="n"/>
    </row>
    <row r="157" ht="21.75" customHeight="1" s="32">
      <c r="A157" s="41" t="inlineStr">
        <is>
          <t>heavy_turret.bastion</t>
        </is>
      </c>
      <c r="B157" s="41" t="inlineStr">
        <is>
          <t>Pháo đài hạng nặng · nhánh Pháo đài thép</t>
        </is>
      </c>
      <c r="C157" s="41" t="inlineStr">
        <is>
          <t>Công trình</t>
        </is>
      </c>
      <c r="D157" s="41" t="inlineStr">
        <is>
          <t>hmg_roof</t>
        </is>
      </c>
      <c r="E157" s="41" t="inlineStr">
        <is>
          <t>M2 Browning 12.7 mm</t>
        </is>
      </c>
      <c r="F157" s="43" t="n">
        <v>1</v>
      </c>
      <c r="G157" s="51">
        <f>IFERROR(VLOOKUP(D157,'Vũ khí đề xuất'!$A:$AO,27,0),"")</f>
        <v/>
      </c>
      <c r="H157" s="51">
        <f>IFERROR(VLOOKUP(D157,'Vũ khí đề xuất'!$A:$AO,28,0),"")</f>
        <v/>
      </c>
      <c r="I157" s="51">
        <f>IFERROR(VLOOKUP(D157,'Vũ khí đề xuất'!$A:$AO,30,0),"")</f>
        <v/>
      </c>
      <c r="J157" s="51">
        <f>IFERROR(VLOOKUP(D157,'Vũ khí đề xuất'!$A:$AO,32,0),"")</f>
        <v/>
      </c>
      <c r="K157" s="51">
        <f>IFERROR(VLOOKUP(D157,'Vũ khí đề xuất'!$A:$AO,35,0),"")</f>
        <v/>
      </c>
      <c r="L157" s="51">
        <f>IFERROR(VLOOKUP(D157,'Vũ khí đề xuất'!$A:$AO,36,0),"")</f>
        <v/>
      </c>
      <c r="M157" s="41" t="n"/>
    </row>
    <row r="158" ht="15" customHeight="1" s="32">
      <c r="A158" s="39" t="inlineStr">
        <is>
          <t>missile_battery</t>
        </is>
      </c>
      <c r="B158" s="39" t="inlineStr">
        <is>
          <t>Tên lửa Patriot tầm xa</t>
        </is>
      </c>
      <c r="C158" s="39" t="inlineStr">
        <is>
          <t>Công trình</t>
        </is>
      </c>
      <c r="D158" s="39" t="inlineStr">
        <is>
          <t>patriot</t>
        </is>
      </c>
      <c r="E158" s="39" t="inlineStr">
        <is>
          <t>MIM-104 Patriot PAC-2</t>
        </is>
      </c>
      <c r="F158" s="42" t="n">
        <v>1</v>
      </c>
      <c r="G158" s="50">
        <f>IFERROR(VLOOKUP(D158,'Vũ khí đề xuất'!$A:$AO,27,0),"")</f>
        <v/>
      </c>
      <c r="H158" s="50">
        <f>IFERROR(VLOOKUP(D158,'Vũ khí đề xuất'!$A:$AO,28,0),"")</f>
        <v/>
      </c>
      <c r="I158" s="50">
        <f>IFERROR(VLOOKUP(D158,'Vũ khí đề xuất'!$A:$AO,30,0),"")</f>
        <v/>
      </c>
      <c r="J158" s="50">
        <f>IFERROR(VLOOKUP(D158,'Vũ khí đề xuất'!$A:$AO,32,0),"")</f>
        <v/>
      </c>
      <c r="K158" s="50">
        <f>IFERROR(VLOOKUP(D158,'Vũ khí đề xuất'!$A:$AO,35,0),"")</f>
        <v/>
      </c>
      <c r="L158" s="50">
        <f>IFERROR(VLOOKUP(D158,'Vũ khí đề xuất'!$A:$AO,36,0),"")</f>
        <v/>
      </c>
      <c r="M158" s="39" t="n"/>
    </row>
    <row r="159" ht="21.75" customHeight="1" s="32">
      <c r="A159" s="41" t="inlineStr">
        <is>
          <t>missile_battery.pac3</t>
        </is>
      </c>
      <c r="B159" s="41" t="inlineStr">
        <is>
          <t>Tên lửa Patriot tầm xa · nhánh PAC-3 đánh chặn</t>
        </is>
      </c>
      <c r="C159" s="41" t="inlineStr">
        <is>
          <t>Công trình</t>
        </is>
      </c>
      <c r="D159" s="41" t="inlineStr">
        <is>
          <t>sam_pac3</t>
        </is>
      </c>
      <c r="E159" s="41" t="inlineStr">
        <is>
          <t>Patriot PAC-3 MSE</t>
        </is>
      </c>
      <c r="F159" s="43" t="n">
        <v>1</v>
      </c>
      <c r="G159" s="51">
        <f>IFERROR(VLOOKUP(D159,'Vũ khí đề xuất'!$A:$AO,27,0),"")</f>
        <v/>
      </c>
      <c r="H159" s="51">
        <f>IFERROR(VLOOKUP(D159,'Vũ khí đề xuất'!$A:$AO,28,0),"")</f>
        <v/>
      </c>
      <c r="I159" s="51">
        <f>IFERROR(VLOOKUP(D159,'Vũ khí đề xuất'!$A:$AO,30,0),"")</f>
        <v/>
      </c>
      <c r="J159" s="51">
        <f>IFERROR(VLOOKUP(D159,'Vũ khí đề xuất'!$A:$AO,32,0),"")</f>
        <v/>
      </c>
      <c r="K159" s="51">
        <f>IFERROR(VLOOKUP(D159,'Vũ khí đề xuất'!$A:$AO,35,0),"")</f>
        <v/>
      </c>
      <c r="L159" s="51">
        <f>IFERROR(VLOOKUP(D159,'Vũ khí đề xuất'!$A:$AO,36,0),"")</f>
        <v/>
      </c>
      <c r="M159" s="41" t="n"/>
    </row>
    <row r="160" ht="21.75" customHeight="1" s="32">
      <c r="A160" s="39" t="inlineStr">
        <is>
          <t>missile_battery.lrr</t>
        </is>
      </c>
      <c r="B160" s="39" t="inlineStr">
        <is>
          <t>Tên lửa Patriot tầm xa · nhánh Radar tầm xa</t>
        </is>
      </c>
      <c r="C160" s="39" t="inlineStr">
        <is>
          <t>Công trình</t>
        </is>
      </c>
      <c r="D160" s="39" t="inlineStr">
        <is>
          <t>sam_battery_lrr</t>
        </is>
      </c>
      <c r="E160" s="39" t="inlineStr">
        <is>
          <t>MIM-104 Patriot PAC-2</t>
        </is>
      </c>
      <c r="F160" s="42" t="n">
        <v>1</v>
      </c>
      <c r="G160" s="50">
        <f>IFERROR(VLOOKUP(D160,'Vũ khí đề xuất'!$A:$AO,27,0),"")</f>
        <v/>
      </c>
      <c r="H160" s="50">
        <f>IFERROR(VLOOKUP(D160,'Vũ khí đề xuất'!$A:$AO,28,0),"")</f>
        <v/>
      </c>
      <c r="I160" s="50">
        <f>IFERROR(VLOOKUP(D160,'Vũ khí đề xuất'!$A:$AO,30,0),"")</f>
        <v/>
      </c>
      <c r="J160" s="50">
        <f>IFERROR(VLOOKUP(D160,'Vũ khí đề xuất'!$A:$AO,32,0),"")</f>
        <v/>
      </c>
      <c r="K160" s="50">
        <f>IFERROR(VLOOKUP(D160,'Vũ khí đề xuất'!$A:$AO,35,0),"")</f>
        <v/>
      </c>
      <c r="L160" s="50">
        <f>IFERROR(VLOOKUP(D160,'Vũ khí đề xuất'!$A:$AO,36,0),"")</f>
        <v/>
      </c>
      <c r="M160" s="39" t="n"/>
    </row>
    <row r="161" ht="15" customHeight="1" s="32">
      <c r="A161" s="41" t="inlineStr">
        <is>
          <t>bulwark_post</t>
        </is>
      </c>
      <c r="B161" s="41" t="inlineStr">
        <is>
          <t>Ụ súng tạm</t>
        </is>
      </c>
      <c r="C161" s="41" t="inlineStr">
        <is>
          <t>Công trình</t>
        </is>
      </c>
      <c r="D161" s="41" t="inlineStr">
        <is>
          <t>bunker_hmg</t>
        </is>
      </c>
      <c r="E161" s="41" t="inlineStr">
        <is>
          <t>NSV 12.7 mm</t>
        </is>
      </c>
      <c r="F161" s="43" t="n">
        <v>1</v>
      </c>
      <c r="G161" s="51">
        <f>IFERROR(VLOOKUP(D161,'Vũ khí đề xuất'!$A:$AO,27,0),"")</f>
        <v/>
      </c>
      <c r="H161" s="51">
        <f>IFERROR(VLOOKUP(D161,'Vũ khí đề xuất'!$A:$AO,28,0),"")</f>
        <v/>
      </c>
      <c r="I161" s="51">
        <f>IFERROR(VLOOKUP(D161,'Vũ khí đề xuất'!$A:$AO,30,0),"")</f>
        <v/>
      </c>
      <c r="J161" s="51">
        <f>IFERROR(VLOOKUP(D161,'Vũ khí đề xuất'!$A:$AO,32,0),"")</f>
        <v/>
      </c>
      <c r="K161" s="51">
        <f>IFERROR(VLOOKUP(D161,'Vũ khí đề xuất'!$A:$AO,35,0),"")</f>
        <v/>
      </c>
      <c r="L161" s="51">
        <f>IFERROR(VLOOKUP(D161,'Vũ khí đề xuất'!$A:$AO,36,0),"")</f>
        <v/>
      </c>
      <c r="M161" s="41" t="n"/>
    </row>
    <row r="162" ht="15" customHeight="1" s="32">
      <c r="A162" s="39" t="inlineStr">
        <is>
          <t>coastal_battery</t>
        </is>
      </c>
      <c r="B162" s="39" t="inlineStr">
        <is>
          <t>Trận địa pháo bờ biển</t>
        </is>
      </c>
      <c r="C162" s="39" t="inlineStr">
        <is>
          <t>Công trình</t>
        </is>
      </c>
      <c r="D162" s="39" t="inlineStr">
        <is>
          <t>gun_155_coastal</t>
        </is>
      </c>
      <c r="E162" s="39" t="inlineStr">
        <is>
          <t>M284 155 mm (coastal battery)</t>
        </is>
      </c>
      <c r="F162" s="42" t="n">
        <v>1</v>
      </c>
      <c r="G162" s="50">
        <f>IFERROR(VLOOKUP(D162,'Vũ khí đề xuất'!$A:$AO,27,0),"")</f>
        <v/>
      </c>
      <c r="H162" s="50">
        <f>IFERROR(VLOOKUP(D162,'Vũ khí đề xuất'!$A:$AO,28,0),"")</f>
        <v/>
      </c>
      <c r="I162" s="50">
        <f>IFERROR(VLOOKUP(D162,'Vũ khí đề xuất'!$A:$AO,30,0),"")</f>
        <v/>
      </c>
      <c r="J162" s="50">
        <f>IFERROR(VLOOKUP(D162,'Vũ khí đề xuất'!$A:$AO,32,0),"")</f>
        <v/>
      </c>
      <c r="K162" s="50">
        <f>IFERROR(VLOOKUP(D162,'Vũ khí đề xuất'!$A:$AO,35,0),"")</f>
        <v/>
      </c>
      <c r="L162" s="50">
        <f>IFERROR(VLOOKUP(D162,'Vũ khí đề xuất'!$A:$AO,36,0),"")</f>
        <v/>
      </c>
      <c r="M162" s="39" t="n"/>
    </row>
    <row r="163" ht="15" customHeight="1" s="32">
      <c r="A163" s="41" t="inlineStr">
        <is>
          <t>rail_supergun</t>
        </is>
      </c>
      <c r="B163" s="41" t="inlineStr">
        <is>
          <t>Gungnir · Pháo đường ray</t>
        </is>
      </c>
      <c r="C163" s="41" t="inlineStr">
        <is>
          <t>Boss</t>
        </is>
      </c>
      <c r="D163" s="41" t="inlineStr">
        <is>
          <t>autocannon_40</t>
        </is>
      </c>
      <c r="E163" s="41" t="inlineStr">
        <is>
          <t>Bofors 40 mm</t>
        </is>
      </c>
      <c r="F163" s="43" t="n">
        <v>1</v>
      </c>
      <c r="G163" s="51">
        <f>IFERROR(VLOOKUP(D163,'Vũ khí đề xuất'!$A:$AO,27,0),"")</f>
        <v/>
      </c>
      <c r="H163" s="51">
        <f>IFERROR(VLOOKUP(D163,'Vũ khí đề xuất'!$A:$AO,28,0),"")</f>
        <v/>
      </c>
      <c r="I163" s="51">
        <f>IFERROR(VLOOKUP(D163,'Vũ khí đề xuất'!$A:$AO,30,0),"")</f>
        <v/>
      </c>
      <c r="J163" s="51">
        <f>IFERROR(VLOOKUP(D163,'Vũ khí đề xuất'!$A:$AO,32,0),"")</f>
        <v/>
      </c>
      <c r="K163" s="51">
        <f>IFERROR(VLOOKUP(D163,'Vũ khí đề xuất'!$A:$AO,35,0),"")</f>
        <v/>
      </c>
      <c r="L163" s="51">
        <f>IFERROR(VLOOKUP(D163,'Vũ khí đề xuất'!$A:$AO,36,0),"")</f>
        <v/>
      </c>
      <c r="M163" s="41" t="n"/>
    </row>
    <row r="164" ht="15" customHeight="1" s="32">
      <c r="A164" s="39" t="inlineStr">
        <is>
          <t>rail_supergun</t>
        </is>
      </c>
      <c r="B164" s="39" t="inlineStr">
        <is>
          <t>Gungnir · Pháo đường ray</t>
        </is>
      </c>
      <c r="C164" s="39" t="inlineStr">
        <is>
          <t>Boss</t>
        </is>
      </c>
      <c r="D164" s="39" t="inlineStr">
        <is>
          <t>autocannon_40</t>
        </is>
      </c>
      <c r="E164" s="39" t="inlineStr">
        <is>
          <t>Bofors 40 mm</t>
        </is>
      </c>
      <c r="F164" s="42" t="n">
        <v>1</v>
      </c>
      <c r="G164" s="50">
        <f>IFERROR(VLOOKUP(D164,'Vũ khí đề xuất'!$A:$AO,27,0),"")</f>
        <v/>
      </c>
      <c r="H164" s="50">
        <f>IFERROR(VLOOKUP(D164,'Vũ khí đề xuất'!$A:$AO,28,0),"")</f>
        <v/>
      </c>
      <c r="I164" s="50">
        <f>IFERROR(VLOOKUP(D164,'Vũ khí đề xuất'!$A:$AO,30,0),"")</f>
        <v/>
      </c>
      <c r="J164" s="50">
        <f>IFERROR(VLOOKUP(D164,'Vũ khí đề xuất'!$A:$AO,32,0),"")</f>
        <v/>
      </c>
      <c r="K164" s="50">
        <f>IFERROR(VLOOKUP(D164,'Vũ khí đề xuất'!$A:$AO,35,0),"")</f>
        <v/>
      </c>
      <c r="L164" s="50">
        <f>IFERROR(VLOOKUP(D164,'Vũ khí đề xuất'!$A:$AO,36,0),"")</f>
        <v/>
      </c>
      <c r="M164" s="39" t="n"/>
    </row>
    <row r="165" ht="15" customHeight="1" s="32">
      <c r="A165" s="41" t="inlineStr">
        <is>
          <t>rail_supergun</t>
        </is>
      </c>
      <c r="B165" s="41" t="inlineStr">
        <is>
          <t>Gungnir · Pháo đường ray</t>
        </is>
      </c>
      <c r="C165" s="41" t="inlineStr">
        <is>
          <t>Boss</t>
        </is>
      </c>
      <c r="D165" s="41" t="inlineStr">
        <is>
          <t>ciws_aa</t>
        </is>
      </c>
      <c r="E165" s="41" t="inlineStr">
        <is>
          <t>AK-630 30 mm</t>
        </is>
      </c>
      <c r="F165" s="43" t="n">
        <v>1</v>
      </c>
      <c r="G165" s="51">
        <f>IFERROR(VLOOKUP(D165,'Vũ khí đề xuất'!$A:$AO,27,0),"")</f>
        <v/>
      </c>
      <c r="H165" s="51">
        <f>IFERROR(VLOOKUP(D165,'Vũ khí đề xuất'!$A:$AO,28,0),"")</f>
        <v/>
      </c>
      <c r="I165" s="51">
        <f>IFERROR(VLOOKUP(D165,'Vũ khí đề xuất'!$A:$AO,30,0),"")</f>
        <v/>
      </c>
      <c r="J165" s="51">
        <f>IFERROR(VLOOKUP(D165,'Vũ khí đề xuất'!$A:$AO,32,0),"")</f>
        <v/>
      </c>
      <c r="K165" s="51">
        <f>IFERROR(VLOOKUP(D165,'Vũ khí đề xuất'!$A:$AO,35,0),"")</f>
        <v/>
      </c>
      <c r="L165" s="51">
        <f>IFERROR(VLOOKUP(D165,'Vũ khí đề xuất'!$A:$AO,36,0),"")</f>
        <v/>
      </c>
      <c r="M165" s="41" t="n"/>
    </row>
    <row r="166" ht="15" customHeight="1" s="32">
      <c r="A166" s="39" t="inlineStr">
        <is>
          <t>rail_supergun</t>
        </is>
      </c>
      <c r="B166" s="39" t="inlineStr">
        <is>
          <t>Gungnir · Pháo đường ray</t>
        </is>
      </c>
      <c r="C166" s="39" t="inlineStr">
        <is>
          <t>Boss</t>
        </is>
      </c>
      <c r="D166" s="39" t="inlineStr">
        <is>
          <t>ciws_aa</t>
        </is>
      </c>
      <c r="E166" s="39" t="inlineStr">
        <is>
          <t>AK-630 30 mm</t>
        </is>
      </c>
      <c r="F166" s="42" t="n">
        <v>1</v>
      </c>
      <c r="G166" s="50">
        <f>IFERROR(VLOOKUP(D166,'Vũ khí đề xuất'!$A:$AO,27,0),"")</f>
        <v/>
      </c>
      <c r="H166" s="50">
        <f>IFERROR(VLOOKUP(D166,'Vũ khí đề xuất'!$A:$AO,28,0),"")</f>
        <v/>
      </c>
      <c r="I166" s="50">
        <f>IFERROR(VLOOKUP(D166,'Vũ khí đề xuất'!$A:$AO,30,0),"")</f>
        <v/>
      </c>
      <c r="J166" s="50">
        <f>IFERROR(VLOOKUP(D166,'Vũ khí đề xuất'!$A:$AO,32,0),"")</f>
        <v/>
      </c>
      <c r="K166" s="50">
        <f>IFERROR(VLOOKUP(D166,'Vũ khí đề xuất'!$A:$AO,35,0),"")</f>
        <v/>
      </c>
      <c r="L166" s="50">
        <f>IFERROR(VLOOKUP(D166,'Vũ khí đề xuất'!$A:$AO,36,0),"")</f>
        <v/>
      </c>
      <c r="M166" s="39" t="n"/>
    </row>
    <row r="167" ht="15" customHeight="1" s="32">
      <c r="A167" s="41" t="inlineStr">
        <is>
          <t>spawn_bastion</t>
        </is>
      </c>
      <c r="B167" s="41" t="inlineStr">
        <is>
          <t>Tháp căn cứ</t>
        </is>
      </c>
      <c r="C167" s="41" t="inlineStr">
        <is>
          <t>Công trình</t>
        </is>
      </c>
      <c r="D167" s="41" t="inlineStr">
        <is>
          <t>bastion_gun</t>
        </is>
      </c>
      <c r="E167" s="41" t="inlineStr">
        <is>
          <t>2A83 152 mm (twin)</t>
        </is>
      </c>
      <c r="F167" s="43" t="n">
        <v>1</v>
      </c>
      <c r="G167" s="51">
        <f>IFERROR(VLOOKUP(D167,'Vũ khí đề xuất'!$A:$AO,27,0),"")</f>
        <v/>
      </c>
      <c r="H167" s="51">
        <f>IFERROR(VLOOKUP(D167,'Vũ khí đề xuất'!$A:$AO,28,0),"")</f>
        <v/>
      </c>
      <c r="I167" s="51">
        <f>IFERROR(VLOOKUP(D167,'Vũ khí đề xuất'!$A:$AO,30,0),"")</f>
        <v/>
      </c>
      <c r="J167" s="51">
        <f>IFERROR(VLOOKUP(D167,'Vũ khí đề xuất'!$A:$AO,32,0),"")</f>
        <v/>
      </c>
      <c r="K167" s="51">
        <f>IFERROR(VLOOKUP(D167,'Vũ khí đề xuất'!$A:$AO,35,0),"")</f>
        <v/>
      </c>
      <c r="L167" s="51">
        <f>IFERROR(VLOOKUP(D167,'Vũ khí đề xuất'!$A:$AO,36,0),"")</f>
        <v/>
      </c>
      <c r="M167" s="41" t="n"/>
    </row>
    <row r="168" ht="21.75" customHeight="1" s="32">
      <c r="A168" s="39" t="inlineStr">
        <is>
          <t>behemoth_mk0</t>
        </is>
      </c>
      <c r="B168" s="39" t="inlineStr">
        <is>
          <t>Behemoth Mk.0 · Behemoth nguyên mẫu</t>
        </is>
      </c>
      <c r="C168" s="39" t="inlineStr">
        <is>
          <t>Boss</t>
        </is>
      </c>
      <c r="D168" s="39" t="inlineStr">
        <is>
          <t>gun_behemoth</t>
        </is>
      </c>
      <c r="E168" s="39" t="inlineStr">
        <is>
          <t>2A65 152 mm (twin)</t>
        </is>
      </c>
      <c r="F168" s="42" t="n">
        <v>1</v>
      </c>
      <c r="G168" s="50">
        <f>IFERROR(VLOOKUP(D168,'Vũ khí đề xuất'!$A:$AO,27,0),"")</f>
        <v/>
      </c>
      <c r="H168" s="50">
        <f>IFERROR(VLOOKUP(D168,'Vũ khí đề xuất'!$A:$AO,28,0),"")</f>
        <v/>
      </c>
      <c r="I168" s="50">
        <f>IFERROR(VLOOKUP(D168,'Vũ khí đề xuất'!$A:$AO,30,0),"")</f>
        <v/>
      </c>
      <c r="J168" s="50">
        <f>IFERROR(VLOOKUP(D168,'Vũ khí đề xuất'!$A:$AO,32,0),"")</f>
        <v/>
      </c>
      <c r="K168" s="50">
        <f>IFERROR(VLOOKUP(D168,'Vũ khí đề xuất'!$A:$AO,35,0),"")</f>
        <v/>
      </c>
      <c r="L168" s="50">
        <f>IFERROR(VLOOKUP(D168,'Vũ khí đề xuất'!$A:$AO,36,0),"")</f>
        <v/>
      </c>
      <c r="M168" s="39" t="n"/>
    </row>
    <row r="169" ht="21.75" customHeight="1" s="32">
      <c r="A169" s="41" t="inlineStr">
        <is>
          <t>behemoth_mk0</t>
        </is>
      </c>
      <c r="B169" s="41" t="inlineStr">
        <is>
          <t>Behemoth Mk.0 · Behemoth nguyên mẫu</t>
        </is>
      </c>
      <c r="C169" s="41" t="inlineStr">
        <is>
          <t>Boss</t>
        </is>
      </c>
      <c r="D169" s="41" t="inlineStr">
        <is>
          <t>gun_120mm</t>
        </is>
      </c>
      <c r="E169" s="41" t="inlineStr">
        <is>
          <t>Rh-120 L/44 120 mm</t>
        </is>
      </c>
      <c r="F169" s="43" t="n">
        <v>1</v>
      </c>
      <c r="G169" s="51">
        <f>IFERROR(VLOOKUP(D169,'Vũ khí đề xuất'!$A:$AO,27,0),"")</f>
        <v/>
      </c>
      <c r="H169" s="51">
        <f>IFERROR(VLOOKUP(D169,'Vũ khí đề xuất'!$A:$AO,28,0),"")</f>
        <v/>
      </c>
      <c r="I169" s="51">
        <f>IFERROR(VLOOKUP(D169,'Vũ khí đề xuất'!$A:$AO,30,0),"")</f>
        <v/>
      </c>
      <c r="J169" s="51">
        <f>IFERROR(VLOOKUP(D169,'Vũ khí đề xuất'!$A:$AO,32,0),"")</f>
        <v/>
      </c>
      <c r="K169" s="51">
        <f>IFERROR(VLOOKUP(D169,'Vũ khí đề xuất'!$A:$AO,35,0),"")</f>
        <v/>
      </c>
      <c r="L169" s="51">
        <f>IFERROR(VLOOKUP(D169,'Vũ khí đề xuất'!$A:$AO,36,0),"")</f>
        <v/>
      </c>
      <c r="M169" s="41" t="n"/>
    </row>
    <row r="170" ht="21.75" customHeight="1" s="32">
      <c r="A170" s="39" t="inlineStr">
        <is>
          <t>behemoth_mk0</t>
        </is>
      </c>
      <c r="B170" s="39" t="inlineStr">
        <is>
          <t>Behemoth Mk.0 · Behemoth nguyên mẫu</t>
        </is>
      </c>
      <c r="C170" s="39" t="inlineStr">
        <is>
          <t>Boss</t>
        </is>
      </c>
      <c r="D170" s="39" t="inlineStr">
        <is>
          <t>gun_120mm</t>
        </is>
      </c>
      <c r="E170" s="39" t="inlineStr">
        <is>
          <t>Rh-120 L/44 120 mm</t>
        </is>
      </c>
      <c r="F170" s="42" t="n">
        <v>1</v>
      </c>
      <c r="G170" s="50">
        <f>IFERROR(VLOOKUP(D170,'Vũ khí đề xuất'!$A:$AO,27,0),"")</f>
        <v/>
      </c>
      <c r="H170" s="50">
        <f>IFERROR(VLOOKUP(D170,'Vũ khí đề xuất'!$A:$AO,28,0),"")</f>
        <v/>
      </c>
      <c r="I170" s="50">
        <f>IFERROR(VLOOKUP(D170,'Vũ khí đề xuất'!$A:$AO,30,0),"")</f>
        <v/>
      </c>
      <c r="J170" s="50">
        <f>IFERROR(VLOOKUP(D170,'Vũ khí đề xuất'!$A:$AO,32,0),"")</f>
        <v/>
      </c>
      <c r="K170" s="50">
        <f>IFERROR(VLOOKUP(D170,'Vũ khí đề xuất'!$A:$AO,35,0),"")</f>
        <v/>
      </c>
      <c r="L170" s="50">
        <f>IFERROR(VLOOKUP(D170,'Vũ khí đề xuất'!$A:$AO,36,0),"")</f>
        <v/>
      </c>
      <c r="M170" s="39" t="n"/>
    </row>
    <row r="171" ht="21.75" customHeight="1" s="32">
      <c r="A171" s="41" t="inlineStr">
        <is>
          <t>behemoth_mk0</t>
        </is>
      </c>
      <c r="B171" s="41" t="inlineStr">
        <is>
          <t>Behemoth Mk.0 · Behemoth nguyên mẫu</t>
        </is>
      </c>
      <c r="C171" s="41" t="inlineStr">
        <is>
          <t>Boss</t>
        </is>
      </c>
      <c r="D171" s="41" t="inlineStr">
        <is>
          <t>boss_rockets</t>
        </is>
      </c>
      <c r="E171" s="41" t="inlineStr">
        <is>
          <t>BM-21 Grad 122 mm</t>
        </is>
      </c>
      <c r="F171" s="43" t="n">
        <v>1</v>
      </c>
      <c r="G171" s="51">
        <f>IFERROR(VLOOKUP(D171,'Vũ khí đề xuất'!$A:$AO,27,0),"")</f>
        <v/>
      </c>
      <c r="H171" s="51">
        <f>IFERROR(VLOOKUP(D171,'Vũ khí đề xuất'!$A:$AO,28,0),"")</f>
        <v/>
      </c>
      <c r="I171" s="51">
        <f>IFERROR(VLOOKUP(D171,'Vũ khí đề xuất'!$A:$AO,30,0),"")</f>
        <v/>
      </c>
      <c r="J171" s="51">
        <f>IFERROR(VLOOKUP(D171,'Vũ khí đề xuất'!$A:$AO,32,0),"")</f>
        <v/>
      </c>
      <c r="K171" s="51">
        <f>IFERROR(VLOOKUP(D171,'Vũ khí đề xuất'!$A:$AO,35,0),"")</f>
        <v/>
      </c>
      <c r="L171" s="51">
        <f>IFERROR(VLOOKUP(D171,'Vũ khí đề xuất'!$A:$AO,36,0),"")</f>
        <v/>
      </c>
      <c r="M171" s="41" t="n"/>
    </row>
    <row r="172" ht="15" customHeight="1" s="32">
      <c r="A172" s="39" t="inlineStr">
        <is>
          <t>armored_train</t>
        </is>
      </c>
      <c r="B172" s="39" t="inlineStr">
        <is>
          <t>Juggernaut · Đoàn tàu bọc thép</t>
        </is>
      </c>
      <c r="C172" s="39" t="inlineStr">
        <is>
          <t>Boss</t>
        </is>
      </c>
      <c r="D172" s="39" t="inlineStr">
        <is>
          <t>train_gun</t>
        </is>
      </c>
      <c r="E172" s="39" t="inlineStr">
        <is>
          <t>B-38 152 mm</t>
        </is>
      </c>
      <c r="F172" s="42" t="n">
        <v>1</v>
      </c>
      <c r="G172" s="50">
        <f>IFERROR(VLOOKUP(D172,'Vũ khí đề xuất'!$A:$AO,27,0),"")</f>
        <v/>
      </c>
      <c r="H172" s="50">
        <f>IFERROR(VLOOKUP(D172,'Vũ khí đề xuất'!$A:$AO,28,0),"")</f>
        <v/>
      </c>
      <c r="I172" s="50">
        <f>IFERROR(VLOOKUP(D172,'Vũ khí đề xuất'!$A:$AO,30,0),"")</f>
        <v/>
      </c>
      <c r="J172" s="50">
        <f>IFERROR(VLOOKUP(D172,'Vũ khí đề xuất'!$A:$AO,32,0),"")</f>
        <v/>
      </c>
      <c r="K172" s="50">
        <f>IFERROR(VLOOKUP(D172,'Vũ khí đề xuất'!$A:$AO,35,0),"")</f>
        <v/>
      </c>
      <c r="L172" s="50">
        <f>IFERROR(VLOOKUP(D172,'Vũ khí đề xuất'!$A:$AO,36,0),"")</f>
        <v/>
      </c>
      <c r="M172" s="39" t="n"/>
    </row>
    <row r="173" ht="15" customHeight="1" s="32">
      <c r="A173" s="41" t="inlineStr">
        <is>
          <t>armored_train</t>
        </is>
      </c>
      <c r="B173" s="41" t="inlineStr">
        <is>
          <t>Juggernaut · Đoàn tàu bọc thép</t>
        </is>
      </c>
      <c r="C173" s="41" t="inlineStr">
        <is>
          <t>Boss</t>
        </is>
      </c>
      <c r="D173" s="41" t="inlineStr">
        <is>
          <t>boss_rockets</t>
        </is>
      </c>
      <c r="E173" s="41" t="inlineStr">
        <is>
          <t>BM-21 Grad 122 mm</t>
        </is>
      </c>
      <c r="F173" s="43" t="n">
        <v>1</v>
      </c>
      <c r="G173" s="51">
        <f>IFERROR(VLOOKUP(D173,'Vũ khí đề xuất'!$A:$AO,27,0),"")</f>
        <v/>
      </c>
      <c r="H173" s="51">
        <f>IFERROR(VLOOKUP(D173,'Vũ khí đề xuất'!$A:$AO,28,0),"")</f>
        <v/>
      </c>
      <c r="I173" s="51">
        <f>IFERROR(VLOOKUP(D173,'Vũ khí đề xuất'!$A:$AO,30,0),"")</f>
        <v/>
      </c>
      <c r="J173" s="51">
        <f>IFERROR(VLOOKUP(D173,'Vũ khí đề xuất'!$A:$AO,32,0),"")</f>
        <v/>
      </c>
      <c r="K173" s="51">
        <f>IFERROR(VLOOKUP(D173,'Vũ khí đề xuất'!$A:$AO,35,0),"")</f>
        <v/>
      </c>
      <c r="L173" s="51">
        <f>IFERROR(VLOOKUP(D173,'Vũ khí đề xuất'!$A:$AO,36,0),"")</f>
        <v/>
      </c>
      <c r="M173" s="41" t="n"/>
    </row>
    <row r="174" ht="15" customHeight="1" s="32">
      <c r="A174" s="39" t="inlineStr">
        <is>
          <t>armored_train</t>
        </is>
      </c>
      <c r="B174" s="39" t="inlineStr">
        <is>
          <t>Juggernaut · Đoàn tàu bọc thép</t>
        </is>
      </c>
      <c r="C174" s="39" t="inlineStr">
        <is>
          <t>Boss</t>
        </is>
      </c>
      <c r="D174" s="39" t="inlineStr">
        <is>
          <t>boss_hmg</t>
        </is>
      </c>
      <c r="E174" s="39" t="inlineStr">
        <is>
          <t>NSV 12.7 mm</t>
        </is>
      </c>
      <c r="F174" s="42" t="n">
        <v>1</v>
      </c>
      <c r="G174" s="50">
        <f>IFERROR(VLOOKUP(D174,'Vũ khí đề xuất'!$A:$AO,27,0),"")</f>
        <v/>
      </c>
      <c r="H174" s="50">
        <f>IFERROR(VLOOKUP(D174,'Vũ khí đề xuất'!$A:$AO,28,0),"")</f>
        <v/>
      </c>
      <c r="I174" s="50">
        <f>IFERROR(VLOOKUP(D174,'Vũ khí đề xuất'!$A:$AO,30,0),"")</f>
        <v/>
      </c>
      <c r="J174" s="50">
        <f>IFERROR(VLOOKUP(D174,'Vũ khí đề xuất'!$A:$AO,32,0),"")</f>
        <v/>
      </c>
      <c r="K174" s="50">
        <f>IFERROR(VLOOKUP(D174,'Vũ khí đề xuất'!$A:$AO,35,0),"")</f>
        <v/>
      </c>
      <c r="L174" s="50">
        <f>IFERROR(VLOOKUP(D174,'Vũ khí đề xuất'!$A:$AO,36,0),"")</f>
        <v/>
      </c>
      <c r="M174" s="39" t="n"/>
    </row>
    <row r="175" ht="15" customHeight="1" s="32">
      <c r="A175" s="41" t="inlineStr">
        <is>
          <t>armored_train</t>
        </is>
      </c>
      <c r="B175" s="41" t="inlineStr">
        <is>
          <t>Juggernaut · Đoàn tàu bọc thép</t>
        </is>
      </c>
      <c r="C175" s="41" t="inlineStr">
        <is>
          <t>Boss</t>
        </is>
      </c>
      <c r="D175" s="41" t="inlineStr">
        <is>
          <t>boss_flak</t>
        </is>
      </c>
      <c r="E175" s="41" t="inlineStr">
        <is>
          <t>Oerlikon 35 mm (twin)</t>
        </is>
      </c>
      <c r="F175" s="43" t="n">
        <v>1</v>
      </c>
      <c r="G175" s="51">
        <f>IFERROR(VLOOKUP(D175,'Vũ khí đề xuất'!$A:$AO,27,0),"")</f>
        <v/>
      </c>
      <c r="H175" s="51">
        <f>IFERROR(VLOOKUP(D175,'Vũ khí đề xuất'!$A:$AO,28,0),"")</f>
        <v/>
      </c>
      <c r="I175" s="51">
        <f>IFERROR(VLOOKUP(D175,'Vũ khí đề xuất'!$A:$AO,30,0),"")</f>
        <v/>
      </c>
      <c r="J175" s="51">
        <f>IFERROR(VLOOKUP(D175,'Vũ khí đề xuất'!$A:$AO,32,0),"")</f>
        <v/>
      </c>
      <c r="K175" s="51">
        <f>IFERROR(VLOOKUP(D175,'Vũ khí đề xuất'!$A:$AO,35,0),"")</f>
        <v/>
      </c>
      <c r="L175" s="51">
        <f>IFERROR(VLOOKUP(D175,'Vũ khí đề xuất'!$A:$AO,36,0),"")</f>
        <v/>
      </c>
      <c r="M175" s="41" t="n"/>
    </row>
    <row r="176" ht="15" customHeight="1" s="32">
      <c r="A176" s="39" t="inlineStr">
        <is>
          <t>armored_train</t>
        </is>
      </c>
      <c r="B176" s="39" t="inlineStr">
        <is>
          <t>Juggernaut · Đoàn tàu bọc thép</t>
        </is>
      </c>
      <c r="C176" s="39" t="inlineStr">
        <is>
          <t>Boss</t>
        </is>
      </c>
      <c r="D176" s="39" t="inlineStr">
        <is>
          <t>train_gun</t>
        </is>
      </c>
      <c r="E176" s="39" t="inlineStr">
        <is>
          <t>B-38 152 mm</t>
        </is>
      </c>
      <c r="F176" s="42" t="n">
        <v>1</v>
      </c>
      <c r="G176" s="50">
        <f>IFERROR(VLOOKUP(D176,'Vũ khí đề xuất'!$A:$AO,27,0),"")</f>
        <v/>
      </c>
      <c r="H176" s="50">
        <f>IFERROR(VLOOKUP(D176,'Vũ khí đề xuất'!$A:$AO,28,0),"")</f>
        <v/>
      </c>
      <c r="I176" s="50">
        <f>IFERROR(VLOOKUP(D176,'Vũ khí đề xuất'!$A:$AO,30,0),"")</f>
        <v/>
      </c>
      <c r="J176" s="50">
        <f>IFERROR(VLOOKUP(D176,'Vũ khí đề xuất'!$A:$AO,32,0),"")</f>
        <v/>
      </c>
      <c r="K176" s="50">
        <f>IFERROR(VLOOKUP(D176,'Vũ khí đề xuất'!$A:$AO,35,0),"")</f>
        <v/>
      </c>
      <c r="L176" s="50">
        <f>IFERROR(VLOOKUP(D176,'Vũ khí đề xuất'!$A:$AO,36,0),"")</f>
        <v/>
      </c>
      <c r="M176" s="39" t="n"/>
    </row>
    <row r="177" ht="15" customHeight="1" s="32">
      <c r="A177" s="41" t="inlineStr">
        <is>
          <t>behemoth_tempest</t>
        </is>
      </c>
      <c r="B177" s="41" t="inlineStr">
        <is>
          <t>Tempest · Behemoth pháo điện từ</t>
        </is>
      </c>
      <c r="C177" s="41" t="inlineStr">
        <is>
          <t>Boss</t>
        </is>
      </c>
      <c r="D177" s="41" t="inlineStr">
        <is>
          <t>boss_railgun</t>
        </is>
      </c>
      <c r="E177" s="41" t="inlineStr">
        <is>
          <t>railgun (64 MJ) 64 mm</t>
        </is>
      </c>
      <c r="F177" s="43" t="n">
        <v>1</v>
      </c>
      <c r="G177" s="51">
        <f>IFERROR(VLOOKUP(D177,'Vũ khí đề xuất'!$A:$AO,27,0),"")</f>
        <v/>
      </c>
      <c r="H177" s="51">
        <f>IFERROR(VLOOKUP(D177,'Vũ khí đề xuất'!$A:$AO,28,0),"")</f>
        <v/>
      </c>
      <c r="I177" s="51">
        <f>IFERROR(VLOOKUP(D177,'Vũ khí đề xuất'!$A:$AO,30,0),"")</f>
        <v/>
      </c>
      <c r="J177" s="51">
        <f>IFERROR(VLOOKUP(D177,'Vũ khí đề xuất'!$A:$AO,32,0),"")</f>
        <v/>
      </c>
      <c r="K177" s="51">
        <f>IFERROR(VLOOKUP(D177,'Vũ khí đề xuất'!$A:$AO,35,0),"")</f>
        <v/>
      </c>
      <c r="L177" s="51">
        <f>IFERROR(VLOOKUP(D177,'Vũ khí đề xuất'!$A:$AO,36,0),"")</f>
        <v/>
      </c>
      <c r="M177" s="41" t="n"/>
    </row>
    <row r="178" ht="15" customHeight="1" s="32">
      <c r="A178" s="39" t="inlineStr">
        <is>
          <t>behemoth_tempest</t>
        </is>
      </c>
      <c r="B178" s="39" t="inlineStr">
        <is>
          <t>Tempest · Behemoth pháo điện từ</t>
        </is>
      </c>
      <c r="C178" s="39" t="inlineStr">
        <is>
          <t>Boss</t>
        </is>
      </c>
      <c r="D178" s="39" t="inlineStr">
        <is>
          <t>coilgun</t>
        </is>
      </c>
      <c r="E178" s="39" t="inlineStr">
        <is>
          <t>coilgun (10 MJ) 10 mm</t>
        </is>
      </c>
      <c r="F178" s="42" t="n">
        <v>1</v>
      </c>
      <c r="G178" s="50">
        <f>IFERROR(VLOOKUP(D178,'Vũ khí đề xuất'!$A:$AO,27,0),"")</f>
        <v/>
      </c>
      <c r="H178" s="50">
        <f>IFERROR(VLOOKUP(D178,'Vũ khí đề xuất'!$A:$AO,28,0),"")</f>
        <v/>
      </c>
      <c r="I178" s="50">
        <f>IFERROR(VLOOKUP(D178,'Vũ khí đề xuất'!$A:$AO,30,0),"")</f>
        <v/>
      </c>
      <c r="J178" s="50">
        <f>IFERROR(VLOOKUP(D178,'Vũ khí đề xuất'!$A:$AO,32,0),"")</f>
        <v/>
      </c>
      <c r="K178" s="50">
        <f>IFERROR(VLOOKUP(D178,'Vũ khí đề xuất'!$A:$AO,35,0),"")</f>
        <v/>
      </c>
      <c r="L178" s="50">
        <f>IFERROR(VLOOKUP(D178,'Vũ khí đề xuất'!$A:$AO,36,0),"")</f>
        <v/>
      </c>
      <c r="M178" s="39" t="n"/>
    </row>
    <row r="179" ht="15" customHeight="1" s="32">
      <c r="A179" s="41" t="inlineStr">
        <is>
          <t>behemoth_tempest</t>
        </is>
      </c>
      <c r="B179" s="41" t="inlineStr">
        <is>
          <t>Tempest · Behemoth pháo điện từ</t>
        </is>
      </c>
      <c r="C179" s="41" t="inlineStr">
        <is>
          <t>Boss</t>
        </is>
      </c>
      <c r="D179" s="41" t="inlineStr">
        <is>
          <t>coilgun</t>
        </is>
      </c>
      <c r="E179" s="41" t="inlineStr">
        <is>
          <t>coilgun (10 MJ) 10 mm</t>
        </is>
      </c>
      <c r="F179" s="43" t="n">
        <v>1</v>
      </c>
      <c r="G179" s="51">
        <f>IFERROR(VLOOKUP(D179,'Vũ khí đề xuất'!$A:$AO,27,0),"")</f>
        <v/>
      </c>
      <c r="H179" s="51">
        <f>IFERROR(VLOOKUP(D179,'Vũ khí đề xuất'!$A:$AO,28,0),"")</f>
        <v/>
      </c>
      <c r="I179" s="51">
        <f>IFERROR(VLOOKUP(D179,'Vũ khí đề xuất'!$A:$AO,30,0),"")</f>
        <v/>
      </c>
      <c r="J179" s="51">
        <f>IFERROR(VLOOKUP(D179,'Vũ khí đề xuất'!$A:$AO,32,0),"")</f>
        <v/>
      </c>
      <c r="K179" s="51">
        <f>IFERROR(VLOOKUP(D179,'Vũ khí đề xuất'!$A:$AO,35,0),"")</f>
        <v/>
      </c>
      <c r="L179" s="51">
        <f>IFERROR(VLOOKUP(D179,'Vũ khí đề xuất'!$A:$AO,36,0),"")</f>
        <v/>
      </c>
      <c r="M179" s="41" t="n"/>
    </row>
    <row r="180" ht="15" customHeight="1" s="32">
      <c r="A180" s="39" t="inlineStr">
        <is>
          <t>locust</t>
        </is>
      </c>
      <c r="B180" s="39" t="inlineStr">
        <is>
          <t>Locust · Tàu con drone</t>
        </is>
      </c>
      <c r="C180" s="39" t="inlineStr">
        <is>
          <t>Boss</t>
        </is>
      </c>
      <c r="D180" s="39" t="inlineStr">
        <is>
          <t>mothership_drones</t>
        </is>
      </c>
      <c r="E180" s="39" t="inlineStr">
        <is>
          <t>ZALA Lancet-3 (3 kg)</t>
        </is>
      </c>
      <c r="F180" s="42" t="n">
        <v>1</v>
      </c>
      <c r="G180" s="50">
        <f>IFERROR(VLOOKUP(D180,'Vũ khí đề xuất'!$A:$AO,27,0),"")</f>
        <v/>
      </c>
      <c r="H180" s="50">
        <f>IFERROR(VLOOKUP(D180,'Vũ khí đề xuất'!$A:$AO,28,0),"")</f>
        <v/>
      </c>
      <c r="I180" s="50">
        <f>IFERROR(VLOOKUP(D180,'Vũ khí đề xuất'!$A:$AO,30,0),"")</f>
        <v/>
      </c>
      <c r="J180" s="50">
        <f>IFERROR(VLOOKUP(D180,'Vũ khí đề xuất'!$A:$AO,32,0),"")</f>
        <v/>
      </c>
      <c r="K180" s="50">
        <f>IFERROR(VLOOKUP(D180,'Vũ khí đề xuất'!$A:$AO,35,0),"")</f>
        <v/>
      </c>
      <c r="L180" s="50">
        <f>IFERROR(VLOOKUP(D180,'Vũ khí đề xuất'!$A:$AO,36,0),"")</f>
        <v/>
      </c>
      <c r="M180" s="39" t="n"/>
    </row>
    <row r="181" ht="15" customHeight="1" s="32">
      <c r="A181" s="41" t="inlineStr">
        <is>
          <t>locust</t>
        </is>
      </c>
      <c r="B181" s="41" t="inlineStr">
        <is>
          <t>Locust · Tàu con drone</t>
        </is>
      </c>
      <c r="C181" s="41" t="inlineStr">
        <is>
          <t>Boss</t>
        </is>
      </c>
      <c r="D181" s="41" t="inlineStr">
        <is>
          <t>boss_flak</t>
        </is>
      </c>
      <c r="E181" s="41" t="inlineStr">
        <is>
          <t>Oerlikon 35 mm (twin)</t>
        </is>
      </c>
      <c r="F181" s="43" t="n">
        <v>1</v>
      </c>
      <c r="G181" s="51">
        <f>IFERROR(VLOOKUP(D181,'Vũ khí đề xuất'!$A:$AO,27,0),"")</f>
        <v/>
      </c>
      <c r="H181" s="51">
        <f>IFERROR(VLOOKUP(D181,'Vũ khí đề xuất'!$A:$AO,28,0),"")</f>
        <v/>
      </c>
      <c r="I181" s="51">
        <f>IFERROR(VLOOKUP(D181,'Vũ khí đề xuất'!$A:$AO,30,0),"")</f>
        <v/>
      </c>
      <c r="J181" s="51">
        <f>IFERROR(VLOOKUP(D181,'Vũ khí đề xuất'!$A:$AO,32,0),"")</f>
        <v/>
      </c>
      <c r="K181" s="51">
        <f>IFERROR(VLOOKUP(D181,'Vũ khí đề xuất'!$A:$AO,35,0),"")</f>
        <v/>
      </c>
      <c r="L181" s="51">
        <f>IFERROR(VLOOKUP(D181,'Vũ khí đề xuất'!$A:$AO,36,0),"")</f>
        <v/>
      </c>
      <c r="M181" s="41" t="n"/>
    </row>
    <row r="182" ht="15" customHeight="1" s="32">
      <c r="A182" s="39" t="inlineStr">
        <is>
          <t>morrigan</t>
        </is>
      </c>
      <c r="B182" s="39" t="inlineStr">
        <is>
          <t>Morrigan · Tiêm kích của Raven</t>
        </is>
      </c>
      <c r="C182" s="39" t="inlineStr">
        <is>
          <t>Boss</t>
        </is>
      </c>
      <c r="D182" s="39" t="inlineStr">
        <is>
          <t>air_to_air</t>
        </is>
      </c>
      <c r="E182" s="39" t="inlineStr">
        <is>
          <t>AIM-120 AMRAAM</t>
        </is>
      </c>
      <c r="F182" s="42" t="n">
        <v>1</v>
      </c>
      <c r="G182" s="50">
        <f>IFERROR(VLOOKUP(D182,'Vũ khí đề xuất'!$A:$AO,27,0),"")</f>
        <v/>
      </c>
      <c r="H182" s="50">
        <f>IFERROR(VLOOKUP(D182,'Vũ khí đề xuất'!$A:$AO,28,0),"")</f>
        <v/>
      </c>
      <c r="I182" s="50">
        <f>IFERROR(VLOOKUP(D182,'Vũ khí đề xuất'!$A:$AO,30,0),"")</f>
        <v/>
      </c>
      <c r="J182" s="50">
        <f>IFERROR(VLOOKUP(D182,'Vũ khí đề xuất'!$A:$AO,32,0),"")</f>
        <v/>
      </c>
      <c r="K182" s="50">
        <f>IFERROR(VLOOKUP(D182,'Vũ khí đề xuất'!$A:$AO,35,0),"")</f>
        <v/>
      </c>
      <c r="L182" s="50">
        <f>IFERROR(VLOOKUP(D182,'Vũ khí đề xuất'!$A:$AO,36,0),"")</f>
        <v/>
      </c>
      <c r="M182" s="39" t="n"/>
    </row>
    <row r="183" ht="15" customHeight="1" s="32">
      <c r="A183" s="41" t="inlineStr">
        <is>
          <t>morrigan</t>
        </is>
      </c>
      <c r="B183" s="41" t="inlineStr">
        <is>
          <t>Morrigan · Tiêm kích của Raven</t>
        </is>
      </c>
      <c r="C183" s="41" t="inlineStr">
        <is>
          <t>Boss</t>
        </is>
      </c>
      <c r="D183" s="41" t="inlineStr">
        <is>
          <t>air_to_air</t>
        </is>
      </c>
      <c r="E183" s="41" t="inlineStr">
        <is>
          <t>AIM-120 AMRAAM</t>
        </is>
      </c>
      <c r="F183" s="43" t="n">
        <v>1</v>
      </c>
      <c r="G183" s="51">
        <f>IFERROR(VLOOKUP(D183,'Vũ khí đề xuất'!$A:$AO,27,0),"")</f>
        <v/>
      </c>
      <c r="H183" s="51">
        <f>IFERROR(VLOOKUP(D183,'Vũ khí đề xuất'!$A:$AO,28,0),"")</f>
        <v/>
      </c>
      <c r="I183" s="51">
        <f>IFERROR(VLOOKUP(D183,'Vũ khí đề xuất'!$A:$AO,30,0),"")</f>
        <v/>
      </c>
      <c r="J183" s="51">
        <f>IFERROR(VLOOKUP(D183,'Vũ khí đề xuất'!$A:$AO,32,0),"")</f>
        <v/>
      </c>
      <c r="K183" s="51">
        <f>IFERROR(VLOOKUP(D183,'Vũ khí đề xuất'!$A:$AO,35,0),"")</f>
        <v/>
      </c>
      <c r="L183" s="51">
        <f>IFERROR(VLOOKUP(D183,'Vũ khí đề xuất'!$A:$AO,36,0),"")</f>
        <v/>
      </c>
      <c r="M183" s="41" t="n"/>
    </row>
    <row r="184" ht="15" customHeight="1" s="32">
      <c r="A184" s="39" t="inlineStr">
        <is>
          <t>morrigan</t>
        </is>
      </c>
      <c r="B184" s="39" t="inlineStr">
        <is>
          <t>Morrigan · Tiêm kích của Raven</t>
        </is>
      </c>
      <c r="C184" s="39" t="inlineStr">
        <is>
          <t>Boss</t>
        </is>
      </c>
      <c r="D184" s="39" t="inlineStr">
        <is>
          <t>guided_bomb</t>
        </is>
      </c>
      <c r="E184" s="39" t="inlineStr">
        <is>
          <t>GBU-39 SDB (110 kg)</t>
        </is>
      </c>
      <c r="F184" s="42" t="n">
        <v>1</v>
      </c>
      <c r="G184" s="50">
        <f>IFERROR(VLOOKUP(D184,'Vũ khí đề xuất'!$A:$AO,27,0),"")</f>
        <v/>
      </c>
      <c r="H184" s="50">
        <f>IFERROR(VLOOKUP(D184,'Vũ khí đề xuất'!$A:$AO,28,0),"")</f>
        <v/>
      </c>
      <c r="I184" s="50">
        <f>IFERROR(VLOOKUP(D184,'Vũ khí đề xuất'!$A:$AO,30,0),"")</f>
        <v/>
      </c>
      <c r="J184" s="50">
        <f>IFERROR(VLOOKUP(D184,'Vũ khí đề xuất'!$A:$AO,32,0),"")</f>
        <v/>
      </c>
      <c r="K184" s="50">
        <f>IFERROR(VLOOKUP(D184,'Vũ khí đề xuất'!$A:$AO,35,0),"")</f>
        <v/>
      </c>
      <c r="L184" s="50">
        <f>IFERROR(VLOOKUP(D184,'Vũ khí đề xuất'!$A:$AO,36,0),"")</f>
        <v/>
      </c>
      <c r="M184" s="39" t="n"/>
    </row>
    <row r="185" ht="15" customHeight="1" s="32">
      <c r="A185" s="41" t="inlineStr">
        <is>
          <t>morrigan</t>
        </is>
      </c>
      <c r="B185" s="41" t="inlineStr">
        <is>
          <t>Morrigan · Tiêm kích của Raven</t>
        </is>
      </c>
      <c r="C185" s="41" t="inlineStr">
        <is>
          <t>Boss</t>
        </is>
      </c>
      <c r="D185" s="41" t="inlineStr">
        <is>
          <t>fighter_cannon</t>
        </is>
      </c>
      <c r="E185" s="41" t="inlineStr">
        <is>
          <t>GAU-22/A 25 mm</t>
        </is>
      </c>
      <c r="F185" s="43" t="n">
        <v>1</v>
      </c>
      <c r="G185" s="51">
        <f>IFERROR(VLOOKUP(D185,'Vũ khí đề xuất'!$A:$AO,27,0),"")</f>
        <v/>
      </c>
      <c r="H185" s="51">
        <f>IFERROR(VLOOKUP(D185,'Vũ khí đề xuất'!$A:$AO,28,0),"")</f>
        <v/>
      </c>
      <c r="I185" s="51">
        <f>IFERROR(VLOOKUP(D185,'Vũ khí đề xuất'!$A:$AO,30,0),"")</f>
        <v/>
      </c>
      <c r="J185" s="51">
        <f>IFERROR(VLOOKUP(D185,'Vũ khí đề xuất'!$A:$AO,32,0),"")</f>
        <v/>
      </c>
      <c r="K185" s="51">
        <f>IFERROR(VLOOKUP(D185,'Vũ khí đề xuất'!$A:$AO,35,0),"")</f>
        <v/>
      </c>
      <c r="L185" s="51">
        <f>IFERROR(VLOOKUP(D185,'Vũ khí đề xuất'!$A:$AO,36,0),"")</f>
        <v/>
      </c>
      <c r="M185" s="41" t="n"/>
    </row>
    <row r="186" ht="15" customHeight="1" s="32">
      <c r="A186" s="39" t="inlineStr">
        <is>
          <t>rail_supergun</t>
        </is>
      </c>
      <c r="B186" s="39" t="inlineStr">
        <is>
          <t>Gungnir · Pháo đường ray</t>
        </is>
      </c>
      <c r="C186" s="39" t="inlineStr">
        <is>
          <t>Boss</t>
        </is>
      </c>
      <c r="D186" s="39" t="inlineStr">
        <is>
          <t>autocannon_40</t>
        </is>
      </c>
      <c r="E186" s="39" t="inlineStr">
        <is>
          <t>Bofors 40 mm</t>
        </is>
      </c>
      <c r="F186" s="42" t="n">
        <v>1</v>
      </c>
      <c r="G186" s="50">
        <f>IFERROR(VLOOKUP(D186,'Vũ khí đề xuất'!$A:$AO,27,0),"")</f>
        <v/>
      </c>
      <c r="H186" s="50">
        <f>IFERROR(VLOOKUP(D186,'Vũ khí đề xuất'!$A:$AO,28,0),"")</f>
        <v/>
      </c>
      <c r="I186" s="50">
        <f>IFERROR(VLOOKUP(D186,'Vũ khí đề xuất'!$A:$AO,30,0),"")</f>
        <v/>
      </c>
      <c r="J186" s="50">
        <f>IFERROR(VLOOKUP(D186,'Vũ khí đề xuất'!$A:$AO,32,0),"")</f>
        <v/>
      </c>
      <c r="K186" s="50">
        <f>IFERROR(VLOOKUP(D186,'Vũ khí đề xuất'!$A:$AO,35,0),"")</f>
        <v/>
      </c>
      <c r="L186" s="50">
        <f>IFERROR(VLOOKUP(D186,'Vũ khí đề xuất'!$A:$AO,36,0),"")</f>
        <v/>
      </c>
      <c r="M186" s="39" t="n"/>
    </row>
    <row r="187" ht="15" customHeight="1" s="32">
      <c r="A187" s="41" t="inlineStr">
        <is>
          <t>rail_supergun</t>
        </is>
      </c>
      <c r="B187" s="41" t="inlineStr">
        <is>
          <t>Gungnir · Pháo đường ray</t>
        </is>
      </c>
      <c r="C187" s="41" t="inlineStr">
        <is>
          <t>Boss</t>
        </is>
      </c>
      <c r="D187" s="41" t="inlineStr">
        <is>
          <t>autocannon_40</t>
        </is>
      </c>
      <c r="E187" s="41" t="inlineStr">
        <is>
          <t>Bofors 40 mm</t>
        </is>
      </c>
      <c r="F187" s="43" t="n">
        <v>1</v>
      </c>
      <c r="G187" s="51">
        <f>IFERROR(VLOOKUP(D187,'Vũ khí đề xuất'!$A:$AO,27,0),"")</f>
        <v/>
      </c>
      <c r="H187" s="51">
        <f>IFERROR(VLOOKUP(D187,'Vũ khí đề xuất'!$A:$AO,28,0),"")</f>
        <v/>
      </c>
      <c r="I187" s="51">
        <f>IFERROR(VLOOKUP(D187,'Vũ khí đề xuất'!$A:$AO,30,0),"")</f>
        <v/>
      </c>
      <c r="J187" s="51">
        <f>IFERROR(VLOOKUP(D187,'Vũ khí đề xuất'!$A:$AO,32,0),"")</f>
        <v/>
      </c>
      <c r="K187" s="51">
        <f>IFERROR(VLOOKUP(D187,'Vũ khí đề xuất'!$A:$AO,35,0),"")</f>
        <v/>
      </c>
      <c r="L187" s="51">
        <f>IFERROR(VLOOKUP(D187,'Vũ khí đề xuất'!$A:$AO,36,0),"")</f>
        <v/>
      </c>
      <c r="M187" s="41" t="n"/>
    </row>
    <row r="188" ht="15" customHeight="1" s="32">
      <c r="A188" s="39" t="inlineStr">
        <is>
          <t>rail_supergun</t>
        </is>
      </c>
      <c r="B188" s="39" t="inlineStr">
        <is>
          <t>Gungnir · Pháo đường ray</t>
        </is>
      </c>
      <c r="C188" s="39" t="inlineStr">
        <is>
          <t>Boss</t>
        </is>
      </c>
      <c r="D188" s="39" t="inlineStr">
        <is>
          <t>ciws_aa</t>
        </is>
      </c>
      <c r="E188" s="39" t="inlineStr">
        <is>
          <t>AK-630 30 mm</t>
        </is>
      </c>
      <c r="F188" s="42" t="n">
        <v>1</v>
      </c>
      <c r="G188" s="50">
        <f>IFERROR(VLOOKUP(D188,'Vũ khí đề xuất'!$A:$AO,27,0),"")</f>
        <v/>
      </c>
      <c r="H188" s="50">
        <f>IFERROR(VLOOKUP(D188,'Vũ khí đề xuất'!$A:$AO,28,0),"")</f>
        <v/>
      </c>
      <c r="I188" s="50">
        <f>IFERROR(VLOOKUP(D188,'Vũ khí đề xuất'!$A:$AO,30,0),"")</f>
        <v/>
      </c>
      <c r="J188" s="50">
        <f>IFERROR(VLOOKUP(D188,'Vũ khí đề xuất'!$A:$AO,32,0),"")</f>
        <v/>
      </c>
      <c r="K188" s="50">
        <f>IFERROR(VLOOKUP(D188,'Vũ khí đề xuất'!$A:$AO,35,0),"")</f>
        <v/>
      </c>
      <c r="L188" s="50">
        <f>IFERROR(VLOOKUP(D188,'Vũ khí đề xuất'!$A:$AO,36,0),"")</f>
        <v/>
      </c>
      <c r="M188" s="39" t="n"/>
    </row>
    <row r="189" ht="15" customHeight="1" s="32">
      <c r="A189" s="41" t="inlineStr">
        <is>
          <t>rail_supergun</t>
        </is>
      </c>
      <c r="B189" s="41" t="inlineStr">
        <is>
          <t>Gungnir · Pháo đường ray</t>
        </is>
      </c>
      <c r="C189" s="41" t="inlineStr">
        <is>
          <t>Boss</t>
        </is>
      </c>
      <c r="D189" s="41" t="inlineStr">
        <is>
          <t>ciws_aa</t>
        </is>
      </c>
      <c r="E189" s="41" t="inlineStr">
        <is>
          <t>AK-630 30 mm</t>
        </is>
      </c>
      <c r="F189" s="43" t="n">
        <v>1</v>
      </c>
      <c r="G189" s="51">
        <f>IFERROR(VLOOKUP(D189,'Vũ khí đề xuất'!$A:$AO,27,0),"")</f>
        <v/>
      </c>
      <c r="H189" s="51">
        <f>IFERROR(VLOOKUP(D189,'Vũ khí đề xuất'!$A:$AO,28,0),"")</f>
        <v/>
      </c>
      <c r="I189" s="51">
        <f>IFERROR(VLOOKUP(D189,'Vũ khí đề xuất'!$A:$AO,30,0),"")</f>
        <v/>
      </c>
      <c r="J189" s="51">
        <f>IFERROR(VLOOKUP(D189,'Vũ khí đề xuất'!$A:$AO,32,0),"")</f>
        <v/>
      </c>
      <c r="K189" s="51">
        <f>IFERROR(VLOOKUP(D189,'Vũ khí đề xuất'!$A:$AO,35,0),"")</f>
        <v/>
      </c>
      <c r="L189" s="51">
        <f>IFERROR(VLOOKUP(D189,'Vũ khí đề xuất'!$A:$AO,36,0),"")</f>
        <v/>
      </c>
      <c r="M189" s="41" t="n"/>
    </row>
    <row r="190" ht="15" customHeight="1" s="32">
      <c r="A190" s="39" t="inlineStr">
        <is>
          <t>behemoth_mk2</t>
        </is>
      </c>
      <c r="B190" s="39" t="inlineStr">
        <is>
          <t>Behemoth Mk.II · Behemoth nâng cấp</t>
        </is>
      </c>
      <c r="C190" s="39" t="inlineStr">
        <is>
          <t>Boss</t>
        </is>
      </c>
      <c r="D190" s="39" t="inlineStr">
        <is>
          <t>gun_behemoth</t>
        </is>
      </c>
      <c r="E190" s="39" t="inlineStr">
        <is>
          <t>2A65 152 mm (twin)</t>
        </is>
      </c>
      <c r="F190" s="42" t="n">
        <v>1</v>
      </c>
      <c r="G190" s="50">
        <f>IFERROR(VLOOKUP(D190,'Vũ khí đề xuất'!$A:$AO,27,0),"")</f>
        <v/>
      </c>
      <c r="H190" s="50">
        <f>IFERROR(VLOOKUP(D190,'Vũ khí đề xuất'!$A:$AO,28,0),"")</f>
        <v/>
      </c>
      <c r="I190" s="50">
        <f>IFERROR(VLOOKUP(D190,'Vũ khí đề xuất'!$A:$AO,30,0),"")</f>
        <v/>
      </c>
      <c r="J190" s="50">
        <f>IFERROR(VLOOKUP(D190,'Vũ khí đề xuất'!$A:$AO,32,0),"")</f>
        <v/>
      </c>
      <c r="K190" s="50">
        <f>IFERROR(VLOOKUP(D190,'Vũ khí đề xuất'!$A:$AO,35,0),"")</f>
        <v/>
      </c>
      <c r="L190" s="50">
        <f>IFERROR(VLOOKUP(D190,'Vũ khí đề xuất'!$A:$AO,36,0),"")</f>
        <v/>
      </c>
      <c r="M190" s="39" t="n"/>
    </row>
    <row r="191" ht="15" customHeight="1" s="32">
      <c r="A191" s="41" t="inlineStr">
        <is>
          <t>behemoth_mk2</t>
        </is>
      </c>
      <c r="B191" s="41" t="inlineStr">
        <is>
          <t>Behemoth Mk.II · Behemoth nâng cấp</t>
        </is>
      </c>
      <c r="C191" s="41" t="inlineStr">
        <is>
          <t>Boss</t>
        </is>
      </c>
      <c r="D191" s="41" t="inlineStr">
        <is>
          <t>boss_flak</t>
        </is>
      </c>
      <c r="E191" s="41" t="inlineStr">
        <is>
          <t>Oerlikon 35 mm (twin)</t>
        </is>
      </c>
      <c r="F191" s="43" t="n">
        <v>1</v>
      </c>
      <c r="G191" s="51">
        <f>IFERROR(VLOOKUP(D191,'Vũ khí đề xuất'!$A:$AO,27,0),"")</f>
        <v/>
      </c>
      <c r="H191" s="51">
        <f>IFERROR(VLOOKUP(D191,'Vũ khí đề xuất'!$A:$AO,28,0),"")</f>
        <v/>
      </c>
      <c r="I191" s="51">
        <f>IFERROR(VLOOKUP(D191,'Vũ khí đề xuất'!$A:$AO,30,0),"")</f>
        <v/>
      </c>
      <c r="J191" s="51">
        <f>IFERROR(VLOOKUP(D191,'Vũ khí đề xuất'!$A:$AO,32,0),"")</f>
        <v/>
      </c>
      <c r="K191" s="51">
        <f>IFERROR(VLOOKUP(D191,'Vũ khí đề xuất'!$A:$AO,35,0),"")</f>
        <v/>
      </c>
      <c r="L191" s="51">
        <f>IFERROR(VLOOKUP(D191,'Vũ khí đề xuất'!$A:$AO,36,0),"")</f>
        <v/>
      </c>
      <c r="M191" s="41" t="n"/>
    </row>
    <row r="192" ht="15" customHeight="1" s="32">
      <c r="A192" s="39" t="inlineStr">
        <is>
          <t>behemoth_mk2</t>
        </is>
      </c>
      <c r="B192" s="39" t="inlineStr">
        <is>
          <t>Behemoth Mk.II · Behemoth nâng cấp</t>
        </is>
      </c>
      <c r="C192" s="39" t="inlineStr">
        <is>
          <t>Boss</t>
        </is>
      </c>
      <c r="D192" s="39" t="inlineStr">
        <is>
          <t>boss_flak</t>
        </is>
      </c>
      <c r="E192" s="39" t="inlineStr">
        <is>
          <t>Oerlikon 35 mm (twin)</t>
        </is>
      </c>
      <c r="F192" s="42" t="n">
        <v>1</v>
      </c>
      <c r="G192" s="50">
        <f>IFERROR(VLOOKUP(D192,'Vũ khí đề xuất'!$A:$AO,27,0),"")</f>
        <v/>
      </c>
      <c r="H192" s="50">
        <f>IFERROR(VLOOKUP(D192,'Vũ khí đề xuất'!$A:$AO,28,0),"")</f>
        <v/>
      </c>
      <c r="I192" s="50">
        <f>IFERROR(VLOOKUP(D192,'Vũ khí đề xuất'!$A:$AO,30,0),"")</f>
        <v/>
      </c>
      <c r="J192" s="50">
        <f>IFERROR(VLOOKUP(D192,'Vũ khí đề xuất'!$A:$AO,32,0),"")</f>
        <v/>
      </c>
      <c r="K192" s="50">
        <f>IFERROR(VLOOKUP(D192,'Vũ khí đề xuất'!$A:$AO,35,0),"")</f>
        <v/>
      </c>
      <c r="L192" s="50">
        <f>IFERROR(VLOOKUP(D192,'Vũ khí đề xuất'!$A:$AO,36,0),"")</f>
        <v/>
      </c>
      <c r="M192" s="39" t="n"/>
    </row>
    <row r="193" ht="15" customHeight="1" s="32">
      <c r="A193" s="41" t="inlineStr">
        <is>
          <t>landing_hovercraft</t>
        </is>
      </c>
      <c r="B193" s="41" t="inlineStr">
        <is>
          <t>Charybdis · Tàu đệm khí đổ bộ</t>
        </is>
      </c>
      <c r="C193" s="41" t="inlineStr">
        <is>
          <t>Boss</t>
        </is>
      </c>
      <c r="D193" s="41" t="inlineStr">
        <is>
          <t>ciws_aa</t>
        </is>
      </c>
      <c r="E193" s="41" t="inlineStr">
        <is>
          <t>AK-630 30 mm</t>
        </is>
      </c>
      <c r="F193" s="43" t="n">
        <v>1</v>
      </c>
      <c r="G193" s="51">
        <f>IFERROR(VLOOKUP(D193,'Vũ khí đề xuất'!$A:$AO,27,0),"")</f>
        <v/>
      </c>
      <c r="H193" s="51">
        <f>IFERROR(VLOOKUP(D193,'Vũ khí đề xuất'!$A:$AO,28,0),"")</f>
        <v/>
      </c>
      <c r="I193" s="51">
        <f>IFERROR(VLOOKUP(D193,'Vũ khí đề xuất'!$A:$AO,30,0),"")</f>
        <v/>
      </c>
      <c r="J193" s="51">
        <f>IFERROR(VLOOKUP(D193,'Vũ khí đề xuất'!$A:$AO,32,0),"")</f>
        <v/>
      </c>
      <c r="K193" s="51">
        <f>IFERROR(VLOOKUP(D193,'Vũ khí đề xuất'!$A:$AO,35,0),"")</f>
        <v/>
      </c>
      <c r="L193" s="51">
        <f>IFERROR(VLOOKUP(D193,'Vũ khí đề xuất'!$A:$AO,36,0),"")</f>
        <v/>
      </c>
      <c r="M193" s="41" t="n"/>
    </row>
    <row r="194" ht="15" customHeight="1" s="32">
      <c r="A194" s="39" t="inlineStr">
        <is>
          <t>landing_hovercraft</t>
        </is>
      </c>
      <c r="B194" s="39" t="inlineStr">
        <is>
          <t>Charybdis · Tàu đệm khí đổ bộ</t>
        </is>
      </c>
      <c r="C194" s="39" t="inlineStr">
        <is>
          <t>Boss</t>
        </is>
      </c>
      <c r="D194" s="39" t="inlineStr">
        <is>
          <t>ciws_aa</t>
        </is>
      </c>
      <c r="E194" s="39" t="inlineStr">
        <is>
          <t>AK-630 30 mm</t>
        </is>
      </c>
      <c r="F194" s="42" t="n">
        <v>1</v>
      </c>
      <c r="G194" s="50">
        <f>IFERROR(VLOOKUP(D194,'Vũ khí đề xuất'!$A:$AO,27,0),"")</f>
        <v/>
      </c>
      <c r="H194" s="50">
        <f>IFERROR(VLOOKUP(D194,'Vũ khí đề xuất'!$A:$AO,28,0),"")</f>
        <v/>
      </c>
      <c r="I194" s="50">
        <f>IFERROR(VLOOKUP(D194,'Vũ khí đề xuất'!$A:$AO,30,0),"")</f>
        <v/>
      </c>
      <c r="J194" s="50">
        <f>IFERROR(VLOOKUP(D194,'Vũ khí đề xuất'!$A:$AO,32,0),"")</f>
        <v/>
      </c>
      <c r="K194" s="50">
        <f>IFERROR(VLOOKUP(D194,'Vũ khí đề xuất'!$A:$AO,35,0),"")</f>
        <v/>
      </c>
      <c r="L194" s="50">
        <f>IFERROR(VLOOKUP(D194,'Vũ khí đề xuất'!$A:$AO,36,0),"")</f>
        <v/>
      </c>
      <c r="M194" s="39" t="n"/>
    </row>
    <row r="195" ht="15" customHeight="1" s="32">
      <c r="A195" s="41" t="inlineStr">
        <is>
          <t>landing_hovercraft</t>
        </is>
      </c>
      <c r="B195" s="41" t="inlineStr">
        <is>
          <t>Charybdis · Tàu đệm khí đổ bộ</t>
        </is>
      </c>
      <c r="C195" s="41" t="inlineStr">
        <is>
          <t>Boss</t>
        </is>
      </c>
      <c r="D195" s="41" t="inlineStr">
        <is>
          <t>ciws_aa</t>
        </is>
      </c>
      <c r="E195" s="41" t="inlineStr">
        <is>
          <t>AK-630 30 mm</t>
        </is>
      </c>
      <c r="F195" s="43" t="n">
        <v>1</v>
      </c>
      <c r="G195" s="51">
        <f>IFERROR(VLOOKUP(D195,'Vũ khí đề xuất'!$A:$AO,27,0),"")</f>
        <v/>
      </c>
      <c r="H195" s="51">
        <f>IFERROR(VLOOKUP(D195,'Vũ khí đề xuất'!$A:$AO,28,0),"")</f>
        <v/>
      </c>
      <c r="I195" s="51">
        <f>IFERROR(VLOOKUP(D195,'Vũ khí đề xuất'!$A:$AO,30,0),"")</f>
        <v/>
      </c>
      <c r="J195" s="51">
        <f>IFERROR(VLOOKUP(D195,'Vũ khí đề xuất'!$A:$AO,32,0),"")</f>
        <v/>
      </c>
      <c r="K195" s="51">
        <f>IFERROR(VLOOKUP(D195,'Vũ khí đề xuất'!$A:$AO,35,0),"")</f>
        <v/>
      </c>
      <c r="L195" s="51">
        <f>IFERROR(VLOOKUP(D195,'Vũ khí đề xuất'!$A:$AO,36,0),"")</f>
        <v/>
      </c>
      <c r="M195" s="41" t="n"/>
    </row>
    <row r="196" ht="15" customHeight="1" s="32">
      <c r="A196" s="39" t="inlineStr">
        <is>
          <t>landing_hovercraft</t>
        </is>
      </c>
      <c r="B196" s="39" t="inlineStr">
        <is>
          <t>Charybdis · Tàu đệm khí đổ bộ</t>
        </is>
      </c>
      <c r="C196" s="39" t="inlineStr">
        <is>
          <t>Boss</t>
        </is>
      </c>
      <c r="D196" s="39" t="inlineStr">
        <is>
          <t>hover_rockets</t>
        </is>
      </c>
      <c r="E196" s="39" t="inlineStr">
        <is>
          <t>A-22 Ogon 140 mm</t>
        </is>
      </c>
      <c r="F196" s="42" t="n">
        <v>1</v>
      </c>
      <c r="G196" s="50">
        <f>IFERROR(VLOOKUP(D196,'Vũ khí đề xuất'!$A:$AO,27,0),"")</f>
        <v/>
      </c>
      <c r="H196" s="50">
        <f>IFERROR(VLOOKUP(D196,'Vũ khí đề xuất'!$A:$AO,28,0),"")</f>
        <v/>
      </c>
      <c r="I196" s="50">
        <f>IFERROR(VLOOKUP(D196,'Vũ khí đề xuất'!$A:$AO,30,0),"")</f>
        <v/>
      </c>
      <c r="J196" s="50">
        <f>IFERROR(VLOOKUP(D196,'Vũ khí đề xuất'!$A:$AO,32,0),"")</f>
        <v/>
      </c>
      <c r="K196" s="50">
        <f>IFERROR(VLOOKUP(D196,'Vũ khí đề xuất'!$A:$AO,35,0),"")</f>
        <v/>
      </c>
      <c r="L196" s="50">
        <f>IFERROR(VLOOKUP(D196,'Vũ khí đề xuất'!$A:$AO,36,0),"")</f>
        <v/>
      </c>
      <c r="M196" s="39" t="n"/>
    </row>
    <row r="197" ht="15" customHeight="1" s="32">
      <c r="A197" s="41" t="inlineStr">
        <is>
          <t>landing_hovercraft</t>
        </is>
      </c>
      <c r="B197" s="41" t="inlineStr">
        <is>
          <t>Charybdis · Tàu đệm khí đổ bộ</t>
        </is>
      </c>
      <c r="C197" s="41" t="inlineStr">
        <is>
          <t>Boss</t>
        </is>
      </c>
      <c r="D197" s="41" t="inlineStr">
        <is>
          <t>hover_rockets</t>
        </is>
      </c>
      <c r="E197" s="41" t="inlineStr">
        <is>
          <t>A-22 Ogon 140 mm</t>
        </is>
      </c>
      <c r="F197" s="43" t="n">
        <v>1</v>
      </c>
      <c r="G197" s="51">
        <f>IFERROR(VLOOKUP(D197,'Vũ khí đề xuất'!$A:$AO,27,0),"")</f>
        <v/>
      </c>
      <c r="H197" s="51">
        <f>IFERROR(VLOOKUP(D197,'Vũ khí đề xuất'!$A:$AO,28,0),"")</f>
        <v/>
      </c>
      <c r="I197" s="51">
        <f>IFERROR(VLOOKUP(D197,'Vũ khí đề xuất'!$A:$AO,30,0),"")</f>
        <v/>
      </c>
      <c r="J197" s="51">
        <f>IFERROR(VLOOKUP(D197,'Vũ khí đề xuất'!$A:$AO,32,0),"")</f>
        <v/>
      </c>
      <c r="K197" s="51">
        <f>IFERROR(VLOOKUP(D197,'Vũ khí đề xuất'!$A:$AO,35,0),"")</f>
        <v/>
      </c>
      <c r="L197" s="51">
        <f>IFERROR(VLOOKUP(D197,'Vũ khí đề xuất'!$A:$AO,36,0),"")</f>
        <v/>
      </c>
      <c r="M197" s="41" t="n"/>
    </row>
    <row r="198" ht="15" customHeight="1" s="32">
      <c r="A198" s="39" t="inlineStr">
        <is>
          <t>argus</t>
        </is>
      </c>
      <c r="B198" s="39" t="inlineStr">
        <is>
          <t>Argus · Khí cầu trinh sát</t>
        </is>
      </c>
      <c r="C198" s="39" t="inlineStr">
        <is>
          <t>Boss</t>
        </is>
      </c>
      <c r="D198" s="39" t="inlineStr">
        <is>
          <t>airship_flak</t>
        </is>
      </c>
      <c r="E198" s="39" t="inlineStr">
        <is>
          <t>S-60 57 mm</t>
        </is>
      </c>
      <c r="F198" s="42" t="n">
        <v>1</v>
      </c>
      <c r="G198" s="50">
        <f>IFERROR(VLOOKUP(D198,'Vũ khí đề xuất'!$A:$AO,27,0),"")</f>
        <v/>
      </c>
      <c r="H198" s="50">
        <f>IFERROR(VLOOKUP(D198,'Vũ khí đề xuất'!$A:$AO,28,0),"")</f>
        <v/>
      </c>
      <c r="I198" s="50">
        <f>IFERROR(VLOOKUP(D198,'Vũ khí đề xuất'!$A:$AO,30,0),"")</f>
        <v/>
      </c>
      <c r="J198" s="50">
        <f>IFERROR(VLOOKUP(D198,'Vũ khí đề xuất'!$A:$AO,32,0),"")</f>
        <v/>
      </c>
      <c r="K198" s="50">
        <f>IFERROR(VLOOKUP(D198,'Vũ khí đề xuất'!$A:$AO,35,0),"")</f>
        <v/>
      </c>
      <c r="L198" s="50">
        <f>IFERROR(VLOOKUP(D198,'Vũ khí đề xuất'!$A:$AO,36,0),"")</f>
        <v/>
      </c>
      <c r="M198" s="39" t="n"/>
    </row>
    <row r="199" ht="15" customHeight="1" s="32">
      <c r="A199" s="41" t="inlineStr">
        <is>
          <t>argus</t>
        </is>
      </c>
      <c r="B199" s="41" t="inlineStr">
        <is>
          <t>Argus · Khí cầu trinh sát</t>
        </is>
      </c>
      <c r="C199" s="41" t="inlineStr">
        <is>
          <t>Boss</t>
        </is>
      </c>
      <c r="D199" s="41" t="inlineStr">
        <is>
          <t>airship_flak</t>
        </is>
      </c>
      <c r="E199" s="41" t="inlineStr">
        <is>
          <t>S-60 57 mm</t>
        </is>
      </c>
      <c r="F199" s="43" t="n">
        <v>1</v>
      </c>
      <c r="G199" s="51">
        <f>IFERROR(VLOOKUP(D199,'Vũ khí đề xuất'!$A:$AO,27,0),"")</f>
        <v/>
      </c>
      <c r="H199" s="51">
        <f>IFERROR(VLOOKUP(D199,'Vũ khí đề xuất'!$A:$AO,28,0),"")</f>
        <v/>
      </c>
      <c r="I199" s="51">
        <f>IFERROR(VLOOKUP(D199,'Vũ khí đề xuất'!$A:$AO,30,0),"")</f>
        <v/>
      </c>
      <c r="J199" s="51">
        <f>IFERROR(VLOOKUP(D199,'Vũ khí đề xuất'!$A:$AO,32,0),"")</f>
        <v/>
      </c>
      <c r="K199" s="51">
        <f>IFERROR(VLOOKUP(D199,'Vũ khí đề xuất'!$A:$AO,35,0),"")</f>
        <v/>
      </c>
      <c r="L199" s="51">
        <f>IFERROR(VLOOKUP(D199,'Vũ khí đề xuất'!$A:$AO,36,0),"")</f>
        <v/>
      </c>
      <c r="M199" s="41" t="n"/>
    </row>
    <row r="200" ht="15" customHeight="1" s="32">
      <c r="A200" s="39" t="inlineStr">
        <is>
          <t>ixion</t>
        </is>
      </c>
      <c r="B200" s="39" t="inlineStr">
        <is>
          <t>Ixion · Xe bánh khổng lồ</t>
        </is>
      </c>
      <c r="C200" s="39" t="inlineStr">
        <is>
          <t>Boss</t>
        </is>
      </c>
      <c r="D200" s="39" t="inlineStr">
        <is>
          <t>borer_cannon</t>
        </is>
      </c>
      <c r="E200" s="39" t="inlineStr">
        <is>
          <t>2A70 100/76 mm</t>
        </is>
      </c>
      <c r="F200" s="42" t="n">
        <v>1</v>
      </c>
      <c r="G200" s="50">
        <f>IFERROR(VLOOKUP(D200,'Vũ khí đề xuất'!$A:$AO,27,0),"")</f>
        <v/>
      </c>
      <c r="H200" s="50">
        <f>IFERROR(VLOOKUP(D200,'Vũ khí đề xuất'!$A:$AO,28,0),"")</f>
        <v/>
      </c>
      <c r="I200" s="50">
        <f>IFERROR(VLOOKUP(D200,'Vũ khí đề xuất'!$A:$AO,30,0),"")</f>
        <v/>
      </c>
      <c r="J200" s="50">
        <f>IFERROR(VLOOKUP(D200,'Vũ khí đề xuất'!$A:$AO,32,0),"")</f>
        <v/>
      </c>
      <c r="K200" s="50">
        <f>IFERROR(VLOOKUP(D200,'Vũ khí đề xuất'!$A:$AO,35,0),"")</f>
        <v/>
      </c>
      <c r="L200" s="50">
        <f>IFERROR(VLOOKUP(D200,'Vũ khí đề xuất'!$A:$AO,36,0),"")</f>
        <v/>
      </c>
      <c r="M200" s="39" t="n"/>
    </row>
    <row r="201" ht="15" customHeight="1" s="32">
      <c r="A201" s="41" t="inlineStr">
        <is>
          <t>fortress_hive</t>
        </is>
      </c>
      <c r="B201" s="41" t="inlineStr">
        <is>
          <t>Hive · Pháo đài drone</t>
        </is>
      </c>
      <c r="C201" s="41" t="inlineStr">
        <is>
          <t>Boss</t>
        </is>
      </c>
      <c r="D201" s="41" t="inlineStr">
        <is>
          <t>mothership_drones</t>
        </is>
      </c>
      <c r="E201" s="41" t="inlineStr">
        <is>
          <t>ZALA Lancet-3 (3 kg)</t>
        </is>
      </c>
      <c r="F201" s="43" t="n">
        <v>1</v>
      </c>
      <c r="G201" s="51">
        <f>IFERROR(VLOOKUP(D201,'Vũ khí đề xuất'!$A:$AO,27,0),"")</f>
        <v/>
      </c>
      <c r="H201" s="51">
        <f>IFERROR(VLOOKUP(D201,'Vũ khí đề xuất'!$A:$AO,28,0),"")</f>
        <v/>
      </c>
      <c r="I201" s="51">
        <f>IFERROR(VLOOKUP(D201,'Vũ khí đề xuất'!$A:$AO,30,0),"")</f>
        <v/>
      </c>
      <c r="J201" s="51">
        <f>IFERROR(VLOOKUP(D201,'Vũ khí đề xuất'!$A:$AO,32,0),"")</f>
        <v/>
      </c>
      <c r="K201" s="51">
        <f>IFERROR(VLOOKUP(D201,'Vũ khí đề xuất'!$A:$AO,35,0),"")</f>
        <v/>
      </c>
      <c r="L201" s="51">
        <f>IFERROR(VLOOKUP(D201,'Vũ khí đề xuất'!$A:$AO,36,0),"")</f>
        <v/>
      </c>
      <c r="M201" s="41" t="n"/>
    </row>
    <row r="202" ht="15" customHeight="1" s="32">
      <c r="A202" s="39" t="inlineStr">
        <is>
          <t>fortress_hive</t>
        </is>
      </c>
      <c r="B202" s="39" t="inlineStr">
        <is>
          <t>Hive · Pháo đài drone</t>
        </is>
      </c>
      <c r="C202" s="39" t="inlineStr">
        <is>
          <t>Boss</t>
        </is>
      </c>
      <c r="D202" s="39" t="inlineStr">
        <is>
          <t>mothership_drones</t>
        </is>
      </c>
      <c r="E202" s="39" t="inlineStr">
        <is>
          <t>ZALA Lancet-3 (3 kg)</t>
        </is>
      </c>
      <c r="F202" s="42" t="n">
        <v>1</v>
      </c>
      <c r="G202" s="50">
        <f>IFERROR(VLOOKUP(D202,'Vũ khí đề xuất'!$A:$AO,27,0),"")</f>
        <v/>
      </c>
      <c r="H202" s="50">
        <f>IFERROR(VLOOKUP(D202,'Vũ khí đề xuất'!$A:$AO,28,0),"")</f>
        <v/>
      </c>
      <c r="I202" s="50">
        <f>IFERROR(VLOOKUP(D202,'Vũ khí đề xuất'!$A:$AO,30,0),"")</f>
        <v/>
      </c>
      <c r="J202" s="50">
        <f>IFERROR(VLOOKUP(D202,'Vũ khí đề xuất'!$A:$AO,32,0),"")</f>
        <v/>
      </c>
      <c r="K202" s="50">
        <f>IFERROR(VLOOKUP(D202,'Vũ khí đề xuất'!$A:$AO,35,0),"")</f>
        <v/>
      </c>
      <c r="L202" s="50">
        <f>IFERROR(VLOOKUP(D202,'Vũ khí đề xuất'!$A:$AO,36,0),"")</f>
        <v/>
      </c>
      <c r="M202" s="39" t="n"/>
    </row>
    <row r="203" ht="15" customHeight="1" s="32">
      <c r="A203" s="41" t="inlineStr">
        <is>
          <t>fortress_hive</t>
        </is>
      </c>
      <c r="B203" s="41" t="inlineStr">
        <is>
          <t>Hive · Pháo đài drone</t>
        </is>
      </c>
      <c r="C203" s="41" t="inlineStr">
        <is>
          <t>Boss</t>
        </is>
      </c>
      <c r="D203" s="41" t="inlineStr">
        <is>
          <t>boss_flak</t>
        </is>
      </c>
      <c r="E203" s="41" t="inlineStr">
        <is>
          <t>Oerlikon 35 mm (twin)</t>
        </is>
      </c>
      <c r="F203" s="43" t="n">
        <v>1</v>
      </c>
      <c r="G203" s="51">
        <f>IFERROR(VLOOKUP(D203,'Vũ khí đề xuất'!$A:$AO,27,0),"")</f>
        <v/>
      </c>
      <c r="H203" s="51">
        <f>IFERROR(VLOOKUP(D203,'Vũ khí đề xuất'!$A:$AO,28,0),"")</f>
        <v/>
      </c>
      <c r="I203" s="51">
        <f>IFERROR(VLOOKUP(D203,'Vũ khí đề xuất'!$A:$AO,30,0),"")</f>
        <v/>
      </c>
      <c r="J203" s="51">
        <f>IFERROR(VLOOKUP(D203,'Vũ khí đề xuất'!$A:$AO,32,0),"")</f>
        <v/>
      </c>
      <c r="K203" s="51">
        <f>IFERROR(VLOOKUP(D203,'Vũ khí đề xuất'!$A:$AO,35,0),"")</f>
        <v/>
      </c>
      <c r="L203" s="51">
        <f>IFERROR(VLOOKUP(D203,'Vũ khí đề xuất'!$A:$AO,36,0),"")</f>
        <v/>
      </c>
      <c r="M203" s="41" t="n"/>
    </row>
    <row r="204" ht="15" customHeight="1" s="32">
      <c r="A204" s="39" t="inlineStr">
        <is>
          <t>fortress_hive</t>
        </is>
      </c>
      <c r="B204" s="39" t="inlineStr">
        <is>
          <t>Hive · Pháo đài drone</t>
        </is>
      </c>
      <c r="C204" s="39" t="inlineStr">
        <is>
          <t>Boss</t>
        </is>
      </c>
      <c r="D204" s="39" t="inlineStr">
        <is>
          <t>boss_flak</t>
        </is>
      </c>
      <c r="E204" s="39" t="inlineStr">
        <is>
          <t>Oerlikon 35 mm (twin)</t>
        </is>
      </c>
      <c r="F204" s="42" t="n">
        <v>1</v>
      </c>
      <c r="G204" s="50">
        <f>IFERROR(VLOOKUP(D204,'Vũ khí đề xuất'!$A:$AO,27,0),"")</f>
        <v/>
      </c>
      <c r="H204" s="50">
        <f>IFERROR(VLOOKUP(D204,'Vũ khí đề xuất'!$A:$AO,28,0),"")</f>
        <v/>
      </c>
      <c r="I204" s="50">
        <f>IFERROR(VLOOKUP(D204,'Vũ khí đề xuất'!$A:$AO,30,0),"")</f>
        <v/>
      </c>
      <c r="J204" s="50">
        <f>IFERROR(VLOOKUP(D204,'Vũ khí đề xuất'!$A:$AO,32,0),"")</f>
        <v/>
      </c>
      <c r="K204" s="50">
        <f>IFERROR(VLOOKUP(D204,'Vũ khí đề xuất'!$A:$AO,35,0),"")</f>
        <v/>
      </c>
      <c r="L204" s="50">
        <f>IFERROR(VLOOKUP(D204,'Vũ khí đề xuất'!$A:$AO,36,0),"")</f>
        <v/>
      </c>
      <c r="M204" s="39" t="n"/>
    </row>
    <row r="205" ht="15" customHeight="1" s="32">
      <c r="A205" s="41" t="inlineStr">
        <is>
          <t>caspian</t>
        </is>
      </c>
      <c r="B205" s="41" t="inlineStr">
        <is>
          <t>Caspian · Tàu bay sát mặt nước</t>
        </is>
      </c>
      <c r="C205" s="41" t="inlineStr">
        <is>
          <t>Boss</t>
        </is>
      </c>
      <c r="D205" s="41" t="inlineStr">
        <is>
          <t>hover_ciws</t>
        </is>
      </c>
      <c r="E205" s="41" t="inlineStr">
        <is>
          <t>AK-630 30 mm</t>
        </is>
      </c>
      <c r="F205" s="43" t="n">
        <v>1</v>
      </c>
      <c r="G205" s="51">
        <f>IFERROR(VLOOKUP(D205,'Vũ khí đề xuất'!$A:$AO,27,0),"")</f>
        <v/>
      </c>
      <c r="H205" s="51">
        <f>IFERROR(VLOOKUP(D205,'Vũ khí đề xuất'!$A:$AO,28,0),"")</f>
        <v/>
      </c>
      <c r="I205" s="51">
        <f>IFERROR(VLOOKUP(D205,'Vũ khí đề xuất'!$A:$AO,30,0),"")</f>
        <v/>
      </c>
      <c r="J205" s="51">
        <f>IFERROR(VLOOKUP(D205,'Vũ khí đề xuất'!$A:$AO,32,0),"")</f>
        <v/>
      </c>
      <c r="K205" s="51">
        <f>IFERROR(VLOOKUP(D205,'Vũ khí đề xuất'!$A:$AO,35,0),"")</f>
        <v/>
      </c>
      <c r="L205" s="51">
        <f>IFERROR(VLOOKUP(D205,'Vũ khí đề xuất'!$A:$AO,36,0),"")</f>
        <v/>
      </c>
      <c r="M205" s="41" t="n"/>
    </row>
    <row r="206" ht="15" customHeight="1" s="32">
      <c r="A206" s="39" t="inlineStr">
        <is>
          <t>supreme_command</t>
        </is>
      </c>
      <c r="B206" s="39" t="inlineStr">
        <is>
          <t>Atlas · Xe chỉ huy siêu nặng</t>
        </is>
      </c>
      <c r="C206" s="39" t="inlineStr">
        <is>
          <t>Boss</t>
        </is>
      </c>
      <c r="D206" s="39" t="inlineStr">
        <is>
          <t>boss_hmg</t>
        </is>
      </c>
      <c r="E206" s="39" t="inlineStr">
        <is>
          <t>NSV 12.7 mm</t>
        </is>
      </c>
      <c r="F206" s="42" t="n">
        <v>1</v>
      </c>
      <c r="G206" s="50">
        <f>IFERROR(VLOOKUP(D206,'Vũ khí đề xuất'!$A:$AO,27,0),"")</f>
        <v/>
      </c>
      <c r="H206" s="50">
        <f>IFERROR(VLOOKUP(D206,'Vũ khí đề xuất'!$A:$AO,28,0),"")</f>
        <v/>
      </c>
      <c r="I206" s="50">
        <f>IFERROR(VLOOKUP(D206,'Vũ khí đề xuất'!$A:$AO,30,0),"")</f>
        <v/>
      </c>
      <c r="J206" s="50">
        <f>IFERROR(VLOOKUP(D206,'Vũ khí đề xuất'!$A:$AO,32,0),"")</f>
        <v/>
      </c>
      <c r="K206" s="50">
        <f>IFERROR(VLOOKUP(D206,'Vũ khí đề xuất'!$A:$AO,35,0),"")</f>
        <v/>
      </c>
      <c r="L206" s="50">
        <f>IFERROR(VLOOKUP(D206,'Vũ khí đề xuất'!$A:$AO,36,0),"")</f>
        <v/>
      </c>
      <c r="M206" s="39" t="n"/>
    </row>
    <row r="207" ht="15" customHeight="1" s="32">
      <c r="A207" s="41" t="inlineStr">
        <is>
          <t>supreme_command</t>
        </is>
      </c>
      <c r="B207" s="41" t="inlineStr">
        <is>
          <t>Atlas · Xe chỉ huy siêu nặng</t>
        </is>
      </c>
      <c r="C207" s="41" t="inlineStr">
        <is>
          <t>Boss</t>
        </is>
      </c>
      <c r="D207" s="41" t="inlineStr">
        <is>
          <t>boss_hmg</t>
        </is>
      </c>
      <c r="E207" s="41" t="inlineStr">
        <is>
          <t>NSV 12.7 mm</t>
        </is>
      </c>
      <c r="F207" s="43" t="n">
        <v>1</v>
      </c>
      <c r="G207" s="51">
        <f>IFERROR(VLOOKUP(D207,'Vũ khí đề xuất'!$A:$AO,27,0),"")</f>
        <v/>
      </c>
      <c r="H207" s="51">
        <f>IFERROR(VLOOKUP(D207,'Vũ khí đề xuất'!$A:$AO,28,0),"")</f>
        <v/>
      </c>
      <c r="I207" s="51">
        <f>IFERROR(VLOOKUP(D207,'Vũ khí đề xuất'!$A:$AO,30,0),"")</f>
        <v/>
      </c>
      <c r="J207" s="51">
        <f>IFERROR(VLOOKUP(D207,'Vũ khí đề xuất'!$A:$AO,32,0),"")</f>
        <v/>
      </c>
      <c r="K207" s="51">
        <f>IFERROR(VLOOKUP(D207,'Vũ khí đề xuất'!$A:$AO,35,0),"")</f>
        <v/>
      </c>
      <c r="L207" s="51">
        <f>IFERROR(VLOOKUP(D207,'Vũ khí đề xuất'!$A:$AO,36,0),"")</f>
        <v/>
      </c>
      <c r="M207" s="41" t="n"/>
    </row>
    <row r="208" ht="15" customHeight="1" s="32">
      <c r="A208" s="39" t="inlineStr">
        <is>
          <t>sky_fortress</t>
        </is>
      </c>
      <c r="B208" s="39" t="inlineStr">
        <is>
          <t>Spectre · Máy bay pháo</t>
        </is>
      </c>
      <c r="C208" s="39" t="inlineStr">
        <is>
          <t>Boss</t>
        </is>
      </c>
      <c r="D208" s="39" t="inlineStr">
        <is>
          <t>gunship_105</t>
        </is>
      </c>
      <c r="E208" s="39" t="inlineStr">
        <is>
          <t>M102 105 mm</t>
        </is>
      </c>
      <c r="F208" s="42" t="n">
        <v>1</v>
      </c>
      <c r="G208" s="50">
        <f>IFERROR(VLOOKUP(D208,'Vũ khí đề xuất'!$A:$AO,27,0),"")</f>
        <v/>
      </c>
      <c r="H208" s="50">
        <f>IFERROR(VLOOKUP(D208,'Vũ khí đề xuất'!$A:$AO,28,0),"")</f>
        <v/>
      </c>
      <c r="I208" s="50">
        <f>IFERROR(VLOOKUP(D208,'Vũ khí đề xuất'!$A:$AO,30,0),"")</f>
        <v/>
      </c>
      <c r="J208" s="50">
        <f>IFERROR(VLOOKUP(D208,'Vũ khí đề xuất'!$A:$AO,32,0),"")</f>
        <v/>
      </c>
      <c r="K208" s="50">
        <f>IFERROR(VLOOKUP(D208,'Vũ khí đề xuất'!$A:$AO,35,0),"")</f>
        <v/>
      </c>
      <c r="L208" s="50">
        <f>IFERROR(VLOOKUP(D208,'Vũ khí đề xuất'!$A:$AO,36,0),"")</f>
        <v/>
      </c>
      <c r="M208" s="39" t="n"/>
    </row>
    <row r="209" ht="15" customHeight="1" s="32">
      <c r="A209" s="41" t="inlineStr">
        <is>
          <t>sky_fortress</t>
        </is>
      </c>
      <c r="B209" s="41" t="inlineStr">
        <is>
          <t>Spectre · Máy bay pháo</t>
        </is>
      </c>
      <c r="C209" s="41" t="inlineStr">
        <is>
          <t>Boss</t>
        </is>
      </c>
      <c r="D209" s="41" t="inlineStr">
        <is>
          <t>gunship_40mm</t>
        </is>
      </c>
      <c r="E209" s="41" t="inlineStr">
        <is>
          <t>Bofors L/60 40 mm</t>
        </is>
      </c>
      <c r="F209" s="43" t="n">
        <v>1</v>
      </c>
      <c r="G209" s="51">
        <f>IFERROR(VLOOKUP(D209,'Vũ khí đề xuất'!$A:$AO,27,0),"")</f>
        <v/>
      </c>
      <c r="H209" s="51">
        <f>IFERROR(VLOOKUP(D209,'Vũ khí đề xuất'!$A:$AO,28,0),"")</f>
        <v/>
      </c>
      <c r="I209" s="51">
        <f>IFERROR(VLOOKUP(D209,'Vũ khí đề xuất'!$A:$AO,30,0),"")</f>
        <v/>
      </c>
      <c r="J209" s="51">
        <f>IFERROR(VLOOKUP(D209,'Vũ khí đề xuất'!$A:$AO,32,0),"")</f>
        <v/>
      </c>
      <c r="K209" s="51">
        <f>IFERROR(VLOOKUP(D209,'Vũ khí đề xuất'!$A:$AO,35,0),"")</f>
        <v/>
      </c>
      <c r="L209" s="51">
        <f>IFERROR(VLOOKUP(D209,'Vũ khí đề xuất'!$A:$AO,36,0),"")</f>
        <v/>
      </c>
      <c r="M209" s="41" t="n"/>
    </row>
    <row r="210" ht="15" customHeight="1" s="32">
      <c r="A210" s="39" t="inlineStr">
        <is>
          <t>sky_fortress</t>
        </is>
      </c>
      <c r="B210" s="39" t="inlineStr">
        <is>
          <t>Spectre · Máy bay pháo</t>
        </is>
      </c>
      <c r="C210" s="39" t="inlineStr">
        <is>
          <t>Boss</t>
        </is>
      </c>
      <c r="D210" s="39" t="inlineStr">
        <is>
          <t>gunship_25mm</t>
        </is>
      </c>
      <c r="E210" s="39" t="inlineStr">
        <is>
          <t>GAU-12 Equalizer 25 mm</t>
        </is>
      </c>
      <c r="F210" s="42" t="n">
        <v>1</v>
      </c>
      <c r="G210" s="50">
        <f>IFERROR(VLOOKUP(D210,'Vũ khí đề xuất'!$A:$AO,27,0),"")</f>
        <v/>
      </c>
      <c r="H210" s="50">
        <f>IFERROR(VLOOKUP(D210,'Vũ khí đề xuất'!$A:$AO,28,0),"")</f>
        <v/>
      </c>
      <c r="I210" s="50">
        <f>IFERROR(VLOOKUP(D210,'Vũ khí đề xuất'!$A:$AO,30,0),"")</f>
        <v/>
      </c>
      <c r="J210" s="50">
        <f>IFERROR(VLOOKUP(D210,'Vũ khí đề xuất'!$A:$AO,32,0),"")</f>
        <v/>
      </c>
      <c r="K210" s="50">
        <f>IFERROR(VLOOKUP(D210,'Vũ khí đề xuất'!$A:$AO,35,0),"")</f>
        <v/>
      </c>
      <c r="L210" s="50">
        <f>IFERROR(VLOOKUP(D210,'Vũ khí đề xuất'!$A:$AO,36,0),"")</f>
        <v/>
      </c>
      <c r="M210" s="39" t="n"/>
    </row>
    <row r="211" ht="15" customHeight="1" s="32">
      <c r="A211" s="41" t="inlineStr">
        <is>
          <t>sky_fortress</t>
        </is>
      </c>
      <c r="B211" s="41" t="inlineStr">
        <is>
          <t>Spectre · Máy bay pháo</t>
        </is>
      </c>
      <c r="C211" s="41" t="inlineStr">
        <is>
          <t>Boss</t>
        </is>
      </c>
      <c r="D211" s="41" t="inlineStr">
        <is>
          <t>griffin</t>
        </is>
      </c>
      <c r="E211" s="41" t="inlineStr">
        <is>
          <t>AGM-176 Griffin</t>
        </is>
      </c>
      <c r="F211" s="43" t="n">
        <v>1</v>
      </c>
      <c r="G211" s="51">
        <f>IFERROR(VLOOKUP(D211,'Vũ khí đề xuất'!$A:$AO,27,0),"")</f>
        <v/>
      </c>
      <c r="H211" s="51">
        <f>IFERROR(VLOOKUP(D211,'Vũ khí đề xuất'!$A:$AO,28,0),"")</f>
        <v/>
      </c>
      <c r="I211" s="51">
        <f>IFERROR(VLOOKUP(D211,'Vũ khí đề xuất'!$A:$AO,30,0),"")</f>
        <v/>
      </c>
      <c r="J211" s="51">
        <f>IFERROR(VLOOKUP(D211,'Vũ khí đề xuất'!$A:$AO,32,0),"")</f>
        <v/>
      </c>
      <c r="K211" s="51">
        <f>IFERROR(VLOOKUP(D211,'Vũ khí đề xuất'!$A:$AO,35,0),"")</f>
        <v/>
      </c>
      <c r="L211" s="51">
        <f>IFERROR(VLOOKUP(D211,'Vũ khí đề xuất'!$A:$AO,36,0),"")</f>
        <v/>
      </c>
      <c r="M211" s="41" t="n"/>
    </row>
    <row r="212" ht="15" customHeight="1" s="32">
      <c r="A212" s="39" t="inlineStr">
        <is>
          <t>icarus_mk0</t>
        </is>
      </c>
      <c r="B212" s="39" t="inlineStr">
        <is>
          <t>Icarus Mk.0 · Phi thuyền nguyên mẫu</t>
        </is>
      </c>
      <c r="C212" s="39" t="inlineStr">
        <is>
          <t>Boss</t>
        </is>
      </c>
      <c r="D212" s="39" t="inlineStr">
        <is>
          <t>orbital_laser</t>
        </is>
      </c>
      <c r="E212" s="39" t="inlineStr">
        <is>
          <t>laser (150 kW) 150 mm</t>
        </is>
      </c>
      <c r="F212" s="42" t="n">
        <v>1</v>
      </c>
      <c r="G212" s="50">
        <f>IFERROR(VLOOKUP(D212,'Vũ khí đề xuất'!$A:$AO,27,0),"")</f>
        <v/>
      </c>
      <c r="H212" s="50">
        <f>IFERROR(VLOOKUP(D212,'Vũ khí đề xuất'!$A:$AO,28,0),"")</f>
        <v/>
      </c>
      <c r="I212" s="50">
        <f>IFERROR(VLOOKUP(D212,'Vũ khí đề xuất'!$A:$AO,30,0),"")</f>
        <v/>
      </c>
      <c r="J212" s="50">
        <f>IFERROR(VLOOKUP(D212,'Vũ khí đề xuất'!$A:$AO,32,0),"")</f>
        <v/>
      </c>
      <c r="K212" s="50">
        <f>IFERROR(VLOOKUP(D212,'Vũ khí đề xuất'!$A:$AO,35,0),"")</f>
        <v/>
      </c>
      <c r="L212" s="50">
        <f>IFERROR(VLOOKUP(D212,'Vũ khí đề xuất'!$A:$AO,36,0),"")</f>
        <v/>
      </c>
      <c r="M212" s="39" t="n"/>
    </row>
    <row r="213" ht="15" customHeight="1" s="32">
      <c r="A213" s="41" t="inlineStr">
        <is>
          <t>behemoth_inferno</t>
        </is>
      </c>
      <c r="B213" s="41" t="inlineStr">
        <is>
          <t>Inferno · Behemoth phun lửa</t>
        </is>
      </c>
      <c r="C213" s="41" t="inlineStr">
        <is>
          <t>Boss</t>
        </is>
      </c>
      <c r="D213" s="41" t="inlineStr">
        <is>
          <t>boss_flamer</t>
        </is>
      </c>
      <c r="E213" s="41" t="inlineStr">
        <is>
          <t>flamethrower (heavy)</t>
        </is>
      </c>
      <c r="F213" s="43" t="n">
        <v>1</v>
      </c>
      <c r="G213" s="51">
        <f>IFERROR(VLOOKUP(D213,'Vũ khí đề xuất'!$A:$AO,27,0),"")</f>
        <v/>
      </c>
      <c r="H213" s="51">
        <f>IFERROR(VLOOKUP(D213,'Vũ khí đề xuất'!$A:$AO,28,0),"")</f>
        <v/>
      </c>
      <c r="I213" s="51">
        <f>IFERROR(VLOOKUP(D213,'Vũ khí đề xuất'!$A:$AO,30,0),"")</f>
        <v/>
      </c>
      <c r="J213" s="51">
        <f>IFERROR(VLOOKUP(D213,'Vũ khí đề xuất'!$A:$AO,32,0),"")</f>
        <v/>
      </c>
      <c r="K213" s="51">
        <f>IFERROR(VLOOKUP(D213,'Vũ khí đề xuất'!$A:$AO,35,0),"")</f>
        <v/>
      </c>
      <c r="L213" s="51">
        <f>IFERROR(VLOOKUP(D213,'Vũ khí đề xuất'!$A:$AO,36,0),"")</f>
        <v/>
      </c>
      <c r="M213" s="41" t="n"/>
    </row>
    <row r="214" ht="15" customHeight="1" s="32">
      <c r="A214" s="39" t="inlineStr">
        <is>
          <t>behemoth_inferno</t>
        </is>
      </c>
      <c r="B214" s="39" t="inlineStr">
        <is>
          <t>Inferno · Behemoth phun lửa</t>
        </is>
      </c>
      <c r="C214" s="39" t="inlineStr">
        <is>
          <t>Boss</t>
        </is>
      </c>
      <c r="D214" s="39" t="inlineStr">
        <is>
          <t>boss_thermo</t>
        </is>
      </c>
      <c r="E214" s="39" t="inlineStr">
        <is>
          <t>TOS-1A 220 mm thermobaric</t>
        </is>
      </c>
      <c r="F214" s="42" t="n">
        <v>1</v>
      </c>
      <c r="G214" s="50">
        <f>IFERROR(VLOOKUP(D214,'Vũ khí đề xuất'!$A:$AO,27,0),"")</f>
        <v/>
      </c>
      <c r="H214" s="50">
        <f>IFERROR(VLOOKUP(D214,'Vũ khí đề xuất'!$A:$AO,28,0),"")</f>
        <v/>
      </c>
      <c r="I214" s="50">
        <f>IFERROR(VLOOKUP(D214,'Vũ khí đề xuất'!$A:$AO,30,0),"")</f>
        <v/>
      </c>
      <c r="J214" s="50">
        <f>IFERROR(VLOOKUP(D214,'Vũ khí đề xuất'!$A:$AO,32,0),"")</f>
        <v/>
      </c>
      <c r="K214" s="50">
        <f>IFERROR(VLOOKUP(D214,'Vũ khí đề xuất'!$A:$AO,35,0),"")</f>
        <v/>
      </c>
      <c r="L214" s="50">
        <f>IFERROR(VLOOKUP(D214,'Vũ khí đề xuất'!$A:$AO,36,0),"")</f>
        <v/>
      </c>
      <c r="M214" s="39" t="n"/>
    </row>
    <row r="215" ht="15" customHeight="1" s="32">
      <c r="A215" s="41" t="inlineStr">
        <is>
          <t>behemoth_inferno</t>
        </is>
      </c>
      <c r="B215" s="41" t="inlineStr">
        <is>
          <t>Inferno · Behemoth phun lửa</t>
        </is>
      </c>
      <c r="C215" s="41" t="inlineStr">
        <is>
          <t>Boss</t>
        </is>
      </c>
      <c r="D215" s="41" t="inlineStr">
        <is>
          <t>boss_flamer</t>
        </is>
      </c>
      <c r="E215" s="41" t="inlineStr">
        <is>
          <t>flamethrower (heavy)</t>
        </is>
      </c>
      <c r="F215" s="43" t="n">
        <v>1</v>
      </c>
      <c r="G215" s="51">
        <f>IFERROR(VLOOKUP(D215,'Vũ khí đề xuất'!$A:$AO,27,0),"")</f>
        <v/>
      </c>
      <c r="H215" s="51">
        <f>IFERROR(VLOOKUP(D215,'Vũ khí đề xuất'!$A:$AO,28,0),"")</f>
        <v/>
      </c>
      <c r="I215" s="51">
        <f>IFERROR(VLOOKUP(D215,'Vũ khí đề xuất'!$A:$AO,30,0),"")</f>
        <v/>
      </c>
      <c r="J215" s="51">
        <f>IFERROR(VLOOKUP(D215,'Vũ khí đề xuất'!$A:$AO,32,0),"")</f>
        <v/>
      </c>
      <c r="K215" s="51">
        <f>IFERROR(VLOOKUP(D215,'Vũ khí đề xuất'!$A:$AO,35,0),"")</f>
        <v/>
      </c>
      <c r="L215" s="51">
        <f>IFERROR(VLOOKUP(D215,'Vũ khí đề xuất'!$A:$AO,36,0),"")</f>
        <v/>
      </c>
      <c r="M215" s="41" t="n"/>
    </row>
    <row r="216" ht="15" customHeight="1" s="32">
      <c r="A216" s="39" t="inlineStr">
        <is>
          <t>fenrir</t>
        </is>
      </c>
      <c r="B216" s="39" t="inlineStr">
        <is>
          <t>Fenrir · Xe tiên phong</t>
        </is>
      </c>
      <c r="C216" s="39" t="inlineStr">
        <is>
          <t>Boss</t>
        </is>
      </c>
      <c r="D216" s="39" t="inlineStr">
        <is>
          <t>boss_rockets</t>
        </is>
      </c>
      <c r="E216" s="39" t="inlineStr">
        <is>
          <t>BM-21 Grad 122 mm</t>
        </is>
      </c>
      <c r="F216" s="42" t="n">
        <v>1</v>
      </c>
      <c r="G216" s="50">
        <f>IFERROR(VLOOKUP(D216,'Vũ khí đề xuất'!$A:$AO,27,0),"")</f>
        <v/>
      </c>
      <c r="H216" s="50">
        <f>IFERROR(VLOOKUP(D216,'Vũ khí đề xuất'!$A:$AO,28,0),"")</f>
        <v/>
      </c>
      <c r="I216" s="50">
        <f>IFERROR(VLOOKUP(D216,'Vũ khí đề xuất'!$A:$AO,30,0),"")</f>
        <v/>
      </c>
      <c r="J216" s="50">
        <f>IFERROR(VLOOKUP(D216,'Vũ khí đề xuất'!$A:$AO,32,0),"")</f>
        <v/>
      </c>
      <c r="K216" s="50">
        <f>IFERROR(VLOOKUP(D216,'Vũ khí đề xuất'!$A:$AO,35,0),"")</f>
        <v/>
      </c>
      <c r="L216" s="50">
        <f>IFERROR(VLOOKUP(D216,'Vũ khí đề xuất'!$A:$AO,36,0),"")</f>
        <v/>
      </c>
      <c r="M216" s="39" t="n"/>
    </row>
    <row r="217" ht="15" customHeight="1" s="32">
      <c r="A217" s="41" t="inlineStr">
        <is>
          <t>fenrir</t>
        </is>
      </c>
      <c r="B217" s="41" t="inlineStr">
        <is>
          <t>Fenrir · Xe tiên phong</t>
        </is>
      </c>
      <c r="C217" s="41" t="inlineStr">
        <is>
          <t>Boss</t>
        </is>
      </c>
      <c r="D217" s="41" t="inlineStr">
        <is>
          <t>boss_rockets</t>
        </is>
      </c>
      <c r="E217" s="41" t="inlineStr">
        <is>
          <t>BM-21 Grad 122 mm</t>
        </is>
      </c>
      <c r="F217" s="43" t="n">
        <v>1</v>
      </c>
      <c r="G217" s="51">
        <f>IFERROR(VLOOKUP(D217,'Vũ khí đề xuất'!$A:$AO,27,0),"")</f>
        <v/>
      </c>
      <c r="H217" s="51">
        <f>IFERROR(VLOOKUP(D217,'Vũ khí đề xuất'!$A:$AO,28,0),"")</f>
        <v/>
      </c>
      <c r="I217" s="51">
        <f>IFERROR(VLOOKUP(D217,'Vũ khí đề xuất'!$A:$AO,30,0),"")</f>
        <v/>
      </c>
      <c r="J217" s="51">
        <f>IFERROR(VLOOKUP(D217,'Vũ khí đề xuất'!$A:$AO,32,0),"")</f>
        <v/>
      </c>
      <c r="K217" s="51">
        <f>IFERROR(VLOOKUP(D217,'Vũ khí đề xuất'!$A:$AO,35,0),"")</f>
        <v/>
      </c>
      <c r="L217" s="51">
        <f>IFERROR(VLOOKUP(D217,'Vũ khí đề xuất'!$A:$AO,36,0),"")</f>
        <v/>
      </c>
      <c r="M217" s="41" t="n"/>
    </row>
    <row r="218" ht="15" customHeight="1" s="32">
      <c r="A218" s="39" t="inlineStr">
        <is>
          <t>fenrir</t>
        </is>
      </c>
      <c r="B218" s="39" t="inlineStr">
        <is>
          <t>Fenrir · Xe tiên phong</t>
        </is>
      </c>
      <c r="C218" s="39" t="inlineStr">
        <is>
          <t>Boss</t>
        </is>
      </c>
      <c r="D218" s="39" t="inlineStr">
        <is>
          <t>boss_flak</t>
        </is>
      </c>
      <c r="E218" s="39" t="inlineStr">
        <is>
          <t>Oerlikon 35 mm (twin)</t>
        </is>
      </c>
      <c r="F218" s="42" t="n">
        <v>1</v>
      </c>
      <c r="G218" s="50">
        <f>IFERROR(VLOOKUP(D218,'Vũ khí đề xuất'!$A:$AO,27,0),"")</f>
        <v/>
      </c>
      <c r="H218" s="50">
        <f>IFERROR(VLOOKUP(D218,'Vũ khí đề xuất'!$A:$AO,28,0),"")</f>
        <v/>
      </c>
      <c r="I218" s="50">
        <f>IFERROR(VLOOKUP(D218,'Vũ khí đề xuất'!$A:$AO,30,0),"")</f>
        <v/>
      </c>
      <c r="J218" s="50">
        <f>IFERROR(VLOOKUP(D218,'Vũ khí đề xuất'!$A:$AO,32,0),"")</f>
        <v/>
      </c>
      <c r="K218" s="50">
        <f>IFERROR(VLOOKUP(D218,'Vũ khí đề xuất'!$A:$AO,35,0),"")</f>
        <v/>
      </c>
      <c r="L218" s="50">
        <f>IFERROR(VLOOKUP(D218,'Vũ khí đề xuất'!$A:$AO,36,0),"")</f>
        <v/>
      </c>
      <c r="M218" s="39" t="n"/>
    </row>
    <row r="219" ht="15" customHeight="1" s="32">
      <c r="A219" s="41" t="inlineStr">
        <is>
          <t>daedalus</t>
        </is>
      </c>
      <c r="B219" s="41" t="inlineStr">
        <is>
          <t>Daedalus · Tàu đổ bộ quỹ đạo</t>
        </is>
      </c>
      <c r="C219" s="41" t="inlineStr">
        <is>
          <t>Boss</t>
        </is>
      </c>
      <c r="D219" s="41" t="inlineStr">
        <is>
          <t>autocannon_30</t>
        </is>
      </c>
      <c r="E219" s="41" t="inlineStr">
        <is>
          <t>2A42 30 mm</t>
        </is>
      </c>
      <c r="F219" s="43" t="n">
        <v>1</v>
      </c>
      <c r="G219" s="51">
        <f>IFERROR(VLOOKUP(D219,'Vũ khí đề xuất'!$A:$AO,27,0),"")</f>
        <v/>
      </c>
      <c r="H219" s="51">
        <f>IFERROR(VLOOKUP(D219,'Vũ khí đề xuất'!$A:$AO,28,0),"")</f>
        <v/>
      </c>
      <c r="I219" s="51">
        <f>IFERROR(VLOOKUP(D219,'Vũ khí đề xuất'!$A:$AO,30,0),"")</f>
        <v/>
      </c>
      <c r="J219" s="51">
        <f>IFERROR(VLOOKUP(D219,'Vũ khí đề xuất'!$A:$AO,32,0),"")</f>
        <v/>
      </c>
      <c r="K219" s="51">
        <f>IFERROR(VLOOKUP(D219,'Vũ khí đề xuất'!$A:$AO,35,0),"")</f>
        <v/>
      </c>
      <c r="L219" s="51">
        <f>IFERROR(VLOOKUP(D219,'Vũ khí đề xuất'!$A:$AO,36,0),"")</f>
        <v/>
      </c>
      <c r="M219" s="41" t="n"/>
    </row>
    <row r="220" ht="15" customHeight="1" s="32">
      <c r="A220" s="39" t="inlineStr">
        <is>
          <t>daedalus</t>
        </is>
      </c>
      <c r="B220" s="39" t="inlineStr">
        <is>
          <t>Daedalus · Tàu đổ bộ quỹ đạo</t>
        </is>
      </c>
      <c r="C220" s="39" t="inlineStr">
        <is>
          <t>Boss</t>
        </is>
      </c>
      <c r="D220" s="39" t="inlineStr">
        <is>
          <t>autocannon_30</t>
        </is>
      </c>
      <c r="E220" s="39" t="inlineStr">
        <is>
          <t>2A42 30 mm</t>
        </is>
      </c>
      <c r="F220" s="42" t="n">
        <v>1</v>
      </c>
      <c r="G220" s="50">
        <f>IFERROR(VLOOKUP(D220,'Vũ khí đề xuất'!$A:$AO,27,0),"")</f>
        <v/>
      </c>
      <c r="H220" s="50">
        <f>IFERROR(VLOOKUP(D220,'Vũ khí đề xuất'!$A:$AO,28,0),"")</f>
        <v/>
      </c>
      <c r="I220" s="50">
        <f>IFERROR(VLOOKUP(D220,'Vũ khí đề xuất'!$A:$AO,30,0),"")</f>
        <v/>
      </c>
      <c r="J220" s="50">
        <f>IFERROR(VLOOKUP(D220,'Vũ khí đề xuất'!$A:$AO,32,0),"")</f>
        <v/>
      </c>
      <c r="K220" s="50">
        <f>IFERROR(VLOOKUP(D220,'Vũ khí đề xuất'!$A:$AO,35,0),"")</f>
        <v/>
      </c>
      <c r="L220" s="50">
        <f>IFERROR(VLOOKUP(D220,'Vũ khí đề xuất'!$A:$AO,36,0),"")</f>
        <v/>
      </c>
      <c r="M220" s="39" t="n"/>
    </row>
    <row r="221" ht="15" customHeight="1" s="32">
      <c r="A221" s="41" t="inlineStr">
        <is>
          <t>mega_gunship</t>
        </is>
      </c>
      <c r="B221" s="41" t="inlineStr">
        <is>
          <t>Harpy · Trực thăng khổng lồ</t>
        </is>
      </c>
      <c r="C221" s="41" t="inlineStr">
        <is>
          <t>Boss</t>
        </is>
      </c>
      <c r="D221" s="41" t="inlineStr">
        <is>
          <t>gunship_rockets</t>
        </is>
      </c>
      <c r="E221" s="41" t="inlineStr">
        <is>
          <t>S-8 80 mm</t>
        </is>
      </c>
      <c r="F221" s="43" t="n">
        <v>1</v>
      </c>
      <c r="G221" s="51">
        <f>IFERROR(VLOOKUP(D221,'Vũ khí đề xuất'!$A:$AO,27,0),"")</f>
        <v/>
      </c>
      <c r="H221" s="51">
        <f>IFERROR(VLOOKUP(D221,'Vũ khí đề xuất'!$A:$AO,28,0),"")</f>
        <v/>
      </c>
      <c r="I221" s="51">
        <f>IFERROR(VLOOKUP(D221,'Vũ khí đề xuất'!$A:$AO,30,0),"")</f>
        <v/>
      </c>
      <c r="J221" s="51">
        <f>IFERROR(VLOOKUP(D221,'Vũ khí đề xuất'!$A:$AO,32,0),"")</f>
        <v/>
      </c>
      <c r="K221" s="51">
        <f>IFERROR(VLOOKUP(D221,'Vũ khí đề xuất'!$A:$AO,35,0),"")</f>
        <v/>
      </c>
      <c r="L221" s="51">
        <f>IFERROR(VLOOKUP(D221,'Vũ khí đề xuất'!$A:$AO,36,0),"")</f>
        <v/>
      </c>
      <c r="M221" s="41" t="n"/>
    </row>
    <row r="222" ht="15" customHeight="1" s="32">
      <c r="A222" s="39" t="inlineStr">
        <is>
          <t>mega_gunship</t>
        </is>
      </c>
      <c r="B222" s="39" t="inlineStr">
        <is>
          <t>Harpy · Trực thăng khổng lồ</t>
        </is>
      </c>
      <c r="C222" s="39" t="inlineStr">
        <is>
          <t>Boss</t>
        </is>
      </c>
      <c r="D222" s="39" t="inlineStr">
        <is>
          <t>boss_heli_gun</t>
        </is>
      </c>
      <c r="E222" s="39" t="inlineStr">
        <is>
          <t>M230 30 mm</t>
        </is>
      </c>
      <c r="F222" s="42" t="n">
        <v>1</v>
      </c>
      <c r="G222" s="50">
        <f>IFERROR(VLOOKUP(D222,'Vũ khí đề xuất'!$A:$AO,27,0),"")</f>
        <v/>
      </c>
      <c r="H222" s="50">
        <f>IFERROR(VLOOKUP(D222,'Vũ khí đề xuất'!$A:$AO,28,0),"")</f>
        <v/>
      </c>
      <c r="I222" s="50">
        <f>IFERROR(VLOOKUP(D222,'Vũ khí đề xuất'!$A:$AO,30,0),"")</f>
        <v/>
      </c>
      <c r="J222" s="50">
        <f>IFERROR(VLOOKUP(D222,'Vũ khí đề xuất'!$A:$AO,32,0),"")</f>
        <v/>
      </c>
      <c r="K222" s="50">
        <f>IFERROR(VLOOKUP(D222,'Vũ khí đề xuất'!$A:$AO,35,0),"")</f>
        <v/>
      </c>
      <c r="L222" s="50">
        <f>IFERROR(VLOOKUP(D222,'Vũ khí đề xuất'!$A:$AO,36,0),"")</f>
        <v/>
      </c>
      <c r="M222" s="39" t="n"/>
    </row>
    <row r="223" ht="15" customHeight="1" s="32">
      <c r="A223" s="41" t="inlineStr">
        <is>
          <t>mega_gunship</t>
        </is>
      </c>
      <c r="B223" s="41" t="inlineStr">
        <is>
          <t>Harpy · Trực thăng khổng lồ</t>
        </is>
      </c>
      <c r="C223" s="41" t="inlineStr">
        <is>
          <t>Boss</t>
        </is>
      </c>
      <c r="D223" s="41" t="inlineStr">
        <is>
          <t>boss_heli_gun</t>
        </is>
      </c>
      <c r="E223" s="41" t="inlineStr">
        <is>
          <t>M230 30 mm</t>
        </is>
      </c>
      <c r="F223" s="43" t="n">
        <v>1</v>
      </c>
      <c r="G223" s="51">
        <f>IFERROR(VLOOKUP(D223,'Vũ khí đề xuất'!$A:$AO,27,0),"")</f>
        <v/>
      </c>
      <c r="H223" s="51">
        <f>IFERROR(VLOOKUP(D223,'Vũ khí đề xuất'!$A:$AO,28,0),"")</f>
        <v/>
      </c>
      <c r="I223" s="51">
        <f>IFERROR(VLOOKUP(D223,'Vũ khí đề xuất'!$A:$AO,30,0),"")</f>
        <v/>
      </c>
      <c r="J223" s="51">
        <f>IFERROR(VLOOKUP(D223,'Vũ khí đề xuất'!$A:$AO,32,0),"")</f>
        <v/>
      </c>
      <c r="K223" s="51">
        <f>IFERROR(VLOOKUP(D223,'Vũ khí đề xuất'!$A:$AO,35,0),"")</f>
        <v/>
      </c>
      <c r="L223" s="51">
        <f>IFERROR(VLOOKUP(D223,'Vũ khí đề xuất'!$A:$AO,36,0),"")</f>
        <v/>
      </c>
      <c r="M223" s="41" t="n"/>
    </row>
    <row r="224" ht="15" customHeight="1" s="32">
      <c r="A224" s="39" t="inlineStr">
        <is>
          <t>mega_gunship</t>
        </is>
      </c>
      <c r="B224" s="39" t="inlineStr">
        <is>
          <t>Harpy · Trực thăng khổng lồ</t>
        </is>
      </c>
      <c r="C224" s="39" t="inlineStr">
        <is>
          <t>Boss</t>
        </is>
      </c>
      <c r="D224" s="39" t="inlineStr">
        <is>
          <t>boss_minigun</t>
        </is>
      </c>
      <c r="E224" s="39" t="inlineStr">
        <is>
          <t>GShG 7.62 mm</t>
        </is>
      </c>
      <c r="F224" s="42" t="n">
        <v>1</v>
      </c>
      <c r="G224" s="50">
        <f>IFERROR(VLOOKUP(D224,'Vũ khí đề xuất'!$A:$AO,27,0),"")</f>
        <v/>
      </c>
      <c r="H224" s="50">
        <f>IFERROR(VLOOKUP(D224,'Vũ khí đề xuất'!$A:$AO,28,0),"")</f>
        <v/>
      </c>
      <c r="I224" s="50">
        <f>IFERROR(VLOOKUP(D224,'Vũ khí đề xuất'!$A:$AO,30,0),"")</f>
        <v/>
      </c>
      <c r="J224" s="50">
        <f>IFERROR(VLOOKUP(D224,'Vũ khí đề xuất'!$A:$AO,32,0),"")</f>
        <v/>
      </c>
      <c r="K224" s="50">
        <f>IFERROR(VLOOKUP(D224,'Vũ khí đề xuất'!$A:$AO,35,0),"")</f>
        <v/>
      </c>
      <c r="L224" s="50">
        <f>IFERROR(VLOOKUP(D224,'Vũ khí đề xuất'!$A:$AO,36,0),"")</f>
        <v/>
      </c>
      <c r="M224" s="39" t="n"/>
    </row>
    <row r="225" ht="15" customHeight="1" s="32">
      <c r="A225" s="41" t="inlineStr">
        <is>
          <t>mega_gunship</t>
        </is>
      </c>
      <c r="B225" s="41" t="inlineStr">
        <is>
          <t>Harpy · Trực thăng khổng lồ</t>
        </is>
      </c>
      <c r="C225" s="41" t="inlineStr">
        <is>
          <t>Boss</t>
        </is>
      </c>
      <c r="D225" s="41" t="inlineStr">
        <is>
          <t>gunship_rockets</t>
        </is>
      </c>
      <c r="E225" s="41" t="inlineStr">
        <is>
          <t>S-8 80 mm</t>
        </is>
      </c>
      <c r="F225" s="43" t="n">
        <v>1</v>
      </c>
      <c r="G225" s="51">
        <f>IFERROR(VLOOKUP(D225,'Vũ khí đề xuất'!$A:$AO,27,0),"")</f>
        <v/>
      </c>
      <c r="H225" s="51">
        <f>IFERROR(VLOOKUP(D225,'Vũ khí đề xuất'!$A:$AO,28,0),"")</f>
        <v/>
      </c>
      <c r="I225" s="51">
        <f>IFERROR(VLOOKUP(D225,'Vũ khí đề xuất'!$A:$AO,30,0),"")</f>
        <v/>
      </c>
      <c r="J225" s="51">
        <f>IFERROR(VLOOKUP(D225,'Vũ khí đề xuất'!$A:$AO,32,0),"")</f>
        <v/>
      </c>
      <c r="K225" s="51">
        <f>IFERROR(VLOOKUP(D225,'Vũ khí đề xuất'!$A:$AO,35,0),"")</f>
        <v/>
      </c>
      <c r="L225" s="51">
        <f>IFERROR(VLOOKUP(D225,'Vũ khí đề xuất'!$A:$AO,36,0),"")</f>
        <v/>
      </c>
      <c r="M225" s="41" t="n"/>
    </row>
    <row r="226" ht="15" customHeight="1" s="32">
      <c r="A226" s="39" t="inlineStr">
        <is>
          <t>behemoth</t>
        </is>
      </c>
      <c r="B226" s="39" t="inlineStr">
        <is>
          <t>Behemoth · Quái vật thép</t>
        </is>
      </c>
      <c r="C226" s="39" t="inlineStr">
        <is>
          <t>Boss</t>
        </is>
      </c>
      <c r="D226" s="39" t="inlineStr">
        <is>
          <t>gun_behemoth</t>
        </is>
      </c>
      <c r="E226" s="39" t="inlineStr">
        <is>
          <t>2A65 152 mm (twin)</t>
        </is>
      </c>
      <c r="F226" s="42" t="n">
        <v>1</v>
      </c>
      <c r="G226" s="50">
        <f>IFERROR(VLOOKUP(D226,'Vũ khí đề xuất'!$A:$AO,27,0),"")</f>
        <v/>
      </c>
      <c r="H226" s="50">
        <f>IFERROR(VLOOKUP(D226,'Vũ khí đề xuất'!$A:$AO,28,0),"")</f>
        <v/>
      </c>
      <c r="I226" s="50">
        <f>IFERROR(VLOOKUP(D226,'Vũ khí đề xuất'!$A:$AO,30,0),"")</f>
        <v/>
      </c>
      <c r="J226" s="50">
        <f>IFERROR(VLOOKUP(D226,'Vũ khí đề xuất'!$A:$AO,32,0),"")</f>
        <v/>
      </c>
      <c r="K226" s="50">
        <f>IFERROR(VLOOKUP(D226,'Vũ khí đề xuất'!$A:$AO,35,0),"")</f>
        <v/>
      </c>
      <c r="L226" s="50">
        <f>IFERROR(VLOOKUP(D226,'Vũ khí đề xuất'!$A:$AO,36,0),"")</f>
        <v/>
      </c>
      <c r="M226" s="39" t="n"/>
    </row>
    <row r="227" ht="15" customHeight="1" s="32">
      <c r="A227" s="41" t="inlineStr">
        <is>
          <t>behemoth</t>
        </is>
      </c>
      <c r="B227" s="41" t="inlineStr">
        <is>
          <t>Behemoth · Quái vật thép</t>
        </is>
      </c>
      <c r="C227" s="41" t="inlineStr">
        <is>
          <t>Boss</t>
        </is>
      </c>
      <c r="D227" s="41" t="inlineStr">
        <is>
          <t>gun_120mm</t>
        </is>
      </c>
      <c r="E227" s="41" t="inlineStr">
        <is>
          <t>Rh-120 L/44 120 mm</t>
        </is>
      </c>
      <c r="F227" s="43" t="n">
        <v>1</v>
      </c>
      <c r="G227" s="51">
        <f>IFERROR(VLOOKUP(D227,'Vũ khí đề xuất'!$A:$AO,27,0),"")</f>
        <v/>
      </c>
      <c r="H227" s="51">
        <f>IFERROR(VLOOKUP(D227,'Vũ khí đề xuất'!$A:$AO,28,0),"")</f>
        <v/>
      </c>
      <c r="I227" s="51">
        <f>IFERROR(VLOOKUP(D227,'Vũ khí đề xuất'!$A:$AO,30,0),"")</f>
        <v/>
      </c>
      <c r="J227" s="51">
        <f>IFERROR(VLOOKUP(D227,'Vũ khí đề xuất'!$A:$AO,32,0),"")</f>
        <v/>
      </c>
      <c r="K227" s="51">
        <f>IFERROR(VLOOKUP(D227,'Vũ khí đề xuất'!$A:$AO,35,0),"")</f>
        <v/>
      </c>
      <c r="L227" s="51">
        <f>IFERROR(VLOOKUP(D227,'Vũ khí đề xuất'!$A:$AO,36,0),"")</f>
        <v/>
      </c>
      <c r="M227" s="41" t="n"/>
    </row>
    <row r="228" ht="15" customHeight="1" s="32">
      <c r="A228" s="39" t="inlineStr">
        <is>
          <t>behemoth</t>
        </is>
      </c>
      <c r="B228" s="39" t="inlineStr">
        <is>
          <t>Behemoth · Quái vật thép</t>
        </is>
      </c>
      <c r="C228" s="39" t="inlineStr">
        <is>
          <t>Boss</t>
        </is>
      </c>
      <c r="D228" s="39" t="inlineStr">
        <is>
          <t>boss_flak</t>
        </is>
      </c>
      <c r="E228" s="39" t="inlineStr">
        <is>
          <t>Oerlikon 35 mm (twin)</t>
        </is>
      </c>
      <c r="F228" s="42" t="n">
        <v>1</v>
      </c>
      <c r="G228" s="50">
        <f>IFERROR(VLOOKUP(D228,'Vũ khí đề xuất'!$A:$AO,27,0),"")</f>
        <v/>
      </c>
      <c r="H228" s="50">
        <f>IFERROR(VLOOKUP(D228,'Vũ khí đề xuất'!$A:$AO,28,0),"")</f>
        <v/>
      </c>
      <c r="I228" s="50">
        <f>IFERROR(VLOOKUP(D228,'Vũ khí đề xuất'!$A:$AO,30,0),"")</f>
        <v/>
      </c>
      <c r="J228" s="50">
        <f>IFERROR(VLOOKUP(D228,'Vũ khí đề xuất'!$A:$AO,32,0),"")</f>
        <v/>
      </c>
      <c r="K228" s="50">
        <f>IFERROR(VLOOKUP(D228,'Vũ khí đề xuất'!$A:$AO,35,0),"")</f>
        <v/>
      </c>
      <c r="L228" s="50">
        <f>IFERROR(VLOOKUP(D228,'Vũ khí đề xuất'!$A:$AO,36,0),"")</f>
        <v/>
      </c>
      <c r="M228" s="39" t="n"/>
    </row>
    <row r="229" ht="15" customHeight="1" s="32">
      <c r="A229" s="41" t="inlineStr">
        <is>
          <t>behemoth</t>
        </is>
      </c>
      <c r="B229" s="41" t="inlineStr">
        <is>
          <t>Behemoth · Quái vật thép</t>
        </is>
      </c>
      <c r="C229" s="41" t="inlineStr">
        <is>
          <t>Boss</t>
        </is>
      </c>
      <c r="D229" s="41" t="inlineStr">
        <is>
          <t>boss_flak</t>
        </is>
      </c>
      <c r="E229" s="41" t="inlineStr">
        <is>
          <t>Oerlikon 35 mm (twin)</t>
        </is>
      </c>
      <c r="F229" s="43" t="n">
        <v>1</v>
      </c>
      <c r="G229" s="51">
        <f>IFERROR(VLOOKUP(D229,'Vũ khí đề xuất'!$A:$AO,27,0),"")</f>
        <v/>
      </c>
      <c r="H229" s="51">
        <f>IFERROR(VLOOKUP(D229,'Vũ khí đề xuất'!$A:$AO,28,0),"")</f>
        <v/>
      </c>
      <c r="I229" s="51">
        <f>IFERROR(VLOOKUP(D229,'Vũ khí đề xuất'!$A:$AO,30,0),"")</f>
        <v/>
      </c>
      <c r="J229" s="51">
        <f>IFERROR(VLOOKUP(D229,'Vũ khí đề xuất'!$A:$AO,32,0),"")</f>
        <v/>
      </c>
      <c r="K229" s="51">
        <f>IFERROR(VLOOKUP(D229,'Vũ khí đề xuất'!$A:$AO,35,0),"")</f>
        <v/>
      </c>
      <c r="L229" s="51">
        <f>IFERROR(VLOOKUP(D229,'Vũ khí đề xuất'!$A:$AO,36,0),"")</f>
        <v/>
      </c>
      <c r="M229" s="41" t="n"/>
    </row>
    <row r="230" ht="15" customHeight="1" s="32">
      <c r="A230" s="39" t="inlineStr">
        <is>
          <t>behemoth</t>
        </is>
      </c>
      <c r="B230" s="39" t="inlineStr">
        <is>
          <t>Behemoth · Quái vật thép</t>
        </is>
      </c>
      <c r="C230" s="39" t="inlineStr">
        <is>
          <t>Boss</t>
        </is>
      </c>
      <c r="D230" s="39" t="inlineStr">
        <is>
          <t>boss_missiles</t>
        </is>
      </c>
      <c r="E230" s="39" t="inlineStr">
        <is>
          <t>9M133 Kornet</t>
        </is>
      </c>
      <c r="F230" s="42" t="n">
        <v>1</v>
      </c>
      <c r="G230" s="50">
        <f>IFERROR(VLOOKUP(D230,'Vũ khí đề xuất'!$A:$AO,27,0),"")</f>
        <v/>
      </c>
      <c r="H230" s="50">
        <f>IFERROR(VLOOKUP(D230,'Vũ khí đề xuất'!$A:$AO,28,0),"")</f>
        <v/>
      </c>
      <c r="I230" s="50">
        <f>IFERROR(VLOOKUP(D230,'Vũ khí đề xuất'!$A:$AO,30,0),"")</f>
        <v/>
      </c>
      <c r="J230" s="50">
        <f>IFERROR(VLOOKUP(D230,'Vũ khí đề xuất'!$A:$AO,32,0),"")</f>
        <v/>
      </c>
      <c r="K230" s="50">
        <f>IFERROR(VLOOKUP(D230,'Vũ khí đề xuất'!$A:$AO,35,0),"")</f>
        <v/>
      </c>
      <c r="L230" s="50">
        <f>IFERROR(VLOOKUP(D230,'Vũ khí đề xuất'!$A:$AO,36,0),"")</f>
        <v/>
      </c>
      <c r="M230" s="39" t="n"/>
    </row>
    <row r="231" ht="15" customHeight="1" s="32">
      <c r="A231" s="41" t="inlineStr">
        <is>
          <t>behemoth</t>
        </is>
      </c>
      <c r="B231" s="41" t="inlineStr">
        <is>
          <t>Behemoth · Quái vật thép</t>
        </is>
      </c>
      <c r="C231" s="41" t="inlineStr">
        <is>
          <t>Boss</t>
        </is>
      </c>
      <c r="D231" s="41" t="inlineStr">
        <is>
          <t>boss_missiles</t>
        </is>
      </c>
      <c r="E231" s="41" t="inlineStr">
        <is>
          <t>9M133 Kornet</t>
        </is>
      </c>
      <c r="F231" s="43" t="n">
        <v>1</v>
      </c>
      <c r="G231" s="51">
        <f>IFERROR(VLOOKUP(D231,'Vũ khí đề xuất'!$A:$AO,27,0),"")</f>
        <v/>
      </c>
      <c r="H231" s="51">
        <f>IFERROR(VLOOKUP(D231,'Vũ khí đề xuất'!$A:$AO,28,0),"")</f>
        <v/>
      </c>
      <c r="I231" s="51">
        <f>IFERROR(VLOOKUP(D231,'Vũ khí đề xuất'!$A:$AO,30,0),"")</f>
        <v/>
      </c>
      <c r="J231" s="51">
        <f>IFERROR(VLOOKUP(D231,'Vũ khí đề xuất'!$A:$AO,32,0),"")</f>
        <v/>
      </c>
      <c r="K231" s="51">
        <f>IFERROR(VLOOKUP(D231,'Vũ khí đề xuất'!$A:$AO,35,0),"")</f>
        <v/>
      </c>
      <c r="L231" s="51">
        <f>IFERROR(VLOOKUP(D231,'Vũ khí đề xuất'!$A:$AO,36,0),"")</f>
        <v/>
      </c>
      <c r="M231" s="41" t="n"/>
    </row>
    <row r="232" ht="15" customHeight="1" s="32">
      <c r="A232" s="39" t="inlineStr">
        <is>
          <t>behemoth</t>
        </is>
      </c>
      <c r="B232" s="39" t="inlineStr">
        <is>
          <t>Behemoth · Quái vật thép</t>
        </is>
      </c>
      <c r="C232" s="39" t="inlineStr">
        <is>
          <t>Boss</t>
        </is>
      </c>
      <c r="D232" s="39" t="inlineStr">
        <is>
          <t>gun_120mm</t>
        </is>
      </c>
      <c r="E232" s="39" t="inlineStr">
        <is>
          <t>Rh-120 L/44 120 mm</t>
        </is>
      </c>
      <c r="F232" s="42" t="n">
        <v>1</v>
      </c>
      <c r="G232" s="50">
        <f>IFERROR(VLOOKUP(D232,'Vũ khí đề xuất'!$A:$AO,27,0),"")</f>
        <v/>
      </c>
      <c r="H232" s="50">
        <f>IFERROR(VLOOKUP(D232,'Vũ khí đề xuất'!$A:$AO,28,0),"")</f>
        <v/>
      </c>
      <c r="I232" s="50">
        <f>IFERROR(VLOOKUP(D232,'Vũ khí đề xuất'!$A:$AO,30,0),"")</f>
        <v/>
      </c>
      <c r="J232" s="50">
        <f>IFERROR(VLOOKUP(D232,'Vũ khí đề xuất'!$A:$AO,32,0),"")</f>
        <v/>
      </c>
      <c r="K232" s="50">
        <f>IFERROR(VLOOKUP(D232,'Vũ khí đề xuất'!$A:$AO,35,0),"")</f>
        <v/>
      </c>
      <c r="L232" s="50">
        <f>IFERROR(VLOOKUP(D232,'Vũ khí đề xuất'!$A:$AO,36,0),"")</f>
        <v/>
      </c>
      <c r="M232" s="39" t="n"/>
    </row>
    <row r="233" ht="15" customHeight="1" s="32">
      <c r="A233" s="41" t="inlineStr">
        <is>
          <t>behemoth</t>
        </is>
      </c>
      <c r="B233" s="41" t="inlineStr">
        <is>
          <t>Behemoth · Quái vật thép</t>
        </is>
      </c>
      <c r="C233" s="41" t="inlineStr">
        <is>
          <t>Boss</t>
        </is>
      </c>
      <c r="D233" s="41" t="inlineStr">
        <is>
          <t>gun_120mm</t>
        </is>
      </c>
      <c r="E233" s="41" t="inlineStr">
        <is>
          <t>Rh-120 L/44 120 mm</t>
        </is>
      </c>
      <c r="F233" s="43" t="n">
        <v>1</v>
      </c>
      <c r="G233" s="51">
        <f>IFERROR(VLOOKUP(D233,'Vũ khí đề xuất'!$A:$AO,27,0),"")</f>
        <v/>
      </c>
      <c r="H233" s="51">
        <f>IFERROR(VLOOKUP(D233,'Vũ khí đề xuất'!$A:$AO,28,0),"")</f>
        <v/>
      </c>
      <c r="I233" s="51">
        <f>IFERROR(VLOOKUP(D233,'Vũ khí đề xuất'!$A:$AO,30,0),"")</f>
        <v/>
      </c>
      <c r="J233" s="51">
        <f>IFERROR(VLOOKUP(D233,'Vũ khí đề xuất'!$A:$AO,32,0),"")</f>
        <v/>
      </c>
      <c r="K233" s="51">
        <f>IFERROR(VLOOKUP(D233,'Vũ khí đề xuất'!$A:$AO,35,0),"")</f>
        <v/>
      </c>
      <c r="L233" s="51">
        <f>IFERROR(VLOOKUP(D233,'Vũ khí đề xuất'!$A:$AO,36,0),"")</f>
        <v/>
      </c>
      <c r="M233" s="41" t="n"/>
    </row>
    <row r="234" ht="15" customHeight="1" s="32">
      <c r="A234" s="39" t="inlineStr">
        <is>
          <t>behemoth</t>
        </is>
      </c>
      <c r="B234" s="39" t="inlineStr">
        <is>
          <t>Behemoth · Quái vật thép</t>
        </is>
      </c>
      <c r="C234" s="39" t="inlineStr">
        <is>
          <t>Boss</t>
        </is>
      </c>
      <c r="D234" s="39" t="inlineStr">
        <is>
          <t>boss_rockets</t>
        </is>
      </c>
      <c r="E234" s="39" t="inlineStr">
        <is>
          <t>BM-21 Grad 122 mm</t>
        </is>
      </c>
      <c r="F234" s="42" t="n">
        <v>1</v>
      </c>
      <c r="G234" s="50">
        <f>IFERROR(VLOOKUP(D234,'Vũ khí đề xuất'!$A:$AO,27,0),"")</f>
        <v/>
      </c>
      <c r="H234" s="50">
        <f>IFERROR(VLOOKUP(D234,'Vũ khí đề xuất'!$A:$AO,28,0),"")</f>
        <v/>
      </c>
      <c r="I234" s="50">
        <f>IFERROR(VLOOKUP(D234,'Vũ khí đề xuất'!$A:$AO,30,0),"")</f>
        <v/>
      </c>
      <c r="J234" s="50">
        <f>IFERROR(VLOOKUP(D234,'Vũ khí đề xuất'!$A:$AO,32,0),"")</f>
        <v/>
      </c>
      <c r="K234" s="50">
        <f>IFERROR(VLOOKUP(D234,'Vũ khí đề xuất'!$A:$AO,35,0),"")</f>
        <v/>
      </c>
      <c r="L234" s="50">
        <f>IFERROR(VLOOKUP(D234,'Vũ khí đề xuất'!$A:$AO,36,0),"")</f>
        <v/>
      </c>
      <c r="M234" s="39" t="n"/>
    </row>
    <row r="235" ht="15" customHeight="1" s="32">
      <c r="A235" s="41" t="inlineStr">
        <is>
          <t>earth_borer</t>
        </is>
      </c>
      <c r="B235" s="41" t="inlineStr">
        <is>
          <t>Tartarus · Máy khoan</t>
        </is>
      </c>
      <c r="C235" s="41" t="inlineStr">
        <is>
          <t>Boss</t>
        </is>
      </c>
      <c r="D235" s="41" t="inlineStr">
        <is>
          <t>borer_drill</t>
        </is>
      </c>
      <c r="E235" s="41" t="inlineStr">
        <is>
          <t>drill head</t>
        </is>
      </c>
      <c r="F235" s="43" t="n">
        <v>1</v>
      </c>
      <c r="G235" s="51">
        <f>IFERROR(VLOOKUP(D235,'Vũ khí đề xuất'!$A:$AO,27,0),"")</f>
        <v/>
      </c>
      <c r="H235" s="51">
        <f>IFERROR(VLOOKUP(D235,'Vũ khí đề xuất'!$A:$AO,28,0),"")</f>
        <v/>
      </c>
      <c r="I235" s="51">
        <f>IFERROR(VLOOKUP(D235,'Vũ khí đề xuất'!$A:$AO,30,0),"")</f>
        <v/>
      </c>
      <c r="J235" s="51">
        <f>IFERROR(VLOOKUP(D235,'Vũ khí đề xuất'!$A:$AO,32,0),"")</f>
        <v/>
      </c>
      <c r="K235" s="51">
        <f>IFERROR(VLOOKUP(D235,'Vũ khí đề xuất'!$A:$AO,35,0),"")</f>
        <v/>
      </c>
      <c r="L235" s="51">
        <f>IFERROR(VLOOKUP(D235,'Vũ khí đề xuất'!$A:$AO,36,0),"")</f>
        <v/>
      </c>
      <c r="M235" s="41" t="n"/>
    </row>
    <row r="236" ht="15" customHeight="1" s="32">
      <c r="A236" s="39" t="inlineStr">
        <is>
          <t>earth_borer</t>
        </is>
      </c>
      <c r="B236" s="39" t="inlineStr">
        <is>
          <t>Tartarus · Máy khoan</t>
        </is>
      </c>
      <c r="C236" s="39" t="inlineStr">
        <is>
          <t>Boss</t>
        </is>
      </c>
      <c r="D236" s="39" t="inlineStr">
        <is>
          <t>borer_cannon</t>
        </is>
      </c>
      <c r="E236" s="39" t="inlineStr">
        <is>
          <t>2A70 100/76 mm</t>
        </is>
      </c>
      <c r="F236" s="42" t="n">
        <v>1</v>
      </c>
      <c r="G236" s="50">
        <f>IFERROR(VLOOKUP(D236,'Vũ khí đề xuất'!$A:$AO,27,0),"")</f>
        <v/>
      </c>
      <c r="H236" s="50">
        <f>IFERROR(VLOOKUP(D236,'Vũ khí đề xuất'!$A:$AO,28,0),"")</f>
        <v/>
      </c>
      <c r="I236" s="50">
        <f>IFERROR(VLOOKUP(D236,'Vũ khí đề xuất'!$A:$AO,30,0),"")</f>
        <v/>
      </c>
      <c r="J236" s="50">
        <f>IFERROR(VLOOKUP(D236,'Vũ khí đề xuất'!$A:$AO,32,0),"")</f>
        <v/>
      </c>
      <c r="K236" s="50">
        <f>IFERROR(VLOOKUP(D236,'Vũ khí đề xuất'!$A:$AO,35,0),"")</f>
        <v/>
      </c>
      <c r="L236" s="50">
        <f>IFERROR(VLOOKUP(D236,'Vũ khí đề xuất'!$A:$AO,36,0),"")</f>
        <v/>
      </c>
      <c r="M236" s="39" t="n"/>
    </row>
    <row r="237" ht="15" customHeight="1" s="32">
      <c r="A237" s="41" t="inlineStr">
        <is>
          <t>earth_borer</t>
        </is>
      </c>
      <c r="B237" s="41" t="inlineStr">
        <is>
          <t>Tartarus · Máy khoan</t>
        </is>
      </c>
      <c r="C237" s="41" t="inlineStr">
        <is>
          <t>Boss</t>
        </is>
      </c>
      <c r="D237" s="41" t="inlineStr">
        <is>
          <t>borer_cannon</t>
        </is>
      </c>
      <c r="E237" s="41" t="inlineStr">
        <is>
          <t>2A70 100/76 mm</t>
        </is>
      </c>
      <c r="F237" s="43" t="n">
        <v>1</v>
      </c>
      <c r="G237" s="51">
        <f>IFERROR(VLOOKUP(D237,'Vũ khí đề xuất'!$A:$AO,27,0),"")</f>
        <v/>
      </c>
      <c r="H237" s="51">
        <f>IFERROR(VLOOKUP(D237,'Vũ khí đề xuất'!$A:$AO,28,0),"")</f>
        <v/>
      </c>
      <c r="I237" s="51">
        <f>IFERROR(VLOOKUP(D237,'Vũ khí đề xuất'!$A:$AO,30,0),"")</f>
        <v/>
      </c>
      <c r="J237" s="51">
        <f>IFERROR(VLOOKUP(D237,'Vũ khí đề xuất'!$A:$AO,32,0),"")</f>
        <v/>
      </c>
      <c r="K237" s="51">
        <f>IFERROR(VLOOKUP(D237,'Vũ khí đề xuất'!$A:$AO,35,0),"")</f>
        <v/>
      </c>
      <c r="L237" s="51">
        <f>IFERROR(VLOOKUP(D237,'Vũ khí đề xuất'!$A:$AO,36,0),"")</f>
        <v/>
      </c>
      <c r="M237" s="41" t="n"/>
    </row>
    <row r="238" ht="15" customHeight="1" s="32">
      <c r="A238" s="39" t="inlineStr">
        <is>
          <t>bastion_mk0</t>
        </is>
      </c>
      <c r="B238" s="39" t="inlineStr">
        <is>
          <t>Bastion Mk.0 · Pháo đài nguyên mẫu</t>
        </is>
      </c>
      <c r="C238" s="39" t="inlineStr">
        <is>
          <t>Boss</t>
        </is>
      </c>
      <c r="D238" s="39" t="inlineStr">
        <is>
          <t>boss_mortar</t>
        </is>
      </c>
      <c r="E238" s="39" t="inlineStr">
        <is>
          <t>2B8 240 mm</t>
        </is>
      </c>
      <c r="F238" s="42" t="n">
        <v>1</v>
      </c>
      <c r="G238" s="50">
        <f>IFERROR(VLOOKUP(D238,'Vũ khí đề xuất'!$A:$AO,27,0),"")</f>
        <v/>
      </c>
      <c r="H238" s="50">
        <f>IFERROR(VLOOKUP(D238,'Vũ khí đề xuất'!$A:$AO,28,0),"")</f>
        <v/>
      </c>
      <c r="I238" s="50">
        <f>IFERROR(VLOOKUP(D238,'Vũ khí đề xuất'!$A:$AO,30,0),"")</f>
        <v/>
      </c>
      <c r="J238" s="50">
        <f>IFERROR(VLOOKUP(D238,'Vũ khí đề xuất'!$A:$AO,32,0),"")</f>
        <v/>
      </c>
      <c r="K238" s="50">
        <f>IFERROR(VLOOKUP(D238,'Vũ khí đề xuất'!$A:$AO,35,0),"")</f>
        <v/>
      </c>
      <c r="L238" s="50">
        <f>IFERROR(VLOOKUP(D238,'Vũ khí đề xuất'!$A:$AO,36,0),"")</f>
        <v/>
      </c>
      <c r="M238" s="39" t="n"/>
    </row>
    <row r="239" ht="15" customHeight="1" s="32">
      <c r="A239" s="41" t="inlineStr">
        <is>
          <t>bastion_mk0</t>
        </is>
      </c>
      <c r="B239" s="41" t="inlineStr">
        <is>
          <t>Bastion Mk.0 · Pháo đài nguyên mẫu</t>
        </is>
      </c>
      <c r="C239" s="41" t="inlineStr">
        <is>
          <t>Boss</t>
        </is>
      </c>
      <c r="D239" s="41" t="inlineStr">
        <is>
          <t>autocannon_40</t>
        </is>
      </c>
      <c r="E239" s="41" t="inlineStr">
        <is>
          <t>Bofors 40 mm</t>
        </is>
      </c>
      <c r="F239" s="43" t="n">
        <v>1</v>
      </c>
      <c r="G239" s="51">
        <f>IFERROR(VLOOKUP(D239,'Vũ khí đề xuất'!$A:$AO,27,0),"")</f>
        <v/>
      </c>
      <c r="H239" s="51">
        <f>IFERROR(VLOOKUP(D239,'Vũ khí đề xuất'!$A:$AO,28,0),"")</f>
        <v/>
      </c>
      <c r="I239" s="51">
        <f>IFERROR(VLOOKUP(D239,'Vũ khí đề xuất'!$A:$AO,30,0),"")</f>
        <v/>
      </c>
      <c r="J239" s="51">
        <f>IFERROR(VLOOKUP(D239,'Vũ khí đề xuất'!$A:$AO,32,0),"")</f>
        <v/>
      </c>
      <c r="K239" s="51">
        <f>IFERROR(VLOOKUP(D239,'Vũ khí đề xuất'!$A:$AO,35,0),"")</f>
        <v/>
      </c>
      <c r="L239" s="51">
        <f>IFERROR(VLOOKUP(D239,'Vũ khí đề xuất'!$A:$AO,36,0),"")</f>
        <v/>
      </c>
      <c r="M239" s="41" t="n"/>
    </row>
    <row r="240" ht="15" customHeight="1" s="32">
      <c r="A240" s="39" t="inlineStr">
        <is>
          <t>bastion_mk0</t>
        </is>
      </c>
      <c r="B240" s="39" t="inlineStr">
        <is>
          <t>Bastion Mk.0 · Pháo đài nguyên mẫu</t>
        </is>
      </c>
      <c r="C240" s="39" t="inlineStr">
        <is>
          <t>Boss</t>
        </is>
      </c>
      <c r="D240" s="39" t="inlineStr">
        <is>
          <t>autocannon_40</t>
        </is>
      </c>
      <c r="E240" s="39" t="inlineStr">
        <is>
          <t>Bofors 40 mm</t>
        </is>
      </c>
      <c r="F240" s="42" t="n">
        <v>1</v>
      </c>
      <c r="G240" s="50">
        <f>IFERROR(VLOOKUP(D240,'Vũ khí đề xuất'!$A:$AO,27,0),"")</f>
        <v/>
      </c>
      <c r="H240" s="50">
        <f>IFERROR(VLOOKUP(D240,'Vũ khí đề xuất'!$A:$AO,28,0),"")</f>
        <v/>
      </c>
      <c r="I240" s="50">
        <f>IFERROR(VLOOKUP(D240,'Vũ khí đề xuất'!$A:$AO,30,0),"")</f>
        <v/>
      </c>
      <c r="J240" s="50">
        <f>IFERROR(VLOOKUP(D240,'Vũ khí đề xuất'!$A:$AO,32,0),"")</f>
        <v/>
      </c>
      <c r="K240" s="50">
        <f>IFERROR(VLOOKUP(D240,'Vũ khí đề xuất'!$A:$AO,35,0),"")</f>
        <v/>
      </c>
      <c r="L240" s="50">
        <f>IFERROR(VLOOKUP(D240,'Vũ khí đề xuất'!$A:$AO,36,0),"")</f>
        <v/>
      </c>
      <c r="M240" s="39" t="n"/>
    </row>
    <row r="241" ht="15" customHeight="1" s="32">
      <c r="A241" s="41" t="inlineStr">
        <is>
          <t>nuke_train</t>
        </is>
      </c>
      <c r="B241" s="41" t="inlineStr">
        <is>
          <t>Nemesis · Đoàn tàu tên lửa</t>
        </is>
      </c>
      <c r="C241" s="41" t="inlineStr">
        <is>
          <t>Boss</t>
        </is>
      </c>
      <c r="D241" s="41" t="inlineStr">
        <is>
          <t>boss_flak</t>
        </is>
      </c>
      <c r="E241" s="41" t="inlineStr">
        <is>
          <t>Oerlikon 35 mm (twin)</t>
        </is>
      </c>
      <c r="F241" s="43" t="n">
        <v>1</v>
      </c>
      <c r="G241" s="51">
        <f>IFERROR(VLOOKUP(D241,'Vũ khí đề xuất'!$A:$AO,27,0),"")</f>
        <v/>
      </c>
      <c r="H241" s="51">
        <f>IFERROR(VLOOKUP(D241,'Vũ khí đề xuất'!$A:$AO,28,0),"")</f>
        <v/>
      </c>
      <c r="I241" s="51">
        <f>IFERROR(VLOOKUP(D241,'Vũ khí đề xuất'!$A:$AO,30,0),"")</f>
        <v/>
      </c>
      <c r="J241" s="51">
        <f>IFERROR(VLOOKUP(D241,'Vũ khí đề xuất'!$A:$AO,32,0),"")</f>
        <v/>
      </c>
      <c r="K241" s="51">
        <f>IFERROR(VLOOKUP(D241,'Vũ khí đề xuất'!$A:$AO,35,0),"")</f>
        <v/>
      </c>
      <c r="L241" s="51">
        <f>IFERROR(VLOOKUP(D241,'Vũ khí đề xuất'!$A:$AO,36,0),"")</f>
        <v/>
      </c>
      <c r="M241" s="41" t="n"/>
    </row>
    <row r="242" ht="15" customHeight="1" s="32">
      <c r="A242" s="39" t="inlineStr">
        <is>
          <t>nuke_train</t>
        </is>
      </c>
      <c r="B242" s="39" t="inlineStr">
        <is>
          <t>Nemesis · Đoàn tàu tên lửa</t>
        </is>
      </c>
      <c r="C242" s="39" t="inlineStr">
        <is>
          <t>Boss</t>
        </is>
      </c>
      <c r="D242" s="39" t="inlineStr">
        <is>
          <t>boss_flak</t>
        </is>
      </c>
      <c r="E242" s="39" t="inlineStr">
        <is>
          <t>Oerlikon 35 mm (twin)</t>
        </is>
      </c>
      <c r="F242" s="42" t="n">
        <v>1</v>
      </c>
      <c r="G242" s="50">
        <f>IFERROR(VLOOKUP(D242,'Vũ khí đề xuất'!$A:$AO,27,0),"")</f>
        <v/>
      </c>
      <c r="H242" s="50">
        <f>IFERROR(VLOOKUP(D242,'Vũ khí đề xuất'!$A:$AO,28,0),"")</f>
        <v/>
      </c>
      <c r="I242" s="50">
        <f>IFERROR(VLOOKUP(D242,'Vũ khí đề xuất'!$A:$AO,30,0),"")</f>
        <v/>
      </c>
      <c r="J242" s="50">
        <f>IFERROR(VLOOKUP(D242,'Vũ khí đề xuất'!$A:$AO,32,0),"")</f>
        <v/>
      </c>
      <c r="K242" s="50">
        <f>IFERROR(VLOOKUP(D242,'Vũ khí đề xuất'!$A:$AO,35,0),"")</f>
        <v/>
      </c>
      <c r="L242" s="50">
        <f>IFERROR(VLOOKUP(D242,'Vũ khí đề xuất'!$A:$AO,36,0),"")</f>
        <v/>
      </c>
      <c r="M242" s="39" t="n"/>
    </row>
    <row r="243" ht="15" customHeight="1" s="32">
      <c r="A243" s="41" t="inlineStr">
        <is>
          <t>nuke_train</t>
        </is>
      </c>
      <c r="B243" s="41" t="inlineStr">
        <is>
          <t>Nemesis · Đoàn tàu tên lửa</t>
        </is>
      </c>
      <c r="C243" s="41" t="inlineStr">
        <is>
          <t>Boss</t>
        </is>
      </c>
      <c r="D243" s="41" t="inlineStr">
        <is>
          <t>sam_battery</t>
        </is>
      </c>
      <c r="E243" s="41" t="inlineStr">
        <is>
          <t>MIM-104 Patriot PAC-2</t>
        </is>
      </c>
      <c r="F243" s="43" t="n">
        <v>1</v>
      </c>
      <c r="G243" s="51">
        <f>IFERROR(VLOOKUP(D243,'Vũ khí đề xuất'!$A:$AO,27,0),"")</f>
        <v/>
      </c>
      <c r="H243" s="51">
        <f>IFERROR(VLOOKUP(D243,'Vũ khí đề xuất'!$A:$AO,28,0),"")</f>
        <v/>
      </c>
      <c r="I243" s="51">
        <f>IFERROR(VLOOKUP(D243,'Vũ khí đề xuất'!$A:$AO,30,0),"")</f>
        <v/>
      </c>
      <c r="J243" s="51">
        <f>IFERROR(VLOOKUP(D243,'Vũ khí đề xuất'!$A:$AO,32,0),"")</f>
        <v/>
      </c>
      <c r="K243" s="51">
        <f>IFERROR(VLOOKUP(D243,'Vũ khí đề xuất'!$A:$AO,35,0),"")</f>
        <v/>
      </c>
      <c r="L243" s="51">
        <f>IFERROR(VLOOKUP(D243,'Vũ khí đề xuất'!$A:$AO,36,0),"")</f>
        <v/>
      </c>
      <c r="M243" s="41" t="n"/>
    </row>
    <row r="244" ht="15" customHeight="1" s="32">
      <c r="A244" s="39" t="inlineStr">
        <is>
          <t>nuke_train</t>
        </is>
      </c>
      <c r="B244" s="39" t="inlineStr">
        <is>
          <t>Nemesis · Đoàn tàu tên lửa</t>
        </is>
      </c>
      <c r="C244" s="39" t="inlineStr">
        <is>
          <t>Boss</t>
        </is>
      </c>
      <c r="D244" s="39" t="inlineStr">
        <is>
          <t>boss_flak</t>
        </is>
      </c>
      <c r="E244" s="39" t="inlineStr">
        <is>
          <t>Oerlikon 35 mm (twin)</t>
        </is>
      </c>
      <c r="F244" s="42" t="n">
        <v>1</v>
      </c>
      <c r="G244" s="50">
        <f>IFERROR(VLOOKUP(D244,'Vũ khí đề xuất'!$A:$AO,27,0),"")</f>
        <v/>
      </c>
      <c r="H244" s="50">
        <f>IFERROR(VLOOKUP(D244,'Vũ khí đề xuất'!$A:$AO,28,0),"")</f>
        <v/>
      </c>
      <c r="I244" s="50">
        <f>IFERROR(VLOOKUP(D244,'Vũ khí đề xuất'!$A:$AO,30,0),"")</f>
        <v/>
      </c>
      <c r="J244" s="50">
        <f>IFERROR(VLOOKUP(D244,'Vũ khí đề xuất'!$A:$AO,32,0),"")</f>
        <v/>
      </c>
      <c r="K244" s="50">
        <f>IFERROR(VLOOKUP(D244,'Vũ khí đề xuất'!$A:$AO,35,0),"")</f>
        <v/>
      </c>
      <c r="L244" s="50">
        <f>IFERROR(VLOOKUP(D244,'Vũ khí đề xuất'!$A:$AO,36,0),"")</f>
        <v/>
      </c>
      <c r="M244" s="39" t="n"/>
    </row>
    <row r="245" ht="15" customHeight="1" s="32">
      <c r="A245" s="41" t="inlineStr">
        <is>
          <t>scylla</t>
        </is>
      </c>
      <c r="B245" s="41" t="inlineStr">
        <is>
          <t>Scylla · Tàu khu trục</t>
        </is>
      </c>
      <c r="C245" s="41" t="inlineStr">
        <is>
          <t>Boss</t>
        </is>
      </c>
      <c r="D245" s="41" t="inlineStr">
        <is>
          <t>leviathan_460</t>
        </is>
      </c>
      <c r="E245" s="41" t="inlineStr">
        <is>
          <t>Type 94 460 mm/45 (triple)</t>
        </is>
      </c>
      <c r="F245" s="43" t="n">
        <v>1</v>
      </c>
      <c r="G245" s="51">
        <f>IFERROR(VLOOKUP(D245,'Vũ khí đề xuất'!$A:$AO,27,0),"")</f>
        <v/>
      </c>
      <c r="H245" s="51">
        <f>IFERROR(VLOOKUP(D245,'Vũ khí đề xuất'!$A:$AO,28,0),"")</f>
        <v/>
      </c>
      <c r="I245" s="51">
        <f>IFERROR(VLOOKUP(D245,'Vũ khí đề xuất'!$A:$AO,30,0),"")</f>
        <v/>
      </c>
      <c r="J245" s="51">
        <f>IFERROR(VLOOKUP(D245,'Vũ khí đề xuất'!$A:$AO,32,0),"")</f>
        <v/>
      </c>
      <c r="K245" s="51">
        <f>IFERROR(VLOOKUP(D245,'Vũ khí đề xuất'!$A:$AO,35,0),"")</f>
        <v/>
      </c>
      <c r="L245" s="51">
        <f>IFERROR(VLOOKUP(D245,'Vũ khí đề xuất'!$A:$AO,36,0),"")</f>
        <v/>
      </c>
      <c r="M245" s="41" t="n"/>
    </row>
    <row r="246" ht="15" customHeight="1" s="32">
      <c r="A246" s="39" t="inlineStr">
        <is>
          <t>scylla</t>
        </is>
      </c>
      <c r="B246" s="39" t="inlineStr">
        <is>
          <t>Scylla · Tàu khu trục</t>
        </is>
      </c>
      <c r="C246" s="39" t="inlineStr">
        <is>
          <t>Boss</t>
        </is>
      </c>
      <c r="D246" s="39" t="inlineStr">
        <is>
          <t>hover_ciws</t>
        </is>
      </c>
      <c r="E246" s="39" t="inlineStr">
        <is>
          <t>AK-630 30 mm</t>
        </is>
      </c>
      <c r="F246" s="42" t="n">
        <v>1</v>
      </c>
      <c r="G246" s="50">
        <f>IFERROR(VLOOKUP(D246,'Vũ khí đề xuất'!$A:$AO,27,0),"")</f>
        <v/>
      </c>
      <c r="H246" s="50">
        <f>IFERROR(VLOOKUP(D246,'Vũ khí đề xuất'!$A:$AO,28,0),"")</f>
        <v/>
      </c>
      <c r="I246" s="50">
        <f>IFERROR(VLOOKUP(D246,'Vũ khí đề xuất'!$A:$AO,30,0),"")</f>
        <v/>
      </c>
      <c r="J246" s="50">
        <f>IFERROR(VLOOKUP(D246,'Vũ khí đề xuất'!$A:$AO,32,0),"")</f>
        <v/>
      </c>
      <c r="K246" s="50">
        <f>IFERROR(VLOOKUP(D246,'Vũ khí đề xuất'!$A:$AO,35,0),"")</f>
        <v/>
      </c>
      <c r="L246" s="50">
        <f>IFERROR(VLOOKUP(D246,'Vũ khí đề xuất'!$A:$AO,36,0),"")</f>
        <v/>
      </c>
      <c r="M246" s="39" t="n"/>
    </row>
    <row r="247" ht="15" customHeight="1" s="32">
      <c r="A247" s="41" t="inlineStr">
        <is>
          <t>silver_bug</t>
        </is>
      </c>
      <c r="B247" s="41" t="inlineStr">
        <is>
          <t>Icarus · Phi thuyền quỹ đạo</t>
        </is>
      </c>
      <c r="C247" s="41" t="inlineStr">
        <is>
          <t>Boss</t>
        </is>
      </c>
      <c r="D247" s="41" t="inlineStr">
        <is>
          <t>orbital_laser</t>
        </is>
      </c>
      <c r="E247" s="41" t="inlineStr">
        <is>
          <t>laser (150 kW) 150 mm</t>
        </is>
      </c>
      <c r="F247" s="43" t="n">
        <v>1</v>
      </c>
      <c r="G247" s="51">
        <f>IFERROR(VLOOKUP(D247,'Vũ khí đề xuất'!$A:$AO,27,0),"")</f>
        <v/>
      </c>
      <c r="H247" s="51">
        <f>IFERROR(VLOOKUP(D247,'Vũ khí đề xuất'!$A:$AO,28,0),"")</f>
        <v/>
      </c>
      <c r="I247" s="51">
        <f>IFERROR(VLOOKUP(D247,'Vũ khí đề xuất'!$A:$AO,30,0),"")</f>
        <v/>
      </c>
      <c r="J247" s="51">
        <f>IFERROR(VLOOKUP(D247,'Vũ khí đề xuất'!$A:$AO,32,0),"")</f>
        <v/>
      </c>
      <c r="K247" s="51">
        <f>IFERROR(VLOOKUP(D247,'Vũ khí đề xuất'!$A:$AO,35,0),"")</f>
        <v/>
      </c>
      <c r="L247" s="51">
        <f>IFERROR(VLOOKUP(D247,'Vũ khí đề xuất'!$A:$AO,36,0),"")</f>
        <v/>
      </c>
      <c r="M247" s="41" t="n"/>
    </row>
    <row r="248" ht="15" customHeight="1" s="32">
      <c r="A248" s="39" t="inlineStr">
        <is>
          <t>silver_bug</t>
        </is>
      </c>
      <c r="B248" s="39" t="inlineStr">
        <is>
          <t>Icarus · Phi thuyền quỹ đạo</t>
        </is>
      </c>
      <c r="C248" s="39" t="inlineStr">
        <is>
          <t>Boss</t>
        </is>
      </c>
      <c r="D248" s="39" t="inlineStr">
        <is>
          <t>gun_120mm</t>
        </is>
      </c>
      <c r="E248" s="39" t="inlineStr">
        <is>
          <t>Rh-120 L/44 120 mm</t>
        </is>
      </c>
      <c r="F248" s="42" t="n">
        <v>1</v>
      </c>
      <c r="G248" s="50">
        <f>IFERROR(VLOOKUP(D248,'Vũ khí đề xuất'!$A:$AO,27,0),"")</f>
        <v/>
      </c>
      <c r="H248" s="50">
        <f>IFERROR(VLOOKUP(D248,'Vũ khí đề xuất'!$A:$AO,28,0),"")</f>
        <v/>
      </c>
      <c r="I248" s="50">
        <f>IFERROR(VLOOKUP(D248,'Vũ khí đề xuất'!$A:$AO,30,0),"")</f>
        <v/>
      </c>
      <c r="J248" s="50">
        <f>IFERROR(VLOOKUP(D248,'Vũ khí đề xuất'!$A:$AO,32,0),"")</f>
        <v/>
      </c>
      <c r="K248" s="50">
        <f>IFERROR(VLOOKUP(D248,'Vũ khí đề xuất'!$A:$AO,35,0),"")</f>
        <v/>
      </c>
      <c r="L248" s="50">
        <f>IFERROR(VLOOKUP(D248,'Vũ khí đề xuất'!$A:$AO,36,0),"")</f>
        <v/>
      </c>
      <c r="M248" s="39" t="n"/>
    </row>
    <row r="249" ht="15" customHeight="1" s="32">
      <c r="A249" s="41" t="inlineStr">
        <is>
          <t>silver_bug</t>
        </is>
      </c>
      <c r="B249" s="41" t="inlineStr">
        <is>
          <t>Icarus · Phi thuyền quỹ đạo</t>
        </is>
      </c>
      <c r="C249" s="41" t="inlineStr">
        <is>
          <t>Boss</t>
        </is>
      </c>
      <c r="D249" s="41" t="inlineStr">
        <is>
          <t>gun_120mm</t>
        </is>
      </c>
      <c r="E249" s="41" t="inlineStr">
        <is>
          <t>Rh-120 L/44 120 mm</t>
        </is>
      </c>
      <c r="F249" s="43" t="n">
        <v>1</v>
      </c>
      <c r="G249" s="51">
        <f>IFERROR(VLOOKUP(D249,'Vũ khí đề xuất'!$A:$AO,27,0),"")</f>
        <v/>
      </c>
      <c r="H249" s="51">
        <f>IFERROR(VLOOKUP(D249,'Vũ khí đề xuất'!$A:$AO,28,0),"")</f>
        <v/>
      </c>
      <c r="I249" s="51">
        <f>IFERROR(VLOOKUP(D249,'Vũ khí đề xuất'!$A:$AO,30,0),"")</f>
        <v/>
      </c>
      <c r="J249" s="51">
        <f>IFERROR(VLOOKUP(D249,'Vũ khí đề xuất'!$A:$AO,32,0),"")</f>
        <v/>
      </c>
      <c r="K249" s="51">
        <f>IFERROR(VLOOKUP(D249,'Vũ khí đề xuất'!$A:$AO,35,0),"")</f>
        <v/>
      </c>
      <c r="L249" s="51">
        <f>IFERROR(VLOOKUP(D249,'Vũ khí đề xuất'!$A:$AO,36,0),"")</f>
        <v/>
      </c>
      <c r="M249" s="41" t="n"/>
    </row>
    <row r="250" ht="15" customHeight="1" s="32">
      <c r="A250" s="39" t="inlineStr">
        <is>
          <t>silver_bug</t>
        </is>
      </c>
      <c r="B250" s="39" t="inlineStr">
        <is>
          <t>Icarus · Phi thuyền quỹ đạo</t>
        </is>
      </c>
      <c r="C250" s="39" t="inlineStr">
        <is>
          <t>Boss</t>
        </is>
      </c>
      <c r="D250" s="39" t="inlineStr">
        <is>
          <t>boss_flak</t>
        </is>
      </c>
      <c r="E250" s="39" t="inlineStr">
        <is>
          <t>Oerlikon 35 mm (twin)</t>
        </is>
      </c>
      <c r="F250" s="42" t="n">
        <v>1</v>
      </c>
      <c r="G250" s="50">
        <f>IFERROR(VLOOKUP(D250,'Vũ khí đề xuất'!$A:$AO,27,0),"")</f>
        <v/>
      </c>
      <c r="H250" s="50">
        <f>IFERROR(VLOOKUP(D250,'Vũ khí đề xuất'!$A:$AO,28,0),"")</f>
        <v/>
      </c>
      <c r="I250" s="50">
        <f>IFERROR(VLOOKUP(D250,'Vũ khí đề xuất'!$A:$AO,30,0),"")</f>
        <v/>
      </c>
      <c r="J250" s="50">
        <f>IFERROR(VLOOKUP(D250,'Vũ khí đề xuất'!$A:$AO,32,0),"")</f>
        <v/>
      </c>
      <c r="K250" s="50">
        <f>IFERROR(VLOOKUP(D250,'Vũ khí đề xuất'!$A:$AO,35,0),"")</f>
        <v/>
      </c>
      <c r="L250" s="50">
        <f>IFERROR(VLOOKUP(D250,'Vũ khí đề xuất'!$A:$AO,36,0),"")</f>
        <v/>
      </c>
      <c r="M250" s="39" t="n"/>
    </row>
    <row r="251" ht="15" customHeight="1" s="32">
      <c r="A251" s="41" t="inlineStr">
        <is>
          <t>silver_bug</t>
        </is>
      </c>
      <c r="B251" s="41" t="inlineStr">
        <is>
          <t>Icarus · Phi thuyền quỹ đạo</t>
        </is>
      </c>
      <c r="C251" s="41" t="inlineStr">
        <is>
          <t>Boss</t>
        </is>
      </c>
      <c r="D251" s="41" t="inlineStr">
        <is>
          <t>boss_flak</t>
        </is>
      </c>
      <c r="E251" s="41" t="inlineStr">
        <is>
          <t>Oerlikon 35 mm (twin)</t>
        </is>
      </c>
      <c r="F251" s="43" t="n">
        <v>1</v>
      </c>
      <c r="G251" s="51">
        <f>IFERROR(VLOOKUP(D251,'Vũ khí đề xuất'!$A:$AO,27,0),"")</f>
        <v/>
      </c>
      <c r="H251" s="51">
        <f>IFERROR(VLOOKUP(D251,'Vũ khí đề xuất'!$A:$AO,28,0),"")</f>
        <v/>
      </c>
      <c r="I251" s="51">
        <f>IFERROR(VLOOKUP(D251,'Vũ khí đề xuất'!$A:$AO,30,0),"")</f>
        <v/>
      </c>
      <c r="J251" s="51">
        <f>IFERROR(VLOOKUP(D251,'Vũ khí đề xuất'!$A:$AO,32,0),"")</f>
        <v/>
      </c>
      <c r="K251" s="51">
        <f>IFERROR(VLOOKUP(D251,'Vũ khí đề xuất'!$A:$AO,35,0),"")</f>
        <v/>
      </c>
      <c r="L251" s="51">
        <f>IFERROR(VLOOKUP(D251,'Vũ khí đề xuất'!$A:$AO,36,0),"")</f>
        <v/>
      </c>
      <c r="M251" s="41" t="n"/>
    </row>
    <row r="252" ht="15" customHeight="1" s="32">
      <c r="A252" s="39" t="inlineStr">
        <is>
          <t>silver_bug</t>
        </is>
      </c>
      <c r="B252" s="39" t="inlineStr">
        <is>
          <t>Icarus · Phi thuyền quỹ đạo</t>
        </is>
      </c>
      <c r="C252" s="39" t="inlineStr">
        <is>
          <t>Boss</t>
        </is>
      </c>
      <c r="D252" s="39" t="inlineStr">
        <is>
          <t>autocannon_40</t>
        </is>
      </c>
      <c r="E252" s="39" t="inlineStr">
        <is>
          <t>Bofors 40 mm</t>
        </is>
      </c>
      <c r="F252" s="42" t="n">
        <v>1</v>
      </c>
      <c r="G252" s="50">
        <f>IFERROR(VLOOKUP(D252,'Vũ khí đề xuất'!$A:$AO,27,0),"")</f>
        <v/>
      </c>
      <c r="H252" s="50">
        <f>IFERROR(VLOOKUP(D252,'Vũ khí đề xuất'!$A:$AO,28,0),"")</f>
        <v/>
      </c>
      <c r="I252" s="50">
        <f>IFERROR(VLOOKUP(D252,'Vũ khí đề xuất'!$A:$AO,30,0),"")</f>
        <v/>
      </c>
      <c r="J252" s="50">
        <f>IFERROR(VLOOKUP(D252,'Vũ khí đề xuất'!$A:$AO,32,0),"")</f>
        <v/>
      </c>
      <c r="K252" s="50">
        <f>IFERROR(VLOOKUP(D252,'Vũ khí đề xuất'!$A:$AO,35,0),"")</f>
        <v/>
      </c>
      <c r="L252" s="50">
        <f>IFERROR(VLOOKUP(D252,'Vũ khí đề xuất'!$A:$AO,36,0),"")</f>
        <v/>
      </c>
      <c r="M252" s="39" t="n"/>
    </row>
    <row r="253" ht="15" customHeight="1" s="32">
      <c r="A253" s="41" t="inlineStr">
        <is>
          <t>silver_bug</t>
        </is>
      </c>
      <c r="B253" s="41" t="inlineStr">
        <is>
          <t>Icarus · Phi thuyền quỹ đạo</t>
        </is>
      </c>
      <c r="C253" s="41" t="inlineStr">
        <is>
          <t>Boss</t>
        </is>
      </c>
      <c r="D253" s="41" t="inlineStr">
        <is>
          <t>autocannon_40</t>
        </is>
      </c>
      <c r="E253" s="41" t="inlineStr">
        <is>
          <t>Bofors 40 mm</t>
        </is>
      </c>
      <c r="F253" s="43" t="n">
        <v>1</v>
      </c>
      <c r="G253" s="51">
        <f>IFERROR(VLOOKUP(D253,'Vũ khí đề xuất'!$A:$AO,27,0),"")</f>
        <v/>
      </c>
      <c r="H253" s="51">
        <f>IFERROR(VLOOKUP(D253,'Vũ khí đề xuất'!$A:$AO,28,0),"")</f>
        <v/>
      </c>
      <c r="I253" s="51">
        <f>IFERROR(VLOOKUP(D253,'Vũ khí đề xuất'!$A:$AO,30,0),"")</f>
        <v/>
      </c>
      <c r="J253" s="51">
        <f>IFERROR(VLOOKUP(D253,'Vũ khí đề xuất'!$A:$AO,32,0),"")</f>
        <v/>
      </c>
      <c r="K253" s="51">
        <f>IFERROR(VLOOKUP(D253,'Vũ khí đề xuất'!$A:$AO,35,0),"")</f>
        <v/>
      </c>
      <c r="L253" s="51">
        <f>IFERROR(VLOOKUP(D253,'Vũ khí đề xuất'!$A:$AO,36,0),"")</f>
        <v/>
      </c>
      <c r="M253" s="41" t="n"/>
    </row>
    <row r="254" ht="15" customHeight="1" s="32">
      <c r="A254" s="39" t="inlineStr">
        <is>
          <t>mobile_fortress</t>
        </is>
      </c>
      <c r="B254" s="39" t="inlineStr">
        <is>
          <t>Jötunn · Pháo đài di động</t>
        </is>
      </c>
      <c r="C254" s="39" t="inlineStr">
        <is>
          <t>Boss</t>
        </is>
      </c>
      <c r="D254" s="39" t="inlineStr">
        <is>
          <t>boss_howitzer</t>
        </is>
      </c>
      <c r="E254" s="39" t="inlineStr">
        <is>
          <t>2A44 203 mm</t>
        </is>
      </c>
      <c r="F254" s="42" t="n">
        <v>1</v>
      </c>
      <c r="G254" s="50">
        <f>IFERROR(VLOOKUP(D254,'Vũ khí đề xuất'!$A:$AO,27,0),"")</f>
        <v/>
      </c>
      <c r="H254" s="50">
        <f>IFERROR(VLOOKUP(D254,'Vũ khí đề xuất'!$A:$AO,28,0),"")</f>
        <v/>
      </c>
      <c r="I254" s="50">
        <f>IFERROR(VLOOKUP(D254,'Vũ khí đề xuất'!$A:$AO,30,0),"")</f>
        <v/>
      </c>
      <c r="J254" s="50">
        <f>IFERROR(VLOOKUP(D254,'Vũ khí đề xuất'!$A:$AO,32,0),"")</f>
        <v/>
      </c>
      <c r="K254" s="50">
        <f>IFERROR(VLOOKUP(D254,'Vũ khí đề xuất'!$A:$AO,35,0),"")</f>
        <v/>
      </c>
      <c r="L254" s="50">
        <f>IFERROR(VLOOKUP(D254,'Vũ khí đề xuất'!$A:$AO,36,0),"")</f>
        <v/>
      </c>
      <c r="M254" s="39" t="n"/>
    </row>
    <row r="255" ht="15" customHeight="1" s="32">
      <c r="A255" s="41" t="inlineStr">
        <is>
          <t>mobile_fortress</t>
        </is>
      </c>
      <c r="B255" s="41" t="inlineStr">
        <is>
          <t>Jötunn · Pháo đài di động</t>
        </is>
      </c>
      <c r="C255" s="41" t="inlineStr">
        <is>
          <t>Boss</t>
        </is>
      </c>
      <c r="D255" s="41" t="inlineStr">
        <is>
          <t>boss_rockets</t>
        </is>
      </c>
      <c r="E255" s="41" t="inlineStr">
        <is>
          <t>BM-21 Grad 122 mm</t>
        </is>
      </c>
      <c r="F255" s="43" t="n">
        <v>1</v>
      </c>
      <c r="G255" s="51">
        <f>IFERROR(VLOOKUP(D255,'Vũ khí đề xuất'!$A:$AO,27,0),"")</f>
        <v/>
      </c>
      <c r="H255" s="51">
        <f>IFERROR(VLOOKUP(D255,'Vũ khí đề xuất'!$A:$AO,28,0),"")</f>
        <v/>
      </c>
      <c r="I255" s="51">
        <f>IFERROR(VLOOKUP(D255,'Vũ khí đề xuất'!$A:$AO,30,0),"")</f>
        <v/>
      </c>
      <c r="J255" s="51">
        <f>IFERROR(VLOOKUP(D255,'Vũ khí đề xuất'!$A:$AO,32,0),"")</f>
        <v/>
      </c>
      <c r="K255" s="51">
        <f>IFERROR(VLOOKUP(D255,'Vũ khí đề xuất'!$A:$AO,35,0),"")</f>
        <v/>
      </c>
      <c r="L255" s="51">
        <f>IFERROR(VLOOKUP(D255,'Vũ khí đề xuất'!$A:$AO,36,0),"")</f>
        <v/>
      </c>
      <c r="M255" s="41" t="n"/>
    </row>
    <row r="256" ht="15" customHeight="1" s="32">
      <c r="A256" s="39" t="inlineStr">
        <is>
          <t>mobile_fortress</t>
        </is>
      </c>
      <c r="B256" s="39" t="inlineStr">
        <is>
          <t>Jötunn · Pháo đài di động</t>
        </is>
      </c>
      <c r="C256" s="39" t="inlineStr">
        <is>
          <t>Boss</t>
        </is>
      </c>
      <c r="D256" s="39" t="inlineStr">
        <is>
          <t>boss_rockets</t>
        </is>
      </c>
      <c r="E256" s="39" t="inlineStr">
        <is>
          <t>BM-21 Grad 122 mm</t>
        </is>
      </c>
      <c r="F256" s="42" t="n">
        <v>1</v>
      </c>
      <c r="G256" s="50">
        <f>IFERROR(VLOOKUP(D256,'Vũ khí đề xuất'!$A:$AO,27,0),"")</f>
        <v/>
      </c>
      <c r="H256" s="50">
        <f>IFERROR(VLOOKUP(D256,'Vũ khí đề xuất'!$A:$AO,28,0),"")</f>
        <v/>
      </c>
      <c r="I256" s="50">
        <f>IFERROR(VLOOKUP(D256,'Vũ khí đề xuất'!$A:$AO,30,0),"")</f>
        <v/>
      </c>
      <c r="J256" s="50">
        <f>IFERROR(VLOOKUP(D256,'Vũ khí đề xuất'!$A:$AO,32,0),"")</f>
        <v/>
      </c>
      <c r="K256" s="50">
        <f>IFERROR(VLOOKUP(D256,'Vũ khí đề xuất'!$A:$AO,35,0),"")</f>
        <v/>
      </c>
      <c r="L256" s="50">
        <f>IFERROR(VLOOKUP(D256,'Vũ khí đề xuất'!$A:$AO,36,0),"")</f>
        <v/>
      </c>
      <c r="M256" s="39" t="n"/>
    </row>
    <row r="257" ht="15" customHeight="1" s="32">
      <c r="A257" s="41" t="inlineStr">
        <is>
          <t>mobile_fortress</t>
        </is>
      </c>
      <c r="B257" s="41" t="inlineStr">
        <is>
          <t>Jötunn · Pháo đài di động</t>
        </is>
      </c>
      <c r="C257" s="41" t="inlineStr">
        <is>
          <t>Boss</t>
        </is>
      </c>
      <c r="D257" s="41" t="inlineStr">
        <is>
          <t>boss_flak</t>
        </is>
      </c>
      <c r="E257" s="41" t="inlineStr">
        <is>
          <t>Oerlikon 35 mm (twin)</t>
        </is>
      </c>
      <c r="F257" s="43" t="n">
        <v>1</v>
      </c>
      <c r="G257" s="51">
        <f>IFERROR(VLOOKUP(D257,'Vũ khí đề xuất'!$A:$AO,27,0),"")</f>
        <v/>
      </c>
      <c r="H257" s="51">
        <f>IFERROR(VLOOKUP(D257,'Vũ khí đề xuất'!$A:$AO,28,0),"")</f>
        <v/>
      </c>
      <c r="I257" s="51">
        <f>IFERROR(VLOOKUP(D257,'Vũ khí đề xuất'!$A:$AO,30,0),"")</f>
        <v/>
      </c>
      <c r="J257" s="51">
        <f>IFERROR(VLOOKUP(D257,'Vũ khí đề xuất'!$A:$AO,32,0),"")</f>
        <v/>
      </c>
      <c r="K257" s="51">
        <f>IFERROR(VLOOKUP(D257,'Vũ khí đề xuất'!$A:$AO,35,0),"")</f>
        <v/>
      </c>
      <c r="L257" s="51">
        <f>IFERROR(VLOOKUP(D257,'Vũ khí đề xuất'!$A:$AO,36,0),"")</f>
        <v/>
      </c>
      <c r="M257" s="41" t="n"/>
    </row>
    <row r="258" ht="15" customHeight="1" s="32">
      <c r="A258" s="39" t="inlineStr">
        <is>
          <t>mobile_fortress</t>
        </is>
      </c>
      <c r="B258" s="39" t="inlineStr">
        <is>
          <t>Jötunn · Pháo đài di động</t>
        </is>
      </c>
      <c r="C258" s="39" t="inlineStr">
        <is>
          <t>Boss</t>
        </is>
      </c>
      <c r="D258" s="39" t="inlineStr">
        <is>
          <t>boss_flak</t>
        </is>
      </c>
      <c r="E258" s="39" t="inlineStr">
        <is>
          <t>Oerlikon 35 mm (twin)</t>
        </is>
      </c>
      <c r="F258" s="42" t="n">
        <v>1</v>
      </c>
      <c r="G258" s="50">
        <f>IFERROR(VLOOKUP(D258,'Vũ khí đề xuất'!$A:$AO,27,0),"")</f>
        <v/>
      </c>
      <c r="H258" s="50">
        <f>IFERROR(VLOOKUP(D258,'Vũ khí đề xuất'!$A:$AO,28,0),"")</f>
        <v/>
      </c>
      <c r="I258" s="50">
        <f>IFERROR(VLOOKUP(D258,'Vũ khí đề xuất'!$A:$AO,30,0),"")</f>
        <v/>
      </c>
      <c r="J258" s="50">
        <f>IFERROR(VLOOKUP(D258,'Vũ khí đề xuất'!$A:$AO,32,0),"")</f>
        <v/>
      </c>
      <c r="K258" s="50">
        <f>IFERROR(VLOOKUP(D258,'Vũ khí đề xuất'!$A:$AO,35,0),"")</f>
        <v/>
      </c>
      <c r="L258" s="50">
        <f>IFERROR(VLOOKUP(D258,'Vũ khí đề xuất'!$A:$AO,36,0),"")</f>
        <v/>
      </c>
      <c r="M258" s="39" t="n"/>
    </row>
    <row r="259" ht="15" customHeight="1" s="32">
      <c r="A259" s="41" t="inlineStr">
        <is>
          <t>mobile_fortress</t>
        </is>
      </c>
      <c r="B259" s="41" t="inlineStr">
        <is>
          <t>Jötunn · Pháo đài di động</t>
        </is>
      </c>
      <c r="C259" s="41" t="inlineStr">
        <is>
          <t>Boss</t>
        </is>
      </c>
      <c r="D259" s="41" t="inlineStr">
        <is>
          <t>boss_missiles</t>
        </is>
      </c>
      <c r="E259" s="41" t="inlineStr">
        <is>
          <t>9M133 Kornet</t>
        </is>
      </c>
      <c r="F259" s="43" t="n">
        <v>1</v>
      </c>
      <c r="G259" s="51">
        <f>IFERROR(VLOOKUP(D259,'Vũ khí đề xuất'!$A:$AO,27,0),"")</f>
        <v/>
      </c>
      <c r="H259" s="51">
        <f>IFERROR(VLOOKUP(D259,'Vũ khí đề xuất'!$A:$AO,28,0),"")</f>
        <v/>
      </c>
      <c r="I259" s="51">
        <f>IFERROR(VLOOKUP(D259,'Vũ khí đề xuất'!$A:$AO,30,0),"")</f>
        <v/>
      </c>
      <c r="J259" s="51">
        <f>IFERROR(VLOOKUP(D259,'Vũ khí đề xuất'!$A:$AO,32,0),"")</f>
        <v/>
      </c>
      <c r="K259" s="51">
        <f>IFERROR(VLOOKUP(D259,'Vũ khí đề xuất'!$A:$AO,35,0),"")</f>
        <v/>
      </c>
      <c r="L259" s="51">
        <f>IFERROR(VLOOKUP(D259,'Vũ khí đề xuất'!$A:$AO,36,0),"")</f>
        <v/>
      </c>
      <c r="M259" s="41" t="n"/>
    </row>
    <row r="260" ht="15" customHeight="1" s="32">
      <c r="A260" s="39" t="inlineStr">
        <is>
          <t>mobile_fortress</t>
        </is>
      </c>
      <c r="B260" s="39" t="inlineStr">
        <is>
          <t>Jötunn · Pháo đài di động</t>
        </is>
      </c>
      <c r="C260" s="39" t="inlineStr">
        <is>
          <t>Boss</t>
        </is>
      </c>
      <c r="D260" s="39" t="inlineStr">
        <is>
          <t>boss_howitzer</t>
        </is>
      </c>
      <c r="E260" s="39" t="inlineStr">
        <is>
          <t>2A44 203 mm</t>
        </is>
      </c>
      <c r="F260" s="42" t="n">
        <v>1</v>
      </c>
      <c r="G260" s="50">
        <f>IFERROR(VLOOKUP(D260,'Vũ khí đề xuất'!$A:$AO,27,0),"")</f>
        <v/>
      </c>
      <c r="H260" s="50">
        <f>IFERROR(VLOOKUP(D260,'Vũ khí đề xuất'!$A:$AO,28,0),"")</f>
        <v/>
      </c>
      <c r="I260" s="50">
        <f>IFERROR(VLOOKUP(D260,'Vũ khí đề xuất'!$A:$AO,30,0),"")</f>
        <v/>
      </c>
      <c r="J260" s="50">
        <f>IFERROR(VLOOKUP(D260,'Vũ khí đề xuất'!$A:$AO,32,0),"")</f>
        <v/>
      </c>
      <c r="K260" s="50">
        <f>IFERROR(VLOOKUP(D260,'Vũ khí đề xuất'!$A:$AO,35,0),"")</f>
        <v/>
      </c>
      <c r="L260" s="50">
        <f>IFERROR(VLOOKUP(D260,'Vũ khí đề xuất'!$A:$AO,36,0),"")</f>
        <v/>
      </c>
      <c r="M260" s="39" t="n"/>
    </row>
    <row r="261" ht="15" customHeight="1" s="32">
      <c r="A261" s="41" t="inlineStr">
        <is>
          <t>mobile_fortress</t>
        </is>
      </c>
      <c r="B261" s="41" t="inlineStr">
        <is>
          <t>Jötunn · Pháo đài di động</t>
        </is>
      </c>
      <c r="C261" s="41" t="inlineStr">
        <is>
          <t>Boss</t>
        </is>
      </c>
      <c r="D261" s="41" t="inlineStr">
        <is>
          <t>sam_post</t>
        </is>
      </c>
      <c r="E261" s="41" t="inlineStr">
        <is>
          <t>9M317 Buk</t>
        </is>
      </c>
      <c r="F261" s="43" t="n">
        <v>1</v>
      </c>
      <c r="G261" s="51">
        <f>IFERROR(VLOOKUP(D261,'Vũ khí đề xuất'!$A:$AO,27,0),"")</f>
        <v/>
      </c>
      <c r="H261" s="51">
        <f>IFERROR(VLOOKUP(D261,'Vũ khí đề xuất'!$A:$AO,28,0),"")</f>
        <v/>
      </c>
      <c r="I261" s="51">
        <f>IFERROR(VLOOKUP(D261,'Vũ khí đề xuất'!$A:$AO,30,0),"")</f>
        <v/>
      </c>
      <c r="J261" s="51">
        <f>IFERROR(VLOOKUP(D261,'Vũ khí đề xuất'!$A:$AO,32,0),"")</f>
        <v/>
      </c>
      <c r="K261" s="51">
        <f>IFERROR(VLOOKUP(D261,'Vũ khí đề xuất'!$A:$AO,35,0),"")</f>
        <v/>
      </c>
      <c r="L261" s="51">
        <f>IFERROR(VLOOKUP(D261,'Vũ khí đề xuất'!$A:$AO,36,0),"")</f>
        <v/>
      </c>
      <c r="M261" s="41" t="n"/>
    </row>
    <row r="262" ht="15" customHeight="1" s="32">
      <c r="A262" s="39" t="inlineStr">
        <is>
          <t>command_airship</t>
        </is>
      </c>
      <c r="B262" s="39" t="inlineStr">
        <is>
          <t>Roc · Khí cầu chỉ huy</t>
        </is>
      </c>
      <c r="C262" s="39" t="inlineStr">
        <is>
          <t>Boss</t>
        </is>
      </c>
      <c r="D262" s="39" t="inlineStr">
        <is>
          <t>airship_flak</t>
        </is>
      </c>
      <c r="E262" s="39" t="inlineStr">
        <is>
          <t>S-60 57 mm</t>
        </is>
      </c>
      <c r="F262" s="42" t="n">
        <v>1</v>
      </c>
      <c r="G262" s="50">
        <f>IFERROR(VLOOKUP(D262,'Vũ khí đề xuất'!$A:$AO,27,0),"")</f>
        <v/>
      </c>
      <c r="H262" s="50">
        <f>IFERROR(VLOOKUP(D262,'Vũ khí đề xuất'!$A:$AO,28,0),"")</f>
        <v/>
      </c>
      <c r="I262" s="50">
        <f>IFERROR(VLOOKUP(D262,'Vũ khí đề xuất'!$A:$AO,30,0),"")</f>
        <v/>
      </c>
      <c r="J262" s="50">
        <f>IFERROR(VLOOKUP(D262,'Vũ khí đề xuất'!$A:$AO,32,0),"")</f>
        <v/>
      </c>
      <c r="K262" s="50">
        <f>IFERROR(VLOOKUP(D262,'Vũ khí đề xuất'!$A:$AO,35,0),"")</f>
        <v/>
      </c>
      <c r="L262" s="50">
        <f>IFERROR(VLOOKUP(D262,'Vũ khí đề xuất'!$A:$AO,36,0),"")</f>
        <v/>
      </c>
      <c r="M262" s="39" t="n"/>
    </row>
    <row r="263" ht="15" customHeight="1" s="32">
      <c r="A263" s="41" t="inlineStr">
        <is>
          <t>command_airship</t>
        </is>
      </c>
      <c r="B263" s="41" t="inlineStr">
        <is>
          <t>Roc · Khí cầu chỉ huy</t>
        </is>
      </c>
      <c r="C263" s="41" t="inlineStr">
        <is>
          <t>Boss</t>
        </is>
      </c>
      <c r="D263" s="41" t="inlineStr">
        <is>
          <t>airship_flak</t>
        </is>
      </c>
      <c r="E263" s="41" t="inlineStr">
        <is>
          <t>S-60 57 mm</t>
        </is>
      </c>
      <c r="F263" s="43" t="n">
        <v>1</v>
      </c>
      <c r="G263" s="51">
        <f>IFERROR(VLOOKUP(D263,'Vũ khí đề xuất'!$A:$AO,27,0),"")</f>
        <v/>
      </c>
      <c r="H263" s="51">
        <f>IFERROR(VLOOKUP(D263,'Vũ khí đề xuất'!$A:$AO,28,0),"")</f>
        <v/>
      </c>
      <c r="I263" s="51">
        <f>IFERROR(VLOOKUP(D263,'Vũ khí đề xuất'!$A:$AO,30,0),"")</f>
        <v/>
      </c>
      <c r="J263" s="51">
        <f>IFERROR(VLOOKUP(D263,'Vũ khí đề xuất'!$A:$AO,32,0),"")</f>
        <v/>
      </c>
      <c r="K263" s="51">
        <f>IFERROR(VLOOKUP(D263,'Vũ khí đề xuất'!$A:$AO,35,0),"")</f>
        <v/>
      </c>
      <c r="L263" s="51">
        <f>IFERROR(VLOOKUP(D263,'Vũ khí đề xuất'!$A:$AO,36,0),"")</f>
        <v/>
      </c>
      <c r="M263" s="41" t="n"/>
    </row>
    <row r="264" ht="15" customHeight="1" s="32">
      <c r="A264" s="39" t="inlineStr">
        <is>
          <t>command_airship</t>
        </is>
      </c>
      <c r="B264" s="39" t="inlineStr">
        <is>
          <t>Roc · Khí cầu chỉ huy</t>
        </is>
      </c>
      <c r="C264" s="39" t="inlineStr">
        <is>
          <t>Boss</t>
        </is>
      </c>
      <c r="D264" s="39" t="inlineStr">
        <is>
          <t>airship_drones</t>
        </is>
      </c>
      <c r="E264" s="39" t="inlineStr">
        <is>
          <t>FPV drone (1.5 kg)</t>
        </is>
      </c>
      <c r="F264" s="42" t="n">
        <v>1</v>
      </c>
      <c r="G264" s="50">
        <f>IFERROR(VLOOKUP(D264,'Vũ khí đề xuất'!$A:$AO,27,0),"")</f>
        <v/>
      </c>
      <c r="H264" s="50">
        <f>IFERROR(VLOOKUP(D264,'Vũ khí đề xuất'!$A:$AO,28,0),"")</f>
        <v/>
      </c>
      <c r="I264" s="50">
        <f>IFERROR(VLOOKUP(D264,'Vũ khí đề xuất'!$A:$AO,30,0),"")</f>
        <v/>
      </c>
      <c r="J264" s="50">
        <f>IFERROR(VLOOKUP(D264,'Vũ khí đề xuất'!$A:$AO,32,0),"")</f>
        <v/>
      </c>
      <c r="K264" s="50">
        <f>IFERROR(VLOOKUP(D264,'Vũ khí đề xuất'!$A:$AO,35,0),"")</f>
        <v/>
      </c>
      <c r="L264" s="50">
        <f>IFERROR(VLOOKUP(D264,'Vũ khí đề xuất'!$A:$AO,36,0),"")</f>
        <v/>
      </c>
      <c r="M264" s="39" t="n"/>
    </row>
    <row r="265" ht="15" customHeight="1" s="32">
      <c r="A265" s="41" t="inlineStr">
        <is>
          <t>command_airship</t>
        </is>
      </c>
      <c r="B265" s="41" t="inlineStr">
        <is>
          <t>Roc · Khí cầu chỉ huy</t>
        </is>
      </c>
      <c r="C265" s="41" t="inlineStr">
        <is>
          <t>Boss</t>
        </is>
      </c>
      <c r="D265" s="41" t="inlineStr">
        <is>
          <t>airship_drones</t>
        </is>
      </c>
      <c r="E265" s="41" t="inlineStr">
        <is>
          <t>FPV drone (1.5 kg)</t>
        </is>
      </c>
      <c r="F265" s="43" t="n">
        <v>1</v>
      </c>
      <c r="G265" s="51">
        <f>IFERROR(VLOOKUP(D265,'Vũ khí đề xuất'!$A:$AO,27,0),"")</f>
        <v/>
      </c>
      <c r="H265" s="51">
        <f>IFERROR(VLOOKUP(D265,'Vũ khí đề xuất'!$A:$AO,28,0),"")</f>
        <v/>
      </c>
      <c r="I265" s="51">
        <f>IFERROR(VLOOKUP(D265,'Vũ khí đề xuất'!$A:$AO,30,0),"")</f>
        <v/>
      </c>
      <c r="J265" s="51">
        <f>IFERROR(VLOOKUP(D265,'Vũ khí đề xuất'!$A:$AO,32,0),"")</f>
        <v/>
      </c>
      <c r="K265" s="51">
        <f>IFERROR(VLOOKUP(D265,'Vũ khí đề xuất'!$A:$AO,35,0),"")</f>
        <v/>
      </c>
      <c r="L265" s="51">
        <f>IFERROR(VLOOKUP(D265,'Vũ khí đề xuất'!$A:$AO,36,0),"")</f>
        <v/>
      </c>
      <c r="M265" s="41" t="n"/>
    </row>
    <row r="266" ht="15" customHeight="1" s="32">
      <c r="A266" s="39" t="inlineStr">
        <is>
          <t>command_airship</t>
        </is>
      </c>
      <c r="B266" s="39" t="inlineStr">
        <is>
          <t>Roc · Khí cầu chỉ huy</t>
        </is>
      </c>
      <c r="C266" s="39" t="inlineStr">
        <is>
          <t>Boss</t>
        </is>
      </c>
      <c r="D266" s="39" t="inlineStr">
        <is>
          <t>gunship_105</t>
        </is>
      </c>
      <c r="E266" s="39" t="inlineStr">
        <is>
          <t>M102 105 mm</t>
        </is>
      </c>
      <c r="F266" s="42" t="n">
        <v>1</v>
      </c>
      <c r="G266" s="50">
        <f>IFERROR(VLOOKUP(D266,'Vũ khí đề xuất'!$A:$AO,27,0),"")</f>
        <v/>
      </c>
      <c r="H266" s="50">
        <f>IFERROR(VLOOKUP(D266,'Vũ khí đề xuất'!$A:$AO,28,0),"")</f>
        <v/>
      </c>
      <c r="I266" s="50">
        <f>IFERROR(VLOOKUP(D266,'Vũ khí đề xuất'!$A:$AO,30,0),"")</f>
        <v/>
      </c>
      <c r="J266" s="50">
        <f>IFERROR(VLOOKUP(D266,'Vũ khí đề xuất'!$A:$AO,32,0),"")</f>
        <v/>
      </c>
      <c r="K266" s="50">
        <f>IFERROR(VLOOKUP(D266,'Vũ khí đề xuất'!$A:$AO,35,0),"")</f>
        <v/>
      </c>
      <c r="L266" s="50">
        <f>IFERROR(VLOOKUP(D266,'Vũ khí đề xuất'!$A:$AO,36,0),"")</f>
        <v/>
      </c>
      <c r="M266" s="39" t="n"/>
    </row>
    <row r="267" ht="15" customHeight="1" s="32">
      <c r="A267" s="41" t="inlineStr">
        <is>
          <t>command_airship</t>
        </is>
      </c>
      <c r="B267" s="41" t="inlineStr">
        <is>
          <t>Roc · Khí cầu chỉ huy</t>
        </is>
      </c>
      <c r="C267" s="41" t="inlineStr">
        <is>
          <t>Boss</t>
        </is>
      </c>
      <c r="D267" s="41" t="inlineStr">
        <is>
          <t>gunship_105</t>
        </is>
      </c>
      <c r="E267" s="41" t="inlineStr">
        <is>
          <t>M102 105 mm</t>
        </is>
      </c>
      <c r="F267" s="43" t="n">
        <v>1</v>
      </c>
      <c r="G267" s="51">
        <f>IFERROR(VLOOKUP(D267,'Vũ khí đề xuất'!$A:$AO,27,0),"")</f>
        <v/>
      </c>
      <c r="H267" s="51">
        <f>IFERROR(VLOOKUP(D267,'Vũ khí đề xuất'!$A:$AO,28,0),"")</f>
        <v/>
      </c>
      <c r="I267" s="51">
        <f>IFERROR(VLOOKUP(D267,'Vũ khí đề xuất'!$A:$AO,30,0),"")</f>
        <v/>
      </c>
      <c r="J267" s="51">
        <f>IFERROR(VLOOKUP(D267,'Vũ khí đề xuất'!$A:$AO,32,0),"")</f>
        <v/>
      </c>
      <c r="K267" s="51">
        <f>IFERROR(VLOOKUP(D267,'Vũ khí đề xuất'!$A:$AO,35,0),"")</f>
        <v/>
      </c>
      <c r="L267" s="51">
        <f>IFERROR(VLOOKUP(D267,'Vũ khí đề xuất'!$A:$AO,36,0),"")</f>
        <v/>
      </c>
      <c r="M267" s="41" t="n"/>
    </row>
    <row r="268" ht="15" customHeight="1" s="32">
      <c r="A268" s="39" t="inlineStr">
        <is>
          <t>moloch</t>
        </is>
      </c>
      <c r="B268" s="39" t="inlineStr">
        <is>
          <t>Moloch · Nhà máy di động</t>
        </is>
      </c>
      <c r="C268" s="39" t="inlineStr">
        <is>
          <t>Boss</t>
        </is>
      </c>
      <c r="D268" s="39" t="inlineStr">
        <is>
          <t>gun_120mm</t>
        </is>
      </c>
      <c r="E268" s="39" t="inlineStr">
        <is>
          <t>Rh-120 L/44 120 mm</t>
        </is>
      </c>
      <c r="F268" s="42" t="n">
        <v>1</v>
      </c>
      <c r="G268" s="50">
        <f>IFERROR(VLOOKUP(D268,'Vũ khí đề xuất'!$A:$AO,27,0),"")</f>
        <v/>
      </c>
      <c r="H268" s="50">
        <f>IFERROR(VLOOKUP(D268,'Vũ khí đề xuất'!$A:$AO,28,0),"")</f>
        <v/>
      </c>
      <c r="I268" s="50">
        <f>IFERROR(VLOOKUP(D268,'Vũ khí đề xuất'!$A:$AO,30,0),"")</f>
        <v/>
      </c>
      <c r="J268" s="50">
        <f>IFERROR(VLOOKUP(D268,'Vũ khí đề xuất'!$A:$AO,32,0),"")</f>
        <v/>
      </c>
      <c r="K268" s="50">
        <f>IFERROR(VLOOKUP(D268,'Vũ khí đề xuất'!$A:$AO,35,0),"")</f>
        <v/>
      </c>
      <c r="L268" s="50">
        <f>IFERROR(VLOOKUP(D268,'Vũ khí đề xuất'!$A:$AO,36,0),"")</f>
        <v/>
      </c>
      <c r="M268" s="39" t="n"/>
    </row>
    <row r="269" ht="15" customHeight="1" s="32">
      <c r="A269" s="41" t="inlineStr">
        <is>
          <t>moloch</t>
        </is>
      </c>
      <c r="B269" s="41" t="inlineStr">
        <is>
          <t>Moloch · Nhà máy di động</t>
        </is>
      </c>
      <c r="C269" s="41" t="inlineStr">
        <is>
          <t>Boss</t>
        </is>
      </c>
      <c r="D269" s="41" t="inlineStr">
        <is>
          <t>gun_120mm</t>
        </is>
      </c>
      <c r="E269" s="41" t="inlineStr">
        <is>
          <t>Rh-120 L/44 120 mm</t>
        </is>
      </c>
      <c r="F269" s="43" t="n">
        <v>1</v>
      </c>
      <c r="G269" s="51">
        <f>IFERROR(VLOOKUP(D269,'Vũ khí đề xuất'!$A:$AO,27,0),"")</f>
        <v/>
      </c>
      <c r="H269" s="51">
        <f>IFERROR(VLOOKUP(D269,'Vũ khí đề xuất'!$A:$AO,28,0),"")</f>
        <v/>
      </c>
      <c r="I269" s="51">
        <f>IFERROR(VLOOKUP(D269,'Vũ khí đề xuất'!$A:$AO,30,0),"")</f>
        <v/>
      </c>
      <c r="J269" s="51">
        <f>IFERROR(VLOOKUP(D269,'Vũ khí đề xuất'!$A:$AO,32,0),"")</f>
        <v/>
      </c>
      <c r="K269" s="51">
        <f>IFERROR(VLOOKUP(D269,'Vũ khí đề xuất'!$A:$AO,35,0),"")</f>
        <v/>
      </c>
      <c r="L269" s="51">
        <f>IFERROR(VLOOKUP(D269,'Vũ khí đề xuất'!$A:$AO,36,0),"")</f>
        <v/>
      </c>
      <c r="M269" s="41" t="n"/>
    </row>
    <row r="270" ht="15" customHeight="1" s="32">
      <c r="A270" s="39" t="inlineStr">
        <is>
          <t>moloch</t>
        </is>
      </c>
      <c r="B270" s="39" t="inlineStr">
        <is>
          <t>Moloch · Nhà máy di động</t>
        </is>
      </c>
      <c r="C270" s="39" t="inlineStr">
        <is>
          <t>Boss</t>
        </is>
      </c>
      <c r="D270" s="39" t="inlineStr">
        <is>
          <t>gun_120mm</t>
        </is>
      </c>
      <c r="E270" s="39" t="inlineStr">
        <is>
          <t>Rh-120 L/44 120 mm</t>
        </is>
      </c>
      <c r="F270" s="42" t="n">
        <v>1</v>
      </c>
      <c r="G270" s="50">
        <f>IFERROR(VLOOKUP(D270,'Vũ khí đề xuất'!$A:$AO,27,0),"")</f>
        <v/>
      </c>
      <c r="H270" s="50">
        <f>IFERROR(VLOOKUP(D270,'Vũ khí đề xuất'!$A:$AO,28,0),"")</f>
        <v/>
      </c>
      <c r="I270" s="50">
        <f>IFERROR(VLOOKUP(D270,'Vũ khí đề xuất'!$A:$AO,30,0),"")</f>
        <v/>
      </c>
      <c r="J270" s="50">
        <f>IFERROR(VLOOKUP(D270,'Vũ khí đề xuất'!$A:$AO,32,0),"")</f>
        <v/>
      </c>
      <c r="K270" s="50">
        <f>IFERROR(VLOOKUP(D270,'Vũ khí đề xuất'!$A:$AO,35,0),"")</f>
        <v/>
      </c>
      <c r="L270" s="50">
        <f>IFERROR(VLOOKUP(D270,'Vũ khí đề xuất'!$A:$AO,36,0),"")</f>
        <v/>
      </c>
      <c r="M270" s="39" t="n"/>
    </row>
    <row r="271" ht="15" customHeight="1" s="32">
      <c r="A271" s="41" t="inlineStr">
        <is>
          <t>moloch</t>
        </is>
      </c>
      <c r="B271" s="41" t="inlineStr">
        <is>
          <t>Moloch · Nhà máy di động</t>
        </is>
      </c>
      <c r="C271" s="41" t="inlineStr">
        <is>
          <t>Boss</t>
        </is>
      </c>
      <c r="D271" s="41" t="inlineStr">
        <is>
          <t>gun_120mm</t>
        </is>
      </c>
      <c r="E271" s="41" t="inlineStr">
        <is>
          <t>Rh-120 L/44 120 mm</t>
        </is>
      </c>
      <c r="F271" s="43" t="n">
        <v>1</v>
      </c>
      <c r="G271" s="51">
        <f>IFERROR(VLOOKUP(D271,'Vũ khí đề xuất'!$A:$AO,27,0),"")</f>
        <v/>
      </c>
      <c r="H271" s="51">
        <f>IFERROR(VLOOKUP(D271,'Vũ khí đề xuất'!$A:$AO,28,0),"")</f>
        <v/>
      </c>
      <c r="I271" s="51">
        <f>IFERROR(VLOOKUP(D271,'Vũ khí đề xuất'!$A:$AO,30,0),"")</f>
        <v/>
      </c>
      <c r="J271" s="51">
        <f>IFERROR(VLOOKUP(D271,'Vũ khí đề xuất'!$A:$AO,32,0),"")</f>
        <v/>
      </c>
      <c r="K271" s="51">
        <f>IFERROR(VLOOKUP(D271,'Vũ khí đề xuất'!$A:$AO,35,0),"")</f>
        <v/>
      </c>
      <c r="L271" s="51">
        <f>IFERROR(VLOOKUP(D271,'Vũ khí đề xuất'!$A:$AO,36,0),"")</f>
        <v/>
      </c>
      <c r="M271" s="41" t="n"/>
    </row>
    <row r="272" ht="15" customHeight="1" s="32">
      <c r="A272" s="39" t="inlineStr">
        <is>
          <t>moloch</t>
        </is>
      </c>
      <c r="B272" s="39" t="inlineStr">
        <is>
          <t>Moloch · Nhà máy di động</t>
        </is>
      </c>
      <c r="C272" s="39" t="inlineStr">
        <is>
          <t>Boss</t>
        </is>
      </c>
      <c r="D272" s="39" t="inlineStr">
        <is>
          <t>boss_flak</t>
        </is>
      </c>
      <c r="E272" s="39" t="inlineStr">
        <is>
          <t>Oerlikon 35 mm (twin)</t>
        </is>
      </c>
      <c r="F272" s="42" t="n">
        <v>1</v>
      </c>
      <c r="G272" s="50">
        <f>IFERROR(VLOOKUP(D272,'Vũ khí đề xuất'!$A:$AO,27,0),"")</f>
        <v/>
      </c>
      <c r="H272" s="50">
        <f>IFERROR(VLOOKUP(D272,'Vũ khí đề xuất'!$A:$AO,28,0),"")</f>
        <v/>
      </c>
      <c r="I272" s="50">
        <f>IFERROR(VLOOKUP(D272,'Vũ khí đề xuất'!$A:$AO,30,0),"")</f>
        <v/>
      </c>
      <c r="J272" s="50">
        <f>IFERROR(VLOOKUP(D272,'Vũ khí đề xuất'!$A:$AO,32,0),"")</f>
        <v/>
      </c>
      <c r="K272" s="50">
        <f>IFERROR(VLOOKUP(D272,'Vũ khí đề xuất'!$A:$AO,35,0),"")</f>
        <v/>
      </c>
      <c r="L272" s="50">
        <f>IFERROR(VLOOKUP(D272,'Vũ khí đề xuất'!$A:$AO,36,0),"")</f>
        <v/>
      </c>
      <c r="M272" s="39" t="n"/>
    </row>
    <row r="273" ht="15" customHeight="1" s="32">
      <c r="A273" s="41" t="inlineStr">
        <is>
          <t>fortress_bastion</t>
        </is>
      </c>
      <c r="B273" s="41" t="inlineStr">
        <is>
          <t>Bastion · Pháo đài</t>
        </is>
      </c>
      <c r="C273" s="41" t="inlineStr">
        <is>
          <t>Boss</t>
        </is>
      </c>
      <c r="D273" s="41" t="inlineStr">
        <is>
          <t>boss_mortar</t>
        </is>
      </c>
      <c r="E273" s="41" t="inlineStr">
        <is>
          <t>2B8 240 mm</t>
        </is>
      </c>
      <c r="F273" s="43" t="n">
        <v>1</v>
      </c>
      <c r="G273" s="51">
        <f>IFERROR(VLOOKUP(D273,'Vũ khí đề xuất'!$A:$AO,27,0),"")</f>
        <v/>
      </c>
      <c r="H273" s="51">
        <f>IFERROR(VLOOKUP(D273,'Vũ khí đề xuất'!$A:$AO,28,0),"")</f>
        <v/>
      </c>
      <c r="I273" s="51">
        <f>IFERROR(VLOOKUP(D273,'Vũ khí đề xuất'!$A:$AO,30,0),"")</f>
        <v/>
      </c>
      <c r="J273" s="51">
        <f>IFERROR(VLOOKUP(D273,'Vũ khí đề xuất'!$A:$AO,32,0),"")</f>
        <v/>
      </c>
      <c r="K273" s="51">
        <f>IFERROR(VLOOKUP(D273,'Vũ khí đề xuất'!$A:$AO,35,0),"")</f>
        <v/>
      </c>
      <c r="L273" s="51">
        <f>IFERROR(VLOOKUP(D273,'Vũ khí đề xuất'!$A:$AO,36,0),"")</f>
        <v/>
      </c>
      <c r="M273" s="41" t="n"/>
    </row>
    <row r="274" ht="15" customHeight="1" s="32">
      <c r="A274" s="39" t="inlineStr">
        <is>
          <t>fortress_bastion</t>
        </is>
      </c>
      <c r="B274" s="39" t="inlineStr">
        <is>
          <t>Bastion · Pháo đài</t>
        </is>
      </c>
      <c r="C274" s="39" t="inlineStr">
        <is>
          <t>Boss</t>
        </is>
      </c>
      <c r="D274" s="39" t="inlineStr">
        <is>
          <t>autocannon_40</t>
        </is>
      </c>
      <c r="E274" s="39" t="inlineStr">
        <is>
          <t>Bofors 40 mm</t>
        </is>
      </c>
      <c r="F274" s="42" t="n">
        <v>1</v>
      </c>
      <c r="G274" s="50">
        <f>IFERROR(VLOOKUP(D274,'Vũ khí đề xuất'!$A:$AO,27,0),"")</f>
        <v/>
      </c>
      <c r="H274" s="50">
        <f>IFERROR(VLOOKUP(D274,'Vũ khí đề xuất'!$A:$AO,28,0),"")</f>
        <v/>
      </c>
      <c r="I274" s="50">
        <f>IFERROR(VLOOKUP(D274,'Vũ khí đề xuất'!$A:$AO,30,0),"")</f>
        <v/>
      </c>
      <c r="J274" s="50">
        <f>IFERROR(VLOOKUP(D274,'Vũ khí đề xuất'!$A:$AO,32,0),"")</f>
        <v/>
      </c>
      <c r="K274" s="50">
        <f>IFERROR(VLOOKUP(D274,'Vũ khí đề xuất'!$A:$AO,35,0),"")</f>
        <v/>
      </c>
      <c r="L274" s="50">
        <f>IFERROR(VLOOKUP(D274,'Vũ khí đề xuất'!$A:$AO,36,0),"")</f>
        <v/>
      </c>
      <c r="M274" s="39" t="n"/>
    </row>
    <row r="275" ht="15" customHeight="1" s="32">
      <c r="A275" s="41" t="inlineStr">
        <is>
          <t>fortress_bastion</t>
        </is>
      </c>
      <c r="B275" s="41" t="inlineStr">
        <is>
          <t>Bastion · Pháo đài</t>
        </is>
      </c>
      <c r="C275" s="41" t="inlineStr">
        <is>
          <t>Boss</t>
        </is>
      </c>
      <c r="D275" s="41" t="inlineStr">
        <is>
          <t>autocannon_40</t>
        </is>
      </c>
      <c r="E275" s="41" t="inlineStr">
        <is>
          <t>Bofors 40 mm</t>
        </is>
      </c>
      <c r="F275" s="43" t="n">
        <v>1</v>
      </c>
      <c r="G275" s="51">
        <f>IFERROR(VLOOKUP(D275,'Vũ khí đề xuất'!$A:$AO,27,0),"")</f>
        <v/>
      </c>
      <c r="H275" s="51">
        <f>IFERROR(VLOOKUP(D275,'Vũ khí đề xuất'!$A:$AO,28,0),"")</f>
        <v/>
      </c>
      <c r="I275" s="51">
        <f>IFERROR(VLOOKUP(D275,'Vũ khí đề xuất'!$A:$AO,30,0),"")</f>
        <v/>
      </c>
      <c r="J275" s="51">
        <f>IFERROR(VLOOKUP(D275,'Vũ khí đề xuất'!$A:$AO,32,0),"")</f>
        <v/>
      </c>
      <c r="K275" s="51">
        <f>IFERROR(VLOOKUP(D275,'Vũ khí đề xuất'!$A:$AO,35,0),"")</f>
        <v/>
      </c>
      <c r="L275" s="51">
        <f>IFERROR(VLOOKUP(D275,'Vũ khí đề xuất'!$A:$AO,36,0),"")</f>
        <v/>
      </c>
      <c r="M275" s="41" t="n"/>
    </row>
    <row r="276" ht="15" customHeight="1" s="32">
      <c r="A276" s="39" t="inlineStr">
        <is>
          <t>fortress_bastion</t>
        </is>
      </c>
      <c r="B276" s="39" t="inlineStr">
        <is>
          <t>Bastion · Pháo đài</t>
        </is>
      </c>
      <c r="C276" s="39" t="inlineStr">
        <is>
          <t>Boss</t>
        </is>
      </c>
      <c r="D276" s="39" t="inlineStr">
        <is>
          <t>autocannon_40</t>
        </is>
      </c>
      <c r="E276" s="39" t="inlineStr">
        <is>
          <t>Bofors 40 mm</t>
        </is>
      </c>
      <c r="F276" s="42" t="n">
        <v>1</v>
      </c>
      <c r="G276" s="50">
        <f>IFERROR(VLOOKUP(D276,'Vũ khí đề xuất'!$A:$AO,27,0),"")</f>
        <v/>
      </c>
      <c r="H276" s="50">
        <f>IFERROR(VLOOKUP(D276,'Vũ khí đề xuất'!$A:$AO,28,0),"")</f>
        <v/>
      </c>
      <c r="I276" s="50">
        <f>IFERROR(VLOOKUP(D276,'Vũ khí đề xuất'!$A:$AO,30,0),"")</f>
        <v/>
      </c>
      <c r="J276" s="50">
        <f>IFERROR(VLOOKUP(D276,'Vũ khí đề xuất'!$A:$AO,32,0),"")</f>
        <v/>
      </c>
      <c r="K276" s="50">
        <f>IFERROR(VLOOKUP(D276,'Vũ khí đề xuất'!$A:$AO,35,0),"")</f>
        <v/>
      </c>
      <c r="L276" s="50">
        <f>IFERROR(VLOOKUP(D276,'Vũ khí đề xuất'!$A:$AO,36,0),"")</f>
        <v/>
      </c>
      <c r="M276" s="39" t="n"/>
    </row>
    <row r="277" ht="15" customHeight="1" s="32">
      <c r="A277" s="41" t="inlineStr">
        <is>
          <t>fortress_bastion</t>
        </is>
      </c>
      <c r="B277" s="41" t="inlineStr">
        <is>
          <t>Bastion · Pháo đài</t>
        </is>
      </c>
      <c r="C277" s="41" t="inlineStr">
        <is>
          <t>Boss</t>
        </is>
      </c>
      <c r="D277" s="41" t="inlineStr">
        <is>
          <t>autocannon_40</t>
        </is>
      </c>
      <c r="E277" s="41" t="inlineStr">
        <is>
          <t>Bofors 40 mm</t>
        </is>
      </c>
      <c r="F277" s="43" t="n">
        <v>1</v>
      </c>
      <c r="G277" s="51">
        <f>IFERROR(VLOOKUP(D277,'Vũ khí đề xuất'!$A:$AO,27,0),"")</f>
        <v/>
      </c>
      <c r="H277" s="51">
        <f>IFERROR(VLOOKUP(D277,'Vũ khí đề xuất'!$A:$AO,28,0),"")</f>
        <v/>
      </c>
      <c r="I277" s="51">
        <f>IFERROR(VLOOKUP(D277,'Vũ khí đề xuất'!$A:$AO,30,0),"")</f>
        <v/>
      </c>
      <c r="J277" s="51">
        <f>IFERROR(VLOOKUP(D277,'Vũ khí đề xuất'!$A:$AO,32,0),"")</f>
        <v/>
      </c>
      <c r="K277" s="51">
        <f>IFERROR(VLOOKUP(D277,'Vũ khí đề xuất'!$A:$AO,35,0),"")</f>
        <v/>
      </c>
      <c r="L277" s="51">
        <f>IFERROR(VLOOKUP(D277,'Vũ khí đề xuất'!$A:$AO,36,0),"")</f>
        <v/>
      </c>
      <c r="M277" s="41" t="n"/>
    </row>
    <row r="278" ht="15" customHeight="1" s="32">
      <c r="A278" s="39" t="inlineStr">
        <is>
          <t>fortress_bastion</t>
        </is>
      </c>
      <c r="B278" s="39" t="inlineStr">
        <is>
          <t>Bastion · Pháo đài</t>
        </is>
      </c>
      <c r="C278" s="39" t="inlineStr">
        <is>
          <t>Boss</t>
        </is>
      </c>
      <c r="D278" s="39" t="inlineStr">
        <is>
          <t>kornet_twin</t>
        </is>
      </c>
      <c r="E278" s="39" t="inlineStr">
        <is>
          <t>9M133 Kornet</t>
        </is>
      </c>
      <c r="F278" s="42" t="n">
        <v>1</v>
      </c>
      <c r="G278" s="50">
        <f>IFERROR(VLOOKUP(D278,'Vũ khí đề xuất'!$A:$AO,27,0),"")</f>
        <v/>
      </c>
      <c r="H278" s="50">
        <f>IFERROR(VLOOKUP(D278,'Vũ khí đề xuất'!$A:$AO,28,0),"")</f>
        <v/>
      </c>
      <c r="I278" s="50">
        <f>IFERROR(VLOOKUP(D278,'Vũ khí đề xuất'!$A:$AO,30,0),"")</f>
        <v/>
      </c>
      <c r="J278" s="50">
        <f>IFERROR(VLOOKUP(D278,'Vũ khí đề xuất'!$A:$AO,32,0),"")</f>
        <v/>
      </c>
      <c r="K278" s="50">
        <f>IFERROR(VLOOKUP(D278,'Vũ khí đề xuất'!$A:$AO,35,0),"")</f>
        <v/>
      </c>
      <c r="L278" s="50">
        <f>IFERROR(VLOOKUP(D278,'Vũ khí đề xuất'!$A:$AO,36,0),"")</f>
        <v/>
      </c>
      <c r="M278" s="39" t="n"/>
    </row>
    <row r="279" ht="15" customHeight="1" s="32">
      <c r="A279" s="41" t="inlineStr">
        <is>
          <t>fortress_bastion</t>
        </is>
      </c>
      <c r="B279" s="41" t="inlineStr">
        <is>
          <t>Bastion · Pháo đài</t>
        </is>
      </c>
      <c r="C279" s="41" t="inlineStr">
        <is>
          <t>Boss</t>
        </is>
      </c>
      <c r="D279" s="41" t="inlineStr">
        <is>
          <t>gun_155_coastal</t>
        </is>
      </c>
      <c r="E279" s="41" t="inlineStr">
        <is>
          <t>M284 155 mm (casemate)</t>
        </is>
      </c>
      <c r="F279" s="43" t="n">
        <v>1</v>
      </c>
      <c r="G279" s="51">
        <f>IFERROR(VLOOKUP(D279,'Vũ khí đề xuất'!$A:$AO,27,0),"")</f>
        <v/>
      </c>
      <c r="H279" s="51">
        <f>IFERROR(VLOOKUP(D279,'Vũ khí đề xuất'!$A:$AO,28,0),"")</f>
        <v/>
      </c>
      <c r="I279" s="51">
        <f>IFERROR(VLOOKUP(D279,'Vũ khí đề xuất'!$A:$AO,30,0),"")</f>
        <v/>
      </c>
      <c r="J279" s="51">
        <f>IFERROR(VLOOKUP(D279,'Vũ khí đề xuất'!$A:$AO,32,0),"")</f>
        <v/>
      </c>
      <c r="K279" s="51">
        <f>IFERROR(VLOOKUP(D279,'Vũ khí đề xuất'!$A:$AO,35,0),"")</f>
        <v/>
      </c>
      <c r="L279" s="51">
        <f>IFERROR(VLOOKUP(D279,'Vũ khí đề xuất'!$A:$AO,36,0),"")</f>
        <v/>
      </c>
      <c r="M279" s="41" t="n"/>
    </row>
    <row r="280" ht="15" customHeight="1" s="32">
      <c r="A280" s="39" t="inlineStr">
        <is>
          <t>fortress_bastion</t>
        </is>
      </c>
      <c r="B280" s="39" t="inlineStr">
        <is>
          <t>Bastion · Pháo đài</t>
        </is>
      </c>
      <c r="C280" s="39" t="inlineStr">
        <is>
          <t>Boss</t>
        </is>
      </c>
      <c r="D280" s="39" t="inlineStr">
        <is>
          <t>zu23</t>
        </is>
      </c>
      <c r="E280" s="39" t="inlineStr">
        <is>
          <t>ZU-23-2 23 mm</t>
        </is>
      </c>
      <c r="F280" s="42" t="n">
        <v>1</v>
      </c>
      <c r="G280" s="50">
        <f>IFERROR(VLOOKUP(D280,'Vũ khí đề xuất'!$A:$AO,27,0),"")</f>
        <v/>
      </c>
      <c r="H280" s="50">
        <f>IFERROR(VLOOKUP(D280,'Vũ khí đề xuất'!$A:$AO,28,0),"")</f>
        <v/>
      </c>
      <c r="I280" s="50">
        <f>IFERROR(VLOOKUP(D280,'Vũ khí đề xuất'!$A:$AO,30,0),"")</f>
        <v/>
      </c>
      <c r="J280" s="50">
        <f>IFERROR(VLOOKUP(D280,'Vũ khí đề xuất'!$A:$AO,32,0),"")</f>
        <v/>
      </c>
      <c r="K280" s="50">
        <f>IFERROR(VLOOKUP(D280,'Vũ khí đề xuất'!$A:$AO,35,0),"")</f>
        <v/>
      </c>
      <c r="L280" s="50">
        <f>IFERROR(VLOOKUP(D280,'Vũ khí đề xuất'!$A:$AO,36,0),"")</f>
        <v/>
      </c>
      <c r="M280" s="39" t="n"/>
    </row>
    <row r="281" ht="15" customHeight="1" s="32">
      <c r="A281" s="41" t="inlineStr">
        <is>
          <t>fortress_bastion</t>
        </is>
      </c>
      <c r="B281" s="41" t="inlineStr">
        <is>
          <t>Bastion · Pháo đài</t>
        </is>
      </c>
      <c r="C281" s="41" t="inlineStr">
        <is>
          <t>Boss</t>
        </is>
      </c>
      <c r="D281" s="41" t="inlineStr">
        <is>
          <t>zu23</t>
        </is>
      </c>
      <c r="E281" s="41" t="inlineStr">
        <is>
          <t>ZU-23-2 23 mm</t>
        </is>
      </c>
      <c r="F281" s="43" t="n">
        <v>1</v>
      </c>
      <c r="G281" s="51">
        <f>IFERROR(VLOOKUP(D281,'Vũ khí đề xuất'!$A:$AO,27,0),"")</f>
        <v/>
      </c>
      <c r="H281" s="51">
        <f>IFERROR(VLOOKUP(D281,'Vũ khí đề xuất'!$A:$AO,28,0),"")</f>
        <v/>
      </c>
      <c r="I281" s="51">
        <f>IFERROR(VLOOKUP(D281,'Vũ khí đề xuất'!$A:$AO,30,0),"")</f>
        <v/>
      </c>
      <c r="J281" s="51">
        <f>IFERROR(VLOOKUP(D281,'Vũ khí đề xuất'!$A:$AO,32,0),"")</f>
        <v/>
      </c>
      <c r="K281" s="51">
        <f>IFERROR(VLOOKUP(D281,'Vũ khí đề xuất'!$A:$AO,35,0),"")</f>
        <v/>
      </c>
      <c r="L281" s="51">
        <f>IFERROR(VLOOKUP(D281,'Vũ khí đề xuất'!$A:$AO,36,0),"")</f>
        <v/>
      </c>
      <c r="M281" s="41" t="n"/>
    </row>
    <row r="282" ht="15" customHeight="1" s="32">
      <c r="A282" s="39" t="inlineStr">
        <is>
          <t>typhon</t>
        </is>
      </c>
      <c r="B282" s="39" t="inlineStr">
        <is>
          <t>Typhon · Tàu ngầm tên lửa</t>
        </is>
      </c>
      <c r="C282" s="39" t="inlineStr">
        <is>
          <t>Boss</t>
        </is>
      </c>
      <c r="D282" s="39" t="inlineStr">
        <is>
          <t>sam_post</t>
        </is>
      </c>
      <c r="E282" s="39" t="inlineStr">
        <is>
          <t>9M317 Buk</t>
        </is>
      </c>
      <c r="F282" s="42" t="n">
        <v>1</v>
      </c>
      <c r="G282" s="50">
        <f>IFERROR(VLOOKUP(D282,'Vũ khí đề xuất'!$A:$AO,27,0),"")</f>
        <v/>
      </c>
      <c r="H282" s="50">
        <f>IFERROR(VLOOKUP(D282,'Vũ khí đề xuất'!$A:$AO,28,0),"")</f>
        <v/>
      </c>
      <c r="I282" s="50">
        <f>IFERROR(VLOOKUP(D282,'Vũ khí đề xuất'!$A:$AO,30,0),"")</f>
        <v/>
      </c>
      <c r="J282" s="50">
        <f>IFERROR(VLOOKUP(D282,'Vũ khí đề xuất'!$A:$AO,32,0),"")</f>
        <v/>
      </c>
      <c r="K282" s="50">
        <f>IFERROR(VLOOKUP(D282,'Vũ khí đề xuất'!$A:$AO,35,0),"")</f>
        <v/>
      </c>
      <c r="L282" s="50">
        <f>IFERROR(VLOOKUP(D282,'Vũ khí đề xuất'!$A:$AO,36,0),"")</f>
        <v/>
      </c>
      <c r="M282" s="39" t="n"/>
    </row>
    <row r="283" ht="15" customHeight="1" s="32">
      <c r="A283" s="41" t="inlineStr">
        <is>
          <t>typhon</t>
        </is>
      </c>
      <c r="B283" s="41" t="inlineStr">
        <is>
          <t>Typhon · Tàu ngầm tên lửa</t>
        </is>
      </c>
      <c r="C283" s="41" t="inlineStr">
        <is>
          <t>Boss</t>
        </is>
      </c>
      <c r="D283" s="41" t="inlineStr">
        <is>
          <t>naval_100</t>
        </is>
      </c>
      <c r="E283" s="41" t="inlineStr">
        <is>
          <t>AK-100 100 mm</t>
        </is>
      </c>
      <c r="F283" s="43" t="n">
        <v>1</v>
      </c>
      <c r="G283" s="51">
        <f>IFERROR(VLOOKUP(D283,'Vũ khí đề xuất'!$A:$AO,27,0),"")</f>
        <v/>
      </c>
      <c r="H283" s="51">
        <f>IFERROR(VLOOKUP(D283,'Vũ khí đề xuất'!$A:$AO,28,0),"")</f>
        <v/>
      </c>
      <c r="I283" s="51">
        <f>IFERROR(VLOOKUP(D283,'Vũ khí đề xuất'!$A:$AO,30,0),"")</f>
        <v/>
      </c>
      <c r="J283" s="51">
        <f>IFERROR(VLOOKUP(D283,'Vũ khí đề xuất'!$A:$AO,32,0),"")</f>
        <v/>
      </c>
      <c r="K283" s="51">
        <f>IFERROR(VLOOKUP(D283,'Vũ khí đề xuất'!$A:$AO,35,0),"")</f>
        <v/>
      </c>
      <c r="L283" s="51">
        <f>IFERROR(VLOOKUP(D283,'Vũ khí đề xuất'!$A:$AO,36,0),"")</f>
        <v/>
      </c>
      <c r="M283" s="41" t="n"/>
    </row>
    <row r="284" ht="15" customHeight="1" s="32">
      <c r="A284" s="39" t="inlineStr">
        <is>
          <t>kronos</t>
        </is>
      </c>
      <c r="B284" s="39" t="inlineStr">
        <is>
          <t>Kronos · Máy xúc mỏ</t>
        </is>
      </c>
      <c r="C284" s="39" t="inlineStr">
        <is>
          <t>Boss</t>
        </is>
      </c>
      <c r="D284" s="39" t="inlineStr">
        <is>
          <t>autocannon_30</t>
        </is>
      </c>
      <c r="E284" s="39" t="inlineStr">
        <is>
          <t>2A42 30 mm</t>
        </is>
      </c>
      <c r="F284" s="42" t="n">
        <v>1</v>
      </c>
      <c r="G284" s="50">
        <f>IFERROR(VLOOKUP(D284,'Vũ khí đề xuất'!$A:$AO,27,0),"")</f>
        <v/>
      </c>
      <c r="H284" s="50">
        <f>IFERROR(VLOOKUP(D284,'Vũ khí đề xuất'!$A:$AO,28,0),"")</f>
        <v/>
      </c>
      <c r="I284" s="50">
        <f>IFERROR(VLOOKUP(D284,'Vũ khí đề xuất'!$A:$AO,30,0),"")</f>
        <v/>
      </c>
      <c r="J284" s="50">
        <f>IFERROR(VLOOKUP(D284,'Vũ khí đề xuất'!$A:$AO,32,0),"")</f>
        <v/>
      </c>
      <c r="K284" s="50">
        <f>IFERROR(VLOOKUP(D284,'Vũ khí đề xuất'!$A:$AO,35,0),"")</f>
        <v/>
      </c>
      <c r="L284" s="50">
        <f>IFERROR(VLOOKUP(D284,'Vũ khí đề xuất'!$A:$AO,36,0),"")</f>
        <v/>
      </c>
      <c r="M284" s="39" t="n"/>
    </row>
    <row r="285" ht="15" customHeight="1" s="32">
      <c r="A285" s="41" t="inlineStr">
        <is>
          <t>kronos</t>
        </is>
      </c>
      <c r="B285" s="41" t="inlineStr">
        <is>
          <t>Kronos · Máy xúc mỏ</t>
        </is>
      </c>
      <c r="C285" s="41" t="inlineStr">
        <is>
          <t>Boss</t>
        </is>
      </c>
      <c r="D285" s="41" t="inlineStr">
        <is>
          <t>autocannon_30</t>
        </is>
      </c>
      <c r="E285" s="41" t="inlineStr">
        <is>
          <t>2A42 30 mm</t>
        </is>
      </c>
      <c r="F285" s="43" t="n">
        <v>1</v>
      </c>
      <c r="G285" s="51">
        <f>IFERROR(VLOOKUP(D285,'Vũ khí đề xuất'!$A:$AO,27,0),"")</f>
        <v/>
      </c>
      <c r="H285" s="51">
        <f>IFERROR(VLOOKUP(D285,'Vũ khí đề xuất'!$A:$AO,28,0),"")</f>
        <v/>
      </c>
      <c r="I285" s="51">
        <f>IFERROR(VLOOKUP(D285,'Vũ khí đề xuất'!$A:$AO,30,0),"")</f>
        <v/>
      </c>
      <c r="J285" s="51">
        <f>IFERROR(VLOOKUP(D285,'Vũ khí đề xuất'!$A:$AO,32,0),"")</f>
        <v/>
      </c>
      <c r="K285" s="51">
        <f>IFERROR(VLOOKUP(D285,'Vũ khí đề xuất'!$A:$AO,35,0),"")</f>
        <v/>
      </c>
      <c r="L285" s="51">
        <f>IFERROR(VLOOKUP(D285,'Vũ khí đề xuất'!$A:$AO,36,0),"")</f>
        <v/>
      </c>
      <c r="M285" s="41" t="n"/>
    </row>
    <row r="286" ht="15" customHeight="1" s="32">
      <c r="A286" s="39" t="inlineStr">
        <is>
          <t>kronos</t>
        </is>
      </c>
      <c r="B286" s="39" t="inlineStr">
        <is>
          <t>Kronos · Máy xúc mỏ</t>
        </is>
      </c>
      <c r="C286" s="39" t="inlineStr">
        <is>
          <t>Boss</t>
        </is>
      </c>
      <c r="D286" s="39" t="inlineStr">
        <is>
          <t>boss_rockets</t>
        </is>
      </c>
      <c r="E286" s="39" t="inlineStr">
        <is>
          <t>BM-21 Grad 122 mm</t>
        </is>
      </c>
      <c r="F286" s="42" t="n">
        <v>1</v>
      </c>
      <c r="G286" s="50">
        <f>IFERROR(VLOOKUP(D286,'Vũ khí đề xuất'!$A:$AO,27,0),"")</f>
        <v/>
      </c>
      <c r="H286" s="50">
        <f>IFERROR(VLOOKUP(D286,'Vũ khí đề xuất'!$A:$AO,28,0),"")</f>
        <v/>
      </c>
      <c r="I286" s="50">
        <f>IFERROR(VLOOKUP(D286,'Vũ khí đề xuất'!$A:$AO,30,0),"")</f>
        <v/>
      </c>
      <c r="J286" s="50">
        <f>IFERROR(VLOOKUP(D286,'Vũ khí đề xuất'!$A:$AO,32,0),"")</f>
        <v/>
      </c>
      <c r="K286" s="50">
        <f>IFERROR(VLOOKUP(D286,'Vũ khí đề xuất'!$A:$AO,35,0),"")</f>
        <v/>
      </c>
      <c r="L286" s="50">
        <f>IFERROR(VLOOKUP(D286,'Vũ khí đề xuất'!$A:$AO,36,0),"")</f>
        <v/>
      </c>
      <c r="M286" s="39" t="n"/>
    </row>
    <row r="287" ht="15" customHeight="1" s="32">
      <c r="A287" s="41" t="inlineStr">
        <is>
          <t>leviathan</t>
        </is>
      </c>
      <c r="B287" s="41" t="inlineStr">
        <is>
          <t>Leviathan · Thiết giáp hạm</t>
        </is>
      </c>
      <c r="C287" s="41" t="inlineStr">
        <is>
          <t>Boss</t>
        </is>
      </c>
      <c r="D287" s="41" t="inlineStr">
        <is>
          <t>leviathan_460</t>
        </is>
      </c>
      <c r="E287" s="41" t="inlineStr">
        <is>
          <t>Type 94 460 mm/45 (triple)</t>
        </is>
      </c>
      <c r="F287" s="43" t="n">
        <v>1</v>
      </c>
      <c r="G287" s="51">
        <f>IFERROR(VLOOKUP(D287,'Vũ khí đề xuất'!$A:$AO,27,0),"")</f>
        <v/>
      </c>
      <c r="H287" s="51">
        <f>IFERROR(VLOOKUP(D287,'Vũ khí đề xuất'!$A:$AO,28,0),"")</f>
        <v/>
      </c>
      <c r="I287" s="51">
        <f>IFERROR(VLOOKUP(D287,'Vũ khí đề xuất'!$A:$AO,30,0),"")</f>
        <v/>
      </c>
      <c r="J287" s="51">
        <f>IFERROR(VLOOKUP(D287,'Vũ khí đề xuất'!$A:$AO,32,0),"")</f>
        <v/>
      </c>
      <c r="K287" s="51">
        <f>IFERROR(VLOOKUP(D287,'Vũ khí đề xuất'!$A:$AO,35,0),"")</f>
        <v/>
      </c>
      <c r="L287" s="51">
        <f>IFERROR(VLOOKUP(D287,'Vũ khí đề xuất'!$A:$AO,36,0),"")</f>
        <v/>
      </c>
      <c r="M287" s="41" t="n"/>
    </row>
    <row r="288" ht="15" customHeight="1" s="32">
      <c r="A288" s="39" t="inlineStr">
        <is>
          <t>leviathan</t>
        </is>
      </c>
      <c r="B288" s="39" t="inlineStr">
        <is>
          <t>Leviathan · Thiết giáp hạm</t>
        </is>
      </c>
      <c r="C288" s="39" t="inlineStr">
        <is>
          <t>Boss</t>
        </is>
      </c>
      <c r="D288" s="39" t="inlineStr">
        <is>
          <t>leviathan_460</t>
        </is>
      </c>
      <c r="E288" s="39" t="inlineStr">
        <is>
          <t>Type 94 460 mm/45 (triple)</t>
        </is>
      </c>
      <c r="F288" s="42" t="n">
        <v>1</v>
      </c>
      <c r="G288" s="50">
        <f>IFERROR(VLOOKUP(D288,'Vũ khí đề xuất'!$A:$AO,27,0),"")</f>
        <v/>
      </c>
      <c r="H288" s="50">
        <f>IFERROR(VLOOKUP(D288,'Vũ khí đề xuất'!$A:$AO,28,0),"")</f>
        <v/>
      </c>
      <c r="I288" s="50">
        <f>IFERROR(VLOOKUP(D288,'Vũ khí đề xuất'!$A:$AO,30,0),"")</f>
        <v/>
      </c>
      <c r="J288" s="50">
        <f>IFERROR(VLOOKUP(D288,'Vũ khí đề xuất'!$A:$AO,32,0),"")</f>
        <v/>
      </c>
      <c r="K288" s="50">
        <f>IFERROR(VLOOKUP(D288,'Vũ khí đề xuất'!$A:$AO,35,0),"")</f>
        <v/>
      </c>
      <c r="L288" s="50">
        <f>IFERROR(VLOOKUP(D288,'Vũ khí đề xuất'!$A:$AO,36,0),"")</f>
        <v/>
      </c>
      <c r="M288" s="39" t="n"/>
    </row>
    <row r="289" ht="15" customHeight="1" s="32">
      <c r="A289" s="41" t="inlineStr">
        <is>
          <t>leviathan</t>
        </is>
      </c>
      <c r="B289" s="41" t="inlineStr">
        <is>
          <t>Leviathan · Thiết giáp hạm</t>
        </is>
      </c>
      <c r="C289" s="41" t="inlineStr">
        <is>
          <t>Boss</t>
        </is>
      </c>
      <c r="D289" s="41" t="inlineStr">
        <is>
          <t>leviathan_460</t>
        </is>
      </c>
      <c r="E289" s="41" t="inlineStr">
        <is>
          <t>Type 94 460 mm/45 (triple)</t>
        </is>
      </c>
      <c r="F289" s="43" t="n">
        <v>1</v>
      </c>
      <c r="G289" s="51">
        <f>IFERROR(VLOOKUP(D289,'Vũ khí đề xuất'!$A:$AO,27,0),"")</f>
        <v/>
      </c>
      <c r="H289" s="51">
        <f>IFERROR(VLOOKUP(D289,'Vũ khí đề xuất'!$A:$AO,28,0),"")</f>
        <v/>
      </c>
      <c r="I289" s="51">
        <f>IFERROR(VLOOKUP(D289,'Vũ khí đề xuất'!$A:$AO,30,0),"")</f>
        <v/>
      </c>
      <c r="J289" s="51">
        <f>IFERROR(VLOOKUP(D289,'Vũ khí đề xuất'!$A:$AO,32,0),"")</f>
        <v/>
      </c>
      <c r="K289" s="51">
        <f>IFERROR(VLOOKUP(D289,'Vũ khí đề xuất'!$A:$AO,35,0),"")</f>
        <v/>
      </c>
      <c r="L289" s="51">
        <f>IFERROR(VLOOKUP(D289,'Vũ khí đề xuất'!$A:$AO,36,0),"")</f>
        <v/>
      </c>
      <c r="M289" s="41" t="n"/>
    </row>
    <row r="290" ht="15" customHeight="1" s="32">
      <c r="A290" s="39" t="inlineStr">
        <is>
          <t>leviathan</t>
        </is>
      </c>
      <c r="B290" s="39" t="inlineStr">
        <is>
          <t>Leviathan · Thiết giáp hạm</t>
        </is>
      </c>
      <c r="C290" s="39" t="inlineStr">
        <is>
          <t>Boss</t>
        </is>
      </c>
      <c r="D290" s="39" t="inlineStr">
        <is>
          <t>naval_155_triple</t>
        </is>
      </c>
      <c r="E290" s="39" t="inlineStr">
        <is>
          <t>155 mm/60 (triple)</t>
        </is>
      </c>
      <c r="F290" s="42" t="n">
        <v>1</v>
      </c>
      <c r="G290" s="50">
        <f>IFERROR(VLOOKUP(D290,'Vũ khí đề xuất'!$A:$AO,27,0),"")</f>
        <v/>
      </c>
      <c r="H290" s="50">
        <f>IFERROR(VLOOKUP(D290,'Vũ khí đề xuất'!$A:$AO,28,0),"")</f>
        <v/>
      </c>
      <c r="I290" s="50">
        <f>IFERROR(VLOOKUP(D290,'Vũ khí đề xuất'!$A:$AO,30,0),"")</f>
        <v/>
      </c>
      <c r="J290" s="50">
        <f>IFERROR(VLOOKUP(D290,'Vũ khí đề xuất'!$A:$AO,32,0),"")</f>
        <v/>
      </c>
      <c r="K290" s="50">
        <f>IFERROR(VLOOKUP(D290,'Vũ khí đề xuất'!$A:$AO,35,0),"")</f>
        <v/>
      </c>
      <c r="L290" s="50">
        <f>IFERROR(VLOOKUP(D290,'Vũ khí đề xuất'!$A:$AO,36,0),"")</f>
        <v/>
      </c>
      <c r="M290" s="39" t="n"/>
    </row>
    <row r="291" ht="15" customHeight="1" s="32">
      <c r="A291" s="41" t="inlineStr">
        <is>
          <t>leviathan</t>
        </is>
      </c>
      <c r="B291" s="41" t="inlineStr">
        <is>
          <t>Leviathan · Thiết giáp hạm</t>
        </is>
      </c>
      <c r="C291" s="41" t="inlineStr">
        <is>
          <t>Boss</t>
        </is>
      </c>
      <c r="D291" s="41" t="inlineStr">
        <is>
          <t>naval_155_triple</t>
        </is>
      </c>
      <c r="E291" s="41" t="inlineStr">
        <is>
          <t>155 mm/60 (triple)</t>
        </is>
      </c>
      <c r="F291" s="43" t="n">
        <v>1</v>
      </c>
      <c r="G291" s="51">
        <f>IFERROR(VLOOKUP(D291,'Vũ khí đề xuất'!$A:$AO,27,0),"")</f>
        <v/>
      </c>
      <c r="H291" s="51">
        <f>IFERROR(VLOOKUP(D291,'Vũ khí đề xuất'!$A:$AO,28,0),"")</f>
        <v/>
      </c>
      <c r="I291" s="51">
        <f>IFERROR(VLOOKUP(D291,'Vũ khí đề xuất'!$A:$AO,30,0),"")</f>
        <v/>
      </c>
      <c r="J291" s="51">
        <f>IFERROR(VLOOKUP(D291,'Vũ khí đề xuất'!$A:$AO,32,0),"")</f>
        <v/>
      </c>
      <c r="K291" s="51">
        <f>IFERROR(VLOOKUP(D291,'Vũ khí đề xuất'!$A:$AO,35,0),"")</f>
        <v/>
      </c>
      <c r="L291" s="51">
        <f>IFERROR(VLOOKUP(D291,'Vũ khí đề xuất'!$A:$AO,36,0),"")</f>
        <v/>
      </c>
      <c r="M291" s="41" t="n"/>
    </row>
    <row r="292" ht="15" customHeight="1" s="32">
      <c r="A292" s="39" t="inlineStr">
        <is>
          <t>leviathan</t>
        </is>
      </c>
      <c r="B292" s="39" t="inlineStr">
        <is>
          <t>Leviathan · Thiết giáp hạm</t>
        </is>
      </c>
      <c r="C292" s="39" t="inlineStr">
        <is>
          <t>Boss</t>
        </is>
      </c>
      <c r="D292" s="39" t="inlineStr">
        <is>
          <t>hover_ciws</t>
        </is>
      </c>
      <c r="E292" s="39" t="inlineStr">
        <is>
          <t>AK-630 30 mm</t>
        </is>
      </c>
      <c r="F292" s="42" t="n">
        <v>1</v>
      </c>
      <c r="G292" s="50">
        <f>IFERROR(VLOOKUP(D292,'Vũ khí đề xuất'!$A:$AO,27,0),"")</f>
        <v/>
      </c>
      <c r="H292" s="50">
        <f>IFERROR(VLOOKUP(D292,'Vũ khí đề xuất'!$A:$AO,28,0),"")</f>
        <v/>
      </c>
      <c r="I292" s="50">
        <f>IFERROR(VLOOKUP(D292,'Vũ khí đề xuất'!$A:$AO,30,0),"")</f>
        <v/>
      </c>
      <c r="J292" s="50">
        <f>IFERROR(VLOOKUP(D292,'Vũ khí đề xuất'!$A:$AO,32,0),"")</f>
        <v/>
      </c>
      <c r="K292" s="50">
        <f>IFERROR(VLOOKUP(D292,'Vũ khí đề xuất'!$A:$AO,35,0),"")</f>
        <v/>
      </c>
      <c r="L292" s="50">
        <f>IFERROR(VLOOKUP(D292,'Vũ khí đề xuất'!$A:$AO,36,0),"")</f>
        <v/>
      </c>
      <c r="M292" s="39" t="n"/>
    </row>
    <row r="293" ht="15" customHeight="1" s="32">
      <c r="A293" s="41" t="inlineStr">
        <is>
          <t>leviathan</t>
        </is>
      </c>
      <c r="B293" s="41" t="inlineStr">
        <is>
          <t>Leviathan · Thiết giáp hạm</t>
        </is>
      </c>
      <c r="C293" s="41" t="inlineStr">
        <is>
          <t>Boss</t>
        </is>
      </c>
      <c r="D293" s="41" t="inlineStr">
        <is>
          <t>hover_ciws</t>
        </is>
      </c>
      <c r="E293" s="41" t="inlineStr">
        <is>
          <t>AK-630 30 mm</t>
        </is>
      </c>
      <c r="F293" s="43" t="n">
        <v>1</v>
      </c>
      <c r="G293" s="51">
        <f>IFERROR(VLOOKUP(D293,'Vũ khí đề xuất'!$A:$AO,27,0),"")</f>
        <v/>
      </c>
      <c r="H293" s="51">
        <f>IFERROR(VLOOKUP(D293,'Vũ khí đề xuất'!$A:$AO,28,0),"")</f>
        <v/>
      </c>
      <c r="I293" s="51">
        <f>IFERROR(VLOOKUP(D293,'Vũ khí đề xuất'!$A:$AO,30,0),"")</f>
        <v/>
      </c>
      <c r="J293" s="51">
        <f>IFERROR(VLOOKUP(D293,'Vũ khí đề xuất'!$A:$AO,32,0),"")</f>
        <v/>
      </c>
      <c r="K293" s="51">
        <f>IFERROR(VLOOKUP(D293,'Vũ khí đề xuất'!$A:$AO,35,0),"")</f>
        <v/>
      </c>
      <c r="L293" s="51">
        <f>IFERROR(VLOOKUP(D293,'Vũ khí đề xuất'!$A:$AO,36,0),"")</f>
        <v/>
      </c>
      <c r="M293" s="41" t="n"/>
    </row>
    <row r="294" ht="15" customHeight="1" s="32">
      <c r="A294" s="39" t="inlineStr">
        <is>
          <t>leviathan</t>
        </is>
      </c>
      <c r="B294" s="39" t="inlineStr">
        <is>
          <t>Leviathan · Thiết giáp hạm</t>
        </is>
      </c>
      <c r="C294" s="39" t="inlineStr">
        <is>
          <t>Boss</t>
        </is>
      </c>
      <c r="D294" s="39" t="inlineStr">
        <is>
          <t>aa_25_triple</t>
        </is>
      </c>
      <c r="E294" s="39" t="inlineStr">
        <is>
          <t>Type 96 25 mm (triple)</t>
        </is>
      </c>
      <c r="F294" s="42" t="n">
        <v>1</v>
      </c>
      <c r="G294" s="50">
        <f>IFERROR(VLOOKUP(D294,'Vũ khí đề xuất'!$A:$AO,27,0),"")</f>
        <v/>
      </c>
      <c r="H294" s="50">
        <f>IFERROR(VLOOKUP(D294,'Vũ khí đề xuất'!$A:$AO,28,0),"")</f>
        <v/>
      </c>
      <c r="I294" s="50">
        <f>IFERROR(VLOOKUP(D294,'Vũ khí đề xuất'!$A:$AO,30,0),"")</f>
        <v/>
      </c>
      <c r="J294" s="50">
        <f>IFERROR(VLOOKUP(D294,'Vũ khí đề xuất'!$A:$AO,32,0),"")</f>
        <v/>
      </c>
      <c r="K294" s="50">
        <f>IFERROR(VLOOKUP(D294,'Vũ khí đề xuất'!$A:$AO,35,0),"")</f>
        <v/>
      </c>
      <c r="L294" s="50">
        <f>IFERROR(VLOOKUP(D294,'Vũ khí đề xuất'!$A:$AO,36,0),"")</f>
        <v/>
      </c>
      <c r="M294" s="39" t="n"/>
    </row>
    <row r="295" ht="15" customHeight="1" s="32">
      <c r="A295" s="41" t="inlineStr">
        <is>
          <t>leviathan</t>
        </is>
      </c>
      <c r="B295" s="41" t="inlineStr">
        <is>
          <t>Leviathan · Thiết giáp hạm</t>
        </is>
      </c>
      <c r="C295" s="41" t="inlineStr">
        <is>
          <t>Boss</t>
        </is>
      </c>
      <c r="D295" s="41" t="inlineStr">
        <is>
          <t>aa_25_triple</t>
        </is>
      </c>
      <c r="E295" s="41" t="inlineStr">
        <is>
          <t>Type 96 25 mm (triple)</t>
        </is>
      </c>
      <c r="F295" s="43" t="n">
        <v>1</v>
      </c>
      <c r="G295" s="51">
        <f>IFERROR(VLOOKUP(D295,'Vũ khí đề xuất'!$A:$AO,27,0),"")</f>
        <v/>
      </c>
      <c r="H295" s="51">
        <f>IFERROR(VLOOKUP(D295,'Vũ khí đề xuất'!$A:$AO,28,0),"")</f>
        <v/>
      </c>
      <c r="I295" s="51">
        <f>IFERROR(VLOOKUP(D295,'Vũ khí đề xuất'!$A:$AO,30,0),"")</f>
        <v/>
      </c>
      <c r="J295" s="51">
        <f>IFERROR(VLOOKUP(D295,'Vũ khí đề xuất'!$A:$AO,32,0),"")</f>
        <v/>
      </c>
      <c r="K295" s="51">
        <f>IFERROR(VLOOKUP(D295,'Vũ khí đề xuất'!$A:$AO,35,0),"")</f>
        <v/>
      </c>
      <c r="L295" s="51">
        <f>IFERROR(VLOOKUP(D295,'Vũ khí đề xuất'!$A:$AO,36,0),"")</f>
        <v/>
      </c>
      <c r="M295" s="41" t="n"/>
    </row>
    <row r="296" ht="15" customHeight="1" s="32">
      <c r="A296" s="39" t="inlineStr">
        <is>
          <t>leviathan</t>
        </is>
      </c>
      <c r="B296" s="39" t="inlineStr">
        <is>
          <t>Leviathan · Thiết giáp hạm</t>
        </is>
      </c>
      <c r="C296" s="39" t="inlineStr">
        <is>
          <t>Boss</t>
        </is>
      </c>
      <c r="D296" s="39" t="inlineStr">
        <is>
          <t>aa_25_triple</t>
        </is>
      </c>
      <c r="E296" s="39" t="inlineStr">
        <is>
          <t>Type 96 25 mm (triple)</t>
        </is>
      </c>
      <c r="F296" s="42" t="n">
        <v>1</v>
      </c>
      <c r="G296" s="50">
        <f>IFERROR(VLOOKUP(D296,'Vũ khí đề xuất'!$A:$AO,27,0),"")</f>
        <v/>
      </c>
      <c r="H296" s="50">
        <f>IFERROR(VLOOKUP(D296,'Vũ khí đề xuất'!$A:$AO,28,0),"")</f>
        <v/>
      </c>
      <c r="I296" s="50">
        <f>IFERROR(VLOOKUP(D296,'Vũ khí đề xuất'!$A:$AO,30,0),"")</f>
        <v/>
      </c>
      <c r="J296" s="50">
        <f>IFERROR(VLOOKUP(D296,'Vũ khí đề xuất'!$A:$AO,32,0),"")</f>
        <v/>
      </c>
      <c r="K296" s="50">
        <f>IFERROR(VLOOKUP(D296,'Vũ khí đề xuất'!$A:$AO,35,0),"")</f>
        <v/>
      </c>
      <c r="L296" s="50">
        <f>IFERROR(VLOOKUP(D296,'Vũ khí đề xuất'!$A:$AO,36,0),"")</f>
        <v/>
      </c>
      <c r="M296" s="39" t="n"/>
    </row>
    <row r="297" ht="15" customHeight="1" s="32">
      <c r="A297" s="41" t="inlineStr">
        <is>
          <t>leviathan</t>
        </is>
      </c>
      <c r="B297" s="41" t="inlineStr">
        <is>
          <t>Leviathan · Thiết giáp hạm</t>
        </is>
      </c>
      <c r="C297" s="41" t="inlineStr">
        <is>
          <t>Boss</t>
        </is>
      </c>
      <c r="D297" s="41" t="inlineStr">
        <is>
          <t>aa_25_triple</t>
        </is>
      </c>
      <c r="E297" s="41" t="inlineStr">
        <is>
          <t>Type 96 25 mm (triple)</t>
        </is>
      </c>
      <c r="F297" s="43" t="n">
        <v>1</v>
      </c>
      <c r="G297" s="51">
        <f>IFERROR(VLOOKUP(D297,'Vũ khí đề xuất'!$A:$AO,27,0),"")</f>
        <v/>
      </c>
      <c r="H297" s="51">
        <f>IFERROR(VLOOKUP(D297,'Vũ khí đề xuất'!$A:$AO,28,0),"")</f>
        <v/>
      </c>
      <c r="I297" s="51">
        <f>IFERROR(VLOOKUP(D297,'Vũ khí đề xuất'!$A:$AO,30,0),"")</f>
        <v/>
      </c>
      <c r="J297" s="51">
        <f>IFERROR(VLOOKUP(D297,'Vũ khí đề xuất'!$A:$AO,32,0),"")</f>
        <v/>
      </c>
      <c r="K297" s="51">
        <f>IFERROR(VLOOKUP(D297,'Vũ khí đề xuất'!$A:$AO,35,0),"")</f>
        <v/>
      </c>
      <c r="L297" s="51">
        <f>IFERROR(VLOOKUP(D297,'Vũ khí đề xuất'!$A:$AO,36,0),"")</f>
        <v/>
      </c>
      <c r="M297" s="41" t="n"/>
    </row>
    <row r="298" ht="15" customHeight="1" s="32">
      <c r="A298" s="39" t="inlineStr">
        <is>
          <t>leviathan</t>
        </is>
      </c>
      <c r="B298" s="39" t="inlineStr">
        <is>
          <t>Leviathan · Thiết giáp hạm</t>
        </is>
      </c>
      <c r="C298" s="39" t="inlineStr">
        <is>
          <t>Boss</t>
        </is>
      </c>
      <c r="D298" s="39" t="inlineStr">
        <is>
          <t>aa_25_triple</t>
        </is>
      </c>
      <c r="E298" s="39" t="inlineStr">
        <is>
          <t>Type 96 25 mm (triple)</t>
        </is>
      </c>
      <c r="F298" s="42" t="n">
        <v>1</v>
      </c>
      <c r="G298" s="50">
        <f>IFERROR(VLOOKUP(D298,'Vũ khí đề xuất'!$A:$AO,27,0),"")</f>
        <v/>
      </c>
      <c r="H298" s="50">
        <f>IFERROR(VLOOKUP(D298,'Vũ khí đề xuất'!$A:$AO,28,0),"")</f>
        <v/>
      </c>
      <c r="I298" s="50">
        <f>IFERROR(VLOOKUP(D298,'Vũ khí đề xuất'!$A:$AO,30,0),"")</f>
        <v/>
      </c>
      <c r="J298" s="50">
        <f>IFERROR(VLOOKUP(D298,'Vũ khí đề xuất'!$A:$AO,32,0),"")</f>
        <v/>
      </c>
      <c r="K298" s="50">
        <f>IFERROR(VLOOKUP(D298,'Vũ khí đề xuất'!$A:$AO,35,0),"")</f>
        <v/>
      </c>
      <c r="L298" s="50">
        <f>IFERROR(VLOOKUP(D298,'Vũ khí đề xuất'!$A:$AO,36,0),"")</f>
        <v/>
      </c>
      <c r="M298" s="39" t="n"/>
    </row>
    <row r="299" ht="15" customHeight="1" s="32">
      <c r="A299" s="41" t="inlineStr">
        <is>
          <t>leviathan</t>
        </is>
      </c>
      <c r="B299" s="41" t="inlineStr">
        <is>
          <t>Leviathan · Thiết giáp hạm</t>
        </is>
      </c>
      <c r="C299" s="41" t="inlineStr">
        <is>
          <t>Boss</t>
        </is>
      </c>
      <c r="D299" s="41" t="inlineStr">
        <is>
          <t>aa_25_triple</t>
        </is>
      </c>
      <c r="E299" s="41" t="inlineStr">
        <is>
          <t>Type 96 25 mm (triple)</t>
        </is>
      </c>
      <c r="F299" s="43" t="n">
        <v>1</v>
      </c>
      <c r="G299" s="51">
        <f>IFERROR(VLOOKUP(D299,'Vũ khí đề xuất'!$A:$AO,27,0),"")</f>
        <v/>
      </c>
      <c r="H299" s="51">
        <f>IFERROR(VLOOKUP(D299,'Vũ khí đề xuất'!$A:$AO,28,0),"")</f>
        <v/>
      </c>
      <c r="I299" s="51">
        <f>IFERROR(VLOOKUP(D299,'Vũ khí đề xuất'!$A:$AO,30,0),"")</f>
        <v/>
      </c>
      <c r="J299" s="51">
        <f>IFERROR(VLOOKUP(D299,'Vũ khí đề xuất'!$A:$AO,32,0),"")</f>
        <v/>
      </c>
      <c r="K299" s="51">
        <f>IFERROR(VLOOKUP(D299,'Vũ khí đề xuất'!$A:$AO,35,0),"")</f>
        <v/>
      </c>
      <c r="L299" s="51">
        <f>IFERROR(VLOOKUP(D299,'Vũ khí đề xuất'!$A:$AO,36,0),"")</f>
        <v/>
      </c>
      <c r="M299" s="41" t="n"/>
    </row>
    <row r="300" ht="15" customHeight="1" s="32">
      <c r="A300" s="39" t="inlineStr">
        <is>
          <t>leviathan</t>
        </is>
      </c>
      <c r="B300" s="39" t="inlineStr">
        <is>
          <t>Leviathan · Thiết giáp hạm</t>
        </is>
      </c>
      <c r="C300" s="39" t="inlineStr">
        <is>
          <t>Boss</t>
        </is>
      </c>
      <c r="D300" s="39" t="inlineStr">
        <is>
          <t>aa_25_triple</t>
        </is>
      </c>
      <c r="E300" s="39" t="inlineStr">
        <is>
          <t>Type 96 25 mm (triple)</t>
        </is>
      </c>
      <c r="F300" s="42" t="n">
        <v>1</v>
      </c>
      <c r="G300" s="50">
        <f>IFERROR(VLOOKUP(D300,'Vũ khí đề xuất'!$A:$AO,27,0),"")</f>
        <v/>
      </c>
      <c r="H300" s="50">
        <f>IFERROR(VLOOKUP(D300,'Vũ khí đề xuất'!$A:$AO,28,0),"")</f>
        <v/>
      </c>
      <c r="I300" s="50">
        <f>IFERROR(VLOOKUP(D300,'Vũ khí đề xuất'!$A:$AO,30,0),"")</f>
        <v/>
      </c>
      <c r="J300" s="50">
        <f>IFERROR(VLOOKUP(D300,'Vũ khí đề xuất'!$A:$AO,32,0),"")</f>
        <v/>
      </c>
      <c r="K300" s="50">
        <f>IFERROR(VLOOKUP(D300,'Vũ khí đề xuất'!$A:$AO,35,0),"")</f>
        <v/>
      </c>
      <c r="L300" s="50">
        <f>IFERROR(VLOOKUP(D300,'Vũ khí đề xuất'!$A:$AO,36,0),"")</f>
        <v/>
      </c>
      <c r="M300" s="39" t="n"/>
    </row>
    <row r="301" ht="15" customHeight="1" s="32">
      <c r="A301" s="41" t="inlineStr">
        <is>
          <t>leviathan</t>
        </is>
      </c>
      <c r="B301" s="41" t="inlineStr">
        <is>
          <t>Leviathan · Thiết giáp hạm</t>
        </is>
      </c>
      <c r="C301" s="41" t="inlineStr">
        <is>
          <t>Boss</t>
        </is>
      </c>
      <c r="D301" s="41" t="inlineStr">
        <is>
          <t>aa_25_triple</t>
        </is>
      </c>
      <c r="E301" s="41" t="inlineStr">
        <is>
          <t>Type 96 25 mm (triple)</t>
        </is>
      </c>
      <c r="F301" s="43" t="n">
        <v>1</v>
      </c>
      <c r="G301" s="51">
        <f>IFERROR(VLOOKUP(D301,'Vũ khí đề xuất'!$A:$AO,27,0),"")</f>
        <v/>
      </c>
      <c r="H301" s="51">
        <f>IFERROR(VLOOKUP(D301,'Vũ khí đề xuất'!$A:$AO,28,0),"")</f>
        <v/>
      </c>
      <c r="I301" s="51">
        <f>IFERROR(VLOOKUP(D301,'Vũ khí đề xuất'!$A:$AO,30,0),"")</f>
        <v/>
      </c>
      <c r="J301" s="51">
        <f>IFERROR(VLOOKUP(D301,'Vũ khí đề xuất'!$A:$AO,32,0),"")</f>
        <v/>
      </c>
      <c r="K301" s="51">
        <f>IFERROR(VLOOKUP(D301,'Vũ khí đề xuất'!$A:$AO,35,0),"")</f>
        <v/>
      </c>
      <c r="L301" s="51">
        <f>IFERROR(VLOOKUP(D301,'Vũ khí đề xuất'!$A:$AO,36,0),"")</f>
        <v/>
      </c>
      <c r="M301" s="41" t="n"/>
    </row>
    <row r="302" ht="15" customHeight="1" s="32">
      <c r="A302" s="39" t="inlineStr">
        <is>
          <t>drone_mothership</t>
        </is>
      </c>
      <c r="B302" s="39" t="inlineStr">
        <is>
          <t>Matriarch · Tàu mẹ drone</t>
        </is>
      </c>
      <c r="C302" s="39" t="inlineStr">
        <is>
          <t>Boss</t>
        </is>
      </c>
      <c r="D302" s="39" t="inlineStr">
        <is>
          <t>mothership_cannon</t>
        </is>
      </c>
      <c r="E302" s="39" t="inlineStr">
        <is>
          <t>AU-220 57 mm</t>
        </is>
      </c>
      <c r="F302" s="42" t="n">
        <v>1</v>
      </c>
      <c r="G302" s="50">
        <f>IFERROR(VLOOKUP(D302,'Vũ khí đề xuất'!$A:$AO,27,0),"")</f>
        <v/>
      </c>
      <c r="H302" s="50">
        <f>IFERROR(VLOOKUP(D302,'Vũ khí đề xuất'!$A:$AO,28,0),"")</f>
        <v/>
      </c>
      <c r="I302" s="50">
        <f>IFERROR(VLOOKUP(D302,'Vũ khí đề xuất'!$A:$AO,30,0),"")</f>
        <v/>
      </c>
      <c r="J302" s="50">
        <f>IFERROR(VLOOKUP(D302,'Vũ khí đề xuất'!$A:$AO,32,0),"")</f>
        <v/>
      </c>
      <c r="K302" s="50">
        <f>IFERROR(VLOOKUP(D302,'Vũ khí đề xuất'!$A:$AO,35,0),"")</f>
        <v/>
      </c>
      <c r="L302" s="50">
        <f>IFERROR(VLOOKUP(D302,'Vũ khí đề xuất'!$A:$AO,36,0),"")</f>
        <v/>
      </c>
      <c r="M302" s="39" t="n"/>
    </row>
    <row r="303" ht="15" customHeight="1" s="32">
      <c r="A303" s="41" t="inlineStr">
        <is>
          <t>drone_mothership</t>
        </is>
      </c>
      <c r="B303" s="41" t="inlineStr">
        <is>
          <t>Matriarch · Tàu mẹ drone</t>
        </is>
      </c>
      <c r="C303" s="41" t="inlineStr">
        <is>
          <t>Boss</t>
        </is>
      </c>
      <c r="D303" s="41" t="inlineStr">
        <is>
          <t>mothership_drones</t>
        </is>
      </c>
      <c r="E303" s="41" t="inlineStr">
        <is>
          <t>ZALA Lancet-3 (3 kg)</t>
        </is>
      </c>
      <c r="F303" s="43" t="n">
        <v>1</v>
      </c>
      <c r="G303" s="51">
        <f>IFERROR(VLOOKUP(D303,'Vũ khí đề xuất'!$A:$AO,27,0),"")</f>
        <v/>
      </c>
      <c r="H303" s="51">
        <f>IFERROR(VLOOKUP(D303,'Vũ khí đề xuất'!$A:$AO,28,0),"")</f>
        <v/>
      </c>
      <c r="I303" s="51">
        <f>IFERROR(VLOOKUP(D303,'Vũ khí đề xuất'!$A:$AO,30,0),"")</f>
        <v/>
      </c>
      <c r="J303" s="51">
        <f>IFERROR(VLOOKUP(D303,'Vũ khí đề xuất'!$A:$AO,32,0),"")</f>
        <v/>
      </c>
      <c r="K303" s="51">
        <f>IFERROR(VLOOKUP(D303,'Vũ khí đề xuất'!$A:$AO,35,0),"")</f>
        <v/>
      </c>
      <c r="L303" s="51">
        <f>IFERROR(VLOOKUP(D303,'Vũ khí đề xuất'!$A:$AO,36,0),"")</f>
        <v/>
      </c>
      <c r="M303" s="41" t="n"/>
    </row>
    <row r="304" ht="15" customHeight="1" s="32">
      <c r="A304" s="39" t="inlineStr">
        <is>
          <t>drone_mothership</t>
        </is>
      </c>
      <c r="B304" s="39" t="inlineStr">
        <is>
          <t>Matriarch · Tàu mẹ drone</t>
        </is>
      </c>
      <c r="C304" s="39" t="inlineStr">
        <is>
          <t>Boss</t>
        </is>
      </c>
      <c r="D304" s="39" t="inlineStr">
        <is>
          <t>boss_flak</t>
        </is>
      </c>
      <c r="E304" s="39" t="inlineStr">
        <is>
          <t>Oerlikon 35 mm (twin)</t>
        </is>
      </c>
      <c r="F304" s="42" t="n">
        <v>1</v>
      </c>
      <c r="G304" s="50">
        <f>IFERROR(VLOOKUP(D304,'Vũ khí đề xuất'!$A:$AO,27,0),"")</f>
        <v/>
      </c>
      <c r="H304" s="50">
        <f>IFERROR(VLOOKUP(D304,'Vũ khí đề xuất'!$A:$AO,28,0),"")</f>
        <v/>
      </c>
      <c r="I304" s="50">
        <f>IFERROR(VLOOKUP(D304,'Vũ khí đề xuất'!$A:$AO,30,0),"")</f>
        <v/>
      </c>
      <c r="J304" s="50">
        <f>IFERROR(VLOOKUP(D304,'Vũ khí đề xuất'!$A:$AO,32,0),"")</f>
        <v/>
      </c>
      <c r="K304" s="50">
        <f>IFERROR(VLOOKUP(D304,'Vũ khí đề xuất'!$A:$AO,35,0),"")</f>
        <v/>
      </c>
      <c r="L304" s="50">
        <f>IFERROR(VLOOKUP(D304,'Vũ khí đề xuất'!$A:$AO,36,0),"")</f>
        <v/>
      </c>
      <c r="M304" s="39" t="n"/>
    </row>
    <row r="305" ht="15" customHeight="1" s="32">
      <c r="A305" s="41" t="inlineStr">
        <is>
          <t>drone_mothership</t>
        </is>
      </c>
      <c r="B305" s="41" t="inlineStr">
        <is>
          <t>Matriarch · Tàu mẹ drone</t>
        </is>
      </c>
      <c r="C305" s="41" t="inlineStr">
        <is>
          <t>Boss</t>
        </is>
      </c>
      <c r="D305" s="41" t="inlineStr">
        <is>
          <t>boss_flak</t>
        </is>
      </c>
      <c r="E305" s="41" t="inlineStr">
        <is>
          <t>Oerlikon 35 mm (twin)</t>
        </is>
      </c>
      <c r="F305" s="43" t="n">
        <v>1</v>
      </c>
      <c r="G305" s="51">
        <f>IFERROR(VLOOKUP(D305,'Vũ khí đề xuất'!$A:$AO,27,0),"")</f>
        <v/>
      </c>
      <c r="H305" s="51">
        <f>IFERROR(VLOOKUP(D305,'Vũ khí đề xuất'!$A:$AO,28,0),"")</f>
        <v/>
      </c>
      <c r="I305" s="51">
        <f>IFERROR(VLOOKUP(D305,'Vũ khí đề xuất'!$A:$AO,30,0),"")</f>
        <v/>
      </c>
      <c r="J305" s="51">
        <f>IFERROR(VLOOKUP(D305,'Vũ khí đề xuất'!$A:$AO,32,0),"")</f>
        <v/>
      </c>
      <c r="K305" s="51">
        <f>IFERROR(VLOOKUP(D305,'Vũ khí đề xuất'!$A:$AO,35,0),"")</f>
        <v/>
      </c>
      <c r="L305" s="51">
        <f>IFERROR(VLOOKUP(D305,'Vũ khí đề xuất'!$A:$AO,36,0),"")</f>
        <v/>
      </c>
      <c r="M305" s="41" t="n"/>
    </row>
    <row r="306" ht="15" customHeight="1" s="32">
      <c r="A306" s="39" t="inlineStr">
        <is>
          <t>drone_mothership</t>
        </is>
      </c>
      <c r="B306" s="39" t="inlineStr">
        <is>
          <t>Matriarch · Tàu mẹ drone</t>
        </is>
      </c>
      <c r="C306" s="39" t="inlineStr">
        <is>
          <t>Boss</t>
        </is>
      </c>
      <c r="D306" s="39" t="inlineStr">
        <is>
          <t>mothership_cannon</t>
        </is>
      </c>
      <c r="E306" s="39" t="inlineStr">
        <is>
          <t>AU-220 57 mm</t>
        </is>
      </c>
      <c r="F306" s="42" t="n">
        <v>1</v>
      </c>
      <c r="G306" s="50">
        <f>IFERROR(VLOOKUP(D306,'Vũ khí đề xuất'!$A:$AO,27,0),"")</f>
        <v/>
      </c>
      <c r="H306" s="50">
        <f>IFERROR(VLOOKUP(D306,'Vũ khí đề xuất'!$A:$AO,28,0),"")</f>
        <v/>
      </c>
      <c r="I306" s="50">
        <f>IFERROR(VLOOKUP(D306,'Vũ khí đề xuất'!$A:$AO,30,0),"")</f>
        <v/>
      </c>
      <c r="J306" s="50">
        <f>IFERROR(VLOOKUP(D306,'Vũ khí đề xuất'!$A:$AO,32,0),"")</f>
        <v/>
      </c>
      <c r="K306" s="50">
        <f>IFERROR(VLOOKUP(D306,'Vũ khí đề xuất'!$A:$AO,35,0),"")</f>
        <v/>
      </c>
      <c r="L306" s="50">
        <f>IFERROR(VLOOKUP(D306,'Vũ khí đề xuất'!$A:$AO,36,0),"")</f>
        <v/>
      </c>
      <c r="M306" s="39" t="n"/>
    </row>
    <row r="307" ht="15" customHeight="1" s="32">
      <c r="A307" s="41" t="inlineStr">
        <is>
          <t>drone_mothership</t>
        </is>
      </c>
      <c r="B307" s="41" t="inlineStr">
        <is>
          <t>Matriarch · Tàu mẹ drone</t>
        </is>
      </c>
      <c r="C307" s="41" t="inlineStr">
        <is>
          <t>Boss</t>
        </is>
      </c>
      <c r="D307" s="41" t="inlineStr">
        <is>
          <t>autocannon_30</t>
        </is>
      </c>
      <c r="E307" s="41" t="inlineStr">
        <is>
          <t>2A42 30 mm</t>
        </is>
      </c>
      <c r="F307" s="43" t="n">
        <v>1</v>
      </c>
      <c r="G307" s="51">
        <f>IFERROR(VLOOKUP(D307,'Vũ khí đề xuất'!$A:$AO,27,0),"")</f>
        <v/>
      </c>
      <c r="H307" s="51">
        <f>IFERROR(VLOOKUP(D307,'Vũ khí đề xuất'!$A:$AO,28,0),"")</f>
        <v/>
      </c>
      <c r="I307" s="51">
        <f>IFERROR(VLOOKUP(D307,'Vũ khí đề xuất'!$A:$AO,30,0),"")</f>
        <v/>
      </c>
      <c r="J307" s="51">
        <f>IFERROR(VLOOKUP(D307,'Vũ khí đề xuất'!$A:$AO,32,0),"")</f>
        <v/>
      </c>
      <c r="K307" s="51">
        <f>IFERROR(VLOOKUP(D307,'Vũ khí đề xuất'!$A:$AO,35,0),"")</f>
        <v/>
      </c>
      <c r="L307" s="51">
        <f>IFERROR(VLOOKUP(D307,'Vũ khí đề xuất'!$A:$AO,36,0),"")</f>
        <v/>
      </c>
      <c r="M307" s="41" t="n"/>
    </row>
    <row r="308" ht="15" customHeight="1" s="32">
      <c r="A308" s="39" t="inlineStr">
        <is>
          <t>drone_mothership</t>
        </is>
      </c>
      <c r="B308" s="39" t="inlineStr">
        <is>
          <t>Matriarch · Tàu mẹ drone</t>
        </is>
      </c>
      <c r="C308" s="39" t="inlineStr">
        <is>
          <t>Boss</t>
        </is>
      </c>
      <c r="D308" s="39" t="inlineStr">
        <is>
          <t>autocannon_30</t>
        </is>
      </c>
      <c r="E308" s="39" t="inlineStr">
        <is>
          <t>2A42 30 mm</t>
        </is>
      </c>
      <c r="F308" s="42" t="n">
        <v>1</v>
      </c>
      <c r="G308" s="50">
        <f>IFERROR(VLOOKUP(D308,'Vũ khí đề xuất'!$A:$AO,27,0),"")</f>
        <v/>
      </c>
      <c r="H308" s="50">
        <f>IFERROR(VLOOKUP(D308,'Vũ khí đề xuất'!$A:$AO,28,0),"")</f>
        <v/>
      </c>
      <c r="I308" s="50">
        <f>IFERROR(VLOOKUP(D308,'Vũ khí đề xuất'!$A:$AO,30,0),"")</f>
        <v/>
      </c>
      <c r="J308" s="50">
        <f>IFERROR(VLOOKUP(D308,'Vũ khí đề xuất'!$A:$AO,32,0),"")</f>
        <v/>
      </c>
      <c r="K308" s="50">
        <f>IFERROR(VLOOKUP(D308,'Vũ khí đề xuất'!$A:$AO,35,0),"")</f>
        <v/>
      </c>
      <c r="L308" s="50">
        <f>IFERROR(VLOOKUP(D308,'Vũ khí đề xuất'!$A:$AO,36,0),"")</f>
        <v/>
      </c>
      <c r="M308" s="39" t="n"/>
    </row>
    <row r="309" ht="15" customHeight="1" s="32">
      <c r="A309" s="41" t="inlineStr">
        <is>
          <t>drone_mothership</t>
        </is>
      </c>
      <c r="B309" s="41" t="inlineStr">
        <is>
          <t>Matriarch · Tàu mẹ drone</t>
        </is>
      </c>
      <c r="C309" s="41" t="inlineStr">
        <is>
          <t>Boss</t>
        </is>
      </c>
      <c r="D309" s="41" t="inlineStr">
        <is>
          <t>mothership_drones</t>
        </is>
      </c>
      <c r="E309" s="41" t="inlineStr">
        <is>
          <t>ZALA Lancet-3 (3 kg)</t>
        </is>
      </c>
      <c r="F309" s="43" t="n">
        <v>1</v>
      </c>
      <c r="G309" s="51">
        <f>IFERROR(VLOOKUP(D309,'Vũ khí đề xuất'!$A:$AO,27,0),"")</f>
        <v/>
      </c>
      <c r="H309" s="51">
        <f>IFERROR(VLOOKUP(D309,'Vũ khí đề xuất'!$A:$AO,28,0),"")</f>
        <v/>
      </c>
      <c r="I309" s="51">
        <f>IFERROR(VLOOKUP(D309,'Vũ khí đề xuất'!$A:$AO,30,0),"")</f>
        <v/>
      </c>
      <c r="J309" s="51">
        <f>IFERROR(VLOOKUP(D309,'Vũ khí đề xuất'!$A:$AO,32,0),"")</f>
        <v/>
      </c>
      <c r="K309" s="51">
        <f>IFERROR(VLOOKUP(D309,'Vũ khí đề xuất'!$A:$AO,35,0),"")</f>
        <v/>
      </c>
      <c r="L309" s="51">
        <f>IFERROR(VLOOKUP(D309,'Vũ khí đề xuất'!$A:$AO,36,0),"")</f>
        <v/>
      </c>
      <c r="M309" s="41" t="n"/>
    </row>
    <row r="310" ht="21.75" customHeight="1" s="32">
      <c r="A310" s="39" t="inlineStr">
        <is>
          <t>swarm_carrier</t>
        </is>
      </c>
      <c r="B310" s="39" t="inlineStr">
        <is>
          <t>Máy bay mẹ thả drone</t>
        </is>
      </c>
      <c r="C310" s="39" t="inlineStr">
        <is>
          <t>Xe</t>
        </is>
      </c>
      <c r="D310" s="39" t="inlineStr">
        <is>
          <t>jassm</t>
        </is>
      </c>
      <c r="E310" s="39" t="inlineStr">
        <is>
          <t>Rapid Dragon (tên lửa hành trình thả từ khoang)</t>
        </is>
      </c>
      <c r="F310" s="42" t="n">
        <v>1</v>
      </c>
      <c r="G310" s="50">
        <f>IFERROR(VLOOKUP(D310,'Vũ khí đề xuất'!$A:$AO,27,0),"")</f>
        <v/>
      </c>
      <c r="H310" s="50">
        <f>IFERROR(VLOOKUP(D310,'Vũ khí đề xuất'!$A:$AO,28,0),"")</f>
        <v/>
      </c>
      <c r="I310" s="50">
        <f>IFERROR(VLOOKUP(D310,'Vũ khí đề xuất'!$A:$AO,30,0),"")</f>
        <v/>
      </c>
      <c r="J310" s="50">
        <f>IFERROR(VLOOKUP(D310,'Vũ khí đề xuất'!$A:$AO,32,0),"")</f>
        <v/>
      </c>
      <c r="K310" s="50">
        <f>IFERROR(VLOOKUP(D310,'Vũ khí đề xuất'!$A:$AO,35,0),"")</f>
        <v/>
      </c>
      <c r="L310" s="50">
        <f>IFERROR(VLOOKUP(D310,'Vũ khí đề xuất'!$A:$AO,36,0),"")</f>
        <v/>
      </c>
      <c r="M310" s="39" t="inlineStr">
        <is>
          <t>Vũ khí thêm theo đề xuất</t>
        </is>
      </c>
    </row>
    <row r="311" ht="15" customHeight="1" s="32">
      <c r="A311" s="41" t="inlineStr">
        <is>
          <t>wheeled_gun</t>
        </is>
      </c>
      <c r="B311" s="41" t="inlineStr">
        <is>
          <t>Pháo bánh lốp diệt tăng</t>
        </is>
      </c>
      <c r="C311" s="41" t="inlineStr">
        <is>
          <t>Xe</t>
        </is>
      </c>
      <c r="D311" s="41" t="inlineStr">
        <is>
          <t>hmg_roof</t>
        </is>
      </c>
      <c r="E311" s="41" t="inlineStr">
        <is>
          <t>M2 Browning 12.7 mm (thêm)</t>
        </is>
      </c>
      <c r="F311" s="43" t="n">
        <v>1</v>
      </c>
      <c r="G311" s="51">
        <f>IFERROR(VLOOKUP(D311,'Vũ khí đề xuất'!$A:$AO,27,0),"")</f>
        <v/>
      </c>
      <c r="H311" s="51">
        <f>IFERROR(VLOOKUP(D311,'Vũ khí đề xuất'!$A:$AO,28,0),"")</f>
        <v/>
      </c>
      <c r="I311" s="51">
        <f>IFERROR(VLOOKUP(D311,'Vũ khí đề xuất'!$A:$AO,30,0),"")</f>
        <v/>
      </c>
      <c r="J311" s="51">
        <f>IFERROR(VLOOKUP(D311,'Vũ khí đề xuất'!$A:$AO,32,0),"")</f>
        <v/>
      </c>
      <c r="K311" s="51">
        <f>IFERROR(VLOOKUP(D311,'Vũ khí đề xuất'!$A:$AO,35,0),"")</f>
        <v/>
      </c>
      <c r="L311" s="51">
        <f>IFERROR(VLOOKUP(D311,'Vũ khí đề xuất'!$A:$AO,36,0),"")</f>
        <v/>
      </c>
      <c r="M311" s="41" t="inlineStr">
        <is>
          <t>Vũ khí thêm theo đề xuất</t>
        </is>
      </c>
    </row>
  </sheetData>
  <autoFilter ref="A1:M3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M12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30" customWidth="1" style="31" min="2" max="2"/>
    <col width="10" customWidth="1" style="31" min="3" max="3"/>
    <col width="6" customWidth="1" style="31" min="4" max="4"/>
    <col width="9" customWidth="1" style="31" min="5" max="7"/>
    <col width="10" customWidth="1" style="31" min="8" max="8"/>
    <col width="9" customWidth="1" style="31" min="9" max="11"/>
    <col width="10" customWidth="1" style="31" min="12" max="12"/>
    <col width="60" customWidth="1" style="31" min="13" max="13"/>
  </cols>
  <sheetData>
    <row r="1" ht="42" customHeight="1" s="32">
      <c r="A1" s="37" t="inlineStr">
        <is>
          <t>id</t>
        </is>
      </c>
      <c r="B1" s="37" t="inlineStr">
        <is>
          <t>Đơn vị</t>
        </is>
      </c>
      <c r="C1" s="37" t="inlineStr">
        <is>
          <t>Nhóm</t>
        </is>
      </c>
      <c r="D1" s="37" t="inlineStr">
        <is>
          <t>CP</t>
        </is>
      </c>
      <c r="E1" s="44" t="inlineStr">
        <is>
          <t>DPS nhẹ hiện (thẻ)</t>
        </is>
      </c>
      <c r="F1" s="44" t="inlineStr">
        <is>
          <t>DPS nặng hiện (thẻ)</t>
        </is>
      </c>
      <c r="G1" s="44" t="inlineStr">
        <is>
          <t>DPS bay hiện (thẻ)</t>
        </is>
      </c>
      <c r="H1" s="45" t="inlineStr">
        <is>
          <t>DPS đề xuất vs giáp 1</t>
        </is>
      </c>
      <c r="I1" s="37" t="inlineStr">
        <is>
          <t>vs giáp 3</t>
        </is>
      </c>
      <c r="J1" s="37" t="inlineStr">
        <is>
          <t>trên không</t>
        </is>
      </c>
      <c r="K1" s="37" t="inlineStr">
        <is>
          <t>công trình</t>
        </is>
      </c>
      <c r="L1" s="45" t="inlineStr">
        <is>
          <t>DPS đề xuất vs giáp 3 / CP</t>
        </is>
      </c>
      <c r="M1" s="37" t="inlineStr">
        <is>
          <t>Thay đổi bộ vũ khí</t>
        </is>
      </c>
    </row>
    <row r="2" ht="15" customHeight="1" s="32">
      <c r="A2" s="39" t="inlineStr">
        <is>
          <t>hover_gunboat</t>
        </is>
      </c>
      <c r="B2" s="39" t="inlineStr">
        <is>
          <t>Xuồng cao tốc đệm khí</t>
        </is>
      </c>
      <c r="C2" s="39" t="inlineStr">
        <is>
          <t>Xe</t>
        </is>
      </c>
      <c r="D2" s="42" t="n">
        <v>0</v>
      </c>
      <c r="E2" s="42" t="n">
        <v>22</v>
      </c>
      <c r="F2" s="42" t="n">
        <v>11</v>
      </c>
      <c r="G2" s="42" t="n">
        <v>7</v>
      </c>
      <c r="H2" s="54">
        <f>SUMPRODUCT(('Đơn vị – vũ khí'!$A$2:$A$311=A2)*('Đơn vị – vũ khí'!$F$2:$F$311=1)*N(+'Đơn vị – vũ khí'!$I$2:$I$311))</f>
        <v/>
      </c>
      <c r="I2" s="54">
        <f>SUMPRODUCT(('Đơn vị – vũ khí'!$A$2:$A$311=A2)*('Đơn vị – vũ khí'!$F$2:$F$311=1)*N(+'Đơn vị – vũ khí'!$J$2:$J$311))</f>
        <v/>
      </c>
      <c r="J2" s="54">
        <f>SUMPRODUCT(('Đơn vị – vũ khí'!$A$2:$A$311=A2)*('Đơn vị – vũ khí'!$F$2:$F$311=1)*N(+'Đơn vị – vũ khí'!$K$2:$K$311))</f>
        <v/>
      </c>
      <c r="K2" s="54">
        <f>SUMPRODUCT(('Đơn vị – vũ khí'!$A$2:$A$311=A2)*('Đơn vị – vũ khí'!$F$2:$F$311=1)*N(+'Đơn vị – vũ khí'!$L$2:$L$311))</f>
        <v/>
      </c>
      <c r="L2" s="54">
        <f>IFERROR(I2/D2,"")</f>
        <v/>
      </c>
      <c r="M2" s="39" t="n"/>
    </row>
    <row r="3" ht="15" customHeight="1" s="32">
      <c r="A3" s="41" t="inlineStr">
        <is>
          <t>armored_car</t>
        </is>
      </c>
      <c r="B3" s="41" t="inlineStr">
        <is>
          <t>Xe bọc thép</t>
        </is>
      </c>
      <c r="C3" s="41" t="inlineStr">
        <is>
          <t>Xe</t>
        </is>
      </c>
      <c r="D3" s="43" t="n">
        <v>3</v>
      </c>
      <c r="E3" s="43" t="n">
        <v>78</v>
      </c>
      <c r="F3" s="43" t="n">
        <v>32</v>
      </c>
      <c r="G3" s="43" t="n">
        <v>12</v>
      </c>
      <c r="H3" s="55">
        <f>SUMPRODUCT(('Đơn vị – vũ khí'!$A$2:$A$311=A3)*('Đơn vị – vũ khí'!$F$2:$F$311=1)*N(+'Đơn vị – vũ khí'!$I$2:$I$311))</f>
        <v/>
      </c>
      <c r="I3" s="55">
        <f>SUMPRODUCT(('Đơn vị – vũ khí'!$A$2:$A$311=A3)*('Đơn vị – vũ khí'!$F$2:$F$311=1)*N(+'Đơn vị – vũ khí'!$J$2:$J$311))</f>
        <v/>
      </c>
      <c r="J3" s="55">
        <f>SUMPRODUCT(('Đơn vị – vũ khí'!$A$2:$A$311=A3)*('Đơn vị – vũ khí'!$F$2:$F$311=1)*N(+'Đơn vị – vũ khí'!$K$2:$K$311))</f>
        <v/>
      </c>
      <c r="K3" s="55">
        <f>SUMPRODUCT(('Đơn vị – vũ khí'!$A$2:$A$311=A3)*('Đơn vị – vũ khí'!$F$2:$F$311=1)*N(+'Đơn vị – vũ khí'!$L$2:$L$311))</f>
        <v/>
      </c>
      <c r="L3" s="55">
        <f>IFERROR(I3/D3,"")</f>
        <v/>
      </c>
      <c r="M3" s="41" t="n"/>
    </row>
    <row r="4" ht="15" customHeight="1" s="32">
      <c r="A4" s="39" t="inlineStr">
        <is>
          <t>ifv</t>
        </is>
      </c>
      <c r="B4" s="39" t="inlineStr">
        <is>
          <t>Xe chiến đấu bộ binh</t>
        </is>
      </c>
      <c r="C4" s="39" t="inlineStr">
        <is>
          <t>Xe</t>
        </is>
      </c>
      <c r="D4" s="42" t="n">
        <v>6</v>
      </c>
      <c r="E4" s="42" t="n">
        <v>136</v>
      </c>
      <c r="F4" s="42" t="n">
        <v>67</v>
      </c>
      <c r="G4" s="42" t="n">
        <v>12</v>
      </c>
      <c r="H4" s="54">
        <f>SUMPRODUCT(('Đơn vị – vũ khí'!$A$2:$A$311=A4)*('Đơn vị – vũ khí'!$F$2:$F$311=1)*N(+'Đơn vị – vũ khí'!$I$2:$I$311))</f>
        <v/>
      </c>
      <c r="I4" s="54">
        <f>SUMPRODUCT(('Đơn vị – vũ khí'!$A$2:$A$311=A4)*('Đơn vị – vũ khí'!$F$2:$F$311=1)*N(+'Đơn vị – vũ khí'!$J$2:$J$311))</f>
        <v/>
      </c>
      <c r="J4" s="54">
        <f>SUMPRODUCT(('Đơn vị – vũ khí'!$A$2:$A$311=A4)*('Đơn vị – vũ khí'!$F$2:$F$311=1)*N(+'Đơn vị – vũ khí'!$K$2:$K$311))</f>
        <v/>
      </c>
      <c r="K4" s="54">
        <f>SUMPRODUCT(('Đơn vị – vũ khí'!$A$2:$A$311=A4)*('Đơn vị – vũ khí'!$F$2:$F$311=1)*N(+'Đơn vị – vũ khí'!$L$2:$L$311))</f>
        <v/>
      </c>
      <c r="L4" s="54">
        <f>IFERROR(I4/D4,"")</f>
        <v/>
      </c>
      <c r="M4" s="39" t="n"/>
    </row>
    <row r="5" ht="15" customHeight="1" s="32">
      <c r="A5" s="41" t="inlineStr">
        <is>
          <t>supply_truck</t>
        </is>
      </c>
      <c r="B5" s="41" t="inlineStr">
        <is>
          <t>Xe tiếp tế</t>
        </is>
      </c>
      <c r="C5" s="41" t="inlineStr">
        <is>
          <t>Xe</t>
        </is>
      </c>
      <c r="D5" s="43" t="n">
        <v>0</v>
      </c>
      <c r="E5" s="43" t="n">
        <v>46</v>
      </c>
      <c r="F5" s="43" t="n">
        <v>14</v>
      </c>
      <c r="G5" s="43" t="n">
        <v>16</v>
      </c>
      <c r="H5" s="55">
        <f>SUMPRODUCT(('Đơn vị – vũ khí'!$A$2:$A$311=A5)*('Đơn vị – vũ khí'!$F$2:$F$311=1)*N(+'Đơn vị – vũ khí'!$I$2:$I$311))</f>
        <v/>
      </c>
      <c r="I5" s="55">
        <f>SUMPRODUCT(('Đơn vị – vũ khí'!$A$2:$A$311=A5)*('Đơn vị – vũ khí'!$F$2:$F$311=1)*N(+'Đơn vị – vũ khí'!$J$2:$J$311))</f>
        <v/>
      </c>
      <c r="J5" s="55">
        <f>SUMPRODUCT(('Đơn vị – vũ khí'!$A$2:$A$311=A5)*('Đơn vị – vũ khí'!$F$2:$F$311=1)*N(+'Đơn vị – vũ khí'!$K$2:$K$311))</f>
        <v/>
      </c>
      <c r="K5" s="55">
        <f>SUMPRODUCT(('Đơn vị – vũ khí'!$A$2:$A$311=A5)*('Đơn vị – vũ khí'!$F$2:$F$311=1)*N(+'Đơn vị – vũ khí'!$L$2:$L$311))</f>
        <v/>
      </c>
      <c r="L5" s="55">
        <f>IFERROR(I5/D5,"")</f>
        <v/>
      </c>
      <c r="M5" s="41" t="n"/>
    </row>
    <row r="6" ht="15" customHeight="1" s="32">
      <c r="A6" s="39" t="inlineStr">
        <is>
          <t>engineer_vehicle</t>
        </is>
      </c>
      <c r="B6" s="39" t="inlineStr">
        <is>
          <t>Xe công binh</t>
        </is>
      </c>
      <c r="C6" s="39" t="inlineStr">
        <is>
          <t>Xe</t>
        </is>
      </c>
      <c r="D6" s="42" t="n">
        <v>3</v>
      </c>
      <c r="E6" s="42" t="n">
        <v>46</v>
      </c>
      <c r="F6" s="42" t="n">
        <v>13</v>
      </c>
      <c r="G6" s="42" t="n">
        <v>16</v>
      </c>
      <c r="H6" s="54">
        <f>SUMPRODUCT(('Đơn vị – vũ khí'!$A$2:$A$311=A6)*('Đơn vị – vũ khí'!$F$2:$F$311=1)*N(+'Đơn vị – vũ khí'!$I$2:$I$311))</f>
        <v/>
      </c>
      <c r="I6" s="54">
        <f>SUMPRODUCT(('Đơn vị – vũ khí'!$A$2:$A$311=A6)*('Đơn vị – vũ khí'!$F$2:$F$311=1)*N(+'Đơn vị – vũ khí'!$J$2:$J$311))</f>
        <v/>
      </c>
      <c r="J6" s="54">
        <f>SUMPRODUCT(('Đơn vị – vũ khí'!$A$2:$A$311=A6)*('Đơn vị – vũ khí'!$F$2:$F$311=1)*N(+'Đơn vị – vũ khí'!$K$2:$K$311))</f>
        <v/>
      </c>
      <c r="K6" s="54">
        <f>SUMPRODUCT(('Đơn vị – vũ khí'!$A$2:$A$311=A6)*('Đơn vị – vũ khí'!$F$2:$F$311=1)*N(+'Đơn vị – vũ khí'!$L$2:$L$311))</f>
        <v/>
      </c>
      <c r="L6" s="54">
        <f>IFERROR(I6/D6,"")</f>
        <v/>
      </c>
      <c r="M6" s="39" t="n"/>
    </row>
    <row r="7" ht="15" customHeight="1" s="32">
      <c r="A7" s="41"/>
      <c r="B7" s="41"/>
      <c r="C7" s="41"/>
      <c r="D7" s="43"/>
      <c r="E7" s="43"/>
      <c r="F7" s="43"/>
      <c r="G7" s="43"/>
      <c r="H7" s="55"/>
      <c r="I7" s="55"/>
      <c r="J7" s="55"/>
      <c r="K7" s="55"/>
      <c r="L7" s="55"/>
      <c r="M7" s="41"/>
    </row>
    <row r="8" ht="15" customHeight="1" s="32">
      <c r="A8" s="39" t="inlineStr">
        <is>
          <t>ammo_carrier</t>
        </is>
      </c>
      <c r="B8" s="39" t="inlineStr">
        <is>
          <t>Xe tiếp đạn</t>
        </is>
      </c>
      <c r="C8" s="39" t="inlineStr">
        <is>
          <t>Xe</t>
        </is>
      </c>
      <c r="D8" s="42" t="n">
        <v>4</v>
      </c>
      <c r="E8" s="42" t="n">
        <v>46</v>
      </c>
      <c r="F8" s="42" t="n">
        <v>13</v>
      </c>
      <c r="G8" s="42" t="n">
        <v>16</v>
      </c>
      <c r="H8" s="54">
        <f>SUMPRODUCT(('Đơn vị – vũ khí'!$A$2:$A$311=A8)*('Đơn vị – vũ khí'!$F$2:$F$311=1)*N(+'Đơn vị – vũ khí'!$I$2:$I$311))</f>
        <v/>
      </c>
      <c r="I8" s="54">
        <f>SUMPRODUCT(('Đơn vị – vũ khí'!$A$2:$A$311=A8)*('Đơn vị – vũ khí'!$F$2:$F$311=1)*N(+'Đơn vị – vũ khí'!$J$2:$J$311))</f>
        <v/>
      </c>
      <c r="J8" s="54">
        <f>SUMPRODUCT(('Đơn vị – vũ khí'!$A$2:$A$311=A8)*('Đơn vị – vũ khí'!$F$2:$F$311=1)*N(+'Đơn vị – vũ khí'!$K$2:$K$311))</f>
        <v/>
      </c>
      <c r="K8" s="54">
        <f>SUMPRODUCT(('Đơn vị – vũ khí'!$A$2:$A$311=A8)*('Đơn vị – vũ khí'!$F$2:$F$311=1)*N(+'Đơn vị – vũ khí'!$L$2:$L$311))</f>
        <v/>
      </c>
      <c r="L8" s="54">
        <f>IFERROR(I8/D8,"")</f>
        <v/>
      </c>
      <c r="M8" s="39" t="n"/>
    </row>
    <row r="9" ht="15" customHeight="1" s="32">
      <c r="A9" s="41"/>
      <c r="B9" s="41"/>
      <c r="C9" s="41"/>
      <c r="D9" s="43"/>
      <c r="E9" s="43"/>
      <c r="F9" s="43"/>
      <c r="G9" s="43"/>
      <c r="H9" s="55"/>
      <c r="I9" s="55"/>
      <c r="J9" s="55"/>
      <c r="K9" s="55"/>
      <c r="L9" s="55"/>
      <c r="M9" s="41"/>
    </row>
    <row r="10" ht="15" customHeight="1" s="32">
      <c r="A10" s="39" t="inlineStr">
        <is>
          <t>ew_jammer</t>
        </is>
      </c>
      <c r="B10" s="39" t="inlineStr">
        <is>
          <t>Xe tác chiến điện tử</t>
        </is>
      </c>
      <c r="C10" s="39" t="inlineStr">
        <is>
          <t>Xe</t>
        </is>
      </c>
      <c r="D10" s="42" t="n">
        <v>5</v>
      </c>
      <c r="E10" s="42" t="n">
        <v>46</v>
      </c>
      <c r="F10" s="42" t="n">
        <v>13</v>
      </c>
      <c r="G10" s="42" t="n">
        <v>16</v>
      </c>
      <c r="H10" s="54">
        <f>SUMPRODUCT(('Đơn vị – vũ khí'!$A$2:$A$311=A10)*('Đơn vị – vũ khí'!$F$2:$F$311=1)*N(+'Đơn vị – vũ khí'!$I$2:$I$311))</f>
        <v/>
      </c>
      <c r="I10" s="54">
        <f>SUMPRODUCT(('Đơn vị – vũ khí'!$A$2:$A$311=A10)*('Đơn vị – vũ khí'!$F$2:$F$311=1)*N(+'Đơn vị – vũ khí'!$J$2:$J$311))</f>
        <v/>
      </c>
      <c r="J10" s="54">
        <f>SUMPRODUCT(('Đơn vị – vũ khí'!$A$2:$A$311=A10)*('Đơn vị – vũ khí'!$F$2:$F$311=1)*N(+'Đơn vị – vũ khí'!$K$2:$K$311))</f>
        <v/>
      </c>
      <c r="K10" s="54">
        <f>SUMPRODUCT(('Đơn vị – vũ khí'!$A$2:$A$311=A10)*('Đơn vị – vũ khí'!$F$2:$F$311=1)*N(+'Đơn vị – vũ khí'!$L$2:$L$311))</f>
        <v/>
      </c>
      <c r="L10" s="54">
        <f>IFERROR(I10/D10,"")</f>
        <v/>
      </c>
      <c r="M10" s="39" t="n"/>
    </row>
    <row r="11" ht="15" customHeight="1" s="32">
      <c r="A11" s="41" t="inlineStr">
        <is>
          <t>mine_layer</t>
        </is>
      </c>
      <c r="B11" s="41" t="inlineStr">
        <is>
          <t>Xe rải mìn</t>
        </is>
      </c>
      <c r="C11" s="41" t="inlineStr">
        <is>
          <t>Xe</t>
        </is>
      </c>
      <c r="D11" s="43" t="n">
        <v>5</v>
      </c>
      <c r="E11" s="43" t="n">
        <v>46</v>
      </c>
      <c r="F11" s="43" t="n">
        <v>13</v>
      </c>
      <c r="G11" s="43" t="n">
        <v>16</v>
      </c>
      <c r="H11" s="55">
        <f>SUMPRODUCT(('Đơn vị – vũ khí'!$A$2:$A$311=A11)*('Đơn vị – vũ khí'!$F$2:$F$311=1)*N(+'Đơn vị – vũ khí'!$I$2:$I$311))</f>
        <v/>
      </c>
      <c r="I11" s="55">
        <f>SUMPRODUCT(('Đơn vị – vũ khí'!$A$2:$A$311=A11)*('Đơn vị – vũ khí'!$F$2:$F$311=1)*N(+'Đơn vị – vũ khí'!$J$2:$J$311))</f>
        <v/>
      </c>
      <c r="J11" s="55">
        <f>SUMPRODUCT(('Đơn vị – vũ khí'!$A$2:$A$311=A11)*('Đơn vị – vũ khí'!$F$2:$F$311=1)*N(+'Đơn vị – vũ khí'!$K$2:$K$311))</f>
        <v/>
      </c>
      <c r="K11" s="55">
        <f>SUMPRODUCT(('Đơn vị – vũ khí'!$A$2:$A$311=A11)*('Đơn vị – vũ khí'!$F$2:$F$311=1)*N(+'Đơn vị – vũ khí'!$L$2:$L$311))</f>
        <v/>
      </c>
      <c r="L11" s="55">
        <f>IFERROR(I11/D11,"")</f>
        <v/>
      </c>
      <c r="M11" s="41" t="n"/>
    </row>
    <row r="12" ht="15" customHeight="1" s="32">
      <c r="A12" s="39" t="inlineStr">
        <is>
          <t>command_vehicle</t>
        </is>
      </c>
      <c r="B12" s="39" t="inlineStr">
        <is>
          <t>Xe chỉ huy</t>
        </is>
      </c>
      <c r="C12" s="39" t="inlineStr">
        <is>
          <t>Xe</t>
        </is>
      </c>
      <c r="D12" s="42" t="n">
        <v>6</v>
      </c>
      <c r="E12" s="42" t="n">
        <v>46</v>
      </c>
      <c r="F12" s="42" t="n">
        <v>13</v>
      </c>
      <c r="G12" s="42" t="n">
        <v>16</v>
      </c>
      <c r="H12" s="54">
        <f>SUMPRODUCT(('Đơn vị – vũ khí'!$A$2:$A$311=A12)*('Đơn vị – vũ khí'!$F$2:$F$311=1)*N(+'Đơn vị – vũ khí'!$I$2:$I$311))</f>
        <v/>
      </c>
      <c r="I12" s="54">
        <f>SUMPRODUCT(('Đơn vị – vũ khí'!$A$2:$A$311=A12)*('Đơn vị – vũ khí'!$F$2:$F$311=1)*N(+'Đơn vị – vũ khí'!$J$2:$J$311))</f>
        <v/>
      </c>
      <c r="J12" s="54">
        <f>SUMPRODUCT(('Đơn vị – vũ khí'!$A$2:$A$311=A12)*('Đơn vị – vũ khí'!$F$2:$F$311=1)*N(+'Đơn vị – vũ khí'!$K$2:$K$311))</f>
        <v/>
      </c>
      <c r="K12" s="54">
        <f>SUMPRODUCT(('Đơn vị – vũ khí'!$A$2:$A$311=A12)*('Đơn vị – vũ khí'!$F$2:$F$311=1)*N(+'Đơn vị – vũ khí'!$L$2:$L$311))</f>
        <v/>
      </c>
      <c r="L12" s="54">
        <f>IFERROR(I12/D12,"")</f>
        <v/>
      </c>
      <c r="M12" s="39" t="n"/>
    </row>
    <row r="13" ht="15" customHeight="1" s="32">
      <c r="A13" s="41" t="inlineStr">
        <is>
          <t>shield_carrier</t>
        </is>
      </c>
      <c r="B13" s="41" t="inlineStr">
        <is>
          <t>Xe phát khiên</t>
        </is>
      </c>
      <c r="C13" s="41" t="inlineStr">
        <is>
          <t>Xe</t>
        </is>
      </c>
      <c r="D13" s="43" t="n">
        <v>7</v>
      </c>
      <c r="E13" s="43" t="n">
        <v>46</v>
      </c>
      <c r="F13" s="43" t="n">
        <v>13</v>
      </c>
      <c r="G13" s="43" t="n">
        <v>16</v>
      </c>
      <c r="H13" s="55">
        <f>SUMPRODUCT(('Đơn vị – vũ khí'!$A$2:$A$311=A13)*('Đơn vị – vũ khí'!$F$2:$F$311=1)*N(+'Đơn vị – vũ khí'!$I$2:$I$311))</f>
        <v/>
      </c>
      <c r="I13" s="55">
        <f>SUMPRODUCT(('Đơn vị – vũ khí'!$A$2:$A$311=A13)*('Đơn vị – vũ khí'!$F$2:$F$311=1)*N(+'Đơn vị – vũ khí'!$J$2:$J$311))</f>
        <v/>
      </c>
      <c r="J13" s="55">
        <f>SUMPRODUCT(('Đơn vị – vũ khí'!$A$2:$A$311=A13)*('Đơn vị – vũ khí'!$F$2:$F$311=1)*N(+'Đơn vị – vũ khí'!$K$2:$K$311))</f>
        <v/>
      </c>
      <c r="K13" s="55">
        <f>SUMPRODUCT(('Đơn vị – vũ khí'!$A$2:$A$311=A13)*('Đơn vị – vũ khí'!$F$2:$F$311=1)*N(+'Đơn vị – vũ khí'!$L$2:$L$311))</f>
        <v/>
      </c>
      <c r="L13" s="55">
        <f>IFERROR(I13/D13,"")</f>
        <v/>
      </c>
      <c r="M13" s="41" t="n"/>
    </row>
    <row r="14" ht="15" customHeight="1" s="32">
      <c r="A14" s="39" t="inlineStr">
        <is>
          <t>scout_jeep</t>
        </is>
      </c>
      <c r="B14" s="39" t="inlineStr">
        <is>
          <t>Xe trinh sát</t>
        </is>
      </c>
      <c r="C14" s="39" t="inlineStr">
        <is>
          <t>Xe</t>
        </is>
      </c>
      <c r="D14" s="42" t="n">
        <v>2</v>
      </c>
      <c r="E14" s="42" t="n">
        <v>46</v>
      </c>
      <c r="F14" s="42" t="n">
        <v>14</v>
      </c>
      <c r="G14" s="42" t="n">
        <v>16</v>
      </c>
      <c r="H14" s="54">
        <f>SUMPRODUCT(('Đơn vị – vũ khí'!$A$2:$A$311=A14)*('Đơn vị – vũ khí'!$F$2:$F$311=1)*N(+'Đơn vị – vũ khí'!$I$2:$I$311))</f>
        <v/>
      </c>
      <c r="I14" s="54">
        <f>SUMPRODUCT(('Đơn vị – vũ khí'!$A$2:$A$311=A14)*('Đơn vị – vũ khí'!$F$2:$F$311=1)*N(+'Đơn vị – vũ khí'!$J$2:$J$311))</f>
        <v/>
      </c>
      <c r="J14" s="54">
        <f>SUMPRODUCT(('Đơn vị – vũ khí'!$A$2:$A$311=A14)*('Đơn vị – vũ khí'!$F$2:$F$311=1)*N(+'Đơn vị – vũ khí'!$K$2:$K$311))</f>
        <v/>
      </c>
      <c r="K14" s="54">
        <f>SUMPRODUCT(('Đơn vị – vũ khí'!$A$2:$A$311=A14)*('Đơn vị – vũ khí'!$F$2:$F$311=1)*N(+'Đơn vị – vũ khí'!$L$2:$L$311))</f>
        <v/>
      </c>
      <c r="L14" s="54">
        <f>IFERROR(I14/D14,"")</f>
        <v/>
      </c>
      <c r="M14" s="39" t="n"/>
    </row>
    <row r="15" ht="15" customHeight="1" s="32">
      <c r="A15" s="41" t="inlineStr">
        <is>
          <t>vbied</t>
        </is>
      </c>
      <c r="B15" s="41" t="inlineStr">
        <is>
          <t>Xe bom tự sát bọc thép</t>
        </is>
      </c>
      <c r="C15" s="41" t="inlineStr">
        <is>
          <t>Xe</t>
        </is>
      </c>
      <c r="D15" s="43" t="n">
        <v>3</v>
      </c>
      <c r="E15" s="43" t="n">
        <v>924</v>
      </c>
      <c r="F15" s="43" t="n">
        <v>770</v>
      </c>
      <c r="G15" s="43" t="n">
        <v>0</v>
      </c>
      <c r="H15" s="55">
        <f>SUMPRODUCT(('Đơn vị – vũ khí'!$A$2:$A$311=A15)*('Đơn vị – vũ khí'!$F$2:$F$311=1)*N(+'Đơn vị – vũ khí'!$I$2:$I$311))</f>
        <v/>
      </c>
      <c r="I15" s="55">
        <f>SUMPRODUCT(('Đơn vị – vũ khí'!$A$2:$A$311=A15)*('Đơn vị – vũ khí'!$F$2:$F$311=1)*N(+'Đơn vị – vũ khí'!$J$2:$J$311))</f>
        <v/>
      </c>
      <c r="J15" s="55">
        <f>SUMPRODUCT(('Đơn vị – vũ khí'!$A$2:$A$311=A15)*('Đơn vị – vũ khí'!$F$2:$F$311=1)*N(+'Đơn vị – vũ khí'!$K$2:$K$311))</f>
        <v/>
      </c>
      <c r="K15" s="55">
        <f>SUMPRODUCT(('Đơn vị – vũ khí'!$A$2:$A$311=A15)*('Đơn vị – vũ khí'!$F$2:$F$311=1)*N(+'Đơn vị – vũ khí'!$L$2:$L$311))</f>
        <v/>
      </c>
      <c r="L15" s="55">
        <f>IFERROR(I15/D15,"")</f>
        <v/>
      </c>
      <c r="M15" s="41" t="n"/>
    </row>
    <row r="16" ht="32.25" customHeight="1" s="32">
      <c r="A16" s="39" t="inlineStr">
        <is>
          <t>light_tank</t>
        </is>
      </c>
      <c r="B16" s="39" t="inlineStr">
        <is>
          <t>Tăng hạng nhẹ</t>
        </is>
      </c>
      <c r="C16" s="39" t="inlineStr">
        <is>
          <t>Xe</t>
        </is>
      </c>
      <c r="D16" s="42" t="n">
        <v>3</v>
      </c>
      <c r="E16" s="42" t="n">
        <v>54</v>
      </c>
      <c r="F16" s="42" t="n">
        <v>20</v>
      </c>
      <c r="G16" s="42" t="n">
        <v>12</v>
      </c>
      <c r="H16" s="54">
        <f>SUMPRODUCT(('Đơn vị – vũ khí'!$A$2:$A$311=A16)*('Đơn vị – vũ khí'!$F$2:$F$311=1)*N(+'Đơn vị – vũ khí'!$I$2:$I$311))</f>
        <v/>
      </c>
      <c r="I16" s="54">
        <f>SUMPRODUCT(('Đơn vị – vũ khí'!$A$2:$A$311=A16)*('Đơn vị – vũ khí'!$F$2:$F$311=1)*N(+'Đơn vị – vũ khí'!$J$2:$J$311))</f>
        <v/>
      </c>
      <c r="J16" s="54">
        <f>SUMPRODUCT(('Đơn vị – vũ khí'!$A$2:$A$311=A16)*('Đơn vị – vũ khí'!$F$2:$F$311=1)*N(+'Đơn vị – vũ khí'!$K$2:$K$311))</f>
        <v/>
      </c>
      <c r="K16" s="54">
        <f>SUMPRODUCT(('Đơn vị – vũ khí'!$A$2:$A$311=A16)*('Đơn vị – vũ khí'!$F$2:$F$311=1)*N(+'Đơn vị – vũ khí'!$L$2:$L$311))</f>
        <v/>
      </c>
      <c r="L16" s="54">
        <f>IFERROR(I16/D16,"")</f>
        <v/>
      </c>
      <c r="M16" s="39" t="inlineStr">
        <is>
          <t>Thêm tên lửa bắn qua nòng (1 quả × 200, xuyên 3, mỗi 20 s, tầm 34) — ZBD-05 và nhiều tăng nhẹ bắn được tên lửa qua nòng; cho tăng nhẹ một cách đối phó xe giáp.</t>
        </is>
      </c>
    </row>
    <row r="17" ht="15" customHeight="1" s="32">
      <c r="A17" s="41" t="inlineStr">
        <is>
          <t>flame_tank</t>
        </is>
      </c>
      <c r="B17" s="41" t="inlineStr">
        <is>
          <t>Tăng phun lửa</t>
        </is>
      </c>
      <c r="C17" s="41" t="inlineStr">
        <is>
          <t>Xe</t>
        </is>
      </c>
      <c r="D17" s="43" t="n">
        <v>5</v>
      </c>
      <c r="E17" s="43" t="n">
        <v>143</v>
      </c>
      <c r="F17" s="43" t="n">
        <v>40</v>
      </c>
      <c r="G17" s="43" t="n">
        <v>12</v>
      </c>
      <c r="H17" s="55">
        <f>SUMPRODUCT(('Đơn vị – vũ khí'!$A$2:$A$311=A17)*('Đơn vị – vũ khí'!$F$2:$F$311=1)*N(+'Đơn vị – vũ khí'!$I$2:$I$311))</f>
        <v/>
      </c>
      <c r="I17" s="55">
        <f>SUMPRODUCT(('Đơn vị – vũ khí'!$A$2:$A$311=A17)*('Đơn vị – vũ khí'!$F$2:$F$311=1)*N(+'Đơn vị – vũ khí'!$J$2:$J$311))</f>
        <v/>
      </c>
      <c r="J17" s="55">
        <f>SUMPRODUCT(('Đơn vị – vũ khí'!$A$2:$A$311=A17)*('Đơn vị – vũ khí'!$F$2:$F$311=1)*N(+'Đơn vị – vũ khí'!$K$2:$K$311))</f>
        <v/>
      </c>
      <c r="K17" s="55">
        <f>SUMPRODUCT(('Đơn vị – vũ khí'!$A$2:$A$311=A17)*('Đơn vị – vũ khí'!$F$2:$F$311=1)*N(+'Đơn vị – vũ khí'!$L$2:$L$311))</f>
        <v/>
      </c>
      <c r="L17" s="55">
        <f>IFERROR(I17/D17,"")</f>
        <v/>
      </c>
      <c r="M17" s="41" t="n"/>
    </row>
    <row r="18" ht="15" customHeight="1" s="32">
      <c r="A18" s="39"/>
      <c r="B18" s="39"/>
      <c r="C18" s="39"/>
      <c r="D18" s="42"/>
      <c r="E18" s="42"/>
      <c r="F18" s="42"/>
      <c r="G18" s="42"/>
      <c r="H18" s="54"/>
      <c r="I18" s="54"/>
      <c r="J18" s="54"/>
      <c r="K18" s="54"/>
      <c r="L18" s="54"/>
      <c r="M18" s="39"/>
    </row>
    <row r="19" ht="15" customHeight="1" s="32">
      <c r="A19" s="41"/>
      <c r="B19" s="41"/>
      <c r="C19" s="41"/>
      <c r="D19" s="43"/>
      <c r="E19" s="43"/>
      <c r="F19" s="43"/>
      <c r="G19" s="43"/>
      <c r="H19" s="55"/>
      <c r="I19" s="55"/>
      <c r="J19" s="55"/>
      <c r="K19" s="55"/>
      <c r="L19" s="55"/>
      <c r="M19" s="41"/>
    </row>
    <row r="20" ht="15" customHeight="1" s="32">
      <c r="A20" s="39" t="inlineStr">
        <is>
          <t>rocket_technical</t>
        </is>
      </c>
      <c r="B20" s="39" t="inlineStr">
        <is>
          <t>Bán tải rốc-két</t>
        </is>
      </c>
      <c r="C20" s="39" t="inlineStr">
        <is>
          <t>Xe</t>
        </is>
      </c>
      <c r="D20" s="42" t="n">
        <v>3</v>
      </c>
      <c r="E20" s="42" t="n">
        <v>71</v>
      </c>
      <c r="F20" s="42" t="n">
        <v>38</v>
      </c>
      <c r="G20" s="42" t="n">
        <v>16</v>
      </c>
      <c r="H20" s="54">
        <f>SUMPRODUCT(('Đơn vị – vũ khí'!$A$2:$A$311=A20)*('Đơn vị – vũ khí'!$F$2:$F$311=1)*N(+'Đơn vị – vũ khí'!$I$2:$I$311))</f>
        <v/>
      </c>
      <c r="I20" s="54">
        <f>SUMPRODUCT(('Đơn vị – vũ khí'!$A$2:$A$311=A20)*('Đơn vị – vũ khí'!$F$2:$F$311=1)*N(+'Đơn vị – vũ khí'!$J$2:$J$311))</f>
        <v/>
      </c>
      <c r="J20" s="54">
        <f>SUMPRODUCT(('Đơn vị – vũ khí'!$A$2:$A$311=A20)*('Đơn vị – vũ khí'!$F$2:$F$311=1)*N(+'Đơn vị – vũ khí'!$K$2:$K$311))</f>
        <v/>
      </c>
      <c r="K20" s="54">
        <f>SUMPRODUCT(('Đơn vị – vũ khí'!$A$2:$A$311=A20)*('Đơn vị – vũ khí'!$F$2:$F$311=1)*N(+'Đơn vị – vũ khí'!$L$2:$L$311))</f>
        <v/>
      </c>
      <c r="L20" s="54">
        <f>IFERROR(I20/D20,"")</f>
        <v/>
      </c>
      <c r="M20" s="39" t="n"/>
    </row>
    <row r="21" ht="15" customHeight="1" s="32">
      <c r="A21" s="41" t="inlineStr">
        <is>
          <t>mortar_carrier</t>
        </is>
      </c>
      <c r="B21" s="41" t="inlineStr">
        <is>
          <t>Xe súng cối</t>
        </is>
      </c>
      <c r="C21" s="41" t="inlineStr">
        <is>
          <t>Xe</t>
        </is>
      </c>
      <c r="D21" s="43" t="n">
        <v>4</v>
      </c>
      <c r="E21" s="43" t="n">
        <v>65</v>
      </c>
      <c r="F21" s="43" t="n">
        <v>33</v>
      </c>
      <c r="G21" s="43" t="n">
        <v>16</v>
      </c>
      <c r="H21" s="55">
        <f>SUMPRODUCT(('Đơn vị – vũ khí'!$A$2:$A$311=A21)*('Đơn vị – vũ khí'!$F$2:$F$311=1)*N(+'Đơn vị – vũ khí'!$I$2:$I$311))</f>
        <v/>
      </c>
      <c r="I21" s="55">
        <f>SUMPRODUCT(('Đơn vị – vũ khí'!$A$2:$A$311=A21)*('Đơn vị – vũ khí'!$F$2:$F$311=1)*N(+'Đơn vị – vũ khí'!$J$2:$J$311))</f>
        <v/>
      </c>
      <c r="J21" s="55">
        <f>SUMPRODUCT(('Đơn vị – vũ khí'!$A$2:$A$311=A21)*('Đơn vị – vũ khí'!$F$2:$F$311=1)*N(+'Đơn vị – vũ khí'!$K$2:$K$311))</f>
        <v/>
      </c>
      <c r="K21" s="55">
        <f>SUMPRODUCT(('Đơn vị – vũ khí'!$A$2:$A$311=A21)*('Đơn vị – vũ khí'!$F$2:$F$311=1)*N(+'Đơn vị – vũ khí'!$L$2:$L$311))</f>
        <v/>
      </c>
      <c r="L21" s="55">
        <f>IFERROR(I21/D21,"")</f>
        <v/>
      </c>
      <c r="M21" s="41" t="n"/>
    </row>
    <row r="22" ht="15" customHeight="1" s="32">
      <c r="A22" s="39" t="inlineStr">
        <is>
          <t>artillery</t>
        </is>
      </c>
      <c r="B22" s="39" t="inlineStr">
        <is>
          <t>Pháo tự hành</t>
        </is>
      </c>
      <c r="C22" s="39" t="inlineStr">
        <is>
          <t>Xe</t>
        </is>
      </c>
      <c r="D22" s="42" t="n">
        <v>6</v>
      </c>
      <c r="E22" s="42" t="n">
        <v>72</v>
      </c>
      <c r="F22" s="42" t="n">
        <v>40</v>
      </c>
      <c r="G22" s="42" t="n">
        <v>16</v>
      </c>
      <c r="H22" s="54">
        <f>SUMPRODUCT(('Đơn vị – vũ khí'!$A$2:$A$311=A22)*('Đơn vị – vũ khí'!$F$2:$F$311=1)*N(+'Đơn vị – vũ khí'!$I$2:$I$311))</f>
        <v/>
      </c>
      <c r="I22" s="54">
        <f>SUMPRODUCT(('Đơn vị – vũ khí'!$A$2:$A$311=A22)*('Đơn vị – vũ khí'!$F$2:$F$311=1)*N(+'Đơn vị – vũ khí'!$J$2:$J$311))</f>
        <v/>
      </c>
      <c r="J22" s="54">
        <f>SUMPRODUCT(('Đơn vị – vũ khí'!$A$2:$A$311=A22)*('Đơn vị – vũ khí'!$F$2:$F$311=1)*N(+'Đơn vị – vũ khí'!$K$2:$K$311))</f>
        <v/>
      </c>
      <c r="K22" s="54">
        <f>SUMPRODUCT(('Đơn vị – vũ khí'!$A$2:$A$311=A22)*('Đơn vị – vũ khí'!$F$2:$F$311=1)*N(+'Đơn vị – vũ khí'!$L$2:$L$311))</f>
        <v/>
      </c>
      <c r="L22" s="54">
        <f>IFERROR(I22/D22,"")</f>
        <v/>
      </c>
      <c r="M22" s="39" t="n"/>
    </row>
    <row r="23" ht="21.75" customHeight="1" s="32">
      <c r="A23" s="41" t="inlineStr">
        <is>
          <t>mlrs</t>
        </is>
      </c>
      <c r="B23" s="41" t="inlineStr">
        <is>
          <t>Pháo phản lực</t>
        </is>
      </c>
      <c r="C23" s="41" t="inlineStr">
        <is>
          <t>Xe</t>
        </is>
      </c>
      <c r="D23" s="43" t="n">
        <v>6</v>
      </c>
      <c r="E23" s="43" t="n">
        <v>79</v>
      </c>
      <c r="F23" s="43" t="n">
        <v>47</v>
      </c>
      <c r="G23" s="43" t="n">
        <v>16</v>
      </c>
      <c r="H23" s="55">
        <f>SUMPRODUCT(('Đơn vị – vũ khí'!$A$2:$A$311=A23)*('Đơn vị – vũ khí'!$F$2:$F$311=1)*N(+'Đơn vị – vũ khí'!$I$2:$I$311))</f>
        <v/>
      </c>
      <c r="I23" s="55">
        <f>SUMPRODUCT(('Đơn vị – vũ khí'!$A$2:$A$311=A23)*('Đơn vị – vũ khí'!$F$2:$F$311=1)*N(+'Đơn vị – vũ khí'!$J$2:$J$311))</f>
        <v/>
      </c>
      <c r="J23" s="55">
        <f>SUMPRODUCT(('Đơn vị – vũ khí'!$A$2:$A$311=A23)*('Đơn vị – vũ khí'!$F$2:$F$311=1)*N(+'Đơn vị – vũ khí'!$K$2:$K$311))</f>
        <v/>
      </c>
      <c r="K23" s="55">
        <f>SUMPRODUCT(('Đơn vị – vũ khí'!$A$2:$A$311=A23)*('Đơn vị – vũ khí'!$F$2:$F$311=1)*N(+'Đơn vị – vũ khí'!$L$2:$L$311))</f>
        <v/>
      </c>
      <c r="L23" s="55">
        <f>IFERROR(I23/D23,"")</f>
        <v/>
      </c>
      <c r="M23" s="41" t="inlineStr">
        <is>
          <t>Bỏ súng máy M2 — HIMARS thường không mang súng máy; tăng rủi ro khi bị áp sát.</t>
        </is>
      </c>
    </row>
    <row r="24" ht="15" customHeight="1" s="32">
      <c r="A24" s="39" t="inlineStr">
        <is>
          <t>shahed_truck</t>
        </is>
      </c>
      <c r="B24" s="39" t="inlineStr">
        <is>
          <t>Xe phóng Shahed</t>
        </is>
      </c>
      <c r="C24" s="39" t="inlineStr">
        <is>
          <t>Xe</t>
        </is>
      </c>
      <c r="D24" s="42" t="n">
        <v>8</v>
      </c>
      <c r="E24" s="42" t="n">
        <v>79</v>
      </c>
      <c r="F24" s="42" t="n">
        <v>47</v>
      </c>
      <c r="G24" s="42" t="n">
        <v>16</v>
      </c>
      <c r="H24" s="54">
        <f>SUMPRODUCT(('Đơn vị – vũ khí'!$A$2:$A$311=A24)*('Đơn vị – vũ khí'!$F$2:$F$311=1)*N(+'Đơn vị – vũ khí'!$I$2:$I$311))</f>
        <v/>
      </c>
      <c r="I24" s="54">
        <f>SUMPRODUCT(('Đơn vị – vũ khí'!$A$2:$A$311=A24)*('Đơn vị – vũ khí'!$F$2:$F$311=1)*N(+'Đơn vị – vũ khí'!$J$2:$J$311))</f>
        <v/>
      </c>
      <c r="J24" s="54">
        <f>SUMPRODUCT(('Đơn vị – vũ khí'!$A$2:$A$311=A24)*('Đơn vị – vũ khí'!$F$2:$F$311=1)*N(+'Đơn vị – vũ khí'!$K$2:$K$311))</f>
        <v/>
      </c>
      <c r="K24" s="54">
        <f>SUMPRODUCT(('Đơn vị – vũ khí'!$A$2:$A$311=A24)*('Đơn vị – vũ khí'!$F$2:$F$311=1)*N(+'Đơn vị – vũ khí'!$L$2:$L$311))</f>
        <v/>
      </c>
      <c r="L24" s="54">
        <f>IFERROR(I24/D24,"")</f>
        <v/>
      </c>
      <c r="M24" s="39" t="n"/>
    </row>
    <row r="25" ht="15" customHeight="1" s="32">
      <c r="A25" s="41" t="inlineStr">
        <is>
          <t>thermobaric_launcher</t>
        </is>
      </c>
      <c r="B25" s="41" t="inlineStr">
        <is>
          <t>Pháo phản lực nhiệt áp</t>
        </is>
      </c>
      <c r="C25" s="41" t="inlineStr">
        <is>
          <t>Xe</t>
        </is>
      </c>
      <c r="D25" s="43" t="n">
        <v>8</v>
      </c>
      <c r="E25" s="43" t="n">
        <v>93</v>
      </c>
      <c r="F25" s="43" t="n">
        <v>61</v>
      </c>
      <c r="G25" s="43" t="n">
        <v>16</v>
      </c>
      <c r="H25" s="55">
        <f>SUMPRODUCT(('Đơn vị – vũ khí'!$A$2:$A$311=A25)*('Đơn vị – vũ khí'!$F$2:$F$311=1)*N(+'Đơn vị – vũ khí'!$I$2:$I$311))</f>
        <v/>
      </c>
      <c r="I25" s="55">
        <f>SUMPRODUCT(('Đơn vị – vũ khí'!$A$2:$A$311=A25)*('Đơn vị – vũ khí'!$F$2:$F$311=1)*N(+'Đơn vị – vũ khí'!$J$2:$J$311))</f>
        <v/>
      </c>
      <c r="J25" s="55">
        <f>SUMPRODUCT(('Đơn vị – vũ khí'!$A$2:$A$311=A25)*('Đơn vị – vũ khí'!$F$2:$F$311=1)*N(+'Đơn vị – vũ khí'!$K$2:$K$311))</f>
        <v/>
      </c>
      <c r="K25" s="55">
        <f>SUMPRODUCT(('Đơn vị – vũ khí'!$A$2:$A$311=A25)*('Đơn vị – vũ khí'!$F$2:$F$311=1)*N(+'Đơn vị – vũ khí'!$L$2:$L$311))</f>
        <v/>
      </c>
      <c r="L25" s="55">
        <f>IFERROR(I25/D25,"")</f>
        <v/>
      </c>
      <c r="M25" s="41" t="n"/>
    </row>
    <row r="26" ht="15" customHeight="1" s="32">
      <c r="A26" s="39" t="inlineStr">
        <is>
          <t>ballistic_launcher</t>
        </is>
      </c>
      <c r="B26" s="39" t="inlineStr">
        <is>
          <t>Xe phóng tên lửa đạn đạo</t>
        </is>
      </c>
      <c r="C26" s="39" t="inlineStr">
        <is>
          <t>Xe</t>
        </is>
      </c>
      <c r="D26" s="42" t="n">
        <v>11</v>
      </c>
      <c r="E26" s="42" t="n">
        <v>86</v>
      </c>
      <c r="F26" s="42" t="n">
        <v>54</v>
      </c>
      <c r="G26" s="42" t="n">
        <v>16</v>
      </c>
      <c r="H26" s="54">
        <f>SUMPRODUCT(('Đơn vị – vũ khí'!$A$2:$A$311=A26)*('Đơn vị – vũ khí'!$F$2:$F$311=1)*N(+'Đơn vị – vũ khí'!$I$2:$I$311))</f>
        <v/>
      </c>
      <c r="I26" s="54">
        <f>SUMPRODUCT(('Đơn vị – vũ khí'!$A$2:$A$311=A26)*('Đơn vị – vũ khí'!$F$2:$F$311=1)*N(+'Đơn vị – vũ khí'!$J$2:$J$311))</f>
        <v/>
      </c>
      <c r="J26" s="54">
        <f>SUMPRODUCT(('Đơn vị – vũ khí'!$A$2:$A$311=A26)*('Đơn vị – vũ khí'!$F$2:$F$311=1)*N(+'Đơn vị – vũ khí'!$K$2:$K$311))</f>
        <v/>
      </c>
      <c r="K26" s="54">
        <f>SUMPRODUCT(('Đơn vị – vũ khí'!$A$2:$A$311=A26)*('Đơn vị – vũ khí'!$F$2:$F$311=1)*N(+'Đơn vị – vũ khí'!$L$2:$L$311))</f>
        <v/>
      </c>
      <c r="L26" s="54">
        <f>IFERROR(I26/D26,"")</f>
        <v/>
      </c>
      <c r="M26" s="39" t="inlineStr">
        <is>
          <t>Bỏ súng máy M2 — Iskander không có súng máy tự vệ.</t>
        </is>
      </c>
    </row>
    <row r="27" ht="15" customHeight="1" s="32">
      <c r="A27" s="41" t="inlineStr">
        <is>
          <t>heavy_rocket_artillery</t>
        </is>
      </c>
      <c r="B27" s="41" t="inlineStr">
        <is>
          <t>Pháo phản lực hạng nặng</t>
        </is>
      </c>
      <c r="C27" s="41" t="inlineStr">
        <is>
          <t>Xe</t>
        </is>
      </c>
      <c r="D27" s="43" t="n">
        <v>11</v>
      </c>
      <c r="E27" s="43" t="n">
        <v>110</v>
      </c>
      <c r="F27" s="43" t="n">
        <v>78</v>
      </c>
      <c r="G27" s="43" t="n">
        <v>16</v>
      </c>
      <c r="H27" s="55">
        <f>SUMPRODUCT(('Đơn vị – vũ khí'!$A$2:$A$311=A27)*('Đơn vị – vũ khí'!$F$2:$F$311=1)*N(+'Đơn vị – vũ khí'!$I$2:$I$311))</f>
        <v/>
      </c>
      <c r="I27" s="55">
        <f>SUMPRODUCT(('Đơn vị – vũ khí'!$A$2:$A$311=A27)*('Đơn vị – vũ khí'!$F$2:$F$311=1)*N(+'Đơn vị – vũ khí'!$J$2:$J$311))</f>
        <v/>
      </c>
      <c r="J27" s="55">
        <f>SUMPRODUCT(('Đơn vị – vũ khí'!$A$2:$A$311=A27)*('Đơn vị – vũ khí'!$F$2:$F$311=1)*N(+'Đơn vị – vũ khí'!$K$2:$K$311))</f>
        <v/>
      </c>
      <c r="K27" s="55">
        <f>SUMPRODUCT(('Đơn vị – vũ khí'!$A$2:$A$311=A27)*('Đơn vị – vũ khí'!$F$2:$F$311=1)*N(+'Đơn vị – vũ khí'!$L$2:$L$311))</f>
        <v/>
      </c>
      <c r="L27" s="55">
        <f>IFERROR(I27/D27,"")</f>
        <v/>
      </c>
      <c r="M27" s="41" t="inlineStr">
        <is>
          <t>Bỏ súng máy M2 — Smerch không có súng máy tự vệ.</t>
        </is>
      </c>
    </row>
    <row r="28" ht="15" customHeight="1" s="32">
      <c r="A28" s="39" t="inlineStr">
        <is>
          <t>siege_tank</t>
        </is>
      </c>
      <c r="B28" s="39" t="inlineStr">
        <is>
          <t>Tăng công thành</t>
        </is>
      </c>
      <c r="C28" s="39" t="inlineStr">
        <is>
          <t>Xe</t>
        </is>
      </c>
      <c r="D28" s="42" t="n">
        <v>12</v>
      </c>
      <c r="E28" s="42" t="n">
        <v>144</v>
      </c>
      <c r="F28" s="42" t="n">
        <v>96</v>
      </c>
      <c r="G28" s="42" t="n">
        <v>16</v>
      </c>
      <c r="H28" s="54">
        <f>SUMPRODUCT(('Đơn vị – vũ khí'!$A$2:$A$311=A28)*('Đơn vị – vũ khí'!$F$2:$F$311=1)*N(+'Đơn vị – vũ khí'!$I$2:$I$311))</f>
        <v/>
      </c>
      <c r="I28" s="54">
        <f>SUMPRODUCT(('Đơn vị – vũ khí'!$A$2:$A$311=A28)*('Đơn vị – vũ khí'!$F$2:$F$311=1)*N(+'Đơn vị – vũ khí'!$J$2:$J$311))</f>
        <v/>
      </c>
      <c r="J28" s="54">
        <f>SUMPRODUCT(('Đơn vị – vũ khí'!$A$2:$A$311=A28)*('Đơn vị – vũ khí'!$F$2:$F$311=1)*N(+'Đơn vị – vũ khí'!$K$2:$K$311))</f>
        <v/>
      </c>
      <c r="K28" s="54">
        <f>SUMPRODUCT(('Đơn vị – vũ khí'!$A$2:$A$311=A28)*('Đơn vị – vũ khí'!$F$2:$F$311=1)*N(+'Đơn vị – vũ khí'!$L$2:$L$311))</f>
        <v/>
      </c>
      <c r="L28" s="54">
        <f>IFERROR(I28/D28,"")</f>
        <v/>
      </c>
      <c r="M28" s="39" t="n"/>
    </row>
    <row r="29" ht="15" customHeight="1" s="32">
      <c r="A29" s="41" t="inlineStr">
        <is>
          <t>zu23_technical</t>
        </is>
      </c>
      <c r="B29" s="41" t="inlineStr">
        <is>
          <t>Bán tải ZU-23</t>
        </is>
      </c>
      <c r="C29" s="41" t="inlineStr">
        <is>
          <t>Xe</t>
        </is>
      </c>
      <c r="D29" s="43" t="n">
        <v>3</v>
      </c>
      <c r="E29" s="43" t="n">
        <v>61</v>
      </c>
      <c r="F29" s="43" t="n">
        <v>18</v>
      </c>
      <c r="G29" s="43" t="n">
        <v>186</v>
      </c>
      <c r="H29" s="55">
        <f>SUMPRODUCT(('Đơn vị – vũ khí'!$A$2:$A$311=A29)*('Đơn vị – vũ khí'!$F$2:$F$311=1)*N(+'Đơn vị – vũ khí'!$I$2:$I$311))</f>
        <v/>
      </c>
      <c r="I29" s="55">
        <f>SUMPRODUCT(('Đơn vị – vũ khí'!$A$2:$A$311=A29)*('Đơn vị – vũ khí'!$F$2:$F$311=1)*N(+'Đơn vị – vũ khí'!$J$2:$J$311))</f>
        <v/>
      </c>
      <c r="J29" s="55">
        <f>SUMPRODUCT(('Đơn vị – vũ khí'!$A$2:$A$311=A29)*('Đơn vị – vũ khí'!$F$2:$F$311=1)*N(+'Đơn vị – vũ khí'!$K$2:$K$311))</f>
        <v/>
      </c>
      <c r="K29" s="55">
        <f>SUMPRODUCT(('Đơn vị – vũ khí'!$A$2:$A$311=A29)*('Đơn vị – vũ khí'!$F$2:$F$311=1)*N(+'Đơn vị – vũ khí'!$L$2:$L$311))</f>
        <v/>
      </c>
      <c r="L29" s="55">
        <f>IFERROR(I29/D29,"")</f>
        <v/>
      </c>
      <c r="M29" s="41" t="n"/>
    </row>
    <row r="30" ht="15" customHeight="1" s="32">
      <c r="A30" s="39" t="inlineStr">
        <is>
          <t>aa_vehicle</t>
        </is>
      </c>
      <c r="B30" s="39" t="inlineStr">
        <is>
          <t>Xe phòng không</t>
        </is>
      </c>
      <c r="C30" s="39" t="inlineStr">
        <is>
          <t>Xe</t>
        </is>
      </c>
      <c r="D30" s="42" t="n">
        <v>4</v>
      </c>
      <c r="E30" s="42" t="n">
        <v>48</v>
      </c>
      <c r="F30" s="42" t="n">
        <v>24</v>
      </c>
      <c r="G30" s="42" t="n">
        <v>174</v>
      </c>
      <c r="H30" s="54">
        <f>SUMPRODUCT(('Đơn vị – vũ khí'!$A$2:$A$311=A30)*('Đơn vị – vũ khí'!$F$2:$F$311=1)*N(+'Đơn vị – vũ khí'!$I$2:$I$311))</f>
        <v/>
      </c>
      <c r="I30" s="54">
        <f>SUMPRODUCT(('Đơn vị – vũ khí'!$A$2:$A$311=A30)*('Đơn vị – vũ khí'!$F$2:$F$311=1)*N(+'Đơn vị – vũ khí'!$J$2:$J$311))</f>
        <v/>
      </c>
      <c r="J30" s="54">
        <f>SUMPRODUCT(('Đơn vị – vũ khí'!$A$2:$A$311=A30)*('Đơn vị – vũ khí'!$F$2:$F$311=1)*N(+'Đơn vị – vũ khí'!$K$2:$K$311))</f>
        <v/>
      </c>
      <c r="K30" s="54">
        <f>SUMPRODUCT(('Đơn vị – vũ khí'!$A$2:$A$311=A30)*('Đơn vị – vũ khí'!$F$2:$F$311=1)*N(+'Đơn vị – vũ khí'!$L$2:$L$311))</f>
        <v/>
      </c>
      <c r="L30" s="54">
        <f>IFERROR(I30/D30,"")</f>
        <v/>
      </c>
      <c r="M30" s="39" t="inlineStr">
        <is>
          <t>Giữ Stinger phụ — Gepard bản nâng cấp có thể mang Stinger.</t>
        </is>
      </c>
    </row>
    <row r="31" ht="21.75" customHeight="1" s="32">
      <c r="A31" s="41" t="inlineStr">
        <is>
          <t>sam_launcher</t>
        </is>
      </c>
      <c r="B31" s="41" t="inlineStr">
        <is>
          <t>Tên lửa phòng không</t>
        </is>
      </c>
      <c r="C31" s="41" t="inlineStr">
        <is>
          <t>Xe</t>
        </is>
      </c>
      <c r="D31" s="43" t="n">
        <v>5</v>
      </c>
      <c r="E31" s="43" t="n">
        <v>46</v>
      </c>
      <c r="F31" s="43" t="n">
        <v>13</v>
      </c>
      <c r="G31" s="43" t="n">
        <v>313</v>
      </c>
      <c r="H31" s="55">
        <f>SUMPRODUCT(('Đơn vị – vũ khí'!$A$2:$A$311=A31)*('Đơn vị – vũ khí'!$F$2:$F$311=1)*N(+'Đơn vị – vũ khí'!$I$2:$I$311))</f>
        <v/>
      </c>
      <c r="I31" s="55">
        <f>SUMPRODUCT(('Đơn vị – vũ khí'!$A$2:$A$311=A31)*('Đơn vị – vũ khí'!$F$2:$F$311=1)*N(+'Đơn vị – vũ khí'!$J$2:$J$311))</f>
        <v/>
      </c>
      <c r="J31" s="55">
        <f>SUMPRODUCT(('Đơn vị – vũ khí'!$A$2:$A$311=A31)*('Đơn vị – vũ khí'!$F$2:$F$311=1)*N(+'Đơn vị – vũ khí'!$K$2:$K$311))</f>
        <v/>
      </c>
      <c r="K31" s="55">
        <f>SUMPRODUCT(('Đơn vị – vũ khí'!$A$2:$A$311=A31)*('Đơn vị – vũ khí'!$F$2:$F$311=1)*N(+'Đơn vị – vũ khí'!$L$2:$L$311))</f>
        <v/>
      </c>
      <c r="L31" s="55">
        <f>IFERROR(I31/D31,"")</f>
        <v/>
      </c>
      <c r="M31" s="41" t="inlineStr">
        <is>
          <t>Bỏ súng máy M2 — Buk TELAR thật không có súng máy; để xe phóng tên lửa yếu khi bị áp sát (cần hộ tống).</t>
        </is>
      </c>
    </row>
    <row r="32" ht="21.75" customHeight="1" s="32">
      <c r="A32" s="39" t="inlineStr">
        <is>
          <t>heavy_aa</t>
        </is>
      </c>
      <c r="B32" s="39" t="inlineStr">
        <is>
          <t>Pháo tên lửa phòng không</t>
        </is>
      </c>
      <c r="C32" s="39" t="inlineStr">
        <is>
          <t>Xe</t>
        </is>
      </c>
      <c r="D32" s="42" t="n">
        <v>6</v>
      </c>
      <c r="E32" s="42" t="n">
        <v>126</v>
      </c>
      <c r="F32" s="42" t="n">
        <v>63</v>
      </c>
      <c r="G32" s="42" t="n">
        <v>378</v>
      </c>
      <c r="H32" s="54">
        <f>SUMPRODUCT(('Đơn vị – vũ khí'!$A$2:$A$311=A32)*('Đơn vị – vũ khí'!$F$2:$F$311=1)*N(+'Đơn vị – vũ khí'!$I$2:$I$311))</f>
        <v/>
      </c>
      <c r="I32" s="54">
        <f>SUMPRODUCT(('Đơn vị – vũ khí'!$A$2:$A$311=A32)*('Đơn vị – vũ khí'!$F$2:$F$311=1)*N(+'Đơn vị – vũ khí'!$J$2:$J$311))</f>
        <v/>
      </c>
      <c r="J32" s="54">
        <f>SUMPRODUCT(('Đơn vị – vũ khí'!$A$2:$A$311=A32)*('Đơn vị – vũ khí'!$F$2:$F$311=1)*N(+'Đơn vị – vũ khí'!$K$2:$K$311))</f>
        <v/>
      </c>
      <c r="K32" s="54">
        <f>SUMPRODUCT(('Đơn vị – vũ khí'!$A$2:$A$311=A32)*('Đơn vị – vũ khí'!$F$2:$F$311=1)*N(+'Đơn vị – vũ khí'!$L$2:$L$311))</f>
        <v/>
      </c>
      <c r="L32" s="54">
        <f>IFERROR(I32/D32,"")</f>
        <v/>
      </c>
      <c r="M32" s="39" t="inlineStr">
        <is>
          <t>Đổi Stinger → tên lửa 57E6 (Pantsir): 1 × 220, Mảnh xuyên 3, tầm 55, tốc độ 55 — Pantsir thật mang tên lửa riêng tầm xa hơn Stinger.</t>
        </is>
      </c>
    </row>
    <row r="33" ht="15" customHeight="1" s="32">
      <c r="A33" s="41" t="inlineStr">
        <is>
          <t>iron_beam</t>
        </is>
      </c>
      <c r="B33" s="41" t="inlineStr">
        <is>
          <t>La-de phòng không</t>
        </is>
      </c>
      <c r="C33" s="41" t="inlineStr">
        <is>
          <t>Xe</t>
        </is>
      </c>
      <c r="D33" s="43" t="n">
        <v>7</v>
      </c>
      <c r="E33" s="43" t="n">
        <v>0</v>
      </c>
      <c r="F33" s="43" t="n">
        <v>0</v>
      </c>
      <c r="G33" s="43" t="n">
        <v>214</v>
      </c>
      <c r="H33" s="55">
        <f>SUMPRODUCT(('Đơn vị – vũ khí'!$A$2:$A$311=A33)*('Đơn vị – vũ khí'!$F$2:$F$311=1)*N(+'Đơn vị – vũ khí'!$I$2:$I$311))</f>
        <v/>
      </c>
      <c r="I33" s="55">
        <f>SUMPRODUCT(('Đơn vị – vũ khí'!$A$2:$A$311=A33)*('Đơn vị – vũ khí'!$F$2:$F$311=1)*N(+'Đơn vị – vũ khí'!$J$2:$J$311))</f>
        <v/>
      </c>
      <c r="J33" s="55">
        <f>SUMPRODUCT(('Đơn vị – vũ khí'!$A$2:$A$311=A33)*('Đơn vị – vũ khí'!$F$2:$F$311=1)*N(+'Đơn vị – vũ khí'!$K$2:$K$311))</f>
        <v/>
      </c>
      <c r="K33" s="55">
        <f>SUMPRODUCT(('Đơn vị – vũ khí'!$A$2:$A$311=A33)*('Đơn vị – vũ khí'!$F$2:$F$311=1)*N(+'Đơn vị – vũ khí'!$L$2:$L$311))</f>
        <v/>
      </c>
      <c r="L33" s="55">
        <f>IFERROR(I33/D33,"")</f>
        <v/>
      </c>
      <c r="M33" s="41" t="n"/>
    </row>
    <row r="34" ht="15" customHeight="1" s="32">
      <c r="A34" s="39" t="inlineStr">
        <is>
          <t>long_sam</t>
        </is>
      </c>
      <c r="B34" s="39" t="inlineStr">
        <is>
          <t>Tên lửa phòng không tầm xa</t>
        </is>
      </c>
      <c r="C34" s="39" t="inlineStr">
        <is>
          <t>Xe</t>
        </is>
      </c>
      <c r="D34" s="42" t="n">
        <v>11</v>
      </c>
      <c r="E34" s="42" t="n">
        <v>0</v>
      </c>
      <c r="F34" s="42" t="n">
        <v>0</v>
      </c>
      <c r="G34" s="42" t="n">
        <v>114</v>
      </c>
      <c r="H34" s="54">
        <f>SUMPRODUCT(('Đơn vị – vũ khí'!$A$2:$A$311=A34)*('Đơn vị – vũ khí'!$F$2:$F$311=1)*N(+'Đơn vị – vũ khí'!$I$2:$I$311))</f>
        <v/>
      </c>
      <c r="I34" s="54">
        <f>SUMPRODUCT(('Đơn vị – vũ khí'!$A$2:$A$311=A34)*('Đơn vị – vũ khí'!$F$2:$F$311=1)*N(+'Đơn vị – vũ khí'!$J$2:$J$311))</f>
        <v/>
      </c>
      <c r="J34" s="54">
        <f>SUMPRODUCT(('Đơn vị – vũ khí'!$A$2:$A$311=A34)*('Đơn vị – vũ khí'!$F$2:$F$311=1)*N(+'Đơn vị – vũ khí'!$K$2:$K$311))</f>
        <v/>
      </c>
      <c r="K34" s="54">
        <f>SUMPRODUCT(('Đơn vị – vũ khí'!$A$2:$A$311=A34)*('Đơn vị – vũ khí'!$F$2:$F$311=1)*N(+'Đơn vị – vũ khí'!$L$2:$L$311))</f>
        <v/>
      </c>
      <c r="L34" s="54">
        <f>IFERROR(I34/D34,"")</f>
        <v/>
      </c>
      <c r="M34" s="39" t="n"/>
    </row>
    <row r="35" ht="21.75" customHeight="1" s="32">
      <c r="A35" s="41" t="inlineStr">
        <is>
          <t>scout_heli</t>
        </is>
      </c>
      <c r="B35" s="41" t="inlineStr">
        <is>
          <t>Trực thăng trinh sát</t>
        </is>
      </c>
      <c r="C35" s="41" t="inlineStr">
        <is>
          <t>Xe</t>
        </is>
      </c>
      <c r="D35" s="43" t="n">
        <v>4</v>
      </c>
      <c r="E35" s="43" t="n">
        <v>58</v>
      </c>
      <c r="F35" s="43" t="n">
        <v>20</v>
      </c>
      <c r="G35" s="43" t="n">
        <v>15</v>
      </c>
      <c r="H35" s="55">
        <f>SUMPRODUCT(('Đơn vị – vũ khí'!$A$2:$A$311=A35)*('Đơn vị – vũ khí'!$F$2:$F$311=1)*N(+'Đơn vị – vũ khí'!$I$2:$I$311))</f>
        <v/>
      </c>
      <c r="I35" s="55">
        <f>SUMPRODUCT(('Đơn vị – vũ khí'!$A$2:$A$311=A35)*('Đơn vị – vũ khí'!$F$2:$F$311=1)*N(+'Đơn vị – vũ khí'!$J$2:$J$311))</f>
        <v/>
      </c>
      <c r="J35" s="55">
        <f>SUMPRODUCT(('Đơn vị – vũ khí'!$A$2:$A$311=A35)*('Đơn vị – vũ khí'!$F$2:$F$311=1)*N(+'Đơn vị – vũ khí'!$K$2:$K$311))</f>
        <v/>
      </c>
      <c r="K35" s="55">
        <f>SUMPRODUCT(('Đơn vị – vũ khí'!$A$2:$A$311=A35)*('Đơn vị – vũ khí'!$F$2:$F$311=1)*N(+'Đơn vị – vũ khí'!$L$2:$L$311))</f>
        <v/>
      </c>
      <c r="L35" s="55">
        <f>IFERROR(I35/D35,"")</f>
        <v/>
      </c>
      <c r="M35" s="41" t="inlineStr">
        <is>
          <t>Hydra: 12 → 6 quả mỗi lần đầy đạn — Trực thăng trinh sát đang diệt xe nhẹ mạnh nhất game theo CP.</t>
        </is>
      </c>
    </row>
    <row r="36" ht="15" customHeight="1" s="32">
      <c r="A36" s="39" t="inlineStr">
        <is>
          <t>recon_drone</t>
        </is>
      </c>
      <c r="B36" s="39" t="inlineStr">
        <is>
          <t>UAV trinh sát</t>
        </is>
      </c>
      <c r="C36" s="39" t="inlineStr">
        <is>
          <t>Xe</t>
        </is>
      </c>
      <c r="D36" s="42" t="n">
        <v>6</v>
      </c>
      <c r="E36" s="42" t="n">
        <v>17</v>
      </c>
      <c r="F36" s="42" t="n">
        <v>12</v>
      </c>
      <c r="G36" s="42" t="n">
        <v>0</v>
      </c>
      <c r="H36" s="54">
        <f>SUMPRODUCT(('Đơn vị – vũ khí'!$A$2:$A$311=A36)*('Đơn vị – vũ khí'!$F$2:$F$311=1)*N(+'Đơn vị – vũ khí'!$I$2:$I$311))</f>
        <v/>
      </c>
      <c r="I36" s="54">
        <f>SUMPRODUCT(('Đơn vị – vũ khí'!$A$2:$A$311=A36)*('Đơn vị – vũ khí'!$F$2:$F$311=1)*N(+'Đơn vị – vũ khí'!$J$2:$J$311))</f>
        <v/>
      </c>
      <c r="J36" s="54">
        <f>SUMPRODUCT(('Đơn vị – vũ khí'!$A$2:$A$311=A36)*('Đơn vị – vũ khí'!$F$2:$F$311=1)*N(+'Đơn vị – vũ khí'!$K$2:$K$311))</f>
        <v/>
      </c>
      <c r="K36" s="54">
        <f>SUMPRODUCT(('Đơn vị – vũ khí'!$A$2:$A$311=A36)*('Đơn vị – vũ khí'!$F$2:$F$311=1)*N(+'Đơn vị – vũ khí'!$L$2:$L$311))</f>
        <v/>
      </c>
      <c r="L36" s="54">
        <f>IFERROR(I36/D36,"")</f>
        <v/>
      </c>
      <c r="M36" s="39" t="n"/>
    </row>
    <row r="37" ht="15" customHeight="1" s="32">
      <c r="A37" s="41"/>
      <c r="B37" s="41"/>
      <c r="C37" s="41"/>
      <c r="D37" s="43"/>
      <c r="E37" s="43"/>
      <c r="F37" s="43"/>
      <c r="G37" s="43"/>
      <c r="H37" s="55"/>
      <c r="I37" s="55"/>
      <c r="J37" s="55"/>
      <c r="K37" s="55"/>
      <c r="L37" s="55"/>
      <c r="M37" s="41"/>
    </row>
    <row r="38" ht="15" customHeight="1" s="32">
      <c r="A38" s="39" t="inlineStr">
        <is>
          <t>strike_drone</t>
        </is>
      </c>
      <c r="B38" s="39" t="inlineStr">
        <is>
          <t>UAV tấn công</t>
        </is>
      </c>
      <c r="C38" s="39" t="inlineStr">
        <is>
          <t>Xe</t>
        </is>
      </c>
      <c r="D38" s="42" t="n">
        <v>8</v>
      </c>
      <c r="E38" s="42" t="n">
        <v>68</v>
      </c>
      <c r="F38" s="42" t="n">
        <v>60</v>
      </c>
      <c r="G38" s="42" t="n">
        <v>0</v>
      </c>
      <c r="H38" s="54">
        <f>SUMPRODUCT(('Đơn vị – vũ khí'!$A$2:$A$311=A38)*('Đơn vị – vũ khí'!$F$2:$F$311=1)*N(+'Đơn vị – vũ khí'!$I$2:$I$311))</f>
        <v/>
      </c>
      <c r="I38" s="54">
        <f>SUMPRODUCT(('Đơn vị – vũ khí'!$A$2:$A$311=A38)*('Đơn vị – vũ khí'!$F$2:$F$311=1)*N(+'Đơn vị – vũ khí'!$J$2:$J$311))</f>
        <v/>
      </c>
      <c r="J38" s="54">
        <f>SUMPRODUCT(('Đơn vị – vũ khí'!$A$2:$A$311=A38)*('Đơn vị – vũ khí'!$F$2:$F$311=1)*N(+'Đơn vị – vũ khí'!$K$2:$K$311))</f>
        <v/>
      </c>
      <c r="K38" s="54">
        <f>SUMPRODUCT(('Đơn vị – vũ khí'!$A$2:$A$311=A38)*('Đơn vị – vũ khí'!$F$2:$F$311=1)*N(+'Đơn vị – vũ khí'!$L$2:$L$311))</f>
        <v/>
      </c>
      <c r="L38" s="54">
        <f>IFERROR(I38/D38,"")</f>
        <v/>
      </c>
      <c r="M38" s="39" t="n"/>
    </row>
    <row r="39" ht="32.25" customHeight="1" s="32">
      <c r="A39" s="41" t="inlineStr">
        <is>
          <t>swarm_carrier</t>
        </is>
      </c>
      <c r="B39" s="41" t="inlineStr">
        <is>
          <t>Máy bay mẹ thả drone</t>
        </is>
      </c>
      <c r="C39" s="41" t="inlineStr">
        <is>
          <t>Xe</t>
        </is>
      </c>
      <c r="D39" s="43" t="n">
        <v>8</v>
      </c>
      <c r="E39" s="43" t="n">
        <v>41</v>
      </c>
      <c r="F39" s="43" t="n">
        <v>41</v>
      </c>
      <c r="G39" s="43" t="n">
        <v>0</v>
      </c>
      <c r="H39" s="55">
        <f>SUMPRODUCT(('Đơn vị – vũ khí'!$A$2:$A$311=A39)*('Đơn vị – vũ khí'!$F$2:$F$311=1)*N(+'Đơn vị – vũ khí'!$I$2:$I$311))</f>
        <v/>
      </c>
      <c r="I39" s="55">
        <f>SUMPRODUCT(('Đơn vị – vũ khí'!$A$2:$A$311=A39)*('Đơn vị – vũ khí'!$F$2:$F$311=1)*N(+'Đơn vị – vũ khí'!$J$2:$J$311))</f>
        <v/>
      </c>
      <c r="J39" s="55">
        <f>SUMPRODUCT(('Đơn vị – vũ khí'!$A$2:$A$311=A39)*('Đơn vị – vũ khí'!$F$2:$F$311=1)*N(+'Đơn vị – vũ khí'!$K$2:$K$311))</f>
        <v/>
      </c>
      <c r="K39" s="55">
        <f>SUMPRODUCT(('Đơn vị – vũ khí'!$A$2:$A$311=A39)*('Đơn vị – vũ khí'!$F$2:$F$311=1)*N(+'Đơn vị – vũ khí'!$L$2:$L$311))</f>
        <v/>
      </c>
      <c r="L39" s="55">
        <f>IFERROR(I39/D39,"")</f>
        <v/>
      </c>
      <c r="M39" s="41" t="inlineStr">
        <is>
          <t>Bỏ bom SDB; thêm 2 tên lửa hành trình Rapid Dragon mỗi lượt — C-130 không mang bom dẫn đường, nhưng thả được tên lửa hành trình theo pallet (Rapid Dragon); xứng với kích thước và giá mới 13 CP.</t>
        </is>
      </c>
    </row>
    <row r="40" ht="15" customHeight="1" s="32">
      <c r="A40" s="39" t="inlineStr">
        <is>
          <t>attack_helicopter</t>
        </is>
      </c>
      <c r="B40" s="39" t="inlineStr">
        <is>
          <t>Trực thăng tấn công</t>
        </is>
      </c>
      <c r="C40" s="39" t="inlineStr">
        <is>
          <t>Xe</t>
        </is>
      </c>
      <c r="D40" s="42" t="n">
        <v>11</v>
      </c>
      <c r="E40" s="42" t="n">
        <v>166</v>
      </c>
      <c r="F40" s="42" t="n">
        <v>104</v>
      </c>
      <c r="G40" s="42" t="n">
        <v>40</v>
      </c>
      <c r="H40" s="54">
        <f>SUMPRODUCT(('Đơn vị – vũ khí'!$A$2:$A$311=A40)*('Đơn vị – vũ khí'!$F$2:$F$311=1)*N(+'Đơn vị – vũ khí'!$I$2:$I$311))</f>
        <v/>
      </c>
      <c r="I40" s="54">
        <f>SUMPRODUCT(('Đơn vị – vũ khí'!$A$2:$A$311=A40)*('Đơn vị – vũ khí'!$F$2:$F$311=1)*N(+'Đơn vị – vũ khí'!$J$2:$J$311))</f>
        <v/>
      </c>
      <c r="J40" s="54">
        <f>SUMPRODUCT(('Đơn vị – vũ khí'!$A$2:$A$311=A40)*('Đơn vị – vũ khí'!$F$2:$F$311=1)*N(+'Đơn vị – vũ khí'!$K$2:$K$311))</f>
        <v/>
      </c>
      <c r="K40" s="54">
        <f>SUMPRODUCT(('Đơn vị – vũ khí'!$A$2:$A$311=A40)*('Đơn vị – vũ khí'!$F$2:$F$311=1)*N(+'Đơn vị – vũ khí'!$L$2:$L$311))</f>
        <v/>
      </c>
      <c r="L40" s="54">
        <f>IFERROR(I40/D40,"")</f>
        <v/>
      </c>
      <c r="M40" s="39" t="n"/>
    </row>
    <row r="41" ht="15" customHeight="1" s="32">
      <c r="A41" s="41" t="inlineStr">
        <is>
          <t>fighter_jet</t>
        </is>
      </c>
      <c r="B41" s="41" t="inlineStr">
        <is>
          <t>Tiêm kích</t>
        </is>
      </c>
      <c r="C41" s="41" t="inlineStr">
        <is>
          <t>Xe</t>
        </is>
      </c>
      <c r="D41" s="43" t="n">
        <v>12</v>
      </c>
      <c r="E41" s="43" t="n">
        <v>67</v>
      </c>
      <c r="F41" s="43" t="n">
        <v>33</v>
      </c>
      <c r="G41" s="43" t="n">
        <v>269</v>
      </c>
      <c r="H41" s="55">
        <f>SUMPRODUCT(('Đơn vị – vũ khí'!$A$2:$A$311=A41)*('Đơn vị – vũ khí'!$F$2:$F$311=1)*N(+'Đơn vị – vũ khí'!$I$2:$I$311))</f>
        <v/>
      </c>
      <c r="I41" s="55">
        <f>SUMPRODUCT(('Đơn vị – vũ khí'!$A$2:$A$311=A41)*('Đơn vị – vũ khí'!$F$2:$F$311=1)*N(+'Đơn vị – vũ khí'!$J$2:$J$311))</f>
        <v/>
      </c>
      <c r="J41" s="55">
        <f>SUMPRODUCT(('Đơn vị – vũ khí'!$A$2:$A$311=A41)*('Đơn vị – vũ khí'!$F$2:$F$311=1)*N(+'Đơn vị – vũ khí'!$K$2:$K$311))</f>
        <v/>
      </c>
      <c r="K41" s="55">
        <f>SUMPRODUCT(('Đơn vị – vũ khí'!$A$2:$A$311=A41)*('Đơn vị – vũ khí'!$F$2:$F$311=1)*N(+'Đơn vị – vũ khí'!$L$2:$L$311))</f>
        <v/>
      </c>
      <c r="L41" s="55">
        <f>IFERROR(I41/D41,"")</f>
        <v/>
      </c>
      <c r="M41" s="41" t="n"/>
    </row>
    <row r="42" ht="15" customHeight="1" s="32">
      <c r="A42" s="39" t="inlineStr">
        <is>
          <t>stealth_fighter</t>
        </is>
      </c>
      <c r="B42" s="39" t="inlineStr">
        <is>
          <t>Tiêm kích tàng hình</t>
        </is>
      </c>
      <c r="C42" s="39" t="inlineStr">
        <is>
          <t>Xe</t>
        </is>
      </c>
      <c r="D42" s="42" t="n">
        <v>14</v>
      </c>
      <c r="E42" s="42" t="n">
        <v>84</v>
      </c>
      <c r="F42" s="42" t="n">
        <v>51</v>
      </c>
      <c r="G42" s="42" t="n">
        <v>230</v>
      </c>
      <c r="H42" s="54">
        <f>SUMPRODUCT(('Đơn vị – vũ khí'!$A$2:$A$311=A42)*('Đơn vị – vũ khí'!$F$2:$F$311=1)*N(+'Đơn vị – vũ khí'!$I$2:$I$311))</f>
        <v/>
      </c>
      <c r="I42" s="54">
        <f>SUMPRODUCT(('Đơn vị – vũ khí'!$A$2:$A$311=A42)*('Đơn vị – vũ khí'!$F$2:$F$311=1)*N(+'Đơn vị – vũ khí'!$J$2:$J$311))</f>
        <v/>
      </c>
      <c r="J42" s="54">
        <f>SUMPRODUCT(('Đơn vị – vũ khí'!$A$2:$A$311=A42)*('Đơn vị – vũ khí'!$F$2:$F$311=1)*N(+'Đơn vị – vũ khí'!$K$2:$K$311))</f>
        <v/>
      </c>
      <c r="K42" s="54">
        <f>SUMPRODUCT(('Đơn vị – vũ khí'!$A$2:$A$311=A42)*('Đơn vị – vũ khí'!$F$2:$F$311=1)*N(+'Đơn vị – vũ khí'!$L$2:$L$311))</f>
        <v/>
      </c>
      <c r="L42" s="54">
        <f>IFERROR(I42/D42,"")</f>
        <v/>
      </c>
      <c r="M42" s="39" t="inlineStr">
        <is>
          <t>Thêm 1 AIM-120 mỗi lần đầy đạn — Kém tiêm kích thường ở vai trò chính.</t>
        </is>
      </c>
    </row>
    <row r="43" ht="15" customHeight="1" s="32">
      <c r="A43" s="41"/>
      <c r="B43" s="41"/>
      <c r="C43" s="41"/>
      <c r="D43" s="43"/>
      <c r="E43" s="43"/>
      <c r="F43" s="43"/>
      <c r="G43" s="43"/>
      <c r="H43" s="55"/>
      <c r="I43" s="55"/>
      <c r="J43" s="55"/>
      <c r="K43" s="55"/>
      <c r="L43" s="55"/>
      <c r="M43" s="41"/>
    </row>
    <row r="44" ht="21.75" customHeight="1" s="32">
      <c r="A44" s="39" t="inlineStr">
        <is>
          <t>attack_jet</t>
        </is>
      </c>
      <c r="B44" s="39" t="inlineStr">
        <is>
          <t>Máy bay cường kích</t>
        </is>
      </c>
      <c r="C44" s="39" t="inlineStr">
        <is>
          <t>Xe</t>
        </is>
      </c>
      <c r="D44" s="42" t="n">
        <v>16</v>
      </c>
      <c r="E44" s="42" t="n">
        <v>441</v>
      </c>
      <c r="F44" s="42" t="n">
        <v>244</v>
      </c>
      <c r="G44" s="42" t="n">
        <v>17</v>
      </c>
      <c r="H44" s="54">
        <f>SUMPRODUCT(('Đơn vị – vũ khí'!$A$2:$A$311=A44)*('Đơn vị – vũ khí'!$F$2:$F$311=1)*N(+'Đơn vị – vũ khí'!$I$2:$I$311))</f>
        <v/>
      </c>
      <c r="I44" s="54">
        <f>SUMPRODUCT(('Đơn vị – vũ khí'!$A$2:$A$311=A44)*('Đơn vị – vũ khí'!$F$2:$F$311=1)*N(+'Đơn vị – vũ khí'!$J$2:$J$311))</f>
        <v/>
      </c>
      <c r="J44" s="54">
        <f>SUMPRODUCT(('Đơn vị – vũ khí'!$A$2:$A$311=A44)*('Đơn vị – vũ khí'!$F$2:$F$311=1)*N(+'Đơn vị – vũ khí'!$K$2:$K$311))</f>
        <v/>
      </c>
      <c r="K44" s="54">
        <f>SUMPRODUCT(('Đơn vị – vũ khí'!$A$2:$A$311=A44)*('Đơn vị – vũ khí'!$F$2:$F$311=1)*N(+'Đơn vị – vũ khí'!$L$2:$L$311))</f>
        <v/>
      </c>
      <c r="L44" s="54">
        <f>IFERROR(I44/D44,"")</f>
        <v/>
      </c>
      <c r="M44" s="39" t="inlineStr">
        <is>
          <t>FAB-250: 2 → 1 quả mỗi lần đầy đạn — Giá trị lên công sự cao nhất nhóm cùng giá.</t>
        </is>
      </c>
    </row>
    <row r="45" ht="15" customHeight="1" s="32">
      <c r="A45" s="41" t="inlineStr">
        <is>
          <t>stealth_bomber</t>
        </is>
      </c>
      <c r="B45" s="41" t="inlineStr">
        <is>
          <t>Máy bay ném bom tàng hình</t>
        </is>
      </c>
      <c r="C45" s="41" t="inlineStr">
        <is>
          <t>Xe</t>
        </is>
      </c>
      <c r="D45" s="43" t="n">
        <v>18</v>
      </c>
      <c r="E45" s="43" t="n">
        <v>114</v>
      </c>
      <c r="F45" s="43" t="n">
        <v>98</v>
      </c>
      <c r="G45" s="43" t="n">
        <v>0</v>
      </c>
      <c r="H45" s="55">
        <f>SUMPRODUCT(('Đơn vị – vũ khí'!$A$2:$A$311=A45)*('Đơn vị – vũ khí'!$F$2:$F$311=1)*N(+'Đơn vị – vũ khí'!$I$2:$I$311))</f>
        <v/>
      </c>
      <c r="I45" s="55">
        <f>SUMPRODUCT(('Đơn vị – vũ khí'!$A$2:$A$311=A45)*('Đơn vị – vũ khí'!$F$2:$F$311=1)*N(+'Đơn vị – vũ khí'!$J$2:$J$311))</f>
        <v/>
      </c>
      <c r="J45" s="55">
        <f>SUMPRODUCT(('Đơn vị – vũ khí'!$A$2:$A$311=A45)*('Đơn vị – vũ khí'!$F$2:$F$311=1)*N(+'Đơn vị – vũ khí'!$K$2:$K$311))</f>
        <v/>
      </c>
      <c r="K45" s="55">
        <f>SUMPRODUCT(('Đơn vị – vũ khí'!$A$2:$A$311=A45)*('Đơn vị – vũ khí'!$F$2:$F$311=1)*N(+'Đơn vị – vũ khí'!$L$2:$L$311))</f>
        <v/>
      </c>
      <c r="L45" s="55">
        <f>IFERROR(I45/D45,"")</f>
        <v/>
      </c>
      <c r="M45" s="41" t="n"/>
    </row>
    <row r="46" ht="15" customHeight="1" s="32">
      <c r="A46" s="39" t="inlineStr">
        <is>
          <t>heavy_bomber</t>
        </is>
      </c>
      <c r="B46" s="39" t="inlineStr">
        <is>
          <t>Oanh tạc cơ hạng nặng</t>
        </is>
      </c>
      <c r="C46" s="39" t="inlineStr">
        <is>
          <t>Xe</t>
        </is>
      </c>
      <c r="D46" s="42" t="n">
        <v>22</v>
      </c>
      <c r="E46" s="42" t="n">
        <v>156</v>
      </c>
      <c r="F46" s="42" t="n">
        <v>149</v>
      </c>
      <c r="G46" s="42" t="n">
        <v>23</v>
      </c>
      <c r="H46" s="54">
        <f>SUMPRODUCT(('Đơn vị – vũ khí'!$A$2:$A$311=A46)*('Đơn vị – vũ khí'!$F$2:$F$311=1)*N(+'Đơn vị – vũ khí'!$I$2:$I$311))</f>
        <v/>
      </c>
      <c r="I46" s="54">
        <f>SUMPRODUCT(('Đơn vị – vũ khí'!$A$2:$A$311=A46)*('Đơn vị – vũ khí'!$F$2:$F$311=1)*N(+'Đơn vị – vũ khí'!$J$2:$J$311))</f>
        <v/>
      </c>
      <c r="J46" s="54">
        <f>SUMPRODUCT(('Đơn vị – vũ khí'!$A$2:$A$311=A46)*('Đơn vị – vũ khí'!$F$2:$F$311=1)*N(+'Đơn vị – vũ khí'!$K$2:$K$311))</f>
        <v/>
      </c>
      <c r="K46" s="54">
        <f>SUMPRODUCT(('Đơn vị – vũ khí'!$A$2:$A$311=A46)*('Đơn vị – vũ khí'!$F$2:$F$311=1)*N(+'Đơn vị – vũ khí'!$L$2:$L$311))</f>
        <v/>
      </c>
      <c r="L46" s="54">
        <f>IFERROR(I46/D46,"")</f>
        <v/>
      </c>
      <c r="M46" s="39" t="n"/>
    </row>
    <row r="47" ht="15" customHeight="1" s="32">
      <c r="A47" s="41" t="inlineStr">
        <is>
          <t>sky_gunship</t>
        </is>
      </c>
      <c r="B47" s="41" t="inlineStr">
        <is>
          <t>Pháo hạm AC-130</t>
        </is>
      </c>
      <c r="C47" s="41" t="inlineStr">
        <is>
          <t>Xe</t>
        </is>
      </c>
      <c r="D47" s="43" t="n">
        <v>22</v>
      </c>
      <c r="E47" s="43" t="n">
        <v>376</v>
      </c>
      <c r="F47" s="43" t="n">
        <v>188</v>
      </c>
      <c r="G47" s="43" t="n">
        <v>0</v>
      </c>
      <c r="H47" s="55">
        <f>SUMPRODUCT(('Đơn vị – vũ khí'!$A$2:$A$311=A47)*('Đơn vị – vũ khí'!$F$2:$F$311=1)*N(+'Đơn vị – vũ khí'!$I$2:$I$311))</f>
        <v/>
      </c>
      <c r="I47" s="55">
        <f>SUMPRODUCT(('Đơn vị – vũ khí'!$A$2:$A$311=A47)*('Đơn vị – vũ khí'!$F$2:$F$311=1)*N(+'Đơn vị – vũ khí'!$J$2:$J$311))</f>
        <v/>
      </c>
      <c r="J47" s="55">
        <f>SUMPRODUCT(('Đơn vị – vũ khí'!$A$2:$A$311=A47)*('Đơn vị – vũ khí'!$F$2:$F$311=1)*N(+'Đơn vị – vũ khí'!$K$2:$K$311))</f>
        <v/>
      </c>
      <c r="K47" s="55">
        <f>SUMPRODUCT(('Đơn vị – vũ khí'!$A$2:$A$311=A47)*('Đơn vị – vũ khí'!$F$2:$F$311=1)*N(+'Đơn vị – vũ khí'!$L$2:$L$311))</f>
        <v/>
      </c>
      <c r="L47" s="55">
        <f>IFERROR(I47/D47,"")</f>
        <v/>
      </c>
      <c r="M47" s="41" t="n"/>
    </row>
    <row r="48" ht="15" customHeight="1" s="32">
      <c r="A48" s="39"/>
      <c r="B48" s="39"/>
      <c r="C48" s="39"/>
      <c r="D48" s="42"/>
      <c r="E48" s="42"/>
      <c r="F48" s="42"/>
      <c r="G48" s="42"/>
      <c r="H48" s="54"/>
      <c r="I48" s="54"/>
      <c r="J48" s="54"/>
      <c r="K48" s="54"/>
      <c r="L48" s="54"/>
      <c r="M48" s="39"/>
    </row>
    <row r="49" ht="15" customHeight="1" s="32">
      <c r="A49" s="41" t="inlineStr">
        <is>
          <t>armored_bulldozer</t>
        </is>
      </c>
      <c r="B49" s="41" t="inlineStr">
        <is>
          <t>Xe ủi bọc thép</t>
        </is>
      </c>
      <c r="C49" s="41" t="inlineStr">
        <is>
          <t>Xe</t>
        </is>
      </c>
      <c r="D49" s="43" t="n">
        <v>7</v>
      </c>
      <c r="E49" s="43" t="n">
        <v>91</v>
      </c>
      <c r="F49" s="43" t="n">
        <v>37</v>
      </c>
      <c r="G49" s="43" t="n">
        <v>16</v>
      </c>
      <c r="H49" s="55">
        <f>SUMPRODUCT(('Đơn vị – vũ khí'!$A$2:$A$311=A49)*('Đơn vị – vũ khí'!$F$2:$F$311=1)*N(+'Đơn vị – vũ khí'!$I$2:$I$311))</f>
        <v/>
      </c>
      <c r="I49" s="55">
        <f>SUMPRODUCT(('Đơn vị – vũ khí'!$A$2:$A$311=A49)*('Đơn vị – vũ khí'!$F$2:$F$311=1)*N(+'Đơn vị – vũ khí'!$J$2:$J$311))</f>
        <v/>
      </c>
      <c r="J49" s="55">
        <f>SUMPRODUCT(('Đơn vị – vũ khí'!$A$2:$A$311=A49)*('Đơn vị – vũ khí'!$F$2:$F$311=1)*N(+'Đơn vị – vũ khí'!$K$2:$K$311))</f>
        <v/>
      </c>
      <c r="K49" s="55">
        <f>SUMPRODUCT(('Đơn vị – vũ khí'!$A$2:$A$311=A49)*('Đơn vị – vũ khí'!$F$2:$F$311=1)*N(+'Đơn vị – vũ khí'!$L$2:$L$311))</f>
        <v/>
      </c>
      <c r="L49" s="55">
        <f>IFERROR(I49/D49,"")</f>
        <v/>
      </c>
      <c r="M49" s="41" t="n"/>
    </row>
    <row r="50" ht="15" customHeight="1" s="32">
      <c r="A50" s="39" t="inlineStr">
        <is>
          <t>main_battle_tank</t>
        </is>
      </c>
      <c r="B50" s="39" t="inlineStr">
        <is>
          <t>Tăng chủ lực</t>
        </is>
      </c>
      <c r="C50" s="39" t="inlineStr">
        <is>
          <t>Xe</t>
        </is>
      </c>
      <c r="D50" s="42" t="n">
        <v>7</v>
      </c>
      <c r="E50" s="42" t="n">
        <v>126</v>
      </c>
      <c r="F50" s="42" t="n">
        <v>65</v>
      </c>
      <c r="G50" s="42" t="n">
        <v>28</v>
      </c>
      <c r="H50" s="54">
        <f>SUMPRODUCT(('Đơn vị – vũ khí'!$A$2:$A$311=A50)*('Đơn vị – vũ khí'!$F$2:$F$311=1)*N(+'Đơn vị – vũ khí'!$I$2:$I$311))</f>
        <v/>
      </c>
      <c r="I50" s="54">
        <f>SUMPRODUCT(('Đơn vị – vũ khí'!$A$2:$A$311=A50)*('Đơn vị – vũ khí'!$F$2:$F$311=1)*N(+'Đơn vị – vũ khí'!$J$2:$J$311))</f>
        <v/>
      </c>
      <c r="J50" s="54">
        <f>SUMPRODUCT(('Đơn vị – vũ khí'!$A$2:$A$311=A50)*('Đơn vị – vũ khí'!$F$2:$F$311=1)*N(+'Đơn vị – vũ khí'!$K$2:$K$311))</f>
        <v/>
      </c>
      <c r="K50" s="54">
        <f>SUMPRODUCT(('Đơn vị – vũ khí'!$A$2:$A$311=A50)*('Đơn vị – vũ khí'!$F$2:$F$311=1)*N(+'Đơn vị – vũ khí'!$L$2:$L$311))</f>
        <v/>
      </c>
      <c r="L50" s="54">
        <f>IFERROR(I50/D50,"")</f>
        <v/>
      </c>
      <c r="M50" s="39" t="n"/>
    </row>
    <row r="51" ht="15" customHeight="1" s="32">
      <c r="A51" s="41" t="inlineStr">
        <is>
          <t>twin_tank</t>
        </is>
      </c>
      <c r="B51" s="41" t="inlineStr">
        <is>
          <t>Tăng hai nòng</t>
        </is>
      </c>
      <c r="C51" s="41" t="inlineStr">
        <is>
          <t>Xe</t>
        </is>
      </c>
      <c r="D51" s="43" t="n">
        <v>9</v>
      </c>
      <c r="E51" s="43" t="n">
        <v>181</v>
      </c>
      <c r="F51" s="43" t="n">
        <v>111</v>
      </c>
      <c r="G51" s="43" t="n">
        <v>28</v>
      </c>
      <c r="H51" s="55">
        <f>SUMPRODUCT(('Đơn vị – vũ khí'!$A$2:$A$311=A51)*('Đơn vị – vũ khí'!$F$2:$F$311=1)*N(+'Đơn vị – vũ khí'!$I$2:$I$311))</f>
        <v/>
      </c>
      <c r="I51" s="55">
        <f>SUMPRODUCT(('Đơn vị – vũ khí'!$A$2:$A$311=A51)*('Đơn vị – vũ khí'!$F$2:$F$311=1)*N(+'Đơn vị – vũ khí'!$J$2:$J$311))</f>
        <v/>
      </c>
      <c r="J51" s="55">
        <f>SUMPRODUCT(('Đơn vị – vũ khí'!$A$2:$A$311=A51)*('Đơn vị – vũ khí'!$F$2:$F$311=1)*N(+'Đơn vị – vũ khí'!$K$2:$K$311))</f>
        <v/>
      </c>
      <c r="K51" s="55">
        <f>SUMPRODUCT(('Đơn vị – vũ khí'!$A$2:$A$311=A51)*('Đơn vị – vũ khí'!$F$2:$F$311=1)*N(+'Đơn vị – vũ khí'!$L$2:$L$311))</f>
        <v/>
      </c>
      <c r="L51" s="55">
        <f>IFERROR(I51/D51,"")</f>
        <v/>
      </c>
      <c r="M51" s="41" t="n"/>
    </row>
    <row r="52" ht="15" customHeight="1" s="32">
      <c r="A52" s="39" t="inlineStr">
        <is>
          <t>heavy_tank</t>
        </is>
      </c>
      <c r="B52" s="39" t="inlineStr">
        <is>
          <t>Tăng hạng nặng</t>
        </is>
      </c>
      <c r="C52" s="39" t="inlineStr">
        <is>
          <t>Xe</t>
        </is>
      </c>
      <c r="D52" s="42" t="n">
        <v>12</v>
      </c>
      <c r="E52" s="42" t="n">
        <v>179</v>
      </c>
      <c r="F52" s="42" t="n">
        <v>102</v>
      </c>
      <c r="G52" s="42" t="n">
        <v>16</v>
      </c>
      <c r="H52" s="54">
        <f>SUMPRODUCT(('Đơn vị – vũ khí'!$A$2:$A$311=A52)*('Đơn vị – vũ khí'!$F$2:$F$311=1)*N(+'Đơn vị – vũ khí'!$I$2:$I$311))</f>
        <v/>
      </c>
      <c r="I52" s="54">
        <f>SUMPRODUCT(('Đơn vị – vũ khí'!$A$2:$A$311=A52)*('Đơn vị – vũ khí'!$F$2:$F$311=1)*N(+'Đơn vị – vũ khí'!$J$2:$J$311))</f>
        <v/>
      </c>
      <c r="J52" s="54">
        <f>SUMPRODUCT(('Đơn vị – vũ khí'!$A$2:$A$311=A52)*('Đơn vị – vũ khí'!$F$2:$F$311=1)*N(+'Đơn vị – vũ khí'!$K$2:$K$311))</f>
        <v/>
      </c>
      <c r="K52" s="54">
        <f>SUMPRODUCT(('Đơn vị – vũ khí'!$A$2:$A$311=A52)*('Đơn vị – vũ khí'!$F$2:$F$311=1)*N(+'Đơn vị – vũ khí'!$L$2:$L$311))</f>
        <v/>
      </c>
      <c r="L52" s="54">
        <f>IFERROR(I52/D52,"")</f>
        <v/>
      </c>
      <c r="M52" s="39" t="n"/>
    </row>
    <row r="53" ht="15" customHeight="1" s="32">
      <c r="A53" s="41" t="inlineStr">
        <is>
          <t>titan_tank</t>
        </is>
      </c>
      <c r="B53" s="41" t="inlineStr">
        <is>
          <t>Siêu tăng Titan</t>
        </is>
      </c>
      <c r="C53" s="41" t="inlineStr">
        <is>
          <t>Xe</t>
        </is>
      </c>
      <c r="D53" s="43" t="n">
        <v>16</v>
      </c>
      <c r="E53" s="43" t="n">
        <v>241</v>
      </c>
      <c r="F53" s="43" t="n">
        <v>161</v>
      </c>
      <c r="G53" s="43" t="n">
        <v>28</v>
      </c>
      <c r="H53" s="55">
        <f>SUMPRODUCT(('Đơn vị – vũ khí'!$A$2:$A$311=A53)*('Đơn vị – vũ khí'!$F$2:$F$311=1)*N(+'Đơn vị – vũ khí'!$I$2:$I$311))</f>
        <v/>
      </c>
      <c r="I53" s="55">
        <f>SUMPRODUCT(('Đơn vị – vũ khí'!$A$2:$A$311=A53)*('Đơn vị – vũ khí'!$F$2:$F$311=1)*N(+'Đơn vị – vũ khí'!$J$2:$J$311))</f>
        <v/>
      </c>
      <c r="J53" s="55">
        <f>SUMPRODUCT(('Đơn vị – vũ khí'!$A$2:$A$311=A53)*('Đơn vị – vũ khí'!$F$2:$F$311=1)*N(+'Đơn vị – vũ khí'!$K$2:$K$311))</f>
        <v/>
      </c>
      <c r="K53" s="55">
        <f>SUMPRODUCT(('Đơn vị – vũ khí'!$A$2:$A$311=A53)*('Đơn vị – vũ khí'!$F$2:$F$311=1)*N(+'Đơn vị – vũ khí'!$L$2:$L$311))</f>
        <v/>
      </c>
      <c r="L53" s="55">
        <f>IFERROR(I53/D53,"")</f>
        <v/>
      </c>
      <c r="M53" s="41" t="n"/>
    </row>
    <row r="54" ht="15" customHeight="1" s="32">
      <c r="A54" s="39" t="inlineStr">
        <is>
          <t>fpv_carrier</t>
        </is>
      </c>
      <c r="B54" s="39" t="inlineStr">
        <is>
          <t>Xe phóng drone FPV</t>
        </is>
      </c>
      <c r="C54" s="39" t="inlineStr">
        <is>
          <t>Xe</t>
        </is>
      </c>
      <c r="D54" s="42" t="n">
        <v>6</v>
      </c>
      <c r="E54" s="42" t="n">
        <v>87</v>
      </c>
      <c r="F54" s="42" t="n">
        <v>55</v>
      </c>
      <c r="G54" s="42" t="n">
        <v>16</v>
      </c>
      <c r="H54" s="54">
        <f>SUMPRODUCT(('Đơn vị – vũ khí'!$A$2:$A$311=A54)*('Đơn vị – vũ khí'!$F$2:$F$311=1)*N(+'Đơn vị – vũ khí'!$I$2:$I$311))</f>
        <v/>
      </c>
      <c r="I54" s="54">
        <f>SUMPRODUCT(('Đơn vị – vũ khí'!$A$2:$A$311=A54)*('Đơn vị – vũ khí'!$F$2:$F$311=1)*N(+'Đơn vị – vũ khí'!$J$2:$J$311))</f>
        <v/>
      </c>
      <c r="J54" s="54">
        <f>SUMPRODUCT(('Đơn vị – vũ khí'!$A$2:$A$311=A54)*('Đơn vị – vũ khí'!$F$2:$F$311=1)*N(+'Đơn vị – vũ khí'!$K$2:$K$311))</f>
        <v/>
      </c>
      <c r="K54" s="54">
        <f>SUMPRODUCT(('Đơn vị – vũ khí'!$A$2:$A$311=A54)*('Đơn vị – vũ khí'!$F$2:$F$311=1)*N(+'Đơn vị – vũ khí'!$L$2:$L$311))</f>
        <v/>
      </c>
      <c r="L54" s="54">
        <f>IFERROR(I54/D54,"")</f>
        <v/>
      </c>
      <c r="M54" s="39" t="n"/>
    </row>
    <row r="55" ht="15" customHeight="1" s="32">
      <c r="A55" s="41"/>
      <c r="B55" s="41"/>
      <c r="C55" s="41"/>
      <c r="D55" s="43"/>
      <c r="E55" s="43"/>
      <c r="F55" s="43"/>
      <c r="G55" s="43"/>
      <c r="H55" s="55"/>
      <c r="I55" s="55"/>
      <c r="J55" s="55"/>
      <c r="K55" s="55"/>
      <c r="L55" s="55"/>
      <c r="M55" s="41"/>
    </row>
    <row r="56" ht="21.75" customHeight="1" s="32">
      <c r="A56" s="39" t="inlineStr">
        <is>
          <t>wheeled_gun</t>
        </is>
      </c>
      <c r="B56" s="39" t="inlineStr">
        <is>
          <t>Pháo bánh lốp diệt tăng</t>
        </is>
      </c>
      <c r="C56" s="39" t="inlineStr">
        <is>
          <t>Xe</t>
        </is>
      </c>
      <c r="D56" s="42" t="n">
        <v>6</v>
      </c>
      <c r="E56" s="42" t="n">
        <v>136</v>
      </c>
      <c r="F56" s="42" t="n">
        <v>99</v>
      </c>
      <c r="G56" s="42" t="n">
        <v>12</v>
      </c>
      <c r="H56" s="54">
        <f>SUMPRODUCT(('Đơn vị – vũ khí'!$A$2:$A$311=A56)*('Đơn vị – vũ khí'!$F$2:$F$311=1)*N(+'Đơn vị – vũ khí'!$I$2:$I$311))</f>
        <v/>
      </c>
      <c r="I56" s="54">
        <f>SUMPRODUCT(('Đơn vị – vũ khí'!$A$2:$A$311=A56)*('Đơn vị – vũ khí'!$F$2:$F$311=1)*N(+'Đơn vị – vũ khí'!$J$2:$J$311))</f>
        <v/>
      </c>
      <c r="J56" s="54">
        <f>SUMPRODUCT(('Đơn vị – vũ khí'!$A$2:$A$311=A56)*('Đơn vị – vũ khí'!$F$2:$F$311=1)*N(+'Đơn vị – vũ khí'!$K$2:$K$311))</f>
        <v/>
      </c>
      <c r="K56" s="54">
        <f>SUMPRODUCT(('Đơn vị – vũ khí'!$A$2:$A$311=A56)*('Đơn vị – vũ khí'!$F$2:$F$311=1)*N(+'Đơn vị – vũ khí'!$L$2:$L$311))</f>
        <v/>
      </c>
      <c r="L56" s="54">
        <f>IFERROR(I56/D56,"")</f>
        <v/>
      </c>
      <c r="M56" s="39" t="inlineStr">
        <is>
          <t>Thêm súng máy 12,7 mm trên nóc — Centauro II có súng máy trên nóc; tự vệ trước drone và xe nhẹ.</t>
        </is>
      </c>
    </row>
    <row r="57" ht="15" customHeight="1" s="32">
      <c r="A57" s="41" t="inlineStr">
        <is>
          <t>tank_destroyer</t>
        </is>
      </c>
      <c r="B57" s="41" t="inlineStr">
        <is>
          <t>Pháo chống tăng</t>
        </is>
      </c>
      <c r="C57" s="41" t="inlineStr">
        <is>
          <t>Xe</t>
        </is>
      </c>
      <c r="D57" s="43" t="n">
        <v>7</v>
      </c>
      <c r="E57" s="43" t="n">
        <v>128</v>
      </c>
      <c r="F57" s="43" t="n">
        <v>82</v>
      </c>
      <c r="G57" s="43" t="n">
        <v>16</v>
      </c>
      <c r="H57" s="55">
        <f>SUMPRODUCT(('Đơn vị – vũ khí'!$A$2:$A$311=A57)*('Đơn vị – vũ khí'!$F$2:$F$311=1)*N(+'Đơn vị – vũ khí'!$I$2:$I$311))</f>
        <v/>
      </c>
      <c r="I57" s="55">
        <f>SUMPRODUCT(('Đơn vị – vũ khí'!$A$2:$A$311=A57)*('Đơn vị – vũ khí'!$F$2:$F$311=1)*N(+'Đơn vị – vũ khí'!$J$2:$J$311))</f>
        <v/>
      </c>
      <c r="J57" s="55">
        <f>SUMPRODUCT(('Đơn vị – vũ khí'!$A$2:$A$311=A57)*('Đơn vị – vũ khí'!$F$2:$F$311=1)*N(+'Đơn vị – vũ khí'!$K$2:$K$311))</f>
        <v/>
      </c>
      <c r="K57" s="55">
        <f>SUMPRODUCT(('Đơn vị – vũ khí'!$A$2:$A$311=A57)*('Đơn vị – vũ khí'!$F$2:$F$311=1)*N(+'Đơn vị – vũ khí'!$L$2:$L$311))</f>
        <v/>
      </c>
      <c r="L57" s="55">
        <f>IFERROR(I57/D57,"")</f>
        <v/>
      </c>
      <c r="M57" s="41" t="n"/>
    </row>
    <row r="58" ht="15" customHeight="1" s="32">
      <c r="A58" s="39" t="inlineStr">
        <is>
          <t>railgun_truck</t>
        </is>
      </c>
      <c r="B58" s="39" t="inlineStr">
        <is>
          <t>Xe súng điện từ</t>
        </is>
      </c>
      <c r="C58" s="39" t="inlineStr">
        <is>
          <t>Xe</t>
        </is>
      </c>
      <c r="D58" s="42" t="n">
        <v>9</v>
      </c>
      <c r="E58" s="42" t="n">
        <v>87</v>
      </c>
      <c r="F58" s="42" t="n">
        <v>73</v>
      </c>
      <c r="G58" s="42" t="n">
        <v>0</v>
      </c>
      <c r="H58" s="54">
        <f>SUMPRODUCT(('Đơn vị – vũ khí'!$A$2:$A$311=A58)*('Đơn vị – vũ khí'!$F$2:$F$311=1)*N(+'Đơn vị – vũ khí'!$I$2:$I$311))</f>
        <v/>
      </c>
      <c r="I58" s="54">
        <f>SUMPRODUCT(('Đơn vị – vũ khí'!$A$2:$A$311=A58)*('Đơn vị – vũ khí'!$F$2:$F$311=1)*N(+'Đơn vị – vũ khí'!$J$2:$J$311))</f>
        <v/>
      </c>
      <c r="J58" s="54">
        <f>SUMPRODUCT(('Đơn vị – vũ khí'!$A$2:$A$311=A58)*('Đơn vị – vũ khí'!$F$2:$F$311=1)*N(+'Đơn vị – vũ khí'!$K$2:$K$311))</f>
        <v/>
      </c>
      <c r="K58" s="54">
        <f>SUMPRODUCT(('Đơn vị – vũ khí'!$A$2:$A$311=A58)*('Đơn vị – vũ khí'!$F$2:$F$311=1)*N(+'Đơn vị – vũ khí'!$L$2:$L$311))</f>
        <v/>
      </c>
      <c r="L58" s="54">
        <f>IFERROR(I58/D58,"")</f>
        <v/>
      </c>
      <c r="M58" s="39" t="n"/>
    </row>
    <row r="59" ht="15" customHeight="1" s="32">
      <c r="A59" s="41" t="inlineStr">
        <is>
          <t>laser_tank</t>
        </is>
      </c>
      <c r="B59" s="41" t="inlineStr">
        <is>
          <t>Xe la-de tập trung</t>
        </is>
      </c>
      <c r="C59" s="41" t="inlineStr">
        <is>
          <t>Xe</t>
        </is>
      </c>
      <c r="D59" s="43" t="n">
        <v>10</v>
      </c>
      <c r="E59" s="43" t="n">
        <v>128</v>
      </c>
      <c r="F59" s="43" t="n">
        <v>106</v>
      </c>
      <c r="G59" s="43" t="n">
        <v>0</v>
      </c>
      <c r="H59" s="55">
        <f>SUMPRODUCT(('Đơn vị – vũ khí'!$A$2:$A$311=A59)*('Đơn vị – vũ khí'!$F$2:$F$311=1)*N(+'Đơn vị – vũ khí'!$I$2:$I$311))</f>
        <v/>
      </c>
      <c r="I59" s="55">
        <f>SUMPRODUCT(('Đơn vị – vũ khí'!$A$2:$A$311=A59)*('Đơn vị – vũ khí'!$F$2:$F$311=1)*N(+'Đơn vị – vũ khí'!$J$2:$J$311))</f>
        <v/>
      </c>
      <c r="J59" s="55">
        <f>SUMPRODUCT(('Đơn vị – vũ khí'!$A$2:$A$311=A59)*('Đơn vị – vũ khí'!$F$2:$F$311=1)*N(+'Đơn vị – vũ khí'!$K$2:$K$311))</f>
        <v/>
      </c>
      <c r="K59" s="55">
        <f>SUMPRODUCT(('Đơn vị – vũ khí'!$A$2:$A$311=A59)*('Đơn vị – vũ khí'!$F$2:$F$311=1)*N(+'Đơn vị – vũ khí'!$L$2:$L$311))</f>
        <v/>
      </c>
      <c r="L59" s="55">
        <f>IFERROR(I59/D59,"")</f>
        <v/>
      </c>
      <c r="M59" s="41" t="n"/>
    </row>
    <row r="60" ht="15" customHeight="1" s="32">
      <c r="A60" s="39" t="inlineStr">
        <is>
          <t>aa_turret</t>
        </is>
      </c>
      <c r="B60" s="39" t="inlineStr">
        <is>
          <t>Tháp phòng không</t>
        </is>
      </c>
      <c r="C60" s="39" t="inlineStr">
        <is>
          <t>Công trình</t>
        </is>
      </c>
      <c r="D60" s="39" t="n"/>
      <c r="E60" s="42" t="n">
        <v>46</v>
      </c>
      <c r="F60" s="42" t="n">
        <v>19</v>
      </c>
      <c r="G60" s="42" t="n">
        <v>300</v>
      </c>
      <c r="H60" s="54">
        <f>SUMPRODUCT(('Đơn vị – vũ khí'!$A$2:$A$311=A60)*('Đơn vị – vũ khí'!$F$2:$F$311=1)*N(+'Đơn vị – vũ khí'!$I$2:$I$311))</f>
        <v/>
      </c>
      <c r="I60" s="54">
        <f>SUMPRODUCT(('Đơn vị – vũ khí'!$A$2:$A$311=A60)*('Đơn vị – vũ khí'!$F$2:$F$311=1)*N(+'Đơn vị – vũ khí'!$J$2:$J$311))</f>
        <v/>
      </c>
      <c r="J60" s="54">
        <f>SUMPRODUCT(('Đơn vị – vũ khí'!$A$2:$A$311=A60)*('Đơn vị – vũ khí'!$F$2:$F$311=1)*N(+'Đơn vị – vũ khí'!$K$2:$K$311))</f>
        <v/>
      </c>
      <c r="K60" s="54">
        <f>SUMPRODUCT(('Đơn vị – vũ khí'!$A$2:$A$311=A60)*('Đơn vị – vũ khí'!$F$2:$F$311=1)*N(+'Đơn vị – vũ khí'!$L$2:$L$311))</f>
        <v/>
      </c>
      <c r="L60" s="54">
        <f>IFERROR(I60/D60,"")</f>
        <v/>
      </c>
      <c r="M60" s="39" t="n"/>
    </row>
    <row r="61" ht="21.75" customHeight="1" s="32">
      <c r="A61" s="41" t="inlineStr">
        <is>
          <t>aa_turret.flak</t>
        </is>
      </c>
      <c r="B61" s="41" t="inlineStr">
        <is>
          <t>Tháp phòng không · nhánh Tháp cao xạ</t>
        </is>
      </c>
      <c r="C61" s="41" t="inlineStr">
        <is>
          <t>Công trình</t>
        </is>
      </c>
      <c r="D61" s="41" t="n"/>
      <c r="E61" s="43" t="n">
        <v>100</v>
      </c>
      <c r="F61" s="43" t="n">
        <v>29</v>
      </c>
      <c r="G61" s="43" t="n">
        <v>305</v>
      </c>
      <c r="H61" s="55">
        <f>SUMPRODUCT(('Đơn vị – vũ khí'!$A$2:$A$311=A61)*('Đơn vị – vũ khí'!$F$2:$F$311=1)*N(+'Đơn vị – vũ khí'!$I$2:$I$311))</f>
        <v/>
      </c>
      <c r="I61" s="55">
        <f>SUMPRODUCT(('Đơn vị – vũ khí'!$A$2:$A$311=A61)*('Đơn vị – vũ khí'!$F$2:$F$311=1)*N(+'Đơn vị – vũ khí'!$J$2:$J$311))</f>
        <v/>
      </c>
      <c r="J61" s="55">
        <f>SUMPRODUCT(('Đơn vị – vũ khí'!$A$2:$A$311=A61)*('Đơn vị – vũ khí'!$F$2:$F$311=1)*N(+'Đơn vị – vũ khí'!$K$2:$K$311))</f>
        <v/>
      </c>
      <c r="K61" s="55">
        <f>SUMPRODUCT(('Đơn vị – vũ khí'!$A$2:$A$311=A61)*('Đơn vị – vũ khí'!$F$2:$F$311=1)*N(+'Đơn vị – vũ khí'!$L$2:$L$311))</f>
        <v/>
      </c>
      <c r="L61" s="55">
        <f>IFERROR(I61/D61,"")</f>
        <v/>
      </c>
      <c r="M61" s="41" t="n"/>
    </row>
    <row r="62" ht="21.75" customHeight="1" s="32">
      <c r="A62" s="39" t="inlineStr">
        <is>
          <t>aa_turret.sam</t>
        </is>
      </c>
      <c r="B62" s="39" t="inlineStr">
        <is>
          <t>Tháp phòng không · nhánh Trạm tên lửa</t>
        </is>
      </c>
      <c r="C62" s="39" t="inlineStr">
        <is>
          <t>Công trình</t>
        </is>
      </c>
      <c r="D62" s="39" t="n"/>
      <c r="E62" s="42" t="n">
        <v>0</v>
      </c>
      <c r="F62" s="42" t="n">
        <v>0</v>
      </c>
      <c r="G62" s="42" t="n">
        <v>213</v>
      </c>
      <c r="H62" s="54">
        <f>SUMPRODUCT(('Đơn vị – vũ khí'!$A$2:$A$311=A62)*('Đơn vị – vũ khí'!$F$2:$F$311=1)*N(+'Đơn vị – vũ khí'!$I$2:$I$311))</f>
        <v/>
      </c>
      <c r="I62" s="54">
        <f>SUMPRODUCT(('Đơn vị – vũ khí'!$A$2:$A$311=A62)*('Đơn vị – vũ khí'!$F$2:$F$311=1)*N(+'Đơn vị – vũ khí'!$J$2:$J$311))</f>
        <v/>
      </c>
      <c r="J62" s="54">
        <f>SUMPRODUCT(('Đơn vị – vũ khí'!$A$2:$A$311=A62)*('Đơn vị – vũ khí'!$F$2:$F$311=1)*N(+'Đơn vị – vũ khí'!$K$2:$K$311))</f>
        <v/>
      </c>
      <c r="K62" s="54">
        <f>SUMPRODUCT(('Đơn vị – vũ khí'!$A$2:$A$311=A62)*('Đơn vị – vũ khí'!$F$2:$F$311=1)*N(+'Đơn vị – vũ khí'!$L$2:$L$311))</f>
        <v/>
      </c>
      <c r="L62" s="54">
        <f>IFERROR(I62/D62,"")</f>
        <v/>
      </c>
      <c r="M62" s="39" t="n"/>
    </row>
    <row r="63" ht="15" customHeight="1" s="32">
      <c r="A63" s="41" t="inlineStr">
        <is>
          <t>guard_tower</t>
        </is>
      </c>
      <c r="B63" s="41" t="inlineStr">
        <is>
          <t>Tháp canh</t>
        </is>
      </c>
      <c r="C63" s="41" t="inlineStr">
        <is>
          <t>Công trình</t>
        </is>
      </c>
      <c r="D63" s="41" t="n"/>
      <c r="E63" s="43" t="n">
        <v>75</v>
      </c>
      <c r="F63" s="43" t="n">
        <v>22</v>
      </c>
      <c r="G63" s="43" t="n">
        <v>27</v>
      </c>
      <c r="H63" s="55">
        <f>SUMPRODUCT(('Đơn vị – vũ khí'!$A$2:$A$311=A63)*('Đơn vị – vũ khí'!$F$2:$F$311=1)*N(+'Đơn vị – vũ khí'!$I$2:$I$311))</f>
        <v/>
      </c>
      <c r="I63" s="55">
        <f>SUMPRODUCT(('Đơn vị – vũ khí'!$A$2:$A$311=A63)*('Đơn vị – vũ khí'!$F$2:$F$311=1)*N(+'Đơn vị – vũ khí'!$J$2:$J$311))</f>
        <v/>
      </c>
      <c r="J63" s="55">
        <f>SUMPRODUCT(('Đơn vị – vũ khí'!$A$2:$A$311=A63)*('Đơn vị – vũ khí'!$F$2:$F$311=1)*N(+'Đơn vị – vũ khí'!$K$2:$K$311))</f>
        <v/>
      </c>
      <c r="K63" s="55">
        <f>SUMPRODUCT(('Đơn vị – vũ khí'!$A$2:$A$311=A63)*('Đơn vị – vũ khí'!$F$2:$F$311=1)*N(+'Đơn vị – vũ khí'!$L$2:$L$311))</f>
        <v/>
      </c>
      <c r="L63" s="55">
        <f>IFERROR(I63/D63,"")</f>
        <v/>
      </c>
      <c r="M63" s="41" t="n"/>
    </row>
    <row r="64" ht="15" customHeight="1" s="32">
      <c r="A64" s="39" t="inlineStr">
        <is>
          <t>guard_tower.watch</t>
        </is>
      </c>
      <c r="B64" s="39" t="inlineStr">
        <is>
          <t>Tháp canh · nhánh Tháp quan sát</t>
        </is>
      </c>
      <c r="C64" s="39" t="inlineStr">
        <is>
          <t>Công trình</t>
        </is>
      </c>
      <c r="D64" s="39" t="n"/>
      <c r="E64" s="42" t="n">
        <v>75</v>
      </c>
      <c r="F64" s="42" t="n">
        <v>22</v>
      </c>
      <c r="G64" s="42" t="n">
        <v>27</v>
      </c>
      <c r="H64" s="54">
        <f>SUMPRODUCT(('Đơn vị – vũ khí'!$A$2:$A$311=A64)*('Đơn vị – vũ khí'!$F$2:$F$311=1)*N(+'Đơn vị – vũ khí'!$I$2:$I$311))</f>
        <v/>
      </c>
      <c r="I64" s="54">
        <f>SUMPRODUCT(('Đơn vị – vũ khí'!$A$2:$A$311=A64)*('Đơn vị – vũ khí'!$F$2:$F$311=1)*N(+'Đơn vị – vũ khí'!$J$2:$J$311))</f>
        <v/>
      </c>
      <c r="J64" s="54">
        <f>SUMPRODUCT(('Đơn vị – vũ khí'!$A$2:$A$311=A64)*('Đơn vị – vũ khí'!$F$2:$F$311=1)*N(+'Đơn vị – vũ khí'!$K$2:$K$311))</f>
        <v/>
      </c>
      <c r="K64" s="54">
        <f>SUMPRODUCT(('Đơn vị – vũ khí'!$A$2:$A$311=A64)*('Đơn vị – vũ khí'!$F$2:$F$311=1)*N(+'Đơn vị – vũ khí'!$L$2:$L$311))</f>
        <v/>
      </c>
      <c r="L64" s="54">
        <f>IFERROR(I64/D64,"")</f>
        <v/>
      </c>
      <c r="M64" s="39" t="n"/>
    </row>
    <row r="65" ht="15" customHeight="1" s="32">
      <c r="A65" s="41" t="inlineStr">
        <is>
          <t>guard_tower.nest</t>
        </is>
      </c>
      <c r="B65" s="41" t="inlineStr">
        <is>
          <t>Tháp canh · nhánh Ổ súng</t>
        </is>
      </c>
      <c r="C65" s="41" t="inlineStr">
        <is>
          <t>Công trình</t>
        </is>
      </c>
      <c r="D65" s="41" t="n"/>
      <c r="E65" s="43" t="n">
        <v>69</v>
      </c>
      <c r="F65" s="43" t="n">
        <v>34</v>
      </c>
      <c r="G65" s="43" t="n">
        <v>0</v>
      </c>
      <c r="H65" s="55">
        <f>SUMPRODUCT(('Đơn vị – vũ khí'!$A$2:$A$311=A65)*('Đơn vị – vũ khí'!$F$2:$F$311=1)*N(+'Đơn vị – vũ khí'!$I$2:$I$311))</f>
        <v/>
      </c>
      <c r="I65" s="55">
        <f>SUMPRODUCT(('Đơn vị – vũ khí'!$A$2:$A$311=A65)*('Đơn vị – vũ khí'!$F$2:$F$311=1)*N(+'Đơn vị – vũ khí'!$J$2:$J$311))</f>
        <v/>
      </c>
      <c r="J65" s="55">
        <f>SUMPRODUCT(('Đơn vị – vũ khí'!$A$2:$A$311=A65)*('Đơn vị – vũ khí'!$F$2:$F$311=1)*N(+'Đơn vị – vũ khí'!$K$2:$K$311))</f>
        <v/>
      </c>
      <c r="K65" s="55">
        <f>SUMPRODUCT(('Đơn vị – vũ khí'!$A$2:$A$311=A65)*('Đơn vị – vũ khí'!$F$2:$F$311=1)*N(+'Đơn vị – vũ khí'!$L$2:$L$311))</f>
        <v/>
      </c>
      <c r="L65" s="55">
        <f>IFERROR(I65/D65,"")</f>
        <v/>
      </c>
      <c r="M65" s="41" t="n"/>
    </row>
    <row r="66" ht="15" customHeight="1" s="32">
      <c r="A66" s="39" t="inlineStr">
        <is>
          <t>headquarters</t>
        </is>
      </c>
      <c r="B66" s="39" t="inlineStr">
        <is>
          <t>Sở chỉ huy</t>
        </is>
      </c>
      <c r="C66" s="39" t="inlineStr">
        <is>
          <t>Công trình</t>
        </is>
      </c>
      <c r="D66" s="39" t="n"/>
      <c r="E66" s="42" t="n">
        <v>327</v>
      </c>
      <c r="F66" s="42" t="n">
        <v>206</v>
      </c>
      <c r="G66" s="42" t="n">
        <v>419</v>
      </c>
      <c r="H66" s="54">
        <f>SUMPRODUCT(('Đơn vị – vũ khí'!$A$2:$A$311=A66)*('Đơn vị – vũ khí'!$F$2:$F$311=1)*N(+'Đơn vị – vũ khí'!$I$2:$I$311))</f>
        <v/>
      </c>
      <c r="I66" s="54">
        <f>SUMPRODUCT(('Đơn vị – vũ khí'!$A$2:$A$311=A66)*('Đơn vị – vũ khí'!$F$2:$F$311=1)*N(+'Đơn vị – vũ khí'!$J$2:$J$311))</f>
        <v/>
      </c>
      <c r="J66" s="54">
        <f>SUMPRODUCT(('Đơn vị – vũ khí'!$A$2:$A$311=A66)*('Đơn vị – vũ khí'!$F$2:$F$311=1)*N(+'Đơn vị – vũ khí'!$K$2:$K$311))</f>
        <v/>
      </c>
      <c r="K66" s="54">
        <f>SUMPRODUCT(('Đơn vị – vũ khí'!$A$2:$A$311=A66)*('Đơn vị – vũ khí'!$F$2:$F$311=1)*N(+'Đơn vị – vũ khí'!$L$2:$L$311))</f>
        <v/>
      </c>
      <c r="L66" s="54">
        <f>IFERROR(I66/D66,"")</f>
        <v/>
      </c>
      <c r="M66" s="39" t="n"/>
    </row>
    <row r="67" ht="15" customHeight="1" s="32">
      <c r="A67" s="41" t="inlineStr">
        <is>
          <t>mg_bunker</t>
        </is>
      </c>
      <c r="B67" s="41" t="inlineStr">
        <is>
          <t>Lô cốt súng máy</t>
        </is>
      </c>
      <c r="C67" s="41" t="inlineStr">
        <is>
          <t>Công trình</t>
        </is>
      </c>
      <c r="D67" s="41" t="n"/>
      <c r="E67" s="43" t="n">
        <v>102</v>
      </c>
      <c r="F67" s="43" t="n">
        <v>30</v>
      </c>
      <c r="G67" s="43" t="n">
        <v>36</v>
      </c>
      <c r="H67" s="55">
        <f>SUMPRODUCT(('Đơn vị – vũ khí'!$A$2:$A$311=A67)*('Đơn vị – vũ khí'!$F$2:$F$311=1)*N(+'Đơn vị – vũ khí'!$I$2:$I$311))</f>
        <v/>
      </c>
      <c r="I67" s="55">
        <f>SUMPRODUCT(('Đơn vị – vũ khí'!$A$2:$A$311=A67)*('Đơn vị – vũ khí'!$F$2:$F$311=1)*N(+'Đơn vị – vũ khí'!$J$2:$J$311))</f>
        <v/>
      </c>
      <c r="J67" s="55">
        <f>SUMPRODUCT(('Đơn vị – vũ khí'!$A$2:$A$311=A67)*('Đơn vị – vũ khí'!$F$2:$F$311=1)*N(+'Đơn vị – vũ khí'!$K$2:$K$311))</f>
        <v/>
      </c>
      <c r="K67" s="55">
        <f>SUMPRODUCT(('Đơn vị – vũ khí'!$A$2:$A$311=A67)*('Đơn vị – vũ khí'!$F$2:$F$311=1)*N(+'Đơn vị – vũ khí'!$L$2:$L$311))</f>
        <v/>
      </c>
      <c r="L67" s="55">
        <f>IFERROR(I67/D67,"")</f>
        <v/>
      </c>
      <c r="M67" s="41" t="n"/>
    </row>
    <row r="68" ht="15" customHeight="1" s="32">
      <c r="A68" s="39" t="inlineStr">
        <is>
          <t>mg_bunker.twin</t>
        </is>
      </c>
      <c r="B68" s="39" t="inlineStr">
        <is>
          <t>Lô cốt súng máy · nhánh Súng máy đôi</t>
        </is>
      </c>
      <c r="C68" s="39" t="inlineStr">
        <is>
          <t>Công trình</t>
        </is>
      </c>
      <c r="D68" s="39" t="n"/>
      <c r="E68" s="42" t="n">
        <v>122</v>
      </c>
      <c r="F68" s="42" t="n">
        <v>36</v>
      </c>
      <c r="G68" s="42" t="n">
        <v>43</v>
      </c>
      <c r="H68" s="54">
        <f>SUMPRODUCT(('Đơn vị – vũ khí'!$A$2:$A$311=A68)*('Đơn vị – vũ khí'!$F$2:$F$311=1)*N(+'Đơn vị – vũ khí'!$I$2:$I$311))</f>
        <v/>
      </c>
      <c r="I68" s="54">
        <f>SUMPRODUCT(('Đơn vị – vũ khí'!$A$2:$A$311=A68)*('Đơn vị – vũ khí'!$F$2:$F$311=1)*N(+'Đơn vị – vũ khí'!$J$2:$J$311))</f>
        <v/>
      </c>
      <c r="J68" s="54">
        <f>SUMPRODUCT(('Đơn vị – vũ khí'!$A$2:$A$311=A68)*('Đơn vị – vũ khí'!$F$2:$F$311=1)*N(+'Đơn vị – vũ khí'!$K$2:$K$311))</f>
        <v/>
      </c>
      <c r="K68" s="54">
        <f>SUMPRODUCT(('Đơn vị – vũ khí'!$A$2:$A$311=A68)*('Đơn vị – vũ khí'!$F$2:$F$311=1)*N(+'Đơn vị – vũ khí'!$L$2:$L$311))</f>
        <v/>
      </c>
      <c r="L68" s="54">
        <f>IFERROR(I68/D68,"")</f>
        <v/>
      </c>
      <c r="M68" s="39" t="n"/>
    </row>
    <row r="69" ht="21.75" customHeight="1" s="32">
      <c r="A69" s="41" t="inlineStr">
        <is>
          <t>mg_bunker.flame</t>
        </is>
      </c>
      <c r="B69" s="41" t="inlineStr">
        <is>
          <t>Lô cốt súng máy · nhánh Lô cốt phun lửa</t>
        </is>
      </c>
      <c r="C69" s="41" t="inlineStr">
        <is>
          <t>Công trình</t>
        </is>
      </c>
      <c r="D69" s="41" t="n"/>
      <c r="E69" s="43" t="n">
        <v>170</v>
      </c>
      <c r="F69" s="43" t="n">
        <v>50</v>
      </c>
      <c r="G69" s="43" t="n">
        <v>0</v>
      </c>
      <c r="H69" s="55">
        <f>SUMPRODUCT(('Đơn vị – vũ khí'!$A$2:$A$311=A69)*('Đơn vị – vũ khí'!$F$2:$F$311=1)*N(+'Đơn vị – vũ khí'!$I$2:$I$311))</f>
        <v/>
      </c>
      <c r="I69" s="55">
        <f>SUMPRODUCT(('Đơn vị – vũ khí'!$A$2:$A$311=A69)*('Đơn vị – vũ khí'!$F$2:$F$311=1)*N(+'Đơn vị – vũ khí'!$J$2:$J$311))</f>
        <v/>
      </c>
      <c r="J69" s="55">
        <f>SUMPRODUCT(('Đơn vị – vũ khí'!$A$2:$A$311=A69)*('Đơn vị – vũ khí'!$F$2:$F$311=1)*N(+'Đơn vị – vũ khí'!$K$2:$K$311))</f>
        <v/>
      </c>
      <c r="K69" s="55">
        <f>SUMPRODUCT(('Đơn vị – vũ khí'!$A$2:$A$311=A69)*('Đơn vị – vũ khí'!$F$2:$F$311=1)*N(+'Đơn vị – vũ khí'!$L$2:$L$311))</f>
        <v/>
      </c>
      <c r="L69" s="55">
        <f>IFERROR(I69/D69,"")</f>
        <v/>
      </c>
      <c r="M69" s="41" t="n"/>
    </row>
    <row r="70" ht="15" customHeight="1" s="32">
      <c r="A70" s="39" t="inlineStr">
        <is>
          <t>atgm_tower</t>
        </is>
      </c>
      <c r="B70" s="39" t="inlineStr">
        <is>
          <t>Tháp tên lửa chống tăng</t>
        </is>
      </c>
      <c r="C70" s="39" t="inlineStr">
        <is>
          <t>Công trình</t>
        </is>
      </c>
      <c r="D70" s="39" t="n"/>
      <c r="E70" s="42" t="n">
        <v>45</v>
      </c>
      <c r="F70" s="42" t="n">
        <v>93</v>
      </c>
      <c r="G70" s="42" t="n">
        <v>0</v>
      </c>
      <c r="H70" s="54">
        <f>SUMPRODUCT(('Đơn vị – vũ khí'!$A$2:$A$311=A70)*('Đơn vị – vũ khí'!$F$2:$F$311=1)*N(+'Đơn vị – vũ khí'!$I$2:$I$311))</f>
        <v/>
      </c>
      <c r="I70" s="54">
        <f>SUMPRODUCT(('Đơn vị – vũ khí'!$A$2:$A$311=A70)*('Đơn vị – vũ khí'!$F$2:$F$311=1)*N(+'Đơn vị – vũ khí'!$J$2:$J$311))</f>
        <v/>
      </c>
      <c r="J70" s="54">
        <f>SUMPRODUCT(('Đơn vị – vũ khí'!$A$2:$A$311=A70)*('Đơn vị – vũ khí'!$F$2:$F$311=1)*N(+'Đơn vị – vũ khí'!$K$2:$K$311))</f>
        <v/>
      </c>
      <c r="K70" s="54">
        <f>SUMPRODUCT(('Đơn vị – vũ khí'!$A$2:$A$311=A70)*('Đơn vị – vũ khí'!$F$2:$F$311=1)*N(+'Đơn vị – vũ khí'!$L$2:$L$311))</f>
        <v/>
      </c>
      <c r="L70" s="54">
        <f>IFERROR(I70/D70,"")</f>
        <v/>
      </c>
      <c r="M70" s="39" t="n"/>
    </row>
    <row r="71" ht="21.75" customHeight="1" s="32">
      <c r="A71" s="41" t="inlineStr">
        <is>
          <t>atgm_tower.top</t>
        </is>
      </c>
      <c r="B71" s="41" t="inlineStr">
        <is>
          <t>Tháp tên lửa chống tăng · nhánh Tấn công từ trên</t>
        </is>
      </c>
      <c r="C71" s="41" t="inlineStr">
        <is>
          <t>Công trình</t>
        </is>
      </c>
      <c r="D71" s="41" t="n"/>
      <c r="E71" s="43" t="n">
        <v>40</v>
      </c>
      <c r="F71" s="43" t="n">
        <v>100</v>
      </c>
      <c r="G71" s="43" t="n">
        <v>0</v>
      </c>
      <c r="H71" s="55">
        <f>SUMPRODUCT(('Đơn vị – vũ khí'!$A$2:$A$311=A71)*('Đơn vị – vũ khí'!$F$2:$F$311=1)*N(+'Đơn vị – vũ khí'!$I$2:$I$311))</f>
        <v/>
      </c>
      <c r="I71" s="55">
        <f>SUMPRODUCT(('Đơn vị – vũ khí'!$A$2:$A$311=A71)*('Đơn vị – vũ khí'!$F$2:$F$311=1)*N(+'Đơn vị – vũ khí'!$J$2:$J$311))</f>
        <v/>
      </c>
      <c r="J71" s="55">
        <f>SUMPRODUCT(('Đơn vị – vũ khí'!$A$2:$A$311=A71)*('Đơn vị – vũ khí'!$F$2:$F$311=1)*N(+'Đơn vị – vũ khí'!$K$2:$K$311))</f>
        <v/>
      </c>
      <c r="K71" s="55">
        <f>SUMPRODUCT(('Đơn vị – vũ khí'!$A$2:$A$311=A71)*('Đơn vị – vũ khí'!$F$2:$F$311=1)*N(+'Đơn vị – vũ khí'!$L$2:$L$311))</f>
        <v/>
      </c>
      <c r="L71" s="55">
        <f>IFERROR(I71/D71,"")</f>
        <v/>
      </c>
      <c r="M71" s="41" t="n"/>
    </row>
    <row r="72" ht="21.75" customHeight="1" s="32">
      <c r="A72" s="39" t="inlineStr">
        <is>
          <t>atgm_tower.multi</t>
        </is>
      </c>
      <c r="B72" s="39" t="inlineStr">
        <is>
          <t>Tháp tên lửa chống tăng · nhánh Đa năng</t>
        </is>
      </c>
      <c r="C72" s="39" t="inlineStr">
        <is>
          <t>Công trình</t>
        </is>
      </c>
      <c r="D72" s="39" t="n"/>
      <c r="E72" s="42" t="n">
        <v>67</v>
      </c>
      <c r="F72" s="42" t="n">
        <v>79</v>
      </c>
      <c r="G72" s="42" t="n">
        <v>28</v>
      </c>
      <c r="H72" s="54">
        <f>SUMPRODUCT(('Đơn vị – vũ khí'!$A$2:$A$311=A72)*('Đơn vị – vũ khí'!$F$2:$F$311=1)*N(+'Đơn vị – vũ khí'!$I$2:$I$311))</f>
        <v/>
      </c>
      <c r="I72" s="54">
        <f>SUMPRODUCT(('Đơn vị – vũ khí'!$A$2:$A$311=A72)*('Đơn vị – vũ khí'!$F$2:$F$311=1)*N(+'Đơn vị – vũ khí'!$J$2:$J$311))</f>
        <v/>
      </c>
      <c r="J72" s="54">
        <f>SUMPRODUCT(('Đơn vị – vũ khí'!$A$2:$A$311=A72)*('Đơn vị – vũ khí'!$F$2:$F$311=1)*N(+'Đơn vị – vũ khí'!$K$2:$K$311))</f>
        <v/>
      </c>
      <c r="K72" s="54">
        <f>SUMPRODUCT(('Đơn vị – vũ khí'!$A$2:$A$311=A72)*('Đơn vị – vũ khí'!$F$2:$F$311=1)*N(+'Đơn vị – vũ khí'!$L$2:$L$311))</f>
        <v/>
      </c>
      <c r="L72" s="54">
        <f>IFERROR(I72/D72,"")</f>
        <v/>
      </c>
      <c r="M72" s="39" t="n"/>
    </row>
    <row r="73" ht="15" customHeight="1" s="32">
      <c r="A73" s="41" t="inlineStr">
        <is>
          <t>c_ram</t>
        </is>
      </c>
      <c r="B73" s="41" t="inlineStr">
        <is>
          <t>Trạm C-RAM</t>
        </is>
      </c>
      <c r="C73" s="41" t="inlineStr">
        <is>
          <t>Công trình</t>
        </is>
      </c>
      <c r="D73" s="41" t="n"/>
      <c r="E73" s="43" t="n">
        <v>0</v>
      </c>
      <c r="F73" s="43" t="n">
        <v>0</v>
      </c>
      <c r="G73" s="43" t="n">
        <v>0</v>
      </c>
      <c r="H73" s="55">
        <f>SUMPRODUCT(('Đơn vị – vũ khí'!$A$2:$A$311=A73)*('Đơn vị – vũ khí'!$F$2:$F$311=1)*N(+'Đơn vị – vũ khí'!$I$2:$I$311))</f>
        <v/>
      </c>
      <c r="I73" s="55">
        <f>SUMPRODUCT(('Đơn vị – vũ khí'!$A$2:$A$311=A73)*('Đơn vị – vũ khí'!$F$2:$F$311=1)*N(+'Đơn vị – vũ khí'!$J$2:$J$311))</f>
        <v/>
      </c>
      <c r="J73" s="55">
        <f>SUMPRODUCT(('Đơn vị – vũ khí'!$A$2:$A$311=A73)*('Đơn vị – vũ khí'!$F$2:$F$311=1)*N(+'Đơn vị – vũ khí'!$K$2:$K$311))</f>
        <v/>
      </c>
      <c r="K73" s="55">
        <f>SUMPRODUCT(('Đơn vị – vũ khí'!$A$2:$A$311=A73)*('Đơn vị – vũ khí'!$F$2:$F$311=1)*N(+'Đơn vị – vũ khí'!$L$2:$L$311))</f>
        <v/>
      </c>
      <c r="L73" s="55">
        <f>IFERROR(I73/D73,"")</f>
        <v/>
      </c>
      <c r="M73" s="41" t="n"/>
    </row>
    <row r="74" ht="15" customHeight="1" s="32">
      <c r="A74" s="39" t="inlineStr">
        <is>
          <t>c_ram.centurion</t>
        </is>
      </c>
      <c r="B74" s="39" t="inlineStr">
        <is>
          <t>Trạm C-RAM · nhánh Centurion</t>
        </is>
      </c>
      <c r="C74" s="39" t="inlineStr">
        <is>
          <t>Công trình</t>
        </is>
      </c>
      <c r="D74" s="39" t="n"/>
      <c r="E74" s="42" t="n">
        <v>0</v>
      </c>
      <c r="F74" s="42" t="n">
        <v>0</v>
      </c>
      <c r="G74" s="42" t="n">
        <v>0</v>
      </c>
      <c r="H74" s="54">
        <f>SUMPRODUCT(('Đơn vị – vũ khí'!$A$2:$A$311=A74)*('Đơn vị – vũ khí'!$F$2:$F$311=1)*N(+'Đơn vị – vũ khí'!$I$2:$I$311))</f>
        <v/>
      </c>
      <c r="I74" s="54">
        <f>SUMPRODUCT(('Đơn vị – vũ khí'!$A$2:$A$311=A74)*('Đơn vị – vũ khí'!$F$2:$F$311=1)*N(+'Đơn vị – vũ khí'!$J$2:$J$311))</f>
        <v/>
      </c>
      <c r="J74" s="54">
        <f>SUMPRODUCT(('Đơn vị – vũ khí'!$A$2:$A$311=A74)*('Đơn vị – vũ khí'!$F$2:$F$311=1)*N(+'Đơn vị – vũ khí'!$K$2:$K$311))</f>
        <v/>
      </c>
      <c r="K74" s="54">
        <f>SUMPRODUCT(('Đơn vị – vũ khí'!$A$2:$A$311=A74)*('Đơn vị – vũ khí'!$F$2:$F$311=1)*N(+'Đơn vị – vũ khí'!$L$2:$L$311))</f>
        <v/>
      </c>
      <c r="L74" s="54">
        <f>IFERROR(I74/D74,"")</f>
        <v/>
      </c>
      <c r="M74" s="39" t="n"/>
    </row>
    <row r="75" ht="15" customHeight="1" s="32">
      <c r="A75" s="41" t="inlineStr">
        <is>
          <t>c_ram.dome</t>
        </is>
      </c>
      <c r="B75" s="41" t="inlineStr">
        <is>
          <t>Trạm C-RAM · nhánh Vòm Sắt</t>
        </is>
      </c>
      <c r="C75" s="41" t="inlineStr">
        <is>
          <t>Công trình</t>
        </is>
      </c>
      <c r="D75" s="41" t="n"/>
      <c r="E75" s="43" t="n">
        <v>0</v>
      </c>
      <c r="F75" s="43" t="n">
        <v>0</v>
      </c>
      <c r="G75" s="43" t="n">
        <v>21</v>
      </c>
      <c r="H75" s="55">
        <f>SUMPRODUCT(('Đơn vị – vũ khí'!$A$2:$A$311=A75)*('Đơn vị – vũ khí'!$F$2:$F$311=1)*N(+'Đơn vị – vũ khí'!$I$2:$I$311))</f>
        <v/>
      </c>
      <c r="I75" s="55">
        <f>SUMPRODUCT(('Đơn vị – vũ khí'!$A$2:$A$311=A75)*('Đơn vị – vũ khí'!$F$2:$F$311=1)*N(+'Đơn vị – vũ khí'!$J$2:$J$311))</f>
        <v/>
      </c>
      <c r="J75" s="55">
        <f>SUMPRODUCT(('Đơn vị – vũ khí'!$A$2:$A$311=A75)*('Đơn vị – vũ khí'!$F$2:$F$311=1)*N(+'Đơn vị – vũ khí'!$K$2:$K$311))</f>
        <v/>
      </c>
      <c r="K75" s="55">
        <f>SUMPRODUCT(('Đơn vị – vũ khí'!$A$2:$A$311=A75)*('Đơn vị – vũ khí'!$F$2:$F$311=1)*N(+'Đơn vị – vũ khí'!$L$2:$L$311))</f>
        <v/>
      </c>
      <c r="L75" s="55">
        <f>IFERROR(I75/D75,"")</f>
        <v/>
      </c>
      <c r="M75" s="41" t="n"/>
    </row>
    <row r="76" ht="15" customHeight="1" s="32">
      <c r="A76" s="39" t="inlineStr">
        <is>
          <t>gun_turret</t>
        </is>
      </c>
      <c r="B76" s="39" t="inlineStr">
        <is>
          <t>Tháp pháo</t>
        </is>
      </c>
      <c r="C76" s="39" t="inlineStr">
        <is>
          <t>Công trình</t>
        </is>
      </c>
      <c r="D76" s="39" t="n"/>
      <c r="E76" s="42" t="n">
        <v>65</v>
      </c>
      <c r="F76" s="42" t="n">
        <v>83</v>
      </c>
      <c r="G76" s="42" t="n">
        <v>0</v>
      </c>
      <c r="H76" s="54">
        <f>SUMPRODUCT(('Đơn vị – vũ khí'!$A$2:$A$311=A76)*('Đơn vị – vũ khí'!$F$2:$F$311=1)*N(+'Đơn vị – vũ khí'!$I$2:$I$311))</f>
        <v/>
      </c>
      <c r="I76" s="54">
        <f>SUMPRODUCT(('Đơn vị – vũ khí'!$A$2:$A$311=A76)*('Đơn vị – vũ khí'!$F$2:$F$311=1)*N(+'Đơn vị – vũ khí'!$J$2:$J$311))</f>
        <v/>
      </c>
      <c r="J76" s="54">
        <f>SUMPRODUCT(('Đơn vị – vũ khí'!$A$2:$A$311=A76)*('Đơn vị – vũ khí'!$F$2:$F$311=1)*N(+'Đơn vị – vũ khí'!$K$2:$K$311))</f>
        <v/>
      </c>
      <c r="K76" s="54">
        <f>SUMPRODUCT(('Đơn vị – vũ khí'!$A$2:$A$311=A76)*('Đơn vị – vũ khí'!$F$2:$F$311=1)*N(+'Đơn vị – vũ khí'!$L$2:$L$311))</f>
        <v/>
      </c>
      <c r="L76" s="54">
        <f>IFERROR(I76/D76,"")</f>
        <v/>
      </c>
      <c r="M76" s="39" t="n"/>
    </row>
    <row r="77" ht="15" customHeight="1" s="32">
      <c r="A77" s="41" t="inlineStr">
        <is>
          <t>gun_turret.long</t>
        </is>
      </c>
      <c r="B77" s="41" t="inlineStr">
        <is>
          <t>Tháp pháo · nhánh Pháo bắn tỉa</t>
        </is>
      </c>
      <c r="C77" s="41" t="inlineStr">
        <is>
          <t>Công trình</t>
        </is>
      </c>
      <c r="D77" s="41" t="n"/>
      <c r="E77" s="43" t="n">
        <v>48</v>
      </c>
      <c r="F77" s="43" t="n">
        <v>62</v>
      </c>
      <c r="G77" s="43" t="n">
        <v>0</v>
      </c>
      <c r="H77" s="55">
        <f>SUMPRODUCT(('Đơn vị – vũ khí'!$A$2:$A$311=A77)*('Đơn vị – vũ khí'!$F$2:$F$311=1)*N(+'Đơn vị – vũ khí'!$I$2:$I$311))</f>
        <v/>
      </c>
      <c r="I77" s="55">
        <f>SUMPRODUCT(('Đơn vị – vũ khí'!$A$2:$A$311=A77)*('Đơn vị – vũ khí'!$F$2:$F$311=1)*N(+'Đơn vị – vũ khí'!$J$2:$J$311))</f>
        <v/>
      </c>
      <c r="J77" s="55">
        <f>SUMPRODUCT(('Đơn vị – vũ khí'!$A$2:$A$311=A77)*('Đơn vị – vũ khí'!$F$2:$F$311=1)*N(+'Đơn vị – vũ khí'!$K$2:$K$311))</f>
        <v/>
      </c>
      <c r="K77" s="55">
        <f>SUMPRODUCT(('Đơn vị – vũ khí'!$A$2:$A$311=A77)*('Đơn vị – vũ khí'!$F$2:$F$311=1)*N(+'Đơn vị – vũ khí'!$L$2:$L$311))</f>
        <v/>
      </c>
      <c r="L77" s="55">
        <f>IFERROR(I77/D77,"")</f>
        <v/>
      </c>
      <c r="M77" s="41" t="n"/>
    </row>
    <row r="78" ht="21.75" customHeight="1" s="32">
      <c r="A78" s="39" t="inlineStr">
        <is>
          <t>gun_turret.auto</t>
        </is>
      </c>
      <c r="B78" s="39" t="inlineStr">
        <is>
          <t>Tháp pháo · nhánh Pháo tự động 57 mm</t>
        </is>
      </c>
      <c r="C78" s="39" t="inlineStr">
        <is>
          <t>Công trình</t>
        </is>
      </c>
      <c r="D78" s="39" t="n"/>
      <c r="E78" s="42" t="n">
        <v>86</v>
      </c>
      <c r="F78" s="42" t="n">
        <v>43</v>
      </c>
      <c r="G78" s="42" t="n">
        <v>111</v>
      </c>
      <c r="H78" s="54">
        <f>SUMPRODUCT(('Đơn vị – vũ khí'!$A$2:$A$311=A78)*('Đơn vị – vũ khí'!$F$2:$F$311=1)*N(+'Đơn vị – vũ khí'!$I$2:$I$311))</f>
        <v/>
      </c>
      <c r="I78" s="54">
        <f>SUMPRODUCT(('Đơn vị – vũ khí'!$A$2:$A$311=A78)*('Đơn vị – vũ khí'!$F$2:$F$311=1)*N(+'Đơn vị – vũ khí'!$J$2:$J$311))</f>
        <v/>
      </c>
      <c r="J78" s="54">
        <f>SUMPRODUCT(('Đơn vị – vũ khí'!$A$2:$A$311=A78)*('Đơn vị – vũ khí'!$F$2:$F$311=1)*N(+'Đơn vị – vũ khí'!$K$2:$K$311))</f>
        <v/>
      </c>
      <c r="K78" s="54">
        <f>SUMPRODUCT(('Đơn vị – vũ khí'!$A$2:$A$311=A78)*('Đơn vị – vũ khí'!$F$2:$F$311=1)*N(+'Đơn vị – vũ khí'!$L$2:$L$311))</f>
        <v/>
      </c>
      <c r="L78" s="54">
        <f>IFERROR(I78/D78,"")</f>
        <v/>
      </c>
      <c r="M78" s="39" t="n"/>
    </row>
    <row r="79" ht="15" customHeight="1" s="32">
      <c r="A79" s="41" t="inlineStr">
        <is>
          <t>rocket_turret</t>
        </is>
      </c>
      <c r="B79" s="41" t="inlineStr">
        <is>
          <t>Dàn rốc-két</t>
        </is>
      </c>
      <c r="C79" s="41" t="inlineStr">
        <is>
          <t>Công trình</t>
        </is>
      </c>
      <c r="D79" s="41" t="n"/>
      <c r="E79" s="43" t="n">
        <v>87</v>
      </c>
      <c r="F79" s="43" t="n">
        <v>40</v>
      </c>
      <c r="G79" s="43" t="n">
        <v>0</v>
      </c>
      <c r="H79" s="55">
        <f>SUMPRODUCT(('Đơn vị – vũ khí'!$A$2:$A$311=A79)*('Đơn vị – vũ khí'!$F$2:$F$311=1)*N(+'Đơn vị – vũ khí'!$I$2:$I$311))</f>
        <v/>
      </c>
      <c r="I79" s="55">
        <f>SUMPRODUCT(('Đơn vị – vũ khí'!$A$2:$A$311=A79)*('Đơn vị – vũ khí'!$F$2:$F$311=1)*N(+'Đơn vị – vũ khí'!$J$2:$J$311))</f>
        <v/>
      </c>
      <c r="J79" s="55">
        <f>SUMPRODUCT(('Đơn vị – vũ khí'!$A$2:$A$311=A79)*('Đơn vị – vũ khí'!$F$2:$F$311=1)*N(+'Đơn vị – vũ khí'!$K$2:$K$311))</f>
        <v/>
      </c>
      <c r="K79" s="55">
        <f>SUMPRODUCT(('Đơn vị – vũ khí'!$A$2:$A$311=A79)*('Đơn vị – vũ khí'!$F$2:$F$311=1)*N(+'Đơn vị – vũ khí'!$L$2:$L$311))</f>
        <v/>
      </c>
      <c r="L79" s="55">
        <f>IFERROR(I79/D79,"")</f>
        <v/>
      </c>
      <c r="M79" s="41" t="n"/>
    </row>
    <row r="80" ht="15" customHeight="1" s="32">
      <c r="A80" s="39" t="inlineStr">
        <is>
          <t>rocket_turret.cluster</t>
        </is>
      </c>
      <c r="B80" s="39" t="inlineStr">
        <is>
          <t>Dàn rốc-két · nhánh Rốc-két chùm</t>
        </is>
      </c>
      <c r="C80" s="39" t="inlineStr">
        <is>
          <t>Công trình</t>
        </is>
      </c>
      <c r="D80" s="39" t="n"/>
      <c r="E80" s="42" t="n">
        <v>90</v>
      </c>
      <c r="F80" s="42" t="n">
        <v>41</v>
      </c>
      <c r="G80" s="42" t="n">
        <v>0</v>
      </c>
      <c r="H80" s="54">
        <f>SUMPRODUCT(('Đơn vị – vũ khí'!$A$2:$A$311=A80)*('Đơn vị – vũ khí'!$F$2:$F$311=1)*N(+'Đơn vị – vũ khí'!$I$2:$I$311))</f>
        <v/>
      </c>
      <c r="I80" s="54">
        <f>SUMPRODUCT(('Đơn vị – vũ khí'!$A$2:$A$311=A80)*('Đơn vị – vũ khí'!$F$2:$F$311=1)*N(+'Đơn vị – vũ khí'!$J$2:$J$311))</f>
        <v/>
      </c>
      <c r="J80" s="54">
        <f>SUMPRODUCT(('Đơn vị – vũ khí'!$A$2:$A$311=A80)*('Đơn vị – vũ khí'!$F$2:$F$311=1)*N(+'Đơn vị – vũ khí'!$K$2:$K$311))</f>
        <v/>
      </c>
      <c r="K80" s="54">
        <f>SUMPRODUCT(('Đơn vị – vũ khí'!$A$2:$A$311=A80)*('Đơn vị – vũ khí'!$F$2:$F$311=1)*N(+'Đơn vị – vũ khí'!$L$2:$L$311))</f>
        <v/>
      </c>
      <c r="L80" s="54">
        <f>IFERROR(I80/D80,"")</f>
        <v/>
      </c>
      <c r="M80" s="39" t="n"/>
    </row>
    <row r="81" ht="21.75" customHeight="1" s="32">
      <c r="A81" s="41" t="inlineStr">
        <is>
          <t>rocket_turret.guided</t>
        </is>
      </c>
      <c r="B81" s="41" t="inlineStr">
        <is>
          <t>Dàn rốc-két · nhánh Rốc-két dẫn đường</t>
        </is>
      </c>
      <c r="C81" s="41" t="inlineStr">
        <is>
          <t>Công trình</t>
        </is>
      </c>
      <c r="D81" s="41" t="n"/>
      <c r="E81" s="43" t="n">
        <v>27</v>
      </c>
      <c r="F81" s="43" t="n">
        <v>27</v>
      </c>
      <c r="G81" s="43" t="n">
        <v>0</v>
      </c>
      <c r="H81" s="55">
        <f>SUMPRODUCT(('Đơn vị – vũ khí'!$A$2:$A$311=A81)*('Đơn vị – vũ khí'!$F$2:$F$311=1)*N(+'Đơn vị – vũ khí'!$I$2:$I$311))</f>
        <v/>
      </c>
      <c r="I81" s="55">
        <f>SUMPRODUCT(('Đơn vị – vũ khí'!$A$2:$A$311=A81)*('Đơn vị – vũ khí'!$F$2:$F$311=1)*N(+'Đơn vị – vũ khí'!$J$2:$J$311))</f>
        <v/>
      </c>
      <c r="J81" s="55">
        <f>SUMPRODUCT(('Đơn vị – vũ khí'!$A$2:$A$311=A81)*('Đơn vị – vũ khí'!$F$2:$F$311=1)*N(+'Đơn vị – vũ khí'!$K$2:$K$311))</f>
        <v/>
      </c>
      <c r="K81" s="55">
        <f>SUMPRODUCT(('Đơn vị – vũ khí'!$A$2:$A$311=A81)*('Đơn vị – vũ khí'!$F$2:$F$311=1)*N(+'Đơn vị – vũ khí'!$L$2:$L$311))</f>
        <v/>
      </c>
      <c r="L81" s="55">
        <f>IFERROR(I81/D81,"")</f>
        <v/>
      </c>
      <c r="M81" s="41" t="n"/>
    </row>
    <row r="82" ht="15" customHeight="1" s="32">
      <c r="A82" s="39"/>
      <c r="B82" s="39"/>
      <c r="C82" s="39"/>
      <c r="D82" s="39"/>
      <c r="E82" s="42"/>
      <c r="F82" s="42"/>
      <c r="G82" s="42"/>
      <c r="H82" s="54"/>
      <c r="I82" s="54"/>
      <c r="J82" s="54"/>
      <c r="K82" s="54"/>
      <c r="L82" s="54"/>
      <c r="M82" s="39"/>
    </row>
    <row r="83" ht="15" customHeight="1" s="32">
      <c r="A83" s="41"/>
      <c r="B83" s="41"/>
      <c r="C83" s="41"/>
      <c r="D83" s="41"/>
      <c r="E83" s="43"/>
      <c r="F83" s="43"/>
      <c r="G83" s="43"/>
      <c r="H83" s="55"/>
      <c r="I83" s="55"/>
      <c r="J83" s="55"/>
      <c r="K83" s="55"/>
      <c r="L83" s="55"/>
      <c r="M83" s="41"/>
    </row>
    <row r="84" ht="21.75" customHeight="1" s="32">
      <c r="A84" s="39"/>
      <c r="B84" s="39"/>
      <c r="C84" s="39"/>
      <c r="D84" s="39"/>
      <c r="E84" s="42"/>
      <c r="F84" s="42"/>
      <c r="G84" s="42"/>
      <c r="H84" s="54"/>
      <c r="I84" s="54"/>
      <c r="J84" s="54"/>
      <c r="K84" s="54"/>
      <c r="L84" s="54"/>
      <c r="M84" s="39"/>
    </row>
    <row r="85" ht="15" customHeight="1" s="32">
      <c r="A85" s="41" t="inlineStr">
        <is>
          <t>drone_hangar</t>
        </is>
      </c>
      <c r="B85" s="41" t="inlineStr">
        <is>
          <t>Nhà chứa drone</t>
        </is>
      </c>
      <c r="C85" s="41" t="inlineStr">
        <is>
          <t>Công trình</t>
        </is>
      </c>
      <c r="D85" s="41" t="n"/>
      <c r="E85" s="43" t="n">
        <v>59</v>
      </c>
      <c r="F85" s="43" t="n">
        <v>59</v>
      </c>
      <c r="G85" s="43" t="n">
        <v>0</v>
      </c>
      <c r="H85" s="55">
        <f>SUMPRODUCT(('Đơn vị – vũ khí'!$A$2:$A$311=A85)*('Đơn vị – vũ khí'!$F$2:$F$311=1)*N(+'Đơn vị – vũ khí'!$I$2:$I$311))</f>
        <v/>
      </c>
      <c r="I85" s="55">
        <f>SUMPRODUCT(('Đơn vị – vũ khí'!$A$2:$A$311=A85)*('Đơn vị – vũ khí'!$F$2:$F$311=1)*N(+'Đơn vị – vũ khí'!$J$2:$J$311))</f>
        <v/>
      </c>
      <c r="J85" s="55">
        <f>SUMPRODUCT(('Đơn vị – vũ khí'!$A$2:$A$311=A85)*('Đơn vị – vũ khí'!$F$2:$F$311=1)*N(+'Đơn vị – vũ khí'!$K$2:$K$311))</f>
        <v/>
      </c>
      <c r="K85" s="55">
        <f>SUMPRODUCT(('Đơn vị – vũ khí'!$A$2:$A$311=A85)*('Đơn vị – vũ khí'!$F$2:$F$311=1)*N(+'Đơn vị – vũ khí'!$L$2:$L$311))</f>
        <v/>
      </c>
      <c r="L85" s="55">
        <f>IFERROR(I85/D85,"")</f>
        <v/>
      </c>
      <c r="M85" s="41" t="n"/>
    </row>
    <row r="86" ht="21.75" customHeight="1" s="32">
      <c r="A86" s="39" t="inlineStr">
        <is>
          <t>drone_hangar.lancet</t>
        </is>
      </c>
      <c r="B86" s="39" t="inlineStr">
        <is>
          <t>Nhà chứa drone · nhánh Nhà chứa Lancet</t>
        </is>
      </c>
      <c r="C86" s="39" t="inlineStr">
        <is>
          <t>Công trình</t>
        </is>
      </c>
      <c r="D86" s="39" t="n"/>
      <c r="E86" s="42" t="n">
        <v>67</v>
      </c>
      <c r="F86" s="42" t="n">
        <v>67</v>
      </c>
      <c r="G86" s="42" t="n">
        <v>0</v>
      </c>
      <c r="H86" s="54">
        <f>SUMPRODUCT(('Đơn vị – vũ khí'!$A$2:$A$311=A86)*('Đơn vị – vũ khí'!$F$2:$F$311=1)*N(+'Đơn vị – vũ khí'!$I$2:$I$311))</f>
        <v/>
      </c>
      <c r="I86" s="54">
        <f>SUMPRODUCT(('Đơn vị – vũ khí'!$A$2:$A$311=A86)*('Đơn vị – vũ khí'!$F$2:$F$311=1)*N(+'Đơn vị – vũ khí'!$J$2:$J$311))</f>
        <v/>
      </c>
      <c r="J86" s="54">
        <f>SUMPRODUCT(('Đơn vị – vũ khí'!$A$2:$A$311=A86)*('Đơn vị – vũ khí'!$F$2:$F$311=1)*N(+'Đơn vị – vũ khí'!$K$2:$K$311))</f>
        <v/>
      </c>
      <c r="K86" s="54">
        <f>SUMPRODUCT(('Đơn vị – vũ khí'!$A$2:$A$311=A86)*('Đơn vị – vũ khí'!$F$2:$F$311=1)*N(+'Đơn vị – vũ khí'!$L$2:$L$311))</f>
        <v/>
      </c>
      <c r="L86" s="54">
        <f>IFERROR(I86/D86,"")</f>
        <v/>
      </c>
      <c r="M86" s="39" t="n"/>
    </row>
    <row r="87" ht="15" customHeight="1" s="32">
      <c r="A87" s="41" t="inlineStr">
        <is>
          <t>drone_hangar.swarm</t>
        </is>
      </c>
      <c r="B87" s="41" t="inlineStr">
        <is>
          <t>Nhà chứa drone · nhánh Bầy đàn</t>
        </is>
      </c>
      <c r="C87" s="41" t="inlineStr">
        <is>
          <t>Công trình</t>
        </is>
      </c>
      <c r="D87" s="41" t="n"/>
      <c r="E87" s="43" t="n">
        <v>77</v>
      </c>
      <c r="F87" s="43" t="n">
        <v>77</v>
      </c>
      <c r="G87" s="43" t="n">
        <v>0</v>
      </c>
      <c r="H87" s="55">
        <f>SUMPRODUCT(('Đơn vị – vũ khí'!$A$2:$A$311=A87)*('Đơn vị – vũ khí'!$F$2:$F$311=1)*N(+'Đơn vị – vũ khí'!$I$2:$I$311))</f>
        <v/>
      </c>
      <c r="I87" s="55">
        <f>SUMPRODUCT(('Đơn vị – vũ khí'!$A$2:$A$311=A87)*('Đơn vị – vũ khí'!$F$2:$F$311=1)*N(+'Đơn vị – vũ khí'!$J$2:$J$311))</f>
        <v/>
      </c>
      <c r="J87" s="55">
        <f>SUMPRODUCT(('Đơn vị – vũ khí'!$A$2:$A$311=A87)*('Đơn vị – vũ khí'!$F$2:$F$311=1)*N(+'Đơn vị – vũ khí'!$K$2:$K$311))</f>
        <v/>
      </c>
      <c r="K87" s="55">
        <f>SUMPRODUCT(('Đơn vị – vũ khí'!$A$2:$A$311=A87)*('Đơn vị – vũ khí'!$F$2:$F$311=1)*N(+'Đơn vị – vũ khí'!$L$2:$L$311))</f>
        <v/>
      </c>
      <c r="L87" s="55">
        <f>IFERROR(I87/D87,"")</f>
        <v/>
      </c>
      <c r="M87" s="41" t="n"/>
    </row>
    <row r="88" ht="15" customHeight="1" s="32">
      <c r="A88" s="39" t="inlineStr">
        <is>
          <t>heavy_turret</t>
        </is>
      </c>
      <c r="B88" s="39" t="inlineStr">
        <is>
          <t>Pháo đài hạng nặng</t>
        </is>
      </c>
      <c r="C88" s="39" t="inlineStr">
        <is>
          <t>Công trình</t>
        </is>
      </c>
      <c r="D88" s="39" t="n"/>
      <c r="E88" s="42" t="n">
        <v>138</v>
      </c>
      <c r="F88" s="42" t="n">
        <v>98</v>
      </c>
      <c r="G88" s="42" t="n">
        <v>0</v>
      </c>
      <c r="H88" s="54">
        <f>SUMPRODUCT(('Đơn vị – vũ khí'!$A$2:$A$311=A88)*('Đơn vị – vũ khí'!$F$2:$F$311=1)*N(+'Đơn vị – vũ khí'!$I$2:$I$311))</f>
        <v/>
      </c>
      <c r="I88" s="54">
        <f>SUMPRODUCT(('Đơn vị – vũ khí'!$A$2:$A$311=A88)*('Đơn vị – vũ khí'!$F$2:$F$311=1)*N(+'Đơn vị – vũ khí'!$J$2:$J$311))</f>
        <v/>
      </c>
      <c r="J88" s="54">
        <f>SUMPRODUCT(('Đơn vị – vũ khí'!$A$2:$A$311=A88)*('Đơn vị – vũ khí'!$F$2:$F$311=1)*N(+'Đơn vị – vũ khí'!$K$2:$K$311))</f>
        <v/>
      </c>
      <c r="K88" s="54">
        <f>SUMPRODUCT(('Đơn vị – vũ khí'!$A$2:$A$311=A88)*('Đơn vị – vũ khí'!$F$2:$F$311=1)*N(+'Đơn vị – vũ khí'!$L$2:$L$311))</f>
        <v/>
      </c>
      <c r="L88" s="54">
        <f>IFERROR(I88/D88,"")</f>
        <v/>
      </c>
      <c r="M88" s="39" t="n"/>
    </row>
    <row r="89" ht="21.75" customHeight="1" s="32">
      <c r="A89" s="41" t="inlineStr">
        <is>
          <t>heavy_turret.coastal</t>
        </is>
      </c>
      <c r="B89" s="41" t="inlineStr">
        <is>
          <t>Pháo đài hạng nặng · nhánh Pháo bờ biển tầm xa</t>
        </is>
      </c>
      <c r="C89" s="41" t="inlineStr">
        <is>
          <t>Công trình</t>
        </is>
      </c>
      <c r="D89" s="41" t="n"/>
      <c r="E89" s="43" t="n">
        <v>138</v>
      </c>
      <c r="F89" s="43" t="n">
        <v>98</v>
      </c>
      <c r="G89" s="43" t="n">
        <v>0</v>
      </c>
      <c r="H89" s="55">
        <f>SUMPRODUCT(('Đơn vị – vũ khí'!$A$2:$A$311=A89)*('Đơn vị – vũ khí'!$F$2:$F$311=1)*N(+'Đơn vị – vũ khí'!$I$2:$I$311))</f>
        <v/>
      </c>
      <c r="I89" s="55">
        <f>SUMPRODUCT(('Đơn vị – vũ khí'!$A$2:$A$311=A89)*('Đơn vị – vũ khí'!$F$2:$F$311=1)*N(+'Đơn vị – vũ khí'!$J$2:$J$311))</f>
        <v/>
      </c>
      <c r="J89" s="55">
        <f>SUMPRODUCT(('Đơn vị – vũ khí'!$A$2:$A$311=A89)*('Đơn vị – vũ khí'!$F$2:$F$311=1)*N(+'Đơn vị – vũ khí'!$K$2:$K$311))</f>
        <v/>
      </c>
      <c r="K89" s="55">
        <f>SUMPRODUCT(('Đơn vị – vũ khí'!$A$2:$A$311=A89)*('Đơn vị – vũ khí'!$F$2:$F$311=1)*N(+'Đơn vị – vũ khí'!$L$2:$L$311))</f>
        <v/>
      </c>
      <c r="L89" s="55">
        <f>IFERROR(I89/D89,"")</f>
        <v/>
      </c>
      <c r="M89" s="41" t="n"/>
    </row>
    <row r="90" ht="21.75" customHeight="1" s="32">
      <c r="A90" s="39" t="inlineStr">
        <is>
          <t>heavy_turret.bastion</t>
        </is>
      </c>
      <c r="B90" s="39" t="inlineStr">
        <is>
          <t>Pháo đài hạng nặng · nhánh Pháo đài thép</t>
        </is>
      </c>
      <c r="C90" s="39" t="inlineStr">
        <is>
          <t>Công trình</t>
        </is>
      </c>
      <c r="D90" s="39" t="n"/>
      <c r="E90" s="42" t="n">
        <v>229</v>
      </c>
      <c r="F90" s="42" t="n">
        <v>125</v>
      </c>
      <c r="G90" s="42" t="n">
        <v>32</v>
      </c>
      <c r="H90" s="54">
        <f>SUMPRODUCT(('Đơn vị – vũ khí'!$A$2:$A$311=A90)*('Đơn vị – vũ khí'!$F$2:$F$311=1)*N(+'Đơn vị – vũ khí'!$I$2:$I$311))</f>
        <v/>
      </c>
      <c r="I90" s="54">
        <f>SUMPRODUCT(('Đơn vị – vũ khí'!$A$2:$A$311=A90)*('Đơn vị – vũ khí'!$F$2:$F$311=1)*N(+'Đơn vị – vũ khí'!$J$2:$J$311))</f>
        <v/>
      </c>
      <c r="J90" s="54">
        <f>SUMPRODUCT(('Đơn vị – vũ khí'!$A$2:$A$311=A90)*('Đơn vị – vũ khí'!$F$2:$F$311=1)*N(+'Đơn vị – vũ khí'!$K$2:$K$311))</f>
        <v/>
      </c>
      <c r="K90" s="54">
        <f>SUMPRODUCT(('Đơn vị – vũ khí'!$A$2:$A$311=A90)*('Đơn vị – vũ khí'!$F$2:$F$311=1)*N(+'Đơn vị – vũ khí'!$L$2:$L$311))</f>
        <v/>
      </c>
      <c r="L90" s="54">
        <f>IFERROR(I90/D90,"")</f>
        <v/>
      </c>
      <c r="M90" s="39" t="n"/>
    </row>
    <row r="91" ht="15" customHeight="1" s="32">
      <c r="A91" s="41" t="inlineStr">
        <is>
          <t>missile_battery</t>
        </is>
      </c>
      <c r="B91" s="41" t="inlineStr">
        <is>
          <t>Tên lửa Patriot tầm xa</t>
        </is>
      </c>
      <c r="C91" s="41" t="inlineStr">
        <is>
          <t>Công trình</t>
        </is>
      </c>
      <c r="D91" s="41" t="n"/>
      <c r="E91" s="43" t="n">
        <v>0</v>
      </c>
      <c r="F91" s="43" t="n">
        <v>0</v>
      </c>
      <c r="G91" s="43" t="n">
        <v>188</v>
      </c>
      <c r="H91" s="55">
        <f>SUMPRODUCT(('Đơn vị – vũ khí'!$A$2:$A$311=A91)*('Đơn vị – vũ khí'!$F$2:$F$311=1)*N(+'Đơn vị – vũ khí'!$I$2:$I$311))</f>
        <v/>
      </c>
      <c r="I91" s="55">
        <f>SUMPRODUCT(('Đơn vị – vũ khí'!$A$2:$A$311=A91)*('Đơn vị – vũ khí'!$F$2:$F$311=1)*N(+'Đơn vị – vũ khí'!$J$2:$J$311))</f>
        <v/>
      </c>
      <c r="J91" s="55">
        <f>SUMPRODUCT(('Đơn vị – vũ khí'!$A$2:$A$311=A91)*('Đơn vị – vũ khí'!$F$2:$F$311=1)*N(+'Đơn vị – vũ khí'!$K$2:$K$311))</f>
        <v/>
      </c>
      <c r="K91" s="55">
        <f>SUMPRODUCT(('Đơn vị – vũ khí'!$A$2:$A$311=A91)*('Đơn vị – vũ khí'!$F$2:$F$311=1)*N(+'Đơn vị – vũ khí'!$L$2:$L$311))</f>
        <v/>
      </c>
      <c r="L91" s="55">
        <f>IFERROR(I91/D91,"")</f>
        <v/>
      </c>
      <c r="M91" s="41" t="n"/>
    </row>
    <row r="92" ht="21.75" customHeight="1" s="32">
      <c r="A92" s="39" t="inlineStr">
        <is>
          <t>missile_battery.pac3</t>
        </is>
      </c>
      <c r="B92" s="39" t="inlineStr">
        <is>
          <t>Tên lửa Patriot tầm xa · nhánh PAC-3 đánh chặn</t>
        </is>
      </c>
      <c r="C92" s="39" t="inlineStr">
        <is>
          <t>Công trình</t>
        </is>
      </c>
      <c r="D92" s="39" t="n"/>
      <c r="E92" s="42" t="n">
        <v>0</v>
      </c>
      <c r="F92" s="42" t="n">
        <v>0</v>
      </c>
      <c r="G92" s="42" t="n">
        <v>150</v>
      </c>
      <c r="H92" s="54">
        <f>SUMPRODUCT(('Đơn vị – vũ khí'!$A$2:$A$311=A92)*('Đơn vị – vũ khí'!$F$2:$F$311=1)*N(+'Đơn vị – vũ khí'!$I$2:$I$311))</f>
        <v/>
      </c>
      <c r="I92" s="54">
        <f>SUMPRODUCT(('Đơn vị – vũ khí'!$A$2:$A$311=A92)*('Đơn vị – vũ khí'!$F$2:$F$311=1)*N(+'Đơn vị – vũ khí'!$J$2:$J$311))</f>
        <v/>
      </c>
      <c r="J92" s="54">
        <f>SUMPRODUCT(('Đơn vị – vũ khí'!$A$2:$A$311=A92)*('Đơn vị – vũ khí'!$F$2:$F$311=1)*N(+'Đơn vị – vũ khí'!$K$2:$K$311))</f>
        <v/>
      </c>
      <c r="K92" s="54">
        <f>SUMPRODUCT(('Đơn vị – vũ khí'!$A$2:$A$311=A92)*('Đơn vị – vũ khí'!$F$2:$F$311=1)*N(+'Đơn vị – vũ khí'!$L$2:$L$311))</f>
        <v/>
      </c>
      <c r="L92" s="54">
        <f>IFERROR(I92/D92,"")</f>
        <v/>
      </c>
      <c r="M92" s="39" t="n"/>
    </row>
    <row r="93" ht="21.75" customHeight="1" s="32">
      <c r="A93" s="41" t="inlineStr">
        <is>
          <t>missile_battery.lrr</t>
        </is>
      </c>
      <c r="B93" s="41" t="inlineStr">
        <is>
          <t>Tên lửa Patriot tầm xa · nhánh Radar tầm xa</t>
        </is>
      </c>
      <c r="C93" s="41" t="inlineStr">
        <is>
          <t>Công trình</t>
        </is>
      </c>
      <c r="D93" s="41" t="n"/>
      <c r="E93" s="43" t="n">
        <v>0</v>
      </c>
      <c r="F93" s="43" t="n">
        <v>0</v>
      </c>
      <c r="G93" s="43" t="n">
        <v>186</v>
      </c>
      <c r="H93" s="55">
        <f>SUMPRODUCT(('Đơn vị – vũ khí'!$A$2:$A$311=A93)*('Đơn vị – vũ khí'!$F$2:$F$311=1)*N(+'Đơn vị – vũ khí'!$I$2:$I$311))</f>
        <v/>
      </c>
      <c r="I93" s="55">
        <f>SUMPRODUCT(('Đơn vị – vũ khí'!$A$2:$A$311=A93)*('Đơn vị – vũ khí'!$F$2:$F$311=1)*N(+'Đơn vị – vũ khí'!$J$2:$J$311))</f>
        <v/>
      </c>
      <c r="J93" s="55">
        <f>SUMPRODUCT(('Đơn vị – vũ khí'!$A$2:$A$311=A93)*('Đơn vị – vũ khí'!$F$2:$F$311=1)*N(+'Đơn vị – vũ khí'!$K$2:$K$311))</f>
        <v/>
      </c>
      <c r="K93" s="55">
        <f>SUMPRODUCT(('Đơn vị – vũ khí'!$A$2:$A$311=A93)*('Đơn vị – vũ khí'!$F$2:$F$311=1)*N(+'Đơn vị – vũ khí'!$L$2:$L$311))</f>
        <v/>
      </c>
      <c r="L93" s="55">
        <f>IFERROR(I93/D93,"")</f>
        <v/>
      </c>
      <c r="M93" s="41" t="n"/>
    </row>
    <row r="94" ht="15" customHeight="1" s="32">
      <c r="A94" s="39" t="inlineStr">
        <is>
          <t>bulwark_post</t>
        </is>
      </c>
      <c r="B94" s="39" t="inlineStr">
        <is>
          <t>Ụ súng tạm</t>
        </is>
      </c>
      <c r="C94" s="39" t="inlineStr">
        <is>
          <t>Công trình</t>
        </is>
      </c>
      <c r="D94" s="39" t="n"/>
      <c r="E94" s="42" t="n">
        <v>102</v>
      </c>
      <c r="F94" s="42" t="n">
        <v>30</v>
      </c>
      <c r="G94" s="42" t="n">
        <v>36</v>
      </c>
      <c r="H94" s="54">
        <f>SUMPRODUCT(('Đơn vị – vũ khí'!$A$2:$A$311=A94)*('Đơn vị – vũ khí'!$F$2:$F$311=1)*N(+'Đơn vị – vũ khí'!$I$2:$I$311))</f>
        <v/>
      </c>
      <c r="I94" s="54">
        <f>SUMPRODUCT(('Đơn vị – vũ khí'!$A$2:$A$311=A94)*('Đơn vị – vũ khí'!$F$2:$F$311=1)*N(+'Đơn vị – vũ khí'!$J$2:$J$311))</f>
        <v/>
      </c>
      <c r="J94" s="54">
        <f>SUMPRODUCT(('Đơn vị – vũ khí'!$A$2:$A$311=A94)*('Đơn vị – vũ khí'!$F$2:$F$311=1)*N(+'Đơn vị – vũ khí'!$K$2:$K$311))</f>
        <v/>
      </c>
      <c r="K94" s="54">
        <f>SUMPRODUCT(('Đơn vị – vũ khí'!$A$2:$A$311=A94)*('Đơn vị – vũ khí'!$F$2:$F$311=1)*N(+'Đơn vị – vũ khí'!$L$2:$L$311))</f>
        <v/>
      </c>
      <c r="L94" s="54">
        <f>IFERROR(I94/D94,"")</f>
        <v/>
      </c>
      <c r="M94" s="39" t="n"/>
    </row>
    <row r="95" ht="15" customHeight="1" s="32">
      <c r="A95" s="41" t="inlineStr">
        <is>
          <t>coastal_battery</t>
        </is>
      </c>
      <c r="B95" s="41" t="inlineStr">
        <is>
          <t>Trận địa pháo bờ biển</t>
        </is>
      </c>
      <c r="C95" s="41" t="inlineStr">
        <is>
          <t>Công trình</t>
        </is>
      </c>
      <c r="D95" s="41" t="n"/>
      <c r="E95" s="43" t="n">
        <v>87</v>
      </c>
      <c r="F95" s="43" t="n">
        <v>62</v>
      </c>
      <c r="G95" s="43" t="n">
        <v>0</v>
      </c>
      <c r="H95" s="55">
        <f>SUMPRODUCT(('Đơn vị – vũ khí'!$A$2:$A$311=A95)*('Đơn vị – vũ khí'!$F$2:$F$311=1)*N(+'Đơn vị – vũ khí'!$I$2:$I$311))</f>
        <v/>
      </c>
      <c r="I95" s="55">
        <f>SUMPRODUCT(('Đơn vị – vũ khí'!$A$2:$A$311=A95)*('Đơn vị – vũ khí'!$F$2:$F$311=1)*N(+'Đơn vị – vũ khí'!$J$2:$J$311))</f>
        <v/>
      </c>
      <c r="J95" s="55">
        <f>SUMPRODUCT(('Đơn vị – vũ khí'!$A$2:$A$311=A95)*('Đơn vị – vũ khí'!$F$2:$F$311=1)*N(+'Đơn vị – vũ khí'!$K$2:$K$311))</f>
        <v/>
      </c>
      <c r="K95" s="55">
        <f>SUMPRODUCT(('Đơn vị – vũ khí'!$A$2:$A$311=A95)*('Đơn vị – vũ khí'!$F$2:$F$311=1)*N(+'Đơn vị – vũ khí'!$L$2:$L$311))</f>
        <v/>
      </c>
      <c r="L95" s="55">
        <f>IFERROR(I95/D95,"")</f>
        <v/>
      </c>
      <c r="M95" s="41" t="n"/>
    </row>
    <row r="96" ht="15" customHeight="1" s="32">
      <c r="A96" s="39" t="inlineStr">
        <is>
          <t>rail_supergun</t>
        </is>
      </c>
      <c r="B96" s="39" t="inlineStr">
        <is>
          <t>Gungnir · Pháo đường ray</t>
        </is>
      </c>
      <c r="C96" s="39" t="inlineStr">
        <is>
          <t>Boss</t>
        </is>
      </c>
      <c r="D96" s="39" t="n"/>
      <c r="E96" s="42" t="n">
        <v>181</v>
      </c>
      <c r="F96" s="42" t="n">
        <v>90</v>
      </c>
      <c r="G96" s="42" t="n">
        <v>67</v>
      </c>
      <c r="H96" s="54">
        <f>SUMPRODUCT(('Đơn vị – vũ khí'!$A$2:$A$311=A96)*('Đơn vị – vũ khí'!$F$2:$F$311=1)*N(+'Đơn vị – vũ khí'!$I$2:$I$311))</f>
        <v/>
      </c>
      <c r="I96" s="54">
        <f>SUMPRODUCT(('Đơn vị – vũ khí'!$A$2:$A$311=A96)*('Đơn vị – vũ khí'!$F$2:$F$311=1)*N(+'Đơn vị – vũ khí'!$J$2:$J$311))</f>
        <v/>
      </c>
      <c r="J96" s="54">
        <f>SUMPRODUCT(('Đơn vị – vũ khí'!$A$2:$A$311=A96)*('Đơn vị – vũ khí'!$F$2:$F$311=1)*N(+'Đơn vị – vũ khí'!$K$2:$K$311))</f>
        <v/>
      </c>
      <c r="K96" s="54">
        <f>SUMPRODUCT(('Đơn vị – vũ khí'!$A$2:$A$311=A96)*('Đơn vị – vũ khí'!$F$2:$F$311=1)*N(+'Đơn vị – vũ khí'!$L$2:$L$311))</f>
        <v/>
      </c>
      <c r="L96" s="54">
        <f>IFERROR(I96/D96,"")</f>
        <v/>
      </c>
      <c r="M96" s="39" t="n"/>
    </row>
    <row r="97" ht="15" customHeight="1" s="32">
      <c r="A97" s="41" t="inlineStr">
        <is>
          <t>spawn_bastion</t>
        </is>
      </c>
      <c r="B97" s="41" t="inlineStr">
        <is>
          <t>Tháp căn cứ</t>
        </is>
      </c>
      <c r="C97" s="41" t="inlineStr">
        <is>
          <t>Công trình</t>
        </is>
      </c>
      <c r="D97" s="41" t="n"/>
      <c r="E97" s="43" t="n">
        <v>147</v>
      </c>
      <c r="F97" s="43" t="n">
        <v>123</v>
      </c>
      <c r="G97" s="43" t="n">
        <v>0</v>
      </c>
      <c r="H97" s="55">
        <f>SUMPRODUCT(('Đơn vị – vũ khí'!$A$2:$A$311=A97)*('Đơn vị – vũ khí'!$F$2:$F$311=1)*N(+'Đơn vị – vũ khí'!$I$2:$I$311))</f>
        <v/>
      </c>
      <c r="I97" s="55">
        <f>SUMPRODUCT(('Đơn vị – vũ khí'!$A$2:$A$311=A97)*('Đơn vị – vũ khí'!$F$2:$F$311=1)*N(+'Đơn vị – vũ khí'!$J$2:$J$311))</f>
        <v/>
      </c>
      <c r="J97" s="55">
        <f>SUMPRODUCT(('Đơn vị – vũ khí'!$A$2:$A$311=A97)*('Đơn vị – vũ khí'!$F$2:$F$311=1)*N(+'Đơn vị – vũ khí'!$K$2:$K$311))</f>
        <v/>
      </c>
      <c r="K97" s="55">
        <f>SUMPRODUCT(('Đơn vị – vũ khí'!$A$2:$A$311=A97)*('Đơn vị – vũ khí'!$F$2:$F$311=1)*N(+'Đơn vị – vũ khí'!$L$2:$L$311))</f>
        <v/>
      </c>
      <c r="L97" s="55">
        <f>IFERROR(I97/D97,"")</f>
        <v/>
      </c>
      <c r="M97" s="41" t="n"/>
    </row>
    <row r="98" ht="21.75" customHeight="1" s="32">
      <c r="A98" s="39" t="inlineStr">
        <is>
          <t>behemoth_mk0</t>
        </is>
      </c>
      <c r="B98" s="39" t="inlineStr">
        <is>
          <t>Behemoth Mk.0 · Behemoth nguyên mẫu</t>
        </is>
      </c>
      <c r="C98" s="39" t="inlineStr">
        <is>
          <t>Boss</t>
        </is>
      </c>
      <c r="D98" s="39" t="n"/>
      <c r="E98" s="42" t="n">
        <v>286</v>
      </c>
      <c r="F98" s="42" t="n">
        <v>199</v>
      </c>
      <c r="G98" s="42" t="n">
        <v>0</v>
      </c>
      <c r="H98" s="54">
        <f>SUMPRODUCT(('Đơn vị – vũ khí'!$A$2:$A$311=A98)*('Đơn vị – vũ khí'!$F$2:$F$311=1)*N(+'Đơn vị – vũ khí'!$I$2:$I$311))</f>
        <v/>
      </c>
      <c r="I98" s="54">
        <f>SUMPRODUCT(('Đơn vị – vũ khí'!$A$2:$A$311=A98)*('Đơn vị – vũ khí'!$F$2:$F$311=1)*N(+'Đơn vị – vũ khí'!$J$2:$J$311))</f>
        <v/>
      </c>
      <c r="J98" s="54">
        <f>SUMPRODUCT(('Đơn vị – vũ khí'!$A$2:$A$311=A98)*('Đơn vị – vũ khí'!$F$2:$F$311=1)*N(+'Đơn vị – vũ khí'!$K$2:$K$311))</f>
        <v/>
      </c>
      <c r="K98" s="54">
        <f>SUMPRODUCT(('Đơn vị – vũ khí'!$A$2:$A$311=A98)*('Đơn vị – vũ khí'!$F$2:$F$311=1)*N(+'Đơn vị – vũ khí'!$L$2:$L$311))</f>
        <v/>
      </c>
      <c r="L98" s="54">
        <f>IFERROR(I98/D98,"")</f>
        <v/>
      </c>
      <c r="M98" s="39" t="n"/>
    </row>
    <row r="99" ht="15" customHeight="1" s="32">
      <c r="A99" s="41" t="inlineStr">
        <is>
          <t>armored_train</t>
        </is>
      </c>
      <c r="B99" s="41" t="inlineStr">
        <is>
          <t>Juggernaut · Đoàn tàu bọc thép</t>
        </is>
      </c>
      <c r="C99" s="41" t="inlineStr">
        <is>
          <t>Boss</t>
        </is>
      </c>
      <c r="D99" s="41" t="n"/>
      <c r="E99" s="43" t="n">
        <v>346</v>
      </c>
      <c r="F99" s="43" t="n">
        <v>220</v>
      </c>
      <c r="G99" s="43" t="n">
        <v>252</v>
      </c>
      <c r="H99" s="55">
        <f>SUMPRODUCT(('Đơn vị – vũ khí'!$A$2:$A$311=A99)*('Đơn vị – vũ khí'!$F$2:$F$311=1)*N(+'Đơn vị – vũ khí'!$I$2:$I$311))</f>
        <v/>
      </c>
      <c r="I99" s="55">
        <f>SUMPRODUCT(('Đơn vị – vũ khí'!$A$2:$A$311=A99)*('Đơn vị – vũ khí'!$F$2:$F$311=1)*N(+'Đơn vị – vũ khí'!$J$2:$J$311))</f>
        <v/>
      </c>
      <c r="J99" s="55">
        <f>SUMPRODUCT(('Đơn vị – vũ khí'!$A$2:$A$311=A99)*('Đơn vị – vũ khí'!$F$2:$F$311=1)*N(+'Đơn vị – vũ khí'!$K$2:$K$311))</f>
        <v/>
      </c>
      <c r="K99" s="55">
        <f>SUMPRODUCT(('Đơn vị – vũ khí'!$A$2:$A$311=A99)*('Đơn vị – vũ khí'!$F$2:$F$311=1)*N(+'Đơn vị – vũ khí'!$L$2:$L$311))</f>
        <v/>
      </c>
      <c r="L99" s="55">
        <f>IFERROR(I99/D99,"")</f>
        <v/>
      </c>
      <c r="M99" s="41" t="n"/>
    </row>
    <row r="100" ht="15" customHeight="1" s="32">
      <c r="A100" s="39" t="inlineStr">
        <is>
          <t>behemoth_tempest</t>
        </is>
      </c>
      <c r="B100" s="39" t="inlineStr">
        <is>
          <t>Tempest · Behemoth pháo điện từ</t>
        </is>
      </c>
      <c r="C100" s="39" t="inlineStr">
        <is>
          <t>Boss</t>
        </is>
      </c>
      <c r="D100" s="39" t="n"/>
      <c r="E100" s="42" t="n">
        <v>372</v>
      </c>
      <c r="F100" s="42" t="n">
        <v>310</v>
      </c>
      <c r="G100" s="42" t="n">
        <v>66</v>
      </c>
      <c r="H100" s="54">
        <f>SUMPRODUCT(('Đơn vị – vũ khí'!$A$2:$A$311=A100)*('Đơn vị – vũ khí'!$F$2:$F$311=1)*N(+'Đơn vị – vũ khí'!$I$2:$I$311))</f>
        <v/>
      </c>
      <c r="I100" s="54">
        <f>SUMPRODUCT(('Đơn vị – vũ khí'!$A$2:$A$311=A100)*('Đơn vị – vũ khí'!$F$2:$F$311=1)*N(+'Đơn vị – vũ khí'!$J$2:$J$311))</f>
        <v/>
      </c>
      <c r="J100" s="54">
        <f>SUMPRODUCT(('Đơn vị – vũ khí'!$A$2:$A$311=A100)*('Đơn vị – vũ khí'!$F$2:$F$311=1)*N(+'Đơn vị – vũ khí'!$K$2:$K$311))</f>
        <v/>
      </c>
      <c r="K100" s="54">
        <f>SUMPRODUCT(('Đơn vị – vũ khí'!$A$2:$A$311=A100)*('Đơn vị – vũ khí'!$F$2:$F$311=1)*N(+'Đơn vị – vũ khí'!$L$2:$L$311))</f>
        <v/>
      </c>
      <c r="L100" s="54">
        <f>IFERROR(I100/D100,"")</f>
        <v/>
      </c>
      <c r="M100" s="39" t="n"/>
    </row>
    <row r="101" ht="15" customHeight="1" s="32">
      <c r="A101" s="41" t="inlineStr">
        <is>
          <t>locust</t>
        </is>
      </c>
      <c r="B101" s="41" t="inlineStr">
        <is>
          <t>Locust · Tàu con drone</t>
        </is>
      </c>
      <c r="C101" s="41" t="inlineStr">
        <is>
          <t>Boss</t>
        </is>
      </c>
      <c r="D101" s="41" t="n"/>
      <c r="E101" s="43" t="n">
        <v>201</v>
      </c>
      <c r="F101" s="43" t="n">
        <v>153</v>
      </c>
      <c r="G101" s="43" t="n">
        <v>248</v>
      </c>
      <c r="H101" s="55">
        <f>SUMPRODUCT(('Đơn vị – vũ khí'!$A$2:$A$311=A101)*('Đơn vị – vũ khí'!$F$2:$F$311=1)*N(+'Đơn vị – vũ khí'!$I$2:$I$311))</f>
        <v/>
      </c>
      <c r="I101" s="55">
        <f>SUMPRODUCT(('Đơn vị – vũ khí'!$A$2:$A$311=A101)*('Đơn vị – vũ khí'!$F$2:$F$311=1)*N(+'Đơn vị – vũ khí'!$J$2:$J$311))</f>
        <v/>
      </c>
      <c r="J101" s="55">
        <f>SUMPRODUCT(('Đơn vị – vũ khí'!$A$2:$A$311=A101)*('Đơn vị – vũ khí'!$F$2:$F$311=1)*N(+'Đơn vị – vũ khí'!$K$2:$K$311))</f>
        <v/>
      </c>
      <c r="K101" s="55">
        <f>SUMPRODUCT(('Đơn vị – vũ khí'!$A$2:$A$311=A101)*('Đơn vị – vũ khí'!$F$2:$F$311=1)*N(+'Đơn vị – vũ khí'!$L$2:$L$311))</f>
        <v/>
      </c>
      <c r="L101" s="55">
        <f>IFERROR(I101/D101,"")</f>
        <v/>
      </c>
      <c r="M101" s="41" t="n"/>
    </row>
    <row r="102" ht="15" customHeight="1" s="32">
      <c r="A102" s="39" t="inlineStr">
        <is>
          <t>morrigan</t>
        </is>
      </c>
      <c r="B102" s="39" t="inlineStr">
        <is>
          <t>Morrigan · Tiêm kích của Raven</t>
        </is>
      </c>
      <c r="C102" s="39" t="inlineStr">
        <is>
          <t>Boss</t>
        </is>
      </c>
      <c r="D102" s="39" t="n"/>
      <c r="E102" s="42" t="n">
        <v>98</v>
      </c>
      <c r="F102" s="42" t="n">
        <v>65</v>
      </c>
      <c r="G102" s="42" t="n">
        <v>365</v>
      </c>
      <c r="H102" s="54">
        <f>SUMPRODUCT(('Đơn vị – vũ khí'!$A$2:$A$311=A102)*('Đơn vị – vũ khí'!$F$2:$F$311=1)*N(+'Đơn vị – vũ khí'!$I$2:$I$311))</f>
        <v/>
      </c>
      <c r="I102" s="54">
        <f>SUMPRODUCT(('Đơn vị – vũ khí'!$A$2:$A$311=A102)*('Đơn vị – vũ khí'!$F$2:$F$311=1)*N(+'Đơn vị – vũ khí'!$J$2:$J$311))</f>
        <v/>
      </c>
      <c r="J102" s="54">
        <f>SUMPRODUCT(('Đơn vị – vũ khí'!$A$2:$A$311=A102)*('Đơn vị – vũ khí'!$F$2:$F$311=1)*N(+'Đơn vị – vũ khí'!$K$2:$K$311))</f>
        <v/>
      </c>
      <c r="K102" s="54">
        <f>SUMPRODUCT(('Đơn vị – vũ khí'!$A$2:$A$311=A102)*('Đơn vị – vũ khí'!$F$2:$F$311=1)*N(+'Đơn vị – vũ khí'!$L$2:$L$311))</f>
        <v/>
      </c>
      <c r="L102" s="54">
        <f>IFERROR(I102/D102,"")</f>
        <v/>
      </c>
      <c r="M102" s="39" t="n"/>
    </row>
    <row r="103" ht="15" customHeight="1" s="32">
      <c r="A103" s="41" t="inlineStr">
        <is>
          <t>behemoth_mk2</t>
        </is>
      </c>
      <c r="B103" s="41" t="inlineStr">
        <is>
          <t>Behemoth Mk.II · Behemoth nâng cấp</t>
        </is>
      </c>
      <c r="C103" s="41" t="inlineStr">
        <is>
          <t>Boss</t>
        </is>
      </c>
      <c r="D103" s="41" t="n"/>
      <c r="E103" s="43" t="n">
        <v>276</v>
      </c>
      <c r="F103" s="43" t="n">
        <v>156</v>
      </c>
      <c r="G103" s="43" t="n">
        <v>495</v>
      </c>
      <c r="H103" s="55">
        <f>SUMPRODUCT(('Đơn vị – vũ khí'!$A$2:$A$311=A103)*('Đơn vị – vũ khí'!$F$2:$F$311=1)*N(+'Đơn vị – vũ khí'!$I$2:$I$311))</f>
        <v/>
      </c>
      <c r="I103" s="55">
        <f>SUMPRODUCT(('Đơn vị – vũ khí'!$A$2:$A$311=A103)*('Đơn vị – vũ khí'!$F$2:$F$311=1)*N(+'Đơn vị – vũ khí'!$J$2:$J$311))</f>
        <v/>
      </c>
      <c r="J103" s="55">
        <f>SUMPRODUCT(('Đơn vị – vũ khí'!$A$2:$A$311=A103)*('Đơn vị – vũ khí'!$F$2:$F$311=1)*N(+'Đơn vị – vũ khí'!$K$2:$K$311))</f>
        <v/>
      </c>
      <c r="K103" s="55">
        <f>SUMPRODUCT(('Đơn vị – vũ khí'!$A$2:$A$311=A103)*('Đơn vị – vũ khí'!$F$2:$F$311=1)*N(+'Đơn vị – vũ khí'!$L$2:$L$311))</f>
        <v/>
      </c>
      <c r="L103" s="55">
        <f>IFERROR(I103/D103,"")</f>
        <v/>
      </c>
      <c r="M103" s="41" t="n"/>
    </row>
    <row r="104" ht="15" customHeight="1" s="32">
      <c r="A104" s="39" t="inlineStr">
        <is>
          <t>landing_hovercraft</t>
        </is>
      </c>
      <c r="B104" s="39" t="inlineStr">
        <is>
          <t>Charybdis · Tàu đệm khí đổ bộ</t>
        </is>
      </c>
      <c r="C104" s="39" t="inlineStr">
        <is>
          <t>Boss</t>
        </is>
      </c>
      <c r="D104" s="39" t="n"/>
      <c r="E104" s="42" t="n">
        <v>106</v>
      </c>
      <c r="F104" s="42" t="n">
        <v>84</v>
      </c>
      <c r="G104" s="42" t="n">
        <v>20</v>
      </c>
      <c r="H104" s="54">
        <f>SUMPRODUCT(('Đơn vị – vũ khí'!$A$2:$A$311=A104)*('Đơn vị – vũ khí'!$F$2:$F$311=1)*N(+'Đơn vị – vũ khí'!$I$2:$I$311))</f>
        <v/>
      </c>
      <c r="I104" s="54">
        <f>SUMPRODUCT(('Đơn vị – vũ khí'!$A$2:$A$311=A104)*('Đơn vị – vũ khí'!$F$2:$F$311=1)*N(+'Đơn vị – vũ khí'!$J$2:$J$311))</f>
        <v/>
      </c>
      <c r="J104" s="54">
        <f>SUMPRODUCT(('Đơn vị – vũ khí'!$A$2:$A$311=A104)*('Đơn vị – vũ khí'!$F$2:$F$311=1)*N(+'Đơn vị – vũ khí'!$K$2:$K$311))</f>
        <v/>
      </c>
      <c r="K104" s="54">
        <f>SUMPRODUCT(('Đơn vị – vũ khí'!$A$2:$A$311=A104)*('Đơn vị – vũ khí'!$F$2:$F$311=1)*N(+'Đơn vị – vũ khí'!$L$2:$L$311))</f>
        <v/>
      </c>
      <c r="L104" s="54">
        <f>IFERROR(I104/D104,"")</f>
        <v/>
      </c>
      <c r="M104" s="39" t="n"/>
    </row>
    <row r="105" ht="15" customHeight="1" s="32">
      <c r="A105" s="41" t="inlineStr">
        <is>
          <t>argus</t>
        </is>
      </c>
      <c r="B105" s="41" t="inlineStr">
        <is>
          <t>Argus · Khí cầu trinh sát</t>
        </is>
      </c>
      <c r="C105" s="41" t="inlineStr">
        <is>
          <t>Boss</t>
        </is>
      </c>
      <c r="D105" s="41" t="n"/>
      <c r="E105" s="43" t="n">
        <v>128</v>
      </c>
      <c r="F105" s="43" t="n">
        <v>64</v>
      </c>
      <c r="G105" s="43" t="n">
        <v>332</v>
      </c>
      <c r="H105" s="55">
        <f>SUMPRODUCT(('Đơn vị – vũ khí'!$A$2:$A$311=A105)*('Đơn vị – vũ khí'!$F$2:$F$311=1)*N(+'Đơn vị – vũ khí'!$I$2:$I$311))</f>
        <v/>
      </c>
      <c r="I105" s="55">
        <f>SUMPRODUCT(('Đơn vị – vũ khí'!$A$2:$A$311=A105)*('Đơn vị – vũ khí'!$F$2:$F$311=1)*N(+'Đơn vị – vũ khí'!$J$2:$J$311))</f>
        <v/>
      </c>
      <c r="J105" s="55">
        <f>SUMPRODUCT(('Đơn vị – vũ khí'!$A$2:$A$311=A105)*('Đơn vị – vũ khí'!$F$2:$F$311=1)*N(+'Đơn vị – vũ khí'!$K$2:$K$311))</f>
        <v/>
      </c>
      <c r="K105" s="55">
        <f>SUMPRODUCT(('Đơn vị – vũ khí'!$A$2:$A$311=A105)*('Đơn vị – vũ khí'!$F$2:$F$311=1)*N(+'Đơn vị – vũ khí'!$L$2:$L$311))</f>
        <v/>
      </c>
      <c r="L105" s="55">
        <f>IFERROR(I105/D105,"")</f>
        <v/>
      </c>
      <c r="M105" s="41" t="n"/>
    </row>
    <row r="106" ht="15" customHeight="1" s="32">
      <c r="A106" s="39" t="inlineStr">
        <is>
          <t>ixion</t>
        </is>
      </c>
      <c r="B106" s="39" t="inlineStr">
        <is>
          <t>Ixion · Xe bánh khổng lồ</t>
        </is>
      </c>
      <c r="C106" s="39" t="inlineStr">
        <is>
          <t>Boss</t>
        </is>
      </c>
      <c r="D106" s="39" t="n"/>
      <c r="E106" s="42" t="n">
        <v>69</v>
      </c>
      <c r="F106" s="42" t="n">
        <v>49</v>
      </c>
      <c r="G106" s="42" t="n">
        <v>0</v>
      </c>
      <c r="H106" s="54">
        <f>SUMPRODUCT(('Đơn vị – vũ khí'!$A$2:$A$311=A106)*('Đơn vị – vũ khí'!$F$2:$F$311=1)*N(+'Đơn vị – vũ khí'!$I$2:$I$311))</f>
        <v/>
      </c>
      <c r="I106" s="54">
        <f>SUMPRODUCT(('Đơn vị – vũ khí'!$A$2:$A$311=A106)*('Đơn vị – vũ khí'!$F$2:$F$311=1)*N(+'Đơn vị – vũ khí'!$J$2:$J$311))</f>
        <v/>
      </c>
      <c r="J106" s="54">
        <f>SUMPRODUCT(('Đơn vị – vũ khí'!$A$2:$A$311=A106)*('Đơn vị – vũ khí'!$F$2:$F$311=1)*N(+'Đơn vị – vũ khí'!$K$2:$K$311))</f>
        <v/>
      </c>
      <c r="K106" s="54">
        <f>SUMPRODUCT(('Đơn vị – vũ khí'!$A$2:$A$311=A106)*('Đơn vị – vũ khí'!$F$2:$F$311=1)*N(+'Đơn vị – vũ khí'!$L$2:$L$311))</f>
        <v/>
      </c>
      <c r="L106" s="54">
        <f>IFERROR(I106/D106,"")</f>
        <v/>
      </c>
      <c r="M106" s="39" t="n"/>
    </row>
    <row r="107" ht="15" customHeight="1" s="32">
      <c r="A107" s="41" t="inlineStr">
        <is>
          <t>fortress_hive</t>
        </is>
      </c>
      <c r="B107" s="41" t="inlineStr">
        <is>
          <t>Hive · Pháo đài drone</t>
        </is>
      </c>
      <c r="C107" s="41" t="inlineStr">
        <is>
          <t>Boss</t>
        </is>
      </c>
      <c r="D107" s="41" t="n"/>
      <c r="E107" s="43" t="n">
        <v>402</v>
      </c>
      <c r="F107" s="43" t="n">
        <v>307</v>
      </c>
      <c r="G107" s="43" t="n">
        <v>495</v>
      </c>
      <c r="H107" s="55">
        <f>SUMPRODUCT(('Đơn vị – vũ khí'!$A$2:$A$311=A107)*('Đơn vị – vũ khí'!$F$2:$F$311=1)*N(+'Đơn vị – vũ khí'!$I$2:$I$311))</f>
        <v/>
      </c>
      <c r="I107" s="55">
        <f>SUMPRODUCT(('Đơn vị – vũ khí'!$A$2:$A$311=A107)*('Đơn vị – vũ khí'!$F$2:$F$311=1)*N(+'Đơn vị – vũ khí'!$J$2:$J$311))</f>
        <v/>
      </c>
      <c r="J107" s="55">
        <f>SUMPRODUCT(('Đơn vị – vũ khí'!$A$2:$A$311=A107)*('Đơn vị – vũ khí'!$F$2:$F$311=1)*N(+'Đơn vị – vũ khí'!$K$2:$K$311))</f>
        <v/>
      </c>
      <c r="K107" s="55">
        <f>SUMPRODUCT(('Đơn vị – vũ khí'!$A$2:$A$311=A107)*('Đơn vị – vũ khí'!$F$2:$F$311=1)*N(+'Đơn vị – vũ khí'!$L$2:$L$311))</f>
        <v/>
      </c>
      <c r="L107" s="55">
        <f>IFERROR(I107/D107,"")</f>
        <v/>
      </c>
      <c r="M107" s="41" t="n"/>
    </row>
    <row r="108" ht="15" customHeight="1" s="32">
      <c r="A108" s="39" t="inlineStr">
        <is>
          <t>caspian</t>
        </is>
      </c>
      <c r="B108" s="39" t="inlineStr">
        <is>
          <t>Caspian · Tàu bay sát mặt nước</t>
        </is>
      </c>
      <c r="C108" s="39" t="inlineStr">
        <is>
          <t>Boss</t>
        </is>
      </c>
      <c r="D108" s="39" t="n"/>
      <c r="E108" s="42" t="n">
        <v>22</v>
      </c>
      <c r="F108" s="42" t="n">
        <v>11</v>
      </c>
      <c r="G108" s="42" t="n">
        <v>7</v>
      </c>
      <c r="H108" s="54">
        <f>SUMPRODUCT(('Đơn vị – vũ khí'!$A$2:$A$311=A108)*('Đơn vị – vũ khí'!$F$2:$F$311=1)*N(+'Đơn vị – vũ khí'!$I$2:$I$311))</f>
        <v/>
      </c>
      <c r="I108" s="54">
        <f>SUMPRODUCT(('Đơn vị – vũ khí'!$A$2:$A$311=A108)*('Đơn vị – vũ khí'!$F$2:$F$311=1)*N(+'Đơn vị – vũ khí'!$J$2:$J$311))</f>
        <v/>
      </c>
      <c r="J108" s="54">
        <f>SUMPRODUCT(('Đơn vị – vũ khí'!$A$2:$A$311=A108)*('Đơn vị – vũ khí'!$F$2:$F$311=1)*N(+'Đơn vị – vũ khí'!$K$2:$K$311))</f>
        <v/>
      </c>
      <c r="K108" s="54">
        <f>SUMPRODUCT(('Đơn vị – vũ khí'!$A$2:$A$311=A108)*('Đơn vị – vũ khí'!$F$2:$F$311=1)*N(+'Đơn vị – vũ khí'!$L$2:$L$311))</f>
        <v/>
      </c>
      <c r="L108" s="54">
        <f>IFERROR(I108/D108,"")</f>
        <v/>
      </c>
      <c r="M108" s="39" t="n"/>
    </row>
    <row r="109" ht="15" customHeight="1" s="32">
      <c r="A109" s="41" t="inlineStr">
        <is>
          <t>supreme_command</t>
        </is>
      </c>
      <c r="B109" s="41" t="inlineStr">
        <is>
          <t>Atlas · Xe chỉ huy siêu nặng</t>
        </is>
      </c>
      <c r="C109" s="41" t="inlineStr">
        <is>
          <t>Boss</t>
        </is>
      </c>
      <c r="D109" s="41" t="n"/>
      <c r="E109" s="43" t="n">
        <v>25</v>
      </c>
      <c r="F109" s="43" t="n">
        <v>7</v>
      </c>
      <c r="G109" s="43" t="n">
        <v>9</v>
      </c>
      <c r="H109" s="55">
        <f>SUMPRODUCT(('Đơn vị – vũ khí'!$A$2:$A$311=A109)*('Đơn vị – vũ khí'!$F$2:$F$311=1)*N(+'Đơn vị – vũ khí'!$I$2:$I$311))</f>
        <v/>
      </c>
      <c r="I109" s="55">
        <f>SUMPRODUCT(('Đơn vị – vũ khí'!$A$2:$A$311=A109)*('Đơn vị – vũ khí'!$F$2:$F$311=1)*N(+'Đơn vị – vũ khí'!$J$2:$J$311))</f>
        <v/>
      </c>
      <c r="J109" s="55">
        <f>SUMPRODUCT(('Đơn vị – vũ khí'!$A$2:$A$311=A109)*('Đơn vị – vũ khí'!$F$2:$F$311=1)*N(+'Đơn vị – vũ khí'!$K$2:$K$311))</f>
        <v/>
      </c>
      <c r="K109" s="55">
        <f>SUMPRODUCT(('Đơn vị – vũ khí'!$A$2:$A$311=A109)*('Đơn vị – vũ khí'!$F$2:$F$311=1)*N(+'Đơn vị – vũ khí'!$L$2:$L$311))</f>
        <v/>
      </c>
      <c r="L109" s="55">
        <f>IFERROR(I109/D109,"")</f>
        <v/>
      </c>
      <c r="M109" s="41" t="n"/>
    </row>
    <row r="110" ht="15" customHeight="1" s="32">
      <c r="A110" s="39" t="inlineStr">
        <is>
          <t>sky_fortress</t>
        </is>
      </c>
      <c r="B110" s="39" t="inlineStr">
        <is>
          <t>Spectre · Máy bay pháo</t>
        </is>
      </c>
      <c r="C110" s="39" t="inlineStr">
        <is>
          <t>Boss</t>
        </is>
      </c>
      <c r="D110" s="39" t="n"/>
      <c r="E110" s="42" t="n">
        <v>427</v>
      </c>
      <c r="F110" s="42" t="n">
        <v>224</v>
      </c>
      <c r="G110" s="42" t="n">
        <v>0</v>
      </c>
      <c r="H110" s="54">
        <f>SUMPRODUCT(('Đơn vị – vũ khí'!$A$2:$A$311=A110)*('Đơn vị – vũ khí'!$F$2:$F$311=1)*N(+'Đơn vị – vũ khí'!$I$2:$I$311))</f>
        <v/>
      </c>
      <c r="I110" s="54">
        <f>SUMPRODUCT(('Đơn vị – vũ khí'!$A$2:$A$311=A110)*('Đơn vị – vũ khí'!$F$2:$F$311=1)*N(+'Đơn vị – vũ khí'!$J$2:$J$311))</f>
        <v/>
      </c>
      <c r="J110" s="54">
        <f>SUMPRODUCT(('Đơn vị – vũ khí'!$A$2:$A$311=A110)*('Đơn vị – vũ khí'!$F$2:$F$311=1)*N(+'Đơn vị – vũ khí'!$K$2:$K$311))</f>
        <v/>
      </c>
      <c r="K110" s="54">
        <f>SUMPRODUCT(('Đơn vị – vũ khí'!$A$2:$A$311=A110)*('Đơn vị – vũ khí'!$F$2:$F$311=1)*N(+'Đơn vị – vũ khí'!$L$2:$L$311))</f>
        <v/>
      </c>
      <c r="L110" s="54">
        <f>IFERROR(I110/D110,"")</f>
        <v/>
      </c>
      <c r="M110" s="39" t="n"/>
    </row>
    <row r="111" ht="15" customHeight="1" s="32">
      <c r="A111" s="41" t="inlineStr">
        <is>
          <t>icarus_mk0</t>
        </is>
      </c>
      <c r="B111" s="41" t="inlineStr">
        <is>
          <t>Icarus Mk.0 · Phi thuyền nguyên mẫu</t>
        </is>
      </c>
      <c r="C111" s="41" t="inlineStr">
        <is>
          <t>Boss</t>
        </is>
      </c>
      <c r="D111" s="41" t="n"/>
      <c r="E111" s="43" t="n">
        <v>108</v>
      </c>
      <c r="F111" s="43" t="n">
        <v>90</v>
      </c>
      <c r="G111" s="43" t="n">
        <v>0</v>
      </c>
      <c r="H111" s="55">
        <f>SUMPRODUCT(('Đơn vị – vũ khí'!$A$2:$A$311=A111)*('Đơn vị – vũ khí'!$F$2:$F$311=1)*N(+'Đơn vị – vũ khí'!$I$2:$I$311))</f>
        <v/>
      </c>
      <c r="I111" s="55">
        <f>SUMPRODUCT(('Đơn vị – vũ khí'!$A$2:$A$311=A111)*('Đơn vị – vũ khí'!$F$2:$F$311=1)*N(+'Đơn vị – vũ khí'!$J$2:$J$311))</f>
        <v/>
      </c>
      <c r="J111" s="55">
        <f>SUMPRODUCT(('Đơn vị – vũ khí'!$A$2:$A$311=A111)*('Đơn vị – vũ khí'!$F$2:$F$311=1)*N(+'Đơn vị – vũ khí'!$K$2:$K$311))</f>
        <v/>
      </c>
      <c r="K111" s="55">
        <f>SUMPRODUCT(('Đơn vị – vũ khí'!$A$2:$A$311=A111)*('Đơn vị – vũ khí'!$F$2:$F$311=1)*N(+'Đơn vị – vũ khí'!$L$2:$L$311))</f>
        <v/>
      </c>
      <c r="L111" s="55">
        <f>IFERROR(I111/D111,"")</f>
        <v/>
      </c>
      <c r="M111" s="41" t="n"/>
    </row>
    <row r="112" ht="15" customHeight="1" s="32">
      <c r="A112" s="39" t="inlineStr">
        <is>
          <t>behemoth_inferno</t>
        </is>
      </c>
      <c r="B112" s="39" t="inlineStr">
        <is>
          <t>Inferno · Behemoth phun lửa</t>
        </is>
      </c>
      <c r="C112" s="39" t="inlineStr">
        <is>
          <t>Boss</t>
        </is>
      </c>
      <c r="D112" s="39" t="n"/>
      <c r="E112" s="42" t="n">
        <v>402</v>
      </c>
      <c r="F112" s="42" t="n">
        <v>222</v>
      </c>
      <c r="G112" s="42" t="n">
        <v>0</v>
      </c>
      <c r="H112" s="54">
        <f>SUMPRODUCT(('Đơn vị – vũ khí'!$A$2:$A$311=A112)*('Đơn vị – vũ khí'!$F$2:$F$311=1)*N(+'Đơn vị – vũ khí'!$I$2:$I$311))</f>
        <v/>
      </c>
      <c r="I112" s="54">
        <f>SUMPRODUCT(('Đơn vị – vũ khí'!$A$2:$A$311=A112)*('Đơn vị – vũ khí'!$F$2:$F$311=1)*N(+'Đơn vị – vũ khí'!$J$2:$J$311))</f>
        <v/>
      </c>
      <c r="J112" s="54">
        <f>SUMPRODUCT(('Đơn vị – vũ khí'!$A$2:$A$311=A112)*('Đơn vị – vũ khí'!$F$2:$F$311=1)*N(+'Đơn vị – vũ khí'!$K$2:$K$311))</f>
        <v/>
      </c>
      <c r="K112" s="54">
        <f>SUMPRODUCT(('Đơn vị – vũ khí'!$A$2:$A$311=A112)*('Đơn vị – vũ khí'!$F$2:$F$311=1)*N(+'Đơn vị – vũ khí'!$L$2:$L$311))</f>
        <v/>
      </c>
      <c r="L112" s="54">
        <f>IFERROR(I112/D112,"")</f>
        <v/>
      </c>
      <c r="M112" s="39" t="n"/>
    </row>
    <row r="113" ht="15" customHeight="1" s="32">
      <c r="A113" s="41" t="inlineStr">
        <is>
          <t>fenrir</t>
        </is>
      </c>
      <c r="B113" s="41" t="inlineStr">
        <is>
          <t>Fenrir · Xe tiên phong</t>
        </is>
      </c>
      <c r="C113" s="41" t="inlineStr">
        <is>
          <t>Boss</t>
        </is>
      </c>
      <c r="D113" s="41" t="n"/>
      <c r="E113" s="43" t="n">
        <v>271</v>
      </c>
      <c r="F113" s="43" t="n">
        <v>135</v>
      </c>
      <c r="G113" s="43" t="n">
        <v>248</v>
      </c>
      <c r="H113" s="55">
        <f>SUMPRODUCT(('Đơn vị – vũ khí'!$A$2:$A$311=A113)*('Đơn vị – vũ khí'!$F$2:$F$311=1)*N(+'Đơn vị – vũ khí'!$I$2:$I$311))</f>
        <v/>
      </c>
      <c r="I113" s="55">
        <f>SUMPRODUCT(('Đơn vị – vũ khí'!$A$2:$A$311=A113)*('Đơn vị – vũ khí'!$F$2:$F$311=1)*N(+'Đơn vị – vũ khí'!$J$2:$J$311))</f>
        <v/>
      </c>
      <c r="J113" s="55">
        <f>SUMPRODUCT(('Đơn vị – vũ khí'!$A$2:$A$311=A113)*('Đơn vị – vũ khí'!$F$2:$F$311=1)*N(+'Đơn vị – vũ khí'!$K$2:$K$311))</f>
        <v/>
      </c>
      <c r="K113" s="55">
        <f>SUMPRODUCT(('Đơn vị – vũ khí'!$A$2:$A$311=A113)*('Đơn vị – vũ khí'!$F$2:$F$311=1)*N(+'Đơn vị – vũ khí'!$L$2:$L$311))</f>
        <v/>
      </c>
      <c r="L113" s="55">
        <f>IFERROR(I113/D113,"")</f>
        <v/>
      </c>
      <c r="M113" s="41" t="n"/>
    </row>
    <row r="114" ht="15" customHeight="1" s="32">
      <c r="A114" s="39" t="inlineStr">
        <is>
          <t>daedalus</t>
        </is>
      </c>
      <c r="B114" s="39" t="inlineStr">
        <is>
          <t>Daedalus · Tàu đổ bộ quỹ đạo</t>
        </is>
      </c>
      <c r="C114" s="39" t="inlineStr">
        <is>
          <t>Boss</t>
        </is>
      </c>
      <c r="D114" s="39" t="n"/>
      <c r="E114" s="42" t="n">
        <v>132</v>
      </c>
      <c r="F114" s="42" t="n">
        <v>66</v>
      </c>
      <c r="G114" s="42" t="n">
        <v>0</v>
      </c>
      <c r="H114" s="54">
        <f>SUMPRODUCT(('Đơn vị – vũ khí'!$A$2:$A$311=A114)*('Đơn vị – vũ khí'!$F$2:$F$311=1)*N(+'Đơn vị – vũ khí'!$I$2:$I$311))</f>
        <v/>
      </c>
      <c r="I114" s="54">
        <f>SUMPRODUCT(('Đơn vị – vũ khí'!$A$2:$A$311=A114)*('Đơn vị – vũ khí'!$F$2:$F$311=1)*N(+'Đơn vị – vũ khí'!$J$2:$J$311))</f>
        <v/>
      </c>
      <c r="J114" s="54">
        <f>SUMPRODUCT(('Đơn vị – vũ khí'!$A$2:$A$311=A114)*('Đơn vị – vũ khí'!$F$2:$F$311=1)*N(+'Đơn vị – vũ khí'!$K$2:$K$311))</f>
        <v/>
      </c>
      <c r="K114" s="54">
        <f>SUMPRODUCT(('Đơn vị – vũ khí'!$A$2:$A$311=A114)*('Đơn vị – vũ khí'!$F$2:$F$311=1)*N(+'Đơn vị – vũ khí'!$L$2:$L$311))</f>
        <v/>
      </c>
      <c r="L114" s="54">
        <f>IFERROR(I114/D114,"")</f>
        <v/>
      </c>
      <c r="M114" s="39" t="n"/>
    </row>
    <row r="115" ht="15" customHeight="1" s="32">
      <c r="A115" s="41" t="inlineStr">
        <is>
          <t>mega_gunship</t>
        </is>
      </c>
      <c r="B115" s="41" t="inlineStr">
        <is>
          <t>Harpy · Trực thăng khổng lồ</t>
        </is>
      </c>
      <c r="C115" s="41" t="inlineStr">
        <is>
          <t>Boss</t>
        </is>
      </c>
      <c r="D115" s="41" t="n"/>
      <c r="E115" s="43" t="n">
        <v>209</v>
      </c>
      <c r="F115" s="43" t="n">
        <v>100</v>
      </c>
      <c r="G115" s="43" t="n">
        <v>35</v>
      </c>
      <c r="H115" s="55">
        <f>SUMPRODUCT(('Đơn vị – vũ khí'!$A$2:$A$311=A115)*('Đơn vị – vũ khí'!$F$2:$F$311=1)*N(+'Đơn vị – vũ khí'!$I$2:$I$311))</f>
        <v/>
      </c>
      <c r="I115" s="55">
        <f>SUMPRODUCT(('Đơn vị – vũ khí'!$A$2:$A$311=A115)*('Đơn vị – vũ khí'!$F$2:$F$311=1)*N(+'Đơn vị – vũ khí'!$J$2:$J$311))</f>
        <v/>
      </c>
      <c r="J115" s="55">
        <f>SUMPRODUCT(('Đơn vị – vũ khí'!$A$2:$A$311=A115)*('Đơn vị – vũ khí'!$F$2:$F$311=1)*N(+'Đơn vị – vũ khí'!$K$2:$K$311))</f>
        <v/>
      </c>
      <c r="K115" s="55">
        <f>SUMPRODUCT(('Đơn vị – vũ khí'!$A$2:$A$311=A115)*('Đơn vị – vũ khí'!$F$2:$F$311=1)*N(+'Đơn vị – vũ khí'!$L$2:$L$311))</f>
        <v/>
      </c>
      <c r="L115" s="55">
        <f>IFERROR(I115/D115,"")</f>
        <v/>
      </c>
      <c r="M115" s="41" t="n"/>
    </row>
    <row r="116" ht="15" customHeight="1" s="32">
      <c r="A116" s="39" t="inlineStr">
        <is>
          <t>behemoth</t>
        </is>
      </c>
      <c r="B116" s="39" t="inlineStr">
        <is>
          <t>Behemoth · Quái vật thép</t>
        </is>
      </c>
      <c r="C116" s="39" t="inlineStr">
        <is>
          <t>Boss</t>
        </is>
      </c>
      <c r="D116" s="39" t="n"/>
      <c r="E116" s="42" t="n">
        <v>620</v>
      </c>
      <c r="F116" s="42" t="n">
        <v>413</v>
      </c>
      <c r="G116" s="42" t="n">
        <v>495</v>
      </c>
      <c r="H116" s="54">
        <f>SUMPRODUCT(('Đơn vị – vũ khí'!$A$2:$A$311=A116)*('Đơn vị – vũ khí'!$F$2:$F$311=1)*N(+'Đơn vị – vũ khí'!$I$2:$I$311))</f>
        <v/>
      </c>
      <c r="I116" s="54">
        <f>SUMPRODUCT(('Đơn vị – vũ khí'!$A$2:$A$311=A116)*('Đơn vị – vũ khí'!$F$2:$F$311=1)*N(+'Đơn vị – vũ khí'!$J$2:$J$311))</f>
        <v/>
      </c>
      <c r="J116" s="54">
        <f>SUMPRODUCT(('Đơn vị – vũ khí'!$A$2:$A$311=A116)*('Đơn vị – vũ khí'!$F$2:$F$311=1)*N(+'Đơn vị – vũ khí'!$K$2:$K$311))</f>
        <v/>
      </c>
      <c r="K116" s="54">
        <f>SUMPRODUCT(('Đơn vị – vũ khí'!$A$2:$A$311=A116)*('Đơn vị – vũ khí'!$F$2:$F$311=1)*N(+'Đơn vị – vũ khí'!$L$2:$L$311))</f>
        <v/>
      </c>
      <c r="L116" s="54">
        <f>IFERROR(I116/D116,"")</f>
        <v/>
      </c>
      <c r="M116" s="39" t="n"/>
    </row>
    <row r="117" ht="15" customHeight="1" s="32">
      <c r="A117" s="41" t="inlineStr">
        <is>
          <t>earth_borer</t>
        </is>
      </c>
      <c r="B117" s="41" t="inlineStr">
        <is>
          <t>Tartarus · Máy khoan</t>
        </is>
      </c>
      <c r="C117" s="41" t="inlineStr">
        <is>
          <t>Boss</t>
        </is>
      </c>
      <c r="D117" s="41" t="n"/>
      <c r="E117" s="43" t="n">
        <v>346</v>
      </c>
      <c r="F117" s="43" t="n">
        <v>271</v>
      </c>
      <c r="G117" s="43" t="n">
        <v>0</v>
      </c>
      <c r="H117" s="55">
        <f>SUMPRODUCT(('Đơn vị – vũ khí'!$A$2:$A$311=A117)*('Đơn vị – vũ khí'!$F$2:$F$311=1)*N(+'Đơn vị – vũ khí'!$I$2:$I$311))</f>
        <v/>
      </c>
      <c r="I117" s="55">
        <f>SUMPRODUCT(('Đơn vị – vũ khí'!$A$2:$A$311=A117)*('Đơn vị – vũ khí'!$F$2:$F$311=1)*N(+'Đơn vị – vũ khí'!$J$2:$J$311))</f>
        <v/>
      </c>
      <c r="J117" s="55">
        <f>SUMPRODUCT(('Đơn vị – vũ khí'!$A$2:$A$311=A117)*('Đơn vị – vũ khí'!$F$2:$F$311=1)*N(+'Đơn vị – vũ khí'!$K$2:$K$311))</f>
        <v/>
      </c>
      <c r="K117" s="55">
        <f>SUMPRODUCT(('Đơn vị – vũ khí'!$A$2:$A$311=A117)*('Đơn vị – vũ khí'!$F$2:$F$311=1)*N(+'Đơn vị – vũ khí'!$L$2:$L$311))</f>
        <v/>
      </c>
      <c r="L117" s="55">
        <f>IFERROR(I117/D117,"")</f>
        <v/>
      </c>
      <c r="M117" s="41" t="n"/>
    </row>
    <row r="118" ht="15" customHeight="1" s="32">
      <c r="A118" s="39" t="inlineStr">
        <is>
          <t>bastion_mk0</t>
        </is>
      </c>
      <c r="B118" s="39" t="inlineStr">
        <is>
          <t>Bastion Mk.0 · Pháo đài nguyên mẫu</t>
        </is>
      </c>
      <c r="C118" s="39" t="inlineStr">
        <is>
          <t>Boss</t>
        </is>
      </c>
      <c r="D118" s="39" t="n"/>
      <c r="E118" s="42" t="n">
        <v>227</v>
      </c>
      <c r="F118" s="42" t="n">
        <v>136</v>
      </c>
      <c r="G118" s="42" t="n">
        <v>54</v>
      </c>
      <c r="H118" s="54">
        <f>SUMPRODUCT(('Đơn vị – vũ khí'!$A$2:$A$311=A118)*('Đơn vị – vũ khí'!$F$2:$F$311=1)*N(+'Đơn vị – vũ khí'!$I$2:$I$311))</f>
        <v/>
      </c>
      <c r="I118" s="54">
        <f>SUMPRODUCT(('Đơn vị – vũ khí'!$A$2:$A$311=A118)*('Đơn vị – vũ khí'!$F$2:$F$311=1)*N(+'Đơn vị – vũ khí'!$J$2:$J$311))</f>
        <v/>
      </c>
      <c r="J118" s="54">
        <f>SUMPRODUCT(('Đơn vị – vũ khí'!$A$2:$A$311=A118)*('Đơn vị – vũ khí'!$F$2:$F$311=1)*N(+'Đơn vị – vũ khí'!$K$2:$K$311))</f>
        <v/>
      </c>
      <c r="K118" s="54">
        <f>SUMPRODUCT(('Đơn vị – vũ khí'!$A$2:$A$311=A118)*('Đơn vị – vũ khí'!$F$2:$F$311=1)*N(+'Đơn vị – vũ khí'!$L$2:$L$311))</f>
        <v/>
      </c>
      <c r="L118" s="54">
        <f>IFERROR(I118/D118,"")</f>
        <v/>
      </c>
      <c r="M118" s="39" t="n"/>
    </row>
    <row r="119" ht="15" customHeight="1" s="32">
      <c r="A119" s="41" t="inlineStr">
        <is>
          <t>nuke_train</t>
        </is>
      </c>
      <c r="B119" s="41" t="inlineStr">
        <is>
          <t>Nemesis · Đoàn tàu tên lửa</t>
        </is>
      </c>
      <c r="C119" s="41" t="inlineStr">
        <is>
          <t>Boss</t>
        </is>
      </c>
      <c r="D119" s="41" t="n"/>
      <c r="E119" s="43" t="n">
        <v>523</v>
      </c>
      <c r="F119" s="43" t="n">
        <v>293</v>
      </c>
      <c r="G119" s="43" t="n">
        <v>827</v>
      </c>
      <c r="H119" s="55">
        <f>SUMPRODUCT(('Đơn vị – vũ khí'!$A$2:$A$311=A119)*('Đơn vị – vũ khí'!$F$2:$F$311=1)*N(+'Đơn vị – vũ khí'!$I$2:$I$311))</f>
        <v/>
      </c>
      <c r="I119" s="55">
        <f>SUMPRODUCT(('Đơn vị – vũ khí'!$A$2:$A$311=A119)*('Đơn vị – vũ khí'!$F$2:$F$311=1)*N(+'Đơn vị – vũ khí'!$J$2:$J$311))</f>
        <v/>
      </c>
      <c r="J119" s="55">
        <f>SUMPRODUCT(('Đơn vị – vũ khí'!$A$2:$A$311=A119)*('Đơn vị – vũ khí'!$F$2:$F$311=1)*N(+'Đơn vị – vũ khí'!$K$2:$K$311))</f>
        <v/>
      </c>
      <c r="K119" s="55">
        <f>SUMPRODUCT(('Đơn vị – vũ khí'!$A$2:$A$311=A119)*('Đơn vị – vũ khí'!$F$2:$F$311=1)*N(+'Đơn vị – vũ khí'!$L$2:$L$311))</f>
        <v/>
      </c>
      <c r="L119" s="55">
        <f>IFERROR(I119/D119,"")</f>
        <v/>
      </c>
      <c r="M119" s="41" t="n"/>
    </row>
    <row r="120" ht="15" customHeight="1" s="32">
      <c r="A120" s="39" t="inlineStr">
        <is>
          <t>scylla</t>
        </is>
      </c>
      <c r="B120" s="39" t="inlineStr">
        <is>
          <t>Scylla · Tàu khu trục</t>
        </is>
      </c>
      <c r="C120" s="39" t="inlineStr">
        <is>
          <t>Boss</t>
        </is>
      </c>
      <c r="D120" s="39" t="n"/>
      <c r="E120" s="42" t="n">
        <v>104</v>
      </c>
      <c r="F120" s="42" t="n">
        <v>79</v>
      </c>
      <c r="G120" s="42" t="n">
        <v>7</v>
      </c>
      <c r="H120" s="54">
        <f>SUMPRODUCT(('Đơn vị – vũ khí'!$A$2:$A$311=A120)*('Đơn vị – vũ khí'!$F$2:$F$311=1)*N(+'Đơn vị – vũ khí'!$I$2:$I$311))</f>
        <v/>
      </c>
      <c r="I120" s="54">
        <f>SUMPRODUCT(('Đơn vị – vũ khí'!$A$2:$A$311=A120)*('Đơn vị – vũ khí'!$F$2:$F$311=1)*N(+'Đơn vị – vũ khí'!$J$2:$J$311))</f>
        <v/>
      </c>
      <c r="J120" s="54">
        <f>SUMPRODUCT(('Đơn vị – vũ khí'!$A$2:$A$311=A120)*('Đơn vị – vũ khí'!$F$2:$F$311=1)*N(+'Đơn vị – vũ khí'!$K$2:$K$311))</f>
        <v/>
      </c>
      <c r="K120" s="54">
        <f>SUMPRODUCT(('Đơn vị – vũ khí'!$A$2:$A$311=A120)*('Đơn vị – vũ khí'!$F$2:$F$311=1)*N(+'Đơn vị – vũ khí'!$L$2:$L$311))</f>
        <v/>
      </c>
      <c r="L120" s="54">
        <f>IFERROR(I120/D120,"")</f>
        <v/>
      </c>
      <c r="M120" s="39" t="n"/>
    </row>
    <row r="121" ht="15" customHeight="1" s="32">
      <c r="A121" s="41" t="inlineStr">
        <is>
          <t>silver_bug</t>
        </is>
      </c>
      <c r="B121" s="41" t="inlineStr">
        <is>
          <t>Icarus · Phi thuyền quỹ đạo</t>
        </is>
      </c>
      <c r="C121" s="41" t="inlineStr">
        <is>
          <t>Boss</t>
        </is>
      </c>
      <c r="D121" s="41" t="n"/>
      <c r="E121" s="43" t="n">
        <v>592</v>
      </c>
      <c r="F121" s="43" t="n">
        <v>370</v>
      </c>
      <c r="G121" s="43" t="n">
        <v>550</v>
      </c>
      <c r="H121" s="55">
        <f>SUMPRODUCT(('Đơn vị – vũ khí'!$A$2:$A$311=A121)*('Đơn vị – vũ khí'!$F$2:$F$311=1)*N(+'Đơn vị – vũ khí'!$I$2:$I$311))</f>
        <v/>
      </c>
      <c r="I121" s="55">
        <f>SUMPRODUCT(('Đơn vị – vũ khí'!$A$2:$A$311=A121)*('Đơn vị – vũ khí'!$F$2:$F$311=1)*N(+'Đơn vị – vũ khí'!$J$2:$J$311))</f>
        <v/>
      </c>
      <c r="J121" s="55">
        <f>SUMPRODUCT(('Đơn vị – vũ khí'!$A$2:$A$311=A121)*('Đơn vị – vũ khí'!$F$2:$F$311=1)*N(+'Đơn vị – vũ khí'!$K$2:$K$311))</f>
        <v/>
      </c>
      <c r="K121" s="55">
        <f>SUMPRODUCT(('Đơn vị – vũ khí'!$A$2:$A$311=A121)*('Đơn vị – vũ khí'!$F$2:$F$311=1)*N(+'Đơn vị – vũ khí'!$L$2:$L$311))</f>
        <v/>
      </c>
      <c r="L121" s="55">
        <f>IFERROR(I121/D121,"")</f>
        <v/>
      </c>
      <c r="M121" s="41" t="n"/>
    </row>
    <row r="122" ht="15" customHeight="1" s="32">
      <c r="A122" s="39" t="inlineStr">
        <is>
          <t>mobile_fortress</t>
        </is>
      </c>
      <c r="B122" s="39" t="inlineStr">
        <is>
          <t>Jötunn · Pháo đài di động</t>
        </is>
      </c>
      <c r="C122" s="39" t="inlineStr">
        <is>
          <t>Boss</t>
        </is>
      </c>
      <c r="D122" s="39" t="n"/>
      <c r="E122" s="42" t="n">
        <v>516</v>
      </c>
      <c r="F122" s="42" t="n">
        <v>308</v>
      </c>
      <c r="G122" s="42" t="n">
        <v>709</v>
      </c>
      <c r="H122" s="54">
        <f>SUMPRODUCT(('Đơn vị – vũ khí'!$A$2:$A$311=A122)*('Đơn vị – vũ khí'!$F$2:$F$311=1)*N(+'Đơn vị – vũ khí'!$I$2:$I$311))</f>
        <v/>
      </c>
      <c r="I122" s="54">
        <f>SUMPRODUCT(('Đơn vị – vũ khí'!$A$2:$A$311=A122)*('Đơn vị – vũ khí'!$F$2:$F$311=1)*N(+'Đơn vị – vũ khí'!$J$2:$J$311))</f>
        <v/>
      </c>
      <c r="J122" s="54">
        <f>SUMPRODUCT(('Đơn vị – vũ khí'!$A$2:$A$311=A122)*('Đơn vị – vũ khí'!$F$2:$F$311=1)*N(+'Đơn vị – vũ khí'!$K$2:$K$311))</f>
        <v/>
      </c>
      <c r="K122" s="54">
        <f>SUMPRODUCT(('Đơn vị – vũ khí'!$A$2:$A$311=A122)*('Đơn vị – vũ khí'!$F$2:$F$311=1)*N(+'Đơn vị – vũ khí'!$L$2:$L$311))</f>
        <v/>
      </c>
      <c r="L122" s="54">
        <f>IFERROR(I122/D122,"")</f>
        <v/>
      </c>
      <c r="M122" s="39" t="n"/>
    </row>
    <row r="123" ht="15" customHeight="1" s="32">
      <c r="A123" s="41" t="inlineStr">
        <is>
          <t>command_airship</t>
        </is>
      </c>
      <c r="B123" s="41" t="inlineStr">
        <is>
          <t>Roc · Khí cầu chỉ huy</t>
        </is>
      </c>
      <c r="C123" s="41" t="inlineStr">
        <is>
          <t>Boss</t>
        </is>
      </c>
      <c r="D123" s="41" t="n"/>
      <c r="E123" s="43" t="n">
        <v>370</v>
      </c>
      <c r="F123" s="43" t="n">
        <v>233</v>
      </c>
      <c r="G123" s="43" t="n">
        <v>332</v>
      </c>
      <c r="H123" s="55">
        <f>SUMPRODUCT(('Đơn vị – vũ khí'!$A$2:$A$311=A123)*('Đơn vị – vũ khí'!$F$2:$F$311=1)*N(+'Đơn vị – vũ khí'!$I$2:$I$311))</f>
        <v/>
      </c>
      <c r="I123" s="55">
        <f>SUMPRODUCT(('Đơn vị – vũ khí'!$A$2:$A$311=A123)*('Đơn vị – vũ khí'!$F$2:$F$311=1)*N(+'Đơn vị – vũ khí'!$J$2:$J$311))</f>
        <v/>
      </c>
      <c r="J123" s="55">
        <f>SUMPRODUCT(('Đơn vị – vũ khí'!$A$2:$A$311=A123)*('Đơn vị – vũ khí'!$F$2:$F$311=1)*N(+'Đơn vị – vũ khí'!$K$2:$K$311))</f>
        <v/>
      </c>
      <c r="K123" s="55">
        <f>SUMPRODUCT(('Đơn vị – vũ khí'!$A$2:$A$311=A123)*('Đơn vị – vũ khí'!$F$2:$F$311=1)*N(+'Đơn vị – vũ khí'!$L$2:$L$311))</f>
        <v/>
      </c>
      <c r="L123" s="55">
        <f>IFERROR(I123/D123,"")</f>
        <v/>
      </c>
      <c r="M123" s="41" t="n"/>
    </row>
    <row r="124" ht="15" customHeight="1" s="32">
      <c r="A124" s="39" t="inlineStr">
        <is>
          <t>moloch</t>
        </is>
      </c>
      <c r="B124" s="39" t="inlineStr">
        <is>
          <t>Moloch · Nhà máy di động</t>
        </is>
      </c>
      <c r="C124" s="39" t="inlineStr">
        <is>
          <t>Boss</t>
        </is>
      </c>
      <c r="D124" s="39" t="n"/>
      <c r="E124" s="42" t="n">
        <v>321</v>
      </c>
      <c r="F124" s="42" t="n">
        <v>236</v>
      </c>
      <c r="G124" s="42" t="n">
        <v>248</v>
      </c>
      <c r="H124" s="54">
        <f>SUMPRODUCT(('Đơn vị – vũ khí'!$A$2:$A$311=A124)*('Đơn vị – vũ khí'!$F$2:$F$311=1)*N(+'Đơn vị – vũ khí'!$I$2:$I$311))</f>
        <v/>
      </c>
      <c r="I124" s="54">
        <f>SUMPRODUCT(('Đơn vị – vũ khí'!$A$2:$A$311=A124)*('Đơn vị – vũ khí'!$F$2:$F$311=1)*N(+'Đơn vị – vũ khí'!$J$2:$J$311))</f>
        <v/>
      </c>
      <c r="J124" s="54">
        <f>SUMPRODUCT(('Đơn vị – vũ khí'!$A$2:$A$311=A124)*('Đơn vị – vũ khí'!$F$2:$F$311=1)*N(+'Đơn vị – vũ khí'!$K$2:$K$311))</f>
        <v/>
      </c>
      <c r="K124" s="54">
        <f>SUMPRODUCT(('Đơn vị – vũ khí'!$A$2:$A$311=A124)*('Đơn vị – vũ khí'!$F$2:$F$311=1)*N(+'Đơn vị – vũ khí'!$L$2:$L$311))</f>
        <v/>
      </c>
      <c r="L124" s="54">
        <f>IFERROR(I124/D124,"")</f>
        <v/>
      </c>
      <c r="M124" s="39" t="n"/>
    </row>
    <row r="125" ht="15" customHeight="1" s="32">
      <c r="A125" s="41" t="inlineStr">
        <is>
          <t>fortress_bastion</t>
        </is>
      </c>
      <c r="B125" s="41" t="inlineStr">
        <is>
          <t>Bastion · Pháo đài</t>
        </is>
      </c>
      <c r="C125" s="41" t="inlineStr">
        <is>
          <t>Boss</t>
        </is>
      </c>
      <c r="D125" s="41" t="n"/>
      <c r="E125" s="43" t="n">
        <v>606</v>
      </c>
      <c r="F125" s="43" t="n">
        <v>331</v>
      </c>
      <c r="G125" s="43" t="n">
        <v>480</v>
      </c>
      <c r="H125" s="55">
        <f>SUMPRODUCT(('Đơn vị – vũ khí'!$A$2:$A$311=A125)*('Đơn vị – vũ khí'!$F$2:$F$311=1)*N(+'Đơn vị – vũ khí'!$I$2:$I$311))</f>
        <v/>
      </c>
      <c r="I125" s="55">
        <f>SUMPRODUCT(('Đơn vị – vũ khí'!$A$2:$A$311=A125)*('Đơn vị – vũ khí'!$F$2:$F$311=1)*N(+'Đơn vị – vũ khí'!$J$2:$J$311))</f>
        <v/>
      </c>
      <c r="J125" s="55">
        <f>SUMPRODUCT(('Đơn vị – vũ khí'!$A$2:$A$311=A125)*('Đơn vị – vũ khí'!$F$2:$F$311=1)*N(+'Đơn vị – vũ khí'!$K$2:$K$311))</f>
        <v/>
      </c>
      <c r="K125" s="55">
        <f>SUMPRODUCT(('Đơn vị – vũ khí'!$A$2:$A$311=A125)*('Đơn vị – vũ khí'!$F$2:$F$311=1)*N(+'Đơn vị – vũ khí'!$L$2:$L$311))</f>
        <v/>
      </c>
      <c r="L125" s="55">
        <f>IFERROR(I125/D125,"")</f>
        <v/>
      </c>
      <c r="M125" s="41" t="n"/>
    </row>
    <row r="126" ht="15" customHeight="1" s="32">
      <c r="A126" s="39" t="inlineStr">
        <is>
          <t>typhon</t>
        </is>
      </c>
      <c r="B126" s="39" t="inlineStr">
        <is>
          <t>Typhon · Tàu ngầm tên lửa</t>
        </is>
      </c>
      <c r="C126" s="39" t="inlineStr">
        <is>
          <t>Boss</t>
        </is>
      </c>
      <c r="D126" s="39" t="n"/>
      <c r="E126" s="42" t="n">
        <v>110</v>
      </c>
      <c r="F126" s="42" t="n">
        <v>78</v>
      </c>
      <c r="G126" s="42" t="n">
        <v>213</v>
      </c>
      <c r="H126" s="54">
        <f>SUMPRODUCT(('Đơn vị – vũ khí'!$A$2:$A$311=A126)*('Đơn vị – vũ khí'!$F$2:$F$311=1)*N(+'Đơn vị – vũ khí'!$I$2:$I$311))</f>
        <v/>
      </c>
      <c r="I126" s="54">
        <f>SUMPRODUCT(('Đơn vị – vũ khí'!$A$2:$A$311=A126)*('Đơn vị – vũ khí'!$F$2:$F$311=1)*N(+'Đơn vị – vũ khí'!$J$2:$J$311))</f>
        <v/>
      </c>
      <c r="J126" s="54">
        <f>SUMPRODUCT(('Đơn vị – vũ khí'!$A$2:$A$311=A126)*('Đơn vị – vũ khí'!$F$2:$F$311=1)*N(+'Đơn vị – vũ khí'!$K$2:$K$311))</f>
        <v/>
      </c>
      <c r="K126" s="54">
        <f>SUMPRODUCT(('Đơn vị – vũ khí'!$A$2:$A$311=A126)*('Đơn vị – vũ khí'!$F$2:$F$311=1)*N(+'Đơn vị – vũ khí'!$L$2:$L$311))</f>
        <v/>
      </c>
      <c r="L126" s="54">
        <f>IFERROR(I126/D126,"")</f>
        <v/>
      </c>
      <c r="M126" s="39" t="n"/>
    </row>
    <row r="127" ht="15" customHeight="1" s="32">
      <c r="A127" s="41" t="inlineStr">
        <is>
          <t>kronos</t>
        </is>
      </c>
      <c r="B127" s="41" t="inlineStr">
        <is>
          <t>Kronos · Máy xúc mỏ</t>
        </is>
      </c>
      <c r="C127" s="41" t="inlineStr">
        <is>
          <t>Boss</t>
        </is>
      </c>
      <c r="D127" s="41" t="n"/>
      <c r="E127" s="43" t="n">
        <v>219</v>
      </c>
      <c r="F127" s="43" t="n">
        <v>110</v>
      </c>
      <c r="G127" s="43" t="n">
        <v>0</v>
      </c>
      <c r="H127" s="55">
        <f>SUMPRODUCT(('Đơn vị – vũ khí'!$A$2:$A$311=A127)*('Đơn vị – vũ khí'!$F$2:$F$311=1)*N(+'Đơn vị – vũ khí'!$I$2:$I$311))</f>
        <v/>
      </c>
      <c r="I127" s="55">
        <f>SUMPRODUCT(('Đơn vị – vũ khí'!$A$2:$A$311=A127)*('Đơn vị – vũ khí'!$F$2:$F$311=1)*N(+'Đơn vị – vũ khí'!$J$2:$J$311))</f>
        <v/>
      </c>
      <c r="J127" s="55">
        <f>SUMPRODUCT(('Đơn vị – vũ khí'!$A$2:$A$311=A127)*('Đơn vị – vũ khí'!$F$2:$F$311=1)*N(+'Đơn vị – vũ khí'!$K$2:$K$311))</f>
        <v/>
      </c>
      <c r="K127" s="55">
        <f>SUMPRODUCT(('Đơn vị – vũ khí'!$A$2:$A$311=A127)*('Đơn vị – vũ khí'!$F$2:$F$311=1)*N(+'Đơn vị – vũ khí'!$L$2:$L$311))</f>
        <v/>
      </c>
      <c r="L127" s="55">
        <f>IFERROR(I127/D127,"")</f>
        <v/>
      </c>
      <c r="M127" s="41" t="n"/>
    </row>
    <row r="128" ht="15" customHeight="1" s="32">
      <c r="A128" s="39" t="inlineStr">
        <is>
          <t>leviathan</t>
        </is>
      </c>
      <c r="B128" s="39" t="inlineStr">
        <is>
          <t>Leviathan · Thiết giáp hạm</t>
        </is>
      </c>
      <c r="C128" s="39" t="inlineStr">
        <is>
          <t>Boss</t>
        </is>
      </c>
      <c r="D128" s="39" t="n"/>
      <c r="E128" s="42" t="n">
        <v>508</v>
      </c>
      <c r="F128" s="42" t="n">
        <v>381</v>
      </c>
      <c r="G128" s="42" t="n">
        <v>869</v>
      </c>
      <c r="H128" s="54">
        <f>SUMPRODUCT(('Đơn vị – vũ khí'!$A$2:$A$311=A128)*('Đơn vị – vũ khí'!$F$2:$F$311=1)*N(+'Đơn vị – vũ khí'!$I$2:$I$311))</f>
        <v/>
      </c>
      <c r="I128" s="54">
        <f>SUMPRODUCT(('Đơn vị – vũ khí'!$A$2:$A$311=A128)*('Đơn vị – vũ khí'!$F$2:$F$311=1)*N(+'Đơn vị – vũ khí'!$J$2:$J$311))</f>
        <v/>
      </c>
      <c r="J128" s="54">
        <f>SUMPRODUCT(('Đơn vị – vũ khí'!$A$2:$A$311=A128)*('Đơn vị – vũ khí'!$F$2:$F$311=1)*N(+'Đơn vị – vũ khí'!$K$2:$K$311))</f>
        <v/>
      </c>
      <c r="K128" s="54">
        <f>SUMPRODUCT(('Đơn vị – vũ khí'!$A$2:$A$311=A128)*('Đơn vị – vũ khí'!$F$2:$F$311=1)*N(+'Đơn vị – vũ khí'!$L$2:$L$311))</f>
        <v/>
      </c>
      <c r="L128" s="54">
        <f>IFERROR(I128/D128,"")</f>
        <v/>
      </c>
      <c r="M128" s="39" t="n"/>
    </row>
    <row r="129" ht="15" customHeight="1" s="32">
      <c r="A129" s="41" t="inlineStr">
        <is>
          <t>drone_mothership</t>
        </is>
      </c>
      <c r="B129" s="41" t="inlineStr">
        <is>
          <t>Matriarch · Tàu mẹ drone</t>
        </is>
      </c>
      <c r="C129" s="41" t="inlineStr">
        <is>
          <t>Boss</t>
        </is>
      </c>
      <c r="D129" s="41" t="n"/>
      <c r="E129" s="43" t="n">
        <v>664</v>
      </c>
      <c r="F129" s="43" t="n">
        <v>438</v>
      </c>
      <c r="G129" s="43" t="n">
        <v>495</v>
      </c>
      <c r="H129" s="55">
        <f>SUMPRODUCT(('Đơn vị – vũ khí'!$A$2:$A$311=A129)*('Đơn vị – vũ khí'!$F$2:$F$311=1)*N(+'Đơn vị – vũ khí'!$I$2:$I$311))</f>
        <v/>
      </c>
      <c r="I129" s="55">
        <f>SUMPRODUCT(('Đơn vị – vũ khí'!$A$2:$A$311=A129)*('Đơn vị – vũ khí'!$F$2:$F$311=1)*N(+'Đơn vị – vũ khí'!$J$2:$J$311))</f>
        <v/>
      </c>
      <c r="J129" s="55">
        <f>SUMPRODUCT(('Đơn vị – vũ khí'!$A$2:$A$311=A129)*('Đơn vị – vũ khí'!$F$2:$F$311=1)*N(+'Đơn vị – vũ khí'!$K$2:$K$311))</f>
        <v/>
      </c>
      <c r="K129" s="55">
        <f>SUMPRODUCT(('Đơn vị – vũ khí'!$A$2:$A$311=A129)*('Đơn vị – vũ khí'!$F$2:$F$311=1)*N(+'Đơn vị – vũ khí'!$L$2:$L$311))</f>
        <v/>
      </c>
      <c r="L129" s="55">
        <f>IFERROR(I129/D129,"")</f>
        <v/>
      </c>
      <c r="M129" s="41" t="n"/>
    </row>
  </sheetData>
  <autoFilter ref="A1:M1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L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31" min="1" max="1"/>
    <col width="26" customWidth="1" style="31" min="2" max="2"/>
    <col width="28" customWidth="1" style="31" min="3" max="3"/>
    <col width="12" customWidth="1" style="31" min="4" max="4"/>
    <col width="8" customWidth="1" style="31" min="5" max="5"/>
    <col width="9" customWidth="1" style="31" min="6" max="7"/>
    <col width="11" customWidth="1" style="31" min="8" max="8"/>
    <col width="9" customWidth="1" style="31" min="9" max="11"/>
    <col width="60" customWidth="1" style="31" min="12" max="12"/>
  </cols>
  <sheetData>
    <row r="1" ht="42" customHeight="1" s="32">
      <c r="A1" s="37" t="inlineStr">
        <is>
          <t>id</t>
        </is>
      </c>
      <c r="B1" s="37" t="inlineStr">
        <is>
          <t>Tên thật</t>
        </is>
      </c>
      <c r="C1" s="37" t="inlineStr">
        <is>
          <t>Dùng bởi</t>
        </is>
      </c>
      <c r="D1" s="37" t="inlineStr">
        <is>
          <t>Dạng</t>
        </is>
      </c>
      <c r="E1" s="37" t="inlineStr">
        <is>
          <t>Tầm (m)</t>
        </is>
      </c>
      <c r="F1" s="44" t="inlineStr">
        <is>
          <t>Tốc độ hiện (m/s)</t>
        </is>
      </c>
      <c r="G1" s="37" t="inlineStr">
        <is>
          <t>Bay tới tầm tối đa (s)</t>
        </is>
      </c>
      <c r="H1" s="37" t="inlineStr">
        <is>
          <t>Mục tiêu nhanh nhất cần bắt (m/s)</t>
        </is>
      </c>
      <c r="I1" s="45" t="inlineStr">
        <is>
          <t>Tốc độ đề xuất (m/s)</t>
        </is>
      </c>
      <c r="J1" s="45" t="inlineStr">
        <is>
          <t>Bay tới tầm tối đa mới (s)</t>
        </is>
      </c>
      <c r="K1" s="37" t="inlineStr">
        <is>
          <t>Nhanh hơn mục tiêu (lần)</t>
        </is>
      </c>
      <c r="L1" s="46" t="inlineStr">
        <is>
          <t>Lý do</t>
        </is>
      </c>
    </row>
    <row r="2" ht="15" customHeight="1" s="32">
      <c r="A2" s="39" t="inlineStr">
        <is>
          <t>aim9</t>
        </is>
      </c>
      <c r="B2" s="39" t="inlineStr">
        <is>
          <t>AIM-9 Sidewinder</t>
        </is>
      </c>
      <c r="C2" s="39" t="inlineStr">
        <is>
          <t>Drone hộ vệ</t>
        </is>
      </c>
      <c r="D2" s="39" t="inlineStr">
        <is>
          <t>Sam</t>
        </is>
      </c>
      <c r="E2" s="42" t="n">
        <v>30</v>
      </c>
      <c r="F2" s="42" t="n">
        <v>24</v>
      </c>
      <c r="G2" s="56">
        <f>IFERROR(E2/F2,"")</f>
        <v/>
      </c>
      <c r="H2" s="57" t="n">
        <v>46</v>
      </c>
      <c r="I2" s="57" t="n">
        <v>55</v>
      </c>
      <c r="J2" s="56">
        <f>IFERROR(E2/I2,"")</f>
        <v/>
      </c>
      <c r="K2" s="56">
        <f>IFERROR(I2/H2,"")</f>
        <v/>
      </c>
      <c r="L2" s="39" t="inlineStr">
        <is>
          <t>Phải nhanh hơn máy bay nhanh nhất (drone hộ vệ 46 m/s).</t>
        </is>
      </c>
    </row>
    <row r="3" ht="15" customHeight="1" s="32">
      <c r="A3" s="41" t="inlineStr">
        <is>
          <t>air_cruise_missile</t>
        </is>
      </c>
      <c r="B3" s="41" t="inlineStr">
        <is>
          <t>Kh-101 (400 kg)</t>
        </is>
      </c>
      <c r="C3" s="41" t="inlineStr">
        <is>
          <t>Oanh tạc cơ</t>
        </is>
      </c>
      <c r="D3" s="41" t="inlineStr">
        <is>
          <t>Cruise</t>
        </is>
      </c>
      <c r="E3" s="43" t="n">
        <v>110</v>
      </c>
      <c r="F3" s="43" t="n">
        <v>17</v>
      </c>
      <c r="G3" s="58">
        <f>IFERROR(E3/F3,"")</f>
        <v/>
      </c>
      <c r="H3" s="58" t="n"/>
      <c r="I3" s="59" t="n">
        <v>22</v>
      </c>
      <c r="J3" s="58">
        <f>IFERROR(E3/I3,"")</f>
        <v/>
      </c>
      <c r="K3" s="58" t="n"/>
      <c r="L3" s="41" t="inlineStr">
        <is>
          <t>Tên lửa hành trình: chậm có chủ đích (~5 s) để bị đánh chặn.</t>
        </is>
      </c>
    </row>
    <row r="4" ht="15" customHeight="1" s="32">
      <c r="A4" s="39" t="inlineStr">
        <is>
          <t>air_to_air</t>
        </is>
      </c>
      <c r="B4" s="39" t="inlineStr">
        <is>
          <t>AIM-120 AMRAAM</t>
        </is>
      </c>
      <c r="C4" s="39" t="inlineStr">
        <is>
          <t>Morrigan, TK tàng hình,</t>
        </is>
      </c>
      <c r="D4" s="39" t="inlineStr">
        <is>
          <t>Sam</t>
        </is>
      </c>
      <c r="E4" s="42" t="n">
        <v>60</v>
      </c>
      <c r="F4" s="42" t="n">
        <v>24</v>
      </c>
      <c r="G4" s="56">
        <f>IFERROR(E4/F4,"")</f>
        <v/>
      </c>
      <c r="H4" s="57" t="n">
        <v>46</v>
      </c>
      <c r="I4" s="57" t="n">
        <v>60</v>
      </c>
      <c r="J4" s="56">
        <f>IFERROR(E4/I4,"")</f>
        <v/>
      </c>
      <c r="K4" s="56">
        <f>IFERROR(I4/H4,"")</f>
        <v/>
      </c>
      <c r="L4" s="39" t="inlineStr">
        <is>
          <t>Tên lửa tầm trung: nhanh hơn tên lửa tầm gần, bay ~1 s ở tầm 60.</t>
        </is>
      </c>
    </row>
    <row r="5" ht="15" customHeight="1" s="32">
      <c r="A5" s="41" t="inlineStr">
        <is>
          <t>airship_drones</t>
        </is>
      </c>
      <c r="B5" s="41" t="inlineStr">
        <is>
          <t>FPV drone (1.5 kg)</t>
        </is>
      </c>
      <c r="C5" s="41" t="inlineStr">
        <is>
          <t>Roc</t>
        </is>
      </c>
      <c r="D5" s="41" t="inlineStr">
        <is>
          <t>Fpv</t>
        </is>
      </c>
      <c r="E5" s="43" t="n">
        <v>70</v>
      </c>
      <c r="F5" s="43" t="n">
        <v>26</v>
      </c>
      <c r="G5" s="58">
        <f>IFERROR(E5/F5,"")</f>
        <v/>
      </c>
      <c r="H5" s="58" t="n"/>
      <c r="I5" s="59" t="n">
        <v>26</v>
      </c>
      <c r="J5" s="58">
        <f>IFERROR(E5/I5,"")</f>
        <v/>
      </c>
      <c r="K5" s="58" t="n"/>
      <c r="L5" s="41" t="inlineStr">
        <is>
          <t>Tốc độ hiện phù hợp; giữ.</t>
        </is>
      </c>
    </row>
    <row r="6" ht="15" customHeight="1" s="32">
      <c r="A6" s="39" t="inlineStr">
        <is>
          <t>ataka</t>
        </is>
      </c>
      <c r="B6" s="39" t="inlineStr">
        <is>
          <t>9M120 Ataka</t>
        </is>
      </c>
      <c r="C6" s="39" t="inlineStr">
        <is>
          <t>BMPT</t>
        </is>
      </c>
      <c r="D6" s="39" t="inlineStr">
        <is>
          <t>Atgm</t>
        </is>
      </c>
      <c r="E6" s="42" t="n">
        <v>40</v>
      </c>
      <c r="F6" s="42" t="n">
        <v>19</v>
      </c>
      <c r="G6" s="56">
        <f>IFERROR(E6/F6,"")</f>
        <v/>
      </c>
      <c r="H6" s="56" t="n"/>
      <c r="I6" s="57" t="n">
        <v>26</v>
      </c>
      <c r="J6" s="56">
        <f>IFERROR(E6/I6,"")</f>
        <v/>
      </c>
      <c r="K6" s="56" t="n"/>
      <c r="L6" s="39" t="inlineStr">
        <is>
          <t>Nhanh hơn Kornet (Mach 1,5 ngoài đời).</t>
        </is>
      </c>
    </row>
    <row r="7" ht="15" customHeight="1" s="32">
      <c r="A7" s="41" t="inlineStr">
        <is>
          <t>atgm</t>
        </is>
      </c>
      <c r="B7" s="41" t="inlineStr">
        <is>
          <t>BGM-71 TOW-2</t>
        </is>
      </c>
      <c r="C7" s="41" t="inlineStr">
        <is>
          <t>Bọc thép TN, Siêu tăng, Xe</t>
        </is>
      </c>
      <c r="D7" s="41" t="inlineStr">
        <is>
          <t>Atgm</t>
        </is>
      </c>
      <c r="E7" s="43" t="n">
        <v>34</v>
      </c>
      <c r="F7" s="43" t="n">
        <v>19</v>
      </c>
      <c r="G7" s="58">
        <f>IFERROR(E7/F7,"")</f>
        <v/>
      </c>
      <c r="H7" s="58" t="n"/>
      <c r="I7" s="59" t="n">
        <v>20</v>
      </c>
      <c r="J7" s="58">
        <f>IFERROR(E7/I7,"")</f>
        <v/>
      </c>
      <c r="K7" s="58" t="n"/>
      <c r="L7" s="41" t="inlineStr">
        <is>
          <t>Tên lửa lái bằng dây: chậm có chủ đích (~2 s) để APS, khói và né có tác dụng.</t>
        </is>
      </c>
    </row>
    <row r="8" ht="21.75" customHeight="1" s="32">
      <c r="A8" s="39" t="inlineStr">
        <is>
          <t>ballistic_missile</t>
        </is>
      </c>
      <c r="B8" s="39" t="inlineStr">
        <is>
          <t>9M723 Iskander (700</t>
        </is>
      </c>
      <c r="C8" s="39" t="inlineStr">
        <is>
          <t>Đạn đạo</t>
        </is>
      </c>
      <c r="D8" s="39" t="inlineStr">
        <is>
          <t>Ballistic</t>
        </is>
      </c>
      <c r="E8" s="42" t="n">
        <v>180</v>
      </c>
      <c r="F8" s="42" t="n">
        <v>24</v>
      </c>
      <c r="G8" s="56">
        <f>IFERROR(E8/F8,"")</f>
        <v/>
      </c>
      <c r="H8" s="56" t="n"/>
      <c r="I8" s="57" t="n">
        <v>50</v>
      </c>
      <c r="J8" s="56">
        <f>IFERROR(E8/I8,"")</f>
        <v/>
      </c>
      <c r="K8" s="56" t="n"/>
      <c r="L8" s="39" t="inlineStr">
        <is>
          <t>Đạn đạo nhanh nhất (~3,6 s ở 180 m), vẫn trong tầm đánh chặn của PAC-3 (65).</t>
        </is>
      </c>
    </row>
    <row r="9" ht="15" customHeight="1" s="32">
      <c r="A9" s="41" t="inlineStr">
        <is>
          <t>boat_rockets</t>
        </is>
      </c>
      <c r="B9" s="41" t="inlineStr">
        <is>
          <t>S-8 80 mm</t>
        </is>
      </c>
      <c r="C9" s="41" t="inlineStr">
        <is>
          <t>Xuồng tên lửa</t>
        </is>
      </c>
      <c r="D9" s="41" t="inlineStr">
        <is>
          <t>RocketSmall</t>
        </is>
      </c>
      <c r="E9" s="43" t="n">
        <v>55</v>
      </c>
      <c r="F9" s="43" t="n">
        <v>48</v>
      </c>
      <c r="G9" s="58">
        <f>IFERROR(E9/F9,"")</f>
        <v/>
      </c>
      <c r="H9" s="58" t="n"/>
      <c r="I9" s="59" t="n">
        <v>40</v>
      </c>
      <c r="J9" s="58">
        <f>IFERROR(E9/I9,"")</f>
        <v/>
      </c>
      <c r="K9" s="58" t="n"/>
      <c r="L9" s="41" t="inlineStr">
        <is>
          <t>Thống nhất tốc độ rốc-két nhỏ ở mọi đơn vị (40 m/s).</t>
        </is>
      </c>
    </row>
    <row r="10" ht="15" customHeight="1" s="32">
      <c r="A10" s="39" t="inlineStr">
        <is>
          <t>boss_missiles</t>
        </is>
      </c>
      <c r="B10" s="39" t="inlineStr">
        <is>
          <t>9M133 Kornet</t>
        </is>
      </c>
      <c r="C10" s="39" t="inlineStr">
        <is>
          <t>Behemoth, Behemoth của</t>
        </is>
      </c>
      <c r="D10" s="39" t="inlineStr">
        <is>
          <t>Atgm</t>
        </is>
      </c>
      <c r="E10" s="42" t="n">
        <v>45</v>
      </c>
      <c r="F10" s="42" t="n">
        <v>19</v>
      </c>
      <c r="G10" s="56">
        <f>IFERROR(E10/F10,"")</f>
        <v/>
      </c>
      <c r="H10" s="56" t="n"/>
      <c r="I10" s="57" t="n">
        <v>22</v>
      </c>
      <c r="J10" s="56">
        <f>IFERROR(E10/I10,"")</f>
        <v/>
      </c>
      <c r="K10" s="56" t="n"/>
      <c r="L10" s="39" t="inlineStr">
        <is>
          <t>Thống nhất tốc độ Kornet ở mọi đơn vị (22 m/s).</t>
        </is>
      </c>
    </row>
    <row r="11" ht="15" customHeight="1" s="32">
      <c r="A11" s="41" t="inlineStr">
        <is>
          <t>boss_rockets</t>
        </is>
      </c>
      <c r="B11" s="41" t="inlineStr">
        <is>
          <t>BM-21 Grad 122 mm</t>
        </is>
      </c>
      <c r="C11" s="41" t="inlineStr">
        <is>
          <t>Behemoth, Behemoth Mk.0,</t>
        </is>
      </c>
      <c r="D11" s="41" t="inlineStr">
        <is>
          <t>RocketSmall</t>
        </is>
      </c>
      <c r="E11" s="43" t="n">
        <v>45</v>
      </c>
      <c r="F11" s="43" t="n">
        <v>55</v>
      </c>
      <c r="G11" s="58">
        <f>IFERROR(E11/F11,"")</f>
        <v/>
      </c>
      <c r="H11" s="58" t="n"/>
      <c r="I11" s="59" t="n">
        <v>45</v>
      </c>
      <c r="J11" s="58">
        <f>IFERROR(E11/I11,"")</f>
        <v/>
      </c>
      <c r="K11" s="58" t="n"/>
      <c r="L11" s="41" t="inlineStr">
        <is>
          <t>Thống nhất tốc độ Grad ở mọi đơn vị (45 m/s).</t>
        </is>
      </c>
    </row>
    <row r="12" ht="15" customHeight="1" s="32">
      <c r="A12" s="39" t="inlineStr">
        <is>
          <t>boss_thermo</t>
        </is>
      </c>
      <c r="B12" s="39" t="inlineStr">
        <is>
          <t>TOS-1A 220 mm</t>
        </is>
      </c>
      <c r="C12" s="39" t="inlineStr">
        <is>
          <t>Inferno</t>
        </is>
      </c>
      <c r="D12" s="39" t="inlineStr">
        <is>
          <t>RocketBig</t>
        </is>
      </c>
      <c r="E12" s="42" t="n">
        <v>46</v>
      </c>
      <c r="F12" s="42" t="n">
        <v>45</v>
      </c>
      <c r="G12" s="56">
        <f>IFERROR(E12/F12,"")</f>
        <v/>
      </c>
      <c r="H12" s="56" t="n"/>
      <c r="I12" s="57" t="n">
        <v>35</v>
      </c>
      <c r="J12" s="56">
        <f>IFERROR(E12/I12,"")</f>
        <v/>
      </c>
      <c r="K12" s="56" t="n"/>
      <c r="L12" s="39" t="inlineStr">
        <is>
          <t>Thống nhất tốc độ TOS ở mọi đơn vị (35 m/s).</t>
        </is>
      </c>
    </row>
    <row r="13" ht="15" customHeight="1" s="32">
      <c r="A13" s="41" t="inlineStr">
        <is>
          <t>buk_launcher</t>
        </is>
      </c>
      <c r="B13" s="41" t="inlineStr">
        <is>
          <t>9M317 Buk</t>
        </is>
      </c>
      <c r="C13" s="41" t="inlineStr">
        <is>
          <t>Tên lửa PK</t>
        </is>
      </c>
      <c r="D13" s="41" t="inlineStr">
        <is>
          <t>Sam</t>
        </is>
      </c>
      <c r="E13" s="43" t="n">
        <v>55</v>
      </c>
      <c r="F13" s="43" t="n">
        <v>24</v>
      </c>
      <c r="G13" s="58">
        <f>IFERROR(E13/F13,"")</f>
        <v/>
      </c>
      <c r="H13" s="59" t="n">
        <v>40</v>
      </c>
      <c r="I13" s="59" t="n">
        <v>50</v>
      </c>
      <c r="J13" s="58">
        <f>IFERROR(E13/I13,"")</f>
        <v/>
      </c>
      <c r="K13" s="58">
        <f>IFERROR(I13/H13,"")</f>
        <v/>
      </c>
      <c r="L13" s="41" t="inlineStr">
        <is>
          <t>Tên lửa phòng không tầm trung: bắt được tiêm kích, bay ~1,1 s.</t>
        </is>
      </c>
    </row>
    <row r="14" ht="15" customHeight="1" s="32">
      <c r="A14" s="39" t="inlineStr">
        <is>
          <t>drone_missile</t>
        </is>
      </c>
      <c r="B14" s="39" t="inlineStr">
        <is>
          <t>AGM-114 Hellfire</t>
        </is>
      </c>
      <c r="C14" s="39" t="inlineStr">
        <is>
          <t>UAV tấn công</t>
        </is>
      </c>
      <c r="D14" s="39" t="inlineStr">
        <is>
          <t>Atgm</t>
        </is>
      </c>
      <c r="E14" s="42" t="n">
        <v>48</v>
      </c>
      <c r="F14" s="42" t="n">
        <v>21</v>
      </c>
      <c r="G14" s="56">
        <f>IFERROR(E14/F14,"")</f>
        <v/>
      </c>
      <c r="H14" s="56" t="n"/>
      <c r="I14" s="57" t="n">
        <v>26</v>
      </c>
      <c r="J14" s="56">
        <f>IFERROR(E14/I14,"")</f>
        <v/>
      </c>
      <c r="K14" s="56" t="n"/>
      <c r="L14" s="39" t="inlineStr">
        <is>
          <t>Thống nhất Hellfire.</t>
        </is>
      </c>
    </row>
    <row r="15" ht="15" customHeight="1" s="32">
      <c r="A15" s="41" t="inlineStr">
        <is>
          <t>fpv_hangar</t>
        </is>
      </c>
      <c r="B15" s="41" t="inlineStr">
        <is>
          <t>FPV drone (1.5 kg)</t>
        </is>
      </c>
      <c r="C15" s="41" t="inlineStr">
        <is>
          <t>Nhà chứa drone</t>
        </is>
      </c>
      <c r="D15" s="41" t="inlineStr">
        <is>
          <t>Fpv</t>
        </is>
      </c>
      <c r="E15" s="43" t="n">
        <v>70</v>
      </c>
      <c r="F15" s="43" t="n">
        <v>26</v>
      </c>
      <c r="G15" s="58">
        <f>IFERROR(E15/F15,"")</f>
        <v/>
      </c>
      <c r="H15" s="58" t="n"/>
      <c r="I15" s="59" t="n">
        <v>26</v>
      </c>
      <c r="J15" s="58">
        <f>IFERROR(E15/I15,"")</f>
        <v/>
      </c>
      <c r="K15" s="58" t="n"/>
      <c r="L15" s="41" t="inlineStr">
        <is>
          <t>Tốc độ hiện phù hợp; giữ.</t>
        </is>
      </c>
    </row>
    <row r="16" ht="15" customHeight="1" s="32">
      <c r="A16" s="39" t="inlineStr">
        <is>
          <t>fpv_hangar_swarm</t>
        </is>
      </c>
      <c r="B16" s="39" t="inlineStr">
        <is>
          <t>FPV drone (1.5 kg)</t>
        </is>
      </c>
      <c r="C16" s="39" t="inlineStr">
        <is>
          <t>Bầy đàn</t>
        </is>
      </c>
      <c r="D16" s="39" t="inlineStr">
        <is>
          <t>Fpv</t>
        </is>
      </c>
      <c r="E16" s="42" t="n">
        <v>70</v>
      </c>
      <c r="F16" s="42" t="n">
        <v>26</v>
      </c>
      <c r="G16" s="56">
        <f>IFERROR(E16/F16,"")</f>
        <v/>
      </c>
      <c r="H16" s="56" t="n"/>
      <c r="I16" s="57" t="n">
        <v>26</v>
      </c>
      <c r="J16" s="56">
        <f>IFERROR(E16/I16,"")</f>
        <v/>
      </c>
      <c r="K16" s="56" t="n"/>
      <c r="L16" s="39" t="inlineStr">
        <is>
          <t>Tốc độ hiện phù hợp; giữ.</t>
        </is>
      </c>
    </row>
    <row r="17" ht="15" customHeight="1" s="32">
      <c r="A17" s="41" t="inlineStr">
        <is>
          <t>fpv_swarm</t>
        </is>
      </c>
      <c r="B17" s="41" t="inlineStr">
        <is>
          <t>FPV drone (1.5 kg)</t>
        </is>
      </c>
      <c r="C17" s="41" t="inlineStr">
        <is>
          <t>Drone FPV, Drone FPV TN</t>
        </is>
      </c>
      <c r="D17" s="41" t="inlineStr">
        <is>
          <t>Fpv</t>
        </is>
      </c>
      <c r="E17" s="43" t="n">
        <v>75</v>
      </c>
      <c r="F17" s="43" t="n">
        <v>26</v>
      </c>
      <c r="G17" s="58">
        <f>IFERROR(E17/F17,"")</f>
        <v/>
      </c>
      <c r="H17" s="58" t="n"/>
      <c r="I17" s="59" t="n">
        <v>26</v>
      </c>
      <c r="J17" s="58">
        <f>IFERROR(E17/I17,"")</f>
        <v/>
      </c>
      <c r="K17" s="58" t="n"/>
      <c r="L17" s="41" t="inlineStr">
        <is>
          <t>Drone chậm có chủ đích (dễ bị bắn hạ): giữ.</t>
        </is>
      </c>
    </row>
    <row r="18" ht="15" customHeight="1" s="32">
      <c r="A18" s="39" t="inlineStr">
        <is>
          <t>grad_cluster</t>
        </is>
      </c>
      <c r="B18" s="39" t="inlineStr">
        <is>
          <t>BM-21 Grad 122 mm</t>
        </is>
      </c>
      <c r="C18" s="39" t="inlineStr">
        <is>
          <t>Grad TN</t>
        </is>
      </c>
      <c r="D18" s="39" t="inlineStr">
        <is>
          <t>Cluster</t>
        </is>
      </c>
      <c r="E18" s="42" t="n">
        <v>78</v>
      </c>
      <c r="F18" s="42" t="n">
        <v>52</v>
      </c>
      <c r="G18" s="56">
        <f>IFERROR(E18/F18,"")</f>
        <v/>
      </c>
      <c r="H18" s="56" t="n"/>
      <c r="I18" s="57" t="n">
        <v>45</v>
      </c>
      <c r="J18" s="56">
        <f>IFERROR(E18/I18,"")</f>
        <v/>
      </c>
      <c r="K18" s="56" t="n"/>
      <c r="L18" s="39" t="inlineStr">
        <is>
          <t>Thống nhất tốc độ Grad ở mọi đơn vị (45 m/s).</t>
        </is>
      </c>
    </row>
    <row r="19" ht="15" customHeight="1" s="32">
      <c r="A19" s="41" t="inlineStr">
        <is>
          <t>griffin</t>
        </is>
      </c>
      <c r="B19" s="41" t="inlineStr">
        <is>
          <t>AGM-176 Griffin</t>
        </is>
      </c>
      <c r="C19" s="41" t="inlineStr">
        <is>
          <t>Spectre</t>
        </is>
      </c>
      <c r="D19" s="41" t="inlineStr">
        <is>
          <t>Atgm</t>
        </is>
      </c>
      <c r="E19" s="43" t="n">
        <v>50</v>
      </c>
      <c r="F19" s="43" t="n">
        <v>21</v>
      </c>
      <c r="G19" s="58">
        <f>IFERROR(E19/F19,"")</f>
        <v/>
      </c>
      <c r="H19" s="58" t="n"/>
      <c r="I19" s="59" t="n">
        <v>22</v>
      </c>
      <c r="J19" s="58">
        <f>IFERROR(E19/I19,"")</f>
        <v/>
      </c>
      <c r="K19" s="58" t="n"/>
      <c r="L19" s="41" t="inlineStr">
        <is>
          <t>Tên lửa nhỏ cận âm.</t>
        </is>
      </c>
    </row>
    <row r="20" ht="15" customHeight="1" s="32">
      <c r="A20" s="39" t="inlineStr">
        <is>
          <t>guided_bomb</t>
        </is>
      </c>
      <c r="B20" s="39" t="inlineStr">
        <is>
          <t>GBU-39 SDB (110 kg)</t>
        </is>
      </c>
      <c r="C20" s="39" t="inlineStr">
        <is>
          <t>Morrigan, Máy bay mẹ, TK</t>
        </is>
      </c>
      <c r="D20" s="39" t="inlineStr">
        <is>
          <t>GuidedBomb</t>
        </is>
      </c>
      <c r="E20" s="42" t="n">
        <v>30</v>
      </c>
      <c r="F20" s="42" t="n">
        <v>40</v>
      </c>
      <c r="G20" s="56">
        <f>IFERROR(E20/F20,"")</f>
        <v/>
      </c>
      <c r="H20" s="56" t="n"/>
      <c r="I20" s="57" t="n">
        <v>40</v>
      </c>
      <c r="J20" s="56">
        <f>IFERROR(E20/I20,"")</f>
        <v/>
      </c>
      <c r="K20" s="56" t="n"/>
      <c r="L20" s="39" t="inlineStr">
        <is>
          <t>Tốc độ hiện phù hợp; giữ.</t>
        </is>
      </c>
    </row>
    <row r="21" ht="15" customHeight="1" s="32">
      <c r="A21" s="41" t="inlineStr">
        <is>
          <t>gunship_rockets</t>
        </is>
      </c>
      <c r="B21" s="41" t="inlineStr">
        <is>
          <t>S-8 80 mm</t>
        </is>
      </c>
      <c r="C21" s="41" t="inlineStr">
        <is>
          <t>Harpy, TT hỏa lực</t>
        </is>
      </c>
      <c r="D21" s="41" t="inlineStr">
        <is>
          <t>RocketSmall</t>
        </is>
      </c>
      <c r="E21" s="43" t="n">
        <v>34</v>
      </c>
      <c r="F21" s="43" t="n">
        <v>27</v>
      </c>
      <c r="G21" s="58">
        <f>IFERROR(E21/F21,"")</f>
        <v/>
      </c>
      <c r="H21" s="58" t="n"/>
      <c r="I21" s="59" t="n">
        <v>40</v>
      </c>
      <c r="J21" s="58">
        <f>IFERROR(E21/I21,"")</f>
        <v/>
      </c>
      <c r="K21" s="58" t="n"/>
      <c r="L21" s="41" t="inlineStr">
        <is>
          <t>Thống nhất tốc độ rốc-két nhỏ ở mọi đơn vị (40 m/s).</t>
        </is>
      </c>
    </row>
    <row r="22" ht="15" customHeight="1" s="32">
      <c r="A22" s="39" t="inlineStr">
        <is>
          <t>heli_atgm</t>
        </is>
      </c>
      <c r="B22" s="39" t="inlineStr">
        <is>
          <t>AGM-114 Hellfire</t>
        </is>
      </c>
      <c r="C22" s="39" t="inlineStr">
        <is>
          <t>TT hỏa lực</t>
        </is>
      </c>
      <c r="D22" s="39" t="inlineStr">
        <is>
          <t>Atgm</t>
        </is>
      </c>
      <c r="E22" s="42" t="n">
        <v>34</v>
      </c>
      <c r="F22" s="42" t="n">
        <v>12</v>
      </c>
      <c r="G22" s="56">
        <f>IFERROR(E22/F22,"")</f>
        <v/>
      </c>
      <c r="H22" s="56" t="n"/>
      <c r="I22" s="57" t="n">
        <v>26</v>
      </c>
      <c r="J22" s="56">
        <f>IFERROR(E22/I22,"")</f>
        <v/>
      </c>
      <c r="K22" s="56" t="n"/>
      <c r="L22" s="39" t="inlineStr">
        <is>
          <t>Hellfire thống nhất 26 m/s mọi nơi (đang 12 ở đây, chậm nhất game).</t>
        </is>
      </c>
    </row>
    <row r="23" ht="15" customHeight="1" s="32">
      <c r="A23" s="41" t="inlineStr">
        <is>
          <t>heli_rockets</t>
        </is>
      </c>
      <c r="B23" s="41" t="inlineStr">
        <is>
          <t>Hydra 70 mm</t>
        </is>
      </c>
      <c r="C23" s="41" t="inlineStr">
        <is>
          <t>Trực thăng, Trực thăng TN</t>
        </is>
      </c>
      <c r="D23" s="41" t="inlineStr">
        <is>
          <t>RocketSmall</t>
        </is>
      </c>
      <c r="E23" s="43" t="n">
        <v>30</v>
      </c>
      <c r="F23" s="43" t="n">
        <v>48</v>
      </c>
      <c r="G23" s="58">
        <f>IFERROR(E23/F23,"")</f>
        <v/>
      </c>
      <c r="H23" s="58" t="n"/>
      <c r="I23" s="59" t="n">
        <v>40</v>
      </c>
      <c r="J23" s="58">
        <f>IFERROR(E23/I23,"")</f>
        <v/>
      </c>
      <c r="K23" s="58" t="n"/>
      <c r="L23" s="41" t="inlineStr">
        <is>
          <t>Thống nhất tốc độ rốc-két nhỏ ở mọi đơn vị (40 m/s).</t>
        </is>
      </c>
    </row>
    <row r="24" ht="15" customHeight="1" s="32">
      <c r="A24" s="39" t="inlineStr">
        <is>
          <t>hellfire_standoff</t>
        </is>
      </c>
      <c r="B24" s="39" t="inlineStr">
        <is>
          <t>AGM-114L Hellfire</t>
        </is>
      </c>
      <c r="C24" s="39" t="inlineStr">
        <is>
          <t>Trực thăng</t>
        </is>
      </c>
      <c r="D24" s="39" t="inlineStr">
        <is>
          <t>Atgm</t>
        </is>
      </c>
      <c r="E24" s="42" t="n">
        <v>55</v>
      </c>
      <c r="F24" s="42" t="n">
        <v>24</v>
      </c>
      <c r="G24" s="56">
        <f>IFERROR(E24/F24,"")</f>
        <v/>
      </c>
      <c r="H24" s="56" t="n"/>
      <c r="I24" s="57" t="n">
        <v>26</v>
      </c>
      <c r="J24" s="56">
        <f>IFERROR(E24/I24,"")</f>
        <v/>
      </c>
      <c r="K24" s="56" t="n"/>
      <c r="L24" s="39" t="inlineStr">
        <is>
          <t>Thống nhất Hellfire.</t>
        </is>
      </c>
    </row>
    <row r="25" ht="15" customHeight="1" s="32">
      <c r="A25" s="41" t="inlineStr">
        <is>
          <t>hellfire_volley</t>
        </is>
      </c>
      <c r="B25" s="41" t="inlineStr">
        <is>
          <t>AGM-114L Hellfire</t>
        </is>
      </c>
      <c r="C25" s="41" t="inlineStr">
        <is>
          <t>Trực thăng TN</t>
        </is>
      </c>
      <c r="D25" s="41" t="inlineStr">
        <is>
          <t>Atgm</t>
        </is>
      </c>
      <c r="E25" s="43" t="n">
        <v>34</v>
      </c>
      <c r="F25" s="43" t="n">
        <v>21</v>
      </c>
      <c r="G25" s="58">
        <f>IFERROR(E25/F25,"")</f>
        <v/>
      </c>
      <c r="H25" s="58" t="n"/>
      <c r="I25" s="59" t="n">
        <v>26</v>
      </c>
      <c r="J25" s="58">
        <f>IFERROR(E25/I25,"")</f>
        <v/>
      </c>
      <c r="K25" s="58" t="n"/>
      <c r="L25" s="41" t="inlineStr">
        <is>
          <t>Thống nhất Hellfire.</t>
        </is>
      </c>
    </row>
    <row r="26" ht="15" customHeight="1" s="32">
      <c r="A26" s="39" t="inlineStr">
        <is>
          <t>hover_rockets</t>
        </is>
      </c>
      <c r="B26" s="39" t="inlineStr">
        <is>
          <t>A-22 Ogon 140 mm</t>
        </is>
      </c>
      <c r="C26" s="39" t="inlineStr">
        <is>
          <t>Charybdis</t>
        </is>
      </c>
      <c r="D26" s="39" t="inlineStr">
        <is>
          <t>RocketSmall</t>
        </is>
      </c>
      <c r="E26" s="42" t="n">
        <v>55</v>
      </c>
      <c r="F26" s="42" t="n">
        <v>50</v>
      </c>
      <c r="G26" s="56">
        <f>IFERROR(E26/F26,"")</f>
        <v/>
      </c>
      <c r="H26" s="56" t="n"/>
      <c r="I26" s="57" t="n">
        <v>50</v>
      </c>
      <c r="J26" s="56">
        <f>IFERROR(E26/I26,"")</f>
        <v/>
      </c>
      <c r="K26" s="56" t="n"/>
      <c r="L26" s="39" t="inlineStr">
        <is>
          <t>Tốc độ hiện phù hợp; giữ.</t>
        </is>
      </c>
    </row>
    <row r="27" ht="15" customHeight="1" s="32">
      <c r="A27" s="41" t="inlineStr">
        <is>
          <t>jassm</t>
        </is>
      </c>
      <c r="B27" s="41" t="inlineStr">
        <is>
          <t>AGM-158 JASSM (450</t>
        </is>
      </c>
      <c r="C27" s="41" t="inlineStr">
        <is>
          <t>Tàng hình</t>
        </is>
      </c>
      <c r="D27" s="41" t="inlineStr">
        <is>
          <t>Cruise</t>
        </is>
      </c>
      <c r="E27" s="43" t="n">
        <v>90</v>
      </c>
      <c r="F27" s="43" t="n">
        <v>17</v>
      </c>
      <c r="G27" s="58">
        <f>IFERROR(E27/F27,"")</f>
        <v/>
      </c>
      <c r="H27" s="58" t="n"/>
      <c r="I27" s="59" t="n">
        <v>20</v>
      </c>
      <c r="J27" s="58">
        <f>IFERROR(E27/I27,"")</f>
        <v/>
      </c>
      <c r="K27" s="58" t="n"/>
      <c r="L27" s="41" t="inlineStr">
        <is>
          <t>Thống nhất tốc độ tên lửa hành trình ở mọi đơn vị (20 m/s).</t>
        </is>
      </c>
    </row>
    <row r="28" ht="15" customHeight="1" s="32">
      <c r="A28" s="39" t="inlineStr">
        <is>
          <t>kh29</t>
        </is>
      </c>
      <c r="B28" s="39" t="inlineStr">
        <is>
          <t>Kh-29L</t>
        </is>
      </c>
      <c r="C28" s="39" t="inlineStr">
        <is>
          <t>Cường kích, Cường kích TN</t>
        </is>
      </c>
      <c r="D28" s="39" t="inlineStr">
        <is>
          <t>Atgm</t>
        </is>
      </c>
      <c r="E28" s="42" t="n">
        <v>40</v>
      </c>
      <c r="F28" s="42" t="n">
        <v>10</v>
      </c>
      <c r="G28" s="56">
        <f>IFERROR(E28/F28,"")</f>
        <v/>
      </c>
      <c r="H28" s="56" t="n"/>
      <c r="I28" s="57" t="n">
        <v>32</v>
      </c>
      <c r="J28" s="56">
        <f>IFERROR(E28/I28,"")</f>
        <v/>
      </c>
      <c r="K28" s="56" t="n"/>
      <c r="L28" s="39" t="inlineStr">
        <is>
          <t>Tên lửa không đối đất nặng Mach 2,5 ngoài đời: đang 10 m/s như drone.</t>
        </is>
      </c>
    </row>
    <row r="29" ht="15" customHeight="1" s="32">
      <c r="A29" s="41" t="inlineStr">
        <is>
          <t>kornet_multi</t>
        </is>
      </c>
      <c r="B29" s="41" t="inlineStr">
        <is>
          <t>9M133 Kornet</t>
        </is>
      </c>
      <c r="C29" s="41" t="inlineStr">
        <is>
          <t>Đa năng</t>
        </is>
      </c>
      <c r="D29" s="41" t="inlineStr">
        <is>
          <t>Atgm</t>
        </is>
      </c>
      <c r="E29" s="43" t="n">
        <v>50</v>
      </c>
      <c r="F29" s="43" t="n">
        <v>20</v>
      </c>
      <c r="G29" s="58">
        <f>IFERROR(E29/F29,"")</f>
        <v/>
      </c>
      <c r="H29" s="58" t="n"/>
      <c r="I29" s="59" t="n">
        <v>22</v>
      </c>
      <c r="J29" s="58">
        <f>IFERROR(E29/I29,"")</f>
        <v/>
      </c>
      <c r="K29" s="58" t="n"/>
      <c r="L29" s="41" t="inlineStr">
        <is>
          <t>Thống nhất tốc độ Kornet ở mọi đơn vị (22 m/s).</t>
        </is>
      </c>
    </row>
    <row r="30" ht="15" customHeight="1" s="32">
      <c r="A30" s="39" t="inlineStr">
        <is>
          <t>kornet_top</t>
        </is>
      </c>
      <c r="B30" s="39" t="inlineStr">
        <is>
          <t>9M133 Kornet</t>
        </is>
      </c>
      <c r="C30" s="39" t="inlineStr">
        <is>
          <t>Đánh từ trên</t>
        </is>
      </c>
      <c r="D30" s="39" t="inlineStr">
        <is>
          <t>Atgm</t>
        </is>
      </c>
      <c r="E30" s="42" t="n">
        <v>50</v>
      </c>
      <c r="F30" s="42" t="n">
        <v>20</v>
      </c>
      <c r="G30" s="56">
        <f>IFERROR(E30/F30,"")</f>
        <v/>
      </c>
      <c r="H30" s="56" t="n"/>
      <c r="I30" s="57" t="n">
        <v>22</v>
      </c>
      <c r="J30" s="56">
        <f>IFERROR(E30/I30,"")</f>
        <v/>
      </c>
      <c r="K30" s="56" t="n"/>
      <c r="L30" s="39" t="inlineStr">
        <is>
          <t>Thống nhất tốc độ Kornet ở mọi đơn vị (22 m/s).</t>
        </is>
      </c>
    </row>
    <row r="31" ht="15" customHeight="1" s="32">
      <c r="A31" s="41" t="inlineStr">
        <is>
          <t>kornet_twin</t>
        </is>
      </c>
      <c r="B31" s="41" t="inlineStr">
        <is>
          <t>9M133 Kornet</t>
        </is>
      </c>
      <c r="C31" s="41" t="inlineStr">
        <is>
          <t>Bastion</t>
        </is>
      </c>
      <c r="D31" s="41" t="inlineStr">
        <is>
          <t>Atgm</t>
        </is>
      </c>
      <c r="E31" s="43" t="n">
        <v>50</v>
      </c>
      <c r="F31" s="43" t="n">
        <v>20</v>
      </c>
      <c r="G31" s="58">
        <f>IFERROR(E31/F31,"")</f>
        <v/>
      </c>
      <c r="H31" s="58" t="n"/>
      <c r="I31" s="59" t="n">
        <v>22</v>
      </c>
      <c r="J31" s="58">
        <f>IFERROR(E31/I31,"")</f>
        <v/>
      </c>
      <c r="K31" s="58" t="n"/>
      <c r="L31" s="41" t="inlineStr">
        <is>
          <t>Thống nhất tốc độ Kornet ở mọi đơn vị (22 m/s).</t>
        </is>
      </c>
    </row>
    <row r="32" ht="15" customHeight="1" s="32">
      <c r="A32" s="39" t="inlineStr">
        <is>
          <t>lancet</t>
        </is>
      </c>
      <c r="B32" s="39" t="inlineStr">
        <is>
          <t>ZALA Lancet-3 (3 kg)</t>
        </is>
      </c>
      <c r="C32" s="39" t="inlineStr">
        <is>
          <t>Lancet</t>
        </is>
      </c>
      <c r="D32" s="39" t="inlineStr">
        <is>
          <t>Lancet</t>
        </is>
      </c>
      <c r="E32" s="42" t="n">
        <v>100</v>
      </c>
      <c r="F32" s="42" t="n">
        <v>28</v>
      </c>
      <c r="G32" s="56">
        <f>IFERROR(E32/F32,"")</f>
        <v/>
      </c>
      <c r="H32" s="56" t="n"/>
      <c r="I32" s="57" t="n">
        <v>28</v>
      </c>
      <c r="J32" s="56">
        <f>IFERROR(E32/I32,"")</f>
        <v/>
      </c>
      <c r="K32" s="56" t="n"/>
      <c r="L32" s="39" t="inlineStr">
        <is>
          <t>Tốc độ hiện phù hợp; giữ.</t>
        </is>
      </c>
    </row>
    <row r="33" ht="15" customHeight="1" s="32">
      <c r="A33" s="41" t="inlineStr">
        <is>
          <t>lancet_hangar</t>
        </is>
      </c>
      <c r="B33" s="41" t="inlineStr">
        <is>
          <t>ZALA Lancet-3 (3 kg)</t>
        </is>
      </c>
      <c r="C33" s="41" t="inlineStr">
        <is>
          <t>Lancet</t>
        </is>
      </c>
      <c r="D33" s="41" t="inlineStr">
        <is>
          <t>Lancet</t>
        </is>
      </c>
      <c r="E33" s="43" t="n">
        <v>100</v>
      </c>
      <c r="F33" s="43" t="n">
        <v>28</v>
      </c>
      <c r="G33" s="58">
        <f>IFERROR(E33/F33,"")</f>
        <v/>
      </c>
      <c r="H33" s="58" t="n"/>
      <c r="I33" s="59" t="n">
        <v>28</v>
      </c>
      <c r="J33" s="58">
        <f>IFERROR(E33/I33,"")</f>
        <v/>
      </c>
      <c r="K33" s="58" t="n"/>
      <c r="L33" s="41" t="inlineStr">
        <is>
          <t>Tốc độ hiện phù hợp; giữ.</t>
        </is>
      </c>
    </row>
    <row r="34" ht="15" customHeight="1" s="32">
      <c r="A34" s="39" t="inlineStr">
        <is>
          <t>mlrs_elite</t>
        </is>
      </c>
      <c r="B34" s="39" t="inlineStr">
        <is>
          <t>M30 GMLRS 227 mm</t>
        </is>
      </c>
      <c r="C34" s="39" t="inlineStr">
        <is>
          <t>Phản lực TN</t>
        </is>
      </c>
      <c r="D34" s="39" t="inlineStr">
        <is>
          <t>Cluster</t>
        </is>
      </c>
      <c r="E34" s="42" t="n">
        <v>75</v>
      </c>
      <c r="F34" s="42" t="n">
        <v>52</v>
      </c>
      <c r="G34" s="56">
        <f>IFERROR(E34/F34,"")</f>
        <v/>
      </c>
      <c r="H34" s="56" t="n"/>
      <c r="I34" s="57" t="n">
        <v>50</v>
      </c>
      <c r="J34" s="56">
        <f>IFERROR(E34/I34,"")</f>
        <v/>
      </c>
      <c r="K34" s="56" t="n"/>
      <c r="L34" s="39" t="inlineStr">
        <is>
          <t>Thống nhất tốc độ GMLRS ở mọi đơn vị (50 m/s).</t>
        </is>
      </c>
    </row>
    <row r="35" ht="15" customHeight="1" s="32">
      <c r="A35" s="41" t="inlineStr">
        <is>
          <t>mlrs_rockets</t>
        </is>
      </c>
      <c r="B35" s="41" t="inlineStr">
        <is>
          <t>M31 GMLRS 227 mm</t>
        </is>
      </c>
      <c r="C35" s="41" t="inlineStr">
        <is>
          <t>Phản lực</t>
        </is>
      </c>
      <c r="D35" s="41" t="inlineStr">
        <is>
          <t>RocketBig</t>
        </is>
      </c>
      <c r="E35" s="43" t="n">
        <v>110</v>
      </c>
      <c r="F35" s="43" t="n">
        <v>52</v>
      </c>
      <c r="G35" s="58">
        <f>IFERROR(E35/F35,"")</f>
        <v/>
      </c>
      <c r="H35" s="58" t="n"/>
      <c r="I35" s="59" t="n">
        <v>50</v>
      </c>
      <c r="J35" s="58">
        <f>IFERROR(E35/I35,"")</f>
        <v/>
      </c>
      <c r="K35" s="58" t="n"/>
      <c r="L35" s="41" t="inlineStr">
        <is>
          <t>GMLRS: bay ~2,2 s ở tầm 110.</t>
        </is>
      </c>
    </row>
    <row r="36" ht="15" customHeight="1" s="32">
      <c r="A36" s="39" t="inlineStr">
        <is>
          <t>mothership_drones</t>
        </is>
      </c>
      <c r="B36" s="39" t="inlineStr">
        <is>
          <t>ZALA Lancet-3 (3 kg)</t>
        </is>
      </c>
      <c r="C36" s="39" t="inlineStr">
        <is>
          <t>Hive, Locust, Matriarch</t>
        </is>
      </c>
      <c r="D36" s="39" t="inlineStr">
        <is>
          <t>Lancet</t>
        </is>
      </c>
      <c r="E36" s="42" t="n">
        <v>70</v>
      </c>
      <c r="F36" s="42" t="n">
        <v>16</v>
      </c>
      <c r="G36" s="56">
        <f>IFERROR(E36/F36,"")</f>
        <v/>
      </c>
      <c r="H36" s="56" t="n"/>
      <c r="I36" s="57" t="n">
        <v>28</v>
      </c>
      <c r="J36" s="56">
        <f>IFERROR(E36/I36,"")</f>
        <v/>
      </c>
      <c r="K36" s="56" t="n"/>
      <c r="L36" s="39" t="inlineStr">
        <is>
          <t>Cùng Lancet nhưng đang 16: thống nhất 28.</t>
        </is>
      </c>
    </row>
    <row r="37" ht="15" customHeight="1" s="32">
      <c r="A37" s="41" t="inlineStr">
        <is>
          <t>patriot</t>
        </is>
      </c>
      <c r="B37" s="41" t="inlineStr">
        <is>
          <t>MIM-104 Patriot PAC-</t>
        </is>
      </c>
      <c r="C37" s="41" t="inlineStr">
        <is>
          <t>Patriot</t>
        </is>
      </c>
      <c r="D37" s="41" t="inlineStr">
        <is>
          <t>Sam</t>
        </is>
      </c>
      <c r="E37" s="43" t="n">
        <v>90</v>
      </c>
      <c r="F37" s="43" t="n">
        <v>24</v>
      </c>
      <c r="G37" s="58">
        <f>IFERROR(E37/F37,"")</f>
        <v/>
      </c>
      <c r="H37" s="59" t="n">
        <v>46</v>
      </c>
      <c r="I37" s="59" t="n">
        <v>60</v>
      </c>
      <c r="J37" s="58">
        <f>IFERROR(E37/I37,"")</f>
        <v/>
      </c>
      <c r="K37" s="58">
        <f>IFERROR(I37/H37,"")</f>
        <v/>
      </c>
      <c r="L37" s="41" t="inlineStr">
        <is>
          <t>Tầm xa: bay ~1,5 s tới rìa tầm, bắt được mọi máy bay.</t>
        </is>
      </c>
    </row>
    <row r="38" ht="15" customHeight="1" s="32">
      <c r="A38" s="39" t="inlineStr">
        <is>
          <t>r60</t>
        </is>
      </c>
      <c r="B38" s="39" t="inlineStr">
        <is>
          <t>R-60</t>
        </is>
      </c>
      <c r="C38" s="39" t="inlineStr">
        <is>
          <t>Cường kích, Cường kích TN</t>
        </is>
      </c>
      <c r="D38" s="39" t="inlineStr">
        <is>
          <t>Sam</t>
        </is>
      </c>
      <c r="E38" s="42" t="n">
        <v>28</v>
      </c>
      <c r="F38" s="42" t="n">
        <v>10</v>
      </c>
      <c r="G38" s="56">
        <f>IFERROR(E38/F38,"")</f>
        <v/>
      </c>
      <c r="H38" s="57" t="n">
        <v>40</v>
      </c>
      <c r="I38" s="57" t="n">
        <v>42</v>
      </c>
      <c r="J38" s="56">
        <f>IFERROR(E38/I38,"")</f>
        <v/>
      </c>
      <c r="K38" s="56">
        <f>IFERROR(I38/H38,"")</f>
        <v/>
      </c>
      <c r="L38" s="39" t="inlineStr">
        <is>
          <t>Tên lửa không đối không tầm gần phải bắt kịp tiêm kích (40 m/s).</t>
        </is>
      </c>
    </row>
    <row r="39" ht="15" customHeight="1" s="32">
      <c r="A39" s="41" t="inlineStr">
        <is>
          <t>recon_missile</t>
        </is>
      </c>
      <c r="B39" s="41" t="inlineStr">
        <is>
          <t>MAM-L</t>
        </is>
      </c>
      <c r="C39" s="41" t="inlineStr">
        <is>
          <t>UAV do thám</t>
        </is>
      </c>
      <c r="D39" s="41" t="inlineStr">
        <is>
          <t>Atgm</t>
        </is>
      </c>
      <c r="E39" s="43" t="n">
        <v>50</v>
      </c>
      <c r="F39" s="43" t="n">
        <v>21</v>
      </c>
      <c r="G39" s="58">
        <f>IFERROR(E39/F39,"")</f>
        <v/>
      </c>
      <c r="H39" s="58" t="n"/>
      <c r="I39" s="59" t="n">
        <v>22</v>
      </c>
      <c r="J39" s="58">
        <f>IFERROR(E39/I39,"")</f>
        <v/>
      </c>
      <c r="K39" s="58" t="n"/>
      <c r="L39" s="41" t="inlineStr">
        <is>
          <t>Tên lửa nhỏ.</t>
        </is>
      </c>
    </row>
    <row r="40" ht="15" customHeight="1" s="32">
      <c r="A40" s="39" t="inlineStr">
        <is>
          <t>rockets_300mm</t>
        </is>
      </c>
      <c r="B40" s="39" t="inlineStr">
        <is>
          <t>9M55 Smerch 300 mm</t>
        </is>
      </c>
      <c r="C40" s="39" t="inlineStr">
        <is>
          <t>Phản lực 300</t>
        </is>
      </c>
      <c r="D40" s="39" t="inlineStr">
        <is>
          <t>RocketBig</t>
        </is>
      </c>
      <c r="E40" s="42" t="n">
        <v>140</v>
      </c>
      <c r="F40" s="42" t="n">
        <v>24</v>
      </c>
      <c r="G40" s="56">
        <f>IFERROR(E40/F40,"")</f>
        <v/>
      </c>
      <c r="H40" s="56" t="n"/>
      <c r="I40" s="57" t="n">
        <v>55</v>
      </c>
      <c r="J40" s="56">
        <f>IFERROR(E40/I40,"")</f>
        <v/>
      </c>
      <c r="K40" s="56" t="n"/>
      <c r="L40" s="39" t="inlineStr">
        <is>
          <t>Rốc-két lớn nhất bay nhanh nhất (~2,5 s ở 140).</t>
        </is>
      </c>
    </row>
    <row r="41" ht="15" customHeight="1" s="32">
      <c r="A41" s="41" t="inlineStr">
        <is>
          <t>s8_pods</t>
        </is>
      </c>
      <c r="B41" s="41" t="inlineStr">
        <is>
          <t>S-8 80 mm</t>
        </is>
      </c>
      <c r="C41" s="41" t="inlineStr">
        <is>
          <t>Cường kích, Cường kích TN</t>
        </is>
      </c>
      <c r="D41" s="41" t="inlineStr">
        <is>
          <t>RocketSmall</t>
        </is>
      </c>
      <c r="E41" s="43" t="n">
        <v>34</v>
      </c>
      <c r="F41" s="43" t="n">
        <v>20</v>
      </c>
      <c r="G41" s="58">
        <f>IFERROR(E41/F41,"")</f>
        <v/>
      </c>
      <c r="H41" s="58" t="n"/>
      <c r="I41" s="59" t="n">
        <v>40</v>
      </c>
      <c r="J41" s="58">
        <f>IFERROR(E41/I41,"")</f>
        <v/>
      </c>
      <c r="K41" s="58" t="n"/>
      <c r="L41" s="41" t="inlineStr">
        <is>
          <t>Thống nhất rốc-két nhỏ không điều khiển 40 m/s.</t>
        </is>
      </c>
    </row>
    <row r="42" ht="21.75" customHeight="1" s="32">
      <c r="A42" s="39" t="inlineStr">
        <is>
          <t>sam</t>
        </is>
      </c>
      <c r="B42" s="39" t="inlineStr">
        <is>
          <t>Starstreak / Stinger</t>
        </is>
      </c>
      <c r="C42" s="39" t="inlineStr">
        <is>
          <t>PK hỗn hợp, Phòng không,</t>
        </is>
      </c>
      <c r="D42" s="39" t="inlineStr">
        <is>
          <t>Sam</t>
        </is>
      </c>
      <c r="E42" s="42" t="n">
        <v>44</v>
      </c>
      <c r="F42" s="42" t="n">
        <v>24</v>
      </c>
      <c r="G42" s="56">
        <f>IFERROR(E42/F42,"")</f>
        <v/>
      </c>
      <c r="H42" s="57" t="n">
        <v>32</v>
      </c>
      <c r="I42" s="57" t="n">
        <v>42</v>
      </c>
      <c r="J42" s="56">
        <f>IFERROR(E42/I42,"")</f>
        <v/>
      </c>
      <c r="K42" s="56">
        <f>IFERROR(I42/H42,"")</f>
        <v/>
      </c>
      <c r="L42" s="39" t="inlineStr">
        <is>
          <t>Tên lửa vác vai: phải nhanh hơn cường kích (32 m/s); bay ~1 s để còn thấy được và bị pháo sáng đánh lừa.</t>
        </is>
      </c>
    </row>
    <row r="43" ht="15" customHeight="1" s="32">
      <c r="A43" s="41" t="inlineStr">
        <is>
          <t>sam_48n6</t>
        </is>
      </c>
      <c r="B43" s="41" t="inlineStr">
        <is>
          <t>S-400 48N6</t>
        </is>
      </c>
      <c r="C43" s="41" t="inlineStr">
        <is>
          <t>SAM tầm xa, SAM tầm xa TN</t>
        </is>
      </c>
      <c r="D43" s="41" t="inlineStr">
        <is>
          <t>Sam</t>
        </is>
      </c>
      <c r="E43" s="43" t="n">
        <v>95</v>
      </c>
      <c r="F43" s="43" t="n">
        <v>24</v>
      </c>
      <c r="G43" s="58">
        <f>IFERROR(E43/F43,"")</f>
        <v/>
      </c>
      <c r="H43" s="59" t="n">
        <v>46</v>
      </c>
      <c r="I43" s="59" t="n">
        <v>65</v>
      </c>
      <c r="J43" s="58">
        <f>IFERROR(E43/I43,"")</f>
        <v/>
      </c>
      <c r="K43" s="58">
        <f>IFERROR(I43/H43,"")</f>
        <v/>
      </c>
      <c r="L43" s="41" t="inlineStr">
        <is>
          <t>Tên lửa tầm xa nhất: bay ~1,5 s ở tầm 95.</t>
        </is>
      </c>
    </row>
    <row r="44" ht="15" customHeight="1" s="32">
      <c r="A44" s="39" t="inlineStr">
        <is>
          <t>sam_battery</t>
        </is>
      </c>
      <c r="B44" s="39" t="inlineStr">
        <is>
          <t>MIM-104 Patriot PAC-</t>
        </is>
      </c>
      <c r="C44" s="39" t="inlineStr">
        <is>
          <t>Nemesis</t>
        </is>
      </c>
      <c r="D44" s="39" t="inlineStr">
        <is>
          <t>Sam</t>
        </is>
      </c>
      <c r="E44" s="42" t="n">
        <v>90</v>
      </c>
      <c r="F44" s="42" t="n">
        <v>24</v>
      </c>
      <c r="G44" s="56">
        <f>IFERROR(E44/F44,"")</f>
        <v/>
      </c>
      <c r="H44" s="57" t="n">
        <v>46</v>
      </c>
      <c r="I44" s="57" t="n">
        <v>60</v>
      </c>
      <c r="J44" s="56">
        <f>IFERROR(E44/I44,"")</f>
        <v/>
      </c>
      <c r="K44" s="56">
        <f>IFERROR(I44/H44,"")</f>
        <v/>
      </c>
      <c r="L44" s="39" t="inlineStr">
        <is>
          <t>Thống nhất tốc độ Patriot ở mọi đơn vị (60 m/s).</t>
        </is>
      </c>
    </row>
    <row r="45" ht="15" customHeight="1" s="32">
      <c r="A45" s="41" t="inlineStr">
        <is>
          <t>sam_battery_lrr</t>
        </is>
      </c>
      <c r="B45" s="41" t="inlineStr">
        <is>
          <t>MIM-104 Patriot PAC-</t>
        </is>
      </c>
      <c r="C45" s="41" t="inlineStr">
        <is>
          <t>Radar tầm xa</t>
        </is>
      </c>
      <c r="D45" s="41" t="inlineStr">
        <is>
          <t>Sam</t>
        </is>
      </c>
      <c r="E45" s="43" t="n">
        <v>100</v>
      </c>
      <c r="F45" s="43" t="n">
        <v>24</v>
      </c>
      <c r="G45" s="58">
        <f>IFERROR(E45/F45,"")</f>
        <v/>
      </c>
      <c r="H45" s="59" t="n">
        <v>46</v>
      </c>
      <c r="I45" s="59" t="n">
        <v>60</v>
      </c>
      <c r="J45" s="58">
        <f>IFERROR(E45/I45,"")</f>
        <v/>
      </c>
      <c r="K45" s="58">
        <f>IFERROR(I45/H45,"")</f>
        <v/>
      </c>
      <c r="L45" s="41" t="inlineStr">
        <is>
          <t>Thống nhất tốc độ Patriot ở mọi đơn vị (60 m/s).</t>
        </is>
      </c>
    </row>
    <row r="46" ht="21.75" customHeight="1" s="32">
      <c r="A46" s="39" t="inlineStr">
        <is>
          <t>sam_pac3</t>
        </is>
      </c>
      <c r="B46" s="39" t="inlineStr">
        <is>
          <t>Patriot PAC-3 MSE</t>
        </is>
      </c>
      <c r="C46" s="39" t="inlineStr">
        <is>
          <t>PAC-3</t>
        </is>
      </c>
      <c r="D46" s="39" t="inlineStr">
        <is>
          <t>Sam</t>
        </is>
      </c>
      <c r="E46" s="42" t="n">
        <v>72</v>
      </c>
      <c r="F46" s="42" t="n">
        <v>24</v>
      </c>
      <c r="G46" s="56">
        <f>IFERROR(E46/F46,"")</f>
        <v/>
      </c>
      <c r="H46" s="57" t="n">
        <v>55</v>
      </c>
      <c r="I46" s="57" t="n">
        <v>65</v>
      </c>
      <c r="J46" s="56">
        <f>IFERROR(E46/I46,"")</f>
        <v/>
      </c>
      <c r="K46" s="56">
        <f>IFERROR(I46/H46,"")</f>
        <v/>
      </c>
      <c r="L46" s="39" t="inlineStr">
        <is>
          <t>Đánh chặn tên lửa đạn đạo (đề xuất 50 m/s) và hành trình: phải nhanh hơn chúng.</t>
        </is>
      </c>
    </row>
    <row r="47" ht="15" customHeight="1" s="32">
      <c r="A47" s="41" t="inlineStr">
        <is>
          <t>sam_post</t>
        </is>
      </c>
      <c r="B47" s="41" t="inlineStr">
        <is>
          <t>9M317 Buk</t>
        </is>
      </c>
      <c r="C47" s="41" t="inlineStr">
        <is>
          <t>Jötunn, Trạm tên lửa, Typhon</t>
        </is>
      </c>
      <c r="D47" s="41" t="inlineStr">
        <is>
          <t>Sam</t>
        </is>
      </c>
      <c r="E47" s="43" t="n">
        <v>60</v>
      </c>
      <c r="F47" s="43" t="n">
        <v>24</v>
      </c>
      <c r="G47" s="58">
        <f>IFERROR(E47/F47,"")</f>
        <v/>
      </c>
      <c r="H47" s="59" t="n">
        <v>40</v>
      </c>
      <c r="I47" s="59" t="n">
        <v>50</v>
      </c>
      <c r="J47" s="58">
        <f>IFERROR(E47/I47,"")</f>
        <v/>
      </c>
      <c r="K47" s="58">
        <f>IFERROR(I47/H47,"")</f>
        <v/>
      </c>
      <c r="L47" s="41" t="inlineStr">
        <is>
          <t>Thống nhất tốc độ Buk ở mọi đơn vị (50 m/s).</t>
        </is>
      </c>
    </row>
    <row r="48" ht="15" customHeight="1" s="32">
      <c r="A48" s="39" t="inlineStr">
        <is>
          <t>scout_rockets</t>
        </is>
      </c>
      <c r="B48" s="39" t="inlineStr">
        <is>
          <t>Hydra 70 mm</t>
        </is>
      </c>
      <c r="C48" s="39" t="inlineStr">
        <is>
          <t>TT trinh sát</t>
        </is>
      </c>
      <c r="D48" s="39" t="inlineStr">
        <is>
          <t>RocketSmall</t>
        </is>
      </c>
      <c r="E48" s="42" t="n">
        <v>28</v>
      </c>
      <c r="F48" s="42" t="n">
        <v>38</v>
      </c>
      <c r="G48" s="56">
        <f>IFERROR(E48/F48,"")</f>
        <v/>
      </c>
      <c r="H48" s="56" t="n"/>
      <c r="I48" s="57" t="n">
        <v>40</v>
      </c>
      <c r="J48" s="56">
        <f>IFERROR(E48/I48,"")</f>
        <v/>
      </c>
      <c r="K48" s="56" t="n"/>
      <c r="L48" s="39" t="inlineStr">
        <is>
          <t>Thống nhất tốc độ rốc-két nhỏ ở mọi đơn vị (40 m/s).</t>
        </is>
      </c>
    </row>
    <row r="49" ht="15" customHeight="1" s="32">
      <c r="A49" s="41" t="inlineStr">
        <is>
          <t>shahed</t>
        </is>
      </c>
      <c r="B49" s="41" t="inlineStr">
        <is>
          <t>Shahed-136 (50 kg)</t>
        </is>
      </c>
      <c r="C49" s="41" t="inlineStr">
        <is>
          <t>Shahed</t>
        </is>
      </c>
      <c r="D49" s="41" t="inlineStr">
        <is>
          <t>Shahed</t>
        </is>
      </c>
      <c r="E49" s="43" t="n">
        <v>150</v>
      </c>
      <c r="F49" s="43" t="n">
        <v>20</v>
      </c>
      <c r="G49" s="58">
        <f>IFERROR(E49/F49,"")</f>
        <v/>
      </c>
      <c r="H49" s="58" t="n"/>
      <c r="I49" s="59" t="n">
        <v>20</v>
      </c>
      <c r="J49" s="58">
        <f>IFERROR(E49/I49,"")</f>
        <v/>
      </c>
      <c r="K49" s="58" t="n"/>
      <c r="L49" s="41" t="inlineStr">
        <is>
          <t>Chậm có chủ đích (~7,5 s) để phòng không có cơ hội: giữ.</t>
        </is>
      </c>
    </row>
    <row r="50" ht="15" customHeight="1" s="32">
      <c r="A50" s="39" t="inlineStr">
        <is>
          <t>stinger_atas</t>
        </is>
      </c>
      <c r="B50" s="39" t="inlineStr">
        <is>
          <t>FIM-92 Stinger (ATAS)</t>
        </is>
      </c>
      <c r="C50" s="39" t="inlineStr">
        <is>
          <t>Trực thăng, Trực thăng TN</t>
        </is>
      </c>
      <c r="D50" s="39" t="inlineStr">
        <is>
          <t>Sam</t>
        </is>
      </c>
      <c r="E50" s="42" t="n">
        <v>30</v>
      </c>
      <c r="F50" s="42" t="n">
        <v>24</v>
      </c>
      <c r="G50" s="56">
        <f>IFERROR(E50/F50,"")</f>
        <v/>
      </c>
      <c r="H50" s="57" t="n">
        <v>32</v>
      </c>
      <c r="I50" s="57" t="n">
        <v>42</v>
      </c>
      <c r="J50" s="56">
        <f>IFERROR(E50/I50,"")</f>
        <v/>
      </c>
      <c r="K50" s="56">
        <f>IFERROR(I50/H50,"")</f>
        <v/>
      </c>
      <c r="L50" s="39" t="inlineStr">
        <is>
          <t>Thống nhất tốc độ Stinger ở mọi đơn vị (42 m/s).</t>
        </is>
      </c>
    </row>
    <row r="51" ht="15" customHeight="1" s="32">
      <c r="A51" s="41" t="inlineStr">
        <is>
          <t>swarm_drones</t>
        </is>
      </c>
      <c r="B51" s="41" t="inlineStr">
        <is>
          <t>FPV drone (1.5 kg)</t>
        </is>
      </c>
      <c r="C51" s="41" t="inlineStr">
        <is>
          <t>Máy bay mẹ</t>
        </is>
      </c>
      <c r="D51" s="41" t="inlineStr">
        <is>
          <t>Fpv</t>
        </is>
      </c>
      <c r="E51" s="43" t="n">
        <v>60</v>
      </c>
      <c r="F51" s="43" t="n">
        <v>18</v>
      </c>
      <c r="G51" s="58">
        <f>IFERROR(E51/F51,"")</f>
        <v/>
      </c>
      <c r="H51" s="58" t="n"/>
      <c r="I51" s="59" t="n">
        <v>26</v>
      </c>
      <c r="J51" s="58">
        <f>IFERROR(E51/I51,"")</f>
        <v/>
      </c>
      <c r="K51" s="58" t="n"/>
      <c r="L51" s="41" t="inlineStr">
        <is>
          <t>Cùng loại FPV nhưng đang 18: thống nhất 26.</t>
        </is>
      </c>
    </row>
    <row r="52" ht="15" customHeight="1" s="32">
      <c r="A52" s="39" t="inlineStr">
        <is>
          <t>tamir</t>
        </is>
      </c>
      <c r="B52" s="39" t="inlineStr">
        <is>
          <t>Tamir interceptor (Iron</t>
        </is>
      </c>
      <c r="C52" s="39" t="inlineStr">
        <is>
          <t>Vòm Sắt</t>
        </is>
      </c>
      <c r="D52" s="39" t="inlineStr">
        <is>
          <t>Sam</t>
        </is>
      </c>
      <c r="E52" s="42" t="n">
        <v>60</v>
      </c>
      <c r="F52" s="42" t="n">
        <v>24</v>
      </c>
      <c r="G52" s="56">
        <f>IFERROR(E52/F52,"")</f>
        <v/>
      </c>
      <c r="H52" s="57" t="n">
        <v>55</v>
      </c>
      <c r="I52" s="57" t="n">
        <v>50</v>
      </c>
      <c r="J52" s="56">
        <f>IFERROR(E52/I52,"")</f>
        <v/>
      </c>
      <c r="K52" s="56">
        <f>IFERROR(I52/H52,"")</f>
        <v/>
      </c>
      <c r="L52" s="39" t="inlineStr">
        <is>
          <t>Đánh chặn rốc-két Grad và GMLRS (45–50 m/s) từ phía trước.</t>
        </is>
      </c>
    </row>
    <row r="53" ht="15" customHeight="1" s="32">
      <c r="A53" s="41" t="inlineStr">
        <is>
          <t>technical_rockets</t>
        </is>
      </c>
      <c r="B53" s="41" t="inlineStr">
        <is>
          <t>Type 63 107 mm</t>
        </is>
      </c>
      <c r="C53" s="41" t="inlineStr">
        <is>
          <t>Bán tải</t>
        </is>
      </c>
      <c r="D53" s="41" t="inlineStr">
        <is>
          <t>RocketSmall</t>
        </is>
      </c>
      <c r="E53" s="43" t="n">
        <v>48</v>
      </c>
      <c r="F53" s="43" t="n">
        <v>38</v>
      </c>
      <c r="G53" s="58">
        <f>IFERROR(E53/F53,"")</f>
        <v/>
      </c>
      <c r="H53" s="58" t="n"/>
      <c r="I53" s="59" t="n">
        <v>38</v>
      </c>
      <c r="J53" s="58">
        <f>IFERROR(E53/I53,"")</f>
        <v/>
      </c>
      <c r="K53" s="58" t="n"/>
      <c r="L53" s="41" t="inlineStr">
        <is>
          <t>Tốc độ hiện phù hợp; giữ.</t>
        </is>
      </c>
    </row>
    <row r="54" ht="15" customHeight="1" s="32">
      <c r="A54" s="39" t="inlineStr">
        <is>
          <t>thermobaric_rockets</t>
        </is>
      </c>
      <c r="B54" s="39" t="inlineStr">
        <is>
          <t>TOS-1A 220 mm</t>
        </is>
      </c>
      <c r="C54" s="39" t="inlineStr">
        <is>
          <t>Nhiệt áp</t>
        </is>
      </c>
      <c r="D54" s="39" t="inlineStr">
        <is>
          <t>RocketBig</t>
        </is>
      </c>
      <c r="E54" s="42" t="n">
        <v>48</v>
      </c>
      <c r="F54" s="42" t="n">
        <v>24</v>
      </c>
      <c r="G54" s="56">
        <f>IFERROR(E54/F54,"")</f>
        <v/>
      </c>
      <c r="H54" s="56" t="n"/>
      <c r="I54" s="57" t="n">
        <v>35</v>
      </c>
      <c r="J54" s="56">
        <f>IFERROR(E54/I54,"")</f>
        <v/>
      </c>
      <c r="K54" s="56" t="n"/>
      <c r="L54" s="39" t="inlineStr">
        <is>
          <t>Thống nhất TOS 35 m/s.</t>
        </is>
      </c>
    </row>
    <row r="55" ht="15" customHeight="1" s="32">
      <c r="A55" s="41" t="inlineStr">
        <is>
          <t>tower_kornet</t>
        </is>
      </c>
      <c r="B55" s="41" t="inlineStr">
        <is>
          <t>9M133 Kornet</t>
        </is>
      </c>
      <c r="C55" s="41" t="inlineStr">
        <is>
          <t>Tháp ATGM</t>
        </is>
      </c>
      <c r="D55" s="41" t="inlineStr">
        <is>
          <t>Atgm</t>
        </is>
      </c>
      <c r="E55" s="43" t="n">
        <v>50</v>
      </c>
      <c r="F55" s="43" t="n">
        <v>20</v>
      </c>
      <c r="G55" s="58">
        <f>IFERROR(E55/F55,"")</f>
        <v/>
      </c>
      <c r="H55" s="58" t="n"/>
      <c r="I55" s="59" t="n">
        <v>22</v>
      </c>
      <c r="J55" s="58">
        <f>IFERROR(E55/I55,"")</f>
        <v/>
      </c>
      <c r="K55" s="58" t="n"/>
      <c r="L55" s="41" t="inlineStr">
        <is>
          <t>Bay ~2,3 s ở tầm 50; nhanh hơn TOW một chút.</t>
        </is>
      </c>
    </row>
    <row r="56" ht="15" customHeight="1" s="32">
      <c r="A56" s="39" t="inlineStr">
        <is>
          <t>turret_gmlrs</t>
        </is>
      </c>
      <c r="B56" s="39" t="inlineStr">
        <is>
          <t>M31 GMLRS 227 mm</t>
        </is>
      </c>
      <c r="C56" s="39" t="inlineStr">
        <is>
          <t>Dẫn đường</t>
        </is>
      </c>
      <c r="D56" s="39" t="inlineStr">
        <is>
          <t>RocketBig</t>
        </is>
      </c>
      <c r="E56" s="42" t="n">
        <v>90</v>
      </c>
      <c r="F56" s="42" t="n">
        <v>24</v>
      </c>
      <c r="G56" s="56">
        <f>IFERROR(E56/F56,"")</f>
        <v/>
      </c>
      <c r="H56" s="56" t="n"/>
      <c r="I56" s="57" t="n">
        <v>50</v>
      </c>
      <c r="J56" s="56">
        <f>IFERROR(E56/I56,"")</f>
        <v/>
      </c>
      <c r="K56" s="56" t="n"/>
      <c r="L56" s="39" t="inlineStr">
        <is>
          <t>Thống nhất tốc độ GMLRS ở mọi đơn vị (50 m/s).</t>
        </is>
      </c>
    </row>
    <row r="57" ht="15" customHeight="1" s="32">
      <c r="A57" s="41" t="inlineStr">
        <is>
          <t>turret_rockets</t>
        </is>
      </c>
      <c r="B57" s="41" t="inlineStr">
        <is>
          <t>BM-21 Grad 122 mm</t>
        </is>
      </c>
      <c r="C57" s="41" t="inlineStr">
        <is>
          <t>Dàn rốc-két</t>
        </is>
      </c>
      <c r="D57" s="41" t="inlineStr">
        <is>
          <t>RocketSmall</t>
        </is>
      </c>
      <c r="E57" s="43" t="n">
        <v>55</v>
      </c>
      <c r="F57" s="43" t="n">
        <v>24</v>
      </c>
      <c r="G57" s="58">
        <f>IFERROR(E57/F57,"")</f>
        <v/>
      </c>
      <c r="H57" s="58" t="n"/>
      <c r="I57" s="59" t="n">
        <v>45</v>
      </c>
      <c r="J57" s="58">
        <f>IFERROR(E57/I57,"")</f>
        <v/>
      </c>
      <c r="K57" s="58" t="n"/>
      <c r="L57" s="41" t="inlineStr">
        <is>
          <t>Thống nhất Grad 45 m/s.</t>
        </is>
      </c>
    </row>
    <row r="58" ht="15" customHeight="1" s="32">
      <c r="A58" s="39" t="inlineStr">
        <is>
          <t>turret_rockets_cluster</t>
        </is>
      </c>
      <c r="B58" s="39" t="inlineStr">
        <is>
          <t>BM-21 Grad 122 mm</t>
        </is>
      </c>
      <c r="C58" s="39" t="inlineStr">
        <is>
          <t>Rốc-két chùm</t>
        </is>
      </c>
      <c r="D58" s="39" t="inlineStr">
        <is>
          <t>Cluster</t>
        </is>
      </c>
      <c r="E58" s="42" t="n">
        <v>55</v>
      </c>
      <c r="F58" s="42" t="n">
        <v>24</v>
      </c>
      <c r="G58" s="56">
        <f>IFERROR(E58/F58,"")</f>
        <v/>
      </c>
      <c r="H58" s="56" t="n"/>
      <c r="I58" s="57" t="n">
        <v>45</v>
      </c>
      <c r="J58" s="56">
        <f>IFERROR(E58/I58,"")</f>
        <v/>
      </c>
      <c r="K58" s="56" t="n"/>
      <c r="L58" s="39" t="inlineStr">
        <is>
          <t>Thống nhất tốc độ Grad ở mọi đơn vị (45 m/s).</t>
        </is>
      </c>
    </row>
    <row r="59" ht="15" customHeight="1" s="32">
      <c r="A59" s="41" t="inlineStr">
        <is>
          <t>wvr_aam</t>
        </is>
      </c>
      <c r="B59" s="41" t="inlineStr">
        <is>
          <t>AIM-9X Sidewinder</t>
        </is>
      </c>
      <c r="C59" s="41" t="inlineStr">
        <is>
          <t>Tiêm kích</t>
        </is>
      </c>
      <c r="D59" s="41" t="inlineStr">
        <is>
          <t>Sam</t>
        </is>
      </c>
      <c r="E59" s="43" t="n">
        <v>30</v>
      </c>
      <c r="F59" s="43" t="n">
        <v>24</v>
      </c>
      <c r="G59" s="58">
        <f>IFERROR(E59/F59,"")</f>
        <v/>
      </c>
      <c r="H59" s="59" t="n">
        <v>46</v>
      </c>
      <c r="I59" s="59" t="n">
        <v>55</v>
      </c>
      <c r="J59" s="58">
        <f>IFERROR(E59/I59,"")</f>
        <v/>
      </c>
      <c r="K59" s="58">
        <f>IFERROR(I59/H59,"")</f>
        <v/>
      </c>
      <c r="L59" s="41" t="inlineStr">
        <is>
          <t>Thống nhất tốc độ AIM-9 ở mọi đơn vị (55 m/s).</t>
        </is>
      </c>
    </row>
  </sheetData>
  <autoFilter ref="A1:L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L4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31" min="1" max="1"/>
    <col width="20" customWidth="1" style="31" min="2" max="2"/>
    <col width="28" customWidth="1" style="31" min="3" max="3"/>
    <col width="9" customWidth="1" style="31" min="4" max="5"/>
    <col width="8" customWidth="1" style="31" min="6" max="6"/>
    <col width="10" customWidth="1" style="31" min="7" max="7"/>
    <col width="8" customWidth="1" style="31" min="8" max="8"/>
    <col width="9" customWidth="1" style="31" min="9" max="9"/>
    <col width="8" customWidth="1" style="31" min="10" max="10"/>
    <col width="9" customWidth="1" style="31" min="11" max="11"/>
    <col width="60" customWidth="1" style="31" min="12" max="12"/>
  </cols>
  <sheetData>
    <row r="1" ht="42" customHeight="1" s="32">
      <c r="A1" s="37" t="inlineStr">
        <is>
          <t>Model đạn</t>
        </is>
      </c>
      <c r="B1" s="37" t="inlineStr">
        <is>
          <t>Vũ khí</t>
        </is>
      </c>
      <c r="C1" s="37" t="inlineStr">
        <is>
          <t>Tên thật</t>
        </is>
      </c>
      <c r="D1" s="44" t="inlineStr">
        <is>
          <t>Dài model hiện (m)</t>
        </is>
      </c>
      <c r="E1" s="37" t="inlineStr">
        <is>
          <t>Dài thật (m)</t>
        </is>
      </c>
      <c r="F1" s="44" t="inlineStr">
        <is>
          <t>Tỷ lệ hiện</t>
        </is>
      </c>
      <c r="G1" s="37" t="inlineStr">
        <is>
          <t>Phóng từ</t>
        </is>
      </c>
      <c r="H1" s="37" t="inlineStr">
        <is>
          <t>Tỷ lệ mục tiêu</t>
        </is>
      </c>
      <c r="I1" s="45" t="inlineStr">
        <is>
          <t>Dài đề xuất (m)</t>
        </is>
      </c>
      <c r="J1" s="37" t="inlineStr">
        <is>
          <t>Lệch</t>
        </is>
      </c>
      <c r="K1" s="46" t="inlineStr">
        <is>
          <t>Kết quả</t>
        </is>
      </c>
      <c r="L1" s="46" t="inlineStr">
        <is>
          <t>Lý do</t>
        </is>
      </c>
    </row>
    <row r="2" ht="32.25" customHeight="1" s="32">
      <c r="A2" s="39" t="inlineStr">
        <is>
          <t>aim9</t>
        </is>
      </c>
      <c r="B2" s="39" t="inlineStr">
        <is>
          <t>aim9</t>
        </is>
      </c>
      <c r="C2" s="39" t="inlineStr">
        <is>
          <t>AIM-9 Sidewinder</t>
        </is>
      </c>
      <c r="D2" s="42" t="n">
        <v>1.54</v>
      </c>
      <c r="E2" s="42" t="n">
        <v>3.02</v>
      </c>
      <c r="F2" s="56">
        <f>IFERROR(D2/E2,"")</f>
        <v/>
      </c>
      <c r="G2" s="56" t="inlineStr">
        <is>
          <t>máy bay</t>
        </is>
      </c>
      <c r="H2" s="57" t="n">
        <v>0.5</v>
      </c>
      <c r="I2" s="56">
        <f>IFERROR(MAX(0.8,E2*H2),"")</f>
        <v/>
      </c>
      <c r="J2" s="60">
        <f>IFERROR(D2/I2-1,"")</f>
        <v/>
      </c>
      <c r="K2" s="39">
        <f>IF(ABS(J2)&gt;0.25,"Đổi","Giữ")</f>
        <v/>
      </c>
      <c r="L2" s="39" t="inlineStr">
        <is>
          <t>Tỷ lệ chung: đạn phóng từ mặt đất 0,8 × thật (bằng tỷ lệ xe), phóng từ máy bay 0,5 × thật (máy bay ở 0,4 nên tên lửa không to hơn cánh); tối thiểu 0,8 m để còn nhìn thấy trên điện thoại.</t>
        </is>
      </c>
    </row>
    <row r="3" ht="32.25" customHeight="1" s="32">
      <c r="A3" s="41" t="inlineStr">
        <is>
          <t>cruise_missile</t>
        </is>
      </c>
      <c r="B3" s="41" t="inlineStr">
        <is>
          <t>air_cruise_missile</t>
        </is>
      </c>
      <c r="C3" s="41" t="inlineStr">
        <is>
          <t>Kh-101 (400 kg)</t>
        </is>
      </c>
      <c r="D3" s="43" t="n">
        <v>4.04</v>
      </c>
      <c r="E3" s="43" t="n">
        <v>7.45</v>
      </c>
      <c r="F3" s="58">
        <f>IFERROR(D3/E3,"")</f>
        <v/>
      </c>
      <c r="G3" s="58" t="inlineStr">
        <is>
          <t>máy bay</t>
        </is>
      </c>
      <c r="H3" s="59" t="n">
        <v>0.5</v>
      </c>
      <c r="I3" s="58">
        <f>IFERROR(MAX(0.8,E3*H3),"")</f>
        <v/>
      </c>
      <c r="J3" s="61">
        <f>IFERROR(D3/I3-1,"")</f>
        <v/>
      </c>
      <c r="K3" s="41">
        <f>IF(ABS(J3)&gt;0.25,"Đổi","Giữ")</f>
        <v/>
      </c>
      <c r="L3" s="41" t="inlineStr">
        <is>
          <t>Tỷ lệ chung: đạn phóng từ mặt đất 0,8 × thật (bằng tỷ lệ xe), phóng từ máy bay 0,5 × thật (máy bay ở 0,4 nên tên lửa không to hơn cánh); tối thiểu 0,8 m để còn nhìn thấy trên điện thoại.</t>
        </is>
      </c>
    </row>
    <row r="4" ht="32.25" customHeight="1" s="32">
      <c r="A4" s="39" t="inlineStr">
        <is>
          <t>aim120</t>
        </is>
      </c>
      <c r="B4" s="39" t="inlineStr">
        <is>
          <t>air_to_air</t>
        </is>
      </c>
      <c r="C4" s="39" t="inlineStr">
        <is>
          <t>AIM-120 AMRAAM</t>
        </is>
      </c>
      <c r="D4" s="42" t="n">
        <v>2.21</v>
      </c>
      <c r="E4" s="42" t="n">
        <v>3.65</v>
      </c>
      <c r="F4" s="56">
        <f>IFERROR(D4/E4,"")</f>
        <v/>
      </c>
      <c r="G4" s="56" t="inlineStr">
        <is>
          <t>máy bay</t>
        </is>
      </c>
      <c r="H4" s="57" t="n">
        <v>0.5</v>
      </c>
      <c r="I4" s="56">
        <f>IFERROR(MAX(0.8,E4*H4),"")</f>
        <v/>
      </c>
      <c r="J4" s="60">
        <f>IFERROR(D4/I4-1,"")</f>
        <v/>
      </c>
      <c r="K4" s="39">
        <f>IF(ABS(J4)&gt;0.25,"Đổi","Giữ")</f>
        <v/>
      </c>
      <c r="L4" s="39" t="inlineStr">
        <is>
          <t>Tỷ lệ chung: đạn phóng từ mặt đất 0,8 × thật (bằng tỷ lệ xe), phóng từ máy bay 0,5 × thật (máy bay ở 0,4 nên tên lửa không to hơn cánh); tối thiểu 0,8 m để còn nhìn thấy trên điện thoại.</t>
        </is>
      </c>
    </row>
    <row r="5" ht="32.25" customHeight="1" s="32">
      <c r="A5" s="41" t="inlineStr">
        <is>
          <t>atgm_ataka</t>
        </is>
      </c>
      <c r="B5" s="41" t="inlineStr">
        <is>
          <t>ataka</t>
        </is>
      </c>
      <c r="C5" s="41" t="inlineStr">
        <is>
          <t>9M120 Ataka</t>
        </is>
      </c>
      <c r="D5" s="43" t="n">
        <v>1.32</v>
      </c>
      <c r="E5" s="43" t="n">
        <v>1.83</v>
      </c>
      <c r="F5" s="58">
        <f>IFERROR(D5/E5,"")</f>
        <v/>
      </c>
      <c r="G5" s="58" t="inlineStr">
        <is>
          <t>mặt đất</t>
        </is>
      </c>
      <c r="H5" s="59" t="n">
        <v>0.8</v>
      </c>
      <c r="I5" s="58">
        <f>IFERROR(MAX(0.8,E5*H5),"")</f>
        <v/>
      </c>
      <c r="J5" s="61">
        <f>IFERROR(D5/I5-1,"")</f>
        <v/>
      </c>
      <c r="K5" s="41">
        <f>IF(ABS(J5)&gt;0.25,"Đổi","Giữ")</f>
        <v/>
      </c>
      <c r="L5" s="41" t="inlineStr">
        <is>
          <t>Tỷ lệ chung: đạn phóng từ mặt đất 0,8 × thật (bằng tỷ lệ xe), phóng từ máy bay 0,5 × thật (máy bay ở 0,4 nên tên lửa không to hơn cánh); tối thiểu 0,8 m để còn nhìn thấy trên điện thoại.</t>
        </is>
      </c>
    </row>
    <row r="6" ht="32.25" customHeight="1" s="32">
      <c r="A6" s="39" t="inlineStr">
        <is>
          <t>atgm_tow</t>
        </is>
      </c>
      <c r="B6" s="39" t="inlineStr">
        <is>
          <t>atgm</t>
        </is>
      </c>
      <c r="C6" s="39" t="inlineStr">
        <is>
          <t>BGM-71 TOW-2</t>
        </is>
      </c>
      <c r="D6" s="42" t="n">
        <v>1.04</v>
      </c>
      <c r="E6" s="42" t="n">
        <v>1.17</v>
      </c>
      <c r="F6" s="56">
        <f>IFERROR(D6/E6,"")</f>
        <v/>
      </c>
      <c r="G6" s="56" t="inlineStr">
        <is>
          <t>mặt đất</t>
        </is>
      </c>
      <c r="H6" s="57" t="n">
        <v>0.8</v>
      </c>
      <c r="I6" s="56">
        <f>IFERROR(MAX(0.8,E6*H6),"")</f>
        <v/>
      </c>
      <c r="J6" s="60">
        <f>IFERROR(D6/I6-1,"")</f>
        <v/>
      </c>
      <c r="K6" s="39">
        <f>IF(ABS(J6)&gt;0.25,"Đổi","Giữ")</f>
        <v/>
      </c>
      <c r="L6" s="39" t="inlineStr">
        <is>
          <t>Tỷ lệ chung: đạn phóng từ mặt đất 0,8 × thật (bằng tỷ lệ xe), phóng từ máy bay 0,5 × thật (máy bay ở 0,4 nên tên lửa không to hơn cánh); tối thiểu 0,8 m để còn nhìn thấy trên điện thoại.</t>
        </is>
      </c>
    </row>
    <row r="7" ht="32.25" customHeight="1" s="32">
      <c r="A7" s="41" t="inlineStr">
        <is>
          <t>s8</t>
        </is>
      </c>
      <c r="B7" s="41" t="inlineStr">
        <is>
          <t>boat_rockets</t>
        </is>
      </c>
      <c r="C7" s="41" t="inlineStr">
        <is>
          <t>S-8 80 mm</t>
        </is>
      </c>
      <c r="D7" s="43" t="n">
        <v>1.08</v>
      </c>
      <c r="E7" s="43" t="n">
        <v>1.57</v>
      </c>
      <c r="F7" s="58">
        <f>IFERROR(D7/E7,"")</f>
        <v/>
      </c>
      <c r="G7" s="58" t="inlineStr">
        <is>
          <t>mặt đất</t>
        </is>
      </c>
      <c r="H7" s="59" t="n">
        <v>0.8</v>
      </c>
      <c r="I7" s="58">
        <f>IFERROR(MAX(0.8,E7*H7),"")</f>
        <v/>
      </c>
      <c r="J7" s="61">
        <f>IFERROR(D7/I7-1,"")</f>
        <v/>
      </c>
      <c r="K7" s="41">
        <f>IF(ABS(J7)&gt;0.25,"Đổi","Giữ")</f>
        <v/>
      </c>
      <c r="L7" s="41" t="inlineStr">
        <is>
          <t>Tỷ lệ chung: đạn phóng từ mặt đất 0,8 × thật (bằng tỷ lệ xe), phóng từ máy bay 0,5 × thật (máy bay ở 0,4 nên tên lửa không to hơn cánh); tối thiểu 0,8 m để còn nhìn thấy trên điện thoại.</t>
        </is>
      </c>
    </row>
    <row r="8" ht="32.25" customHeight="1" s="32">
      <c r="A8" s="39" t="inlineStr">
        <is>
          <t>bomb</t>
        </is>
      </c>
      <c r="B8" s="39" t="inlineStr">
        <is>
          <t>bomber_payload</t>
        </is>
      </c>
      <c r="C8" s="39" t="inlineStr">
        <is>
          <t>FAB-500 (500 kg)</t>
        </is>
      </c>
      <c r="D8" s="42" t="n">
        <v>1.64</v>
      </c>
      <c r="E8" s="42" t="n">
        <v>2.4</v>
      </c>
      <c r="F8" s="56">
        <f>IFERROR(D8/E8,"")</f>
        <v/>
      </c>
      <c r="G8" s="56" t="inlineStr">
        <is>
          <t>máy bay</t>
        </is>
      </c>
      <c r="H8" s="57" t="n">
        <v>0.5</v>
      </c>
      <c r="I8" s="56">
        <f>IFERROR(MAX(0.8,E8*H8),"")</f>
        <v/>
      </c>
      <c r="J8" s="60">
        <f>IFERROR(D8/I8-1,"")</f>
        <v/>
      </c>
      <c r="K8" s="39">
        <f>IF(ABS(J8)&gt;0.25,"Đổi","Giữ")</f>
        <v/>
      </c>
      <c r="L8" s="39" t="inlineStr">
        <is>
          <t>Tỷ lệ chung: đạn phóng từ mặt đất 0,8 × thật (bằng tỷ lệ xe), phóng từ máy bay 0,5 × thật (máy bay ở 0,4 nên tên lửa không to hơn cánh); tối thiểu 0,8 m để còn nhìn thấy trên điện thoại.</t>
        </is>
      </c>
    </row>
    <row r="9" ht="42.75" customHeight="1" s="32">
      <c r="A9" s="41" t="inlineStr">
        <is>
          <t>shell_155</t>
        </is>
      </c>
      <c r="B9" s="41" t="inlineStr">
        <is>
          <t>boss_howitzer</t>
        </is>
      </c>
      <c r="C9" s="41" t="inlineStr">
        <is>
          <t>2A44 203 mm</t>
        </is>
      </c>
      <c r="D9" s="43" t="n">
        <v>1.1</v>
      </c>
      <c r="E9" s="43" t="n">
        <v>1</v>
      </c>
      <c r="F9" s="58">
        <f>IFERROR(D9/E9,"")</f>
        <v/>
      </c>
      <c r="G9" s="58" t="inlineStr">
        <is>
          <t>mặt đất</t>
        </is>
      </c>
      <c r="H9" s="59" t="n">
        <v>0.8</v>
      </c>
      <c r="I9" s="58">
        <f>IFERROR(MAX(0.8,E9*H9),"")</f>
        <v/>
      </c>
      <c r="J9" s="61">
        <f>IFERROR(D9/I9-1,"")</f>
        <v/>
      </c>
      <c r="K9" s="41">
        <f>IF(ABS(J9)&gt;0.25,"Đổi","Giữ")</f>
        <v/>
      </c>
      <c r="L9" s="41" t="inlineStr">
        <is>
          <t>Dùng model đạn 155 mm ×1 cho đạn 203 mm (to hơn 155 mm): tỷ lệ ~1,3. Tỷ lệ chung: đạn phóng từ mặt đất 0,8 × thật (bằng tỷ lệ xe), phóng từ máy bay 0,5 × thật (máy bay ở 0,4 nên tên lửa không to hơn cánh); tối thiểu 0,8 m để còn nhìn thấy trên điện thoại.</t>
        </is>
      </c>
    </row>
    <row r="10" ht="32.25" customHeight="1" s="32">
      <c r="A10" s="39" t="inlineStr">
        <is>
          <t>atgm_kornet</t>
        </is>
      </c>
      <c r="B10" s="39" t="inlineStr">
        <is>
          <t>boss_missiles</t>
        </is>
      </c>
      <c r="C10" s="39" t="inlineStr">
        <is>
          <t>9M133 Kornet</t>
        </is>
      </c>
      <c r="D10" s="42" t="n">
        <v>1.3</v>
      </c>
      <c r="E10" s="42" t="n">
        <v>1.2</v>
      </c>
      <c r="F10" s="56">
        <f>IFERROR(D10/E10,"")</f>
        <v/>
      </c>
      <c r="G10" s="56" t="inlineStr">
        <is>
          <t>mặt đất</t>
        </is>
      </c>
      <c r="H10" s="57" t="n">
        <v>0.8</v>
      </c>
      <c r="I10" s="56">
        <f>IFERROR(MAX(0.8,E10*H10),"")</f>
        <v/>
      </c>
      <c r="J10" s="60">
        <f>IFERROR(D10/I10-1,"")</f>
        <v/>
      </c>
      <c r="K10" s="39">
        <f>IF(ABS(J10)&gt;0.25,"Đổi","Giữ")</f>
        <v/>
      </c>
      <c r="L10" s="39" t="inlineStr">
        <is>
          <t>Tỷ lệ chung: đạn phóng từ mặt đất 0,8 × thật (bằng tỷ lệ xe), phóng từ máy bay 0,5 × thật (máy bay ở 0,4 nên tên lửa không to hơn cánh); tối thiểu 0,8 m để còn nhìn thấy trên điện thoại.</t>
        </is>
      </c>
    </row>
    <row r="11" ht="32.25" customHeight="1" s="32">
      <c r="A11" s="41" t="inlineStr">
        <is>
          <t>mortar_bomb</t>
        </is>
      </c>
      <c r="B11" s="41" t="inlineStr">
        <is>
          <t>boss_mortar</t>
        </is>
      </c>
      <c r="C11" s="41" t="inlineStr">
        <is>
          <t>2B8 240 mm</t>
        </is>
      </c>
      <c r="D11" s="43" t="n">
        <v>1.8</v>
      </c>
      <c r="E11" s="43" t="n">
        <v>1.5</v>
      </c>
      <c r="F11" s="58">
        <f>IFERROR(D11/E11,"")</f>
        <v/>
      </c>
      <c r="G11" s="58" t="inlineStr">
        <is>
          <t>mặt đất</t>
        </is>
      </c>
      <c r="H11" s="59" t="n">
        <v>0.8</v>
      </c>
      <c r="I11" s="58">
        <f>IFERROR(MAX(0.8,E11*H11),"")</f>
        <v/>
      </c>
      <c r="J11" s="61">
        <f>IFERROR(D11/I11-1,"")</f>
        <v/>
      </c>
      <c r="K11" s="41">
        <f>IF(ABS(J11)&gt;0.25,"Đổi","Giữ")</f>
        <v/>
      </c>
      <c r="L11" s="41" t="inlineStr">
        <is>
          <t>Tỷ lệ chung: đạn phóng từ mặt đất 0,8 × thật (bằng tỷ lệ xe), phóng từ máy bay 0,5 × thật (máy bay ở 0,4 nên tên lửa không to hơn cánh); tối thiểu 0,8 m để còn nhìn thấy trên điện thoại.</t>
        </is>
      </c>
    </row>
    <row r="12" ht="32.25" customHeight="1" s="32">
      <c r="A12" s="39" t="inlineStr">
        <is>
          <t>rail_slug</t>
        </is>
      </c>
      <c r="B12" s="39" t="inlineStr">
        <is>
          <t>boss_railgun</t>
        </is>
      </c>
      <c r="C12" s="39" t="inlineStr">
        <is>
          <t>railgun (64 MJ)</t>
        </is>
      </c>
      <c r="D12" s="42" t="n">
        <v>0.9</v>
      </c>
      <c r="E12" s="42" t="n">
        <v>0.5</v>
      </c>
      <c r="F12" s="56">
        <f>IFERROR(D12/E12,"")</f>
        <v/>
      </c>
      <c r="G12" s="56" t="inlineStr">
        <is>
          <t>mặt đất</t>
        </is>
      </c>
      <c r="H12" s="57" t="n">
        <v>0.8</v>
      </c>
      <c r="I12" s="56">
        <f>IFERROR(MAX(0.8,E12*H12),"")</f>
        <v/>
      </c>
      <c r="J12" s="60">
        <f>IFERROR(D12/I12-1,"")</f>
        <v/>
      </c>
      <c r="K12" s="39">
        <f>IF(ABS(J12)&gt;0.25,"Đổi","Giữ")</f>
        <v/>
      </c>
      <c r="L12" s="39" t="inlineStr">
        <is>
          <t>Giả tưởng. Tỷ lệ chung: đạn phóng từ mặt đất 0,8 × thật (bằng tỷ lệ xe), phóng từ máy bay 0,5 × thật (máy bay ở 0,4 nên tên lửa không to hơn cánh); tối thiểu 0,8 m để còn nhìn thấy trên điện thoại.</t>
        </is>
      </c>
    </row>
    <row r="13" ht="32.25" customHeight="1" s="32">
      <c r="A13" s="41" t="inlineStr">
        <is>
          <t>grad</t>
        </is>
      </c>
      <c r="B13" s="41" t="inlineStr">
        <is>
          <t>boss_rockets</t>
        </is>
      </c>
      <c r="C13" s="41" t="inlineStr">
        <is>
          <t>BM-21 Grad 122 mm</t>
        </is>
      </c>
      <c r="D13" s="43" t="n">
        <v>2.2</v>
      </c>
      <c r="E13" s="43" t="n">
        <v>2.87</v>
      </c>
      <c r="F13" s="58">
        <f>IFERROR(D13/E13,"")</f>
        <v/>
      </c>
      <c r="G13" s="58" t="inlineStr">
        <is>
          <t>mặt đất</t>
        </is>
      </c>
      <c r="H13" s="59" t="n">
        <v>0.8</v>
      </c>
      <c r="I13" s="58">
        <f>IFERROR(MAX(0.8,E13*H13),"")</f>
        <v/>
      </c>
      <c r="J13" s="61">
        <f>IFERROR(D13/I13-1,"")</f>
        <v/>
      </c>
      <c r="K13" s="41">
        <f>IF(ABS(J13)&gt;0.25,"Đổi","Giữ")</f>
        <v/>
      </c>
      <c r="L13" s="41" t="inlineStr">
        <is>
          <t>Tỷ lệ chung: đạn phóng từ mặt đất 0,8 × thật (bằng tỷ lệ xe), phóng từ máy bay 0,5 × thật (máy bay ở 0,4 nên tên lửa không to hơn cánh); tối thiểu 0,8 m để còn nhìn thấy trên điện thoại.</t>
        </is>
      </c>
    </row>
    <row r="14" ht="32.25" customHeight="1" s="32">
      <c r="A14" s="39" t="inlineStr">
        <is>
          <t>tos_rocket</t>
        </is>
      </c>
      <c r="B14" s="39" t="inlineStr">
        <is>
          <t>boss_thermo</t>
        </is>
      </c>
      <c r="C14" s="39" t="inlineStr">
        <is>
          <t>TOS-1A 220 mm thermobaric</t>
        </is>
      </c>
      <c r="D14" s="42" t="n">
        <v>2.4</v>
      </c>
      <c r="E14" s="42" t="n">
        <v>3.3</v>
      </c>
      <c r="F14" s="56">
        <f>IFERROR(D14/E14,"")</f>
        <v/>
      </c>
      <c r="G14" s="56" t="inlineStr">
        <is>
          <t>mặt đất</t>
        </is>
      </c>
      <c r="H14" s="57" t="n">
        <v>0.8</v>
      </c>
      <c r="I14" s="56">
        <f>IFERROR(MAX(0.8,E14*H14),"")</f>
        <v/>
      </c>
      <c r="J14" s="60">
        <f>IFERROR(D14/I14-1,"")</f>
        <v/>
      </c>
      <c r="K14" s="39">
        <f>IF(ABS(J14)&gt;0.25,"Đổi","Giữ")</f>
        <v/>
      </c>
      <c r="L14" s="39" t="inlineStr">
        <is>
          <t>Tỷ lệ chung: đạn phóng từ mặt đất 0,8 × thật (bằng tỷ lệ xe), phóng từ máy bay 0,5 × thật (máy bay ở 0,4 nên tên lửa không to hơn cánh); tối thiểu 0,8 m để còn nhìn thấy trên điện thoại.</t>
        </is>
      </c>
    </row>
    <row r="15" ht="32.25" customHeight="1" s="32">
      <c r="A15" s="41" t="inlineStr">
        <is>
          <t>buk</t>
        </is>
      </c>
      <c r="B15" s="41" t="inlineStr">
        <is>
          <t>buk_launcher</t>
        </is>
      </c>
      <c r="C15" s="41" t="inlineStr">
        <is>
          <t>9M317 Buk</t>
        </is>
      </c>
      <c r="D15" s="43" t="n">
        <v>2.16</v>
      </c>
      <c r="E15" s="43" t="n">
        <v>5.55</v>
      </c>
      <c r="F15" s="58">
        <f>IFERROR(D15/E15,"")</f>
        <v/>
      </c>
      <c r="G15" s="58" t="inlineStr">
        <is>
          <t>mặt đất</t>
        </is>
      </c>
      <c r="H15" s="59" t="n">
        <v>0.8</v>
      </c>
      <c r="I15" s="58">
        <f>IFERROR(MAX(0.8,E15*H15),"")</f>
        <v/>
      </c>
      <c r="J15" s="61">
        <f>IFERROR(D15/I15-1,"")</f>
        <v/>
      </c>
      <c r="K15" s="41">
        <f>IF(ABS(J15)&gt;0.25,"Đổi","Giữ")</f>
        <v/>
      </c>
      <c r="L15" s="41" t="inlineStr">
        <is>
          <t>Tỷ lệ chung: đạn phóng từ mặt đất 0,8 × thật (bằng tỷ lệ xe), phóng từ máy bay 0,5 × thật (máy bay ở 0,4 nên tên lửa không to hơn cánh); tối thiểu 0,8 m để còn nhìn thấy trên điện thoại.</t>
        </is>
      </c>
    </row>
    <row r="16" ht="32.25" customHeight="1" s="32">
      <c r="A16" s="39" t="inlineStr">
        <is>
          <t>shell_155</t>
        </is>
      </c>
      <c r="B16" s="39" t="inlineStr">
        <is>
          <t>cruiser_203</t>
        </is>
      </c>
      <c r="C16" s="39" t="inlineStr">
        <is>
          <t>Mk 71 203 mm (twin)</t>
        </is>
      </c>
      <c r="D16" s="42" t="n">
        <v>1.43</v>
      </c>
      <c r="E16" s="42" t="n">
        <v>1</v>
      </c>
      <c r="F16" s="56">
        <f>IFERROR(D16/E16,"")</f>
        <v/>
      </c>
      <c r="G16" s="56" t="inlineStr">
        <is>
          <t>mặt đất</t>
        </is>
      </c>
      <c r="H16" s="57" t="n">
        <v>0.8</v>
      </c>
      <c r="I16" s="56">
        <f>IFERROR(MAX(0.8,E16*H16),"")</f>
        <v/>
      </c>
      <c r="J16" s="60">
        <f>IFERROR(D16/I16-1,"")</f>
        <v/>
      </c>
      <c r="K16" s="39">
        <f>IF(ABS(J16)&gt;0.25,"Đổi","Giữ")</f>
        <v/>
      </c>
      <c r="L16" s="39" t="inlineStr">
        <is>
          <t>Dùng model đạn 155 mm cho đạn 203 mm. Tỷ lệ chung: đạn phóng từ mặt đất 0,8 × thật (bằng tỷ lệ xe), phóng từ máy bay 0,5 × thật (máy bay ở 0,4 nên tên lửa không to hơn cánh); tối thiểu 0,8 m để còn nhìn thấy trên điện thoại.</t>
        </is>
      </c>
    </row>
    <row r="17" ht="32.25" customHeight="1" s="32">
      <c r="A17" s="41" t="inlineStr">
        <is>
          <t>hellfire</t>
        </is>
      </c>
      <c r="B17" s="41" t="inlineStr">
        <is>
          <t>drone_missile</t>
        </is>
      </c>
      <c r="C17" s="41" t="inlineStr">
        <is>
          <t>AGM-114 Hellfire</t>
        </is>
      </c>
      <c r="D17" s="43" t="n">
        <v>0.91</v>
      </c>
      <c r="E17" s="43" t="n">
        <v>1.63</v>
      </c>
      <c r="F17" s="58">
        <f>IFERROR(D17/E17,"")</f>
        <v/>
      </c>
      <c r="G17" s="58" t="inlineStr">
        <is>
          <t>máy bay</t>
        </is>
      </c>
      <c r="H17" s="59" t="n">
        <v>0.5</v>
      </c>
      <c r="I17" s="58">
        <f>IFERROR(MAX(0.8,E17*H17),"")</f>
        <v/>
      </c>
      <c r="J17" s="61">
        <f>IFERROR(D17/I17-1,"")</f>
        <v/>
      </c>
      <c r="K17" s="41">
        <f>IF(ABS(J17)&gt;0.25,"Đổi","Giữ")</f>
        <v/>
      </c>
      <c r="L17" s="41" t="inlineStr">
        <is>
          <t>Tỷ lệ chung: đạn phóng từ mặt đất 0,8 × thật (bằng tỷ lệ xe), phóng từ máy bay 0,5 × thật (máy bay ở 0,4 nên tên lửa không to hơn cánh); tối thiểu 0,8 m để còn nhìn thấy trên điện thoại.</t>
        </is>
      </c>
    </row>
    <row r="18" ht="32.25" customHeight="1" s="32">
      <c r="A18" s="39" t="inlineStr">
        <is>
          <t>grad_cluster</t>
        </is>
      </c>
      <c r="B18" s="39" t="inlineStr">
        <is>
          <t>grad_cluster</t>
        </is>
      </c>
      <c r="C18" s="39" t="inlineStr">
        <is>
          <t>BM-21 Grad 122 mm (cluster)</t>
        </is>
      </c>
      <c r="D18" s="42" t="n">
        <v>2.2</v>
      </c>
      <c r="E18" s="42" t="n">
        <v>2.87</v>
      </c>
      <c r="F18" s="56">
        <f>IFERROR(D18/E18,"")</f>
        <v/>
      </c>
      <c r="G18" s="56" t="inlineStr">
        <is>
          <t>mặt đất</t>
        </is>
      </c>
      <c r="H18" s="57" t="n">
        <v>0.8</v>
      </c>
      <c r="I18" s="56">
        <f>IFERROR(MAX(0.8,E18*H18),"")</f>
        <v/>
      </c>
      <c r="J18" s="60">
        <f>IFERROR(D18/I18-1,"")</f>
        <v/>
      </c>
      <c r="K18" s="39">
        <f>IF(ABS(J18)&gt;0.25,"Đổi","Giữ")</f>
        <v/>
      </c>
      <c r="L18" s="39" t="inlineStr">
        <is>
          <t>Tỷ lệ chung: đạn phóng từ mặt đất 0,8 × thật (bằng tỷ lệ xe), phóng từ máy bay 0,5 × thật (máy bay ở 0,4 nên tên lửa không to hơn cánh); tối thiểu 0,8 m để còn nhìn thấy trên điện thoại.</t>
        </is>
      </c>
    </row>
    <row r="19" ht="32.25" customHeight="1" s="32">
      <c r="A19" s="41" t="inlineStr">
        <is>
          <t>griffin</t>
        </is>
      </c>
      <c r="B19" s="41" t="inlineStr">
        <is>
          <t>griffin</t>
        </is>
      </c>
      <c r="C19" s="41" t="inlineStr">
        <is>
          <t>AGM-176 Griffin</t>
        </is>
      </c>
      <c r="D19" s="43" t="n">
        <v>1</v>
      </c>
      <c r="E19" s="43" t="n">
        <v>1.09</v>
      </c>
      <c r="F19" s="58">
        <f>IFERROR(D19/E19,"")</f>
        <v/>
      </c>
      <c r="G19" s="58" t="inlineStr">
        <is>
          <t>máy bay</t>
        </is>
      </c>
      <c r="H19" s="59" t="n">
        <v>0.5</v>
      </c>
      <c r="I19" s="58">
        <f>IFERROR(MAX(0.8,E19*H19),"")</f>
        <v/>
      </c>
      <c r="J19" s="61">
        <f>IFERROR(D19/I19-1,"")</f>
        <v/>
      </c>
      <c r="K19" s="41">
        <f>IF(ABS(J19)&gt;0.25,"Đổi","Giữ")</f>
        <v/>
      </c>
      <c r="L19" s="41" t="inlineStr">
        <is>
          <t>Tỷ lệ chung: đạn phóng từ mặt đất 0,8 × thật (bằng tỷ lệ xe), phóng từ máy bay 0,5 × thật (máy bay ở 0,4 nên tên lửa không to hơn cánh); tối thiểu 0,8 m để còn nhìn thấy trên điện thoại.</t>
        </is>
      </c>
    </row>
    <row r="20" ht="42.75" customHeight="1" s="32">
      <c r="A20" s="39" t="inlineStr">
        <is>
          <t>gbu12</t>
        </is>
      </c>
      <c r="B20" s="39" t="inlineStr">
        <is>
          <t>guided_bomb</t>
        </is>
      </c>
      <c r="C20" s="39" t="inlineStr">
        <is>
          <t>GBU-39 SDB (110 kg)</t>
        </is>
      </c>
      <c r="D20" s="42" t="n">
        <v>2.2</v>
      </c>
      <c r="E20" s="42" t="n">
        <v>1.8</v>
      </c>
      <c r="F20" s="56">
        <f>IFERROR(D20/E20,"")</f>
        <v/>
      </c>
      <c r="G20" s="56" t="inlineStr">
        <is>
          <t>máy bay</t>
        </is>
      </c>
      <c r="H20" s="57" t="n">
        <v>0.5</v>
      </c>
      <c r="I20" s="56">
        <f>IFERROR(MAX(0.8,E20*H20),"")</f>
        <v/>
      </c>
      <c r="J20" s="60">
        <f>IFERROR(D20/I20-1,"")</f>
        <v/>
      </c>
      <c r="K20" s="39">
        <f>IF(ABS(J20)&gt;0.25,"Đổi","Giữ")</f>
        <v/>
      </c>
      <c r="L20" s="39" t="inlineStr">
        <is>
          <t>Dùng model "gbu12" (bom 227 kg) cho GBU-39 SDB (bom nhỏ 110 kg, thân mảnh có cánh gập): cần model riêng. Tỷ lệ chung: đạn phóng từ mặt đất 0,8 × thật (bằng tỷ lệ xe), phóng từ máy bay 0,5 × thật (máy bay ở 0,4 nên tên lửa không to hơn cánh); tối thiểu 0,8 m để còn nhìn thấy trên điện thoại.</t>
        </is>
      </c>
    </row>
    <row r="21" ht="32.25" customHeight="1" s="32">
      <c r="A21" s="41" t="inlineStr">
        <is>
          <t>hellfire</t>
        </is>
      </c>
      <c r="B21" s="41" t="inlineStr">
        <is>
          <t>heli_atgm</t>
        </is>
      </c>
      <c r="C21" s="41" t="inlineStr">
        <is>
          <t>AGM-114 Hellfire</t>
        </is>
      </c>
      <c r="D21" s="43" t="n">
        <v>0.87</v>
      </c>
      <c r="E21" s="43" t="n">
        <v>1.63</v>
      </c>
      <c r="F21" s="58">
        <f>IFERROR(D21/E21,"")</f>
        <v/>
      </c>
      <c r="G21" s="58" t="inlineStr">
        <is>
          <t>máy bay</t>
        </is>
      </c>
      <c r="H21" s="59" t="n">
        <v>0.5</v>
      </c>
      <c r="I21" s="58">
        <f>IFERROR(MAX(0.8,E21*H21),"")</f>
        <v/>
      </c>
      <c r="J21" s="61">
        <f>IFERROR(D21/I21-1,"")</f>
        <v/>
      </c>
      <c r="K21" s="41">
        <f>IF(ABS(J21)&gt;0.25,"Đổi","Giữ")</f>
        <v/>
      </c>
      <c r="L21" s="41" t="inlineStr">
        <is>
          <t>Tỷ lệ chung: đạn phóng từ mặt đất 0,8 × thật (bằng tỷ lệ xe), phóng từ máy bay 0,5 × thật (máy bay ở 0,4 nên tên lửa không to hơn cánh); tối thiểu 0,8 m để còn nhìn thấy trên điện thoại.</t>
        </is>
      </c>
    </row>
    <row r="22" ht="32.25" customHeight="1" s="32">
      <c r="A22" s="39" t="inlineStr">
        <is>
          <t>hydra</t>
        </is>
      </c>
      <c r="B22" s="39" t="inlineStr">
        <is>
          <t>heli_rockets</t>
        </is>
      </c>
      <c r="C22" s="39" t="inlineStr">
        <is>
          <t>Hydra 70 mm</t>
        </is>
      </c>
      <c r="D22" s="42" t="n">
        <v>1</v>
      </c>
      <c r="E22" s="42" t="n">
        <v>1.06</v>
      </c>
      <c r="F22" s="56">
        <f>IFERROR(D22/E22,"")</f>
        <v/>
      </c>
      <c r="G22" s="56" t="inlineStr">
        <is>
          <t>máy bay</t>
        </is>
      </c>
      <c r="H22" s="57" t="n">
        <v>0.5</v>
      </c>
      <c r="I22" s="56">
        <f>IFERROR(MAX(0.8,E22*H22),"")</f>
        <v/>
      </c>
      <c r="J22" s="60">
        <f>IFERROR(D22/I22-1,"")</f>
        <v/>
      </c>
      <c r="K22" s="39">
        <f>IF(ABS(J22)&gt;0.25,"Đổi","Giữ")</f>
        <v/>
      </c>
      <c r="L22" s="39" t="inlineStr">
        <is>
          <t>Tỷ lệ chung: đạn phóng từ mặt đất 0,8 × thật (bằng tỷ lệ xe), phóng từ máy bay 0,5 × thật (máy bay ở 0,4 nên tên lửa không to hơn cánh); tối thiểu 0,8 m để còn nhìn thấy trên điện thoại.</t>
        </is>
      </c>
    </row>
    <row r="23" ht="32.25" customHeight="1" s="32">
      <c r="A23" s="41" t="inlineStr">
        <is>
          <t>hellfire_longbow</t>
        </is>
      </c>
      <c r="B23" s="41" t="inlineStr">
        <is>
          <t>hellfire_standoff</t>
        </is>
      </c>
      <c r="C23" s="41" t="inlineStr">
        <is>
          <t>AGM-114L Hellfire Longbow</t>
        </is>
      </c>
      <c r="D23" s="43" t="n">
        <v>0.91</v>
      </c>
      <c r="E23" s="43" t="n">
        <v>1.78</v>
      </c>
      <c r="F23" s="58">
        <f>IFERROR(D23/E23,"")</f>
        <v/>
      </c>
      <c r="G23" s="58" t="inlineStr">
        <is>
          <t>máy bay</t>
        </is>
      </c>
      <c r="H23" s="59" t="n">
        <v>0.5</v>
      </c>
      <c r="I23" s="58">
        <f>IFERROR(MAX(0.8,E23*H23),"")</f>
        <v/>
      </c>
      <c r="J23" s="61">
        <f>IFERROR(D23/I23-1,"")</f>
        <v/>
      </c>
      <c r="K23" s="41">
        <f>IF(ABS(J23)&gt;0.25,"Đổi","Giữ")</f>
        <v/>
      </c>
      <c r="L23" s="41" t="inlineStr">
        <is>
          <t>Tỷ lệ chung: đạn phóng từ mặt đất 0,8 × thật (bằng tỷ lệ xe), phóng từ máy bay 0,5 × thật (máy bay ở 0,4 nên tên lửa không to hơn cánh); tối thiểu 0,8 m để còn nhìn thấy trên điện thoại.</t>
        </is>
      </c>
    </row>
    <row r="24" ht="32.25" customHeight="1" s="32">
      <c r="A24" s="39" t="inlineStr">
        <is>
          <t>jassm</t>
        </is>
      </c>
      <c r="B24" s="39" t="inlineStr">
        <is>
          <t>jassm</t>
        </is>
      </c>
      <c r="C24" s="39" t="inlineStr">
        <is>
          <t>AGM-158 JASSM (450 kg)</t>
        </is>
      </c>
      <c r="D24" s="42" t="n">
        <v>3.01</v>
      </c>
      <c r="E24" s="42" t="n">
        <v>4.27</v>
      </c>
      <c r="F24" s="56">
        <f>IFERROR(D24/E24,"")</f>
        <v/>
      </c>
      <c r="G24" s="56" t="inlineStr">
        <is>
          <t>máy bay</t>
        </is>
      </c>
      <c r="H24" s="57" t="n">
        <v>0.5</v>
      </c>
      <c r="I24" s="56">
        <f>IFERROR(MAX(0.8,E24*H24),"")</f>
        <v/>
      </c>
      <c r="J24" s="60">
        <f>IFERROR(D24/I24-1,"")</f>
        <v/>
      </c>
      <c r="K24" s="39">
        <f>IF(ABS(J24)&gt;0.25,"Đổi","Giữ")</f>
        <v/>
      </c>
      <c r="L24" s="39" t="inlineStr">
        <is>
          <t>Tỷ lệ chung: đạn phóng từ mặt đất 0,8 × thật (bằng tỷ lệ xe), phóng từ máy bay 0,5 × thật (máy bay ở 0,4 nên tên lửa không to hơn cánh); tối thiểu 0,8 m để còn nhìn thấy trên điện thoại.</t>
        </is>
      </c>
    </row>
    <row r="25" ht="32.25" customHeight="1" s="32">
      <c r="A25" s="41" t="inlineStr">
        <is>
          <t>bomb_fab</t>
        </is>
      </c>
      <c r="B25" s="41" t="inlineStr">
        <is>
          <t>jet_bombs</t>
        </is>
      </c>
      <c r="C25" s="41" t="inlineStr">
        <is>
          <t>FAB-250 (250 kg)</t>
        </is>
      </c>
      <c r="D25" s="43" t="n">
        <v>1.8</v>
      </c>
      <c r="E25" s="43" t="n">
        <v>1.96</v>
      </c>
      <c r="F25" s="58">
        <f>IFERROR(D25/E25,"")</f>
        <v/>
      </c>
      <c r="G25" s="58" t="inlineStr">
        <is>
          <t>máy bay</t>
        </is>
      </c>
      <c r="H25" s="59" t="n">
        <v>0.5</v>
      </c>
      <c r="I25" s="58">
        <f>IFERROR(MAX(0.8,E25*H25),"")</f>
        <v/>
      </c>
      <c r="J25" s="61">
        <f>IFERROR(D25/I25-1,"")</f>
        <v/>
      </c>
      <c r="K25" s="41">
        <f>IF(ABS(J25)&gt;0.25,"Đổi","Giữ")</f>
        <v/>
      </c>
      <c r="L25" s="41" t="inlineStr">
        <is>
          <t>Tỷ lệ chung: đạn phóng từ mặt đất 0,8 × thật (bằng tỷ lệ xe), phóng từ máy bay 0,5 × thật (máy bay ở 0,4 nên tên lửa không to hơn cánh); tối thiểu 0,8 m để còn nhìn thấy trên điện thoại.</t>
        </is>
      </c>
    </row>
    <row r="26" ht="42.75" customHeight="1" s="32">
      <c r="A26" s="39" t="inlineStr">
        <is>
          <t>maverick</t>
        </is>
      </c>
      <c r="B26" s="39" t="inlineStr">
        <is>
          <t>kh29</t>
        </is>
      </c>
      <c r="C26" s="39" t="inlineStr">
        <is>
          <t>Kh-29L</t>
        </is>
      </c>
      <c r="D26" s="42" t="n">
        <v>1.16</v>
      </c>
      <c r="E26" s="42" t="n">
        <v>3.9</v>
      </c>
      <c r="F26" s="56">
        <f>IFERROR(D26/E26,"")</f>
        <v/>
      </c>
      <c r="G26" s="56" t="inlineStr">
        <is>
          <t>máy bay</t>
        </is>
      </c>
      <c r="H26" s="57" t="n">
        <v>0.5</v>
      </c>
      <c r="I26" s="56">
        <f>IFERROR(MAX(0.8,E26*H26),"")</f>
        <v/>
      </c>
      <c r="J26" s="60">
        <f>IFERROR(D26/I26-1,"")</f>
        <v/>
      </c>
      <c r="K26" s="39">
        <f>IF(ABS(J26)&gt;0.25,"Đổi","Giữ")</f>
        <v/>
      </c>
      <c r="L26" s="39" t="inlineStr">
        <is>
          <t>Dùng model "maverick" (AGM-65) cho Kh-29L: cần model riêng (Kh-29 dài và to hơn nhiều). Tỷ lệ chung: đạn phóng từ mặt đất 0,8 × thật (bằng tỷ lệ xe), phóng từ máy bay 0,5 × thật (máy bay ở 0,4 nên tên lửa không to hơn cánh); tối thiểu 0,8 m để còn nhìn thấy trên điện thoại.</t>
        </is>
      </c>
    </row>
    <row r="27" ht="32.25" customHeight="1" s="32">
      <c r="A27" s="41" t="inlineStr">
        <is>
          <t>lancet</t>
        </is>
      </c>
      <c r="B27" s="41" t="inlineStr">
        <is>
          <t>lancet</t>
        </is>
      </c>
      <c r="C27" s="41" t="inlineStr">
        <is>
          <t>ZALA Lancet-3 (3 kg)</t>
        </is>
      </c>
      <c r="D27" s="43" t="n">
        <v>1.4</v>
      </c>
      <c r="E27" s="43" t="n">
        <v>1.65</v>
      </c>
      <c r="F27" s="58">
        <f>IFERROR(D27/E27,"")</f>
        <v/>
      </c>
      <c r="G27" s="58" t="inlineStr">
        <is>
          <t>mặt đất</t>
        </is>
      </c>
      <c r="H27" s="59" t="n">
        <v>0.8</v>
      </c>
      <c r="I27" s="58">
        <f>IFERROR(MAX(0.8,E27*H27),"")</f>
        <v/>
      </c>
      <c r="J27" s="61">
        <f>IFERROR(D27/I27-1,"")</f>
        <v/>
      </c>
      <c r="K27" s="41">
        <f>IF(ABS(J27)&gt;0.25,"Đổi","Giữ")</f>
        <v/>
      </c>
      <c r="L27" s="41" t="inlineStr">
        <is>
          <t>Tỷ lệ chung: đạn phóng từ mặt đất 0,8 × thật (bằng tỷ lệ xe), phóng từ máy bay 0,5 × thật (máy bay ở 0,4 nên tên lửa không to hơn cánh); tối thiểu 0,8 m để còn nhìn thấy trên điện thoại.</t>
        </is>
      </c>
    </row>
    <row r="28" ht="32.25" customHeight="1" s="32">
      <c r="A28" s="39" t="inlineStr">
        <is>
          <t>shell_155</t>
        </is>
      </c>
      <c r="B28" s="39" t="inlineStr">
        <is>
          <t>leviathan_460</t>
        </is>
      </c>
      <c r="C28" s="39" t="inlineStr">
        <is>
          <t>Type 94 460 mm/45 (triple)</t>
        </is>
      </c>
      <c r="D28" s="42" t="n">
        <v>2.2</v>
      </c>
      <c r="E28" s="42" t="n">
        <v>1.95</v>
      </c>
      <c r="F28" s="56">
        <f>IFERROR(D28/E28,"")</f>
        <v/>
      </c>
      <c r="G28" s="56" t="inlineStr">
        <is>
          <t>mặt đất</t>
        </is>
      </c>
      <c r="H28" s="57" t="n">
        <v>0.8</v>
      </c>
      <c r="I28" s="56">
        <f>IFERROR(MAX(0.8,E28*H28),"")</f>
        <v/>
      </c>
      <c r="J28" s="60">
        <f>IFERROR(D28/I28-1,"")</f>
        <v/>
      </c>
      <c r="K28" s="39">
        <f>IF(ABS(J28)&gt;0.25,"Đổi","Giữ")</f>
        <v/>
      </c>
      <c r="L28" s="39" t="inlineStr">
        <is>
          <t>Tỷ lệ chung: đạn phóng từ mặt đất 0,8 × thật (bằng tỷ lệ xe), phóng từ máy bay 0,5 × thật (máy bay ở 0,4 nên tên lửa không to hơn cánh); tối thiểu 0,8 m để còn nhìn thấy trên điện thoại.</t>
        </is>
      </c>
    </row>
    <row r="29" ht="32.25" customHeight="1" s="32">
      <c r="A29" s="41" t="inlineStr">
        <is>
          <t>gmlrs</t>
        </is>
      </c>
      <c r="B29" s="41" t="inlineStr">
        <is>
          <t>mlrs_elite</t>
        </is>
      </c>
      <c r="C29" s="41" t="inlineStr">
        <is>
          <t>M30 GMLRS 227 mm (cluster)</t>
        </is>
      </c>
      <c r="D29" s="43" t="n">
        <v>2.8</v>
      </c>
      <c r="E29" s="43" t="n">
        <v>3.94</v>
      </c>
      <c r="F29" s="58">
        <f>IFERROR(D29/E29,"")</f>
        <v/>
      </c>
      <c r="G29" s="58" t="inlineStr">
        <is>
          <t>mặt đất</t>
        </is>
      </c>
      <c r="H29" s="59" t="n">
        <v>0.8</v>
      </c>
      <c r="I29" s="58">
        <f>IFERROR(MAX(0.8,E29*H29),"")</f>
        <v/>
      </c>
      <c r="J29" s="61">
        <f>IFERROR(D29/I29-1,"")</f>
        <v/>
      </c>
      <c r="K29" s="41">
        <f>IF(ABS(J29)&gt;0.25,"Đổi","Giữ")</f>
        <v/>
      </c>
      <c r="L29" s="41" t="inlineStr">
        <is>
          <t>Tỷ lệ chung: đạn phóng từ mặt đất 0,8 × thật (bằng tỷ lệ xe), phóng từ máy bay 0,5 × thật (máy bay ở 0,4 nên tên lửa không to hơn cánh); tối thiểu 0,8 m để còn nhìn thấy trên điện thoại.</t>
        </is>
      </c>
    </row>
    <row r="30" ht="32.25" customHeight="1" s="32">
      <c r="A30" s="39" t="inlineStr">
        <is>
          <t>mortar_bomb</t>
        </is>
      </c>
      <c r="B30" s="39" t="inlineStr">
        <is>
          <t>mortar_120</t>
        </is>
      </c>
      <c r="C30" s="39" t="inlineStr">
        <is>
          <t>2B11 120 mm</t>
        </is>
      </c>
      <c r="D30" s="42" t="n">
        <v>0.9</v>
      </c>
      <c r="E30" s="42" t="n">
        <v>0.7</v>
      </c>
      <c r="F30" s="56">
        <f>IFERROR(D30/E30,"")</f>
        <v/>
      </c>
      <c r="G30" s="56" t="inlineStr">
        <is>
          <t>mặt đất</t>
        </is>
      </c>
      <c r="H30" s="57" t="n">
        <v>0.8</v>
      </c>
      <c r="I30" s="56">
        <f>IFERROR(MAX(0.8,E30*H30),"")</f>
        <v/>
      </c>
      <c r="J30" s="60">
        <f>IFERROR(D30/I30-1,"")</f>
        <v/>
      </c>
      <c r="K30" s="39">
        <f>IF(ABS(J30)&gt;0.25,"Đổi","Giữ")</f>
        <v/>
      </c>
      <c r="L30" s="39" t="inlineStr">
        <is>
          <t>Tỷ lệ chung: đạn phóng từ mặt đất 0,8 × thật (bằng tỷ lệ xe), phóng từ máy bay 0,5 × thật (máy bay ở 0,4 nên tên lửa không to hơn cánh); tối thiểu 0,8 m để còn nhìn thấy trên điện thoại.</t>
        </is>
      </c>
    </row>
    <row r="31" ht="32.25" customHeight="1" s="32">
      <c r="A31" s="41" t="inlineStr">
        <is>
          <t>mortar_bomb</t>
        </is>
      </c>
      <c r="B31" s="41" t="inlineStr">
        <is>
          <t>mortar_240_fixed</t>
        </is>
      </c>
      <c r="C31" s="41" t="inlineStr">
        <is>
          <t>2B8 240 mm (emplacement)</t>
        </is>
      </c>
      <c r="D31" s="43" t="n">
        <v>1.62</v>
      </c>
      <c r="E31" s="43" t="n">
        <v>1.5</v>
      </c>
      <c r="F31" s="58">
        <f>IFERROR(D31/E31,"")</f>
        <v/>
      </c>
      <c r="G31" s="58" t="inlineStr">
        <is>
          <t>mặt đất</t>
        </is>
      </c>
      <c r="H31" s="59" t="n">
        <v>0.8</v>
      </c>
      <c r="I31" s="58">
        <f>IFERROR(MAX(0.8,E31*H31),"")</f>
        <v/>
      </c>
      <c r="J31" s="61">
        <f>IFERROR(D31/I31-1,"")</f>
        <v/>
      </c>
      <c r="K31" s="41">
        <f>IF(ABS(J31)&gt;0.25,"Đổi","Giữ")</f>
        <v/>
      </c>
      <c r="L31" s="41" t="inlineStr">
        <is>
          <t>Tỷ lệ chung: đạn phóng từ mặt đất 0,8 × thật (bằng tỷ lệ xe), phóng từ máy bay 0,5 × thật (máy bay ở 0,4 nên tên lửa không to hơn cánh); tối thiểu 0,8 m để còn nhìn thấy trên điện thoại.</t>
        </is>
      </c>
    </row>
    <row r="32" ht="32.25" customHeight="1" s="32">
      <c r="A32" s="39" t="inlineStr">
        <is>
          <t>patriot</t>
        </is>
      </c>
      <c r="B32" s="39" t="inlineStr">
        <is>
          <t>patriot</t>
        </is>
      </c>
      <c r="C32" s="39" t="inlineStr">
        <is>
          <t>MIM-104 Patriot PAC-2</t>
        </is>
      </c>
      <c r="D32" s="42" t="n">
        <v>3.13</v>
      </c>
      <c r="E32" s="42" t="n">
        <v>5.3</v>
      </c>
      <c r="F32" s="56">
        <f>IFERROR(D32/E32,"")</f>
        <v/>
      </c>
      <c r="G32" s="56" t="inlineStr">
        <is>
          <t>mặt đất</t>
        </is>
      </c>
      <c r="H32" s="57" t="n">
        <v>0.8</v>
      </c>
      <c r="I32" s="56">
        <f>IFERROR(MAX(0.8,E32*H32),"")</f>
        <v/>
      </c>
      <c r="J32" s="60">
        <f>IFERROR(D32/I32-1,"")</f>
        <v/>
      </c>
      <c r="K32" s="39">
        <f>IF(ABS(J32)&gt;0.25,"Đổi","Giữ")</f>
        <v/>
      </c>
      <c r="L32" s="39" t="inlineStr">
        <is>
          <t>Tỷ lệ chung: đạn phóng từ mặt đất 0,8 × thật (bằng tỷ lệ xe), phóng từ máy bay 0,5 × thật (máy bay ở 0,4 nên tên lửa không to hơn cánh); tối thiểu 0,8 m để còn nhìn thấy trên điện thoại.</t>
        </is>
      </c>
    </row>
    <row r="33" ht="32.25" customHeight="1" s="32">
      <c r="A33" s="41" t="inlineStr">
        <is>
          <t>r60</t>
        </is>
      </c>
      <c r="B33" s="41" t="inlineStr">
        <is>
          <t>r60</t>
        </is>
      </c>
      <c r="C33" s="41" t="inlineStr">
        <is>
          <t>R-60</t>
        </is>
      </c>
      <c r="D33" s="43" t="n">
        <v>1.04</v>
      </c>
      <c r="E33" s="43" t="n">
        <v>2.09</v>
      </c>
      <c r="F33" s="58">
        <f>IFERROR(D33/E33,"")</f>
        <v/>
      </c>
      <c r="G33" s="58" t="inlineStr">
        <is>
          <t>máy bay</t>
        </is>
      </c>
      <c r="H33" s="59" t="n">
        <v>0.5</v>
      </c>
      <c r="I33" s="58">
        <f>IFERROR(MAX(0.8,E33*H33),"")</f>
        <v/>
      </c>
      <c r="J33" s="61">
        <f>IFERROR(D33/I33-1,"")</f>
        <v/>
      </c>
      <c r="K33" s="41">
        <f>IF(ABS(J33)&gt;0.25,"Đổi","Giữ")</f>
        <v/>
      </c>
      <c r="L33" s="41" t="inlineStr">
        <is>
          <t>Tỷ lệ chung: đạn phóng từ mặt đất 0,8 × thật (bằng tỷ lệ xe), phóng từ máy bay 0,5 × thật (máy bay ở 0,4 nên tên lửa không to hơn cánh); tối thiểu 0,8 m để còn nhìn thấy trên điện thoại.</t>
        </is>
      </c>
    </row>
    <row r="34" ht="32.25" customHeight="1" s="32">
      <c r="A34" s="39" t="inlineStr">
        <is>
          <t>mam_l</t>
        </is>
      </c>
      <c r="B34" s="39" t="inlineStr">
        <is>
          <t>recon_missile</t>
        </is>
      </c>
      <c r="C34" s="39" t="inlineStr">
        <is>
          <t>MAM-L</t>
        </is>
      </c>
      <c r="D34" s="42" t="n">
        <v>0.6</v>
      </c>
      <c r="E34" s="42" t="n">
        <v>1</v>
      </c>
      <c r="F34" s="56">
        <f>IFERROR(D34/E34,"")</f>
        <v/>
      </c>
      <c r="G34" s="56" t="inlineStr">
        <is>
          <t>máy bay</t>
        </is>
      </c>
      <c r="H34" s="57" t="n">
        <v>0.5</v>
      </c>
      <c r="I34" s="56">
        <f>IFERROR(MAX(0.8,E34*H34),"")</f>
        <v/>
      </c>
      <c r="J34" s="60">
        <f>IFERROR(D34/I34-1,"")</f>
        <v/>
      </c>
      <c r="K34" s="39">
        <f>IF(ABS(J34)&gt;0.25,"Đổi","Giữ")</f>
        <v/>
      </c>
      <c r="L34" s="39" t="inlineStr">
        <is>
          <t>Tỷ lệ chung: đạn phóng từ mặt đất 0,8 × thật (bằng tỷ lệ xe), phóng từ máy bay 0,5 × thật (máy bay ở 0,4 nên tên lửa không to hơn cánh); tối thiểu 0,8 m để còn nhìn thấy trên điện thoại.</t>
        </is>
      </c>
    </row>
    <row r="35" ht="32.25" customHeight="1" s="32">
      <c r="A35" s="41" t="inlineStr">
        <is>
          <t>shorad_dart</t>
        </is>
      </c>
      <c r="B35" s="41" t="inlineStr">
        <is>
          <t>sam</t>
        </is>
      </c>
      <c r="C35" s="41" t="inlineStr">
        <is>
          <t>Starstreak / Stinger SHORAD</t>
        </is>
      </c>
      <c r="D35" s="43" t="n">
        <v>1.65</v>
      </c>
      <c r="E35" s="43" t="n">
        <v>1.52</v>
      </c>
      <c r="F35" s="58">
        <f>IFERROR(D35/E35,"")</f>
        <v/>
      </c>
      <c r="G35" s="58" t="inlineStr">
        <is>
          <t>mặt đất</t>
        </is>
      </c>
      <c r="H35" s="59" t="n">
        <v>0.8</v>
      </c>
      <c r="I35" s="58">
        <f>IFERROR(MAX(0.8,E35*H35),"")</f>
        <v/>
      </c>
      <c r="J35" s="61">
        <f>IFERROR(D35/I35-1,"")</f>
        <v/>
      </c>
      <c r="K35" s="41">
        <f>IF(ABS(J35)&gt;0.25,"Đổi","Giữ")</f>
        <v/>
      </c>
      <c r="L35" s="41" t="inlineStr">
        <is>
          <t>Tỷ lệ chung: đạn phóng từ mặt đất 0,8 × thật (bằng tỷ lệ xe), phóng từ máy bay 0,5 × thật (máy bay ở 0,4 nên tên lửa không to hơn cánh); tối thiểu 0,8 m để còn nhìn thấy trên điện thoại.</t>
        </is>
      </c>
    </row>
    <row r="36" ht="32.25" customHeight="1" s="32">
      <c r="A36" s="39" t="inlineStr">
        <is>
          <t>patriot</t>
        </is>
      </c>
      <c r="B36" s="39" t="inlineStr">
        <is>
          <t>sam_48n6</t>
        </is>
      </c>
      <c r="C36" s="39" t="inlineStr">
        <is>
          <t>S-400 48N6</t>
        </is>
      </c>
      <c r="D36" s="42" t="n">
        <v>4.42</v>
      </c>
      <c r="E36" s="42" t="n">
        <v>7.5</v>
      </c>
      <c r="F36" s="56">
        <f>IFERROR(D36/E36,"")</f>
        <v/>
      </c>
      <c r="G36" s="56" t="inlineStr">
        <is>
          <t>mặt đất</t>
        </is>
      </c>
      <c r="H36" s="57" t="n">
        <v>0.8</v>
      </c>
      <c r="I36" s="56">
        <f>IFERROR(MAX(0.8,E36*H36),"")</f>
        <v/>
      </c>
      <c r="J36" s="60">
        <f>IFERROR(D36/I36-1,"")</f>
        <v/>
      </c>
      <c r="K36" s="39">
        <f>IF(ABS(J36)&gt;0.25,"Đổi","Giữ")</f>
        <v/>
      </c>
      <c r="L36" s="39" t="inlineStr">
        <is>
          <t>Tỷ lệ chung: đạn phóng từ mặt đất 0,8 × thật (bằng tỷ lệ xe), phóng từ máy bay 0,5 × thật (máy bay ở 0,4 nên tên lửa không to hơn cánh); tối thiểu 0,8 m để còn nhìn thấy trên điện thoại.</t>
        </is>
      </c>
    </row>
    <row r="37" ht="32.25" customHeight="1" s="32">
      <c r="A37" s="41" t="inlineStr">
        <is>
          <t>hydra</t>
        </is>
      </c>
      <c r="B37" s="41" t="inlineStr">
        <is>
          <t>scout_rockets</t>
        </is>
      </c>
      <c r="C37" s="41" t="inlineStr">
        <is>
          <t>Hydra 70 mm</t>
        </is>
      </c>
      <c r="D37" s="43" t="n">
        <v>0.72</v>
      </c>
      <c r="E37" s="43" t="n">
        <v>1.06</v>
      </c>
      <c r="F37" s="58">
        <f>IFERROR(D37/E37,"")</f>
        <v/>
      </c>
      <c r="G37" s="58" t="inlineStr">
        <is>
          <t>máy bay</t>
        </is>
      </c>
      <c r="H37" s="59" t="n">
        <v>0.5</v>
      </c>
      <c r="I37" s="58">
        <f>IFERROR(MAX(0.8,E37*H37),"")</f>
        <v/>
      </c>
      <c r="J37" s="61">
        <f>IFERROR(D37/I37-1,"")</f>
        <v/>
      </c>
      <c r="K37" s="41">
        <f>IF(ABS(J37)&gt;0.25,"Đổi","Giữ")</f>
        <v/>
      </c>
      <c r="L37" s="41" t="inlineStr">
        <is>
          <t>Tỷ lệ chung: đạn phóng từ mặt đất 0,8 × thật (bằng tỷ lệ xe), phóng từ máy bay 0,5 × thật (máy bay ở 0,4 nên tên lửa không to hơn cánh); tối thiểu 0,8 m để còn nhìn thấy trên điện thoại.</t>
        </is>
      </c>
    </row>
    <row r="38" ht="32.25" customHeight="1" s="32">
      <c r="A38" s="39" t="inlineStr">
        <is>
          <t>shahed</t>
        </is>
      </c>
      <c r="B38" s="39" t="inlineStr">
        <is>
          <t>shahed</t>
        </is>
      </c>
      <c r="C38" s="39" t="inlineStr">
        <is>
          <t>Shahed-136 (50 kg)</t>
        </is>
      </c>
      <c r="D38" s="42" t="n">
        <v>2.6</v>
      </c>
      <c r="E38" s="42" t="n">
        <v>3.5</v>
      </c>
      <c r="F38" s="56">
        <f>IFERROR(D38/E38,"")</f>
        <v/>
      </c>
      <c r="G38" s="56" t="inlineStr">
        <is>
          <t>mặt đất</t>
        </is>
      </c>
      <c r="H38" s="57" t="n">
        <v>0.8</v>
      </c>
      <c r="I38" s="56">
        <f>IFERROR(MAX(0.8,E38*H38),"")</f>
        <v/>
      </c>
      <c r="J38" s="60">
        <f>IFERROR(D38/I38-1,"")</f>
        <v/>
      </c>
      <c r="K38" s="39">
        <f>IF(ABS(J38)&gt;0.25,"Đổi","Giữ")</f>
        <v/>
      </c>
      <c r="L38" s="39" t="inlineStr">
        <is>
          <t>Tỷ lệ chung: đạn phóng từ mặt đất 0,8 × thật (bằng tỷ lệ xe), phóng từ máy bay 0,5 × thật (máy bay ở 0,4 nên tên lửa không to hơn cánh); tối thiểu 0,8 m để còn nhìn thấy trên điện thoại.</t>
        </is>
      </c>
    </row>
    <row r="39" ht="32.25" customHeight="1" s="32">
      <c r="A39" s="41" t="inlineStr">
        <is>
          <t>jdam</t>
        </is>
      </c>
      <c r="B39" s="41" t="inlineStr">
        <is>
          <t>stealth_payload</t>
        </is>
      </c>
      <c r="C39" s="41" t="inlineStr">
        <is>
          <t>GBU-31 JDAM (907 kg)</t>
        </is>
      </c>
      <c r="D39" s="43" t="n">
        <v>2.7</v>
      </c>
      <c r="E39" s="43" t="n">
        <v>3.88</v>
      </c>
      <c r="F39" s="58">
        <f>IFERROR(D39/E39,"")</f>
        <v/>
      </c>
      <c r="G39" s="58" t="inlineStr">
        <is>
          <t>máy bay</t>
        </is>
      </c>
      <c r="H39" s="59" t="n">
        <v>0.5</v>
      </c>
      <c r="I39" s="58">
        <f>IFERROR(MAX(0.8,E39*H39),"")</f>
        <v/>
      </c>
      <c r="J39" s="61">
        <f>IFERROR(D39/I39-1,"")</f>
        <v/>
      </c>
      <c r="K39" s="41">
        <f>IF(ABS(J39)&gt;0.25,"Đổi","Giữ")</f>
        <v/>
      </c>
      <c r="L39" s="41" t="inlineStr">
        <is>
          <t>Tỷ lệ chung: đạn phóng từ mặt đất 0,8 × thật (bằng tỷ lệ xe), phóng từ máy bay 0,5 × thật (máy bay ở 0,4 nên tên lửa không to hơn cánh); tối thiểu 0,8 m để còn nhìn thấy trên điện thoại.</t>
        </is>
      </c>
    </row>
    <row r="40" ht="32.25" customHeight="1" s="32">
      <c r="A40" s="39" t="inlineStr">
        <is>
          <t>stinger</t>
        </is>
      </c>
      <c r="B40" s="39" t="inlineStr">
        <is>
          <t>stinger_atas</t>
        </is>
      </c>
      <c r="C40" s="39" t="inlineStr">
        <is>
          <t>FIM-92 Stinger (ATAS)</t>
        </is>
      </c>
      <c r="D40" s="42" t="n">
        <v>0.91</v>
      </c>
      <c r="E40" s="42" t="n">
        <v>1.52</v>
      </c>
      <c r="F40" s="56">
        <f>IFERROR(D40/E40,"")</f>
        <v/>
      </c>
      <c r="G40" s="56" t="inlineStr">
        <is>
          <t>máy bay</t>
        </is>
      </c>
      <c r="H40" s="57" t="n">
        <v>0.5</v>
      </c>
      <c r="I40" s="56">
        <f>IFERROR(MAX(0.8,E40*H40),"")</f>
        <v/>
      </c>
      <c r="J40" s="60">
        <f>IFERROR(D40/I40-1,"")</f>
        <v/>
      </c>
      <c r="K40" s="39">
        <f>IF(ABS(J40)&gt;0.25,"Đổi","Giữ")</f>
        <v/>
      </c>
      <c r="L40" s="39" t="inlineStr">
        <is>
          <t>Tỷ lệ chung: đạn phóng từ mặt đất 0,8 × thật (bằng tỷ lệ xe), phóng từ máy bay 0,5 × thật (máy bay ở 0,4 nên tên lửa không to hơn cánh); tối thiểu 0,8 m để còn nhìn thấy trên điện thoại.</t>
        </is>
      </c>
    </row>
    <row r="41" ht="32.25" customHeight="1" s="32">
      <c r="A41" s="41" t="inlineStr">
        <is>
          <t>fpv_drone</t>
        </is>
      </c>
      <c r="B41" s="41" t="inlineStr">
        <is>
          <t>swarm_drones</t>
        </is>
      </c>
      <c r="C41" s="41" t="inlineStr">
        <is>
          <t>FPV drone (1.5 kg)</t>
        </is>
      </c>
      <c r="D41" s="43" t="n">
        <v>0.55</v>
      </c>
      <c r="E41" s="43" t="n">
        <v>0.5</v>
      </c>
      <c r="F41" s="58">
        <f>IFERROR(D41/E41,"")</f>
        <v/>
      </c>
      <c r="G41" s="58" t="inlineStr">
        <is>
          <t>máy bay</t>
        </is>
      </c>
      <c r="H41" s="59" t="n">
        <v>0.5</v>
      </c>
      <c r="I41" s="58">
        <f>IFERROR(MAX(0.8,E41*H41),"")</f>
        <v/>
      </c>
      <c r="J41" s="61">
        <f>IFERROR(D41/I41-1,"")</f>
        <v/>
      </c>
      <c r="K41" s="41">
        <f>IF(ABS(J41)&gt;0.25,"Đổi","Giữ")</f>
        <v/>
      </c>
      <c r="L41" s="41" t="inlineStr">
        <is>
          <t>Tỷ lệ chung: đạn phóng từ mặt đất 0,8 × thật (bằng tỷ lệ xe), phóng từ máy bay 0,5 × thật (máy bay ở 0,4 nên tên lửa không to hơn cánh); tối thiểu 0,8 m để còn nhìn thấy trên điện thoại.</t>
        </is>
      </c>
    </row>
    <row r="42" ht="32.25" customHeight="1" s="32">
      <c r="A42" s="39" t="inlineStr">
        <is>
          <t>shorad_dart</t>
        </is>
      </c>
      <c r="B42" s="39" t="inlineStr">
        <is>
          <t>tamir</t>
        </is>
      </c>
      <c r="C42" s="39" t="inlineStr">
        <is>
          <t>Tamir interceptor (Iron Dome)</t>
        </is>
      </c>
      <c r="D42" s="42" t="n">
        <v>1.98</v>
      </c>
      <c r="E42" s="42" t="n">
        <v>3</v>
      </c>
      <c r="F42" s="56">
        <f>IFERROR(D42/E42,"")</f>
        <v/>
      </c>
      <c r="G42" s="56" t="inlineStr">
        <is>
          <t>mặt đất</t>
        </is>
      </c>
      <c r="H42" s="57" t="n">
        <v>0.8</v>
      </c>
      <c r="I42" s="56">
        <f>IFERROR(MAX(0.8,E42*H42),"")</f>
        <v/>
      </c>
      <c r="J42" s="60">
        <f>IFERROR(D42/I42-1,"")</f>
        <v/>
      </c>
      <c r="K42" s="39">
        <f>IF(ABS(J42)&gt;0.25,"Đổi","Giữ")</f>
        <v/>
      </c>
      <c r="L42" s="39" t="inlineStr">
        <is>
          <t>Tỷ lệ chung: đạn phóng từ mặt đất 0,8 × thật (bằng tỷ lệ xe), phóng từ máy bay 0,5 × thật (máy bay ở 0,4 nên tên lửa không to hơn cánh); tối thiểu 0,8 m để còn nhìn thấy trên điện thoại.</t>
        </is>
      </c>
    </row>
    <row r="43" ht="32.25" customHeight="1" s="32">
      <c r="A43" s="41" t="inlineStr">
        <is>
          <t>rocket_107</t>
        </is>
      </c>
      <c r="B43" s="41" t="inlineStr">
        <is>
          <t>technical_rockets</t>
        </is>
      </c>
      <c r="C43" s="41" t="inlineStr">
        <is>
          <t>Type 63 107 mm</t>
        </is>
      </c>
      <c r="D43" s="43" t="n">
        <v>0.9</v>
      </c>
      <c r="E43" s="43" t="n">
        <v>0.84</v>
      </c>
      <c r="F43" s="58">
        <f>IFERROR(D43/E43,"")</f>
        <v/>
      </c>
      <c r="G43" s="58" t="inlineStr">
        <is>
          <t>mặt đất</t>
        </is>
      </c>
      <c r="H43" s="59" t="n">
        <v>0.8</v>
      </c>
      <c r="I43" s="58">
        <f>IFERROR(MAX(0.8,E43*H43),"")</f>
        <v/>
      </c>
      <c r="J43" s="61">
        <f>IFERROR(D43/I43-1,"")</f>
        <v/>
      </c>
      <c r="K43" s="41">
        <f>IF(ABS(J43)&gt;0.25,"Đổi","Giữ")</f>
        <v/>
      </c>
      <c r="L43" s="41" t="inlineStr">
        <is>
          <t>Tỷ lệ chung: đạn phóng từ mặt đất 0,8 × thật (bằng tỷ lệ xe), phóng từ máy bay 0,5 × thật (máy bay ở 0,4 nên tên lửa không to hơn cánh); tối thiểu 0,8 m để còn nhìn thấy trên điện thoại.</t>
        </is>
      </c>
    </row>
    <row r="44" ht="32.25" customHeight="1" s="32">
      <c r="A44" s="39" t="inlineStr">
        <is>
          <t>aim9</t>
        </is>
      </c>
      <c r="B44" s="39" t="inlineStr">
        <is>
          <t>wvr_aam</t>
        </is>
      </c>
      <c r="C44" s="39" t="inlineStr">
        <is>
          <t>AIM-9X Sidewinder</t>
        </is>
      </c>
      <c r="D44" s="42" t="n">
        <v>1.76</v>
      </c>
      <c r="E44" s="42" t="n">
        <v>3.02</v>
      </c>
      <c r="F44" s="56">
        <f>IFERROR(D44/E44,"")</f>
        <v/>
      </c>
      <c r="G44" s="56" t="inlineStr">
        <is>
          <t>máy bay</t>
        </is>
      </c>
      <c r="H44" s="57" t="n">
        <v>0.5</v>
      </c>
      <c r="I44" s="56">
        <f>IFERROR(MAX(0.8,E44*H44),"")</f>
        <v/>
      </c>
      <c r="J44" s="60">
        <f>IFERROR(D44/I44-1,"")</f>
        <v/>
      </c>
      <c r="K44" s="39">
        <f>IF(ABS(J44)&gt;0.25,"Đổi","Giữ")</f>
        <v/>
      </c>
      <c r="L44" s="39" t="inlineStr">
        <is>
          <t>Tỷ lệ chung: đạn phóng từ mặt đất 0,8 × thật (bằng tỷ lệ xe), phóng từ máy bay 0,5 × thật (máy bay ở 0,4 nên tên lửa không to hơn cánh); tối thiểu 0,8 m để còn nhìn thấy trên điện thoại.</t>
        </is>
      </c>
    </row>
  </sheetData>
  <autoFilter ref="A1:L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1" min="1" max="1"/>
    <col width="12" customWidth="1" style="31" min="2" max="3"/>
    <col width="14" customWidth="1" style="31" min="4" max="4"/>
  </cols>
  <sheetData>
    <row r="1" ht="42" customHeight="1" s="32">
      <c r="A1" s="37" t="inlineStr">
        <is>
          <t>Loại sát thương</t>
        </is>
      </c>
      <c r="B1" s="37" t="inlineStr">
        <is>
          <t>Lên mặt đất</t>
        </is>
      </c>
      <c r="C1" s="37" t="inlineStr">
        <is>
          <t>Lên máy bay</t>
        </is>
      </c>
      <c r="D1" s="37" t="inlineStr">
        <is>
          <t>Lên công trình</t>
        </is>
      </c>
    </row>
    <row r="2" ht="15" customHeight="1" s="32">
      <c r="A2" s="39" t="inlineStr">
        <is>
          <t>Động năng</t>
        </is>
      </c>
      <c r="B2" s="42" t="n">
        <v>1</v>
      </c>
      <c r="C2" s="42" t="n">
        <v>0.3</v>
      </c>
      <c r="D2" s="42" t="n">
        <v>0.6</v>
      </c>
    </row>
    <row r="3" ht="15" customHeight="1" s="32">
      <c r="A3" s="41" t="inlineStr">
        <is>
          <t>Nổ lõm</t>
        </is>
      </c>
      <c r="B3" s="43" t="n">
        <v>1</v>
      </c>
      <c r="C3" s="43" t="n">
        <v>0.3</v>
      </c>
      <c r="D3" s="43" t="n">
        <v>0.6</v>
      </c>
    </row>
    <row r="4" ht="15" customHeight="1" s="32">
      <c r="A4" s="39" t="inlineStr">
        <is>
          <t>Nổ mạnh</t>
        </is>
      </c>
      <c r="B4" s="42" t="n">
        <v>1</v>
      </c>
      <c r="C4" s="42" t="n">
        <v>0</v>
      </c>
      <c r="D4" s="42" t="n">
        <v>1.5</v>
      </c>
    </row>
    <row r="5" ht="15" customHeight="1" s="32">
      <c r="A5" s="41" t="inlineStr">
        <is>
          <t>Lửa</t>
        </is>
      </c>
      <c r="B5" s="43" t="n">
        <v>1.5</v>
      </c>
      <c r="C5" s="43" t="n">
        <v>0</v>
      </c>
      <c r="D5" s="43" t="n">
        <v>1</v>
      </c>
    </row>
    <row r="6" ht="15" customHeight="1" s="32">
      <c r="A6" s="39" t="inlineStr">
        <is>
          <t>Mảnh</t>
        </is>
      </c>
      <c r="B6" s="42" t="n">
        <v>0.5</v>
      </c>
      <c r="C6" s="42" t="n">
        <v>1.3</v>
      </c>
      <c r="D6" s="42" t="n">
        <v>0.1</v>
      </c>
    </row>
    <row r="7" ht="15" customHeight="1" s="32">
      <c r="A7" s="41" t="inlineStr">
        <is>
          <t>Năng lượng</t>
        </is>
      </c>
      <c r="B7" s="43" t="n">
        <v>1</v>
      </c>
      <c r="C7" s="43" t="n">
        <v>1.5</v>
      </c>
      <c r="D7" s="43" t="n">
        <v>0.5</v>
      </c>
    </row>
    <row r="8" ht="15" customHeight="1" s="32">
      <c r="A8" s="39" t="inlineStr">
        <is>
          <t>—</t>
        </is>
      </c>
      <c r="B8" s="42" t="n">
        <v>0</v>
      </c>
      <c r="C8" s="42" t="n">
        <v>0</v>
      </c>
      <c r="D8" s="42" t="n">
        <v>0</v>
      </c>
    </row>
    <row r="9" ht="15" customHeight="1" s="32">
      <c r="A9" s="41" t="n"/>
      <c r="B9" s="41" t="n"/>
      <c r="C9" s="41" t="n"/>
      <c r="D9" s="41" t="n"/>
    </row>
    <row r="10" ht="15" customHeight="1" s="32">
      <c r="A10" s="39" t="inlineStr">
        <is>
          <t>Chênh xuyên − giáp</t>
        </is>
      </c>
      <c r="B10" s="39" t="inlineStr">
        <is>
          <t>Hệ số</t>
        </is>
      </c>
      <c r="C10" s="39" t="n"/>
      <c r="D10" s="39" t="inlineStr">
        <is>
          <t>Ghi chú</t>
        </is>
      </c>
    </row>
    <row r="11" ht="15" customHeight="1" s="32">
      <c r="A11" s="41" t="inlineStr">
        <is>
          <t>≥ +2</t>
        </is>
      </c>
      <c r="B11" s="43" t="n">
        <v>1.2</v>
      </c>
      <c r="C11" s="41" t="n"/>
      <c r="D11" s="41" t="inlineStr">
        <is>
          <t>Theo prompt 15</t>
        </is>
      </c>
    </row>
    <row r="12" ht="15" customHeight="1" s="32">
      <c r="A12" s="39" t="inlineStr">
        <is>
          <t>+1</t>
        </is>
      </c>
      <c r="B12" s="42" t="n">
        <v>1</v>
      </c>
      <c r="C12" s="39" t="n"/>
      <c r="D12" s="39" t="inlineStr">
        <is>
          <t>Theo prompt 15</t>
        </is>
      </c>
    </row>
    <row r="13" ht="15" customHeight="1" s="32">
      <c r="A13" s="41" t="inlineStr">
        <is>
          <t>0</t>
        </is>
      </c>
      <c r="B13" s="43" t="n">
        <v>0.85</v>
      </c>
      <c r="C13" s="41" t="n"/>
      <c r="D13" s="41" t="inlineStr">
        <is>
          <t>Theo prompt 15</t>
        </is>
      </c>
    </row>
    <row r="14" ht="15" customHeight="1" s="32">
      <c r="A14" s="39" t="inlineStr">
        <is>
          <t>−1</t>
        </is>
      </c>
      <c r="B14" s="42" t="n">
        <v>0.5</v>
      </c>
      <c r="C14" s="39" t="n"/>
      <c r="D14" s="39" t="inlineStr">
        <is>
          <t>Theo prompt 15</t>
        </is>
      </c>
    </row>
    <row r="15" ht="15" customHeight="1" s="32">
      <c r="A15" s="41" t="inlineStr">
        <is>
          <t>−2</t>
        </is>
      </c>
      <c r="B15" s="43" t="n">
        <v>0.25</v>
      </c>
      <c r="C15" s="41" t="n"/>
      <c r="D15" s="41" t="inlineStr">
        <is>
          <t>Theo prompt 15</t>
        </is>
      </c>
    </row>
    <row r="16" ht="15" customHeight="1" s="32">
      <c r="A16" s="39" t="inlineStr">
        <is>
          <t>≤ −3</t>
        </is>
      </c>
      <c r="B16" s="42" t="n">
        <v>0.1</v>
      </c>
      <c r="C16" s="39" t="n"/>
      <c r="D16" s="39" t="inlineStr">
        <is>
          <t>Theo prompt 15</t>
        </is>
      </c>
    </row>
    <row r="17" ht="53.25" customHeight="1" s="32">
      <c r="A17" s="41" t="inlineStr">
        <is>
          <t>Công trình tính như giáp cấp 2; máy bay chỉ nhân hệ số loại sát thương (theo bảng hiệu quả trong game).</t>
        </is>
      </c>
      <c r="B17" s="41" t="n"/>
      <c r="C17" s="41" t="n"/>
      <c r="D17" s="41" t="n"/>
    </row>
  </sheetData>
  <autoFilter ref="A1:D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L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31" min="1" max="1"/>
    <col width="26" customWidth="1" style="31" min="2" max="2"/>
    <col width="11" customWidth="1" style="31" min="3" max="3"/>
    <col width="7" customWidth="1" style="31" min="4" max="4"/>
    <col width="32" customWidth="1" style="31" min="5" max="5"/>
    <col width="18" customWidth="1" style="31" min="6" max="6"/>
    <col width="10" customWidth="1" style="31" min="7" max="10"/>
    <col width="9" customWidth="1" style="31" min="11" max="11"/>
    <col width="60" customWidth="1" style="31" min="12" max="12"/>
  </cols>
  <sheetData>
    <row r="1" ht="42" customHeight="1" s="32">
      <c r="A1" s="37" t="inlineStr">
        <is>
          <t>id</t>
        </is>
      </c>
      <c r="B1" s="37" t="inlineStr">
        <is>
          <t>Tên</t>
        </is>
      </c>
      <c r="C1" s="37" t="inlineStr">
        <is>
          <t>Nhóm (9b)</t>
        </is>
      </c>
      <c r="D1" s="44" t="inlineStr">
        <is>
          <t>CP hiện</t>
        </is>
      </c>
      <c r="E1" s="37" t="inlineStr">
        <is>
          <t>Giá ngoài đời (USD, ước lượng)</t>
        </is>
      </c>
      <c r="F1" s="37" t="inlineStr">
        <is>
          <t>Giá trị dùng để so</t>
        </is>
      </c>
      <c r="G1" s="37" t="inlineStr">
        <is>
          <t>Giá trị thực chiến / CP</t>
        </is>
      </c>
      <c r="H1" s="37" t="inlineStr">
        <is>
          <t>Trung vị nhóm</t>
        </is>
      </c>
      <c r="I1" s="37" t="inlineStr">
        <is>
          <t>Hệ số (giá trị / trung vị)</t>
        </is>
      </c>
      <c r="J1" s="37" t="inlineStr">
        <is>
          <t>CP nếu cân theo hiệu quả</t>
        </is>
      </c>
      <c r="K1" s="45" t="inlineStr">
        <is>
          <t>CP đề xuất</t>
        </is>
      </c>
      <c r="L1" s="46" t="inlineStr">
        <is>
          <t>Lý do</t>
        </is>
      </c>
    </row>
    <row r="2" ht="15" customHeight="1" s="32">
      <c r="A2" s="39" t="inlineStr">
        <is>
          <t>hover_gunboat</t>
        </is>
      </c>
      <c r="B2" s="39" t="inlineStr">
        <is>
          <t>Xuồng cao tốc đệm khí</t>
        </is>
      </c>
      <c r="C2" s="39" t="n"/>
      <c r="D2" s="42" t="n">
        <v>0</v>
      </c>
      <c r="E2" s="39" t="inlineStr">
        <is>
          <t>—</t>
        </is>
      </c>
      <c r="F2" s="39" t="n"/>
      <c r="G2" s="39" t="n"/>
      <c r="H2" s="39" t="n"/>
      <c r="I2" s="56">
        <f>IFERROR(G2/H2,"")</f>
        <v/>
      </c>
      <c r="J2" s="56">
        <f>IFERROR(ROUND(D2*I2,1),"")</f>
        <v/>
      </c>
      <c r="K2" s="42" t="n">
        <v>0</v>
      </c>
      <c r="L2" s="39" t="inlineStr">
        <is>
          <t>Không có số đo (xe hỗ trợ hoặc boss hộ tống).</t>
        </is>
      </c>
    </row>
    <row r="3" ht="15" customHeight="1" s="32">
      <c r="A3" s="41" t="inlineStr">
        <is>
          <t>armored_car</t>
        </is>
      </c>
      <c r="B3" s="41" t="inlineStr">
        <is>
          <t>Xe bọc thép</t>
        </is>
      </c>
      <c r="C3" s="41" t="inlineStr">
        <is>
          <t>Light</t>
        </is>
      </c>
      <c r="D3" s="43" t="n">
        <v>3</v>
      </c>
      <c r="E3" s="41" t="inlineStr">
        <is>
          <t>~1,5 triệu</t>
        </is>
      </c>
      <c r="F3" s="41" t="inlineStr">
        <is>
          <t>nhẹ+tăng</t>
        </is>
      </c>
      <c r="G3" s="43" t="n">
        <v>138</v>
      </c>
      <c r="H3" s="43" t="n">
        <v>156</v>
      </c>
      <c r="I3" s="58">
        <f>IFERROR(G3/H3,"")</f>
        <v/>
      </c>
      <c r="J3" s="58">
        <f>IFERROR(ROUND(D3*I3,1),"")</f>
        <v/>
      </c>
      <c r="K3" s="43" t="n">
        <v>3</v>
      </c>
      <c r="L3" s="41" t="inlineStr">
        <is>
          <t>Giữ: hiệu quả trong khoảng ±25% trung vị, và thứ tự giá hợp với ngoài đời.</t>
        </is>
      </c>
    </row>
    <row r="4" ht="15" customHeight="1" s="32">
      <c r="A4" s="39" t="inlineStr">
        <is>
          <t>ifv</t>
        </is>
      </c>
      <c r="B4" s="39" t="inlineStr">
        <is>
          <t>Xe chiến đấu bộ binh</t>
        </is>
      </c>
      <c r="C4" s="39" t="inlineStr">
        <is>
          <t>Light</t>
        </is>
      </c>
      <c r="D4" s="42" t="n">
        <v>6</v>
      </c>
      <c r="E4" s="39" t="inlineStr">
        <is>
          <t>~2–4 triệu (BMP-3 / Bradley)</t>
        </is>
      </c>
      <c r="F4" s="39" t="inlineStr">
        <is>
          <t>nhẹ+tăng</t>
        </is>
      </c>
      <c r="G4" s="42" t="n">
        <v>174</v>
      </c>
      <c r="H4" s="42" t="n">
        <v>156</v>
      </c>
      <c r="I4" s="56">
        <f>IFERROR(G4/H4,"")</f>
        <v/>
      </c>
      <c r="J4" s="56">
        <f>IFERROR(ROUND(D4*I4,1),"")</f>
        <v/>
      </c>
      <c r="K4" s="42" t="n">
        <v>6</v>
      </c>
      <c r="L4" s="39" t="inlineStr">
        <is>
          <t>Giữ: hiệu quả trong khoảng ±25% trung vị, và thứ tự giá hợp với ngoài đời.</t>
        </is>
      </c>
    </row>
    <row r="5" ht="15" customHeight="1" s="32">
      <c r="A5" s="41" t="inlineStr">
        <is>
          <t>supply_truck</t>
        </is>
      </c>
      <c r="B5" s="41" t="inlineStr">
        <is>
          <t>Xe tiếp tế</t>
        </is>
      </c>
      <c r="C5" s="41" t="n"/>
      <c r="D5" s="43" t="n">
        <v>0</v>
      </c>
      <c r="E5" s="41" t="inlineStr">
        <is>
          <t>~0,5 triệu</t>
        </is>
      </c>
      <c r="F5" s="41" t="n"/>
      <c r="G5" s="41" t="n"/>
      <c r="H5" s="41" t="n"/>
      <c r="I5" s="58">
        <f>IFERROR(G5/H5,"")</f>
        <v/>
      </c>
      <c r="J5" s="58">
        <f>IFERROR(ROUND(D5*I5,1),"")</f>
        <v/>
      </c>
      <c r="K5" s="43" t="n">
        <v>0</v>
      </c>
      <c r="L5" s="41" t="inlineStr">
        <is>
          <t>Không có số đo (xe hỗ trợ hoặc boss hộ tống).</t>
        </is>
      </c>
    </row>
    <row r="6" ht="15" customHeight="1" s="32">
      <c r="A6" s="39" t="inlineStr">
        <is>
          <t>engineer_vehicle</t>
        </is>
      </c>
      <c r="B6" s="39" t="inlineStr">
        <is>
          <t>Xe công binh</t>
        </is>
      </c>
      <c r="C6" s="39" t="inlineStr">
        <is>
          <t>Support</t>
        </is>
      </c>
      <c r="D6" s="42" t="n">
        <v>3</v>
      </c>
      <c r="E6" s="39" t="inlineStr">
        <is>
          <t>~3 triệu (M88A2)</t>
        </is>
      </c>
      <c r="F6" s="39" t="inlineStr">
        <is>
          <t>nhẹ</t>
        </is>
      </c>
      <c r="G6" s="39" t="n"/>
      <c r="H6" s="42" t="n">
        <v>164</v>
      </c>
      <c r="I6" s="56">
        <f>IFERROR(G6/H6,"")</f>
        <v/>
      </c>
      <c r="J6" s="56">
        <f>IFERROR(ROUND(D6*I6,1),"")</f>
        <v/>
      </c>
      <c r="K6" s="42" t="n">
        <v>3</v>
      </c>
      <c r="L6" s="39" t="inlineStr">
        <is>
          <t>Giữ: hiệu quả trong khoảng ±25% trung vị, và thứ tự giá hợp với ngoài đời.</t>
        </is>
      </c>
    </row>
    <row r="7" ht="15" customHeight="1" s="32">
      <c r="A7" s="41"/>
      <c r="B7" s="41"/>
      <c r="C7" s="41"/>
      <c r="D7" s="43"/>
      <c r="E7" s="41"/>
      <c r="F7" s="41"/>
      <c r="G7" s="43"/>
      <c r="H7" s="43"/>
      <c r="I7" s="58"/>
      <c r="J7" s="58"/>
      <c r="K7" s="43"/>
      <c r="L7" s="41"/>
    </row>
    <row r="8" ht="15" customHeight="1" s="32">
      <c r="A8" s="39" t="inlineStr">
        <is>
          <t>ammo_carrier</t>
        </is>
      </c>
      <c r="B8" s="39" t="inlineStr">
        <is>
          <t>Xe tiếp đạn</t>
        </is>
      </c>
      <c r="C8" s="39" t="inlineStr">
        <is>
          <t>Support</t>
        </is>
      </c>
      <c r="D8" s="42" t="n">
        <v>4</v>
      </c>
      <c r="E8" s="39" t="inlineStr">
        <is>
          <t>~0,5 triệu</t>
        </is>
      </c>
      <c r="F8" s="39" t="inlineStr">
        <is>
          <t>nhẹ</t>
        </is>
      </c>
      <c r="G8" s="39" t="n"/>
      <c r="H8" s="42" t="n">
        <v>164</v>
      </c>
      <c r="I8" s="56">
        <f>IFERROR(G8/H8,"")</f>
        <v/>
      </c>
      <c r="J8" s="56">
        <f>IFERROR(ROUND(D8*I8,1),"")</f>
        <v/>
      </c>
      <c r="K8" s="42" t="n">
        <v>4</v>
      </c>
      <c r="L8" s="39" t="inlineStr">
        <is>
          <t>Giữ: hiệu quả trong khoảng ±25% trung vị, và thứ tự giá hợp với ngoài đời.</t>
        </is>
      </c>
    </row>
    <row r="9" ht="15" customHeight="1" s="32">
      <c r="A9" s="41"/>
      <c r="B9" s="41"/>
      <c r="C9" s="41"/>
      <c r="D9" s="43"/>
      <c r="E9" s="41"/>
      <c r="F9" s="41"/>
      <c r="G9" s="41"/>
      <c r="H9" s="43"/>
      <c r="I9" s="58"/>
      <c r="J9" s="58"/>
      <c r="K9" s="43"/>
      <c r="L9" s="41"/>
    </row>
    <row r="10" ht="15" customHeight="1" s="32">
      <c r="A10" s="39" t="inlineStr">
        <is>
          <t>ew_jammer</t>
        </is>
      </c>
      <c r="B10" s="39" t="inlineStr">
        <is>
          <t>Xe tác chiến điện tử</t>
        </is>
      </c>
      <c r="C10" s="39" t="inlineStr">
        <is>
          <t>Support</t>
        </is>
      </c>
      <c r="D10" s="42" t="n">
        <v>5</v>
      </c>
      <c r="E10" s="39" t="inlineStr">
        <is>
          <t>~10–20 triệu (ước lượng)</t>
        </is>
      </c>
      <c r="F10" s="39" t="inlineStr">
        <is>
          <t>nhẹ</t>
        </is>
      </c>
      <c r="G10" s="39" t="n"/>
      <c r="H10" s="42" t="n">
        <v>164</v>
      </c>
      <c r="I10" s="56">
        <f>IFERROR(G10/H10,"")</f>
        <v/>
      </c>
      <c r="J10" s="56">
        <f>IFERROR(ROUND(D10*I10,1),"")</f>
        <v/>
      </c>
      <c r="K10" s="42" t="n">
        <v>5</v>
      </c>
      <c r="L10" s="39" t="inlineStr">
        <is>
          <t>Giữ: hiệu quả trong khoảng ±25% trung vị, và thứ tự giá hợp với ngoài đời.</t>
        </is>
      </c>
    </row>
    <row r="11" ht="15" customHeight="1" s="32">
      <c r="A11" s="41" t="inlineStr">
        <is>
          <t>mine_layer</t>
        </is>
      </c>
      <c r="B11" s="41" t="inlineStr">
        <is>
          <t>Xe rải mìn</t>
        </is>
      </c>
      <c r="C11" s="41" t="inlineStr">
        <is>
          <t>Support</t>
        </is>
      </c>
      <c r="D11" s="43" t="n">
        <v>5</v>
      </c>
      <c r="E11" s="41" t="inlineStr">
        <is>
          <t>~1 triệu</t>
        </is>
      </c>
      <c r="F11" s="41" t="inlineStr">
        <is>
          <t>nhẹ</t>
        </is>
      </c>
      <c r="G11" s="43" t="n">
        <v>102</v>
      </c>
      <c r="H11" s="43" t="n">
        <v>164</v>
      </c>
      <c r="I11" s="58">
        <f>IFERROR(G11/H11,"")</f>
        <v/>
      </c>
      <c r="J11" s="58">
        <f>IFERROR(ROUND(D11*I11,1),"")</f>
        <v/>
      </c>
      <c r="K11" s="43" t="n">
        <v>5</v>
      </c>
      <c r="L11" s="41" t="inlineStr">
        <is>
          <t>Giữ: hiệu quả trong khoảng ±25% trung vị, và thứ tự giá hợp với ngoài đời.</t>
        </is>
      </c>
    </row>
    <row r="12" ht="15" customHeight="1" s="32">
      <c r="A12" s="39" t="inlineStr">
        <is>
          <t>command_vehicle</t>
        </is>
      </c>
      <c r="B12" s="39" t="inlineStr">
        <is>
          <t>Xe chỉ huy</t>
        </is>
      </c>
      <c r="C12" s="39" t="inlineStr">
        <is>
          <t>Support</t>
        </is>
      </c>
      <c r="D12" s="42" t="n">
        <v>6</v>
      </c>
      <c r="E12" s="39" t="inlineStr">
        <is>
          <t>~4 triệu</t>
        </is>
      </c>
      <c r="F12" s="39" t="inlineStr">
        <is>
          <t>nhẹ</t>
        </is>
      </c>
      <c r="G12" s="39" t="n"/>
      <c r="H12" s="42" t="n">
        <v>164</v>
      </c>
      <c r="I12" s="56">
        <f>IFERROR(G12/H12,"")</f>
        <v/>
      </c>
      <c r="J12" s="56">
        <f>IFERROR(ROUND(D12*I12,1),"")</f>
        <v/>
      </c>
      <c r="K12" s="42" t="n">
        <v>6</v>
      </c>
      <c r="L12" s="39" t="inlineStr">
        <is>
          <t>Giữ: hiệu quả trong khoảng ±25% trung vị, và thứ tự giá hợp với ngoài đời.</t>
        </is>
      </c>
    </row>
    <row r="13" ht="15" customHeight="1" s="32">
      <c r="A13" s="41" t="inlineStr">
        <is>
          <t>shield_carrier</t>
        </is>
      </c>
      <c r="B13" s="41" t="inlineStr">
        <is>
          <t>Xe phát khiên</t>
        </is>
      </c>
      <c r="C13" s="41" t="inlineStr">
        <is>
          <t>Support</t>
        </is>
      </c>
      <c r="D13" s="43" t="n">
        <v>7</v>
      </c>
      <c r="E13" s="41" t="inlineStr">
        <is>
          <t>— (giả tưởng)</t>
        </is>
      </c>
      <c r="F13" s="41" t="inlineStr">
        <is>
          <t>nhẹ</t>
        </is>
      </c>
      <c r="G13" s="41" t="n"/>
      <c r="H13" s="43" t="n">
        <v>164</v>
      </c>
      <c r="I13" s="58">
        <f>IFERROR(G13/H13,"")</f>
        <v/>
      </c>
      <c r="J13" s="58">
        <f>IFERROR(ROUND(D13*I13,1),"")</f>
        <v/>
      </c>
      <c r="K13" s="43" t="n">
        <v>7</v>
      </c>
      <c r="L13" s="41" t="inlineStr">
        <is>
          <t>Giữ: hiệu quả trong khoảng ±25% trung vị, và thứ tự giá hợp với ngoài đời.</t>
        </is>
      </c>
    </row>
    <row r="14" ht="15" customHeight="1" s="32">
      <c r="A14" s="39" t="inlineStr">
        <is>
          <t>scout_jeep</t>
        </is>
      </c>
      <c r="B14" s="39" t="inlineStr">
        <is>
          <t>Xe trinh sát</t>
        </is>
      </c>
      <c r="C14" s="39" t="inlineStr">
        <is>
          <t>Scout</t>
        </is>
      </c>
      <c r="D14" s="42" t="n">
        <v>2</v>
      </c>
      <c r="E14" s="39" t="inlineStr">
        <is>
          <t>~0,1 triệu</t>
        </is>
      </c>
      <c r="F14" s="39" t="inlineStr">
        <is>
          <t>nhẹ</t>
        </is>
      </c>
      <c r="G14" s="42" t="n">
        <v>84</v>
      </c>
      <c r="H14" s="42" t="n">
        <v>81</v>
      </c>
      <c r="I14" s="56">
        <f>IFERROR(G14/H14,"")</f>
        <v/>
      </c>
      <c r="J14" s="56">
        <f>IFERROR(ROUND(D14*I14,1),"")</f>
        <v/>
      </c>
      <c r="K14" s="42" t="n">
        <v>2</v>
      </c>
      <c r="L14" s="39" t="inlineStr">
        <is>
          <t>Giữ: hiệu quả trong khoảng ±25% trung vị, và thứ tự giá hợp với ngoài đời.</t>
        </is>
      </c>
    </row>
    <row r="15" ht="21.75" customHeight="1" s="32">
      <c r="A15" s="41" t="inlineStr">
        <is>
          <t>vbied</t>
        </is>
      </c>
      <c r="B15" s="41" t="inlineStr">
        <is>
          <t>Xe bom tự sát bọc thép</t>
        </is>
      </c>
      <c r="C15" s="41" t="inlineStr">
        <is>
          <t>Scout</t>
        </is>
      </c>
      <c r="D15" s="43" t="n">
        <v>3</v>
      </c>
      <c r="E15" s="41" t="inlineStr">
        <is>
          <t>&lt;0,05 triệu</t>
        </is>
      </c>
      <c r="F15" s="41" t="inlineStr">
        <is>
          <t>nhẹ</t>
        </is>
      </c>
      <c r="G15" s="43" t="n">
        <v>78</v>
      </c>
      <c r="H15" s="43" t="n">
        <v>81</v>
      </c>
      <c r="I15" s="58">
        <f>IFERROR(G15/H15,"")</f>
        <v/>
      </c>
      <c r="J15" s="58">
        <f>IFERROR(ROUND(D15*I15,1),"")</f>
        <v/>
      </c>
      <c r="K15" s="43" t="n">
        <v>3</v>
      </c>
      <c r="L15" s="41" t="inlineStr">
        <is>
          <t>Tên "bọc thép" nhưng giáp 0; chỉ gây sát thương 4% thời gian vì chết trước khi tới.</t>
        </is>
      </c>
    </row>
    <row r="16" ht="15" customHeight="1" s="32">
      <c r="A16" s="39" t="inlineStr">
        <is>
          <t>light_tank</t>
        </is>
      </c>
      <c r="B16" s="39" t="inlineStr">
        <is>
          <t>Tăng hạng nhẹ</t>
        </is>
      </c>
      <c r="C16" s="39" t="inlineStr">
        <is>
          <t>Tank</t>
        </is>
      </c>
      <c r="D16" s="42" t="n">
        <v>3</v>
      </c>
      <c r="E16" s="39" t="inlineStr">
        <is>
          <t>~2 triệu</t>
        </is>
      </c>
      <c r="F16" s="39" t="inlineStr">
        <is>
          <t>nhẹ+tăng</t>
        </is>
      </c>
      <c r="G16" s="42" t="n">
        <v>222</v>
      </c>
      <c r="H16" s="42" t="n">
        <v>466</v>
      </c>
      <c r="I16" s="56">
        <f>IFERROR(G16/H16,"")</f>
        <v/>
      </c>
      <c r="J16" s="56">
        <f>IFERROR(ROUND(D16*I16,1),"")</f>
        <v/>
      </c>
      <c r="K16" s="42" t="n">
        <v>3</v>
      </c>
      <c r="L16" s="39" t="inlineStr">
        <is>
          <t>Giữ: hiệu quả trong khoảng ±25% trung vị, và thứ tự giá hợp với ngoài đời.</t>
        </is>
      </c>
    </row>
    <row r="17" ht="15" customHeight="1" s="32">
      <c r="A17" s="41" t="inlineStr">
        <is>
          <t>flame_tank</t>
        </is>
      </c>
      <c r="B17" s="41" t="inlineStr">
        <is>
          <t>Tăng phun lửa</t>
        </is>
      </c>
      <c r="C17" s="41" t="inlineStr">
        <is>
          <t>Heavy</t>
        </is>
      </c>
      <c r="D17" s="43" t="n">
        <v>5</v>
      </c>
      <c r="E17" s="41" t="inlineStr">
        <is>
          <t>~2 triệu</t>
        </is>
      </c>
      <c r="F17" s="41" t="inlineStr">
        <is>
          <t>nhẹ+tăng+công sự</t>
        </is>
      </c>
      <c r="G17" s="43" t="n">
        <v>258</v>
      </c>
      <c r="H17" s="43" t="n">
        <v>393</v>
      </c>
      <c r="I17" s="58">
        <f>IFERROR(G17/H17,"")</f>
        <v/>
      </c>
      <c r="J17" s="58">
        <f>IFERROR(ROUND(D17*I17,1),"")</f>
        <v/>
      </c>
      <c r="K17" s="43" t="n">
        <v>5</v>
      </c>
      <c r="L17" s="41" t="inlineStr">
        <is>
          <t>Giữ: hiệu quả trong khoảng ±25% trung vị, và thứ tự giá hợp với ngoài đời.</t>
        </is>
      </c>
    </row>
    <row r="18" ht="15" customHeight="1" s="32">
      <c r="A18" s="39"/>
      <c r="B18" s="39"/>
      <c r="C18" s="39"/>
      <c r="D18" s="42"/>
      <c r="E18" s="39"/>
      <c r="F18" s="39"/>
      <c r="G18" s="42"/>
      <c r="H18" s="42"/>
      <c r="I18" s="56"/>
      <c r="J18" s="56"/>
      <c r="K18" s="42"/>
      <c r="L18" s="39"/>
    </row>
    <row r="19" ht="15" customHeight="1" s="32">
      <c r="A19" s="41"/>
      <c r="B19" s="41"/>
      <c r="C19" s="41"/>
      <c r="D19" s="43"/>
      <c r="E19" s="41"/>
      <c r="F19" s="41"/>
      <c r="G19" s="43"/>
      <c r="H19" s="43"/>
      <c r="I19" s="58"/>
      <c r="J19" s="58"/>
      <c r="K19" s="43"/>
      <c r="L19" s="41"/>
    </row>
    <row r="20" ht="15" customHeight="1" s="32">
      <c r="A20" s="39" t="inlineStr">
        <is>
          <t>rocket_technical</t>
        </is>
      </c>
      <c r="B20" s="39" t="inlineStr">
        <is>
          <t>Bán tải rốc-két</t>
        </is>
      </c>
      <c r="C20" s="39" t="inlineStr">
        <is>
          <t>Artillery</t>
        </is>
      </c>
      <c r="D20" s="42" t="n">
        <v>3</v>
      </c>
      <c r="E20" s="39" t="inlineStr">
        <is>
          <t>~0,05 triệu</t>
        </is>
      </c>
      <c r="F20" s="39" t="inlineStr">
        <is>
          <t>tăng+công sự</t>
        </is>
      </c>
      <c r="G20" s="42" t="n">
        <v>253</v>
      </c>
      <c r="H20" s="42" t="n">
        <v>449</v>
      </c>
      <c r="I20" s="56">
        <f>IFERROR(G20/H20,"")</f>
        <v/>
      </c>
      <c r="J20" s="56">
        <f>IFERROR(ROUND(D20*I20,1),"")</f>
        <v/>
      </c>
      <c r="K20" s="42" t="n">
        <v>3</v>
      </c>
      <c r="L20" s="39" t="inlineStr">
        <is>
          <t>Giữ: hiệu quả trong khoảng ±25% trung vị, và thứ tự giá hợp với ngoài đời.</t>
        </is>
      </c>
    </row>
    <row r="21" ht="15" customHeight="1" s="32">
      <c r="A21" s="41" t="inlineStr">
        <is>
          <t>mortar_carrier</t>
        </is>
      </c>
      <c r="B21" s="41" t="inlineStr">
        <is>
          <t>Xe súng cối</t>
        </is>
      </c>
      <c r="C21" s="41" t="inlineStr">
        <is>
          <t>Artillery</t>
        </is>
      </c>
      <c r="D21" s="43" t="n">
        <v>4</v>
      </c>
      <c r="E21" s="41" t="inlineStr">
        <is>
          <t>~1 triệu</t>
        </is>
      </c>
      <c r="F21" s="41" t="inlineStr">
        <is>
          <t>tăng+công sự</t>
        </is>
      </c>
      <c r="G21" s="43" t="n">
        <v>324</v>
      </c>
      <c r="H21" s="43" t="n">
        <v>449</v>
      </c>
      <c r="I21" s="58">
        <f>IFERROR(G21/H21,"")</f>
        <v/>
      </c>
      <c r="J21" s="58">
        <f>IFERROR(ROUND(D21*I21,1),"")</f>
        <v/>
      </c>
      <c r="K21" s="43" t="n">
        <v>4</v>
      </c>
      <c r="L21" s="41" t="inlineStr">
        <is>
          <t>Giữ: hiệu quả trong khoảng ±25% trung vị, và thứ tự giá hợp với ngoài đời.</t>
        </is>
      </c>
    </row>
    <row r="22" ht="15" customHeight="1" s="32">
      <c r="A22" s="39" t="inlineStr">
        <is>
          <t>artillery</t>
        </is>
      </c>
      <c r="B22" s="39" t="inlineStr">
        <is>
          <t>Pháo tự hành</t>
        </is>
      </c>
      <c r="C22" s="39" t="inlineStr">
        <is>
          <t>Artillery</t>
        </is>
      </c>
      <c r="D22" s="42" t="n">
        <v>6</v>
      </c>
      <c r="E22" s="39" t="inlineStr">
        <is>
          <t>~5–14 triệu (CAESAR / M109A7)</t>
        </is>
      </c>
      <c r="F22" s="39" t="inlineStr">
        <is>
          <t>tăng+công sự</t>
        </is>
      </c>
      <c r="G22" s="42" t="n">
        <v>331</v>
      </c>
      <c r="H22" s="42" t="n">
        <v>449</v>
      </c>
      <c r="I22" s="56">
        <f>IFERROR(G22/H22,"")</f>
        <v/>
      </c>
      <c r="J22" s="56">
        <f>IFERROR(ROUND(D22*I22,1),"")</f>
        <v/>
      </c>
      <c r="K22" s="42" t="n">
        <v>6</v>
      </c>
      <c r="L22" s="39" t="inlineStr">
        <is>
          <t>Giữ: hiệu quả trong khoảng ±25% trung vị, và thứ tự giá hợp với ngoài đời.</t>
        </is>
      </c>
    </row>
    <row r="23" ht="15" customHeight="1" s="32">
      <c r="A23" s="41" t="inlineStr">
        <is>
          <t>mlrs</t>
        </is>
      </c>
      <c r="B23" s="41" t="inlineStr">
        <is>
          <t>Pháo phản lực</t>
        </is>
      </c>
      <c r="C23" s="41" t="inlineStr">
        <is>
          <t>Artillery</t>
        </is>
      </c>
      <c r="D23" s="43" t="n">
        <v>6</v>
      </c>
      <c r="E23" s="41" t="inlineStr">
        <is>
          <t>~5 triệu bệ + 0,16 triệu/rốc-két</t>
        </is>
      </c>
      <c r="F23" s="41" t="inlineStr">
        <is>
          <t>tăng+công sự</t>
        </is>
      </c>
      <c r="G23" s="43" t="n">
        <v>510</v>
      </c>
      <c r="H23" s="43" t="n">
        <v>449</v>
      </c>
      <c r="I23" s="58">
        <f>IFERROR(G23/H23,"")</f>
        <v/>
      </c>
      <c r="J23" s="58">
        <f>IFERROR(ROUND(D23*I23,1),"")</f>
        <v/>
      </c>
      <c r="K23" s="43" t="n">
        <v>7</v>
      </c>
      <c r="L23" s="41" t="inlineStr">
        <is>
          <t>Mạnh hơn pháo tự hành cùng giá; HIMARS ngoài đời đắt hơn lựu pháo.</t>
        </is>
      </c>
    </row>
    <row r="24" ht="15" customHeight="1" s="32">
      <c r="A24" s="39" t="inlineStr">
        <is>
          <t>shahed_truck</t>
        </is>
      </c>
      <c r="B24" s="39" t="inlineStr">
        <is>
          <t>Xe phóng Shahed</t>
        </is>
      </c>
      <c r="C24" s="39" t="inlineStr">
        <is>
          <t>Artillery</t>
        </is>
      </c>
      <c r="D24" s="42" t="n">
        <v>8</v>
      </c>
      <c r="E24" s="39" t="inlineStr">
        <is>
          <t>~0,5 triệu xe + 0,02–0,05 triệu/drone</t>
        </is>
      </c>
      <c r="F24" s="39" t="inlineStr">
        <is>
          <t>tăng+công sự</t>
        </is>
      </c>
      <c r="G24" s="42" t="n">
        <v>472</v>
      </c>
      <c r="H24" s="42" t="n">
        <v>449</v>
      </c>
      <c r="I24" s="56">
        <f>IFERROR(G24/H24,"")</f>
        <v/>
      </c>
      <c r="J24" s="56">
        <f>IFERROR(ROUND(D24*I24,1),"")</f>
        <v/>
      </c>
      <c r="K24" s="42" t="n">
        <v>8</v>
      </c>
      <c r="L24" s="39" t="inlineStr">
        <is>
          <t>Giữ: hiệu quả trong khoảng ±25% trung vị, và thứ tự giá hợp với ngoài đời.</t>
        </is>
      </c>
    </row>
    <row r="25" ht="15" customHeight="1" s="32">
      <c r="A25" s="41" t="inlineStr">
        <is>
          <t>thermobaric_launcher</t>
        </is>
      </c>
      <c r="B25" s="41" t="inlineStr">
        <is>
          <t>Pháo phản lực nhiệt áp</t>
        </is>
      </c>
      <c r="C25" s="41" t="inlineStr">
        <is>
          <t>Artillery</t>
        </is>
      </c>
      <c r="D25" s="43" t="n">
        <v>8</v>
      </c>
      <c r="E25" s="41" t="inlineStr">
        <is>
          <t>~5–10 triệu (ước lượng)</t>
        </is>
      </c>
      <c r="F25" s="41" t="inlineStr">
        <is>
          <t>tăng+công sự</t>
        </is>
      </c>
      <c r="G25" s="43" t="n">
        <v>522</v>
      </c>
      <c r="H25" s="43" t="n">
        <v>449</v>
      </c>
      <c r="I25" s="58">
        <f>IFERROR(G25/H25,"")</f>
        <v/>
      </c>
      <c r="J25" s="58">
        <f>IFERROR(ROUND(D25*I25,1),"")</f>
        <v/>
      </c>
      <c r="K25" s="43" t="n">
        <v>9</v>
      </c>
      <c r="L25" s="41" t="inlineStr">
        <is>
          <t>Mạnh nhất nhóm pháo với công sự sau khi sửa hệ số nhiệt áp.</t>
        </is>
      </c>
    </row>
    <row r="26" ht="15" customHeight="1" s="32">
      <c r="A26" s="39" t="inlineStr">
        <is>
          <t>ballistic_launcher</t>
        </is>
      </c>
      <c r="B26" s="39" t="inlineStr">
        <is>
          <t>Xe phóng tên lửa đạn đạo</t>
        </is>
      </c>
      <c r="C26" s="39" t="inlineStr">
        <is>
          <t>Artillery</t>
        </is>
      </c>
      <c r="D26" s="42" t="n">
        <v>11</v>
      </c>
      <c r="E26" s="39" t="inlineStr">
        <is>
          <t>~20 triệu bệ + ~3 triệu/tên lửa</t>
        </is>
      </c>
      <c r="F26" s="39" t="inlineStr">
        <is>
          <t>tăng+công sự</t>
        </is>
      </c>
      <c r="G26" s="42" t="n">
        <v>427</v>
      </c>
      <c r="H26" s="42" t="n">
        <v>449</v>
      </c>
      <c r="I26" s="56">
        <f>IFERROR(G26/H26,"")</f>
        <v/>
      </c>
      <c r="J26" s="56">
        <f>IFERROR(ROUND(D26*I26,1),"")</f>
        <v/>
      </c>
      <c r="K26" s="42" t="n">
        <v>11</v>
      </c>
      <c r="L26" s="39" t="inlineStr">
        <is>
          <t>Giữ: hiệu quả trong khoảng ±25% trung vị, và thứ tự giá hợp với ngoài đời.</t>
        </is>
      </c>
    </row>
    <row r="27" ht="15" customHeight="1" s="32">
      <c r="A27" s="41" t="inlineStr">
        <is>
          <t>heavy_rocket_artillery</t>
        </is>
      </c>
      <c r="B27" s="41" t="inlineStr">
        <is>
          <t>Pháo phản lực hạng nặng</t>
        </is>
      </c>
      <c r="C27" s="41" t="inlineStr">
        <is>
          <t>Artillery</t>
        </is>
      </c>
      <c r="D27" s="43" t="n">
        <v>11</v>
      </c>
      <c r="E27" s="41" t="inlineStr">
        <is>
          <t>~12 triệu</t>
        </is>
      </c>
      <c r="F27" s="41" t="inlineStr">
        <is>
          <t>tăng+công sự</t>
        </is>
      </c>
      <c r="G27" s="43" t="n">
        <v>522</v>
      </c>
      <c r="H27" s="43" t="n">
        <v>449</v>
      </c>
      <c r="I27" s="58">
        <f>IFERROR(G27/H27,"")</f>
        <v/>
      </c>
      <c r="J27" s="58">
        <f>IFERROR(ROUND(D27*I27,1),"")</f>
        <v/>
      </c>
      <c r="K27" s="43" t="n">
        <v>12</v>
      </c>
      <c r="L27" s="41" t="inlineStr">
        <is>
          <t>Mạnh hơn đạn đạo cùng giá.</t>
        </is>
      </c>
    </row>
    <row r="28" ht="15" customHeight="1" s="32">
      <c r="A28" s="39" t="inlineStr">
        <is>
          <t>siege_tank</t>
        </is>
      </c>
      <c r="B28" s="39" t="inlineStr">
        <is>
          <t>Tăng công thành</t>
        </is>
      </c>
      <c r="C28" s="39" t="inlineStr">
        <is>
          <t>Heavy</t>
        </is>
      </c>
      <c r="D28" s="42" t="n">
        <v>12</v>
      </c>
      <c r="E28" s="39" t="inlineStr">
        <is>
          <t>~3–5 triệu (2S4 / 2S7)</t>
        </is>
      </c>
      <c r="F28" s="39" t="inlineStr">
        <is>
          <t>nhẹ+tăng+công sự</t>
        </is>
      </c>
      <c r="G28" s="42" t="n">
        <v>414</v>
      </c>
      <c r="H28" s="42" t="n">
        <v>393</v>
      </c>
      <c r="I28" s="56">
        <f>IFERROR(G28/H28,"")</f>
        <v/>
      </c>
      <c r="J28" s="56">
        <f>IFERROR(ROUND(D28*I28,1),"")</f>
        <v/>
      </c>
      <c r="K28" s="42" t="n">
        <v>12</v>
      </c>
      <c r="L28" s="39" t="inlineStr">
        <is>
          <t>Giữ: hiệu quả trong khoảng ±25% trung vị, và thứ tự giá hợp với ngoài đời.</t>
        </is>
      </c>
    </row>
    <row r="29" ht="15" customHeight="1" s="32">
      <c r="A29" s="41" t="inlineStr">
        <is>
          <t>zu23_technical</t>
        </is>
      </c>
      <c r="B29" s="41" t="inlineStr">
        <is>
          <t>Bán tải ZU-23</t>
        </is>
      </c>
      <c r="C29" s="41" t="inlineStr">
        <is>
          <t>AntiAir</t>
        </is>
      </c>
      <c r="D29" s="43" t="n">
        <v>3</v>
      </c>
      <c r="E29" s="41" t="inlineStr">
        <is>
          <t>~0,1 triệu</t>
        </is>
      </c>
      <c r="F29" s="41" t="inlineStr">
        <is>
          <t>máy bay</t>
        </is>
      </c>
      <c r="G29" s="43" t="n">
        <v>62</v>
      </c>
      <c r="H29" s="43" t="n">
        <v>263</v>
      </c>
      <c r="I29" s="58">
        <f>IFERROR(G29/H29,"")</f>
        <v/>
      </c>
      <c r="J29" s="58">
        <f>IFERROR(ROUND(D29*I29,1),"")</f>
        <v/>
      </c>
      <c r="K29" s="43" t="n">
        <v>3</v>
      </c>
      <c r="L29" s="41" t="inlineStr">
        <is>
          <t>Giữ: hiệu quả trong khoảng ±25% trung vị, và thứ tự giá hợp với ngoài đời.</t>
        </is>
      </c>
    </row>
    <row r="30" ht="15" customHeight="1" s="32">
      <c r="A30" s="39" t="inlineStr">
        <is>
          <t>aa_vehicle</t>
        </is>
      </c>
      <c r="B30" s="39" t="inlineStr">
        <is>
          <t>Xe phòng không</t>
        </is>
      </c>
      <c r="C30" s="39" t="inlineStr">
        <is>
          <t>AntiAir</t>
        </is>
      </c>
      <c r="D30" s="42" t="n">
        <v>4</v>
      </c>
      <c r="E30" s="39" t="inlineStr">
        <is>
          <t>~3 triệu</t>
        </is>
      </c>
      <c r="F30" s="39" t="inlineStr">
        <is>
          <t>máy bay</t>
        </is>
      </c>
      <c r="G30" s="42" t="n">
        <v>226</v>
      </c>
      <c r="H30" s="42" t="n">
        <v>263</v>
      </c>
      <c r="I30" s="56">
        <f>IFERROR(G30/H30,"")</f>
        <v/>
      </c>
      <c r="J30" s="56">
        <f>IFERROR(ROUND(D30*I30,1),"")</f>
        <v/>
      </c>
      <c r="K30" s="42" t="n">
        <v>4</v>
      </c>
      <c r="L30" s="39" t="inlineStr">
        <is>
          <t>Giữ: hiệu quả trong khoảng ±25% trung vị, và thứ tự giá hợp với ngoài đời.</t>
        </is>
      </c>
    </row>
    <row r="31" ht="21.75" customHeight="1" s="32">
      <c r="A31" s="41" t="inlineStr">
        <is>
          <t>sam_launcher</t>
        </is>
      </c>
      <c r="B31" s="41" t="inlineStr">
        <is>
          <t>Tên lửa phòng không</t>
        </is>
      </c>
      <c r="C31" s="41" t="inlineStr">
        <is>
          <t>AntiAir</t>
        </is>
      </c>
      <c r="D31" s="43" t="n">
        <v>5</v>
      </c>
      <c r="E31" s="41" t="inlineStr">
        <is>
          <t>~10–15 triệu (TELAR)</t>
        </is>
      </c>
      <c r="F31" s="41" t="inlineStr">
        <is>
          <t>máy bay</t>
        </is>
      </c>
      <c r="G31" s="43" t="n">
        <v>423</v>
      </c>
      <c r="H31" s="43" t="n">
        <v>263</v>
      </c>
      <c r="I31" s="58">
        <f>IFERROR(G31/H31,"")</f>
        <v/>
      </c>
      <c r="J31" s="58">
        <f>IFERROR(ROUND(D31*I31,1),"")</f>
        <v/>
      </c>
      <c r="K31" s="43" t="n">
        <v>7</v>
      </c>
      <c r="L31" s="41" t="inlineStr">
        <is>
          <t>Hiệu quả cao nhất nhóm phòng không di động; Buk ngoài đời đắt hơn Gepard nhiều.</t>
        </is>
      </c>
    </row>
    <row r="32" ht="15" customHeight="1" s="32">
      <c r="A32" s="39" t="inlineStr">
        <is>
          <t>heavy_aa</t>
        </is>
      </c>
      <c r="B32" s="39" t="inlineStr">
        <is>
          <t>Pháo tên lửa phòng không</t>
        </is>
      </c>
      <c r="C32" s="39" t="inlineStr">
        <is>
          <t>AntiAir</t>
        </is>
      </c>
      <c r="D32" s="42" t="n">
        <v>6</v>
      </c>
      <c r="E32" s="39" t="inlineStr">
        <is>
          <t>~13–15 triệu</t>
        </is>
      </c>
      <c r="F32" s="39" t="inlineStr">
        <is>
          <t>máy bay</t>
        </is>
      </c>
      <c r="G32" s="42" t="n">
        <v>300</v>
      </c>
      <c r="H32" s="42" t="n">
        <v>263</v>
      </c>
      <c r="I32" s="56">
        <f>IFERROR(G32/H32,"")</f>
        <v/>
      </c>
      <c r="J32" s="56">
        <f>IFERROR(ROUND(D32*I32,1),"")</f>
        <v/>
      </c>
      <c r="K32" s="42" t="n">
        <v>7</v>
      </c>
      <c r="L32" s="39" t="inlineStr">
        <is>
          <t>Pantsir đắt ngang hoặc hơn Buk ngoài đời, hiệu quả 1,14 × trung vị.</t>
        </is>
      </c>
    </row>
    <row r="33" ht="15" customHeight="1" s="32">
      <c r="A33" s="41" t="inlineStr">
        <is>
          <t>iron_beam</t>
        </is>
      </c>
      <c r="B33" s="41" t="inlineStr">
        <is>
          <t>La-de phòng không</t>
        </is>
      </c>
      <c r="C33" s="41" t="inlineStr">
        <is>
          <t>AntiAir</t>
        </is>
      </c>
      <c r="D33" s="43" t="n">
        <v>7</v>
      </c>
      <c r="E33" s="41" t="inlineStr">
        <is>
          <t>~? (hệ thống đắt, mỗi phát ~2 USD)</t>
        </is>
      </c>
      <c r="F33" s="41" t="inlineStr">
        <is>
          <t>máy bay</t>
        </is>
      </c>
      <c r="G33" s="43" t="n">
        <v>87</v>
      </c>
      <c r="H33" s="43" t="n">
        <v>263</v>
      </c>
      <c r="I33" s="58">
        <f>IFERROR(G33/H33,"")</f>
        <v/>
      </c>
      <c r="J33" s="58">
        <f>IFERROR(ROUND(D33*I33,1),"")</f>
        <v/>
      </c>
      <c r="K33" s="43" t="n">
        <v>6</v>
      </c>
      <c r="L33" s="41" t="inlineStr">
        <is>
          <t>Gần như vô dụng hiện tại.</t>
        </is>
      </c>
    </row>
    <row r="34" ht="15" customHeight="1" s="32">
      <c r="A34" s="39" t="inlineStr">
        <is>
          <t>long_sam</t>
        </is>
      </c>
      <c r="B34" s="39" t="inlineStr">
        <is>
          <t>Tên lửa phòng không tầm xa</t>
        </is>
      </c>
      <c r="C34" s="39" t="inlineStr">
        <is>
          <t>AntiAir</t>
        </is>
      </c>
      <c r="D34" s="42" t="n">
        <v>11</v>
      </c>
      <c r="E34" s="39" t="inlineStr">
        <is>
          <t>~50 triệu mỗi bệ (tiểu đoàn ~500 triệu)</t>
        </is>
      </c>
      <c r="F34" s="39" t="inlineStr">
        <is>
          <t>máy bay</t>
        </is>
      </c>
      <c r="G34" s="42" t="n">
        <v>601</v>
      </c>
      <c r="H34" s="42" t="n">
        <v>263</v>
      </c>
      <c r="I34" s="56">
        <f>IFERROR(G34/H34,"")</f>
        <v/>
      </c>
      <c r="J34" s="56">
        <f>IFERROR(ROUND(D34*I34,1),"")</f>
        <v/>
      </c>
      <c r="K34" s="42" t="n">
        <v>14</v>
      </c>
      <c r="L34" s="39" t="inlineStr">
        <is>
          <t>Hiệu quả gấp đôi các xe phòng không khác; S-400 ngoài đời cực đắt.</t>
        </is>
      </c>
    </row>
    <row r="35" ht="15" customHeight="1" s="32">
      <c r="A35" s="41" t="inlineStr">
        <is>
          <t>scout_heli</t>
        </is>
      </c>
      <c r="B35" s="41" t="inlineStr">
        <is>
          <t>Trực thăng trinh sát</t>
        </is>
      </c>
      <c r="C35" s="41" t="inlineStr">
        <is>
          <t>Helicopter</t>
        </is>
      </c>
      <c r="D35" s="43" t="n">
        <v>4</v>
      </c>
      <c r="E35" s="41" t="inlineStr">
        <is>
          <t>~5 triệu</t>
        </is>
      </c>
      <c r="F35" s="41" t="inlineStr">
        <is>
          <t>nhẹ+tăng+công sự</t>
        </is>
      </c>
      <c r="G35" s="43" t="n">
        <v>509</v>
      </c>
      <c r="H35" s="43" t="n">
        <v>509</v>
      </c>
      <c r="I35" s="58">
        <f>IFERROR(G35/H35,"")</f>
        <v/>
      </c>
      <c r="J35" s="58">
        <f>IFERROR(ROUND(D35*I35,1),"")</f>
        <v/>
      </c>
      <c r="K35" s="43" t="n">
        <v>5</v>
      </c>
      <c r="L35" s="41" t="inlineStr">
        <is>
          <t>Trực thăng trinh sát đang là thẻ diệt xe nhẹ mạnh nhất.</t>
        </is>
      </c>
    </row>
    <row r="36" ht="15" customHeight="1" s="32">
      <c r="A36" s="39" t="inlineStr">
        <is>
          <t>recon_drone</t>
        </is>
      </c>
      <c r="B36" s="39" t="inlineStr">
        <is>
          <t>UAV trinh sát</t>
        </is>
      </c>
      <c r="C36" s="39" t="inlineStr">
        <is>
          <t>Plane</t>
        </is>
      </c>
      <c r="D36" s="42" t="n">
        <v>6</v>
      </c>
      <c r="E36" s="39" t="inlineStr">
        <is>
          <t>~5 triệu</t>
        </is>
      </c>
      <c r="F36" s="39" t="inlineStr">
        <is>
          <t>nhẹ+tăng+công sự</t>
        </is>
      </c>
      <c r="G36" s="42" t="n">
        <v>111</v>
      </c>
      <c r="H36" s="42" t="n">
        <v>581</v>
      </c>
      <c r="I36" s="56">
        <f>IFERROR(G36/H36,"")</f>
        <v/>
      </c>
      <c r="J36" s="56">
        <f>IFERROR(ROUND(D36*I36,1),"")</f>
        <v/>
      </c>
      <c r="K36" s="42" t="n">
        <v>6</v>
      </c>
      <c r="L36" s="39" t="inlineStr">
        <is>
          <t>Giữ: hiệu quả trong khoảng ±25% trung vị, và thứ tự giá hợp với ngoài đời.</t>
        </is>
      </c>
    </row>
    <row r="37" ht="15" customHeight="1" s="32">
      <c r="A37" s="41"/>
      <c r="B37" s="41"/>
      <c r="C37" s="41"/>
      <c r="D37" s="43"/>
      <c r="E37" s="41"/>
      <c r="F37" s="41"/>
      <c r="G37" s="41"/>
      <c r="H37" s="43"/>
      <c r="I37" s="58"/>
      <c r="J37" s="58"/>
      <c r="K37" s="43"/>
      <c r="L37" s="41"/>
    </row>
    <row r="38" ht="15" customHeight="1" s="32">
      <c r="A38" s="39" t="inlineStr">
        <is>
          <t>strike_drone</t>
        </is>
      </c>
      <c r="B38" s="39" t="inlineStr">
        <is>
          <t>UAV tấn công</t>
        </is>
      </c>
      <c r="C38" s="39" t="inlineStr">
        <is>
          <t>Plane</t>
        </is>
      </c>
      <c r="D38" s="42" t="n">
        <v>8</v>
      </c>
      <c r="E38" s="39" t="inlineStr">
        <is>
          <t>~30 triệu</t>
        </is>
      </c>
      <c r="F38" s="39" t="inlineStr">
        <is>
          <t>nhẹ+tăng+công sự</t>
        </is>
      </c>
      <c r="G38" s="42" t="n">
        <v>624</v>
      </c>
      <c r="H38" s="42" t="n">
        <v>581</v>
      </c>
      <c r="I38" s="56">
        <f>IFERROR(G38/H38,"")</f>
        <v/>
      </c>
      <c r="J38" s="56">
        <f>IFERROR(ROUND(D38*I38,1),"")</f>
        <v/>
      </c>
      <c r="K38" s="42" t="n">
        <v>9</v>
      </c>
      <c r="L38" s="39" t="inlineStr">
        <is>
          <t>Vẫn mạnh gấp rưỡi xe diệt tăng cùng giá khi không có phòng không.</t>
        </is>
      </c>
    </row>
    <row r="39" ht="21.75" customHeight="1" s="32">
      <c r="A39" s="41" t="inlineStr">
        <is>
          <t>swarm_carrier</t>
        </is>
      </c>
      <c r="B39" s="41" t="inlineStr">
        <is>
          <t>Máy bay mẹ thả drone</t>
        </is>
      </c>
      <c r="C39" s="41" t="inlineStr">
        <is>
          <t>Plane</t>
        </is>
      </c>
      <c r="D39" s="43" t="n">
        <v>8</v>
      </c>
      <c r="E39" s="41" t="inlineStr">
        <is>
          <t>~70 triệu</t>
        </is>
      </c>
      <c r="F39" s="41" t="inlineStr">
        <is>
          <t>nhẹ+tăng+công sự</t>
        </is>
      </c>
      <c r="G39" s="43" t="n">
        <v>443</v>
      </c>
      <c r="H39" s="43" t="n">
        <v>581</v>
      </c>
      <c r="I39" s="58">
        <f>IFERROR(G39/H39,"")</f>
        <v/>
      </c>
      <c r="J39" s="58">
        <f>IFERROR(ROUND(D39*I39,1),"")</f>
        <v/>
      </c>
      <c r="K39" s="43" t="n">
        <v>13</v>
      </c>
      <c r="L39" s="41" t="inlineStr">
        <is>
          <t>Ngang tầm máy bay lớn khác sau khi có thêm tên lửa hành trình; C-130 ngoài đời ~70 triệu USD, đắt hơn Apache.</t>
        </is>
      </c>
    </row>
    <row r="40" ht="15" customHeight="1" s="32">
      <c r="A40" s="39" t="inlineStr">
        <is>
          <t>attack_helicopter</t>
        </is>
      </c>
      <c r="B40" s="39" t="inlineStr">
        <is>
          <t>Trực thăng tấn công</t>
        </is>
      </c>
      <c r="C40" s="39" t="inlineStr">
        <is>
          <t>Helicopter</t>
        </is>
      </c>
      <c r="D40" s="42" t="n">
        <v>11</v>
      </c>
      <c r="E40" s="39" t="inlineStr">
        <is>
          <t>~35 triệu</t>
        </is>
      </c>
      <c r="F40" s="39" t="inlineStr">
        <is>
          <t>nhẹ+tăng+công sự</t>
        </is>
      </c>
      <c r="G40" s="42" t="n">
        <v>338</v>
      </c>
      <c r="H40" s="42" t="n">
        <v>509</v>
      </c>
      <c r="I40" s="56">
        <f>IFERROR(G40/H40,"")</f>
        <v/>
      </c>
      <c r="J40" s="56">
        <f>IFERROR(ROUND(D40*I40,1),"")</f>
        <v/>
      </c>
      <c r="K40" s="42" t="n">
        <v>9</v>
      </c>
      <c r="L40" s="39" t="inlineStr">
        <is>
          <t>Yếu hơn các trực thăng khác tính theo CP.</t>
        </is>
      </c>
    </row>
    <row r="41" ht="15" customHeight="1" s="32">
      <c r="A41" s="41" t="inlineStr">
        <is>
          <t>fighter_jet</t>
        </is>
      </c>
      <c r="B41" s="41" t="inlineStr">
        <is>
          <t>Tiêm kích</t>
        </is>
      </c>
      <c r="C41" s="41" t="inlineStr">
        <is>
          <t>Plane</t>
        </is>
      </c>
      <c r="D41" s="43" t="n">
        <v>12</v>
      </c>
      <c r="E41" s="41" t="inlineStr">
        <is>
          <t>~30–40 triệu (Su-27)</t>
        </is>
      </c>
      <c r="F41" s="41" t="inlineStr">
        <is>
          <t>nhẹ+tăng+công sự</t>
        </is>
      </c>
      <c r="G41" s="41" t="n"/>
      <c r="H41" s="43" t="n">
        <v>581</v>
      </c>
      <c r="I41" s="58">
        <f>IFERROR(G41/H41,"")</f>
        <v/>
      </c>
      <c r="J41" s="58">
        <f>IFERROR(ROUND(D41*I41,1),"")</f>
        <v/>
      </c>
      <c r="K41" s="43" t="n">
        <v>12</v>
      </c>
      <c r="L41" s="41" t="inlineStr">
        <is>
          <t>Giữ: hiệu quả trong khoảng ±25% trung vị, và thứ tự giá hợp với ngoài đời.</t>
        </is>
      </c>
    </row>
    <row r="42" ht="15" customHeight="1" s="32">
      <c r="A42" s="39" t="inlineStr">
        <is>
          <t>stealth_fighter</t>
        </is>
      </c>
      <c r="B42" s="39" t="inlineStr">
        <is>
          <t>Tiêm kích tàng hình</t>
        </is>
      </c>
      <c r="C42" s="39" t="inlineStr">
        <is>
          <t>Plane</t>
        </is>
      </c>
      <c r="D42" s="42" t="n">
        <v>14</v>
      </c>
      <c r="E42" s="39" t="inlineStr">
        <is>
          <t>~40–80 triệu (Su-57 / F-35)</t>
        </is>
      </c>
      <c r="F42" s="39" t="inlineStr">
        <is>
          <t>nhẹ+tăng+công sự</t>
        </is>
      </c>
      <c r="G42" s="42" t="n">
        <v>190</v>
      </c>
      <c r="H42" s="42" t="n">
        <v>581</v>
      </c>
      <c r="I42" s="56">
        <f>IFERROR(G42/H42,"")</f>
        <v/>
      </c>
      <c r="J42" s="56">
        <f>IFERROR(ROUND(D42*I42,1),"")</f>
        <v/>
      </c>
      <c r="K42" s="42" t="n">
        <v>13</v>
      </c>
      <c r="L42" s="39" t="inlineStr">
        <is>
          <t>Giữ: hiệu quả trong khoảng ±25% trung vị, và thứ tự giá hợp với ngoài đời.</t>
        </is>
      </c>
    </row>
    <row r="43" ht="21.75" customHeight="1" s="32">
      <c r="A43" s="41"/>
      <c r="B43" s="41"/>
      <c r="C43" s="41"/>
      <c r="D43" s="43"/>
      <c r="E43" s="41"/>
      <c r="F43" s="41"/>
      <c r="G43" s="43"/>
      <c r="H43" s="43"/>
      <c r="I43" s="58"/>
      <c r="J43" s="58"/>
      <c r="K43" s="43"/>
      <c r="L43" s="41"/>
    </row>
    <row r="44" ht="15" customHeight="1" s="32">
      <c r="A44" s="39" t="inlineStr">
        <is>
          <t>attack_jet</t>
        </is>
      </c>
      <c r="B44" s="39" t="inlineStr">
        <is>
          <t>Máy bay cường kích</t>
        </is>
      </c>
      <c r="C44" s="39" t="inlineStr">
        <is>
          <t>Plane</t>
        </is>
      </c>
      <c r="D44" s="42" t="n">
        <v>16</v>
      </c>
      <c r="E44" s="39" t="inlineStr">
        <is>
          <t>~11–19 triệu</t>
        </is>
      </c>
      <c r="F44" s="39" t="inlineStr">
        <is>
          <t>nhẹ+tăng+công sự</t>
        </is>
      </c>
      <c r="G44" s="42" t="n">
        <v>740</v>
      </c>
      <c r="H44" s="42" t="n">
        <v>581</v>
      </c>
      <c r="I44" s="56">
        <f>IFERROR(G44/H44,"")</f>
        <v/>
      </c>
      <c r="J44" s="56">
        <f>IFERROR(ROUND(D44*I44,1),"")</f>
        <v/>
      </c>
      <c r="K44" s="42" t="n">
        <v>18</v>
      </c>
      <c r="L44" s="39" t="inlineStr">
        <is>
          <t>Mạnh nhất nhóm máy bay tính theo CP.</t>
        </is>
      </c>
    </row>
    <row r="45" ht="21.75" customHeight="1" s="32">
      <c r="A45" s="41" t="inlineStr">
        <is>
          <t>stealth_bomber</t>
        </is>
      </c>
      <c r="B45" s="41" t="inlineStr">
        <is>
          <t>Máy bay ném bom tàng hình</t>
        </is>
      </c>
      <c r="C45" s="41" t="inlineStr">
        <is>
          <t>Plane</t>
        </is>
      </c>
      <c r="D45" s="43" t="n">
        <v>18</v>
      </c>
      <c r="E45" s="41" t="inlineStr">
        <is>
          <t>~2 tỷ</t>
        </is>
      </c>
      <c r="F45" s="41" t="inlineStr">
        <is>
          <t>nhẹ+tăng+công sự</t>
        </is>
      </c>
      <c r="G45" s="43" t="n">
        <v>581</v>
      </c>
      <c r="H45" s="43" t="n">
        <v>581</v>
      </c>
      <c r="I45" s="58">
        <f>IFERROR(G45/H45,"")</f>
        <v/>
      </c>
      <c r="J45" s="58">
        <f>IFERROR(ROUND(D45*I45,1),"")</f>
        <v/>
      </c>
      <c r="K45" s="43" t="n">
        <v>21</v>
      </c>
      <c r="L45" s="41" t="inlineStr">
        <is>
          <t>Máy bay ném bom tàng hình đắt nhất thế giới lại rẻ hơn B-52; hiệu quả sau đổi giá vẫn gần trung vị.</t>
        </is>
      </c>
    </row>
    <row r="46" ht="15" customHeight="1" s="32">
      <c r="A46" s="39" t="inlineStr">
        <is>
          <t>heavy_bomber</t>
        </is>
      </c>
      <c r="B46" s="39" t="inlineStr">
        <is>
          <t>Oanh tạc cơ hạng nặng</t>
        </is>
      </c>
      <c r="C46" s="39" t="inlineStr">
        <is>
          <t>Plane</t>
        </is>
      </c>
      <c r="D46" s="42" t="n">
        <v>22</v>
      </c>
      <c r="E46" s="39" t="inlineStr">
        <is>
          <t>~85 triệu (thời giá gốc)</t>
        </is>
      </c>
      <c r="F46" s="39" t="inlineStr">
        <is>
          <t>nhẹ+tăng+công sự</t>
        </is>
      </c>
      <c r="G46" s="42" t="n">
        <v>657</v>
      </c>
      <c r="H46" s="42" t="n">
        <v>581</v>
      </c>
      <c r="I46" s="56">
        <f>IFERROR(G46/H46,"")</f>
        <v/>
      </c>
      <c r="J46" s="56">
        <f>IFERROR(ROUND(D46*I46,1),"")</f>
        <v/>
      </c>
      <c r="K46" s="42" t="n">
        <v>22</v>
      </c>
      <c r="L46" s="39" t="inlineStr">
        <is>
          <t>Giữ: hiệu quả trong khoảng ±25% trung vị, và thứ tự giá hợp với ngoài đời.</t>
        </is>
      </c>
    </row>
    <row r="47" ht="15" customHeight="1" s="32">
      <c r="A47" s="41" t="inlineStr">
        <is>
          <t>sky_gunship</t>
        </is>
      </c>
      <c r="B47" s="41" t="inlineStr">
        <is>
          <t>Pháo hạm AC-130</t>
        </is>
      </c>
      <c r="C47" s="41" t="n"/>
      <c r="D47" s="43" t="n">
        <v>22</v>
      </c>
      <c r="E47" s="41" t="inlineStr">
        <is>
          <t>~165 triệu (AC-130J)</t>
        </is>
      </c>
      <c r="F47" s="41" t="n"/>
      <c r="G47" s="41" t="n"/>
      <c r="H47" s="41" t="n"/>
      <c r="I47" s="58">
        <f>IFERROR(G47/H47,"")</f>
        <v/>
      </c>
      <c r="J47" s="58">
        <f>IFERROR(ROUND(D47*I47,1),"")</f>
        <v/>
      </c>
      <c r="K47" s="43" t="n">
        <v>22</v>
      </c>
      <c r="L47" s="41" t="inlineStr">
        <is>
          <t>Không có số đo (xe hỗ trợ hoặc boss hộ tống).</t>
        </is>
      </c>
    </row>
    <row r="48" ht="15" customHeight="1" s="32">
      <c r="A48" s="39"/>
      <c r="B48" s="39"/>
      <c r="C48" s="39"/>
      <c r="D48" s="42"/>
      <c r="E48" s="39"/>
      <c r="F48" s="39"/>
      <c r="G48" s="42"/>
      <c r="H48" s="42"/>
      <c r="I48" s="56"/>
      <c r="J48" s="56"/>
      <c r="K48" s="42"/>
      <c r="L48" s="39"/>
    </row>
    <row r="49" ht="15" customHeight="1" s="32">
      <c r="A49" s="41" t="inlineStr">
        <is>
          <t>armored_bulldozer</t>
        </is>
      </c>
      <c r="B49" s="41" t="inlineStr">
        <is>
          <t>Xe ủi bọc thép</t>
        </is>
      </c>
      <c r="C49" s="41" t="inlineStr">
        <is>
          <t>Heavy</t>
        </is>
      </c>
      <c r="D49" s="43" t="n">
        <v>7</v>
      </c>
      <c r="E49" s="41" t="inlineStr">
        <is>
          <t>~1–2 triệu</t>
        </is>
      </c>
      <c r="F49" s="41" t="inlineStr">
        <is>
          <t>nhẹ+tăng+công sự</t>
        </is>
      </c>
      <c r="G49" s="43" t="n">
        <v>376</v>
      </c>
      <c r="H49" s="43" t="n">
        <v>393</v>
      </c>
      <c r="I49" s="58">
        <f>IFERROR(G49/H49,"")</f>
        <v/>
      </c>
      <c r="J49" s="58">
        <f>IFERROR(ROUND(D49*I49,1),"")</f>
        <v/>
      </c>
      <c r="K49" s="43" t="n">
        <v>7</v>
      </c>
      <c r="L49" s="41" t="inlineStr">
        <is>
          <t>Giữ: hiệu quả trong khoảng ±25% trung vị, và thứ tự giá hợp với ngoài đời.</t>
        </is>
      </c>
    </row>
    <row r="50" ht="15" customHeight="1" s="32">
      <c r="A50" s="39" t="inlineStr">
        <is>
          <t>main_battle_tank</t>
        </is>
      </c>
      <c r="B50" s="39" t="inlineStr">
        <is>
          <t>Tăng chủ lực</t>
        </is>
      </c>
      <c r="C50" s="39" t="inlineStr">
        <is>
          <t>Heavy</t>
        </is>
      </c>
      <c r="D50" s="42" t="n">
        <v>7</v>
      </c>
      <c r="E50" s="39" t="inlineStr">
        <is>
          <t>~6–9 triệu</t>
        </is>
      </c>
      <c r="F50" s="39" t="inlineStr">
        <is>
          <t>nhẹ+tăng+công sự</t>
        </is>
      </c>
      <c r="G50" s="42" t="n">
        <v>332</v>
      </c>
      <c r="H50" s="42" t="n">
        <v>393</v>
      </c>
      <c r="I50" s="56">
        <f>IFERROR(G50/H50,"")</f>
        <v/>
      </c>
      <c r="J50" s="56">
        <f>IFERROR(ROUND(D50*I50,1),"")</f>
        <v/>
      </c>
      <c r="K50" s="42" t="n">
        <v>7</v>
      </c>
      <c r="L50" s="39" t="inlineStr">
        <is>
          <t>Giữ: hiệu quả trong khoảng ±25% trung vị, và thứ tự giá hợp với ngoài đời.</t>
        </is>
      </c>
    </row>
    <row r="51" ht="15" customHeight="1" s="32">
      <c r="A51" s="41" t="inlineStr">
        <is>
          <t>twin_tank</t>
        </is>
      </c>
      <c r="B51" s="41" t="inlineStr">
        <is>
          <t>Tăng hai nòng</t>
        </is>
      </c>
      <c r="C51" s="41" t="inlineStr">
        <is>
          <t>Heavy</t>
        </is>
      </c>
      <c r="D51" s="43" t="n">
        <v>9</v>
      </c>
      <c r="E51" s="41" t="inlineStr">
        <is>
          <t>— (giả tưởng)</t>
        </is>
      </c>
      <c r="F51" s="41" t="inlineStr">
        <is>
          <t>nhẹ+tăng+công sự</t>
        </is>
      </c>
      <c r="G51" s="43" t="n">
        <v>410</v>
      </c>
      <c r="H51" s="43" t="n">
        <v>393</v>
      </c>
      <c r="I51" s="58">
        <f>IFERROR(G51/H51,"")</f>
        <v/>
      </c>
      <c r="J51" s="58">
        <f>IFERROR(ROUND(D51*I51,1),"")</f>
        <v/>
      </c>
      <c r="K51" s="43" t="n">
        <v>9</v>
      </c>
      <c r="L51" s="41" t="inlineStr">
        <is>
          <t>Giữ: hiệu quả trong khoảng ±25% trung vị, và thứ tự giá hợp với ngoài đời.</t>
        </is>
      </c>
    </row>
    <row r="52" ht="15" customHeight="1" s="32">
      <c r="A52" s="39" t="inlineStr">
        <is>
          <t>heavy_tank</t>
        </is>
      </c>
      <c r="B52" s="39" t="inlineStr">
        <is>
          <t>Tăng hạng nặng</t>
        </is>
      </c>
      <c r="C52" s="39" t="inlineStr">
        <is>
          <t>Heavy</t>
        </is>
      </c>
      <c r="D52" s="42" t="n">
        <v>12</v>
      </c>
      <c r="E52" s="39" t="inlineStr">
        <is>
          <t>~10 triệu (nguyên mẫu)</t>
        </is>
      </c>
      <c r="F52" s="39" t="inlineStr">
        <is>
          <t>nhẹ+tăng+công sự</t>
        </is>
      </c>
      <c r="G52" s="42" t="n">
        <v>455</v>
      </c>
      <c r="H52" s="42" t="n">
        <v>393</v>
      </c>
      <c r="I52" s="56">
        <f>IFERROR(G52/H52,"")</f>
        <v/>
      </c>
      <c r="J52" s="56">
        <f>IFERROR(ROUND(D52*I52,1),"")</f>
        <v/>
      </c>
      <c r="K52" s="42" t="n">
        <v>13</v>
      </c>
      <c r="L52" s="39" t="inlineStr">
        <is>
          <t>Giữ: hiệu quả trong khoảng ±25% trung vị, và thứ tự giá hợp với ngoài đời.</t>
        </is>
      </c>
    </row>
    <row r="53" ht="15" customHeight="1" s="32">
      <c r="A53" s="41" t="inlineStr">
        <is>
          <t>titan_tank</t>
        </is>
      </c>
      <c r="B53" s="41" t="inlineStr">
        <is>
          <t>Siêu tăng Titan</t>
        </is>
      </c>
      <c r="C53" s="41" t="inlineStr">
        <is>
          <t>Heavy</t>
        </is>
      </c>
      <c r="D53" s="43" t="n">
        <v>16</v>
      </c>
      <c r="E53" s="41" t="inlineStr">
        <is>
          <t>— (giả tưởng)</t>
        </is>
      </c>
      <c r="F53" s="41" t="inlineStr">
        <is>
          <t>nhẹ+tăng+công sự</t>
        </is>
      </c>
      <c r="G53" s="43" t="n">
        <v>534</v>
      </c>
      <c r="H53" s="43" t="n">
        <v>393</v>
      </c>
      <c r="I53" s="58">
        <f>IFERROR(G53/H53,"")</f>
        <v/>
      </c>
      <c r="J53" s="58">
        <f>IFERROR(ROUND(D53*I53,1),"")</f>
        <v/>
      </c>
      <c r="K53" s="43" t="n">
        <v>18</v>
      </c>
      <c r="L53" s="41" t="inlineStr">
        <is>
          <t>Giữ: hiệu quả trong khoảng ±25% trung vị, và thứ tự giá hợp với ngoài đời.</t>
        </is>
      </c>
    </row>
    <row r="54" ht="15" customHeight="1" s="32">
      <c r="A54" s="39" t="inlineStr">
        <is>
          <t>fpv_carrier</t>
        </is>
      </c>
      <c r="B54" s="39" t="inlineStr">
        <is>
          <t>Xe phóng drone FPV</t>
        </is>
      </c>
      <c r="C54" s="39" t="inlineStr">
        <is>
          <t>TankHunter</t>
        </is>
      </c>
      <c r="D54" s="42" t="n">
        <v>6</v>
      </c>
      <c r="E54" s="39" t="inlineStr">
        <is>
          <t>~0,6 triệu xe + ~500 USD/drone</t>
        </is>
      </c>
      <c r="F54" s="39" t="inlineStr">
        <is>
          <t>tăng</t>
        </is>
      </c>
      <c r="G54" s="42" t="n">
        <v>500</v>
      </c>
      <c r="H54" s="42" t="n">
        <v>466</v>
      </c>
      <c r="I54" s="56">
        <f>IFERROR(G54/H54,"")</f>
        <v/>
      </c>
      <c r="J54" s="56">
        <f>IFERROR(ROUND(D54*I54,1),"")</f>
        <v/>
      </c>
      <c r="K54" s="42" t="n">
        <v>6</v>
      </c>
      <c r="L54" s="39" t="inlineStr">
        <is>
          <t>Giữ: hiệu quả trong khoảng ±25% trung vị, và thứ tự giá hợp với ngoài đời.</t>
        </is>
      </c>
    </row>
    <row r="55" ht="15" customHeight="1" s="32">
      <c r="A55" s="41"/>
      <c r="B55" s="41"/>
      <c r="C55" s="41"/>
      <c r="D55" s="43"/>
      <c r="E55" s="41"/>
      <c r="F55" s="41"/>
      <c r="G55" s="43"/>
      <c r="H55" s="43"/>
      <c r="I55" s="58"/>
      <c r="J55" s="58"/>
      <c r="K55" s="43"/>
      <c r="L55" s="41"/>
    </row>
    <row r="56" ht="15" customHeight="1" s="32">
      <c r="A56" s="39" t="inlineStr">
        <is>
          <t>wheeled_gun</t>
        </is>
      </c>
      <c r="B56" s="39" t="inlineStr">
        <is>
          <t>Pháo bánh lốp diệt tăng</t>
        </is>
      </c>
      <c r="C56" s="39" t="inlineStr">
        <is>
          <t>TankHunter</t>
        </is>
      </c>
      <c r="D56" s="42" t="n">
        <v>6</v>
      </c>
      <c r="E56" s="39" t="inlineStr">
        <is>
          <t>~9 triệu</t>
        </is>
      </c>
      <c r="F56" s="39" t="inlineStr">
        <is>
          <t>tăng</t>
        </is>
      </c>
      <c r="G56" s="42" t="n">
        <v>469</v>
      </c>
      <c r="H56" s="42" t="n">
        <v>466</v>
      </c>
      <c r="I56" s="56">
        <f>IFERROR(G56/H56,"")</f>
        <v/>
      </c>
      <c r="J56" s="56">
        <f>IFERROR(ROUND(D56*I56,1),"")</f>
        <v/>
      </c>
      <c r="K56" s="42" t="n">
        <v>6</v>
      </c>
      <c r="L56" s="39" t="inlineStr">
        <is>
          <t>Giữ: hiệu quả trong khoảng ±25% trung vị, và thứ tự giá hợp với ngoài đời.</t>
        </is>
      </c>
    </row>
    <row r="57" ht="15" customHeight="1" s="32">
      <c r="A57" s="41" t="inlineStr">
        <is>
          <t>tank_destroyer</t>
        </is>
      </c>
      <c r="B57" s="41" t="inlineStr">
        <is>
          <t>Pháo chống tăng</t>
        </is>
      </c>
      <c r="C57" s="41" t="inlineStr">
        <is>
          <t>TankHunter</t>
        </is>
      </c>
      <c r="D57" s="43" t="n">
        <v>7</v>
      </c>
      <c r="E57" s="41" t="inlineStr">
        <is>
          <t>~3–4 triệu</t>
        </is>
      </c>
      <c r="F57" s="41" t="inlineStr">
        <is>
          <t>tăng</t>
        </is>
      </c>
      <c r="G57" s="43" t="n">
        <v>366</v>
      </c>
      <c r="H57" s="43" t="n">
        <v>466</v>
      </c>
      <c r="I57" s="58">
        <f>IFERROR(G57/H57,"")</f>
        <v/>
      </c>
      <c r="J57" s="58">
        <f>IFERROR(ROUND(D57*I57,1),"")</f>
        <v/>
      </c>
      <c r="K57" s="43" t="n">
        <v>6</v>
      </c>
      <c r="L57" s="41" t="inlineStr">
        <is>
          <t>2S25 Sprut-SD là pháo chống tăng thả dù, giáp rất mỏng.</t>
        </is>
      </c>
    </row>
    <row r="58" ht="15" customHeight="1" s="32">
      <c r="A58" s="39" t="inlineStr">
        <is>
          <t>railgun_truck</t>
        </is>
      </c>
      <c r="B58" s="39" t="inlineStr">
        <is>
          <t>Xe súng điện từ</t>
        </is>
      </c>
      <c r="C58" s="39" t="inlineStr">
        <is>
          <t>TankHunter</t>
        </is>
      </c>
      <c r="D58" s="42" t="n">
        <v>9</v>
      </c>
      <c r="E58" s="39" t="inlineStr">
        <is>
          <t>— (giả tưởng)</t>
        </is>
      </c>
      <c r="F58" s="39" t="inlineStr">
        <is>
          <t>tăng</t>
        </is>
      </c>
      <c r="G58" s="42" t="n">
        <v>570</v>
      </c>
      <c r="H58" s="42" t="n">
        <v>466</v>
      </c>
      <c r="I58" s="56">
        <f>IFERROR(G58/H58,"")</f>
        <v/>
      </c>
      <c r="J58" s="56">
        <f>IFERROR(ROUND(D58*I58,1),"")</f>
        <v/>
      </c>
      <c r="K58" s="42" t="n">
        <v>10</v>
      </c>
      <c r="L58" s="39" t="inlineStr">
        <is>
          <t>Mạnh nhất nhóm diệt tăng.</t>
        </is>
      </c>
    </row>
    <row r="59" ht="15" customHeight="1" s="32">
      <c r="A59" s="41" t="inlineStr">
        <is>
          <t>laser_tank</t>
        </is>
      </c>
      <c r="B59" s="41" t="inlineStr">
        <is>
          <t>Xe la-de tập trung</t>
        </is>
      </c>
      <c r="C59" s="41" t="inlineStr">
        <is>
          <t>TankHunter</t>
        </is>
      </c>
      <c r="D59" s="43" t="n">
        <v>10</v>
      </c>
      <c r="E59" s="41" t="inlineStr">
        <is>
          <t>— (giả tưởng)</t>
        </is>
      </c>
      <c r="F59" s="41" t="inlineStr">
        <is>
          <t>tăng</t>
        </is>
      </c>
      <c r="G59" s="43" t="n">
        <v>335</v>
      </c>
      <c r="H59" s="43" t="n">
        <v>466</v>
      </c>
      <c r="I59" s="58">
        <f>IFERROR(G59/H59,"")</f>
        <v/>
      </c>
      <c r="J59" s="58">
        <f>IFERROR(ROUND(D59*I59,1),"")</f>
        <v/>
      </c>
      <c r="K59" s="43" t="n">
        <v>9</v>
      </c>
      <c r="L59" s="41" t="inlineStr">
        <is>
          <t>Kém Pháo điện từ rẻ hơn ở chính vai trò diệt tăng.</t>
        </is>
      </c>
    </row>
  </sheetData>
  <autoFilter ref="A1:L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0" customWidth="1" style="31" min="1" max="1"/>
    <col width="34" customWidth="1" style="31" min="2" max="2"/>
    <col width="60" customWidth="1" style="31" min="3" max="4"/>
    <col width="8" customWidth="1" style="31" min="5" max="5"/>
  </cols>
  <sheetData>
    <row r="1" ht="42" customHeight="1" s="32">
      <c r="A1" s="37" t="inlineStr">
        <is>
          <t>Thẻ</t>
        </is>
      </c>
      <c r="B1" s="44" t="inlineStr">
        <is>
          <t>Hiện tại</t>
        </is>
      </c>
      <c r="C1" s="45" t="inlineStr">
        <is>
          <t>Đề xuất</t>
        </is>
      </c>
      <c r="D1" s="46" t="inlineStr">
        <is>
          <t>Lý do thay đổi</t>
        </is>
      </c>
      <c r="E1" s="46" t="inlineStr">
        <is>
          <t>Ưu tiên</t>
        </is>
      </c>
    </row>
    <row r="2" ht="21.75" customHeight="1" s="32">
      <c r="A2" s="39" t="inlineStr">
        <is>
          <t>Không kích</t>
        </is>
      </c>
      <c r="B2" s="39" t="inlineStr">
        <is>
          <t>9 CP · 6 quả × 800 · bán kính 6</t>
        </is>
      </c>
      <c r="C2" s="39" t="inlineStr">
        <is>
          <t>4 quả FAB-500 × 420, bán kính 10 m (theo thang bom), giữ 9 CP; hoặc 6 quả FAB-250 × 310, bán kính 8 m, 8 CP.</t>
        </is>
      </c>
      <c r="D2" s="39" t="inlineStr">
        <is>
          <t>800 mỗi quả tương đương bom ~900 kg, cao hơn bom FAB-500 trên Oanh tạc cơ (420) và đi ngược hướng giảm đã đề ra (400).</t>
        </is>
      </c>
      <c r="E2" s="47" t="inlineStr">
        <is>
          <t>Cao</t>
        </is>
      </c>
    </row>
    <row r="3" ht="15" customHeight="1" s="32">
      <c r="A3" s="41" t="inlineStr">
        <is>
          <t>Pháo kích</t>
        </is>
      </c>
      <c r="B3" s="41" t="inlineStr">
        <is>
          <t>5 CP · 8 phát × 320 · bán kính 10</t>
        </is>
      </c>
      <c r="C3" s="41" t="inlineStr">
        <is>
          <t>Bán kính 10→7 m, hoặc 8→6 phát.</t>
        </is>
      </c>
      <c r="D3" s="41" t="inlineStr">
        <is>
          <t>Đạn 155 mm trên pháo có bán kính 7 m nhưng thẻ là 10 m: mạnh so với giá.</t>
        </is>
      </c>
      <c r="E3" s="48" t="inlineStr">
        <is>
          <t>Trung</t>
        </is>
      </c>
    </row>
    <row r="4" ht="21.75" customHeight="1" s="32">
      <c r="A4" s="39" t="inlineStr">
        <is>
          <t>Tên lửa hành trình</t>
        </is>
      </c>
      <c r="B4" s="39" t="inlineStr">
        <is>
          <t>14 CP · 1.040 · bán kính 15</t>
        </is>
      </c>
      <c r="C4" s="39" t="inlineStr">
        <is>
          <t>Sát thương 1.040→600, bán kính 15→10; hoặc giữ sát thương nhưng thành đầu nổ chùm (nhiều điểm nhỏ).</t>
        </is>
      </c>
      <c r="D4" s="39" t="inlineStr">
        <is>
          <t>Tomahawk ngoài đời đầu nổ ~450 kg; theo thang ~420–450, bán kính ~9–10 m. 15 m gần nửa MOAB.</t>
        </is>
      </c>
      <c r="E4" s="48" t="inlineStr">
        <is>
          <t>Trung</t>
        </is>
      </c>
    </row>
    <row r="5" ht="15" customHeight="1" s="32">
      <c r="A5" s="41" t="inlineStr">
        <is>
          <t>Bom napalm</t>
        </is>
      </c>
      <c r="B5" s="41" t="inlineStr">
        <is>
          <t>9 CP · 8 × 300 · bán kính 5</t>
        </is>
      </c>
      <c r="C5" s="41" t="inlineStr">
        <is>
          <t>Giữ.</t>
        </is>
      </c>
      <c r="D5" s="41" t="inlineStr">
        <is>
          <t>Ổn.</t>
        </is>
      </c>
      <c r="E5" s="49" t="inlineStr">
        <is>
          <t>Thấp</t>
        </is>
      </c>
    </row>
    <row r="6" ht="15" customHeight="1" s="32">
      <c r="A6" s="39" t="inlineStr">
        <is>
          <t>Đòn SEAD</t>
        </is>
      </c>
      <c r="B6" s="39" t="inlineStr">
        <is>
          <t>7 CP · 500</t>
        </is>
      </c>
      <c r="C6" s="39" t="inlineStr">
        <is>
          <t>Giữ.</t>
        </is>
      </c>
      <c r="D6" s="39" t="inlineStr">
        <is>
          <t>Ổn.</t>
        </is>
      </c>
      <c r="E6" s="49" t="inlineStr">
        <is>
          <t>Thấp</t>
        </is>
      </c>
    </row>
    <row r="7" ht="21.75" customHeight="1" s="32">
      <c r="A7" s="41" t="inlineStr">
        <is>
          <t>Màn khói, UAV quét, Sửa chữa, Tháp dã chiến</t>
        </is>
      </c>
      <c r="B7" s="41" t="inlineStr">
        <is>
          <t>—</t>
        </is>
      </c>
      <c r="C7" s="41" t="inlineStr">
        <is>
          <t>Giữ.</t>
        </is>
      </c>
      <c r="D7" s="41" t="inlineStr">
        <is>
          <t>Ổn.</t>
        </is>
      </c>
      <c r="E7" s="49" t="inlineStr">
        <is>
          <t>Thấp</t>
        </is>
      </c>
    </row>
  </sheetData>
  <autoFilter ref="A1:E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K1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6" customWidth="1" style="31" min="1" max="1"/>
    <col width="6" customWidth="1" style="31" min="2" max="2"/>
    <col width="7" customWidth="1" style="31" min="3" max="3"/>
    <col width="55" customWidth="1" style="31" min="4" max="4"/>
    <col width="16" customWidth="1" style="31" min="5" max="5"/>
    <col width="12" customWidth="1" style="31" min="6" max="6"/>
    <col width="9" customWidth="1" style="31" min="7" max="7"/>
    <col width="34" customWidth="1" style="31" min="8" max="8"/>
    <col width="45" customWidth="1" style="31" min="9" max="9"/>
    <col width="26" customWidth="1" style="31" min="10" max="10"/>
    <col width="30" customWidth="1" style="31" min="11" max="11"/>
  </cols>
  <sheetData>
    <row r="1" ht="42" customHeight="1" s="32">
      <c r="A1" s="37" t="inlineStr">
        <is>
          <t>Thẻ</t>
        </is>
      </c>
      <c r="B1" s="37" t="inlineStr">
        <is>
          <t>CP</t>
        </is>
      </c>
      <c r="C1" s="37" t="inlineStr">
        <is>
          <t>Hồi (s)</t>
        </is>
      </c>
      <c r="D1" s="37" t="inlineStr">
        <is>
          <t>Tác dụng</t>
        </is>
      </c>
      <c r="E1" s="37" t="inlineStr">
        <is>
          <t>Sát thương</t>
        </is>
      </c>
      <c r="F1" s="37" t="inlineStr">
        <is>
          <t>Vùng</t>
        </is>
      </c>
      <c r="G1" s="37" t="inlineStr">
        <is>
          <t>Thời gian</t>
        </is>
      </c>
      <c r="H1" s="37" t="inlineStr">
        <is>
          <t>Mục đích</t>
        </is>
      </c>
      <c r="I1" s="44" t="inlineStr">
        <is>
          <t>Khác gì thẻ hiện có</t>
        </is>
      </c>
      <c r="J1" s="37" t="inlineStr">
        <is>
          <t>Tham khảo</t>
        </is>
      </c>
      <c r="K1" s="45" t="inlineStr">
        <is>
          <t>Mở khóa đề xuất</t>
        </is>
      </c>
    </row>
    <row r="2" ht="21.75" customHeight="1" s="32">
      <c r="A2" s="39" t="inlineStr">
        <is>
          <t>Bom lượn</t>
        </is>
      </c>
      <c r="B2" s="42" t="n">
        <v>8</v>
      </c>
      <c r="C2" s="42" t="n">
        <v>90</v>
      </c>
      <c r="D2" s="39" t="inlineStr">
        <is>
          <t>Thả 2 bom lượn từ ngoài tầm phòng không gần; bom bay 4 s và bắn hạ được</t>
        </is>
      </c>
      <c r="E2" s="39" t="inlineStr">
        <is>
          <t>2 × 420</t>
        </is>
      </c>
      <c r="F2" s="39" t="inlineStr">
        <is>
          <t>nổ lan 10 m</t>
        </is>
      </c>
      <c r="G2" s="39" t="inlineStr">
        <is>
          <t>—</t>
        </is>
      </c>
      <c r="H2" s="39" t="inlineStr">
        <is>
          <t>Đánh căn cứ có phòng không mạnh</t>
        </is>
      </c>
      <c r="I2" s="39" t="inlineStr">
        <is>
          <t>Không kích phải bay qua mục tiêu; bom lượn thả từ xa nhưng bị bắn hạ</t>
        </is>
      </c>
      <c r="J2" s="39" t="inlineStr">
        <is>
          <t>Su-34 + UMPK</t>
        </is>
      </c>
      <c r="K2" s="39" t="inlineStr">
        <is>
          <t>Cửa hàng: 1.500 xu (CP ≤ 5) / 2.500 xu (CP ≥ 6), hoặc thưởng chương</t>
        </is>
      </c>
    </row>
    <row r="3" ht="15" customHeight="1" s="32">
      <c r="A3" s="41" t="inlineStr">
        <is>
          <t>Đạn pháo dẫn đường</t>
        </is>
      </c>
      <c r="B3" s="43" t="n">
        <v>4</v>
      </c>
      <c r="C3" s="43" t="n">
        <v>45</v>
      </c>
      <c r="D3" s="41" t="inlineStr">
        <is>
          <t>1 phát lựu pháo không tản mát vào đúng điểm chọn</t>
        </is>
      </c>
      <c r="E3" s="41" t="inlineStr">
        <is>
          <t>360</t>
        </is>
      </c>
      <c r="F3" s="41" t="inlineStr">
        <is>
          <t>nổ lan 6 m</t>
        </is>
      </c>
      <c r="G3" s="41" t="inlineStr">
        <is>
          <t>—</t>
        </is>
      </c>
      <c r="H3" s="41" t="inlineStr">
        <is>
          <t>Hạ 1 mục tiêu đứng yên chắc chắn</t>
        </is>
      </c>
      <c r="I3" s="41" t="inlineStr">
        <is>
          <t>Pháo kích là 8 phát tản mát</t>
        </is>
      </c>
      <c r="J3" s="41" t="inlineStr">
        <is>
          <t>M982 Excalibur, Krasnopol</t>
        </is>
      </c>
      <c r="K3" s="41" t="inlineStr">
        <is>
          <t>Cửa hàng: 1.500 xu (CP ≤ 5) / 2.500 xu (CP ≥ 6), hoặc thưởng chương</t>
        </is>
      </c>
    </row>
    <row r="4" ht="21.75" customHeight="1" s="32">
      <c r="A4" s="39" t="inlineStr">
        <is>
          <t>Bom chùm chống tăng</t>
        </is>
      </c>
      <c r="B4" s="42" t="n">
        <v>9</v>
      </c>
      <c r="C4" s="42" t="n">
        <v>90</v>
      </c>
      <c r="D4" s="39" t="inlineStr">
        <is>
          <t>10 đầu đạn con tự tìm xe trong vùng, đánh nóc</t>
        </is>
      </c>
      <c r="E4" s="39" t="inlineStr">
        <is>
          <t>10 × 160 (xuyên 4)</t>
        </is>
      </c>
      <c r="F4" s="39" t="inlineStr">
        <is>
          <t>vùng 25 m</t>
        </is>
      </c>
      <c r="G4" s="39" t="inlineStr">
        <is>
          <t>—</t>
        </is>
      </c>
      <c r="H4" s="39" t="inlineStr">
        <is>
          <t>Diệt cụm xe tăng</t>
        </is>
      </c>
      <c r="I4" s="39" t="inlineStr">
        <is>
          <t>Không kích/Bom napalm mạnh với xe nhẹ và công trình, yếu với tăng</t>
        </is>
      </c>
      <c r="J4" s="39" t="inlineStr">
        <is>
          <t>CBU-97 SFW</t>
        </is>
      </c>
      <c r="K4" s="39" t="inlineStr">
        <is>
          <t>Cửa hàng: 1.500 xu (CP ≤ 5) / 2.500 xu (CP ≥ 6), hoặc thưởng chương</t>
        </is>
      </c>
    </row>
    <row r="5" ht="21.75" customHeight="1" s="32">
      <c r="A5" s="41" t="inlineStr">
        <is>
          <t>UAV lượn tấn công</t>
        </is>
      </c>
      <c r="B5" s="43" t="n">
        <v>6</v>
      </c>
      <c r="C5" s="43" t="n">
        <v>75</v>
      </c>
      <c r="D5" s="41" t="inlineStr">
        <is>
          <t>Một UAV lượn trên vùng 20 s, tự bắn 3 tên lửa vào xe địch mạnh nhất</t>
        </is>
      </c>
      <c r="E5" s="41" t="inlineStr">
        <is>
          <t>3 × 260</t>
        </is>
      </c>
      <c r="F5" s="41" t="inlineStr">
        <is>
          <t>vùng 40 m</t>
        </is>
      </c>
      <c r="G5" s="41" t="inlineStr">
        <is>
          <t>20 s</t>
        </is>
      </c>
      <c r="H5" s="41" t="inlineStr">
        <is>
          <t>Yểm trợ kéo dài, bị phòng không bắn hạ được</t>
        </is>
      </c>
      <c r="I5" s="41" t="inlineStr">
        <is>
          <t>Các thẻ khác là đòn tức thì</t>
        </is>
      </c>
      <c r="J5" s="41" t="inlineStr">
        <is>
          <t>MQ-9 / TB2 trên trời</t>
        </is>
      </c>
      <c r="K5" s="41" t="inlineStr">
        <is>
          <t>Cửa hàng: 1.500 xu (CP ≤ 5) / 2.500 xu (CP ≥ 6), hoặc thưởng chương</t>
        </is>
      </c>
    </row>
    <row r="6" ht="15" customHeight="1" s="32">
      <c r="A6" s="39" t="inlineStr">
        <is>
          <t>Thả dù tiếp đạn</t>
        </is>
      </c>
      <c r="B6" s="42" t="n">
        <v>3</v>
      </c>
      <c r="C6" s="42" t="n">
        <v>60</v>
      </c>
      <c r="D6" s="39" t="inlineStr">
        <is>
          <t>Nạp đầy đạn cho mọi xe ta trong vùng</t>
        </is>
      </c>
      <c r="E6" s="39" t="inlineStr">
        <is>
          <t>—</t>
        </is>
      </c>
      <c r="F6" s="39" t="inlineStr">
        <is>
          <t>vùng 15 m</t>
        </is>
      </c>
      <c r="G6" s="39" t="inlineStr">
        <is>
          <t>—</t>
        </is>
      </c>
      <c r="H6" s="39" t="inlineStr">
        <is>
          <t>Giữ nhịp cho pháo binh và máy bay hết đạn</t>
        </is>
      </c>
      <c r="I6" s="39" t="inlineStr">
        <is>
          <t>Sửa chữa chỉ hồi máu</t>
        </is>
      </c>
      <c r="J6" s="39" t="inlineStr">
        <is>
          <t>Thả dù tiếp tế</t>
        </is>
      </c>
      <c r="K6" s="39" t="inlineStr">
        <is>
          <t>Cửa hàng: 1.500 xu (CP ≤ 5) / 2.500 xu (CP ≥ 6), hoặc thưởng chương</t>
        </is>
      </c>
    </row>
    <row r="7" ht="21.75" customHeight="1" s="32">
      <c r="A7" s="41" t="inlineStr">
        <is>
          <t>Bão gây nhiễu</t>
        </is>
      </c>
      <c r="B7" s="43" t="n">
        <v>5</v>
      </c>
      <c r="C7" s="43" t="n">
        <v>90</v>
      </c>
      <c r="D7" s="41" t="inlineStr">
        <is>
          <t>Vùng gây nhiễu: drone địch rơi, tên lửa dẫn đường của địch trượt 60%, bản đồ nhỏ địch mất vùng đó</t>
        </is>
      </c>
      <c r="E7" s="41" t="inlineStr">
        <is>
          <t>—</t>
        </is>
      </c>
      <c r="F7" s="41" t="inlineStr">
        <is>
          <t>vùng 30 m</t>
        </is>
      </c>
      <c r="G7" s="41" t="inlineStr">
        <is>
          <t>10 s</t>
        </is>
      </c>
      <c r="H7" s="41" t="inlineStr">
        <is>
          <t>Chặn một đợt drone hoặc tên lửa</t>
        </is>
      </c>
      <c r="I7" s="41" t="inlineStr">
        <is>
          <t>Màn khói chặn tầm nhìn và laser, không chặn dẫn đường vô tuyến</t>
        </is>
      </c>
      <c r="J7" s="41" t="inlineStr">
        <is>
          <t>Krasukha, Pole-21</t>
        </is>
      </c>
      <c r="K7" s="41" t="inlineStr">
        <is>
          <t>Cửa hàng: 1.500 xu (CP ≤ 5) / 2.500 xu (CP ≥ 6), hoặc thưởng chương</t>
        </is>
      </c>
    </row>
    <row r="8" ht="21.75" customHeight="1" s="32">
      <c r="A8" s="39" t="inlineStr">
        <is>
          <t>Pháo sáng chiếu sáng</t>
        </is>
      </c>
      <c r="B8" s="42" t="n">
        <v>1</v>
      </c>
      <c r="C8" s="42" t="n">
        <v>30</v>
      </c>
      <c r="D8" s="39" t="inlineStr">
        <is>
          <t>Lộ mọi thứ trong vùng ban đêm và sương mù</t>
        </is>
      </c>
      <c r="E8" s="39" t="inlineStr">
        <is>
          <t>—</t>
        </is>
      </c>
      <c r="F8" s="39" t="inlineStr">
        <is>
          <t>vùng 35 m</t>
        </is>
      </c>
      <c r="G8" s="39" t="inlineStr">
        <is>
          <t>15 s</t>
        </is>
      </c>
      <c r="H8" s="39" t="inlineStr">
        <is>
          <t>Đối phó đêm và thời tiết</t>
        </is>
      </c>
      <c r="I8" s="39" t="inlineStr">
        <is>
          <t>UAV quét lộ cả tàng hình nhưng đắt hơn và không chống đêm</t>
        </is>
      </c>
      <c r="J8" s="39" t="inlineStr">
        <is>
          <t>Đạn pháo sáng</t>
        </is>
      </c>
      <c r="K8" s="39" t="inlineStr">
        <is>
          <t>Cửa hàng: 1.500 xu (CP ≤ 5) / 2.500 xu (CP ≥ 6), hoặc thưởng chương</t>
        </is>
      </c>
    </row>
    <row r="9" ht="15" customHeight="1" s="32">
      <c r="A9" s="41" t="inlineStr">
        <is>
          <t>Mồi nhử thả dù</t>
        </is>
      </c>
      <c r="B9" s="43" t="n">
        <v>2</v>
      </c>
      <c r="C9" s="43" t="n">
        <v>45</v>
      </c>
      <c r="D9" s="41" t="inlineStr">
        <is>
          <t>Thả 3 xe tăng bơm hơi; địch bắn vào chúng tới khi bị lộ</t>
        </is>
      </c>
      <c r="E9" s="41" t="inlineStr">
        <is>
          <t>—</t>
        </is>
      </c>
      <c r="F9" s="41" t="inlineStr">
        <is>
          <t>—</t>
        </is>
      </c>
      <c r="G9" s="41" t="inlineStr">
        <is>
          <t>30 s</t>
        </is>
      </c>
      <c r="H9" s="41" t="inlineStr">
        <is>
          <t>Hút hỏa lực địch</t>
        </is>
      </c>
      <c r="I9" s="41" t="inlineStr">
        <is>
          <t>Không thẻ nào đánh lừa</t>
        </is>
      </c>
      <c r="J9" s="41" t="inlineStr">
        <is>
          <t>Mồi nhử bơm hơi</t>
        </is>
      </c>
      <c r="K9" s="41" t="inlineStr">
        <is>
          <t>Cửa hàng: 1.500 xu (CP ≤ 5) / 2.500 xu (CP ≥ 6), hoặc thưởng chương</t>
        </is>
      </c>
    </row>
    <row r="10" ht="15" customHeight="1" s="32">
      <c r="A10" s="39" t="inlineStr">
        <is>
          <t>Phản pháo tức thì</t>
        </is>
      </c>
      <c r="B10" s="42" t="n">
        <v>6</v>
      </c>
      <c r="C10" s="42" t="n">
        <v>75</v>
      </c>
      <c r="D10" s="39" t="inlineStr">
        <is>
          <t>Mọi pháo binh địch vừa khai hỏa trong 10 s qua bị một loạt pháo đánh trả</t>
        </is>
      </c>
      <c r="E10" s="39" t="inlineStr">
        <is>
          <t>4 × 320 mỗi khẩu</t>
        </is>
      </c>
      <c r="F10" s="39" t="inlineStr">
        <is>
          <t>nổ lan 7 m</t>
        </is>
      </c>
      <c r="G10" s="39" t="inlineStr">
        <is>
          <t>—</t>
        </is>
      </c>
      <c r="H10" s="39" t="inlineStr">
        <is>
          <t>Trừng phạt pháo binh địch</t>
        </is>
      </c>
      <c r="I10" s="39" t="inlineStr">
        <is>
          <t>Radar phản pháo chỉ làm lộ</t>
        </is>
      </c>
      <c r="J10" s="39" t="inlineStr">
        <is>
          <t>Phản pháo có radar dẫn</t>
        </is>
      </c>
      <c r="K10" s="39" t="inlineStr">
        <is>
          <t>Cửa hàng: 1.500 xu (CP ≤ 5) / 2.500 xu (CP ≥ 6), hoặc thưởng chương</t>
        </is>
      </c>
    </row>
    <row r="11" ht="15" customHeight="1" s="32">
      <c r="A11" s="41" t="inlineStr">
        <is>
          <t>Đòn tên lửa đánh chặn drone</t>
        </is>
      </c>
      <c r="B11" s="43" t="n">
        <v>3</v>
      </c>
      <c r="C11" s="43" t="n">
        <v>40</v>
      </c>
      <c r="D11" s="41" t="inlineStr">
        <is>
          <t>Phóng 6 tên lửa nhỏ tự săn drone và đạn lảng vảng trong vùng</t>
        </is>
      </c>
      <c r="E11" s="41" t="inlineStr">
        <is>
          <t>6 × 120 (Mảnh)</t>
        </is>
      </c>
      <c r="F11" s="41" t="inlineStr">
        <is>
          <t>vùng 40 m</t>
        </is>
      </c>
      <c r="G11" s="41" t="inlineStr">
        <is>
          <t>—</t>
        </is>
      </c>
      <c r="H11" s="41" t="inlineStr">
        <is>
          <t>Dập một đợt bầy drone</t>
        </is>
      </c>
      <c r="I11" s="41" t="inlineStr">
        <is>
          <t>Chế áp phòng không đánh phòng không, không đánh drone</t>
        </is>
      </c>
      <c r="J11" s="41" t="inlineStr">
        <is>
          <t>Coyote Block 2</t>
        </is>
      </c>
      <c r="K11" s="41" t="inlineStr">
        <is>
          <t>Cửa hàng: 1.500 xu (CP ≤ 5) / 2.500 xu (CP ≥ 6), hoặc thưởng chương</t>
        </is>
      </c>
    </row>
    <row r="12" ht="15" customHeight="1" s="32">
      <c r="A12" s="39" t="inlineStr">
        <is>
          <t>Rải nhiễu radar (chaff)</t>
        </is>
      </c>
      <c r="B12" s="42" t="n">
        <v>2</v>
      </c>
      <c r="C12" s="42" t="n">
        <v>45</v>
      </c>
      <c r="D12" s="39" t="inlineStr">
        <is>
          <t>Máy bay và tên lửa phòng không địch trong vùng mất khóa mục tiêu</t>
        </is>
      </c>
      <c r="E12" s="39" t="inlineStr">
        <is>
          <t>—</t>
        </is>
      </c>
      <c r="F12" s="39" t="inlineStr">
        <is>
          <t>vùng 30 m</t>
        </is>
      </c>
      <c r="G12" s="39" t="inlineStr">
        <is>
          <t>8 s</t>
        </is>
      </c>
      <c r="H12" s="39" t="inlineStr">
        <is>
          <t>Mở hành lang cho máy bay ta</t>
        </is>
      </c>
      <c r="I12" s="39" t="inlineStr">
        <is>
          <t>Màn khói chỉ chặn tầm nhìn mặt đất</t>
        </is>
      </c>
      <c r="J12" s="39" t="inlineStr">
        <is>
          <t>Nhiễu sợi kim loại</t>
        </is>
      </c>
      <c r="K12" s="39" t="inlineStr">
        <is>
          <t>Cửa hàng: 1.500 xu (CP ≤ 5) / 2.500 xu (CP ≥ 6), hoặc thưởng chương</t>
        </is>
      </c>
    </row>
  </sheetData>
  <autoFilter ref="A1:K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L5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31" min="1" max="1"/>
    <col width="14" customWidth="1" style="31" min="2" max="2"/>
    <col width="9" customWidth="1" style="31" min="3" max="3"/>
    <col width="55" customWidth="1" style="31" min="4" max="4"/>
    <col width="42" customWidth="1" style="31" min="5" max="5"/>
    <col width="26" customWidth="1" style="31" min="6" max="6"/>
    <col width="32" customWidth="1" style="31" min="7" max="7"/>
    <col width="34" customWidth="1" style="31" min="8" max="8"/>
    <col width="40" customWidth="1" style="31" min="9" max="9"/>
    <col width="28" customWidth="1" style="31" min="10" max="10"/>
    <col width="8" customWidth="1" style="31" min="11" max="11"/>
    <col width="30" customWidth="1" style="31" min="12" max="12"/>
  </cols>
  <sheetData>
    <row r="1" ht="42" customHeight="1" s="32">
      <c r="A1" s="45" t="inlineStr">
        <is>
          <t>Tên đề xuất</t>
        </is>
      </c>
      <c r="B1" s="37" t="inlineStr">
        <is>
          <t>Nhóm</t>
        </is>
      </c>
      <c r="C1" s="37" t="inlineStr">
        <is>
          <t>Ô / CP</t>
        </is>
      </c>
      <c r="D1" s="37" t="inlineStr">
        <is>
          <t>Cơ chế</t>
        </is>
      </c>
      <c r="E1" s="37" t="inlineStr">
        <is>
          <t>Vũ khí gợi ý (cỡ, sát thương, nhịp, tầm)</t>
        </is>
      </c>
      <c r="F1" s="37" t="inlineStr">
        <is>
          <t>Máu / giáp / tốc độ gợi ý</t>
        </is>
      </c>
      <c r="G1" s="37" t="inlineStr">
        <is>
          <t>Tham khảo ngoài đời (mẫu)</t>
        </is>
      </c>
      <c r="H1" s="37" t="inlineStr">
        <is>
          <t>Tham khảo game (tên)</t>
        </is>
      </c>
      <c r="I1" s="37" t="inlineStr">
        <is>
          <t>Cảm giác khác khi chơi (so với)</t>
        </is>
      </c>
      <c r="J1" s="37" t="inlineStr">
        <is>
          <t>Trùng một phần với</t>
        </is>
      </c>
      <c r="K1" s="46" t="inlineStr">
        <is>
          <t>Ưu tiên</t>
        </is>
      </c>
      <c r="L1" s="45" t="inlineStr">
        <is>
          <t>Mở khóa đề xuất</t>
        </is>
      </c>
    </row>
    <row r="2" ht="21.75" customHeight="1" s="32">
      <c r="A2" s="39" t="inlineStr">
        <is>
          <t>Tháp cao xạ hạng nặng 100 mm (KS-19)</t>
        </is>
      </c>
      <c r="B2" s="39" t="inlineStr">
        <is>
          <t>Tháp phòng không</t>
        </is>
      </c>
      <c r="C2" s="39" t="inlineStr">
        <is>
          <t>Ô vừa</t>
        </is>
      </c>
      <c r="D2" s="39" t="inlineStr">
        <is>
          <t>Bắn chậm, đạn nổ trên không bán kính lớn; mạnh với oanh tạc cơ, máy bay mẹ, tốp máy bay bay dày; hạ nòng bắn được xe tăng ở xa.</t>
        </is>
      </c>
      <c r="E2" s="39" t="inlineStr">
        <is>
          <t>88 mm Mảnh xuyên 3 · 120/phát · 0,5 phát/s · nổ lan 6 m · tầm 70 (không) / 50 (đất)</t>
        </is>
      </c>
      <c r="F2" s="39" t="inlineStr">
        <is>
          <t>máu 3.000 · giáp 2</t>
        </is>
      </c>
      <c r="G2" s="39" t="inlineStr">
        <is>
          <t>KS-19 100 mm (1947)</t>
        </is>
      </c>
      <c r="H2" s="39" t="inlineStr">
        <is>
          <t>Red Alert 2 (Flak Cannon)</t>
        </is>
      </c>
      <c r="I2" s="39" t="inlineStr">
        <is>
          <t>Tiếng nổ trầm, cụm khói đen trên trời; khác hẳn luồng đạn 23–35 mm của Tháp phòng không</t>
        </is>
      </c>
      <c r="J2" s="39" t="inlineStr">
        <is>
          <t>Tháp phòng không, Patriot</t>
        </is>
      </c>
      <c r="K2" s="47" t="inlineStr">
        <is>
          <t>Cao</t>
        </is>
      </c>
      <c r="L2" s="39" t="inlineStr">
        <is>
          <t>Cửa hàng: 2.000 xu (ô nhỏ) / 3.000 xu (ô vừa, tiện ích); hoặc thưởng nhiệm vụ phụ</t>
        </is>
      </c>
    </row>
    <row r="3" ht="21.75" customHeight="1" s="32">
      <c r="A3" s="41" t="inlineStr">
        <is>
          <t>Xe cao xạ Bofors 40 mm</t>
        </is>
      </c>
      <c r="B3" s="41" t="inlineStr">
        <is>
          <t>Phòng không</t>
        </is>
      </c>
      <c r="C3" s="41" t="inlineStr">
        <is>
          <t>5 CP</t>
        </is>
      </c>
      <c r="D3" s="41" t="inlineStr">
        <is>
          <t>Ngòi cận đích, nhịp đều; mạnh với trực thăng, drone; bắn được xe nhẹ.</t>
        </is>
      </c>
      <c r="E3" s="41" t="inlineStr">
        <is>
          <t>40 mm Mảnh xuyên 2 · 30/phát · 4 viên/s · nổ lan 2,5 m · tầm 48</t>
        </is>
      </c>
      <c r="F3" s="41" t="inlineStr">
        <is>
          <t>máu 1.000 · giáp 1 · 8 m/s</t>
        </is>
      </c>
      <c r="G3" s="41" t="inlineStr">
        <is>
          <t>Bofors 40 mm L/70, M42 Duster, CV90 AA</t>
        </is>
      </c>
      <c r="H3" s="41" t="inlineStr">
        <is>
          <t>Company of Heroes (Bofors); Wargame</t>
        </is>
      </c>
      <c r="I3" s="41" t="inlineStr">
        <is>
          <t>Nhịp 'bùm-bùm' đều, giữa 23 mm (rất nhanh) và KS-19 100 mm (rất chậm)</t>
        </is>
      </c>
      <c r="J3" s="41" t="inlineStr">
        <is>
          <t>Xe phòng không (Gepard)</t>
        </is>
      </c>
      <c r="K3" s="48" t="inlineStr">
        <is>
          <t>Trung</t>
        </is>
      </c>
      <c r="L3" s="41" t="inlineStr">
        <is>
          <t>Cửa hàng: 1.500 xu</t>
        </is>
      </c>
    </row>
    <row r="4" ht="21.75" customHeight="1" s="32">
      <c r="A4" s="39" t="inlineStr">
        <is>
          <t>Xe tên lửa phòng không Avenger</t>
        </is>
      </c>
      <c r="B4" s="39" t="inlineStr">
        <is>
          <t>Phòng không</t>
        </is>
      </c>
      <c r="C4" s="39" t="inlineStr">
        <is>
          <t>4 CP</t>
        </is>
      </c>
      <c r="D4" s="39" t="inlineStr">
        <is>
          <t>Xe nhẹ nhanh, 8 tên lửa vác vai bắn liên tiếp rồi nạp lâu; vừa chạy vừa bắn.</t>
        </is>
      </c>
      <c r="E4" s="39" t="inlineStr">
        <is>
          <t>8 × Stinger 170/phát · loạt 8 · nạp 15 s · tầm 44 · tốc độ 42</t>
        </is>
      </c>
      <c r="F4" s="39" t="inlineStr">
        <is>
          <t>máu 700 · giáp 0 · 11 m/s</t>
        </is>
      </c>
      <c r="G4" s="39" t="inlineStr">
        <is>
          <t>M1097 Avenger, Stormer HVM</t>
        </is>
      </c>
      <c r="H4" s="39" t="inlineStr">
        <is>
          <t>Wargame; WARNO</t>
        </is>
      </c>
      <c r="I4" s="39" t="inlineStr">
        <is>
          <t>Xả một loạt tên lửa dày rồi 'đói đạn'; khác Buk bắn đều</t>
        </is>
      </c>
      <c r="J4" s="39" t="inlineStr">
        <is>
          <t>Tên lửa phòng không (Buk)</t>
        </is>
      </c>
      <c r="K4" s="48" t="inlineStr">
        <is>
          <t>Trung</t>
        </is>
      </c>
      <c r="L4" s="39" t="inlineStr">
        <is>
          <t>Cửa hàng: 1.500 xu</t>
        </is>
      </c>
    </row>
    <row r="5" ht="21.75" customHeight="1" s="32">
      <c r="A5" s="41" t="inlineStr">
        <is>
          <t>Xe vi sóng chống drone</t>
        </is>
      </c>
      <c r="B5" s="41" t="inlineStr">
        <is>
          <t>Phòng không</t>
        </is>
      </c>
      <c r="C5" s="41" t="inlineStr">
        <is>
          <t>6 CP</t>
        </is>
      </c>
      <c r="D5" s="41" t="inlineStr">
        <is>
          <t>Hình nón vi sóng làm rơi mọi drone trong vùng trong vài giây; không gây sát thương lên xe.</t>
        </is>
      </c>
      <c r="E5" s="41" t="inlineStr">
        <is>
          <t>Vi sóng · hình nón 60° · tầm 30 · hồi 8 s</t>
        </is>
      </c>
      <c r="F5" s="41" t="inlineStr">
        <is>
          <t>máu 900 · giáp 1</t>
        </is>
      </c>
      <c r="G5" s="41" t="inlineStr">
        <is>
          <t>Epirus Leonidas</t>
        </is>
      </c>
      <c r="H5" s="41" t="inlineStr">
        <is>
          <t>gần giống EMP (C&amp;C Generals)</t>
        </is>
      </c>
      <c r="I5" s="41" t="inlineStr">
        <is>
          <t>Cả bầy drone rơi cùng lúc; khác La-de PK bắn từng chiếc</t>
        </is>
      </c>
      <c r="J5" s="41" t="inlineStr">
        <is>
          <t>La-de PK, C-RAM, Tháp EW</t>
        </is>
      </c>
      <c r="K5" s="48" t="inlineStr">
        <is>
          <t>Trung</t>
        </is>
      </c>
      <c r="L5" s="41" t="inlineStr">
        <is>
          <t>Cửa hàng: 1.500 xu</t>
        </is>
      </c>
    </row>
    <row r="6" ht="21.75" customHeight="1" s="32">
      <c r="A6" s="39" t="inlineStr">
        <is>
          <t>Pháo phòng không tự hành 57 mm</t>
        </is>
      </c>
      <c r="B6" s="39" t="inlineStr">
        <is>
          <t>Phòng không</t>
        </is>
      </c>
      <c r="C6" s="39" t="inlineStr">
        <is>
          <t>6 CP</t>
        </is>
      </c>
      <c r="D6" s="39" t="inlineStr">
        <is>
          <t>Đạn lập trình nổ trên không tầm xa hơn 35 mm; bắn được cả xe bọc thép nhẹ.</t>
        </is>
      </c>
      <c r="E6" s="39" t="inlineStr">
        <is>
          <t>57 mm Mảnh xuyên 2 · 70/phát · 2 phát/s · nổ lan 3 m · tầm 52</t>
        </is>
      </c>
      <c r="F6" s="39" t="inlineStr">
        <is>
          <t>máu 1.400 · giáp 2 · 7 m/s</t>
        </is>
      </c>
      <c r="G6" s="39" t="inlineStr">
        <is>
          <t>2S38 Derivatsiya-PVO</t>
        </is>
      </c>
      <c r="H6" s="39" t="inlineStr">
        <is>
          <t>(mới)</t>
        </is>
      </c>
      <c r="I6" s="39" t="inlineStr">
        <is>
          <t>Phòng không 'nặng tay', bắn chậm mà đau</t>
        </is>
      </c>
      <c r="J6" s="39" t="inlineStr">
        <is>
          <t>Xe phòng không, Bofors</t>
        </is>
      </c>
      <c r="K6" s="49" t="inlineStr">
        <is>
          <t>Thấp</t>
        </is>
      </c>
      <c r="L6" s="39" t="inlineStr">
        <is>
          <t>Cửa hàng: 1.500 xu</t>
        </is>
      </c>
    </row>
    <row r="7" ht="21.75" customHeight="1" s="32">
      <c r="A7" s="41" t="inlineStr">
        <is>
          <t>Ụ pháo chống tăng</t>
        </is>
      </c>
      <c r="B7" s="41" t="inlineStr">
        <is>
          <t>Tháp</t>
        </is>
      </c>
      <c r="C7" s="41" t="inlineStr">
        <is>
          <t>Ô nhỏ</t>
        </is>
      </c>
      <c r="D7" s="41" t="inlineStr">
        <is>
          <t>Ô nhỏ hiện không có tháp chống tăng (trừ mìn); ụ pháo kéo rẻ, bắn xuyên, dễ bị pháo binh và bộ đội xe nhẹ áp sát diệt.</t>
        </is>
      </c>
      <c r="E7" s="41" t="inlineStr">
        <is>
          <t>100–125 mm Động năng xuyên 3 · 200/phát · 0,2 phát/s · tầm 38</t>
        </is>
      </c>
      <c r="F7" s="41" t="inlineStr">
        <is>
          <t>máu 1.500 · giáp 1 (có tấm chắn trước 2)</t>
        </is>
      </c>
      <c r="G7" s="41" t="inlineStr">
        <is>
          <t>2A45 Sprut-B 125 mm, MT-12 Rapira 100 mm</t>
        </is>
      </c>
      <c r="H7" s="41" t="inlineStr">
        <is>
          <t>Company of Heroes (pháo chống tăng 57 mm)</t>
        </is>
      </c>
      <c r="I7" s="41" t="inlineStr">
        <is>
          <t>Lấp chỗ trống chống tăng ở ô nhỏ</t>
        </is>
      </c>
      <c r="J7" s="41" t="inlineStr">
        <is>
          <t>Tháp ATGM (ô vừa)</t>
        </is>
      </c>
      <c r="K7" s="47" t="inlineStr">
        <is>
          <t>Cao</t>
        </is>
      </c>
      <c r="L7" s="41" t="inlineStr">
        <is>
          <t>Cửa hàng: 2.000 xu (ô nhỏ) / 3.000 xu (ô vừa, tiện ích); hoặc thưởng nhiệm vụ phụ</t>
        </is>
      </c>
    </row>
    <row r="8" ht="21.75" customHeight="1" s="32">
      <c r="A8" s="39" t="inlineStr">
        <is>
          <t>Xe tên lửa chống tăng bắn ngoài tầm nhìn</t>
        </is>
      </c>
      <c r="B8" s="39" t="inlineStr">
        <is>
          <t>Diệt tăng</t>
        </is>
      </c>
      <c r="C8" s="39" t="inlineStr">
        <is>
          <t>8 CP</t>
        </is>
      </c>
      <c r="D8" s="39" t="inlineStr">
        <is>
          <t>Tầm rất xa, cần đồng đội hoặc UAV đánh dấu; tên lửa bay cao rồi đánh nóc.</t>
        </is>
      </c>
      <c r="E8" s="39" t="inlineStr">
        <is>
          <t>Spike NLOS Nổ lõm xuyên 4 · 300/phát · 0,1 phát/s · tầm 90 · tốc độ 26</t>
        </is>
      </c>
      <c r="F8" s="39" t="inlineStr">
        <is>
          <t>máu 900 · giáp 1</t>
        </is>
      </c>
      <c r="G8" s="39" t="inlineStr">
        <is>
          <t>Spike NLOS, Brimstone</t>
        </is>
      </c>
      <c r="H8" s="39" t="inlineStr">
        <is>
          <t>WARNO; Wargame: Red Dragon</t>
        </is>
      </c>
      <c r="I8" s="39" t="inlineStr">
        <is>
          <t>'Pháo binh chống tăng' chính xác, hạ xe tăng từ sau đồi</t>
        </is>
      </c>
      <c r="J8" s="39" t="inlineStr">
        <is>
          <t>Drone FPV, Lancet, Pháo điện từ</t>
        </is>
      </c>
      <c r="K8" s="48" t="inlineStr">
        <is>
          <t>Trung</t>
        </is>
      </c>
      <c r="L8" s="39" t="inlineStr">
        <is>
          <t>Cửa hàng: 3.000 xu, hoặc thưởng sự kiện</t>
        </is>
      </c>
    </row>
    <row r="9" ht="21.75" customHeight="1" s="32">
      <c r="A9" s="41" t="inlineStr">
        <is>
          <t>Xe tên lửa chống tăng dẫn radar</t>
        </is>
      </c>
      <c r="B9" s="41" t="inlineStr">
        <is>
          <t>Diệt tăng</t>
        </is>
      </c>
      <c r="C9" s="41" t="inlineStr">
        <is>
          <t>7 CP</t>
        </is>
      </c>
      <c r="D9" s="41" t="inlineStr">
        <is>
          <t>Tên lửa dẫn bằng radar nên không bị khói và gây nhiễu quang học ảnh hưởng; bắn loạt 2 quả.</t>
        </is>
      </c>
      <c r="E9" s="41" t="inlineStr">
        <is>
          <t>9M123 Nổ lõm xuyên 4 · 250/phát · loạt 2 · nạp 9 s · tầm 50</t>
        </is>
      </c>
      <c r="F9" s="41" t="inlineStr">
        <is>
          <t>máu 1.300 · giáp 2</t>
        </is>
      </c>
      <c r="G9" s="41" t="inlineStr">
        <is>
          <t>9P157 Khrizantema-S</t>
        </is>
      </c>
      <c r="H9" s="41" t="inlineStr">
        <is>
          <t>(mới)</t>
        </is>
      </c>
      <c r="I9" s="41" t="inlineStr">
        <is>
          <t>Không bị màn khói chặn: khắc chế đối thủ dùng nhiều khói</t>
        </is>
      </c>
      <c r="J9" s="41" t="inlineStr">
        <is>
          <t>Xe bộ binh (TOW), Tháp ATGM</t>
        </is>
      </c>
      <c r="K9" s="48" t="inlineStr">
        <is>
          <t>Trung</t>
        </is>
      </c>
      <c r="L9" s="41" t="inlineStr">
        <is>
          <t>Cửa hàng: 3.000 xu, hoặc thưởng sự kiện</t>
        </is>
      </c>
    </row>
    <row r="10" ht="21.75" customHeight="1" s="32">
      <c r="A10" s="39" t="inlineStr">
        <is>
          <t>Xe jeep súng không giật</t>
        </is>
      </c>
      <c r="B10" s="39" t="inlineStr">
        <is>
          <t>Diệt tăng</t>
        </is>
      </c>
      <c r="C10" s="39" t="inlineStr">
        <is>
          <t>3 CP</t>
        </is>
      </c>
      <c r="D10" s="39" t="inlineStr">
        <is>
          <t>Rẻ, nhanh, mỗi phát đau nhưng nạp lâu và cực mỏng; phục kích từ sườn.</t>
        </is>
      </c>
      <c r="E10" s="39" t="inlineStr">
        <is>
          <t>106 mm Nổ lõm xuyên 3 · 220/phát · 0,15 phát/s · tầm 32</t>
        </is>
      </c>
      <c r="F10" s="39" t="inlineStr">
        <is>
          <t>máu 350 · giáp 0 · 12 m/s</t>
        </is>
      </c>
      <c r="G10" s="39" t="inlineStr">
        <is>
          <t>M40 106 mm trên M151, SPG-9 trên bán tải</t>
        </is>
      </c>
      <c r="H10" s="39" t="inlineStr">
        <is>
          <t>Wargame (M151 TOW); C&amp;C Generals (xe bán tải có vũ khí)</t>
        </is>
      </c>
      <c r="I10" s="39" t="inlineStr">
        <is>
          <t>'Đánh rồi chạy' giá rẻ, khác các xe diệt tăng 6–9 CP</t>
        </is>
      </c>
      <c r="J10" s="39" t="inlineStr">
        <is>
          <t>Xe trinh sát, Pháo bánh lốp</t>
        </is>
      </c>
      <c r="K10" s="48" t="inlineStr">
        <is>
          <t>Trung</t>
        </is>
      </c>
      <c r="L10" s="39" t="inlineStr">
        <is>
          <t>Cửa hàng: 1.500 xu</t>
        </is>
      </c>
    </row>
    <row r="11" ht="21.75" customHeight="1" s="32">
      <c r="A11" s="41" t="inlineStr">
        <is>
          <t>Xe đổ bộ đường không</t>
        </is>
      </c>
      <c r="B11" s="41" t="inlineStr">
        <is>
          <t>Xe nhẹ / Tăng nhẹ</t>
        </is>
      </c>
      <c r="C11" s="41" t="inlineStr">
        <is>
          <t>6 CP</t>
        </is>
      </c>
      <c r="D11" s="41" t="inlineStr">
        <is>
          <t>Thả dù được ở bất kỳ đâu trong tầm nhìn phe ta (trừ căn cứ địch); đang rơi thì bị phòng không bắn được.</t>
        </is>
      </c>
      <c r="E11" s="41" t="inlineStr">
        <is>
          <t>100 mm + 30 mm · tương đương BMD-4</t>
        </is>
      </c>
      <c r="F11" s="41" t="inlineStr">
        <is>
          <t>máu 1.100 · giáp 1</t>
        </is>
      </c>
      <c r="G11" s="41" t="inlineStr">
        <is>
          <t>BMD-4, 2S25 Sprut-SD</t>
        </is>
      </c>
      <c r="H11" s="41" t="inlineStr">
        <is>
          <t>Company of Heroes (thả dù)</t>
        </is>
      </c>
      <c r="I11" s="41" t="inlineStr">
        <is>
          <t>Đánh vòng sau lưng địch</t>
        </is>
      </c>
      <c r="J11" s="41" t="inlineStr">
        <is>
          <t>Xe chỉ huy (bãi thả tiền phương)</t>
        </is>
      </c>
      <c r="K11" s="48" t="inlineStr">
        <is>
          <t>Trung</t>
        </is>
      </c>
      <c r="L11" s="41" t="inlineStr">
        <is>
          <t>Cửa hàng: 1.500 xu</t>
        </is>
      </c>
    </row>
    <row r="12" ht="21.75" customHeight="1" s="32">
      <c r="A12" s="39" t="inlineStr">
        <is>
          <t>Pháo bánh lốp bắn rồi chạy</t>
        </is>
      </c>
      <c r="B12" s="39" t="inlineStr">
        <is>
          <t>Pháo binh</t>
        </is>
      </c>
      <c r="C12" s="39" t="inlineStr">
        <is>
          <t>6 CP</t>
        </is>
      </c>
      <c r="D12" s="39" t="inlineStr">
        <is>
          <t>Bắn loạt 3–4 phát rất nhanh rồi chạy ngay; giáp mỏng; khó bị phản pháo.</t>
        </is>
      </c>
      <c r="E12" s="39" t="inlineStr">
        <is>
          <t>155 mm Nổ mạnh · 320/phát · loạt 4 trong 6 s · nạp 25 s · tầm 90</t>
        </is>
      </c>
      <c r="F12" s="39" t="inlineStr">
        <is>
          <t>máu 700 · giáp 0 · 9 m/s</t>
        </is>
      </c>
      <c r="G12" s="39" t="inlineStr">
        <is>
          <t>CAESAR, Archer, ATMOS</t>
        </is>
      </c>
      <c r="H12" s="39" t="inlineStr">
        <is>
          <t>WARNO</t>
        </is>
      </c>
      <c r="I12" s="39" t="inlineStr">
        <is>
          <t>Nhịp 'bắn–chạy' rõ rệt, khác pháo xích đứng bắn lâu</t>
        </is>
      </c>
      <c r="J12" s="39" t="inlineStr">
        <is>
          <t>Pháo tự hành (sau khi đổi sang M109)</t>
        </is>
      </c>
      <c r="K12" s="48" t="inlineStr">
        <is>
          <t>Trung</t>
        </is>
      </c>
      <c r="L12" s="39" t="inlineStr">
        <is>
          <t>Cửa hàng: 1.500 xu</t>
        </is>
      </c>
    </row>
    <row r="13" ht="21.75" customHeight="1" s="32">
      <c r="A13" s="41" t="inlineStr">
        <is>
          <t>Cối tự hành tháp kín</t>
        </is>
      </c>
      <c r="B13" s="41" t="inlineStr">
        <is>
          <t>Pháo binh</t>
        </is>
      </c>
      <c r="C13" s="41" t="inlineStr">
        <is>
          <t>5 CP</t>
        </is>
      </c>
      <c r="D13" s="41" t="inlineStr">
        <is>
          <t>Cối 120 mm nạp tự động, bắn 4 phát rơi gần như cùng lúc (MRSI) rồi nghỉ; giáp tốt hơn xe cối.</t>
        </is>
      </c>
      <c r="E13" s="41" t="inlineStr">
        <is>
          <t>120 mm Nổ mạnh · 150/phát · loạt 4 · nạp 10 s · tầm 60</t>
        </is>
      </c>
      <c r="F13" s="41" t="inlineStr">
        <is>
          <t>máu 1.200 · giáp 2</t>
        </is>
      </c>
      <c r="G13" s="41" t="inlineStr">
        <is>
          <t>Patria AMOS / NEMO, 2S31 Vena</t>
        </is>
      </c>
      <c r="H13" s="41" t="inlineStr">
        <is>
          <t>Wargame (AMOS)</t>
        </is>
      </c>
      <c r="I13" s="41" t="inlineStr">
        <is>
          <t>'Mưa cối' tập trung một điểm, khác xe cối bắn từng phát</t>
        </is>
      </c>
      <c r="J13" s="41" t="inlineStr">
        <is>
          <t>Xe súng cối</t>
        </is>
      </c>
      <c r="K13" s="48" t="inlineStr">
        <is>
          <t>Trung</t>
        </is>
      </c>
      <c r="L13" s="41" t="inlineStr">
        <is>
          <t>Cửa hàng: 1.500 xu</t>
        </is>
      </c>
    </row>
    <row r="14" ht="21.75" customHeight="1" s="32">
      <c r="A14" s="39" t="inlineStr">
        <is>
          <t>Pháo phản lực rải mìn</t>
        </is>
      </c>
      <c r="B14" s="39" t="inlineStr">
        <is>
          <t>Pháo binh</t>
        </is>
      </c>
      <c r="C14" s="39" t="inlineStr">
        <is>
          <t>7 CP</t>
        </is>
      </c>
      <c r="D14" s="39" t="inlineStr">
        <is>
          <t>Bắn rốc-két rải mìn chống tăng thành một dải trước mặt địch; không gây sát thương trực tiếp.</t>
        </is>
      </c>
      <c r="E14" s="39" t="inlineStr">
        <is>
          <t>Rốc-két rải mìn · 12 mìn mỗi loạt · tầm 90</t>
        </is>
      </c>
      <c r="F14" s="39" t="inlineStr">
        <is>
          <t>máu 800 · giáp 1</t>
        </is>
      </c>
      <c r="G14" s="39" t="inlineStr">
        <is>
          <t>BM-27 Uragan (9M59), Zemledeliye</t>
        </is>
      </c>
      <c r="H14" s="39" t="inlineStr">
        <is>
          <t>(mới)</t>
        </is>
      </c>
      <c r="I14" s="39" t="inlineStr">
        <is>
          <t>Chặn hướng tấn công từ xa, khác thẻ Rải mìn từ xa ở chỗ có thể nhắm lại liên tục</t>
        </is>
      </c>
      <c r="J14" s="39" t="inlineStr">
        <is>
          <t>Xe rải mìn, thẻ Rải mìn</t>
        </is>
      </c>
      <c r="K14" s="49" t="inlineStr">
        <is>
          <t>Thấp</t>
        </is>
      </c>
      <c r="L14" s="39" t="inlineStr">
        <is>
          <t>Cửa hàng: 3.000 xu, hoặc thưởng sự kiện</t>
        </is>
      </c>
    </row>
    <row r="15" ht="21.75" customHeight="1" s="32">
      <c r="A15" s="41" t="inlineStr">
        <is>
          <t>Máy bay ném bom lượn tầm xa</t>
        </is>
      </c>
      <c r="B15" s="41" t="inlineStr">
        <is>
          <t>Máy bay</t>
        </is>
      </c>
      <c r="C15" s="41" t="inlineStr">
        <is>
          <t>16 CP</t>
        </is>
      </c>
      <c r="D15" s="41" t="inlineStr">
        <is>
          <t>Không bay qua mục tiêu: thả bom lượn từ xa ngoài tầm phòng không tầm gần; bom bay chậm, bắn hạ được.</t>
        </is>
      </c>
      <c r="E15" s="41" t="inlineStr">
        <is>
          <t>FAB-500 + bộ lượn · 420/quả · 2 quả · tầm 90 · tốc độ bom 20</t>
        </is>
      </c>
      <c r="F15" s="41" t="inlineStr">
        <is>
          <t>máu 2.200 · giáp 1 · 30 m/s</t>
        </is>
      </c>
      <c r="G15" s="41" t="inlineStr">
        <is>
          <t>Su-34 với bom lượn UMPK</t>
        </is>
      </c>
      <c r="H15" s="41" t="inlineStr">
        <is>
          <t>(mới, theo chiến sự Ukraine)</t>
        </is>
      </c>
      <c r="I15" s="41" t="inlineStr">
        <is>
          <t>Oanh tạc cơ phải bay vào vùng nguy hiểm; máy bay này 'ném từ xa'</t>
        </is>
      </c>
      <c r="J15" s="41" t="inlineStr">
        <is>
          <t>Oanh tạc cơ, Máy bay ném bom tàng hình</t>
        </is>
      </c>
      <c r="K15" s="48" t="inlineStr">
        <is>
          <t>Trung</t>
        </is>
      </c>
      <c r="L15" s="41" t="inlineStr">
        <is>
          <t>Cửa hàng: 5.000 xu, hoặc thưởng thẻ mùa</t>
        </is>
      </c>
    </row>
    <row r="16" ht="21.75" customHeight="1" s="32">
      <c r="A16" s="39" t="inlineStr">
        <is>
          <t>Máy bay trinh sát tốc độ cao</t>
        </is>
      </c>
      <c r="B16" s="39" t="inlineStr">
        <is>
          <t>Máy bay</t>
        </is>
      </c>
      <c r="C16" s="39" t="inlineStr">
        <is>
          <t>8 CP</t>
        </is>
      </c>
      <c r="D16" s="39" t="inlineStr">
        <is>
          <t>Bay ngang map rất nhanh một lần, làm lộ cả một dải rộng kể cả tàng hình; không có vũ khí; chỉ tên lửa tầm xa với tới.</t>
        </is>
      </c>
      <c r="E16" s="39" t="inlineStr">
        <is>
          <t>— · lộ dải 60 m trong 20 s</t>
        </is>
      </c>
      <c r="F16" s="39" t="inlineStr">
        <is>
          <t>máu 800 · giáp 0 · 60 m/s</t>
        </is>
      </c>
      <c r="G16" s="39" t="inlineStr">
        <is>
          <t>SR-71 Blackbird, MiG-25R</t>
        </is>
      </c>
      <c r="H16" s="39" t="inlineStr">
        <is>
          <t>C&amp;C Generals (Spy Plane), Red Alert 2 (Spy Plane)</t>
        </is>
      </c>
      <c r="I16" s="39" t="inlineStr">
        <is>
          <t>Trinh sát 'một phát lớn', khác UAV trinh sát bay vòng lâu</t>
        </is>
      </c>
      <c r="J16" s="39" t="inlineStr">
        <is>
          <t>UAV trinh sát, thẻ UAV quét</t>
        </is>
      </c>
      <c r="K16" s="48" t="inlineStr">
        <is>
          <t>Trung</t>
        </is>
      </c>
      <c r="L16" s="39" t="inlineStr">
        <is>
          <t>Cửa hàng: 3.000 xu, hoặc thưởng sự kiện</t>
        </is>
      </c>
    </row>
    <row r="17" ht="32.25" customHeight="1" s="32">
      <c r="A17" s="41" t="inlineStr">
        <is>
          <t>Tiêm kích đánh chặn</t>
        </is>
      </c>
      <c r="B17" s="41" t="inlineStr">
        <is>
          <t>Máy bay</t>
        </is>
      </c>
      <c r="C17" s="41" t="inlineStr">
        <is>
          <t>13 CP</t>
        </is>
      </c>
      <c r="D17" s="41" t="inlineStr">
        <is>
          <t>Lao vào rất nhanh bắn tên lửa tầm siêu xa rồi quay về; chuyên săn máy bay lớn (oanh tạc cơ, máy bay mẹ, AC-130), kém khi không chiến tầm gần.</t>
        </is>
      </c>
      <c r="E17" s="41" t="inlineStr">
        <is>
          <t>R-37M Mảnh xuyên 3 · 400/phát · 2 quả · tầm 90 · tốc độ 70</t>
        </is>
      </c>
      <c r="F17" s="41" t="inlineStr">
        <is>
          <t>máu 1.300 · giáp 0 · 55 m/s</t>
        </is>
      </c>
      <c r="G17" s="41" t="inlineStr">
        <is>
          <t>MiG-31BM</t>
        </is>
      </c>
      <c r="H17" s="41" t="inlineStr">
        <is>
          <t>Ace Combat; WARNO</t>
        </is>
      </c>
      <c r="I17" s="41" t="inlineStr">
        <is>
          <t>'Bắn rồi chạy' tầm xa, khác tiêm kích quần thảo</t>
        </is>
      </c>
      <c r="J17" s="41" t="inlineStr">
        <is>
          <t>Tiêm kích, Tiêm kích tàng hình</t>
        </is>
      </c>
      <c r="K17" s="48" t="inlineStr">
        <is>
          <t>Trung</t>
        </is>
      </c>
      <c r="L17" s="41" t="inlineStr">
        <is>
          <t>Cửa hàng: 5.000 xu, hoặc thưởng thẻ mùa</t>
        </is>
      </c>
    </row>
    <row r="18" ht="21.75" customHeight="1" s="32">
      <c r="A18" s="39" t="inlineStr">
        <is>
          <t>Máy bay cường kích cánh quạt</t>
        </is>
      </c>
      <c r="B18" s="39" t="inlineStr">
        <is>
          <t>Máy bay</t>
        </is>
      </c>
      <c r="C18" s="39" t="inlineStr">
        <is>
          <t>7 CP</t>
        </is>
      </c>
      <c r="D18" s="39" t="inlineStr">
        <is>
          <t>Rẻ, chậm, bay thấp; súng máy và rốc-két đánh xe nhẹ; dễ bị phòng không hạ nhưng đông.</t>
        </is>
      </c>
      <c r="E18" s="39" t="inlineStr">
        <is>
          <t>12,7 mm + Hydra 70 · tầm 30</t>
        </is>
      </c>
      <c r="F18" s="39" t="inlineStr">
        <is>
          <t>máu 900 · giáp 1 · 18 m/s</t>
        </is>
      </c>
      <c r="G18" s="39" t="inlineStr">
        <is>
          <t>EMB-314 Super Tucano, OV-10 Bronco</t>
        </is>
      </c>
      <c r="H18" s="39" t="inlineStr">
        <is>
          <t>Wargame</t>
        </is>
      </c>
      <c r="I18" s="39" t="inlineStr">
        <is>
          <t>Yểm trợ gần giá rẻ, số đông; khác Cường kích đắt và nặng</t>
        </is>
      </c>
      <c r="J18" s="39" t="inlineStr">
        <is>
          <t>Cường kích, Trực thăng</t>
        </is>
      </c>
      <c r="K18" s="49" t="inlineStr">
        <is>
          <t>Thấp</t>
        </is>
      </c>
      <c r="L18" s="39" t="inlineStr">
        <is>
          <t>Cửa hàng: 3.000 xu, hoặc thưởng sự kiện</t>
        </is>
      </c>
    </row>
    <row r="19" ht="21.75" customHeight="1" s="32">
      <c r="A19" s="41" t="inlineStr">
        <is>
          <t>Trực thăng tấn công hạng nhẹ</t>
        </is>
      </c>
      <c r="B19" s="41" t="inlineStr">
        <is>
          <t>Trực thăng</t>
        </is>
      </c>
      <c r="C19" s="41" t="inlineStr">
        <is>
          <t>7 CP</t>
        </is>
      </c>
      <c r="D19" s="41" t="inlineStr">
        <is>
          <t>Nhanh, rẻ, giáp mỏng; tên lửa chống tăng nhỏ và súng máy; đánh sườn rồi rút.</t>
        </is>
      </c>
      <c r="E19" s="41" t="inlineStr">
        <is>
          <t>Hellfire × 4 + 12,7 mm · tầm 45</t>
        </is>
      </c>
      <c r="F19" s="41" t="inlineStr">
        <is>
          <t>máu 1.100 · giáp 0 · 16 m/s</t>
        </is>
      </c>
      <c r="G19" s="41" t="inlineStr">
        <is>
          <t>AH-1Z Viper (bản nhẹ), Mi-28 (nhỏ)</t>
        </is>
      </c>
      <c r="H19" s="41" t="inlineStr">
        <is>
          <t>(mới)</t>
        </is>
      </c>
      <c r="I19" s="41" t="inlineStr">
        <is>
          <t>Nằm giữa Trực thăng trinh sát và Trực thăng tấn công</t>
        </is>
      </c>
      <c r="J19" s="41" t="inlineStr">
        <is>
          <t>Trực thăng trinh sát, Trực thăng tấn công</t>
        </is>
      </c>
      <c r="K19" s="49" t="inlineStr">
        <is>
          <t>Thấp</t>
        </is>
      </c>
      <c r="L19" s="41" t="inlineStr">
        <is>
          <t>Cửa hàng: 3.000 xu, hoặc thưởng sự kiện</t>
        </is>
      </c>
    </row>
    <row r="20" ht="21.75" customHeight="1" s="32">
      <c r="A20" s="39" t="inlineStr">
        <is>
          <t>Tăng thế hệ mới</t>
        </is>
      </c>
      <c r="B20" s="39" t="inlineStr">
        <is>
          <t>Hạng nặng</t>
        </is>
      </c>
      <c r="C20" s="39" t="inlineStr">
        <is>
          <t>9 CP</t>
        </is>
      </c>
      <c r="D20" s="39" t="inlineStr">
        <is>
          <t>Tháp pháo không người lái (hỏng tháp không mất xe), APS và radar phát hiện tên lửa.</t>
        </is>
      </c>
      <c r="E20" s="39" t="inlineStr">
        <is>
          <t>125 mm xuyên 4 · 260/phát · 0,2 phát/s · APS 2 lần</t>
        </is>
      </c>
      <c r="F20" s="39" t="inlineStr">
        <is>
          <t>máu 2.300 · giáp 4/2/1/1</t>
        </is>
      </c>
      <c r="G20" s="39" t="inlineStr">
        <is>
          <t>T-14 Armata</t>
        </is>
      </c>
      <c r="H20" s="39" t="inlineStr">
        <is>
          <t>(mới)</t>
        </is>
      </c>
      <c r="I20" s="39" t="inlineStr">
        <is>
          <t>Xe tăng 'công nghệ cao', mạnh trước tên lửa chống tăng</t>
        </is>
      </c>
      <c r="J20" s="39" t="inlineStr">
        <is>
          <t>Tăng chủ lực, Tăng hai nòng</t>
        </is>
      </c>
      <c r="K20" s="49" t="inlineStr">
        <is>
          <t>Thấp</t>
        </is>
      </c>
      <c r="L20" s="39" t="inlineStr">
        <is>
          <t>Cửa hàng: 3.000 xu, hoặc thưởng sự kiện</t>
        </is>
      </c>
    </row>
    <row r="21" ht="21.75" customHeight="1" s="32">
      <c r="A21" s="41" t="inlineStr">
        <is>
          <t>Xe trinh sát bọc thép radar mặt đất</t>
        </is>
      </c>
      <c r="B21" s="41" t="inlineStr">
        <is>
          <t>Trinh sát</t>
        </is>
      </c>
      <c r="C21" s="41" t="inlineStr">
        <is>
          <t>4 CP</t>
        </is>
      </c>
      <c r="D21" s="41" t="inlineStr">
        <is>
          <t>Đứng yên thì dựng cột radar, nhìn rất xa và gần như ẩn; di chuyển thì mù hơn.</t>
        </is>
      </c>
      <c r="E21" s="41" t="inlineStr">
        <is>
          <t>12,7 mm tự vệ</t>
        </is>
      </c>
      <c r="F21" s="41" t="inlineStr">
        <is>
          <t>máu 700 · giáp 1 · 11 m/s · tầm nhìn 50 (đứng yên 80)</t>
        </is>
      </c>
      <c r="G21" s="41" t="inlineStr">
        <is>
          <t>Fennek, BRDM-2 có radar</t>
        </is>
      </c>
      <c r="H21" s="41" t="inlineStr">
        <is>
          <t>Wargame (Fennek)</t>
        </is>
      </c>
      <c r="I21" s="41" t="inlineStr">
        <is>
          <t>Trinh sát 'đứng gác', khác xe jeep trinh sát chạy nhanh</t>
        </is>
      </c>
      <c r="J21" s="41" t="inlineStr">
        <is>
          <t>Xe trinh sát</t>
        </is>
      </c>
      <c r="K21" s="48" t="inlineStr">
        <is>
          <t>Trung</t>
        </is>
      </c>
      <c r="L21" s="41" t="inlineStr">
        <is>
          <t>Cửa hàng: 1.500 xu</t>
        </is>
      </c>
    </row>
    <row r="22" ht="21.75" customHeight="1" s="32">
      <c r="A22" s="39" t="inlineStr">
        <is>
          <t>Xe phá mìn bằng dây nổ</t>
        </is>
      </c>
      <c r="B22" s="39" t="inlineStr">
        <is>
          <t>Hỗ trợ</t>
        </is>
      </c>
      <c r="C22" s="39" t="inlineStr">
        <is>
          <t>4 CP</t>
        </is>
      </c>
      <c r="D22" s="39" t="inlineStr">
        <is>
          <t>Bắn dây nổ mở một lối xuyên bãi mìn và chướng ngại, gây sát thương nhẹ lên công trình trên đường.</t>
        </is>
      </c>
      <c r="E22" s="39" t="inlineStr">
        <is>
          <t>Dây nổ · lối 5 × 40 m</t>
        </is>
      </c>
      <c r="F22" s="39" t="inlineStr">
        <is>
          <t>máu 1.200 · giáp 2</t>
        </is>
      </c>
      <c r="G22" s="39" t="inlineStr">
        <is>
          <t>M58 MICLIC</t>
        </is>
      </c>
      <c r="H22" s="39" t="inlineStr">
        <is>
          <t>(mới)</t>
        </is>
      </c>
      <c r="I22" s="39" t="inlineStr">
        <is>
          <t>Mở đường cho đợt tấn công căn cứ nhiều lớp</t>
        </is>
      </c>
      <c r="J22" s="39" t="inlineStr">
        <is>
          <t>Xe ủi, Công binh</t>
        </is>
      </c>
      <c r="K22" s="49" t="inlineStr">
        <is>
          <t>Thấp</t>
        </is>
      </c>
      <c r="L22" s="39" t="inlineStr">
        <is>
          <t>Cửa hàng: 1.500 xu</t>
        </is>
      </c>
    </row>
    <row r="23" ht="15" customHeight="1" s="32">
      <c r="A23" s="41" t="inlineStr">
        <is>
          <t>Xe khi hỏng thành công sự</t>
        </is>
      </c>
      <c r="B23" s="41" t="inlineStr">
        <is>
          <t>Xe nhẹ</t>
        </is>
      </c>
      <c r="C23" s="41" t="inlineStr">
        <is>
          <t>4 CP</t>
        </is>
      </c>
      <c r="D23" s="41" t="inlineStr">
        <is>
          <t>Bị hạ không nổ tung mà thành một ụ súng cố định trong ~30 s.</t>
        </is>
      </c>
      <c r="E23" s="41" t="inlineStr">
        <is>
          <t>12,7 mm</t>
        </is>
      </c>
      <c r="F23" s="41" t="inlineStr">
        <is>
          <t>máu 900 · giáp 1</t>
        </is>
      </c>
      <c r="G23" s="41" t="inlineStr">
        <is>
          <t>(ý tưởng game)</t>
        </is>
      </c>
      <c r="H23" s="41" t="inlineStr">
        <is>
          <t>C&amp;C Generals (Battle Bus)</t>
        </is>
      </c>
      <c r="I23" s="41" t="inlineStr">
        <is>
          <t>Xe 'chết mà vẫn đánh'</t>
        </is>
      </c>
      <c r="J23" s="41" t="inlineStr">
        <is>
          <t>Ụ súng tạm</t>
        </is>
      </c>
      <c r="K23" s="49" t="inlineStr">
        <is>
          <t>Thấp</t>
        </is>
      </c>
      <c r="L23" s="41" t="inlineStr">
        <is>
          <t>Cửa hàng: 1.500 xu</t>
        </is>
      </c>
    </row>
    <row r="24" ht="21.75" customHeight="1" s="32">
      <c r="A24" s="39" t="inlineStr">
        <is>
          <t>Mô-đun cho Siêu tăng</t>
        </is>
      </c>
      <c r="B24" s="39" t="inlineStr">
        <is>
          <t>Nâng cấp</t>
        </is>
      </c>
      <c r="C24" s="39" t="inlineStr">
        <is>
          <t>—</t>
        </is>
      </c>
      <c r="D24" s="39" t="inlineStr">
        <is>
          <t>Khi thả Siêu tăng chọn 1 trong 3 mô-đun nóc: gatling phòng không, bệ tên lửa, trạm sửa nhỏ.</t>
        </is>
      </c>
      <c r="E24" s="39" t="inlineStr">
        <is>
          <t>—</t>
        </is>
      </c>
      <c r="F24" s="39" t="inlineStr">
        <is>
          <t>—</t>
        </is>
      </c>
      <c r="G24" s="39" t="inlineStr">
        <is>
          <t>(ý tưởng game)</t>
        </is>
      </c>
      <c r="H24" s="39" t="inlineStr">
        <is>
          <t>C&amp;C Generals (Overlord)</t>
        </is>
      </c>
      <c r="I24" s="39" t="inlineStr">
        <is>
          <t>Quyết định ngay trong trận cho xe đắt nhất</t>
        </is>
      </c>
      <c r="J24" s="39" t="inlineStr">
        <is>
          <t>—</t>
        </is>
      </c>
      <c r="K24" s="49" t="inlineStr">
        <is>
          <t>Thấp</t>
        </is>
      </c>
      <c r="L24" s="39" t="inlineStr">
        <is>
          <t>Cửa hàng: 1.500 xu</t>
        </is>
      </c>
    </row>
    <row r="25" ht="15" customHeight="1" s="32">
      <c r="A25" s="41" t="inlineStr">
        <is>
          <t>Xe chiếm quyền drone</t>
        </is>
      </c>
      <c r="B25" s="41" t="inlineStr">
        <is>
          <t>Hỗ trợ</t>
        </is>
      </c>
      <c r="C25" s="41" t="inlineStr">
        <is>
          <t>6 CP</t>
        </is>
      </c>
      <c r="D25" s="41" t="inlineStr">
        <is>
          <t>Định kỳ chiếm quyền một drone địch trong ~10 s hoặc làm nó rơi.</t>
        </is>
      </c>
      <c r="E25" s="41" t="inlineStr">
        <is>
          <t>Tác chiến điện tử · tầm 40 · hồi 20 s</t>
        </is>
      </c>
      <c r="F25" s="41" t="inlineStr">
        <is>
          <t>máu 900 · giáp 1</t>
        </is>
      </c>
      <c r="G25" s="41" t="inlineStr">
        <is>
          <t>Tác chiến điện tử chống drone</t>
        </is>
      </c>
      <c r="H25" s="41" t="inlineStr">
        <is>
          <t>Mechabellum (Hacker)</t>
        </is>
      </c>
      <c r="I25" s="41" t="inlineStr">
        <is>
          <t>Lật drone địch về phe mình</t>
        </is>
      </c>
      <c r="J25" s="41" t="inlineStr">
        <is>
          <t>Xe tác chiến điện tử</t>
        </is>
      </c>
      <c r="K25" s="49" t="inlineStr">
        <is>
          <t>Thấp</t>
        </is>
      </c>
      <c r="L25" s="41" t="inlineStr">
        <is>
          <t>Cửa hàng: 1.500 xu</t>
        </is>
      </c>
    </row>
    <row r="26" ht="21.75" customHeight="1" s="32">
      <c r="A26" s="39" t="inlineStr">
        <is>
          <t>Tường chắn đạn</t>
        </is>
      </c>
      <c r="B26" s="39" t="inlineStr">
        <is>
          <t>Công trình</t>
        </is>
      </c>
      <c r="C26" s="39" t="inlineStr">
        <is>
          <t>Ô nhỏ</t>
        </is>
      </c>
      <c r="D26" s="39" t="inlineStr">
        <is>
          <t>Không chặn đường; tháp ngay sau nó nhận ít hơn ~30% sát thương từ đạn bắn thẳng (không chặn đạn cầu vồng, bom, đánh nóc).</t>
        </is>
      </c>
      <c r="E26" s="39" t="inlineStr">
        <is>
          <t>—</t>
        </is>
      </c>
      <c r="F26" s="39" t="inlineStr">
        <is>
          <t>máu 3.000 · giáp 3</t>
        </is>
      </c>
      <c r="G26" s="39" t="inlineStr">
        <is>
          <t>Tường Hesco</t>
        </is>
      </c>
      <c r="H26" s="39" t="inlineStr">
        <is>
          <t>Company of Heroes (vật che)</t>
        </is>
      </c>
      <c r="I26" s="39" t="inlineStr">
        <is>
          <t>Xếp căn cứ theo tuyến che chắn</t>
        </is>
      </c>
      <c r="J26" s="39" t="inlineStr">
        <is>
          <t>Máy phát khiên</t>
        </is>
      </c>
      <c r="K26" s="47" t="inlineStr">
        <is>
          <t>Cao</t>
        </is>
      </c>
      <c r="L26" s="39" t="inlineStr">
        <is>
          <t>Cửa hàng: 2.000 xu (ô nhỏ) / 3.000 xu (ô vừa, tiện ích); hoặc thưởng nhiệm vụ phụ</t>
        </is>
      </c>
    </row>
    <row r="27" ht="21.75" customHeight="1" s="32">
      <c r="A27" s="41" t="inlineStr">
        <is>
          <t>Mồi nhử bơm hơi</t>
        </is>
      </c>
      <c r="B27" s="41" t="inlineStr">
        <is>
          <t>Công trình</t>
        </is>
      </c>
      <c r="C27" s="41" t="inlineStr">
        <is>
          <t>Ô nhỏ</t>
        </is>
      </c>
      <c r="D27" s="41" t="inlineStr">
        <is>
          <t>Tháp giả trông giống thật; AI địch bắn vào cho tới khi trinh sát, radar hoặc UAV quét lật tẩy; rất rẻ, rất ít máu.</t>
        </is>
      </c>
      <c r="E27" s="41" t="inlineStr">
        <is>
          <t>—</t>
        </is>
      </c>
      <c r="F27" s="41" t="inlineStr">
        <is>
          <t>máu 300</t>
        </is>
      </c>
      <c r="G27" s="41" t="inlineStr">
        <is>
          <t>Mồi nhử bơm hơi (chiến sự Ukraine)</t>
        </is>
      </c>
      <c r="H27" s="41" t="inlineStr">
        <is>
          <t>Red Alert (công trình giả của Đồng minh)</t>
        </is>
      </c>
      <c r="I27" s="41" t="inlineStr">
        <is>
          <t>Đánh lừa pháo và tên lửa địch</t>
        </is>
      </c>
      <c r="J27" s="41" t="inlineStr">
        <is>
          <t>Tháp EW nhánh đánh lừa radar</t>
        </is>
      </c>
      <c r="K27" s="47" t="inlineStr">
        <is>
          <t>Cao</t>
        </is>
      </c>
      <c r="L27" s="41" t="inlineStr">
        <is>
          <t>Cửa hàng: 2.000 xu (ô nhỏ) / 3.000 xu (ô vừa, tiện ích); hoặc thưởng nhiệm vụ phụ</t>
        </is>
      </c>
    </row>
    <row r="28" ht="21.75" customHeight="1" s="32">
      <c r="A28" s="39" t="inlineStr">
        <is>
          <t>Trung tâm điều khiển hỏa lực</t>
        </is>
      </c>
      <c r="B28" s="39" t="inlineStr">
        <is>
          <t>Công trình</t>
        </is>
      </c>
      <c r="C28" s="39" t="inlineStr">
        <is>
          <t>Tiện ích</t>
        </is>
      </c>
      <c r="D28" s="39" t="inlineStr">
        <is>
          <t>Tháp phe ta trong ~30 m được +10–15% sát thương và cùng dồn hỏa lực.</t>
        </is>
      </c>
      <c r="E28" s="39" t="inlineStr">
        <is>
          <t>—</t>
        </is>
      </c>
      <c r="F28" s="39" t="inlineStr">
        <is>
          <t>máu 2.500</t>
        </is>
      </c>
      <c r="G28" s="39" t="inlineStr">
        <is>
          <t>Trung tâm điều khiển hỏa lực (FDC)</t>
        </is>
      </c>
      <c r="H28" s="39" t="inlineStr">
        <is>
          <t>Bloons TD 6 (Monkey Village)</t>
        </is>
      </c>
      <c r="I28" s="39" t="inlineStr">
        <is>
          <t>Cụm tháp 'liên kết' thành một khối</t>
        </is>
      </c>
      <c r="J28" s="39" t="inlineStr">
        <is>
          <t>Tháp canh (tăng tầm nhỏ)</t>
        </is>
      </c>
      <c r="K28" s="47" t="inlineStr">
        <is>
          <t>Cao</t>
        </is>
      </c>
      <c r="L28" s="39" t="inlineStr">
        <is>
          <t>Cửa hàng: 2.000 xu (ô nhỏ) / 3.000 xu (ô vừa, tiện ích); hoặc thưởng nhiệm vụ phụ</t>
        </is>
      </c>
    </row>
    <row r="29" ht="21.75" customHeight="1" s="32">
      <c r="A29" s="41" t="inlineStr">
        <is>
          <t>Đèn pha chiến trường</t>
        </is>
      </c>
      <c r="B29" s="41" t="inlineStr">
        <is>
          <t>Công trình</t>
        </is>
      </c>
      <c r="C29" s="41" t="inlineStr">
        <is>
          <t>Ô nhỏ</t>
        </is>
      </c>
      <c r="D29" s="41" t="inlineStr">
        <is>
          <t>Ban đêm và trong sương mù: làm sáng vùng rộng cho phe ta, làm lóa địch (giảm độ chính xác).</t>
        </is>
      </c>
      <c r="E29" s="41" t="inlineStr">
        <is>
          <t>—</t>
        </is>
      </c>
      <c r="F29" s="41" t="inlineStr">
        <is>
          <t>máu 1.200</t>
        </is>
      </c>
      <c r="G29" s="41" t="inlineStr">
        <is>
          <t>Đèn pha phòng thủ</t>
        </is>
      </c>
      <c r="H29" s="41" t="inlineStr">
        <is>
          <t>Company of Heroes; đèn pha pháo đài trong chế độ Công thành</t>
        </is>
      </c>
      <c r="I29" s="41" t="inlineStr">
        <is>
          <t>Có công cụ đối phó ngày đêm đổi giữa trận</t>
        </is>
      </c>
      <c r="J29" s="41" t="inlineStr">
        <is>
          <t>Trạm radar</t>
        </is>
      </c>
      <c r="K29" s="48" t="inlineStr">
        <is>
          <t>Trung</t>
        </is>
      </c>
      <c r="L29" s="41" t="inlineStr">
        <is>
          <t>Cửa hàng: 2.000 xu (ô nhỏ) / 3.000 xu (ô vừa, tiện ích); hoặc thưởng nhiệm vụ phụ</t>
        </is>
      </c>
    </row>
    <row r="30" ht="21.75" customHeight="1" s="32">
      <c r="A30" s="39" t="inlineStr">
        <is>
          <t>Khí cầu neo radar (JLENS)</t>
        </is>
      </c>
      <c r="B30" s="39" t="inlineStr">
        <is>
          <t>Công trình</t>
        </is>
      </c>
      <c r="C30" s="39" t="inlineStr">
        <is>
          <t>Ô nhỏ</t>
        </is>
      </c>
      <c r="D30" s="39" t="inlineStr">
        <is>
          <t>Máy bay địch trong vùng phải bay cao hơn nên ném bom kém chính xác; trực thăng tránh vùng.</t>
        </is>
      </c>
      <c r="E30" s="39" t="inlineStr">
        <is>
          <t>—</t>
        </is>
      </c>
      <c r="F30" s="39" t="inlineStr">
        <is>
          <t>máu 800</t>
        </is>
      </c>
      <c r="G30" s="39" t="inlineStr">
        <is>
          <t>JLENS (khí cầu neo radar)</t>
        </is>
      </c>
      <c r="H30" s="39" t="inlineStr">
        <is>
          <t>Battlefield 1942; Hearts of Iron</t>
        </is>
      </c>
      <c r="I30" s="39" t="inlineStr">
        <is>
          <t>Phòng không 'không bắn'</t>
        </is>
      </c>
      <c r="J30" s="39" t="inlineStr">
        <is>
          <t>Tháp phòng không, Patriot</t>
        </is>
      </c>
      <c r="K30" s="48" t="inlineStr">
        <is>
          <t>Trung</t>
        </is>
      </c>
      <c r="L30" s="39" t="inlineStr">
        <is>
          <t>Cửa hàng: 2.000 xu (ô nhỏ) / 3.000 xu (ô vừa, tiện ích); hoặc thưởng nhiệm vụ phụ</t>
        </is>
      </c>
    </row>
    <row r="31" ht="21.75" customHeight="1" s="32">
      <c r="A31" s="41" t="inlineStr">
        <is>
          <t>Máy tạo nhiễu tầm nhìn</t>
        </is>
      </c>
      <c r="B31" s="41" t="inlineStr">
        <is>
          <t>Công trình</t>
        </is>
      </c>
      <c r="C31" s="41" t="inlineStr">
        <is>
          <t>Tiện ích</t>
        </is>
      </c>
      <c r="D31" s="41" t="inlineStr">
        <is>
          <t>Địch không thấy đơn vị và công trình trong bán kính trừ khi tới gần hoặc có trinh sát.</t>
        </is>
      </c>
      <c r="E31" s="41" t="inlineStr">
        <is>
          <t>—</t>
        </is>
      </c>
      <c r="F31" s="41" t="inlineStr">
        <is>
          <t>máu 2.000</t>
        </is>
      </c>
      <c r="G31" s="41" t="inlineStr">
        <is>
          <t>(ngụy trang điện tử)</t>
        </is>
      </c>
      <c r="H31" s="41" t="inlineStr">
        <is>
          <t>Red Alert (Gap Generator)</t>
        </is>
      </c>
      <c r="I31" s="41" t="inlineStr">
        <is>
          <t>Bảo vệ căn cứ bằng cách che thay vì bắn hạ</t>
        </is>
      </c>
      <c r="J31" s="41" t="inlineStr">
        <is>
          <t>Trạm radar (ngược chiều)</t>
        </is>
      </c>
      <c r="K31" s="48" t="inlineStr">
        <is>
          <t>Trung</t>
        </is>
      </c>
      <c r="L31" s="41" t="inlineStr">
        <is>
          <t>Cửa hàng: 2.000 xu (ô nhỏ) / 3.000 xu (ô vừa, tiện ích); hoặc thưởng nhiệm vụ phụ</t>
        </is>
      </c>
    </row>
    <row r="32" ht="21.75" customHeight="1" s="32">
      <c r="A32" s="39" t="inlineStr">
        <is>
          <t>Tổ tên lửa vác vai</t>
        </is>
      </c>
      <c r="B32" s="39" t="inlineStr">
        <is>
          <t>Công trình</t>
        </is>
      </c>
      <c r="C32" s="39" t="inlineStr">
        <is>
          <t>Ô nhỏ</t>
        </is>
      </c>
      <c r="D32" s="39" t="inlineStr">
        <is>
          <t>Ụ bao cát với 2 bệ tên lửa vác vai; rẻ, chỉ bắn máy bay và trực thăng, tầm ngắn.</t>
        </is>
      </c>
      <c r="E32" s="39" t="inlineStr">
        <is>
          <t>Stinger 170/phát · 0,25 phát/s · tầm 44</t>
        </is>
      </c>
      <c r="F32" s="39" t="inlineStr">
        <is>
          <t>máu 1.200 · giáp 1</t>
        </is>
      </c>
      <c r="G32" s="39" t="inlineStr">
        <is>
          <t>Tổ MANPADS</t>
        </is>
      </c>
      <c r="H32" s="39" t="inlineStr">
        <is>
          <t>Wargame; Company of Heroes (ụ phòng không)</t>
        </is>
      </c>
      <c r="I32" s="39" t="inlineStr">
        <is>
          <t>Phòng không rẻ ở ô nhỏ, khác pháo cao xạ bắn cả đất</t>
        </is>
      </c>
      <c r="J32" s="39" t="inlineStr">
        <is>
          <t>Tháp phòng không nhánh tên lửa</t>
        </is>
      </c>
      <c r="K32" s="49" t="inlineStr">
        <is>
          <t>Thấp</t>
        </is>
      </c>
      <c r="L32" s="39" t="inlineStr">
        <is>
          <t>Cửa hàng: 2.000 xu (ô nhỏ) / 3.000 xu (ô vừa, tiện ích); hoặc thưởng nhiệm vụ phụ</t>
        </is>
      </c>
    </row>
    <row r="33" ht="21.75" customHeight="1" s="32">
      <c r="A33" s="41" t="inlineStr">
        <is>
          <t>Tàu tuần tra sông</t>
        </is>
      </c>
      <c r="B33" s="41" t="inlineStr">
        <is>
          <t>Hải quân</t>
        </is>
      </c>
      <c r="C33" s="41" t="inlineStr">
        <is>
          <t>5 CP</t>
        </is>
      </c>
      <c r="D33" s="41" t="inlineStr">
        <is>
          <t>Tàu nhỏ nhanh trên sông, súng máy và súng phóng lựu.</t>
        </is>
      </c>
      <c r="E33" s="41" t="inlineStr">
        <is>
          <t>12,7 mm + 40 mm · tầm 30</t>
        </is>
      </c>
      <c r="F33" s="41" t="inlineStr">
        <is>
          <t>máu 800 · giáp 0 · 14 m/s</t>
        </is>
      </c>
      <c r="G33" s="41" t="inlineStr">
        <is>
          <t>Mark VI Patrol Boat, Riverine Command Boat</t>
        </is>
      </c>
      <c r="H33" s="41" t="inlineStr">
        <is>
          <t>Battlefield (thuyền), Wargame</t>
        </is>
      </c>
      <c r="I33" s="41" t="inlineStr">
        <is>
          <t>Kiểm soát sông</t>
        </is>
      </c>
      <c r="J33" s="41" t="inlineStr">
        <is>
          <t>Xuồng cao tốc (boss)</t>
        </is>
      </c>
      <c r="K33" s="49" t="inlineStr">
        <is>
          <t>Thấp</t>
        </is>
      </c>
      <c r="L33" s="41" t="inlineStr">
        <is>
          <t>Cửa hàng: 1.500 xu</t>
        </is>
      </c>
    </row>
    <row r="34" ht="15" customHeight="1" s="32">
      <c r="A34" s="39" t="inlineStr">
        <is>
          <t>Pháo hạm sông</t>
        </is>
      </c>
      <c r="B34" s="39" t="inlineStr">
        <is>
          <t>Hải quân</t>
        </is>
      </c>
      <c r="C34" s="39" t="inlineStr">
        <is>
          <t>9 CP</t>
        </is>
      </c>
      <c r="D34" s="39" t="inlineStr">
        <is>
          <t>Tàu chậm mang pháo 100 mm bắn phá bờ.</t>
        </is>
      </c>
      <c r="E34" s="39" t="inlineStr">
        <is>
          <t>100 mm · 160/phát · tầm 70</t>
        </is>
      </c>
      <c r="F34" s="39" t="inlineStr">
        <is>
          <t>máu 2.500 · giáp 2</t>
        </is>
      </c>
      <c r="G34" s="39" t="inlineStr">
        <is>
          <t>Pháo hạm sông lớp Buyan</t>
        </is>
      </c>
      <c r="H34" s="39" t="inlineStr">
        <is>
          <t>(mới)</t>
        </is>
      </c>
      <c r="I34" s="39" t="inlineStr">
        <is>
          <t>Pháo binh di động trên nước</t>
        </is>
      </c>
      <c r="J34" s="39" t="inlineStr">
        <is>
          <t>Pháo tự hành</t>
        </is>
      </c>
      <c r="K34" s="49" t="inlineStr">
        <is>
          <t>Thấp</t>
        </is>
      </c>
      <c r="L34" s="39" t="inlineStr">
        <is>
          <t>Cửa hàng: 3.000 xu, hoặc thưởng sự kiện</t>
        </is>
      </c>
    </row>
    <row r="35" ht="15" customHeight="1" s="32">
      <c r="A35" s="41" t="inlineStr">
        <is>
          <t>Xe tên lửa chống hạm bờ biển</t>
        </is>
      </c>
      <c r="B35" s="41" t="inlineStr">
        <is>
          <t>Pháo binh</t>
        </is>
      </c>
      <c r="C35" s="41" t="inlineStr">
        <is>
          <t>10 CP</t>
        </is>
      </c>
      <c r="D35" s="41" t="inlineStr">
        <is>
          <t>Xe mặt đất bắn tên lửa chống hạm vào tàu; kém với mục tiêu trên bộ.</t>
        </is>
      </c>
      <c r="E35" s="41" t="inlineStr">
        <is>
          <t>NSM/Moskit · 450/phát · tầm 140</t>
        </is>
      </c>
      <c r="F35" s="41" t="inlineStr">
        <is>
          <t>máu 900 · giáp 1</t>
        </is>
      </c>
      <c r="G35" s="41" t="inlineStr">
        <is>
          <t>NSM Coastal Defence, K-300P Bastion</t>
        </is>
      </c>
      <c r="H35" s="41" t="inlineStr">
        <is>
          <t>(mới)</t>
        </is>
      </c>
      <c r="I35" s="41" t="inlineStr">
        <is>
          <t>Đánh tàu từ bờ</t>
        </is>
      </c>
      <c r="J35" s="41" t="inlineStr">
        <is>
          <t>Trận địa pháo bờ biển</t>
        </is>
      </c>
      <c r="K35" s="49" t="inlineStr">
        <is>
          <t>Thấp</t>
        </is>
      </c>
      <c r="L35" s="41" t="inlineStr">
        <is>
          <t>Cửa hàng: 3.000 xu, hoặc thưởng sự kiện</t>
        </is>
      </c>
    </row>
    <row r="36" ht="21.75" customHeight="1" s="32">
      <c r="A36" s="39" t="inlineStr">
        <is>
          <t>Lựu pháo nạp tự động tốc độ cao</t>
        </is>
      </c>
      <c r="B36" s="39" t="inlineStr">
        <is>
          <t>Pháo binh</t>
        </is>
      </c>
      <c r="C36" s="39" t="inlineStr">
        <is>
          <t>8 CP</t>
        </is>
      </c>
      <c r="D36" s="39" t="inlineStr">
        <is>
          <t>Bắn 4 phát trong 10 s rồi nạp lâu; nhiều phát rơi gần như cùng lúc; mạnh với cụm công sự.</t>
        </is>
      </c>
      <c r="E36" s="39" t="inlineStr">
        <is>
          <t>155 mm Nổ mạnh · 320/phát · loạt 4 · nạp 20 s · tầm 95</t>
        </is>
      </c>
      <c r="F36" s="39" t="inlineStr">
        <is>
          <t>máu 1.600 · giáp 2 · 6 m/s</t>
        </is>
      </c>
      <c r="G36" s="39" t="inlineStr">
        <is>
          <t>XM2001 Crusader (dự án bị hủy)</t>
        </is>
      </c>
      <c r="H36" s="39" t="inlineStr">
        <is>
          <t>Broken Arrow (có các mẫu bị hủy như XM2001 Crusader)</t>
        </is>
      </c>
      <c r="I36" s="39" t="inlineStr">
        <is>
          <t>'Dội bom' một lúc rồi im, khác lựu pháo bắn đều</t>
        </is>
      </c>
      <c r="J36" s="39" t="inlineStr">
        <is>
          <t>Pháo tự hành</t>
        </is>
      </c>
      <c r="K36" s="49" t="inlineStr">
        <is>
          <t>Thấp</t>
        </is>
      </c>
      <c r="L36" s="39" t="inlineStr">
        <is>
          <t>Cửa hàng: 3.000 xu, hoặc thưởng sự kiện</t>
        </is>
      </c>
    </row>
    <row r="37" ht="21.75" customHeight="1" s="32">
      <c r="A37" s="41" t="inlineStr">
        <is>
          <t>Xe lội nước tốc độ cao</t>
        </is>
      </c>
      <c r="B37" s="41" t="inlineStr">
        <is>
          <t>Xe nhẹ</t>
        </is>
      </c>
      <c r="C37" s="41" t="inlineStr">
        <is>
          <t>6 CP</t>
        </is>
      </c>
      <c r="D37" s="41" t="inlineStr">
        <is>
          <t>Chạy rất nhanh trên nước, đổ bộ từ biển vào bờ; trên bộ chậm hơn.</t>
        </is>
      </c>
      <c r="E37" s="41" t="inlineStr">
        <is>
          <t>30 mm + súng máy · tầm 30</t>
        </is>
      </c>
      <c r="F37" s="41" t="inlineStr">
        <is>
          <t>máu 1.200 · giáp 1 · 14 m/s trên nước / 8 m/s trên bộ</t>
        </is>
      </c>
      <c r="G37" s="41" t="inlineStr">
        <is>
          <t>EFV (dự án bị hủy), AAV-7</t>
        </is>
      </c>
      <c r="H37" s="41" t="inlineStr">
        <is>
          <t>Broken Arrow (EFV)</t>
        </is>
      </c>
      <c r="I37" s="41" t="inlineStr">
        <is>
          <t>Đổ bộ từ biển trong các map ven biển</t>
        </is>
      </c>
      <c r="J37" s="41" t="inlineStr">
        <is>
          <t>Xe bộ binh</t>
        </is>
      </c>
      <c r="K37" s="49" t="inlineStr">
        <is>
          <t>Thấp</t>
        </is>
      </c>
      <c r="L37" s="41" t="inlineStr">
        <is>
          <t>Cửa hàng: 1.500 xu</t>
        </is>
      </c>
    </row>
    <row r="38" ht="21.75" customHeight="1" s="32">
      <c r="A38" s="39" t="inlineStr">
        <is>
          <t>Tăng nhẹ thả dù</t>
        </is>
      </c>
      <c r="B38" s="39" t="inlineStr">
        <is>
          <t>Xe tăng</t>
        </is>
      </c>
      <c r="C38" s="39" t="inlineStr">
        <is>
          <t>5 CP</t>
        </is>
      </c>
      <c r="D38" s="39" t="inlineStr">
        <is>
          <t>Thả dù được xuống gần tiền tuyến; pháo 105 mm mạnh hơn tăng nhẹ lội nước nhưng giáp mỏng.</t>
        </is>
      </c>
      <c r="E38" s="39" t="inlineStr">
        <is>
          <t>105 mm Động năng xuyên 3 · 212/phát · 0,2 phát/s · tầm 32</t>
        </is>
      </c>
      <c r="F38" s="39" t="inlineStr">
        <is>
          <t>máu 1.300 · giáp 2/1/0/0 · 8 m/s</t>
        </is>
      </c>
      <c r="G38" s="39" t="inlineStr">
        <is>
          <t>M8 AGS (dự án bị hủy), M10 Booker</t>
        </is>
      </c>
      <c r="H38" s="39" t="inlineStr">
        <is>
          <t>Broken Arrow; WARNO</t>
        </is>
      </c>
      <c r="I38" s="39" t="inlineStr">
        <is>
          <t>Tăng có thể 'rơi' xuống sau lưng địch</t>
        </is>
      </c>
      <c r="J38" s="39" t="inlineStr">
        <is>
          <t>Tăng nhẹ, Xe đổ bộ đường không</t>
        </is>
      </c>
      <c r="K38" s="49" t="inlineStr">
        <is>
          <t>Thấp</t>
        </is>
      </c>
      <c r="L38" s="39" t="inlineStr">
        <is>
          <t>Cửa hàng: 1.500 xu</t>
        </is>
      </c>
    </row>
    <row r="39" ht="21.75" customHeight="1" s="32">
      <c r="A39" s="41" t="inlineStr">
        <is>
          <t>Máy bay cường kích tàng hình trên hạm</t>
        </is>
      </c>
      <c r="B39" s="41" t="inlineStr">
        <is>
          <t>Máy bay</t>
        </is>
      </c>
      <c r="C39" s="41" t="inlineStr">
        <is>
          <t>17 CP</t>
        </is>
      </c>
      <c r="D39" s="41" t="inlineStr">
        <is>
          <t>Tàng hình, ném 2 bom dẫn đường chính xác vào công trình và xe đứng yên; không có pháo.</t>
        </is>
      </c>
      <c r="E39" s="41" t="inlineStr">
        <is>
          <t>2 × bom dẫn đường 900 kg · tầm 30</t>
        </is>
      </c>
      <c r="F39" s="41" t="inlineStr">
        <is>
          <t>máu 1.500 · giáp 0 · 30 m/s</t>
        </is>
      </c>
      <c r="G39" s="41" t="inlineStr">
        <is>
          <t>A-12 Avenger II (dự án bị hủy)</t>
        </is>
      </c>
      <c r="H39" s="41" t="inlineStr">
        <is>
          <t>Broken Arrow (A-12)</t>
        </is>
      </c>
      <c r="I39" s="41" t="inlineStr">
        <is>
          <t>Cường kích tàng hình 'bắn tỉa' công trình</t>
        </is>
      </c>
      <c r="J39" s="41" t="inlineStr">
        <is>
          <t>Máy bay ném bom tàng hình</t>
        </is>
      </c>
      <c r="K39" s="49" t="inlineStr">
        <is>
          <t>Thấp</t>
        </is>
      </c>
      <c r="L39" s="41" t="inlineStr">
        <is>
          <t>Cửa hàng: 5.000 xu, hoặc thưởng thẻ mùa</t>
        </is>
      </c>
    </row>
    <row r="40" ht="21.75" customHeight="1" s="32">
      <c r="A40" s="39" t="inlineStr">
        <is>
          <t>Pháo hạm trực thăng hai rô-to</t>
        </is>
      </c>
      <c r="B40" s="39" t="inlineStr">
        <is>
          <t>Trực thăng</t>
        </is>
      </c>
      <c r="C40" s="39" t="inlineStr">
        <is>
          <t>14 CP</t>
        </is>
      </c>
      <c r="D40" s="39" t="inlineStr">
        <is>
          <t>Trực thăng vận tải lớn gắn pháo hai bên, bay vòng như Pháo hạm bay nhưng thấp và chậm, dễ trúng súng máy.</t>
        </is>
      </c>
      <c r="E40" s="39" t="inlineStr">
        <is>
          <t>2 × 20 mm + 40 mm phóng lựu · tầm 30</t>
        </is>
      </c>
      <c r="F40" s="39" t="inlineStr">
        <is>
          <t>máu 3.500 · giáp 1 · 9 m/s</t>
        </is>
      </c>
      <c r="G40" s="39" t="inlineStr">
        <is>
          <t>ACH-47A 'Guns-A-Go-Go'</t>
        </is>
      </c>
      <c r="H40" s="39" t="inlineStr">
        <is>
          <t>(mini boss Harpy đã dùng hình này)</t>
        </is>
      </c>
      <c r="I40" s="39" t="inlineStr">
        <is>
          <t>'Pháo hạm tầm thấp' giữa trực thăng vũ trang và AC-130</t>
        </is>
      </c>
      <c r="J40" s="39" t="inlineStr">
        <is>
          <t>Pháo hạm bay, Trực thăng vũ trang</t>
        </is>
      </c>
      <c r="K40" s="49" t="inlineStr">
        <is>
          <t>Thấp</t>
        </is>
      </c>
      <c r="L40" s="39" t="inlineStr">
        <is>
          <t>Cửa hàng: 5.000 xu, hoặc thưởng thẻ mùa</t>
        </is>
      </c>
    </row>
    <row r="41" ht="21.75" customHeight="1" s="32">
      <c r="A41" s="41" t="inlineStr">
        <is>
          <t>Drone mặt đất mang súng</t>
        </is>
      </c>
      <c r="B41" s="41" t="inlineStr">
        <is>
          <t>Hỗ trợ</t>
        </is>
      </c>
      <c r="C41" s="41" t="inlineStr">
        <is>
          <t>5 CP</t>
        </is>
      </c>
      <c r="D41" s="41" t="inlineStr">
        <is>
          <t>Xe chỉ huy thả 3 robot nhỏ có súng máy chạy trước dò đường, hút đạn; robot hết pin sau 60 s.</t>
        </is>
      </c>
      <c r="E41" s="41" t="inlineStr">
        <is>
          <t>3 robot × 7,62 mm · tầm 22</t>
        </is>
      </c>
      <c r="F41" s="41" t="inlineStr">
        <is>
          <t>robot máu 300 · xe mẹ máu 900</t>
        </is>
      </c>
      <c r="G41" s="41" t="inlineStr">
        <is>
          <t>THeMIS, Uran-9</t>
        </is>
      </c>
      <c r="H41" s="41" t="inlineStr">
        <is>
          <t>(mới)</t>
        </is>
      </c>
      <c r="I41" s="41" t="inlineStr">
        <is>
          <t>Đội hình 'mồi' rẻ, khác drone bay</t>
        </is>
      </c>
      <c r="J41" s="41" t="inlineStr">
        <is>
          <t>Xe phóng drone FPV</t>
        </is>
      </c>
      <c r="K41" s="49" t="inlineStr">
        <is>
          <t>Thấp</t>
        </is>
      </c>
      <c r="L41" s="41" t="inlineStr">
        <is>
          <t>Cửa hàng: 1.500 xu</t>
        </is>
      </c>
    </row>
    <row r="42" ht="21.75" customHeight="1" s="32">
      <c r="A42" s="39" t="inlineStr">
        <is>
          <t>Xe tiếp nhiên liệu – sửa chữa lưu động</t>
        </is>
      </c>
      <c r="B42" s="39" t="inlineStr">
        <is>
          <t>Hỗ trợ</t>
        </is>
      </c>
      <c r="C42" s="39" t="inlineStr">
        <is>
          <t>4 CP</t>
        </is>
      </c>
      <c r="D42" s="39" t="inlineStr">
        <is>
          <t>Sửa xe ta ngoài chiến trường chậm hơn công binh nhưng vùng rộng hơn; không sửa tháp.</t>
        </is>
      </c>
      <c r="E42" s="39" t="inlineStr">
        <is>
          <t>—</t>
        </is>
      </c>
      <c r="F42" s="39" t="inlineStr">
        <is>
          <t>máu 1.300 · giáp 1</t>
        </is>
      </c>
      <c r="G42" s="39" t="inlineStr">
        <is>
          <t>xe sửa chữa lưu động MTO-UB</t>
        </is>
      </c>
      <c r="H42" s="39" t="inlineStr">
        <is>
          <t>(mới)</t>
        </is>
      </c>
      <c r="I42" s="39" t="inlineStr">
        <is>
          <t>Hồi máu diện rộng phía sau tuyến</t>
        </is>
      </c>
      <c r="J42" s="39" t="inlineStr">
        <is>
          <t>Xe công binh</t>
        </is>
      </c>
      <c r="K42" s="49" t="inlineStr">
        <is>
          <t>Thấp</t>
        </is>
      </c>
      <c r="L42" s="39" t="inlineStr">
        <is>
          <t>Cửa hàng: 1.500 xu</t>
        </is>
      </c>
    </row>
    <row r="43" ht="21.75" customHeight="1" s="32">
      <c r="A43" s="41" t="inlineStr">
        <is>
          <t>Xe radar phòng không di động</t>
        </is>
      </c>
      <c r="B43" s="41" t="inlineStr">
        <is>
          <t>Hỗ trợ</t>
        </is>
      </c>
      <c r="C43" s="41" t="inlineStr">
        <is>
          <t>5 CP</t>
        </is>
      </c>
      <c r="D43" s="41" t="inlineStr">
        <is>
          <t>Không bắn; mọi xe phòng không ta trong 50 m được +15% tầm và thấy máy bay tàng hình từ xa hơn.</t>
        </is>
      </c>
      <c r="E43" s="41" t="inlineStr">
        <is>
          <t>—</t>
        </is>
      </c>
      <c r="F43" s="41" t="inlineStr">
        <is>
          <t>máu 900 · giáp 1</t>
        </is>
      </c>
      <c r="G43" s="41" t="inlineStr">
        <is>
          <t>Radar phòng không di động (Giraffe AMB, Kasta)</t>
        </is>
      </c>
      <c r="H43" s="41" t="inlineStr">
        <is>
          <t>Wargame (radar)</t>
        </is>
      </c>
      <c r="I43" s="41" t="inlineStr">
        <is>
          <t>Tăng sức cho nhóm phòng không thay vì tự bắn</t>
        </is>
      </c>
      <c r="J43" s="41" t="inlineStr">
        <is>
          <t>Trạm radar (tháp)</t>
        </is>
      </c>
      <c r="K43" s="49" t="inlineStr">
        <is>
          <t>Thấp</t>
        </is>
      </c>
      <c r="L43" s="41" t="inlineStr">
        <is>
          <t>Cửa hàng: 1.500 xu</t>
        </is>
      </c>
    </row>
    <row r="44" ht="21.75" customHeight="1" s="32">
      <c r="A44" s="39" t="inlineStr">
        <is>
          <t>Pháo chống tăng kéo cỡ lớn (xe)</t>
        </is>
      </c>
      <c r="B44" s="39" t="inlineStr">
        <is>
          <t>Diệt tăng</t>
        </is>
      </c>
      <c r="C44" s="39" t="inlineStr">
        <is>
          <t>4 CP</t>
        </is>
      </c>
      <c r="D44" s="39" t="inlineStr">
        <is>
          <t>Kéo bằng xe tải, phải dừng và triển khai 4 s mới bắn; bắn xa và mạnh, rất mỏng khi đang di chuyển.</t>
        </is>
      </c>
      <c r="E44" s="39" t="inlineStr">
        <is>
          <t>125 mm Động năng xuyên 4 · 250/phát · 0,2 phát/s · tầm 42</t>
        </is>
      </c>
      <c r="F44" s="39" t="inlineStr">
        <is>
          <t>máu 800 · giáp 0 (tấm chắn 1)</t>
        </is>
      </c>
      <c r="G44" s="39" t="inlineStr">
        <is>
          <t>2A45 Sprut-B</t>
        </is>
      </c>
      <c r="H44" s="39" t="inlineStr">
        <is>
          <t>Company of Heroes (pháo chống tăng kéo)</t>
        </is>
      </c>
      <c r="I44" s="39" t="inlineStr">
        <is>
          <t>Diệt tăng rẻ phải 'dựng súng', khác pháo tự hành</t>
        </is>
      </c>
      <c r="J44" s="39" t="inlineStr">
        <is>
          <t>Pháo chống tăng tự hành</t>
        </is>
      </c>
      <c r="K44" s="49" t="inlineStr">
        <is>
          <t>Thấp</t>
        </is>
      </c>
      <c r="L44" s="39" t="inlineStr">
        <is>
          <t>Cửa hàng: 1.500 xu</t>
        </is>
      </c>
    </row>
    <row r="45" ht="21.75" customHeight="1" s="32">
      <c r="A45" s="41" t="inlineStr">
        <is>
          <t>Tháp pháo sáng / chiếu sáng</t>
        </is>
      </c>
      <c r="B45" s="41" t="inlineStr">
        <is>
          <t>Công trình</t>
        </is>
      </c>
      <c r="C45" s="41" t="inlineStr">
        <is>
          <t>Ô nhỏ</t>
        </is>
      </c>
      <c r="D45" s="41" t="inlineStr">
        <is>
          <t>Định kỳ bắn pháo sáng lên vùng xung quanh ban đêm, lộ mọi thứ trong 30 m trong 15 s.</t>
        </is>
      </c>
      <c r="E45" s="41" t="inlineStr">
        <is>
          <t>—</t>
        </is>
      </c>
      <c r="F45" s="41" t="inlineStr">
        <is>
          <t>máu 1.000</t>
        </is>
      </c>
      <c r="G45" s="41" t="inlineStr">
        <is>
          <t>Pháo sáng chiếu sáng chiến trường</t>
        </is>
      </c>
      <c r="H45" s="41" t="inlineStr">
        <is>
          <t>Company of Heroes (pháo sáng)</t>
        </is>
      </c>
      <c r="I45" s="41" t="inlineStr">
        <is>
          <t>Cách đối phó đêm khác đèn pha (theo đợt, rộng hơn)</t>
        </is>
      </c>
      <c r="J45" s="41" t="inlineStr">
        <is>
          <t>Đèn pha chiến trường</t>
        </is>
      </c>
      <c r="K45" s="49" t="inlineStr">
        <is>
          <t>Thấp</t>
        </is>
      </c>
      <c r="L45" s="41" t="inlineStr">
        <is>
          <t>Cửa hàng: 2.000 xu (ô nhỏ) / 3.000 xu (ô vừa, tiện ích); hoặc thưởng nhiệm vụ phụ</t>
        </is>
      </c>
    </row>
    <row r="46" ht="21.75" customHeight="1" s="32">
      <c r="A46" s="39" t="inlineStr">
        <is>
          <t>Ụ súng không giật</t>
        </is>
      </c>
      <c r="B46" s="39" t="inlineStr">
        <is>
          <t>Công trình</t>
        </is>
      </c>
      <c r="C46" s="39" t="inlineStr">
        <is>
          <t>Ô nhỏ</t>
        </is>
      </c>
      <c r="D46" s="39" t="inlineStr">
        <is>
          <t>Chống tăng rẻ ở ô nhỏ, tầm ngắn, nạp lâu.</t>
        </is>
      </c>
      <c r="E46" s="39" t="inlineStr">
        <is>
          <t>SPG-9 73 mm Nổ lõm xuyên 3 · 180/phát · 0,15 phát/s · tầm 28</t>
        </is>
      </c>
      <c r="F46" s="39" t="inlineStr">
        <is>
          <t>máu 1.200 · giáp 1</t>
        </is>
      </c>
      <c r="G46" s="39" t="inlineStr">
        <is>
          <t>SPG-9 Kopyo</t>
        </is>
      </c>
      <c r="H46" s="39" t="inlineStr">
        <is>
          <t>Company of Heroes (súng không giật)</t>
        </is>
      </c>
      <c r="I46" s="39" t="inlineStr">
        <is>
          <t>Chống tăng rẻ, yếu hơn Ụ pháo chống tăng</t>
        </is>
      </c>
      <c r="J46" s="39" t="inlineStr">
        <is>
          <t>Ụ pháo chống tăng</t>
        </is>
      </c>
      <c r="K46" s="49" t="inlineStr">
        <is>
          <t>Thấp</t>
        </is>
      </c>
      <c r="L46" s="39" t="inlineStr">
        <is>
          <t>Cửa hàng: 2.000 xu (ô nhỏ) / 3.000 xu (ô vừa, tiện ích); hoặc thưởng nhiệm vụ phụ</t>
        </is>
      </c>
    </row>
    <row r="47" ht="21.75" customHeight="1" s="32">
      <c r="A47" s="41" t="inlineStr">
        <is>
          <t>Hầm ngầm che quân</t>
        </is>
      </c>
      <c r="B47" s="41" t="inlineStr">
        <is>
          <t>Công trình</t>
        </is>
      </c>
      <c r="C47" s="41" t="inlineStr">
        <is>
          <t>Ô vừa</t>
        </is>
      </c>
      <c r="D47" s="41" t="inlineStr">
        <is>
          <t>Xe đứng trong vùng hầm được che khỏi pháo binh và bom (nhận ít hơn 50% sát thương cầu vồng), nhưng không che trước đạn bắn thẳng.</t>
        </is>
      </c>
      <c r="E47" s="41" t="inlineStr">
        <is>
          <t>—</t>
        </is>
      </c>
      <c r="F47" s="41" t="inlineStr">
        <is>
          <t>máu 4.000 · giáp 3</t>
        </is>
      </c>
      <c r="G47" s="41" t="inlineStr">
        <is>
          <t>Hầm trú ẩn bê tông</t>
        </is>
      </c>
      <c r="H47" s="41" t="inlineStr">
        <is>
          <t>Company of Heroes (boongke)</t>
        </is>
      </c>
      <c r="I47" s="41" t="inlineStr">
        <is>
          <t>Giữ quân sống qua trận pháo kích</t>
        </is>
      </c>
      <c r="J47" s="41" t="inlineStr">
        <is>
          <t>Máy phát khiên, Tường chắn đạn</t>
        </is>
      </c>
      <c r="K47" s="49" t="inlineStr">
        <is>
          <t>Thấp</t>
        </is>
      </c>
      <c r="L47" s="41" t="inlineStr">
        <is>
          <t>Cửa hàng: 2.000 xu (ô nhỏ) / 3.000 xu (ô vừa, tiện ích); hoặc thưởng nhiệm vụ phụ</t>
        </is>
      </c>
    </row>
    <row r="48" ht="21.75" customHeight="1" s="32">
      <c r="A48" s="39" t="inlineStr">
        <is>
          <t>Xe phóng drone FPV cáp quang</t>
        </is>
      </c>
      <c r="B48" s="39" t="inlineStr">
        <is>
          <t>Diệt tăng</t>
        </is>
      </c>
      <c r="C48" s="39" t="inlineStr">
        <is>
          <t>7 CP</t>
        </is>
      </c>
      <c r="D48" s="39" t="inlineStr">
        <is>
          <t>Drone FPV điều khiển qua sợi cáp quang: không bị EW gây nhiễu, nhưng bay chậm hơn và mỗi xe chỉ điều khiển 1 drone một lúc.</t>
        </is>
      </c>
      <c r="E48" s="39" t="inlineStr">
        <is>
          <t>FPV 1,5 kg Nổ lõm xuyên 3 · 160/phát · 1 drone mỗi 6 s · tầm 60</t>
        </is>
      </c>
      <c r="F48" s="39" t="inlineStr">
        <is>
          <t>máu 950 · giáp 1</t>
        </is>
      </c>
      <c r="G48" s="39" t="inlineStr">
        <is>
          <t>FPV cáp quang (chiến sự Ukraine 2024–2025)</t>
        </is>
      </c>
      <c r="H48" s="39" t="inlineStr">
        <is>
          <t>(mới)</t>
        </is>
      </c>
      <c r="I48" s="39" t="inlineStr">
        <is>
          <t>Khắc chế đối thủ dùng nhiều gây nhiễu</t>
        </is>
      </c>
      <c r="J48" s="39" t="inlineStr">
        <is>
          <t>Xe phóng drone FPV</t>
        </is>
      </c>
      <c r="K48" s="48" t="inlineStr">
        <is>
          <t>Trung</t>
        </is>
      </c>
      <c r="L48" s="39" t="inlineStr">
        <is>
          <t>Cửa hàng: 3.000 xu, hoặc thưởng sự kiện</t>
        </is>
      </c>
    </row>
    <row r="49" ht="15" customHeight="1" s="32">
      <c r="A49" s="41" t="inlineStr">
        <is>
          <t>Xe drone đánh chặn</t>
        </is>
      </c>
      <c r="B49" s="41" t="inlineStr">
        <is>
          <t>Phòng không</t>
        </is>
      </c>
      <c r="C49" s="41" t="inlineStr">
        <is>
          <t>5 CP</t>
        </is>
      </c>
      <c r="D49" s="41" t="inlineStr">
        <is>
          <t>Phóng drone đánh chặn lao vào drone và trực thăng địch.</t>
        </is>
      </c>
      <c r="E49" s="41" t="inlineStr">
        <is>
          <t>Drone đánh chặn Mảnh · 120/phát · 1 mỗi 4 s · tầm 60</t>
        </is>
      </c>
      <c r="F49" s="41" t="inlineStr">
        <is>
          <t>máu 900 · giáp 1</t>
        </is>
      </c>
      <c r="G49" s="41" t="inlineStr">
        <is>
          <t>Drone đánh chặn (Ukraine), Coyote</t>
        </is>
      </c>
      <c r="H49" s="41" t="inlineStr">
        <is>
          <t>(mới)</t>
        </is>
      </c>
      <c r="I49" s="41" t="inlineStr">
        <is>
          <t>Chống drone bằng drone</t>
        </is>
      </c>
      <c r="J49" s="41" t="inlineStr">
        <is>
          <t>La-de PK, C-RAM</t>
        </is>
      </c>
      <c r="K49" s="48" t="inlineStr">
        <is>
          <t>Trung</t>
        </is>
      </c>
      <c r="L49" s="41" t="inlineStr">
        <is>
          <t>Cửa hàng: 1.500 xu</t>
        </is>
      </c>
    </row>
    <row r="50" ht="21.75" customHeight="1" s="32">
      <c r="A50" s="39" t="inlineStr">
        <is>
          <t>Xe laser chói lóa</t>
        </is>
      </c>
      <c r="B50" s="39" t="inlineStr">
        <is>
          <t>Hỗ trợ</t>
        </is>
      </c>
      <c r="C50" s="39" t="inlineStr">
        <is>
          <t>5 CP</t>
        </is>
      </c>
      <c r="D50" s="39" t="inlineStr">
        <is>
          <t>Làm mù kính ngắm: xe và tháp địch trong hình nón −40% độ chính xác 6 s; không gây sát thương.</t>
        </is>
      </c>
      <c r="E50" s="39" t="inlineStr">
        <is>
          <t>Laser chói · hình nón 40° · tầm 40 · hồi 12 s</t>
        </is>
      </c>
      <c r="F50" s="39" t="inlineStr">
        <is>
          <t>máu 900 · giáp 1</t>
        </is>
      </c>
      <c r="G50" s="39" t="inlineStr">
        <is>
          <t>Laser chói lóa (Peresvet, dazzler)</t>
        </is>
      </c>
      <c r="H50" s="39" t="inlineStr">
        <is>
          <t>(mới)</t>
        </is>
      </c>
      <c r="I50" s="39" t="inlineStr">
        <is>
          <t>Hỗ trợ bằng cách 'làm mù'</t>
        </is>
      </c>
      <c r="J50" s="39" t="inlineStr">
        <is>
          <t>Xe tạo khói</t>
        </is>
      </c>
      <c r="K50" s="49" t="inlineStr">
        <is>
          <t>Thấp</t>
        </is>
      </c>
      <c r="L50" s="39" t="inlineStr">
        <is>
          <t>Cửa hàng: 1.500 xu</t>
        </is>
      </c>
    </row>
    <row r="51" ht="21.75" customHeight="1" s="32">
      <c r="A51" s="41" t="inlineStr">
        <is>
          <t>Xe phóng tên lửa hành trình mặt đất</t>
        </is>
      </c>
      <c r="B51" s="41" t="inlineStr">
        <is>
          <t>Pháo binh</t>
        </is>
      </c>
      <c r="C51" s="41" t="inlineStr">
        <is>
          <t>12 CP</t>
        </is>
      </c>
      <c r="D51" s="41" t="inlineStr">
        <is>
          <t>Bắn 2 tên lửa hành trình chậm, tầm rất xa, bắn hạ được; mạnh với công trình.</t>
        </is>
      </c>
      <c r="E51" s="41" t="inlineStr">
        <is>
          <t>Tên lửa hành trình 450/phát · loạt 2 · nạp 30 s · tầm 180 · tốc độ 22</t>
        </is>
      </c>
      <c r="F51" s="41" t="inlineStr">
        <is>
          <t>máu 1.000 · giáp 1</t>
        </is>
      </c>
      <c r="G51" s="41" t="inlineStr">
        <is>
          <t>Typhon MRC (Tomahawk mặt đất), Bastion-P</t>
        </is>
      </c>
      <c r="H51" s="41" t="inlineStr">
        <is>
          <t>(mới)</t>
        </is>
      </c>
      <c r="I51" s="41" t="inlineStr">
        <is>
          <t>Đòn chính xác tầm xa, đối thủ có cơ hội bắn hạ</t>
        </is>
      </c>
      <c r="J51" s="41" t="inlineStr">
        <is>
          <t>Xe phóng tên lửa chiến thuật</t>
        </is>
      </c>
      <c r="K51" s="49" t="inlineStr">
        <is>
          <t>Thấp</t>
        </is>
      </c>
      <c r="L51" s="41" t="inlineStr">
        <is>
          <t>Cửa hàng: 5.000 xu, hoặc thưởng thẻ mùa</t>
        </is>
      </c>
    </row>
    <row r="52" ht="21.75" customHeight="1" s="32">
      <c r="A52" s="39" t="inlineStr">
        <is>
          <t>Máy bay tiếp dầu</t>
        </is>
      </c>
      <c r="B52" s="39" t="inlineStr">
        <is>
          <t>Máy bay</t>
        </is>
      </c>
      <c r="C52" s="39" t="inlineStr">
        <is>
          <t>8 CP</t>
        </is>
      </c>
      <c r="D52" s="39" t="inlineStr">
        <is>
          <t>Không đánh; máy bay ta trong vùng bay vòng lâu hơn 50% trước khi phải về nạp đạn.</t>
        </is>
      </c>
      <c r="E52" s="39" t="inlineStr">
        <is>
          <t>—</t>
        </is>
      </c>
      <c r="F52" s="39" t="inlineStr">
        <is>
          <t>máu 2.500 · giáp 0 · 20 m/s</t>
        </is>
      </c>
      <c r="G52" s="39" t="inlineStr">
        <is>
          <t>KC-135, Il-78</t>
        </is>
      </c>
      <c r="H52" s="39" t="inlineStr">
        <is>
          <t>Wargame (máy bay hỗ trợ)</t>
        </is>
      </c>
      <c r="I52" s="39" t="inlineStr">
        <is>
          <t>Tăng sức bền cho không quân</t>
        </is>
      </c>
      <c r="J52" s="39" t="inlineStr">
        <is>
          <t>Sân bay dã chiến</t>
        </is>
      </c>
      <c r="K52" s="49" t="inlineStr">
        <is>
          <t>Thấp</t>
        </is>
      </c>
      <c r="L52" s="39" t="inlineStr">
        <is>
          <t>Cửa hàng: 3.000 xu, hoặc thưởng sự kiện</t>
        </is>
      </c>
    </row>
    <row r="53" ht="21.75" customHeight="1" s="32">
      <c r="A53" s="41" t="inlineStr">
        <is>
          <t>Trực thăng cẩu tháp</t>
        </is>
      </c>
      <c r="B53" s="41" t="inlineStr">
        <is>
          <t>Trực thăng</t>
        </is>
      </c>
      <c r="C53" s="41" t="inlineStr">
        <is>
          <t>7 CP</t>
        </is>
      </c>
      <c r="D53" s="41" t="inlineStr">
        <is>
          <t>Cẩu một tháp nhỏ đặt xuống bất kỳ đâu phe ta nhìn thấy (ngoài căn cứ địch).</t>
        </is>
      </c>
      <c r="E53" s="41" t="inlineStr">
        <is>
          <t>—</t>
        </is>
      </c>
      <c r="F53" s="41" t="inlineStr">
        <is>
          <t>máu 1.800 · giáp 1 · 12 m/s</t>
        </is>
      </c>
      <c r="G53" s="41" t="inlineStr">
        <is>
          <t>CH-47 / Mi-26 cẩu hàng</t>
        </is>
      </c>
      <c r="H53" s="41" t="inlineStr">
        <is>
          <t>(mới)</t>
        </is>
      </c>
      <c r="I53" s="41" t="inlineStr">
        <is>
          <t>Dựng tiền đồn bằng đường không</t>
        </is>
      </c>
      <c r="J53" s="41" t="inlineStr">
        <is>
          <t>Thẻ Tháp dã chiến</t>
        </is>
      </c>
      <c r="K53" s="49" t="inlineStr">
        <is>
          <t>Thấp</t>
        </is>
      </c>
      <c r="L53" s="41" t="inlineStr">
        <is>
          <t>Cửa hàng: 3.000 xu, hoặc thưởng sự kiện</t>
        </is>
      </c>
    </row>
    <row r="54" ht="15" customHeight="1" s="32">
      <c r="A54" s="39" t="inlineStr">
        <is>
          <t>Xe bắc cầu</t>
        </is>
      </c>
      <c r="B54" s="39" t="inlineStr">
        <is>
          <t>Hỗ trợ</t>
        </is>
      </c>
      <c r="C54" s="39" t="inlineStr">
        <is>
          <t>4 CP</t>
        </is>
      </c>
      <c r="D54" s="39" t="inlineStr">
        <is>
          <t>Bắc một cầu tạm qua sông hoặc hào (khi có sông).</t>
        </is>
      </c>
      <c r="E54" s="39" t="inlineStr">
        <is>
          <t>—</t>
        </is>
      </c>
      <c r="F54" s="39" t="inlineStr">
        <is>
          <t>máu 1.500 · giáp 2</t>
        </is>
      </c>
      <c r="G54" s="39" t="inlineStr">
        <is>
          <t>AVLB, MTU-72</t>
        </is>
      </c>
      <c r="H54" s="39" t="inlineStr">
        <is>
          <t>Company of Heroes (công binh bắc cầu)</t>
        </is>
      </c>
      <c r="I54" s="39" t="inlineStr">
        <is>
          <t>Mở lối qua sông</t>
        </is>
      </c>
      <c r="J54" s="39" t="inlineStr">
        <is>
          <t>Công binh</t>
        </is>
      </c>
      <c r="K54" s="49" t="inlineStr">
        <is>
          <t>Thấp</t>
        </is>
      </c>
      <c r="L54" s="39" t="inlineStr">
        <is>
          <t>Cửa hàng: 1.500 xu</t>
        </is>
      </c>
    </row>
    <row r="55" ht="21.75" customHeight="1" s="32">
      <c r="A55" s="41" t="inlineStr">
        <is>
          <t>Xe gây nhiễu định vị</t>
        </is>
      </c>
      <c r="B55" s="41" t="inlineStr">
        <is>
          <t>Hỗ trợ</t>
        </is>
      </c>
      <c r="C55" s="41" t="inlineStr">
        <is>
          <t>5 CP</t>
        </is>
      </c>
      <c r="D55" s="41" t="inlineStr">
        <is>
          <t>Bom dẫn đường GPS, bom lượn và tên lửa hành trình rơi lệch khi vào vùng.</t>
        </is>
      </c>
      <c r="E55" s="41" t="inlineStr">
        <is>
          <t>—</t>
        </is>
      </c>
      <c r="F55" s="41" t="inlineStr">
        <is>
          <t>máu 800 · giáp 1</t>
        </is>
      </c>
      <c r="G55" s="41" t="inlineStr">
        <is>
          <t>Pole-21</t>
        </is>
      </c>
      <c r="H55" s="41" t="inlineStr">
        <is>
          <t>(mới)</t>
        </is>
      </c>
      <c r="I55" s="41" t="inlineStr">
        <is>
          <t>Khắc chế bom lượn và tên lửa hành trình</t>
        </is>
      </c>
      <c r="J55" s="41" t="inlineStr">
        <is>
          <t>Xe gây nhiễu điện tử</t>
        </is>
      </c>
      <c r="K55" s="49" t="inlineStr">
        <is>
          <t>Thấp</t>
        </is>
      </c>
      <c r="L55" s="41" t="inlineStr">
        <is>
          <t>Cửa hàng: 1.500 xu</t>
        </is>
      </c>
    </row>
    <row r="56" ht="21.75" customHeight="1" s="32">
      <c r="A56" s="39" t="inlineStr">
        <is>
          <t>Lưới chắn drone</t>
        </is>
      </c>
      <c r="B56" s="39" t="inlineStr">
        <is>
          <t>Công trình</t>
        </is>
      </c>
      <c r="C56" s="39" t="inlineStr">
        <is>
          <t>Ô nhỏ</t>
        </is>
      </c>
      <c r="D56" s="39" t="inlineStr">
        <is>
          <t>Hành lang lưới: drone bay qua bị mắc và rơi; không cản xe.</t>
        </is>
      </c>
      <c r="E56" s="39" t="inlineStr">
        <is>
          <t>—</t>
        </is>
      </c>
      <c r="F56" s="39" t="inlineStr">
        <is>
          <t>máu 800</t>
        </is>
      </c>
      <c r="G56" s="39" t="inlineStr">
        <is>
          <t>Lưới chống drone phủ đường tiếp tế (Ukraine)</t>
        </is>
      </c>
      <c r="H56" s="39" t="inlineStr">
        <is>
          <t>(mới)</t>
        </is>
      </c>
      <c r="I56" s="39" t="inlineStr">
        <is>
          <t>Chống drone thụ động, rẻ</t>
        </is>
      </c>
      <c r="J56" s="39" t="inlineStr">
        <is>
          <t>Tháp EW, C-RAM</t>
        </is>
      </c>
      <c r="K56" s="49" t="inlineStr">
        <is>
          <t>Thấp</t>
        </is>
      </c>
      <c r="L56" s="39" t="inlineStr">
        <is>
          <t>Cửa hàng: 2.000 xu (ô nhỏ) / 3.000 xu (ô vừa, tiện ích); hoặc thưởng nhiệm vụ phụ</t>
        </is>
      </c>
    </row>
    <row r="57" ht="21.75" customHeight="1" s="32">
      <c r="A57" s="41" t="inlineStr">
        <is>
          <t>Bệ tên lửa phòng thủ một lần</t>
        </is>
      </c>
      <c r="B57" s="41" t="inlineStr">
        <is>
          <t>Công trình</t>
        </is>
      </c>
      <c r="C57" s="41" t="inlineStr">
        <is>
          <t>Ô vừa</t>
        </is>
      </c>
      <c r="D57" s="41" t="inlineStr">
        <is>
          <t>Bắn 1 loạt 8 tên lửa chống tăng khi đợt địch lớn tiến vào, rồi phải thả dù lại.</t>
        </is>
      </c>
      <c r="E57" s="41" t="inlineStr">
        <is>
          <t>8 × Kornet 230 · một lần</t>
        </is>
      </c>
      <c r="F57" s="41" t="inlineStr">
        <is>
          <t>máu 2.000 · giáp 2</t>
        </is>
      </c>
      <c r="G57" s="41" t="inlineStr">
        <is>
          <t>Bệ phóng tự động</t>
        </is>
      </c>
      <c r="H57" s="41" t="inlineStr">
        <is>
          <t>(mới)</t>
        </is>
      </c>
      <c r="I57" s="41" t="inlineStr">
        <is>
          <t>Một cú 'mìn' lớn chống đợt tấn công</t>
        </is>
      </c>
      <c r="J57" s="41" t="inlineStr">
        <is>
          <t>Tháp ATGM</t>
        </is>
      </c>
      <c r="K57" s="49" t="inlineStr">
        <is>
          <t>Thấp</t>
        </is>
      </c>
      <c r="L57" s="41" t="inlineStr">
        <is>
          <t>Cửa hàng: 2.000 xu (ô nhỏ) / 3.000 xu (ô vừa, tiện ích); hoặc thưởng nhiệm vụ phụ</t>
        </is>
      </c>
    </row>
  </sheetData>
  <autoFilter ref="A1:L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Z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31" min="1" max="1"/>
    <col width="8" customWidth="1" style="31" min="2" max="2"/>
    <col width="7" customWidth="1" style="31" min="3" max="3"/>
    <col width="10" customWidth="1" style="31" min="4" max="4"/>
    <col width="7" customWidth="1" style="31" min="5" max="5"/>
    <col width="20" customWidth="1" style="31" min="6" max="6"/>
    <col width="10" customWidth="1" style="31" min="7" max="7"/>
    <col width="6" customWidth="1" style="31" min="8" max="8"/>
    <col width="8" customWidth="1" style="31" min="9" max="9"/>
    <col width="6" customWidth="1" style="31" min="10" max="10"/>
    <col width="9" customWidth="1" style="31" min="11" max="11"/>
    <col width="8" customWidth="1" style="31" min="12" max="12"/>
    <col width="6" customWidth="1" style="31" min="13" max="15"/>
    <col width="8" customWidth="1" style="31" min="16" max="16"/>
    <col width="7" customWidth="1" style="31" min="17" max="20"/>
    <col width="55" customWidth="1" style="31" min="21" max="21"/>
    <col width="30" customWidth="1" style="31" min="22" max="24"/>
    <col width="8" customWidth="1" style="31" min="25" max="25"/>
    <col width="30" customWidth="1" style="31" min="26" max="26"/>
  </cols>
  <sheetData>
    <row r="1" ht="42" customHeight="1" s="32">
      <c r="A1" s="37" t="inlineStr">
        <is>
          <t>Tên</t>
        </is>
      </c>
      <c r="B1" s="37" t="inlineStr">
        <is>
          <t>Ô</t>
        </is>
      </c>
      <c r="C1" s="37" t="inlineStr">
        <is>
          <t>Máu</t>
        </is>
      </c>
      <c r="D1" s="37" t="inlineStr">
        <is>
          <t>Giáp</t>
        </is>
      </c>
      <c r="E1" s="37" t="inlineStr">
        <is>
          <t>Tầm nhìn</t>
        </is>
      </c>
      <c r="F1" s="37" t="inlineStr">
        <is>
          <t>Vũ khí</t>
        </is>
      </c>
      <c r="G1" s="37" t="inlineStr">
        <is>
          <t>Loại</t>
        </is>
      </c>
      <c r="H1" s="37" t="inlineStr">
        <is>
          <t>Xuyên</t>
        </is>
      </c>
      <c r="I1" s="37" t="inlineStr">
        <is>
          <t>Sát thương/phát</t>
        </is>
      </c>
      <c r="J1" s="37" t="inlineStr">
        <is>
          <t>Viên/s</t>
        </is>
      </c>
      <c r="K1" s="37" t="inlineStr">
        <is>
          <t>Chế độ</t>
        </is>
      </c>
      <c r="L1" s="37" t="inlineStr">
        <is>
          <t>Viên mỗi băng/loạt</t>
        </is>
      </c>
      <c r="M1" s="37" t="inlineStr">
        <is>
          <t>Nạp (s)</t>
        </is>
      </c>
      <c r="N1" s="37" t="inlineStr">
        <is>
          <t>Tầm (m)</t>
        </is>
      </c>
      <c r="O1" s="37" t="inlineStr">
        <is>
          <t>Nổ lan (m)</t>
        </is>
      </c>
      <c r="P1" s="37" t="inlineStr">
        <is>
          <t>DPS duy trì</t>
        </is>
      </c>
      <c r="Q1" s="37" t="inlineStr">
        <is>
          <t>vs giáp 1</t>
        </is>
      </c>
      <c r="R1" s="37" t="inlineStr">
        <is>
          <t>vs giáp 3</t>
        </is>
      </c>
      <c r="S1" s="37" t="inlineStr">
        <is>
          <t>trên không</t>
        </is>
      </c>
      <c r="T1" s="37" t="inlineStr">
        <is>
          <t>công trình</t>
        </is>
      </c>
      <c r="U1" s="37" t="inlineStr">
        <is>
          <t>Cơ chế / hành vi</t>
        </is>
      </c>
      <c r="V1" s="37" t="inlineStr">
        <is>
          <t>Tham khảo ngoài đời</t>
        </is>
      </c>
      <c r="W1" s="37" t="inlineStr">
        <is>
          <t>Tham khảo game</t>
        </is>
      </c>
      <c r="X1" s="37" t="inlineStr">
        <is>
          <t>Cảm giác khác</t>
        </is>
      </c>
      <c r="Y1" s="46" t="inlineStr">
        <is>
          <t>Ưu tiên</t>
        </is>
      </c>
      <c r="Z1" s="45" t="inlineStr">
        <is>
          <t>Mở khóa đề xuất</t>
        </is>
      </c>
    </row>
    <row r="2" ht="21.75" customHeight="1" s="32">
      <c r="A2" s="39" t="inlineStr">
        <is>
          <t>Tháp cao xạ hạng nặng 100 mm (KS-19)</t>
        </is>
      </c>
      <c r="B2" s="39" t="inlineStr">
        <is>
          <t>Vừa</t>
        </is>
      </c>
      <c r="C2" s="42" t="n">
        <v>3000</v>
      </c>
      <c r="D2" s="39" t="inlineStr">
        <is>
          <t>2</t>
        </is>
      </c>
      <c r="E2" s="42" t="n">
        <v>64</v>
      </c>
      <c r="F2" s="39" t="inlineStr">
        <is>
          <t>Pháo cao xạ 88 mm</t>
        </is>
      </c>
      <c r="G2" s="39" t="inlineStr">
        <is>
          <t>Mảnh</t>
        </is>
      </c>
      <c r="H2" s="42" t="n">
        <v>3</v>
      </c>
      <c r="I2" s="42" t="n">
        <v>120</v>
      </c>
      <c r="J2" s="42" t="n">
        <v>0.5</v>
      </c>
      <c r="K2" s="39" t="inlineStr">
        <is>
          <t>từng phát</t>
        </is>
      </c>
      <c r="L2" s="42" t="n">
        <v>1</v>
      </c>
      <c r="M2" s="42" t="n">
        <v>0</v>
      </c>
      <c r="N2" s="42" t="n">
        <v>70</v>
      </c>
      <c r="O2" s="42" t="n">
        <v>6</v>
      </c>
      <c r="P2" s="54">
        <f>IFERROR(IF(K2="từng phát",I2*J2,I2*L2/(L2/J2+M2)),0)</f>
        <v/>
      </c>
      <c r="Q2" s="54">
        <f>IFERROR(P2*VLOOKUP(G2,'Hệ số'!$A$2:$D$8,2,0)*IF((H2-1)&gt;=2,1.2,IF((H2-1)=1,1,IF((H2-1)=0,0.85,IF((H2-1)=-1,0.5,IF((H2-1)=-2,0.25,0.1))))),0)</f>
        <v/>
      </c>
      <c r="R2" s="54">
        <f>IFERROR(P2*VLOOKUP(G2,'Hệ số'!$A$2:$D$8,2,0)*IF((H2-3)&gt;=2,1.2,IF((H2-3)=1,1,IF((H2-3)=0,0.85,IF((H2-3)=-1,0.5,IF((H2-3)=-2,0.25,0.1))))),0)</f>
        <v/>
      </c>
      <c r="S2" s="54">
        <f>IFERROR(P2*VLOOKUP(G2,'Hệ số'!$A$2:$D$8,3,0),0)</f>
        <v/>
      </c>
      <c r="T2" s="54">
        <f>IFERROR(P2*VLOOKUP(G2,'Hệ số'!$A$2:$D$8,4,0)*IF((H2-2)&gt;=2,1.2,IF((H2-2)=1,1,IF((H2-2)=0,0.85,IF((H2-2)=-1,0.5,IF((H2-2)=-2,0.25,0.1))))),0)</f>
        <v/>
      </c>
      <c r="U2" s="39" t="inlineStr">
        <is>
          <t>Đạn nổ trên không bán kính lớn; ưu tiên tốp máy bay và máy bay lớn; hạ nòng bắn xe tăng ở 50 m (xuyên 3).</t>
        </is>
      </c>
      <c r="V2" s="39" t="inlineStr">
        <is>
          <t>KS-19 100 mm (1947)</t>
        </is>
      </c>
      <c r="W2" s="39" t="inlineStr">
        <is>
          <t>Red Alert 2 (Flak Cannon)</t>
        </is>
      </c>
      <c r="X2" s="39" t="inlineStr">
        <is>
          <t>Nổ chậm, to, khói đen trên trời</t>
        </is>
      </c>
      <c r="Y2" s="47" t="inlineStr">
        <is>
          <t>Cao</t>
        </is>
      </c>
      <c r="Z2" s="39" t="inlineStr">
        <is>
          <t>Cửa hàng: 3.000 xu</t>
        </is>
      </c>
    </row>
    <row r="3" ht="21.75" customHeight="1" s="32">
      <c r="A3" s="41" t="inlineStr">
        <is>
          <t>Ụ pháo chống tăng</t>
        </is>
      </c>
      <c r="B3" s="41" t="inlineStr">
        <is>
          <t>Nhỏ</t>
        </is>
      </c>
      <c r="C3" s="43" t="n">
        <v>1500</v>
      </c>
      <c r="D3" s="41" t="inlineStr">
        <is>
          <t>1 (tấm chắn trước 2)</t>
        </is>
      </c>
      <c r="E3" s="43" t="n">
        <v>40</v>
      </c>
      <c r="F3" s="41" t="inlineStr">
        <is>
          <t>Pháo 125 mm kéo</t>
        </is>
      </c>
      <c r="G3" s="41" t="inlineStr">
        <is>
          <t>Động năng</t>
        </is>
      </c>
      <c r="H3" s="43" t="n">
        <v>3</v>
      </c>
      <c r="I3" s="43" t="n">
        <v>200</v>
      </c>
      <c r="J3" s="43" t="n">
        <v>0.2</v>
      </c>
      <c r="K3" s="41" t="inlineStr">
        <is>
          <t>từng phát</t>
        </is>
      </c>
      <c r="L3" s="43" t="n">
        <v>1</v>
      </c>
      <c r="M3" s="43" t="n">
        <v>0</v>
      </c>
      <c r="N3" s="43" t="n">
        <v>38</v>
      </c>
      <c r="O3" s="43" t="n">
        <v>0</v>
      </c>
      <c r="P3" s="55">
        <f>IFERROR(IF(K3="từng phát",I3*J3,I3*L3/(L3/J3+M3)),0)</f>
        <v/>
      </c>
      <c r="Q3" s="55">
        <f>IFERROR(P3*VLOOKUP(G3,'Hệ số'!$A$2:$D$8,2,0)*IF((H3-1)&gt;=2,1.2,IF((H3-1)=1,1,IF((H3-1)=0,0.85,IF((H3-1)=-1,0.5,IF((H3-1)=-2,0.25,0.1))))),0)</f>
        <v/>
      </c>
      <c r="R3" s="55">
        <f>IFERROR(P3*VLOOKUP(G3,'Hệ số'!$A$2:$D$8,2,0)*IF((H3-3)&gt;=2,1.2,IF((H3-3)=1,1,IF((H3-3)=0,0.85,IF((H3-3)=-1,0.5,IF((H3-3)=-2,0.25,0.1))))),0)</f>
        <v/>
      </c>
      <c r="S3" s="55">
        <f>IFERROR(P3*VLOOKUP(G3,'Hệ số'!$A$2:$D$8,3,0),0)</f>
        <v/>
      </c>
      <c r="T3" s="55">
        <f>IFERROR(P3*VLOOKUP(G3,'Hệ số'!$A$2:$D$8,4,0)*IF((H3-2)&gt;=2,1.2,IF((H3-2)=1,1,IF((H3-2)=0,0.85,IF((H3-2)=-1,0.5,IF((H3-2)=-2,0.25,0.1))))),0)</f>
        <v/>
      </c>
      <c r="U3" s="41" t="inlineStr">
        <is>
          <t>Lấp chỗ trống chống tăng ở ô nhỏ; bắn trước mặt 90°, xoay chậm; pháo binh và xe nhẹ đánh sườn diệt nhanh.</t>
        </is>
      </c>
      <c r="V3" s="41" t="inlineStr">
        <is>
          <t>2A45 Sprut-B, MT-12 Rapira</t>
        </is>
      </c>
      <c r="W3" s="41" t="inlineStr">
        <is>
          <t>Company of Heroes (pháo chống tăng)</t>
        </is>
      </c>
      <c r="X3" s="41" t="inlineStr">
        <is>
          <t>Chống tăng rẻ ở vòng ngoài căn cứ</t>
        </is>
      </c>
      <c r="Y3" s="47" t="inlineStr">
        <is>
          <t>Cao</t>
        </is>
      </c>
      <c r="Z3" s="41" t="inlineStr">
        <is>
          <t>Cửa hàng: 2.000 xu</t>
        </is>
      </c>
    </row>
    <row r="4" ht="15" customHeight="1" s="32">
      <c r="A4" s="39" t="inlineStr">
        <is>
          <t>Tổ tên lửa vác vai</t>
        </is>
      </c>
      <c r="B4" s="39" t="inlineStr">
        <is>
          <t>Nhỏ</t>
        </is>
      </c>
      <c r="C4" s="42" t="n">
        <v>1200</v>
      </c>
      <c r="D4" s="39" t="inlineStr">
        <is>
          <t>1</t>
        </is>
      </c>
      <c r="E4" s="42" t="n">
        <v>50</v>
      </c>
      <c r="F4" s="39" t="inlineStr">
        <is>
          <t>Stinger ×2</t>
        </is>
      </c>
      <c r="G4" s="39" t="inlineStr">
        <is>
          <t>Mảnh</t>
        </is>
      </c>
      <c r="H4" s="42" t="n">
        <v>2</v>
      </c>
      <c r="I4" s="42" t="n">
        <v>170</v>
      </c>
      <c r="J4" s="42" t="n">
        <v>0.25</v>
      </c>
      <c r="K4" s="39" t="inlineStr">
        <is>
          <t>từng phát</t>
        </is>
      </c>
      <c r="L4" s="42" t="n">
        <v>1</v>
      </c>
      <c r="M4" s="42" t="n">
        <v>0</v>
      </c>
      <c r="N4" s="42" t="n">
        <v>44</v>
      </c>
      <c r="O4" s="42" t="n">
        <v>2</v>
      </c>
      <c r="P4" s="54">
        <f>IFERROR(IF(K4="từng phát",I4*J4,I4*L4/(L4/J4+M4)),0)</f>
        <v/>
      </c>
      <c r="Q4" s="54">
        <f>IFERROR(P4*VLOOKUP(G4,'Hệ số'!$A$2:$D$8,2,0)*IF((H4-1)&gt;=2,1.2,IF((H4-1)=1,1,IF((H4-1)=0,0.85,IF((H4-1)=-1,0.5,IF((H4-1)=-2,0.25,0.1))))),0)</f>
        <v/>
      </c>
      <c r="R4" s="54">
        <f>IFERROR(P4*VLOOKUP(G4,'Hệ số'!$A$2:$D$8,2,0)*IF((H4-3)&gt;=2,1.2,IF((H4-3)=1,1,IF((H4-3)=0,0.85,IF((H4-3)=-1,0.5,IF((H4-3)=-2,0.25,0.1))))),0)</f>
        <v/>
      </c>
      <c r="S4" s="54">
        <f>IFERROR(P4*VLOOKUP(G4,'Hệ số'!$A$2:$D$8,3,0),0)</f>
        <v/>
      </c>
      <c r="T4" s="54">
        <f>IFERROR(P4*VLOOKUP(G4,'Hệ số'!$A$2:$D$8,4,0)*IF((H4-2)&gt;=2,1.2,IF((H4-2)=1,1,IF((H4-2)=0,0.85,IF((H4-2)=-1,0.5,IF((H4-2)=-2,0.25,0.1))))),0)</f>
        <v/>
      </c>
      <c r="U4" s="39" t="inlineStr">
        <is>
          <t>Chỉ bắn máy bay và trực thăng; rẻ; bị pháo sáng đánh lừa.</t>
        </is>
      </c>
      <c r="V4" s="39" t="inlineStr">
        <is>
          <t>Tổ MANPADS</t>
        </is>
      </c>
      <c r="W4" s="39" t="inlineStr">
        <is>
          <t>Wargame</t>
        </is>
      </c>
      <c r="X4" s="39" t="inlineStr">
        <is>
          <t>Phòng không rẻ, không bắn đất</t>
        </is>
      </c>
      <c r="Y4" s="49" t="inlineStr">
        <is>
          <t>Thấp</t>
        </is>
      </c>
      <c r="Z4" s="39" t="inlineStr">
        <is>
          <t>Cửa hàng: 2.000 xu</t>
        </is>
      </c>
    </row>
    <row r="5" ht="21.75" customHeight="1" s="32">
      <c r="A5" s="41" t="inlineStr">
        <is>
          <t>Ụ súng không giật</t>
        </is>
      </c>
      <c r="B5" s="41" t="inlineStr">
        <is>
          <t>Nhỏ</t>
        </is>
      </c>
      <c r="C5" s="43" t="n">
        <v>1200</v>
      </c>
      <c r="D5" s="41" t="inlineStr">
        <is>
          <t>1</t>
        </is>
      </c>
      <c r="E5" s="43" t="n">
        <v>36</v>
      </c>
      <c r="F5" s="41" t="inlineStr">
        <is>
          <t>SPG-9 73 mm</t>
        </is>
      </c>
      <c r="G5" s="41" t="inlineStr">
        <is>
          <t>Nổ lõm</t>
        </is>
      </c>
      <c r="H5" s="43" t="n">
        <v>3</v>
      </c>
      <c r="I5" s="43" t="n">
        <v>180</v>
      </c>
      <c r="J5" s="43" t="n">
        <v>0.15</v>
      </c>
      <c r="K5" s="41" t="inlineStr">
        <is>
          <t>từng phát</t>
        </is>
      </c>
      <c r="L5" s="43" t="n">
        <v>1</v>
      </c>
      <c r="M5" s="43" t="n">
        <v>0</v>
      </c>
      <c r="N5" s="43" t="n">
        <v>28</v>
      </c>
      <c r="O5" s="43" t="n">
        <v>0</v>
      </c>
      <c r="P5" s="55">
        <f>IFERROR(IF(K5="từng phát",I5*J5,I5*L5/(L5/J5+M5)),0)</f>
        <v/>
      </c>
      <c r="Q5" s="55">
        <f>IFERROR(P5*VLOOKUP(G5,'Hệ số'!$A$2:$D$8,2,0)*IF((H5-1)&gt;=2,1.2,IF((H5-1)=1,1,IF((H5-1)=0,0.85,IF((H5-1)=-1,0.5,IF((H5-1)=-2,0.25,0.1))))),0)</f>
        <v/>
      </c>
      <c r="R5" s="55">
        <f>IFERROR(P5*VLOOKUP(G5,'Hệ số'!$A$2:$D$8,2,0)*IF((H5-3)&gt;=2,1.2,IF((H5-3)=1,1,IF((H5-3)=0,0.85,IF((H5-3)=-1,0.5,IF((H5-3)=-2,0.25,0.1))))),0)</f>
        <v/>
      </c>
      <c r="S5" s="55">
        <f>IFERROR(P5*VLOOKUP(G5,'Hệ số'!$A$2:$D$8,3,0),0)</f>
        <v/>
      </c>
      <c r="T5" s="55">
        <f>IFERROR(P5*VLOOKUP(G5,'Hệ số'!$A$2:$D$8,4,0)*IF((H5-2)&gt;=2,1.2,IF((H5-2)=1,1,IF((H5-2)=0,0.85,IF((H5-2)=-1,0.5,IF((H5-2)=-2,0.25,0.1))))),0)</f>
        <v/>
      </c>
      <c r="U5" s="41" t="inlineStr">
        <is>
          <t>Chống tăng tầm ngắn, nạp lâu; bị APS chặn.</t>
        </is>
      </c>
      <c r="V5" s="41" t="inlineStr">
        <is>
          <t>SPG-9 Kopyo</t>
        </is>
      </c>
      <c r="W5" s="41" t="inlineStr">
        <is>
          <t>Company of Heroes</t>
        </is>
      </c>
      <c r="X5" s="41" t="inlineStr">
        <is>
          <t>Chống tăng rẻ hơn Ụ pháo chống tăng nhưng yếu hơn</t>
        </is>
      </c>
      <c r="Y5" s="49" t="inlineStr">
        <is>
          <t>Thấp</t>
        </is>
      </c>
      <c r="Z5" s="41" t="inlineStr">
        <is>
          <t>Cửa hàng: 2.000 xu</t>
        </is>
      </c>
    </row>
    <row r="6" ht="21.75" customHeight="1" s="32">
      <c r="A6" s="39" t="inlineStr">
        <is>
          <t>Tường chắn đạn</t>
        </is>
      </c>
      <c r="B6" s="39" t="inlineStr">
        <is>
          <t>Nhỏ</t>
        </is>
      </c>
      <c r="C6" s="42" t="n">
        <v>3000</v>
      </c>
      <c r="D6" s="39" t="inlineStr">
        <is>
          <t>3</t>
        </is>
      </c>
      <c r="E6" s="42" t="n">
        <v>0</v>
      </c>
      <c r="F6" s="39" t="inlineStr">
        <is>
          <t>—</t>
        </is>
      </c>
      <c r="G6" s="39" t="inlineStr">
        <is>
          <t>—</t>
        </is>
      </c>
      <c r="H6" s="42" t="n">
        <v>0</v>
      </c>
      <c r="I6" s="42" t="n">
        <v>0</v>
      </c>
      <c r="J6" s="42" t="n">
        <v>0</v>
      </c>
      <c r="K6" s="39" t="inlineStr">
        <is>
          <t>—</t>
        </is>
      </c>
      <c r="L6" s="42" t="n">
        <v>0</v>
      </c>
      <c r="M6" s="42" t="n">
        <v>0</v>
      </c>
      <c r="N6" s="42" t="n">
        <v>0</v>
      </c>
      <c r="O6" s="42" t="n">
        <v>0</v>
      </c>
      <c r="P6" s="54">
        <f>IFERROR(IF(K6="từng phát",I6*J6,I6*L6/(L6/J6+M6)),0)</f>
        <v/>
      </c>
      <c r="Q6" s="54">
        <f>IFERROR(P6*VLOOKUP(G6,'Hệ số'!$A$2:$D$8,2,0)*IF((H6-1)&gt;=2,1.2,IF((H6-1)=1,1,IF((H6-1)=0,0.85,IF((H6-1)=-1,0.5,IF((H6-1)=-2,0.25,0.1))))),0)</f>
        <v/>
      </c>
      <c r="R6" s="54">
        <f>IFERROR(P6*VLOOKUP(G6,'Hệ số'!$A$2:$D$8,2,0)*IF((H6-3)&gt;=2,1.2,IF((H6-3)=1,1,IF((H6-3)=0,0.85,IF((H6-3)=-1,0.5,IF((H6-3)=-2,0.25,0.1))))),0)</f>
        <v/>
      </c>
      <c r="S6" s="54">
        <f>IFERROR(P6*VLOOKUP(G6,'Hệ số'!$A$2:$D$8,3,0),0)</f>
        <v/>
      </c>
      <c r="T6" s="54">
        <f>IFERROR(P6*VLOOKUP(G6,'Hệ số'!$A$2:$D$8,4,0)*IF((H6-2)&gt;=2,1.2,IF((H6-2)=1,1,IF((H6-2)=0,0.85,IF((H6-2)=-1,0.5,IF((H6-2)=-2,0.25,0.1))))),0)</f>
        <v/>
      </c>
      <c r="U6" s="39" t="inlineStr">
        <is>
          <t>Không chặn đường; tháp ngay sau nhận ít hơn 30% sát thương bắn thẳng.</t>
        </is>
      </c>
      <c r="V6" s="39" t="inlineStr">
        <is>
          <t>Tường Hesco</t>
        </is>
      </c>
      <c r="W6" s="39" t="inlineStr">
        <is>
          <t>Company of Heroes (vật che)</t>
        </is>
      </c>
      <c r="X6" s="39" t="inlineStr">
        <is>
          <t>Xếp căn cứ theo tuyến che chắn</t>
        </is>
      </c>
      <c r="Y6" s="47" t="inlineStr">
        <is>
          <t>Cao</t>
        </is>
      </c>
      <c r="Z6" s="39" t="inlineStr">
        <is>
          <t>Cửa hàng: 2.000 xu</t>
        </is>
      </c>
    </row>
    <row r="7" ht="21.75" customHeight="1" s="32">
      <c r="A7" s="41" t="inlineStr">
        <is>
          <t>Mồi nhử bơm hơi</t>
        </is>
      </c>
      <c r="B7" s="41" t="inlineStr">
        <is>
          <t>Nhỏ</t>
        </is>
      </c>
      <c r="C7" s="43" t="n">
        <v>300</v>
      </c>
      <c r="D7" s="41" t="inlineStr">
        <is>
          <t>0</t>
        </is>
      </c>
      <c r="E7" s="43" t="n">
        <v>0</v>
      </c>
      <c r="F7" s="41" t="inlineStr">
        <is>
          <t>—</t>
        </is>
      </c>
      <c r="G7" s="41" t="inlineStr">
        <is>
          <t>—</t>
        </is>
      </c>
      <c r="H7" s="43" t="n">
        <v>0</v>
      </c>
      <c r="I7" s="43" t="n">
        <v>0</v>
      </c>
      <c r="J7" s="43" t="n">
        <v>0</v>
      </c>
      <c r="K7" s="41" t="inlineStr">
        <is>
          <t>—</t>
        </is>
      </c>
      <c r="L7" s="43" t="n">
        <v>0</v>
      </c>
      <c r="M7" s="43" t="n">
        <v>0</v>
      </c>
      <c r="N7" s="43" t="n">
        <v>0</v>
      </c>
      <c r="O7" s="43" t="n">
        <v>0</v>
      </c>
      <c r="P7" s="55">
        <f>IFERROR(IF(K7="từng phát",I7*J7,I7*L7/(L7/J7+M7)),0)</f>
        <v/>
      </c>
      <c r="Q7" s="55">
        <f>IFERROR(P7*VLOOKUP(G7,'Hệ số'!$A$2:$D$8,2,0)*IF((H7-1)&gt;=2,1.2,IF((H7-1)=1,1,IF((H7-1)=0,0.85,IF((H7-1)=-1,0.5,IF((H7-1)=-2,0.25,0.1))))),0)</f>
        <v/>
      </c>
      <c r="R7" s="55">
        <f>IFERROR(P7*VLOOKUP(G7,'Hệ số'!$A$2:$D$8,2,0)*IF((H7-3)&gt;=2,1.2,IF((H7-3)=1,1,IF((H7-3)=0,0.85,IF((H7-3)=-1,0.5,IF((H7-3)=-2,0.25,0.1))))),0)</f>
        <v/>
      </c>
      <c r="S7" s="55">
        <f>IFERROR(P7*VLOOKUP(G7,'Hệ số'!$A$2:$D$8,3,0),0)</f>
        <v/>
      </c>
      <c r="T7" s="55">
        <f>IFERROR(P7*VLOOKUP(G7,'Hệ số'!$A$2:$D$8,4,0)*IF((H7-2)&gt;=2,1.2,IF((H7-2)=1,1,IF((H7-2)=0,0.85,IF((H7-2)=-1,0.5,IF((H7-2)=-2,0.25,0.1))))),0)</f>
        <v/>
      </c>
      <c r="U7" s="41" t="inlineStr">
        <is>
          <t>AI địch coi như tháp thật cho tới khi bị trinh sát, radar hoặc UAV quét lật tẩy.</t>
        </is>
      </c>
      <c r="V7" s="41" t="inlineStr">
        <is>
          <t>Mồi nhử bơm hơi</t>
        </is>
      </c>
      <c r="W7" s="41" t="inlineStr">
        <is>
          <t>Red Alert (công trình giả)</t>
        </is>
      </c>
      <c r="X7" s="41" t="inlineStr">
        <is>
          <t>Đánh lừa pháo và tên lửa địch</t>
        </is>
      </c>
      <c r="Y7" s="47" t="inlineStr">
        <is>
          <t>Cao</t>
        </is>
      </c>
      <c r="Z7" s="41" t="inlineStr">
        <is>
          <t>Cửa hàng: 2.000 xu</t>
        </is>
      </c>
    </row>
    <row r="8" ht="15" customHeight="1" s="32">
      <c r="A8" s="39" t="inlineStr">
        <is>
          <t>Trung tâm điều khiển hỏa lực</t>
        </is>
      </c>
      <c r="B8" s="39" t="inlineStr">
        <is>
          <t>Tiện ích</t>
        </is>
      </c>
      <c r="C8" s="42" t="n">
        <v>2500</v>
      </c>
      <c r="D8" s="39" t="inlineStr">
        <is>
          <t>1</t>
        </is>
      </c>
      <c r="E8" s="42" t="n">
        <v>40</v>
      </c>
      <c r="F8" s="39" t="inlineStr">
        <is>
          <t>—</t>
        </is>
      </c>
      <c r="G8" s="39" t="inlineStr">
        <is>
          <t>—</t>
        </is>
      </c>
      <c r="H8" s="42" t="n">
        <v>0</v>
      </c>
      <c r="I8" s="42" t="n">
        <v>0</v>
      </c>
      <c r="J8" s="42" t="n">
        <v>0</v>
      </c>
      <c r="K8" s="39" t="inlineStr">
        <is>
          <t>—</t>
        </is>
      </c>
      <c r="L8" s="42" t="n">
        <v>0</v>
      </c>
      <c r="M8" s="42" t="n">
        <v>0</v>
      </c>
      <c r="N8" s="42" t="n">
        <v>0</v>
      </c>
      <c r="O8" s="42" t="n">
        <v>0</v>
      </c>
      <c r="P8" s="54">
        <f>IFERROR(IF(K8="từng phát",I8*J8,I8*L8/(L8/J8+M8)),0)</f>
        <v/>
      </c>
      <c r="Q8" s="54">
        <f>IFERROR(P8*VLOOKUP(G8,'Hệ số'!$A$2:$D$8,2,0)*IF((H8-1)&gt;=2,1.2,IF((H8-1)=1,1,IF((H8-1)=0,0.85,IF((H8-1)=-1,0.5,IF((H8-1)=-2,0.25,0.1))))),0)</f>
        <v/>
      </c>
      <c r="R8" s="54">
        <f>IFERROR(P8*VLOOKUP(G8,'Hệ số'!$A$2:$D$8,2,0)*IF((H8-3)&gt;=2,1.2,IF((H8-3)=1,1,IF((H8-3)=0,0.85,IF((H8-3)=-1,0.5,IF((H8-3)=-2,0.25,0.1))))),0)</f>
        <v/>
      </c>
      <c r="S8" s="54">
        <f>IFERROR(P8*VLOOKUP(G8,'Hệ số'!$A$2:$D$8,3,0),0)</f>
        <v/>
      </c>
      <c r="T8" s="54">
        <f>IFERROR(P8*VLOOKUP(G8,'Hệ số'!$A$2:$D$8,4,0)*IF((H8-2)&gt;=2,1.2,IF((H8-2)=1,1,IF((H8-2)=0,0.85,IF((H8-2)=-1,0.5,IF((H8-2)=-2,0.25,0.1))))),0)</f>
        <v/>
      </c>
      <c r="U8" s="39" t="inlineStr">
        <is>
          <t>Tháp trong 30 m +12% sát thương và dồn hỏa lực vào cùng mục tiêu.</t>
        </is>
      </c>
      <c r="V8" s="39" t="inlineStr">
        <is>
          <t>Trung tâm điều khiển hỏa lực (FDC)</t>
        </is>
      </c>
      <c r="W8" s="39" t="inlineStr">
        <is>
          <t>Bloons TD 6 (Monkey Village)</t>
        </is>
      </c>
      <c r="X8" s="39" t="inlineStr">
        <is>
          <t>Cụm tháp liên kết</t>
        </is>
      </c>
      <c r="Y8" s="47" t="inlineStr">
        <is>
          <t>Cao</t>
        </is>
      </c>
      <c r="Z8" s="39" t="inlineStr">
        <is>
          <t>Cửa hàng: 3.000 xu</t>
        </is>
      </c>
    </row>
    <row r="9" ht="21.75" customHeight="1" s="32">
      <c r="A9" s="41" t="inlineStr">
        <is>
          <t>Đèn pha chiến trường</t>
        </is>
      </c>
      <c r="B9" s="41" t="inlineStr">
        <is>
          <t>Nhỏ</t>
        </is>
      </c>
      <c r="C9" s="43" t="n">
        <v>1200</v>
      </c>
      <c r="D9" s="41" t="inlineStr">
        <is>
          <t>1</t>
        </is>
      </c>
      <c r="E9" s="43" t="n">
        <v>70</v>
      </c>
      <c r="F9" s="41" t="inlineStr">
        <is>
          <t>—</t>
        </is>
      </c>
      <c r="G9" s="41" t="inlineStr">
        <is>
          <t>—</t>
        </is>
      </c>
      <c r="H9" s="43" t="n">
        <v>0</v>
      </c>
      <c r="I9" s="43" t="n">
        <v>0</v>
      </c>
      <c r="J9" s="43" t="n">
        <v>0</v>
      </c>
      <c r="K9" s="41" t="inlineStr">
        <is>
          <t>—</t>
        </is>
      </c>
      <c r="L9" s="43" t="n">
        <v>0</v>
      </c>
      <c r="M9" s="43" t="n">
        <v>0</v>
      </c>
      <c r="N9" s="43" t="n">
        <v>0</v>
      </c>
      <c r="O9" s="43" t="n">
        <v>0</v>
      </c>
      <c r="P9" s="55">
        <f>IFERROR(IF(K9="từng phát",I9*J9,I9*L9/(L9/J9+M9)),0)</f>
        <v/>
      </c>
      <c r="Q9" s="55">
        <f>IFERROR(P9*VLOOKUP(G9,'Hệ số'!$A$2:$D$8,2,0)*IF((H9-1)&gt;=2,1.2,IF((H9-1)=1,1,IF((H9-1)=0,0.85,IF((H9-1)=-1,0.5,IF((H9-1)=-2,0.25,0.1))))),0)</f>
        <v/>
      </c>
      <c r="R9" s="55">
        <f>IFERROR(P9*VLOOKUP(G9,'Hệ số'!$A$2:$D$8,2,0)*IF((H9-3)&gt;=2,1.2,IF((H9-3)=1,1,IF((H9-3)=0,0.85,IF((H9-3)=-1,0.5,IF((H9-3)=-2,0.25,0.1))))),0)</f>
        <v/>
      </c>
      <c r="S9" s="55">
        <f>IFERROR(P9*VLOOKUP(G9,'Hệ số'!$A$2:$D$8,3,0),0)</f>
        <v/>
      </c>
      <c r="T9" s="55">
        <f>IFERROR(P9*VLOOKUP(G9,'Hệ số'!$A$2:$D$8,4,0)*IF((H9-2)&gt;=2,1.2,IF((H9-2)=1,1,IF((H9-2)=0,0.85,IF((H9-2)=-1,0.5,IF((H9-2)=-2,0.25,0.1))))),0)</f>
        <v/>
      </c>
      <c r="U9" s="41" t="inlineStr">
        <is>
          <t>Ban đêm/sương mù: sáng vùng 35 m cho phe ta, địch trong vùng −20% độ chính xác.</t>
        </is>
      </c>
      <c r="V9" s="41" t="inlineStr">
        <is>
          <t>Đèn pha phòng thủ</t>
        </is>
      </c>
      <c r="W9" s="41" t="inlineStr">
        <is>
          <t>Company of Heroes</t>
        </is>
      </c>
      <c r="X9" s="41" t="inlineStr">
        <is>
          <t>Đối phó ngày đêm đổi giữa trận</t>
        </is>
      </c>
      <c r="Y9" s="48" t="inlineStr">
        <is>
          <t>Trung</t>
        </is>
      </c>
      <c r="Z9" s="41" t="inlineStr">
        <is>
          <t>Cửa hàng: 2.000 xu</t>
        </is>
      </c>
    </row>
    <row r="10" ht="21.75" customHeight="1" s="32">
      <c r="A10" s="39" t="inlineStr">
        <is>
          <t>Khí cầu neo radar (JLENS)</t>
        </is>
      </c>
      <c r="B10" s="39" t="inlineStr">
        <is>
          <t>Nhỏ</t>
        </is>
      </c>
      <c r="C10" s="42" t="n">
        <v>800</v>
      </c>
      <c r="D10" s="39" t="inlineStr">
        <is>
          <t>0</t>
        </is>
      </c>
      <c r="E10" s="42" t="n">
        <v>0</v>
      </c>
      <c r="F10" s="39" t="inlineStr">
        <is>
          <t>—</t>
        </is>
      </c>
      <c r="G10" s="39" t="inlineStr">
        <is>
          <t>—</t>
        </is>
      </c>
      <c r="H10" s="42" t="n">
        <v>0</v>
      </c>
      <c r="I10" s="42" t="n">
        <v>0</v>
      </c>
      <c r="J10" s="42" t="n">
        <v>0</v>
      </c>
      <c r="K10" s="39" t="inlineStr">
        <is>
          <t>—</t>
        </is>
      </c>
      <c r="L10" s="42" t="n">
        <v>0</v>
      </c>
      <c r="M10" s="42" t="n">
        <v>0</v>
      </c>
      <c r="N10" s="42" t="n">
        <v>0</v>
      </c>
      <c r="O10" s="42" t="n">
        <v>0</v>
      </c>
      <c r="P10" s="54">
        <f>IFERROR(IF(K10="từng phát",I10*J10,I10*L10/(L10/J10+M10)),0)</f>
        <v/>
      </c>
      <c r="Q10" s="54">
        <f>IFERROR(P10*VLOOKUP(G10,'Hệ số'!$A$2:$D$8,2,0)*IF((H10-1)&gt;=2,1.2,IF((H10-1)=1,1,IF((H10-1)=0,0.85,IF((H10-1)=-1,0.5,IF((H10-1)=-2,0.25,0.1))))),0)</f>
        <v/>
      </c>
      <c r="R10" s="54">
        <f>IFERROR(P10*VLOOKUP(G10,'Hệ số'!$A$2:$D$8,2,0)*IF((H10-3)&gt;=2,1.2,IF((H10-3)=1,1,IF((H10-3)=0,0.85,IF((H10-3)=-1,0.5,IF((H10-3)=-2,0.25,0.1))))),0)</f>
        <v/>
      </c>
      <c r="S10" s="54">
        <f>IFERROR(P10*VLOOKUP(G10,'Hệ số'!$A$2:$D$8,3,0),0)</f>
        <v/>
      </c>
      <c r="T10" s="54">
        <f>IFERROR(P10*VLOOKUP(G10,'Hệ số'!$A$2:$D$8,4,0)*IF((H10-2)&gt;=2,1.2,IF((H10-2)=1,1,IF((H10-2)=0,0.85,IF((H10-2)=-1,0.5,IF((H10-2)=-2,0.25,0.1))))),0)</f>
        <v/>
      </c>
      <c r="U10" s="39" t="inlineStr">
        <is>
          <t>Máy bay địch trong 40 m phải bay cao hơn: bom tản mát +50%; trực thăng tránh vùng.</t>
        </is>
      </c>
      <c r="V10" s="39" t="inlineStr">
        <is>
          <t>JLENS (khí cầu neo radar)</t>
        </is>
      </c>
      <c r="W10" s="39" t="inlineStr">
        <is>
          <t>Battlefield 1942</t>
        </is>
      </c>
      <c r="X10" s="39" t="inlineStr">
        <is>
          <t>Phòng không không bắn</t>
        </is>
      </c>
      <c r="Y10" s="48" t="inlineStr">
        <is>
          <t>Trung</t>
        </is>
      </c>
      <c r="Z10" s="39" t="inlineStr">
        <is>
          <t>Cửa hàng: 2.000 xu</t>
        </is>
      </c>
    </row>
    <row r="11" ht="15" customHeight="1" s="32">
      <c r="A11" s="41" t="inlineStr">
        <is>
          <t>Máy tạo nhiễu tầm nhìn</t>
        </is>
      </c>
      <c r="B11" s="41" t="inlineStr">
        <is>
          <t>Tiện ích</t>
        </is>
      </c>
      <c r="C11" s="43" t="n">
        <v>2000</v>
      </c>
      <c r="D11" s="41" t="inlineStr">
        <is>
          <t>1</t>
        </is>
      </c>
      <c r="E11" s="43" t="n">
        <v>30</v>
      </c>
      <c r="F11" s="41" t="inlineStr">
        <is>
          <t>—</t>
        </is>
      </c>
      <c r="G11" s="41" t="inlineStr">
        <is>
          <t>—</t>
        </is>
      </c>
      <c r="H11" s="43" t="n">
        <v>0</v>
      </c>
      <c r="I11" s="43" t="n">
        <v>0</v>
      </c>
      <c r="J11" s="43" t="n">
        <v>0</v>
      </c>
      <c r="K11" s="41" t="inlineStr">
        <is>
          <t>—</t>
        </is>
      </c>
      <c r="L11" s="43" t="n">
        <v>0</v>
      </c>
      <c r="M11" s="43" t="n">
        <v>0</v>
      </c>
      <c r="N11" s="43" t="n">
        <v>0</v>
      </c>
      <c r="O11" s="43" t="n">
        <v>0</v>
      </c>
      <c r="P11" s="55">
        <f>IFERROR(IF(K11="từng phát",I11*J11,I11*L11/(L11/J11+M11)),0)</f>
        <v/>
      </c>
      <c r="Q11" s="55">
        <f>IFERROR(P11*VLOOKUP(G11,'Hệ số'!$A$2:$D$8,2,0)*IF((H11-1)&gt;=2,1.2,IF((H11-1)=1,1,IF((H11-1)=0,0.85,IF((H11-1)=-1,0.5,IF((H11-1)=-2,0.25,0.1))))),0)</f>
        <v/>
      </c>
      <c r="R11" s="55">
        <f>IFERROR(P11*VLOOKUP(G11,'Hệ số'!$A$2:$D$8,2,0)*IF((H11-3)&gt;=2,1.2,IF((H11-3)=1,1,IF((H11-3)=0,0.85,IF((H11-3)=-1,0.5,IF((H11-3)=-2,0.25,0.1))))),0)</f>
        <v/>
      </c>
      <c r="S11" s="55">
        <f>IFERROR(P11*VLOOKUP(G11,'Hệ số'!$A$2:$D$8,3,0),0)</f>
        <v/>
      </c>
      <c r="T11" s="55">
        <f>IFERROR(P11*VLOOKUP(G11,'Hệ số'!$A$2:$D$8,4,0)*IF((H11-2)&gt;=2,1.2,IF((H11-2)=1,1,IF((H11-2)=0,0.85,IF((H11-2)=-1,0.5,IF((H11-2)=-2,0.25,0.1))))),0)</f>
        <v/>
      </c>
      <c r="U11" s="41" t="inlineStr">
        <is>
          <t>Địch không thấy thứ gì trong 35 m trừ khi tới gần 15 m hoặc có trinh sát.</t>
        </is>
      </c>
      <c r="V11" s="41" t="inlineStr">
        <is>
          <t>Ngụy trang điện tử</t>
        </is>
      </c>
      <c r="W11" s="41" t="inlineStr">
        <is>
          <t>Red Alert (Gap Generator)</t>
        </is>
      </c>
      <c r="X11" s="41" t="inlineStr">
        <is>
          <t>Bảo vệ bằng cách che</t>
        </is>
      </c>
      <c r="Y11" s="48" t="inlineStr">
        <is>
          <t>Trung</t>
        </is>
      </c>
      <c r="Z11" s="41" t="inlineStr">
        <is>
          <t>Cửa hàng: 3.000 xu</t>
        </is>
      </c>
    </row>
    <row r="12" ht="21.75" customHeight="1" s="32">
      <c r="A12" s="39" t="inlineStr">
        <is>
          <t>Hầm che quân</t>
        </is>
      </c>
      <c r="B12" s="39" t="inlineStr">
        <is>
          <t>Vừa</t>
        </is>
      </c>
      <c r="C12" s="42" t="n">
        <v>4000</v>
      </c>
      <c r="D12" s="39" t="inlineStr">
        <is>
          <t>3</t>
        </is>
      </c>
      <c r="E12" s="42" t="n">
        <v>30</v>
      </c>
      <c r="F12" s="39" t="inlineStr">
        <is>
          <t>—</t>
        </is>
      </c>
      <c r="G12" s="39" t="inlineStr">
        <is>
          <t>—</t>
        </is>
      </c>
      <c r="H12" s="42" t="n">
        <v>0</v>
      </c>
      <c r="I12" s="42" t="n">
        <v>0</v>
      </c>
      <c r="J12" s="42" t="n">
        <v>0</v>
      </c>
      <c r="K12" s="39" t="inlineStr">
        <is>
          <t>—</t>
        </is>
      </c>
      <c r="L12" s="42" t="n">
        <v>0</v>
      </c>
      <c r="M12" s="42" t="n">
        <v>0</v>
      </c>
      <c r="N12" s="42" t="n">
        <v>0</v>
      </c>
      <c r="O12" s="42" t="n">
        <v>0</v>
      </c>
      <c r="P12" s="54">
        <f>IFERROR(IF(K12="từng phát",I12*J12,I12*L12/(L12/J12+M12)),0)</f>
        <v/>
      </c>
      <c r="Q12" s="54">
        <f>IFERROR(P12*VLOOKUP(G12,'Hệ số'!$A$2:$D$8,2,0)*IF((H12-1)&gt;=2,1.2,IF((H12-1)=1,1,IF((H12-1)=0,0.85,IF((H12-1)=-1,0.5,IF((H12-1)=-2,0.25,0.1))))),0)</f>
        <v/>
      </c>
      <c r="R12" s="54">
        <f>IFERROR(P12*VLOOKUP(G12,'Hệ số'!$A$2:$D$8,2,0)*IF((H12-3)&gt;=2,1.2,IF((H12-3)=1,1,IF((H12-3)=0,0.85,IF((H12-3)=-1,0.5,IF((H12-3)=-2,0.25,0.1))))),0)</f>
        <v/>
      </c>
      <c r="S12" s="54">
        <f>IFERROR(P12*VLOOKUP(G12,'Hệ số'!$A$2:$D$8,3,0),0)</f>
        <v/>
      </c>
      <c r="T12" s="54">
        <f>IFERROR(P12*VLOOKUP(G12,'Hệ số'!$A$2:$D$8,4,0)*IF((H12-2)&gt;=2,1.2,IF((H12-2)=1,1,IF((H12-2)=0,0.85,IF((H12-2)=-1,0.5,IF((H12-2)=-2,0.25,0.1))))),0)</f>
        <v/>
      </c>
      <c r="U12" s="39" t="inlineStr">
        <is>
          <t>Xe ta trong 15 m nhận ít hơn 50% sát thương cầu vồng (pháo, cối, bom); không che đạn bắn thẳng.</t>
        </is>
      </c>
      <c r="V12" s="39" t="inlineStr">
        <is>
          <t>Hầm bê tông</t>
        </is>
      </c>
      <c r="W12" s="39" t="inlineStr">
        <is>
          <t>Company of Heroes (boongke)</t>
        </is>
      </c>
      <c r="X12" s="39" t="inlineStr">
        <is>
          <t>Giữ quân qua trận pháo kích</t>
        </is>
      </c>
      <c r="Y12" s="49" t="inlineStr">
        <is>
          <t>Thấp</t>
        </is>
      </c>
      <c r="Z12" s="39" t="inlineStr">
        <is>
          <t>Cửa hàng: 3.000 xu</t>
        </is>
      </c>
    </row>
    <row r="13" ht="15" customHeight="1" s="32">
      <c r="A13" s="41" t="inlineStr">
        <is>
          <t>Tháp pháo sáng</t>
        </is>
      </c>
      <c r="B13" s="41" t="inlineStr">
        <is>
          <t>Nhỏ</t>
        </is>
      </c>
      <c r="C13" s="43" t="n">
        <v>1000</v>
      </c>
      <c r="D13" s="41" t="inlineStr">
        <is>
          <t>1</t>
        </is>
      </c>
      <c r="E13" s="43" t="n">
        <v>60</v>
      </c>
      <c r="F13" s="41" t="inlineStr">
        <is>
          <t>Pháo sáng</t>
        </is>
      </c>
      <c r="G13" s="41" t="inlineStr">
        <is>
          <t>—</t>
        </is>
      </c>
      <c r="H13" s="43" t="n">
        <v>0</v>
      </c>
      <c r="I13" s="43" t="n">
        <v>0</v>
      </c>
      <c r="J13" s="43" t="n">
        <v>0.07000000000000001</v>
      </c>
      <c r="K13" s="41" t="inlineStr">
        <is>
          <t>từng phát</t>
        </is>
      </c>
      <c r="L13" s="43" t="n">
        <v>1</v>
      </c>
      <c r="M13" s="43" t="n">
        <v>0</v>
      </c>
      <c r="N13" s="43" t="n">
        <v>40</v>
      </c>
      <c r="O13" s="43" t="n">
        <v>30</v>
      </c>
      <c r="P13" s="55">
        <f>IFERROR(IF(K13="từng phát",I13*J13,I13*L13/(L13/J13+M13)),0)</f>
        <v/>
      </c>
      <c r="Q13" s="55">
        <f>IFERROR(P13*VLOOKUP(G13,'Hệ số'!$A$2:$D$8,2,0)*IF((H13-1)&gt;=2,1.2,IF((H13-1)=1,1,IF((H13-1)=0,0.85,IF((H13-1)=-1,0.5,IF((H13-1)=-2,0.25,0.1))))),0)</f>
        <v/>
      </c>
      <c r="R13" s="55">
        <f>IFERROR(P13*VLOOKUP(G13,'Hệ số'!$A$2:$D$8,2,0)*IF((H13-3)&gt;=2,1.2,IF((H13-3)=1,1,IF((H13-3)=0,0.85,IF((H13-3)=-1,0.5,IF((H13-3)=-2,0.25,0.1))))),0)</f>
        <v/>
      </c>
      <c r="S13" s="55">
        <f>IFERROR(P13*VLOOKUP(G13,'Hệ số'!$A$2:$D$8,3,0),0)</f>
        <v/>
      </c>
      <c r="T13" s="55">
        <f>IFERROR(P13*VLOOKUP(G13,'Hệ số'!$A$2:$D$8,4,0)*IF((H13-2)&gt;=2,1.2,IF((H13-2)=1,1,IF((H13-2)=0,0.85,IF((H13-2)=-1,0.5,IF((H13-2)=-2,0.25,0.1))))),0)</f>
        <v/>
      </c>
      <c r="U13" s="41" t="inlineStr">
        <is>
          <t>Mỗi 15 s bắn pháo sáng lộ mọi thứ trong 30 m ban đêm.</t>
        </is>
      </c>
      <c r="V13" s="41" t="inlineStr">
        <is>
          <t>Pháo sáng chiếu sáng</t>
        </is>
      </c>
      <c r="W13" s="41" t="inlineStr">
        <is>
          <t>Company of Heroes</t>
        </is>
      </c>
      <c r="X13" s="41" t="inlineStr">
        <is>
          <t>Chiếu sáng theo đợt</t>
        </is>
      </c>
      <c r="Y13" s="49" t="inlineStr">
        <is>
          <t>Thấp</t>
        </is>
      </c>
      <c r="Z13" s="41" t="inlineStr">
        <is>
          <t>Cửa hàng: 2.000 xu</t>
        </is>
      </c>
    </row>
    <row r="14" ht="21.75" customHeight="1" s="32">
      <c r="A14" s="39" t="inlineStr">
        <is>
          <t>Trạm phòng không laser chống drone</t>
        </is>
      </c>
      <c r="B14" s="39" t="inlineStr">
        <is>
          <t>Vừa</t>
        </is>
      </c>
      <c r="C14" s="42" t="n">
        <v>2500</v>
      </c>
      <c r="D14" s="39" t="inlineStr">
        <is>
          <t>1</t>
        </is>
      </c>
      <c r="E14" s="42" t="n">
        <v>56</v>
      </c>
      <c r="F14" s="39" t="inlineStr">
        <is>
          <t>Laser 50 kW</t>
        </is>
      </c>
      <c r="G14" s="39" t="inlineStr">
        <is>
          <t>Năng lượng</t>
        </is>
      </c>
      <c r="H14" s="42" t="n">
        <v>2</v>
      </c>
      <c r="I14" s="42" t="n">
        <v>6</v>
      </c>
      <c r="J14" s="42" t="n">
        <v>15</v>
      </c>
      <c r="K14" s="39" t="inlineStr">
        <is>
          <t>từng phát</t>
        </is>
      </c>
      <c r="L14" s="42" t="n">
        <v>1</v>
      </c>
      <c r="M14" s="42" t="n">
        <v>0</v>
      </c>
      <c r="N14" s="42" t="n">
        <v>40</v>
      </c>
      <c r="O14" s="42" t="n">
        <v>0</v>
      </c>
      <c r="P14" s="54">
        <f>IFERROR(IF(K14="từng phát",I14*J14,I14*L14/(L14/J14+M14)),0)</f>
        <v/>
      </c>
      <c r="Q14" s="54">
        <f>IFERROR(P14*VLOOKUP(G14,'Hệ số'!$A$2:$D$8,2,0)*IF((H14-1)&gt;=2,1.2,IF((H14-1)=1,1,IF((H14-1)=0,0.85,IF((H14-1)=-1,0.5,IF((H14-1)=-2,0.25,0.1))))),0)</f>
        <v/>
      </c>
      <c r="R14" s="54">
        <f>IFERROR(P14*VLOOKUP(G14,'Hệ số'!$A$2:$D$8,2,0)*IF((H14-3)&gt;=2,1.2,IF((H14-3)=1,1,IF((H14-3)=0,0.85,IF((H14-3)=-1,0.5,IF((H14-3)=-2,0.25,0.1))))),0)</f>
        <v/>
      </c>
      <c r="S14" s="54">
        <f>IFERROR(P14*VLOOKUP(G14,'Hệ số'!$A$2:$D$8,3,0),0)</f>
        <v/>
      </c>
      <c r="T14" s="54">
        <f>IFERROR(P14*VLOOKUP(G14,'Hệ số'!$A$2:$D$8,4,0)*IF((H14-2)&gt;=2,1.2,IF((H14-2)=1,1,IF((H14-2)=0,0.85,IF((H14-2)=-1,0.5,IF((H14-2)=-2,0.25,0.1))))),0)</f>
        <v/>
      </c>
      <c r="U14" s="39" t="inlineStr">
        <is>
          <t>Chỉ bắn drone, rốc-két, cối; bị khói giảm 80%.</t>
        </is>
      </c>
      <c r="V14" s="39" t="inlineStr">
        <is>
          <t>Iron Beam (bản cố định), DragonFire</t>
        </is>
      </c>
      <c r="W14" s="39" t="inlineStr">
        <is>
          <t>(mới)</t>
        </is>
      </c>
      <c r="X14" s="39" t="inlineStr">
        <is>
          <t>Tháp đánh chặn năng lượng, không tốn đạn</t>
        </is>
      </c>
      <c r="Y14" s="49" t="inlineStr">
        <is>
          <t>Thấp</t>
        </is>
      </c>
      <c r="Z14" s="39" t="inlineStr">
        <is>
          <t>Cửa hàng: 3.000 xu</t>
        </is>
      </c>
    </row>
    <row r="15" ht="21.75" customHeight="1" s="32">
      <c r="A15" s="41" t="inlineStr">
        <is>
          <t>Pháo phòng không 40 mm</t>
        </is>
      </c>
      <c r="B15" s="41" t="inlineStr">
        <is>
          <t>Vừa</t>
        </is>
      </c>
      <c r="C15" s="43" t="n">
        <v>2800</v>
      </c>
      <c r="D15" s="41" t="inlineStr">
        <is>
          <t>2</t>
        </is>
      </c>
      <c r="E15" s="43" t="n">
        <v>56</v>
      </c>
      <c r="F15" s="41" t="inlineStr">
        <is>
          <t>Bofors 40 mm L/70</t>
        </is>
      </c>
      <c r="G15" s="41" t="inlineStr">
        <is>
          <t>Mảnh</t>
        </is>
      </c>
      <c r="H15" s="43" t="n">
        <v>2</v>
      </c>
      <c r="I15" s="43" t="n">
        <v>30</v>
      </c>
      <c r="J15" s="43" t="n">
        <v>4</v>
      </c>
      <c r="K15" s="41" t="inlineStr">
        <is>
          <t>băng</t>
        </is>
      </c>
      <c r="L15" s="43" t="n">
        <v>20</v>
      </c>
      <c r="M15" s="43" t="n">
        <v>3</v>
      </c>
      <c r="N15" s="43" t="n">
        <v>48</v>
      </c>
      <c r="O15" s="43" t="n">
        <v>2.5</v>
      </c>
      <c r="P15" s="55">
        <f>IFERROR(IF(K15="từng phát",I15*J15,I15*L15/(L15/J15+M15)),0)</f>
        <v/>
      </c>
      <c r="Q15" s="55">
        <f>IFERROR(P15*VLOOKUP(G15,'Hệ số'!$A$2:$D$8,2,0)*IF((H15-1)&gt;=2,1.2,IF((H15-1)=1,1,IF((H15-1)=0,0.85,IF((H15-1)=-1,0.5,IF((H15-1)=-2,0.25,0.1))))),0)</f>
        <v/>
      </c>
      <c r="R15" s="55">
        <f>IFERROR(P15*VLOOKUP(G15,'Hệ số'!$A$2:$D$8,2,0)*IF((H15-3)&gt;=2,1.2,IF((H15-3)=1,1,IF((H15-3)=0,0.85,IF((H15-3)=-1,0.5,IF((H15-3)=-2,0.25,0.1))))),0)</f>
        <v/>
      </c>
      <c r="S15" s="55">
        <f>IFERROR(P15*VLOOKUP(G15,'Hệ số'!$A$2:$D$8,3,0),0)</f>
        <v/>
      </c>
      <c r="T15" s="55">
        <f>IFERROR(P15*VLOOKUP(G15,'Hệ số'!$A$2:$D$8,4,0)*IF((H15-2)&gt;=2,1.2,IF((H15-2)=1,1,IF((H15-2)=0,0.85,IF((H15-2)=-1,0.5,IF((H15-2)=-2,0.25,0.1))))),0)</f>
        <v/>
      </c>
      <c r="U15" s="41" t="inlineStr">
        <is>
          <t>Bắn cả máy bay và xe nhẹ; nhịp đều.</t>
        </is>
      </c>
      <c r="V15" s="41" t="inlineStr">
        <is>
          <t>Bofors 40 mm L/70</t>
        </is>
      </c>
      <c r="W15" s="41" t="inlineStr">
        <is>
          <t>Company of Heroes (Bofors)</t>
        </is>
      </c>
      <c r="X15" s="41" t="inlineStr">
        <is>
          <t>Giữa Tháp phòng không (nhanh) và KS-19 100 mm (chậm)</t>
        </is>
      </c>
      <c r="Y15" s="49" t="inlineStr">
        <is>
          <t>Thấp</t>
        </is>
      </c>
      <c r="Z15" s="41" t="inlineStr">
        <is>
          <t>Cửa hàng: 3.000 xu</t>
        </is>
      </c>
    </row>
  </sheetData>
  <autoFilter ref="A1:Z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S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31" min="1" max="1"/>
    <col width="12" customWidth="1" style="31" min="2" max="2"/>
    <col width="9" customWidth="1" style="31" min="3" max="3"/>
    <col width="10" customWidth="1" style="31" min="4" max="4"/>
    <col width="6" customWidth="1" style="31" min="5" max="5"/>
    <col width="8" customWidth="1" style="31" min="6" max="6"/>
    <col width="7" customWidth="1" style="31" min="7" max="7"/>
    <col width="8" customWidth="1" style="31" min="8" max="8"/>
    <col width="7" customWidth="1" style="31" min="9" max="9"/>
    <col width="8" customWidth="1" style="31" min="10" max="12"/>
    <col width="10" customWidth="1" style="31" min="13" max="13"/>
    <col width="8" customWidth="1" style="31" min="14" max="14"/>
    <col width="55" customWidth="1" style="31" min="15" max="15"/>
    <col width="28" customWidth="1" style="31" min="16" max="16"/>
    <col width="34" customWidth="1" style="31" min="17" max="17"/>
    <col width="30" customWidth="1" style="31" min="18" max="19"/>
  </cols>
  <sheetData>
    <row r="1" ht="42" customHeight="1" s="32">
      <c r="A1" s="37" t="inlineStr">
        <is>
          <t>Tên</t>
        </is>
      </c>
      <c r="B1" s="37" t="inlineStr">
        <is>
          <t>Dạng</t>
        </is>
      </c>
      <c r="C1" s="37" t="inlineStr">
        <is>
          <t>Khối lượng (kg)</t>
        </is>
      </c>
      <c r="D1" s="37" t="inlineStr">
        <is>
          <t>Loại</t>
        </is>
      </c>
      <c r="E1" s="37" t="inlineStr">
        <is>
          <t>Xuyên</t>
        </is>
      </c>
      <c r="F1" s="37" t="inlineStr">
        <is>
          <t>Sát thương/phát</t>
        </is>
      </c>
      <c r="G1" s="37" t="inlineStr">
        <is>
          <t>Nổ lan (m)</t>
        </is>
      </c>
      <c r="H1" s="37" t="inlineStr">
        <is>
          <t>Tốc độ bay (m/s)</t>
        </is>
      </c>
      <c r="I1" s="37" t="inlineStr">
        <is>
          <t>Tầm (m)</t>
        </is>
      </c>
      <c r="J1" s="37" t="inlineStr">
        <is>
          <t>Thời gian bay (s)</t>
        </is>
      </c>
      <c r="K1" s="37" t="inlineStr">
        <is>
          <t>vs giáp 1</t>
        </is>
      </c>
      <c r="L1" s="37" t="inlineStr">
        <is>
          <t>vs giáp 3</t>
        </is>
      </c>
      <c r="M1" s="37" t="inlineStr">
        <is>
          <t>vs giáp 3 (đánh nóc: nóc giáp 1)</t>
        </is>
      </c>
      <c r="N1" s="37" t="inlineStr">
        <is>
          <t>công trình</t>
        </is>
      </c>
      <c r="O1" s="37" t="inlineStr">
        <is>
          <t>Hành vi</t>
        </is>
      </c>
      <c r="P1" s="37" t="inlineStr">
        <is>
          <t>Tham khảo ngoài đời</t>
        </is>
      </c>
      <c r="Q1" s="37" t="inlineStr">
        <is>
          <t>Dùng cho</t>
        </is>
      </c>
      <c r="R1" s="37" t="inlineStr">
        <is>
          <t>Cảm giác khác</t>
        </is>
      </c>
      <c r="S1" s="45" t="inlineStr">
        <is>
          <t>Mở khóa đề xuất</t>
        </is>
      </c>
    </row>
    <row r="2" ht="15" customHeight="1" s="32">
      <c r="A2" s="39" t="inlineStr">
        <is>
          <t>Bom lượn FAB-500 + bộ lượn</t>
        </is>
      </c>
      <c r="B2" s="39" t="inlineStr">
        <is>
          <t>Bom lượn</t>
        </is>
      </c>
      <c r="C2" s="42" t="n">
        <v>500</v>
      </c>
      <c r="D2" s="39" t="inlineStr">
        <is>
          <t>Nổ mạnh</t>
        </is>
      </c>
      <c r="E2" s="42" t="n">
        <v>3</v>
      </c>
      <c r="F2" s="42" t="n">
        <v>420</v>
      </c>
      <c r="G2" s="42" t="n">
        <v>10</v>
      </c>
      <c r="H2" s="42" t="n">
        <v>20</v>
      </c>
      <c r="I2" s="42" t="n">
        <v>90</v>
      </c>
      <c r="J2" s="50">
        <f>IFERROR(I2/H2,"")</f>
        <v/>
      </c>
      <c r="K2" s="50">
        <f>IFERROR(F2*VLOOKUP(D2,'Hệ số'!$A$2:$D$8,2,0)*IF((E2-1)&gt;=2,1.2,IF((E2-1)=1,1,IF((E2-1)=0,0.85,IF((E2-1)=-1,0.5,IF((E2-1)=-2,0.25,0.1))))),"")</f>
        <v/>
      </c>
      <c r="L2" s="50">
        <f>IFERROR(F2*VLOOKUP(D2,'Hệ số'!$A$2:$D$8,2,0)*IF((E2-3)&gt;=2,1.2,IF((E2-3)=1,1,IF((E2-3)=0,0.85,IF((E2-3)=-1,0.5,IF((E2-3)=-2,0.25,0.1))))),"")</f>
        <v/>
      </c>
      <c r="M2" s="50">
        <f>IFERROR(F2*VLOOKUP(D2,'Hệ số'!$A$2:$D$8,2,0)*IF((E2-1)&gt;=2,1.2,IF((E2-1)=1,1,IF((E2-1)=0,0.85,IF((E2-1)=-1,0.5,IF((E2-1)=-2,0.25,0.1))))),"")</f>
        <v/>
      </c>
      <c r="N2" s="50">
        <f>IFERROR(F2*VLOOKUP(D2,'Hệ số'!$A$2:$D$8,4,0)*IF((E2-2)&gt;=2,1.2,IF((E2-2)=1,1,IF((E2-2)=0,0.85,IF((E2-2)=-1,0.5,IF((E2-2)=-2,0.25,0.1))))),"")</f>
        <v/>
      </c>
      <c r="O2" s="39" t="inlineStr">
        <is>
          <t>Thả từ ngoài tầm phòng không gần; bay chậm 4–5 s nên bắn hạ được.</t>
        </is>
      </c>
      <c r="P2" s="39" t="inlineStr">
        <is>
          <t>Su-34 + UMPK</t>
        </is>
      </c>
      <c r="Q2" s="39" t="inlineStr">
        <is>
          <t>Máy bay ném bom lượn (mới)</t>
        </is>
      </c>
      <c r="R2" s="39" t="inlineStr">
        <is>
          <t>Oanh tạc từ xa</t>
        </is>
      </c>
      <c r="S2" s="39" t="inlineStr">
        <is>
          <t>Cửa hàng (đồ trang bị cho đơn vị dùng nó): 1.500 xu, hoặc rơi từ hòm</t>
        </is>
      </c>
    </row>
    <row r="3" ht="21.75" customHeight="1" s="32">
      <c r="A3" s="41" t="inlineStr">
        <is>
          <t>Bom chùm chống tăng tự tìm</t>
        </is>
      </c>
      <c r="B3" s="41" t="inlineStr">
        <is>
          <t>Bom chùm</t>
        </is>
      </c>
      <c r="C3" s="43" t="n">
        <v>450</v>
      </c>
      <c r="D3" s="41" t="inlineStr">
        <is>
          <t>Nổ lõm</t>
        </is>
      </c>
      <c r="E3" s="43" t="n">
        <v>4</v>
      </c>
      <c r="F3" s="43" t="n">
        <v>160</v>
      </c>
      <c r="G3" s="43" t="n">
        <v>0</v>
      </c>
      <c r="H3" s="43" t="n">
        <v>35</v>
      </c>
      <c r="I3" s="43" t="n">
        <v>30</v>
      </c>
      <c r="J3" s="51">
        <f>IFERROR(I3/H3,"")</f>
        <v/>
      </c>
      <c r="K3" s="51">
        <f>IFERROR(F3*VLOOKUP(D3,'Hệ số'!$A$2:$D$8,2,0)*IF((E3-1)&gt;=2,1.2,IF((E3-1)=1,1,IF((E3-1)=0,0.85,IF((E3-1)=-1,0.5,IF((E3-1)=-2,0.25,0.1))))),"")</f>
        <v/>
      </c>
      <c r="L3" s="51">
        <f>IFERROR(F3*VLOOKUP(D3,'Hệ số'!$A$2:$D$8,2,0)*IF((E3-3)&gt;=2,1.2,IF((E3-3)=1,1,IF((E3-3)=0,0.85,IF((E3-3)=-1,0.5,IF((E3-3)=-2,0.25,0.1))))),"")</f>
        <v/>
      </c>
      <c r="M3" s="51">
        <f>IFERROR(F3*VLOOKUP(D3,'Hệ số'!$A$2:$D$8,2,0)*IF((E3-1)&gt;=2,1.2,IF((E3-1)=1,1,IF((E3-1)=0,0.85,IF((E3-1)=-1,0.5,IF((E3-1)=-2,0.25,0.1))))),"")</f>
        <v/>
      </c>
      <c r="N3" s="51">
        <f>IFERROR(F3*VLOOKUP(D3,'Hệ số'!$A$2:$D$8,4,0)*IF((E3-2)&gt;=2,1.2,IF((E3-2)=1,1,IF((E3-2)=0,0.85,IF((E3-2)=-1,0.5,IF((E3-2)=-2,0.25,0.1))))),"")</f>
        <v/>
      </c>
      <c r="O3" s="41" t="inlineStr">
        <is>
          <t>Thả 10 đầu đạn con tự tìm xe, đánh nóc; chỉ đánh xe, không đánh công trình.</t>
        </is>
      </c>
      <c r="P3" s="41" t="inlineStr">
        <is>
          <t>CBU-97 Sensor Fuzed Weapon</t>
        </is>
      </c>
      <c r="Q3" s="41" t="inlineStr">
        <is>
          <t>Oanh tạc cơ / Cường kích (đồ trang bị)</t>
        </is>
      </c>
      <c r="R3" s="41" t="inlineStr">
        <is>
          <t>Diệt cả cụm xe tăng một lượt</t>
        </is>
      </c>
      <c r="S3" s="41" t="inlineStr">
        <is>
          <t>Cửa hàng (đồ trang bị cho đơn vị dùng nó): 1.500 xu, hoặc rơi từ hòm</t>
        </is>
      </c>
    </row>
    <row r="4" ht="15" customHeight="1" s="32">
      <c r="A4" s="39" t="inlineStr">
        <is>
          <t>Bom xuyên boongke</t>
        </is>
      </c>
      <c r="B4" s="39" t="inlineStr">
        <is>
          <t>Bom</t>
        </is>
      </c>
      <c r="C4" s="42" t="n">
        <v>2100</v>
      </c>
      <c r="D4" s="39" t="inlineStr">
        <is>
          <t>Nổ mạnh</t>
        </is>
      </c>
      <c r="E4" s="42" t="n">
        <v>4</v>
      </c>
      <c r="F4" s="42" t="n">
        <v>1400</v>
      </c>
      <c r="G4" s="42" t="n">
        <v>6</v>
      </c>
      <c r="H4" s="42" t="n">
        <v>35</v>
      </c>
      <c r="I4" s="42" t="n">
        <v>30</v>
      </c>
      <c r="J4" s="50">
        <f>IFERROR(I4/H4,"")</f>
        <v/>
      </c>
      <c r="K4" s="50">
        <f>IFERROR(F4*VLOOKUP(D4,'Hệ số'!$A$2:$D$8,2,0)*IF((E4-1)&gt;=2,1.2,IF((E4-1)=1,1,IF((E4-1)=0,0.85,IF((E4-1)=-1,0.5,IF((E4-1)=-2,0.25,0.1))))),"")</f>
        <v/>
      </c>
      <c r="L4" s="50">
        <f>IFERROR(F4*VLOOKUP(D4,'Hệ số'!$A$2:$D$8,2,0)*IF((E4-3)&gt;=2,1.2,IF((E4-3)=1,1,IF((E4-3)=0,0.85,IF((E4-3)=-1,0.5,IF((E4-3)=-2,0.25,0.1))))),"")</f>
        <v/>
      </c>
      <c r="M4" s="50">
        <f>IFERROR(F4*VLOOKUP(D4,'Hệ số'!$A$2:$D$8,2,0)*IF((E4-1)&gt;=2,1.2,IF((E4-1)=1,1,IF((E4-1)=0,0.85,IF((E4-1)=-1,0.5,IF((E4-1)=-2,0.25,0.1))))),"")</f>
        <v/>
      </c>
      <c r="N4" s="50">
        <f>IFERROR(F4*VLOOKUP(D4,'Hệ số'!$A$2:$D$8,4,0)*IF((E4-2)&gt;=2,1.2,IF((E4-2)=1,1,IF((E4-2)=0,0.85,IF((E4-2)=-1,0.5,IF((E4-2)=-2,0.25,0.1))))),"")</f>
        <v/>
      </c>
      <c r="O4" s="39" t="inlineStr">
        <is>
          <t>Xuyên công trình: ×2 lên công trình, bán kính nhỏ.</t>
        </is>
      </c>
      <c r="P4" s="39" t="inlineStr">
        <is>
          <t>GBU-28</t>
        </is>
      </c>
      <c r="Q4" s="39" t="inlineStr">
        <is>
          <t>Máy bay ném bom tàng hình (nhánh)</t>
        </is>
      </c>
      <c r="R4" s="39" t="inlineStr">
        <is>
          <t>Một phát phá tháp lớn</t>
        </is>
      </c>
      <c r="S4" s="39" t="inlineStr">
        <is>
          <t>Cửa hàng (đồ trang bị cho đơn vị dùng nó): 1.500 xu, hoặc rơi từ hòm</t>
        </is>
      </c>
    </row>
    <row r="5" ht="21.75" customHeight="1" s="32">
      <c r="A5" s="41" t="inlineStr">
        <is>
          <t>Bom nhiệt áp</t>
        </is>
      </c>
      <c r="B5" s="41" t="inlineStr">
        <is>
          <t>Bom</t>
        </is>
      </c>
      <c r="C5" s="43" t="n">
        <v>500</v>
      </c>
      <c r="D5" s="41" t="inlineStr">
        <is>
          <t>Nổ mạnh</t>
        </is>
      </c>
      <c r="E5" s="43" t="n">
        <v>3</v>
      </c>
      <c r="F5" s="43" t="n">
        <v>380</v>
      </c>
      <c r="G5" s="43" t="n">
        <v>12</v>
      </c>
      <c r="H5" s="43" t="n">
        <v>35</v>
      </c>
      <c r="I5" s="43" t="n">
        <v>28</v>
      </c>
      <c r="J5" s="51">
        <f>IFERROR(I5/H5,"")</f>
        <v/>
      </c>
      <c r="K5" s="51">
        <f>IFERROR(F5*VLOOKUP(D5,'Hệ số'!$A$2:$D$8,2,0)*IF((E5-1)&gt;=2,1.2,IF((E5-1)=1,1,IF((E5-1)=0,0.85,IF((E5-1)=-1,0.5,IF((E5-1)=-2,0.25,0.1))))),"")</f>
        <v/>
      </c>
      <c r="L5" s="51">
        <f>IFERROR(F5*VLOOKUP(D5,'Hệ số'!$A$2:$D$8,2,0)*IF((E5-3)&gt;=2,1.2,IF((E5-3)=1,1,IF((E5-3)=0,0.85,IF((E5-3)=-1,0.5,IF((E5-3)=-2,0.25,0.1))))),"")</f>
        <v/>
      </c>
      <c r="M5" s="51">
        <f>IFERROR(F5*VLOOKUP(D5,'Hệ số'!$A$2:$D$8,2,0)*IF((E5-1)&gt;=2,1.2,IF((E5-1)=1,1,IF((E5-1)=0,0.85,IF((E5-1)=-1,0.5,IF((E5-1)=-2,0.25,0.1))))),"")</f>
        <v/>
      </c>
      <c r="N5" s="51">
        <f>IFERROR(F5*VLOOKUP(D5,'Hệ số'!$A$2:$D$8,4,0)*IF((E5-2)&gt;=2,1.2,IF((E5-2)=1,1,IF((E5-2)=0,0.85,IF((E5-2)=-1,0.5,IF((E5-2)=-2,0.25,0.1))))),"")</f>
        <v/>
      </c>
      <c r="O5" s="41" t="inlineStr">
        <is>
          <t>Nhãn nhiệt áp: ×2 lên công trình và xe trong công sự; bán kính lớn, sát thương trung tâm thấp hơn.</t>
        </is>
      </c>
      <c r="P5" s="41" t="inlineStr">
        <is>
          <t>ODAB-500</t>
        </is>
      </c>
      <c r="Q5" s="41" t="inlineStr">
        <is>
          <t>Oanh tạc cơ (đồ trang bị)</t>
        </is>
      </c>
      <c r="R5" s="41" t="inlineStr">
        <is>
          <t>Dọn cụm công sự</t>
        </is>
      </c>
      <c r="S5" s="41" t="inlineStr">
        <is>
          <t>Cửa hàng (đồ trang bị cho đơn vị dùng nó): 1.500 xu, hoặc rơi từ hòm</t>
        </is>
      </c>
    </row>
    <row r="6" ht="15" customHeight="1" s="32">
      <c r="A6" s="39" t="inlineStr">
        <is>
          <t>Tên lửa chống radar</t>
        </is>
      </c>
      <c r="B6" s="39" t="inlineStr">
        <is>
          <t>Tên lửa</t>
        </is>
      </c>
      <c r="C6" s="42" t="n">
        <v>360</v>
      </c>
      <c r="D6" s="39" t="inlineStr">
        <is>
          <t>Nổ mạnh</t>
        </is>
      </c>
      <c r="E6" s="42" t="n">
        <v>3</v>
      </c>
      <c r="F6" s="42" t="n">
        <v>300</v>
      </c>
      <c r="G6" s="42" t="n">
        <v>4</v>
      </c>
      <c r="H6" s="42" t="n">
        <v>45</v>
      </c>
      <c r="I6" s="42" t="n">
        <v>90</v>
      </c>
      <c r="J6" s="50">
        <f>IFERROR(I6/H6,"")</f>
        <v/>
      </c>
      <c r="K6" s="50">
        <f>IFERROR(F6*VLOOKUP(D6,'Hệ số'!$A$2:$D$8,2,0)*IF((E6-1)&gt;=2,1.2,IF((E6-1)=1,1,IF((E6-1)=0,0.85,IF((E6-1)=-1,0.5,IF((E6-1)=-2,0.25,0.1))))),"")</f>
        <v/>
      </c>
      <c r="L6" s="50">
        <f>IFERROR(F6*VLOOKUP(D6,'Hệ số'!$A$2:$D$8,2,0)*IF((E6-3)&gt;=2,1.2,IF((E6-3)=1,1,IF((E6-3)=0,0.85,IF((E6-3)=-1,0.5,IF((E6-3)=-2,0.25,0.1))))),"")</f>
        <v/>
      </c>
      <c r="M6" s="50">
        <f>IFERROR(F6*VLOOKUP(D6,'Hệ số'!$A$2:$D$8,2,0)*IF((E6-1)&gt;=2,1.2,IF((E6-1)=1,1,IF((E6-1)=0,0.85,IF((E6-1)=-1,0.5,IF((E6-1)=-2,0.25,0.1))))),"")</f>
        <v/>
      </c>
      <c r="N6" s="50">
        <f>IFERROR(F6*VLOOKUP(D6,'Hệ số'!$A$2:$D$8,4,0)*IF((E6-2)&gt;=2,1.2,IF((E6-2)=1,1,IF((E6-2)=0,0.85,IF((E6-2)=-1,0.5,IF((E6-2)=-2,0.25,0.1))))),"")</f>
        <v/>
      </c>
      <c r="O6" s="39" t="inlineStr">
        <is>
          <t>Chỉ nhắm radar và phòng không đang bật; tắt chúng 8 s.</t>
        </is>
      </c>
      <c r="P6" s="39" t="inlineStr">
        <is>
          <t>AGM-88 HARM, Kh-31P</t>
        </is>
      </c>
      <c r="Q6" s="39" t="inlineStr">
        <is>
          <t>Tiêm kích (đồ trang bị), thẻ SEAD</t>
        </is>
      </c>
      <c r="R6" s="39" t="inlineStr">
        <is>
          <t>Săn phòng không từ xa</t>
        </is>
      </c>
      <c r="S6" s="39" t="inlineStr">
        <is>
          <t>Cửa hàng (đồ trang bị cho đơn vị dùng nó): 1.500 xu, hoặc rơi từ hòm</t>
        </is>
      </c>
    </row>
    <row r="7" ht="21.75" customHeight="1" s="32">
      <c r="A7" s="41" t="inlineStr">
        <is>
          <t>Rốc-két dẫn đường laser giá rẻ</t>
        </is>
      </c>
      <c r="B7" s="41" t="inlineStr">
        <is>
          <t>Rốc-két</t>
        </is>
      </c>
      <c r="C7" s="43" t="n">
        <v>15</v>
      </c>
      <c r="D7" s="41" t="inlineStr">
        <is>
          <t>Nổ lõm</t>
        </is>
      </c>
      <c r="E7" s="43" t="n">
        <v>2</v>
      </c>
      <c r="F7" s="43" t="n">
        <v>90</v>
      </c>
      <c r="G7" s="43" t="n">
        <v>2</v>
      </c>
      <c r="H7" s="43" t="n">
        <v>45</v>
      </c>
      <c r="I7" s="43" t="n">
        <v>40</v>
      </c>
      <c r="J7" s="51">
        <f>IFERROR(I7/H7,"")</f>
        <v/>
      </c>
      <c r="K7" s="51">
        <f>IFERROR(F7*VLOOKUP(D7,'Hệ số'!$A$2:$D$8,2,0)*IF((E7-1)&gt;=2,1.2,IF((E7-1)=1,1,IF((E7-1)=0,0.85,IF((E7-1)=-1,0.5,IF((E7-1)=-2,0.25,0.1))))),"")</f>
        <v/>
      </c>
      <c r="L7" s="51">
        <f>IFERROR(F7*VLOOKUP(D7,'Hệ số'!$A$2:$D$8,2,0)*IF((E7-3)&gt;=2,1.2,IF((E7-3)=1,1,IF((E7-3)=0,0.85,IF((E7-3)=-1,0.5,IF((E7-3)=-2,0.25,0.1))))),"")</f>
        <v/>
      </c>
      <c r="M7" s="51">
        <f>IFERROR(F7*VLOOKUP(D7,'Hệ số'!$A$2:$D$8,2,0)*IF((E7-1)&gt;=2,1.2,IF((E7-1)=1,1,IF((E7-1)=0,0.85,IF((E7-1)=-1,0.5,IF((E7-1)=-2,0.25,0.1))))),"")</f>
        <v/>
      </c>
      <c r="N7" s="51">
        <f>IFERROR(F7*VLOOKUP(D7,'Hệ số'!$A$2:$D$8,4,0)*IF((E7-2)&gt;=2,1.2,IF((E7-2)=1,1,IF((E7-2)=0,0.85,IF((E7-2)=-1,0.5,IF((E7-2)=-2,0.25,0.1))))),"")</f>
        <v/>
      </c>
      <c r="O7" s="41" t="inlineStr">
        <is>
          <t>Rốc-két 70 mm có đầu dẫn: chính xác, rẻ; bắn được drone.</t>
        </is>
      </c>
      <c r="P7" s="41" t="inlineStr">
        <is>
          <t>APKWS (Hydra dẫn laser)</t>
        </is>
      </c>
      <c r="Q7" s="41" t="inlineStr">
        <is>
          <t>Trực thăng, Cường kích (đồ trang bị)</t>
        </is>
      </c>
      <c r="R7" s="41" t="inlineStr">
        <is>
          <t>Nhiều phát chính xác thay cho loạt tản mát</t>
        </is>
      </c>
      <c r="S7" s="41" t="inlineStr">
        <is>
          <t>Cửa hàng (đồ trang bị cho đơn vị dùng nó): 1.500 xu, hoặc rơi từ hòm</t>
        </is>
      </c>
    </row>
    <row r="8" ht="15" customHeight="1" s="32">
      <c r="A8" s="39" t="inlineStr">
        <is>
          <t>Tên lửa đánh chặn drone</t>
        </is>
      </c>
      <c r="B8" s="39" t="inlineStr">
        <is>
          <t>Tên lửa</t>
        </is>
      </c>
      <c r="C8" s="42" t="n">
        <v>5</v>
      </c>
      <c r="D8" s="39" t="inlineStr">
        <is>
          <t>Mảnh</t>
        </is>
      </c>
      <c r="E8" s="42" t="n">
        <v>2</v>
      </c>
      <c r="F8" s="42" t="n">
        <v>120</v>
      </c>
      <c r="G8" s="42" t="n">
        <v>2</v>
      </c>
      <c r="H8" s="42" t="n">
        <v>40</v>
      </c>
      <c r="I8" s="42" t="n">
        <v>45</v>
      </c>
      <c r="J8" s="50">
        <f>IFERROR(I8/H8,"")</f>
        <v/>
      </c>
      <c r="K8" s="50">
        <f>IFERROR(F8*VLOOKUP(D8,'Hệ số'!$A$2:$D$8,2,0)*IF((E8-1)&gt;=2,1.2,IF((E8-1)=1,1,IF((E8-1)=0,0.85,IF((E8-1)=-1,0.5,IF((E8-1)=-2,0.25,0.1))))),"")</f>
        <v/>
      </c>
      <c r="L8" s="50">
        <f>IFERROR(F8*VLOOKUP(D8,'Hệ số'!$A$2:$D$8,2,0)*IF((E8-3)&gt;=2,1.2,IF((E8-3)=1,1,IF((E8-3)=0,0.85,IF((E8-3)=-1,0.5,IF((E8-3)=-2,0.25,0.1))))),"")</f>
        <v/>
      </c>
      <c r="M8" s="50">
        <f>IFERROR(F8*VLOOKUP(D8,'Hệ số'!$A$2:$D$8,2,0)*IF((E8-1)&gt;=2,1.2,IF((E8-1)=1,1,IF((E8-1)=0,0.85,IF((E8-1)=-1,0.5,IF((E8-1)=-2,0.25,0.1))))),"")</f>
        <v/>
      </c>
      <c r="N8" s="50">
        <f>IFERROR(F8*VLOOKUP(D8,'Hệ số'!$A$2:$D$8,4,0)*IF((E8-2)&gt;=2,1.2,IF((E8-2)=1,1,IF((E8-2)=0,0.85,IF((E8-2)=-1,0.5,IF((E8-2)=-2,0.25,0.1))))),"")</f>
        <v/>
      </c>
      <c r="O8" s="39" t="inlineStr">
        <is>
          <t>Chỉ bắn drone và đạn lảng vảng; rẻ, nạp nhanh.</t>
        </is>
      </c>
      <c r="P8" s="39" t="inlineStr">
        <is>
          <t>Coyote Block 2</t>
        </is>
      </c>
      <c r="Q8" s="39" t="inlineStr">
        <is>
          <t>Trạm C-RAM (nhánh), xe phòng không</t>
        </is>
      </c>
      <c r="R8" s="39" t="inlineStr">
        <is>
          <t>Khắc chế bầy drone</t>
        </is>
      </c>
      <c r="S8" s="39" t="inlineStr">
        <is>
          <t>Cửa hàng (đồ trang bị cho đơn vị dùng nó): 1.500 xu, hoặc rơi từ hòm</t>
        </is>
      </c>
    </row>
    <row r="9" ht="15" customHeight="1" s="32">
      <c r="A9" s="41" t="inlineStr">
        <is>
          <t>Đạn pháo dẫn đường 155 mm</t>
        </is>
      </c>
      <c r="B9" s="41" t="inlineStr">
        <is>
          <t>Đạn pháo</t>
        </is>
      </c>
      <c r="C9" s="43" t="n">
        <v>48</v>
      </c>
      <c r="D9" s="41" t="inlineStr">
        <is>
          <t>Nổ mạnh</t>
        </is>
      </c>
      <c r="E9" s="43" t="n">
        <v>3</v>
      </c>
      <c r="F9" s="43" t="n">
        <v>360</v>
      </c>
      <c r="G9" s="43" t="n">
        <v>6</v>
      </c>
      <c r="H9" s="43" t="n">
        <v>45</v>
      </c>
      <c r="I9" s="43" t="n">
        <v>90</v>
      </c>
      <c r="J9" s="51">
        <f>IFERROR(I9/H9,"")</f>
        <v/>
      </c>
      <c r="K9" s="51">
        <f>IFERROR(F9*VLOOKUP(D9,'Hệ số'!$A$2:$D$8,2,0)*IF((E9-1)&gt;=2,1.2,IF((E9-1)=1,1,IF((E9-1)=0,0.85,IF((E9-1)=-1,0.5,IF((E9-1)=-2,0.25,0.1))))),"")</f>
        <v/>
      </c>
      <c r="L9" s="51">
        <f>IFERROR(F9*VLOOKUP(D9,'Hệ số'!$A$2:$D$8,2,0)*IF((E9-3)&gt;=2,1.2,IF((E9-3)=1,1,IF((E9-3)=0,0.85,IF((E9-3)=-1,0.5,IF((E9-3)=-2,0.25,0.1))))),"")</f>
        <v/>
      </c>
      <c r="M9" s="51">
        <f>IFERROR(F9*VLOOKUP(D9,'Hệ số'!$A$2:$D$8,2,0)*IF((E9-1)&gt;=2,1.2,IF((E9-1)=1,1,IF((E9-1)=0,0.85,IF((E9-1)=-1,0.5,IF((E9-1)=-2,0.25,0.1))))),"")</f>
        <v/>
      </c>
      <c r="N9" s="51">
        <f>IFERROR(F9*VLOOKUP(D9,'Hệ số'!$A$2:$D$8,4,0)*IF((E9-2)&gt;=2,1.2,IF((E9-2)=1,1,IF((E9-2)=0,0.85,IF((E9-2)=-1,0.5,IF((E9-2)=-2,0.25,0.1))))),"")</f>
        <v/>
      </c>
      <c r="O9" s="41" t="inlineStr">
        <is>
          <t>Không tản mát; trúng xe đang đứng yên chắc chắn.</t>
        </is>
      </c>
      <c r="P9" s="41" t="inlineStr">
        <is>
          <t>M982 Excalibur, Krasnopol</t>
        </is>
      </c>
      <c r="Q9" s="41" t="inlineStr">
        <is>
          <t>Lựu pháo (nhánh / đồ trang bị)</t>
        </is>
      </c>
      <c r="R9" s="41" t="inlineStr">
        <is>
          <t>Pháo binh "bắn tỉa"</t>
        </is>
      </c>
      <c r="S9" s="41" t="inlineStr">
        <is>
          <t>Cửa hàng (đồ trang bị cho đơn vị dùng nó): 1.500 xu, hoặc rơi từ hòm</t>
        </is>
      </c>
    </row>
    <row r="10" ht="15" customHeight="1" s="32">
      <c r="A10" s="39" t="inlineStr">
        <is>
          <t>Đạn pháo chống tăng đánh nóc</t>
        </is>
      </c>
      <c r="B10" s="39" t="inlineStr">
        <is>
          <t>Đạn pháo</t>
        </is>
      </c>
      <c r="C10" s="42" t="n">
        <v>47</v>
      </c>
      <c r="D10" s="39" t="inlineStr">
        <is>
          <t>Nổ lõm</t>
        </is>
      </c>
      <c r="E10" s="42" t="n">
        <v>4</v>
      </c>
      <c r="F10" s="42" t="n">
        <v>220</v>
      </c>
      <c r="G10" s="42" t="n">
        <v>0</v>
      </c>
      <c r="H10" s="42" t="n">
        <v>45</v>
      </c>
      <c r="I10" s="42" t="n">
        <v>90</v>
      </c>
      <c r="J10" s="50">
        <f>IFERROR(I10/H10,"")</f>
        <v/>
      </c>
      <c r="K10" s="50">
        <f>IFERROR(F10*VLOOKUP(D10,'Hệ số'!$A$2:$D$8,2,0)*IF((E10-1)&gt;=2,1.2,IF((E10-1)=1,1,IF((E10-1)=0,0.85,IF((E10-1)=-1,0.5,IF((E10-1)=-2,0.25,0.1))))),"")</f>
        <v/>
      </c>
      <c r="L10" s="50">
        <f>IFERROR(F10*VLOOKUP(D10,'Hệ số'!$A$2:$D$8,2,0)*IF((E10-3)&gt;=2,1.2,IF((E10-3)=1,1,IF((E10-3)=0,0.85,IF((E10-3)=-1,0.5,IF((E10-3)=-2,0.25,0.1))))),"")</f>
        <v/>
      </c>
      <c r="M10" s="50">
        <f>IFERROR(F10*VLOOKUP(D10,'Hệ số'!$A$2:$D$8,2,0)*IF((E10-1)&gt;=2,1.2,IF((E10-1)=1,1,IF((E10-1)=0,0.85,IF((E10-1)=-1,0.5,IF((E10-1)=-2,0.25,0.1))))),"")</f>
        <v/>
      </c>
      <c r="N10" s="50">
        <f>IFERROR(F10*VLOOKUP(D10,'Hệ số'!$A$2:$D$8,4,0)*IF((E10-2)&gt;=2,1.2,IF((E10-2)=1,1,IF((E10-2)=0,0.85,IF((E10-2)=-1,0.5,IF((E10-2)=-2,0.25,0.1))))),"")</f>
        <v/>
      </c>
      <c r="O10" s="39" t="inlineStr">
        <is>
          <t>2 đầu đạn con tự tìm xe, đánh nóc (giáp nóc thấp).</t>
        </is>
      </c>
      <c r="P10" s="39" t="inlineStr">
        <is>
          <t>SMArt 155, BONUS</t>
        </is>
      </c>
      <c r="Q10" s="39" t="inlineStr">
        <is>
          <t>Lựu pháo (đồ trang bị)</t>
        </is>
      </c>
      <c r="R10" s="39" t="inlineStr">
        <is>
          <t>Pháo binh diệt tăng</t>
        </is>
      </c>
      <c r="S10" s="39" t="inlineStr">
        <is>
          <t>Cửa hàng (đồ trang bị cho đơn vị dùng nó): 1.500 xu, hoặc rơi từ hòm</t>
        </is>
      </c>
    </row>
    <row r="11" ht="15" customHeight="1" s="32">
      <c r="A11" s="41" t="inlineStr">
        <is>
          <t>Tên lửa không đối không tầm siêu xa</t>
        </is>
      </c>
      <c r="B11" s="41" t="inlineStr">
        <is>
          <t>Tên lửa</t>
        </is>
      </c>
      <c r="C11" s="43" t="n">
        <v>510</v>
      </c>
      <c r="D11" s="41" t="inlineStr">
        <is>
          <t>Mảnh</t>
        </is>
      </c>
      <c r="E11" s="43" t="n">
        <v>3</v>
      </c>
      <c r="F11" s="43" t="n">
        <v>400</v>
      </c>
      <c r="G11" s="43" t="n">
        <v>6</v>
      </c>
      <c r="H11" s="43" t="n">
        <v>70</v>
      </c>
      <c r="I11" s="43" t="n">
        <v>90</v>
      </c>
      <c r="J11" s="51">
        <f>IFERROR(I11/H11,"")</f>
        <v/>
      </c>
      <c r="K11" s="51">
        <f>IFERROR(F11*VLOOKUP(D11,'Hệ số'!$A$2:$D$8,2,0)*IF((E11-1)&gt;=2,1.2,IF((E11-1)=1,1,IF((E11-1)=0,0.85,IF((E11-1)=-1,0.5,IF((E11-1)=-2,0.25,0.1))))),"")</f>
        <v/>
      </c>
      <c r="L11" s="51">
        <f>IFERROR(F11*VLOOKUP(D11,'Hệ số'!$A$2:$D$8,2,0)*IF((E11-3)&gt;=2,1.2,IF((E11-3)=1,1,IF((E11-3)=0,0.85,IF((E11-3)=-1,0.5,IF((E11-3)=-2,0.25,0.1))))),"")</f>
        <v/>
      </c>
      <c r="M11" s="51">
        <f>IFERROR(F11*VLOOKUP(D11,'Hệ số'!$A$2:$D$8,2,0)*IF((E11-1)&gt;=2,1.2,IF((E11-1)=1,1,IF((E11-1)=0,0.85,IF((E11-1)=-1,0.5,IF((E11-1)=-2,0.25,0.1))))),"")</f>
        <v/>
      </c>
      <c r="N11" s="51">
        <f>IFERROR(F11*VLOOKUP(D11,'Hệ số'!$A$2:$D$8,4,0)*IF((E11-2)&gt;=2,1.2,IF((E11-2)=1,1,IF((E11-2)=0,0.85,IF((E11-2)=-1,0.5,IF((E11-2)=-2,0.25,0.1))))),"")</f>
        <v/>
      </c>
      <c r="O11" s="41" t="inlineStr">
        <is>
          <t>Nhắm máy bay lớn trước (oanh tạc cơ, AC-130, máy bay mẹ).</t>
        </is>
      </c>
      <c r="P11" s="41" t="inlineStr">
        <is>
          <t>R-37M, Meteor</t>
        </is>
      </c>
      <c r="Q11" s="41" t="inlineStr">
        <is>
          <t>Tiêm kích đánh chặn (mới)</t>
        </is>
      </c>
      <c r="R11" s="41" t="inlineStr">
        <is>
          <t>Hạ máy bay lớn từ rất xa</t>
        </is>
      </c>
      <c r="S11" s="41" t="inlineStr">
        <is>
          <t>Cửa hàng (đồ trang bị cho đơn vị dùng nó): 1.500 xu, hoặc rơi từ hòm</t>
        </is>
      </c>
    </row>
    <row r="12" ht="15" customHeight="1" s="32">
      <c r="A12" s="39" t="inlineStr">
        <is>
          <t>Tên lửa chống tăng bắn ngoài tầm nhìn</t>
        </is>
      </c>
      <c r="B12" s="39" t="inlineStr">
        <is>
          <t>Tên lửa</t>
        </is>
      </c>
      <c r="C12" s="42" t="n">
        <v>70</v>
      </c>
      <c r="D12" s="39" t="inlineStr">
        <is>
          <t>Nổ lõm</t>
        </is>
      </c>
      <c r="E12" s="42" t="n">
        <v>4</v>
      </c>
      <c r="F12" s="42" t="n">
        <v>300</v>
      </c>
      <c r="G12" s="42" t="n">
        <v>0</v>
      </c>
      <c r="H12" s="42" t="n">
        <v>26</v>
      </c>
      <c r="I12" s="42" t="n">
        <v>90</v>
      </c>
      <c r="J12" s="50">
        <f>IFERROR(I12/H12,"")</f>
        <v/>
      </c>
      <c r="K12" s="50">
        <f>IFERROR(F12*VLOOKUP(D12,'Hệ số'!$A$2:$D$8,2,0)*IF((E12-1)&gt;=2,1.2,IF((E12-1)=1,1,IF((E12-1)=0,0.85,IF((E12-1)=-1,0.5,IF((E12-1)=-2,0.25,0.1))))),"")</f>
        <v/>
      </c>
      <c r="L12" s="50">
        <f>IFERROR(F12*VLOOKUP(D12,'Hệ số'!$A$2:$D$8,2,0)*IF((E12-3)&gt;=2,1.2,IF((E12-3)=1,1,IF((E12-3)=0,0.85,IF((E12-3)=-1,0.5,IF((E12-3)=-2,0.25,0.1))))),"")</f>
        <v/>
      </c>
      <c r="M12" s="50">
        <f>IFERROR(F12*VLOOKUP(D12,'Hệ số'!$A$2:$D$8,2,0)*IF((E12-1)&gt;=2,1.2,IF((E12-1)=1,1,IF((E12-1)=0,0.85,IF((E12-1)=-1,0.5,IF((E12-1)=-2,0.25,0.1))))),"")</f>
        <v/>
      </c>
      <c r="N12" s="50">
        <f>IFERROR(F12*VLOOKUP(D12,'Hệ số'!$A$2:$D$8,4,0)*IF((E12-2)&gt;=2,1.2,IF((E12-2)=1,1,IF((E12-2)=0,0.85,IF((E12-2)=-1,0.5,IF((E12-2)=-2,0.25,0.1))))),"")</f>
        <v/>
      </c>
      <c r="O12" s="39" t="inlineStr">
        <is>
          <t>Cần đồng đội soi; bay cao rồi đánh nóc.</t>
        </is>
      </c>
      <c r="P12" s="39" t="inlineStr">
        <is>
          <t>Spike NLOS, Brimstone</t>
        </is>
      </c>
      <c r="Q12" s="39" t="inlineStr">
        <is>
          <t>Xe tên lửa chống tăng NLOS (mới)</t>
        </is>
      </c>
      <c r="R12" s="39" t="inlineStr">
        <is>
          <t>Diệt tăng sau đồi</t>
        </is>
      </c>
      <c r="S12" s="39" t="inlineStr">
        <is>
          <t>Cửa hàng (đồ trang bị cho đơn vị dùng nó): 1.500 xu, hoặc rơi từ hòm</t>
        </is>
      </c>
    </row>
    <row r="13" ht="15" customHeight="1" s="32">
      <c r="A13" s="41" t="inlineStr">
        <is>
          <t>Tên lửa hành trình tàng hình</t>
        </is>
      </c>
      <c r="B13" s="41" t="inlineStr">
        <is>
          <t>Tên lửa</t>
        </is>
      </c>
      <c r="C13" s="43" t="n">
        <v>1000</v>
      </c>
      <c r="D13" s="41" t="inlineStr">
        <is>
          <t>Nổ mạnh</t>
        </is>
      </c>
      <c r="E13" s="43" t="n">
        <v>3</v>
      </c>
      <c r="F13" s="43" t="n">
        <v>450</v>
      </c>
      <c r="G13" s="43" t="n">
        <v>9</v>
      </c>
      <c r="H13" s="43" t="n">
        <v>22</v>
      </c>
      <c r="I13" s="43" t="n">
        <v>140</v>
      </c>
      <c r="J13" s="51">
        <f>IFERROR(I13/H13,"")</f>
        <v/>
      </c>
      <c r="K13" s="51">
        <f>IFERROR(F13*VLOOKUP(D13,'Hệ số'!$A$2:$D$8,2,0)*IF((E13-1)&gt;=2,1.2,IF((E13-1)=1,1,IF((E13-1)=0,0.85,IF((E13-1)=-1,0.5,IF((E13-1)=-2,0.25,0.1))))),"")</f>
        <v/>
      </c>
      <c r="L13" s="51">
        <f>IFERROR(F13*VLOOKUP(D13,'Hệ số'!$A$2:$D$8,2,0)*IF((E13-3)&gt;=2,1.2,IF((E13-3)=1,1,IF((E13-3)=0,0.85,IF((E13-3)=-1,0.5,IF((E13-3)=-2,0.25,0.1))))),"")</f>
        <v/>
      </c>
      <c r="M13" s="51">
        <f>IFERROR(F13*VLOOKUP(D13,'Hệ số'!$A$2:$D$8,2,0)*IF((E13-1)&gt;=2,1.2,IF((E13-1)=1,1,IF((E13-1)=0,0.85,IF((E13-1)=-1,0.5,IF((E13-1)=-2,0.25,0.1))))),"")</f>
        <v/>
      </c>
      <c r="N13" s="51">
        <f>IFERROR(F13*VLOOKUP(D13,'Hệ số'!$A$2:$D$8,4,0)*IF((E13-2)&gt;=2,1.2,IF((E13-2)=1,1,IF((E13-2)=0,0.85,IF((E13-2)=-1,0.5,IF((E13-2)=-2,0.25,0.1))))),"")</f>
        <v/>
      </c>
      <c r="O13" s="41" t="inlineStr">
        <is>
          <t>Bay thấp, khó bị phát hiện (chỉ lộ ở 50% tầm nhìn radar).</t>
        </is>
      </c>
      <c r="P13" s="41" t="inlineStr">
        <is>
          <t>Storm Shadow, Tomahawk</t>
        </is>
      </c>
      <c r="Q13" s="41" t="inlineStr">
        <is>
          <t>Thẻ Tên lửa hành trình (đổi)</t>
        </is>
      </c>
      <c r="R13" s="41" t="inlineStr">
        <is>
          <t>Đòn chính xác xuyên phòng không</t>
        </is>
      </c>
      <c r="S13" s="41" t="inlineStr">
        <is>
          <t>Cửa hàng (đồ trang bị cho đơn vị dùng nó): 1.500 xu, hoặc rơi từ hòm</t>
        </is>
      </c>
    </row>
    <row r="14" ht="15" customHeight="1" s="32">
      <c r="A14" s="39" t="inlineStr">
        <is>
          <t>Drone cảm tử bầy nhỏ</t>
        </is>
      </c>
      <c r="B14" s="39" t="inlineStr">
        <is>
          <t>Drone</t>
        </is>
      </c>
      <c r="C14" s="42" t="n">
        <v>3</v>
      </c>
      <c r="D14" s="39" t="inlineStr">
        <is>
          <t>Nổ lõm</t>
        </is>
      </c>
      <c r="E14" s="42" t="n">
        <v>3</v>
      </c>
      <c r="F14" s="42" t="n">
        <v>90</v>
      </c>
      <c r="G14" s="42" t="n">
        <v>2</v>
      </c>
      <c r="H14" s="42" t="n">
        <v>30</v>
      </c>
      <c r="I14" s="42" t="n">
        <v>50</v>
      </c>
      <c r="J14" s="50">
        <f>IFERROR(I14/H14,"")</f>
        <v/>
      </c>
      <c r="K14" s="50">
        <f>IFERROR(F14*VLOOKUP(D14,'Hệ số'!$A$2:$D$8,2,0)*IF((E14-1)&gt;=2,1.2,IF((E14-1)=1,1,IF((E14-1)=0,0.85,IF((E14-1)=-1,0.5,IF((E14-1)=-2,0.25,0.1))))),"")</f>
        <v/>
      </c>
      <c r="L14" s="50">
        <f>IFERROR(F14*VLOOKUP(D14,'Hệ số'!$A$2:$D$8,2,0)*IF((E14-3)&gt;=2,1.2,IF((E14-3)=1,1,IF((E14-3)=0,0.85,IF((E14-3)=-1,0.5,IF((E14-3)=-2,0.25,0.1))))),"")</f>
        <v/>
      </c>
      <c r="M14" s="50">
        <f>IFERROR(F14*VLOOKUP(D14,'Hệ số'!$A$2:$D$8,2,0)*IF((E14-1)&gt;=2,1.2,IF((E14-1)=1,1,IF((E14-1)=0,0.85,IF((E14-1)=-1,0.5,IF((E14-1)=-2,0.25,0.1))))),"")</f>
        <v/>
      </c>
      <c r="N14" s="50">
        <f>IFERROR(F14*VLOOKUP(D14,'Hệ số'!$A$2:$D$8,4,0)*IF((E14-2)&gt;=2,1.2,IF((E14-2)=1,1,IF((E14-2)=0,0.85,IF((E14-2)=-1,0.5,IF((E14-2)=-2,0.25,0.1))))),"")</f>
        <v/>
      </c>
      <c r="O14" s="39" t="inlineStr">
        <is>
          <t>Bầy 6 chiếc; mỗi chiếc yếu; bị súng máy và EW bắn hạ dễ.</t>
        </is>
      </c>
      <c r="P14" s="39" t="inlineStr">
        <is>
          <t>Switchblade 300</t>
        </is>
      </c>
      <c r="Q14" s="39" t="inlineStr">
        <is>
          <t>Xe phóng drone FPV (nhánh)</t>
        </is>
      </c>
      <c r="R14" s="39" t="inlineStr">
        <is>
          <t>Nhiều mục tiêu nhỏ cho phòng không</t>
        </is>
      </c>
      <c r="S14" s="39" t="inlineStr">
        <is>
          <t>Cửa hàng (đồ trang bị cho đơn vị dùng nó): 1.500 xu, hoặc rơi từ hòm</t>
        </is>
      </c>
    </row>
    <row r="15" ht="15" customHeight="1" s="32">
      <c r="A15" s="41" t="inlineStr">
        <is>
          <t>Tên lửa chống hạm</t>
        </is>
      </c>
      <c r="B15" s="41" t="inlineStr">
        <is>
          <t>Tên lửa</t>
        </is>
      </c>
      <c r="C15" s="43" t="n">
        <v>680</v>
      </c>
      <c r="D15" s="41" t="inlineStr">
        <is>
          <t>Nổ mạnh</t>
        </is>
      </c>
      <c r="E15" s="43" t="n">
        <v>4</v>
      </c>
      <c r="F15" s="43" t="n">
        <v>450</v>
      </c>
      <c r="G15" s="43" t="n">
        <v>7</v>
      </c>
      <c r="H15" s="43" t="n">
        <v>30</v>
      </c>
      <c r="I15" s="43" t="n">
        <v>140</v>
      </c>
      <c r="J15" s="51">
        <f>IFERROR(I15/H15,"")</f>
        <v/>
      </c>
      <c r="K15" s="51">
        <f>IFERROR(F15*VLOOKUP(D15,'Hệ số'!$A$2:$D$8,2,0)*IF((E15-1)&gt;=2,1.2,IF((E15-1)=1,1,IF((E15-1)=0,0.85,IF((E15-1)=-1,0.5,IF((E15-1)=-2,0.25,0.1))))),"")</f>
        <v/>
      </c>
      <c r="L15" s="51">
        <f>IFERROR(F15*VLOOKUP(D15,'Hệ số'!$A$2:$D$8,2,0)*IF((E15-3)&gt;=2,1.2,IF((E15-3)=1,1,IF((E15-3)=0,0.85,IF((E15-3)=-1,0.5,IF((E15-3)=-2,0.25,0.1))))),"")</f>
        <v/>
      </c>
      <c r="M15" s="51">
        <f>IFERROR(F15*VLOOKUP(D15,'Hệ số'!$A$2:$D$8,2,0)*IF((E15-1)&gt;=2,1.2,IF((E15-1)=1,1,IF((E15-1)=0,0.85,IF((E15-1)=-1,0.5,IF((E15-1)=-2,0.25,0.1))))),"")</f>
        <v/>
      </c>
      <c r="N15" s="51">
        <f>IFERROR(F15*VLOOKUP(D15,'Hệ số'!$A$2:$D$8,4,0)*IF((E15-2)&gt;=2,1.2,IF((E15-2)=1,1,IF((E15-2)=0,0.85,IF((E15-2)=-1,0.5,IF((E15-2)=-2,0.25,0.1))))),"")</f>
        <v/>
      </c>
      <c r="O15" s="41" t="inlineStr">
        <is>
          <t>Chỉ nhắm tàu; bay sát mặt nước.</t>
        </is>
      </c>
      <c r="P15" s="41" t="inlineStr">
        <is>
          <t>NSM, P-800 Oniks</t>
        </is>
      </c>
      <c r="Q15" s="41" t="inlineStr">
        <is>
          <t>Xe tên lửa chống hạm bờ biển (mới)</t>
        </is>
      </c>
      <c r="R15" s="41" t="inlineStr">
        <is>
          <t>Đánh tàu từ bờ</t>
        </is>
      </c>
      <c r="S15" s="41" t="inlineStr">
        <is>
          <t>Cửa hàng (đồ trang bị cho đơn vị dùng nó): 1.500 xu, hoặc rơi từ hòm</t>
        </is>
      </c>
    </row>
  </sheetData>
  <autoFilter ref="A1:S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L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2" customWidth="1" style="31" min="1" max="1"/>
    <col width="9" customWidth="1" style="31" min="2" max="2"/>
    <col width="30" customWidth="1" style="31" min="3" max="3"/>
    <col width="9" customWidth="1" style="31" min="4" max="4"/>
    <col width="10" customWidth="1" style="31" min="5" max="5"/>
    <col width="50" customWidth="1" style="31" min="6" max="6"/>
    <col width="55" customWidth="1" style="31" min="7" max="7"/>
    <col width="50" customWidth="1" style="31" min="8" max="8"/>
    <col width="30" customWidth="1" style="31" min="9" max="10"/>
    <col width="55" customWidth="1" style="31" min="11" max="11"/>
    <col width="30" customWidth="1" style="31" min="12" max="12"/>
  </cols>
  <sheetData>
    <row r="1" ht="42" customHeight="1" s="32">
      <c r="A1" s="37" t="inlineStr">
        <is>
          <t>Tên · dòng phụ</t>
        </is>
      </c>
      <c r="B1" s="37" t="inlineStr">
        <is>
          <t>Cấp</t>
        </is>
      </c>
      <c r="C1" s="37" t="inlineStr">
        <is>
          <t>Tướng / mùa</t>
        </is>
      </c>
      <c r="D1" s="37" t="inlineStr">
        <is>
          <t>Máu gốc</t>
        </is>
      </c>
      <c r="E1" s="37" t="inlineStr">
        <is>
          <t>DPS thường (vs giáp 3)</t>
        </is>
      </c>
      <c r="F1" s="37" t="inlineStr">
        <is>
          <t>Vũ khí thường</t>
        </is>
      </c>
      <c r="G1" s="37" t="inlineStr">
        <is>
          <t>Siêu vũ khí</t>
        </is>
      </c>
      <c r="H1" s="37" t="inlineStr">
        <is>
          <t>Cơ chế đặc biệt</t>
        </is>
      </c>
      <c r="I1" s="37" t="inlineStr">
        <is>
          <t>Mẫu thật</t>
        </is>
      </c>
      <c r="J1" s="37" t="inlineStr">
        <is>
          <t>Tham khảo game</t>
        </is>
      </c>
      <c r="K1" s="37" t="inlineStr">
        <is>
          <t>Hình dạng (cho AI vẽ)</t>
        </is>
      </c>
      <c r="L1" s="45" t="inlineStr">
        <is>
          <t>Ra mắt đề xuất</t>
        </is>
      </c>
    </row>
    <row r="2" ht="21.75" customHeight="1" s="32">
      <c r="A2" s="39" t="inlineStr">
        <is>
          <t>Kraken · Tàu sân bay</t>
        </is>
      </c>
      <c r="B2" s="39" t="inlineStr">
        <is>
          <t>Chủ lực</t>
        </is>
      </c>
      <c r="C2" s="39" t="inlineStr">
        <is>
          <t>Mùa hải quân (đô đốc mới của Hegemon)</t>
        </is>
      </c>
      <c r="D2" s="42" t="n">
        <v>25000</v>
      </c>
      <c r="E2" s="42" t="n">
        <v>650</v>
      </c>
      <c r="F2" s="39" t="inlineStr">
        <is>
          <t>4 CIWS 30 mm, 2 bệ tên lửa phòng không, thả 2 tiêm kích và 4 drone mỗi 40 s</t>
        </is>
      </c>
      <c r="G2" s="39" t="inlineStr">
        <is>
          <t>Đợt không kích: 12 bom × 400 · nổ lan 9 m · dải 90 × 14 m · mỗi 75 s · cảnh báo 4 s</t>
        </is>
      </c>
      <c r="H2" s="39" t="inlineStr">
        <is>
          <t>Phá cáp hãm và đường băng thì ngừng phóng máy bay; boong có thang máy là điểm yếu giáp 2</t>
        </is>
      </c>
      <c r="I2" s="39" t="inlineStr">
        <is>
          <t>Lớp Nimitz / Kuznetsov</t>
        </is>
      </c>
      <c r="J2" s="39" t="inlineStr">
        <is>
          <t>Red Alert 3 (Shogun), World of Warships</t>
        </is>
      </c>
      <c r="K2" s="39" t="inlineStr">
        <is>
          <t>Tàu dài nhất game (~110 m), boong phẳng, đảo chỉ huy lệch phải, máy bay đậu trên boong</t>
        </is>
      </c>
      <c r="L2" s="39" t="inlineStr">
        <is>
          <t>Theo mùa: boss chủ lực là trùm của mùa; mini boss là sự kiện tuần</t>
        </is>
      </c>
    </row>
    <row r="3" ht="21.75" customHeight="1" s="32">
      <c r="A3" s="41" t="inlineStr">
        <is>
          <t>Monster · Pháo tự hành 800 mm</t>
        </is>
      </c>
      <c r="B3" s="41" t="inlineStr">
        <is>
          <t>Chủ lực</t>
        </is>
      </c>
      <c r="C3" s="41" t="inlineStr">
        <is>
          <t>Mùa đất liền (thay Gungnir làm mối đe dọa lớn)</t>
        </is>
      </c>
      <c r="D3" s="43" t="n">
        <v>23000</v>
      </c>
      <c r="E3" s="43" t="n">
        <v>500</v>
      </c>
      <c r="F3" s="41" t="inlineStr">
        <is>
          <t>2 tháp 150 mm phụ, 4 bệ 20 mm phòng không</t>
        </is>
      </c>
      <c r="G3" s="41" t="inlineStr">
        <is>
          <t>Đạn 800 mm: 1 × 4.000 · nổ lan 20 m · mỗi 80 s · cảnh báo 6 s (nòng nâng lên từ từ)</t>
        </is>
      </c>
      <c r="H3" s="41" t="inlineStr">
        <is>
          <t>Chạy rất chậm; phá 4 cụm xích thì dừng hẳn; nòng chính là bộ phận có máu riêng</t>
        </is>
      </c>
      <c r="I3" s="41" t="inlineStr">
        <is>
          <t>2B1 Oka và Object 271 (1957)</t>
        </is>
      </c>
      <c r="J3" s="41" t="inlineStr">
        <is>
          <t>Company of Heroes (pháo siêu nặng), Metal Gear</t>
        </is>
      </c>
      <c r="K3" s="41" t="inlineStr">
        <is>
          <t>Khối thép khổng lồ 4 dải xích, một nòng 800 mm dài bằng nửa thân</t>
        </is>
      </c>
      <c r="L3" s="41" t="inlineStr">
        <is>
          <t>Theo mùa: boss chủ lực là trùm của mùa; mini boss là sự kiện tuần</t>
        </is>
      </c>
    </row>
    <row r="4" ht="21.75" customHeight="1" s="32">
      <c r="A4" s="39" t="inlineStr">
        <is>
          <t>Garuda · Cánh bay ném bom khổng lồ</t>
        </is>
      </c>
      <c r="B4" s="39" t="inlineStr">
        <is>
          <t>Chủ lực</t>
        </is>
      </c>
      <c r="C4" s="39" t="inlineStr">
        <is>
          <t>Mùa không quân (người kế nhiệm Wolff)</t>
        </is>
      </c>
      <c r="D4" s="42" t="n">
        <v>24000</v>
      </c>
      <c r="E4" s="42" t="n">
        <v>600</v>
      </c>
      <c r="F4" s="39" t="inlineStr">
        <is>
          <t>6 tháp súng phòng thủ 20 mm, 2 bệ tên lửa không đối không</t>
        </is>
      </c>
      <c r="G4" s="39" t="inlineStr">
        <is>
          <t>Rải thảm: 20 bom × 350 · dải 100 × 14 m · mỗi 70 s</t>
        </is>
      </c>
      <c r="H4" s="39" t="inlineStr">
        <is>
          <t>Bay vòng tròn lớn; chỉ tầng thấp mới trúng được phòng không tầm gần; hộ tống 4 tiêm kích</t>
        </is>
      </c>
      <c r="I4" s="39" t="inlineStr">
        <is>
          <t>Cánh bay B-2 phóng to; B-21 Raider</t>
        </is>
      </c>
      <c r="J4" s="39" t="inlineStr">
        <is>
          <t>Ace Combat (Hresvelgr, Aigaion)</t>
        </is>
      </c>
      <c r="K4" s="39" t="inlineStr">
        <is>
          <t>Cánh bay răng cưa sải ~70 m, có khoang bom mở dưới bụng</t>
        </is>
      </c>
      <c r="L4" s="39" t="inlineStr">
        <is>
          <t>Theo mùa: boss chủ lực là trùm của mùa; mini boss là sự kiện tuần</t>
        </is>
      </c>
    </row>
    <row r="5" ht="21.75" customHeight="1" s="32">
      <c r="A5" s="41" t="inlineStr">
        <is>
          <t>Hyperion · Trạm gương quỹ đạo</t>
        </is>
      </c>
      <c r="B5" s="41" t="inlineStr">
        <is>
          <t>Chủ lực</t>
        </is>
      </c>
      <c r="C5" s="41" t="inlineStr">
        <is>
          <t>Nối tiếp phần kết (các chấm sáng còn lại trên quỹ đạo)</t>
        </is>
      </c>
      <c r="D5" s="43" t="n">
        <v>28000</v>
      </c>
      <c r="E5" s="43" t="n">
        <v>700</v>
      </c>
      <c r="F5" s="41" t="inlineStr">
        <is>
          <t>4 tháp laser phòng thủ điểm, thả 2 khoang đổ bộ mỗi 60 s</t>
        </is>
      </c>
      <c r="G5" s="41" t="inlineStr">
        <is>
          <t>Tia mặt trời: dải 70 × 6 m đốt liên tục 4 s × 500 mỗi giây · mỗi 65 s · khói giảm 80%</t>
        </is>
      </c>
      <c r="H5" s="41" t="inlineStr">
        <is>
          <t>Không bao giờ xuống tầng thấp; chỉ tên lửa tầm xa và pháo điện từ với tới; phá 3 gương phụ thì đòn yếu đi</t>
        </is>
      </c>
      <c r="I5" s="41" t="inlineStr">
        <is>
          <t>Gương quỹ đạo Znamya (Nga, thử nghiệm 1993)</t>
        </is>
      </c>
      <c r="J5" s="41" t="inlineStr">
        <is>
          <t>Ace Combat 5 (SOLG), C&amp;C (Ion Cannon)</t>
        </is>
      </c>
      <c r="K5" s="41" t="inlineStr">
        <is>
          <t>Vòng gương lục giác lớn quanh lõi trạm, pin mặt trời dài</t>
        </is>
      </c>
      <c r="L5" s="41" t="inlineStr">
        <is>
          <t>Theo mùa: boss chủ lực là trùm của mùa; mini boss là sự kiện tuần</t>
        </is>
      </c>
    </row>
    <row r="6" ht="21.75" customHeight="1" s="32">
      <c r="A6" s="39" t="inlineStr">
        <is>
          <t>Stymphalos · Bầy UAV phản lực</t>
        </is>
      </c>
      <c r="B6" s="39" t="inlineStr">
        <is>
          <t>Mini</t>
        </is>
      </c>
      <c r="C6" s="39" t="inlineStr">
        <is>
          <t>Mùa không quân</t>
        </is>
      </c>
      <c r="D6" s="42" t="n">
        <v>11000</v>
      </c>
      <c r="E6" s="42" t="n">
        <v>320</v>
      </c>
      <c r="F6" s="39" t="inlineStr">
        <is>
          <t>Bầy 8 UAV phản lực nhỏ, mỗi chiếc 1.300 máu, bắn tên lửa nhỏ</t>
        </is>
      </c>
      <c r="G6" s="39" t="inlineStr">
        <is>
          <t>Không có (mini boss)</t>
        </is>
      </c>
      <c r="H6" s="39" t="inlineStr">
        <is>
          <t>Không có thân chính: phải hạ hết cả bầy; bầy tản ra khi bị pháo nổ trên không bắn</t>
        </is>
      </c>
      <c r="I6" s="39" t="inlineStr">
        <is>
          <t>Loyal Wingman (MQ-28, XQ-58)</t>
        </is>
      </c>
      <c r="J6" s="39" t="inlineStr">
        <is>
          <t>Mechabellum (Wasp), Ace Combat</t>
        </is>
      </c>
      <c r="K6" s="39" t="inlineStr">
        <is>
          <t>8 drone cánh tam giác bay theo đội hình chữ V</t>
        </is>
      </c>
      <c r="L6" s="39" t="inlineStr">
        <is>
          <t>Theo mùa: boss chủ lực là trùm của mùa; mini boss là sự kiện tuần</t>
        </is>
      </c>
    </row>
    <row r="7" ht="15" customHeight="1" s="32">
      <c r="A7" s="41" t="inlineStr">
        <is>
          <t>Nyx · Tàu khu trục tàng hình</t>
        </is>
      </c>
      <c r="B7" s="41" t="inlineStr">
        <is>
          <t>Mini</t>
        </is>
      </c>
      <c r="C7" s="41" t="inlineStr">
        <is>
          <t>Mùa hải quân</t>
        </is>
      </c>
      <c r="D7" s="43" t="n">
        <v>10000</v>
      </c>
      <c r="E7" s="43" t="n">
        <v>330</v>
      </c>
      <c r="F7" s="41" t="inlineStr">
        <is>
          <t>Pháo điện từ 1 × 600 mỗi 8 s, 2 CIWS, tên lửa chống hạm</t>
        </is>
      </c>
      <c r="G7" s="41" t="inlineStr">
        <is>
          <t>Không có (mini boss)</t>
        </is>
      </c>
      <c r="H7" s="41" t="inlineStr">
        <is>
          <t>Tàng hình: chỉ lộ khi bắn hoặc khi radar/UAV soi</t>
        </is>
      </c>
      <c r="I7" s="41" t="inlineStr">
        <is>
          <t>Lớp Zumwalt</t>
        </is>
      </c>
      <c r="J7" s="41" t="inlineStr">
        <is>
          <t>World of Warships, Battlefield</t>
        </is>
      </c>
      <c r="K7" s="41" t="inlineStr">
        <is>
          <t>Thân vát ngược "mũi xuyên sóng", thượng tầng hình kim tự tháp</t>
        </is>
      </c>
      <c r="L7" s="41" t="inlineStr">
        <is>
          <t>Theo mùa: boss chủ lực là trùm của mùa; mini boss là sự kiện tuần</t>
        </is>
      </c>
    </row>
    <row r="8" ht="21.75" customHeight="1" s="32">
      <c r="A8" s="39" t="inlineStr">
        <is>
          <t>Cerberus · Đoàn xe ba khung</t>
        </is>
      </c>
      <c r="B8" s="39" t="inlineStr">
        <is>
          <t>Mini</t>
        </is>
      </c>
      <c r="C8" s="39" t="inlineStr">
        <is>
          <t>Mùa đất liền</t>
        </is>
      </c>
      <c r="D8" s="42" t="n">
        <v>11000</v>
      </c>
      <c r="E8" s="42" t="n">
        <v>340</v>
      </c>
      <c r="F8" s="39" t="inlineStr">
        <is>
          <t>3 xe nối nhau: đầu kéo (pháo 125 mm), giữa (phòng không), sau (rốc-két)</t>
        </is>
      </c>
      <c r="G8" s="39" t="inlineStr">
        <is>
          <t>Không có (mini boss)</t>
        </is>
      </c>
      <c r="H8" s="39" t="inlineStr">
        <is>
          <t>Phá xe giữa trước thì hai xe kia mất phòng không; phá đầu kéo thì cả đoàn đứng yên</t>
        </is>
      </c>
      <c r="I8" s="39" t="inlineStr">
        <is>
          <t>Đoàn xe tải quân sự nối rơ-moóc</t>
        </is>
      </c>
      <c r="J8" s="39" t="inlineStr">
        <is>
          <t>Mad Max, C&amp;C (xe hộ tống)</t>
        </is>
      </c>
      <c r="K8" s="39" t="inlineStr">
        <is>
          <t>Ba xe bánh lớn nối bằng khớp, mỗi xe một vũ khí</t>
        </is>
      </c>
      <c r="L8" s="39" t="inlineStr">
        <is>
          <t>Theo mùa: boss chủ lực là trùm của mùa; mini boss là sự kiện tuần</t>
        </is>
      </c>
    </row>
    <row r="9" ht="21.75" customHeight="1" s="32">
      <c r="A9" s="41" t="inlineStr">
        <is>
          <t>Hydra · Tàu ngầm mang drone</t>
        </is>
      </c>
      <c r="B9" s="41" t="inlineStr">
        <is>
          <t>Mini</t>
        </is>
      </c>
      <c r="C9" s="41" t="inlineStr">
        <is>
          <t>Mùa hải quân</t>
        </is>
      </c>
      <c r="D9" s="43" t="n">
        <v>11500</v>
      </c>
      <c r="E9" s="43" t="n">
        <v>300</v>
      </c>
      <c r="F9" s="41" t="inlineStr">
        <is>
          <t>Nổi lên thả 6 drone FPV, AK-630</t>
        </is>
      </c>
      <c r="G9" s="41" t="inlineStr">
        <is>
          <t>Không có (mini boss)</t>
        </is>
      </c>
      <c r="H9" s="41" t="inlineStr">
        <is>
          <t>Lặn/nổi như Typhon nhưng nhanh hơn; chỉ bắn được khi nổi</t>
        </is>
      </c>
      <c r="I9" s="41" t="inlineStr">
        <is>
          <t>Tàu ngầm mang UUV/drone (khái niệm)</t>
        </is>
      </c>
      <c r="J9" s="41" t="inlineStr">
        <is>
          <t>Battlestations: Pacific</t>
        </is>
      </c>
      <c r="K9" s="41" t="inlineStr">
        <is>
          <t>Tàu ngầm nhỏ hơn Typhon, có ống phóng dọc trên lưng</t>
        </is>
      </c>
      <c r="L9" s="41" t="inlineStr">
        <is>
          <t>Theo mùa: boss chủ lực là trùm của mùa; mini boss là sự kiện tuần</t>
        </is>
      </c>
    </row>
  </sheetData>
  <autoFilter ref="A1:L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1" min="1" max="1"/>
    <col width="12" customWidth="1" style="31" min="2" max="2"/>
    <col width="10" customWidth="1" style="31" min="3" max="3"/>
    <col width="90" customWidth="1" style="31" min="4" max="4"/>
  </cols>
  <sheetData>
    <row r="1" ht="42" customHeight="1" s="32">
      <c r="A1" s="37" t="inlineStr">
        <is>
          <t>Thông số</t>
        </is>
      </c>
      <c r="B1" s="37" t="inlineStr">
        <is>
          <t>Giá trị</t>
        </is>
      </c>
      <c r="C1" s="37" t="inlineStr">
        <is>
          <t>Đơn vị</t>
        </is>
      </c>
      <c r="D1" s="37" t="inlineStr">
        <is>
          <t>Ghi chú</t>
        </is>
      </c>
    </row>
    <row r="2" ht="15" customHeight="1" s="32">
      <c r="A2" s="39" t="inlineStr">
        <is>
          <t>Map thường (cạnh)</t>
        </is>
      </c>
      <c r="B2" s="42" t="n">
        <v>300</v>
      </c>
      <c r="C2" s="39" t="inlineStr">
        <is>
          <t>m</t>
        </is>
      </c>
      <c r="D2" s="39" t="inlineStr">
        <is>
          <t>Giữ cứ điểm, Tử chiến, Vua đồi, Công phá, Sinh tồn, Săn trùm</t>
        </is>
      </c>
    </row>
    <row r="3" ht="15" customHeight="1" s="32">
      <c r="A3" s="41" t="inlineStr">
        <is>
          <t>Map dài (chiều dài)</t>
        </is>
      </c>
      <c r="B3" s="43" t="n">
        <v>475</v>
      </c>
      <c r="C3" s="41" t="inlineStr">
        <is>
          <t>m</t>
        </is>
      </c>
      <c r="D3" s="41" t="inlineStr">
        <is>
          <t>Công thành, Phòng thủ, Vô tận, Pháo đài tuần (450–500 m)</t>
        </is>
      </c>
    </row>
    <row r="4" ht="15" customHeight="1" s="32">
      <c r="A4" s="39" t="inlineStr">
        <is>
          <t>Tỷ lệ kích thước xe mặt đất</t>
        </is>
      </c>
      <c r="B4" s="42" t="n">
        <v>0.8</v>
      </c>
      <c r="C4" s="39" t="inlineStr">
        <is>
          <t>× thật</t>
        </is>
      </c>
      <c r="D4" s="39" t="inlineStr">
        <is>
          <t>Trung vị hiện tại ~0,82; dùng chung cho mọi xe mặt đất</t>
        </is>
      </c>
    </row>
    <row r="5" ht="15" customHeight="1" s="32">
      <c r="A5" s="41" t="inlineStr">
        <is>
          <t>Tỷ lệ kích thước máy bay, trực thăng</t>
        </is>
      </c>
      <c r="B5" s="43" t="n">
        <v>0.4</v>
      </c>
      <c r="C5" s="41" t="inlineStr">
        <is>
          <t>× thật</t>
        </is>
      </c>
      <c r="D5" s="41" t="inlineStr">
        <is>
          <t>Trung vị hiện tại ~0,38; máy bay nhỏ hơn để không che map</t>
        </is>
      </c>
    </row>
    <row r="6" ht="15" customHeight="1" s="32">
      <c r="A6" s="39" t="inlineStr">
        <is>
          <t>Hệ số tốc độ xe xích</t>
        </is>
      </c>
      <c r="B6" s="42" t="n">
        <v>0.33</v>
      </c>
      <c r="C6" s="39" t="inlineStr">
        <is>
          <t>× tốc độ thật</t>
        </is>
      </c>
      <c r="D6" s="39" t="inlineStr">
        <is>
          <t>Tăng chủ lực 68 km/h ≈ 6,2 m/s</t>
        </is>
      </c>
    </row>
    <row r="7" ht="15" customHeight="1" s="32">
      <c r="A7" s="41" t="inlineStr">
        <is>
          <t>Hệ số tốc độ xe bánh</t>
        </is>
      </c>
      <c r="B7" s="43" t="n">
        <v>0.4</v>
      </c>
      <c r="C7" s="41" t="inlineStr">
        <is>
          <t>× tốc độ thật</t>
        </is>
      </c>
      <c r="D7" s="41" t="inlineStr">
        <is>
          <t>Xe bánh chạy nhanh hơn xe xích rõ rệt</t>
        </is>
      </c>
    </row>
    <row r="8" ht="15" customHeight="1" s="32">
      <c r="A8" s="39" t="inlineStr">
        <is>
          <t>Hệ số tốc độ trực thăng</t>
        </is>
      </c>
      <c r="B8" s="42" t="n">
        <v>0.17</v>
      </c>
      <c r="C8" s="39" t="inlineStr">
        <is>
          <t>× tốc độ thật</t>
        </is>
      </c>
      <c r="D8" s="39" t="inlineStr">
        <is>
          <t>Apache 265 km/h ≈ 12,5 m/s</t>
        </is>
      </c>
    </row>
    <row r="9" ht="15" customHeight="1" s="32">
      <c r="A9" s="41" t="inlineStr">
        <is>
          <t>Hệ số tốc độ máy bay</t>
        </is>
      </c>
      <c r="B9" s="43" t="n">
        <v>0.16</v>
      </c>
      <c r="C9" s="41" t="inlineStr">
        <is>
          <t>× tốc độ thật</t>
        </is>
      </c>
      <c r="D9" s="41" t="inlineStr">
        <is>
          <t>Su-27 900 km/h ≈ 40 m/s</t>
        </is>
      </c>
    </row>
    <row r="10" ht="15" customHeight="1" s="32">
      <c r="A10" s="39" t="inlineStr">
        <is>
          <t>Tầm pháo tăng trong game</t>
        </is>
      </c>
      <c r="B10" s="42" t="n">
        <v>34</v>
      </c>
      <c r="C10" s="39" t="inlineStr">
        <is>
          <t>m</t>
        </is>
      </c>
      <c r="D10" s="39" t="inlineStr">
        <is>
          <t>Ngoài đời ~2.500 m</t>
        </is>
      </c>
    </row>
    <row r="11" ht="15" customHeight="1" s="32">
      <c r="A11" s="41" t="inlineStr">
        <is>
          <t>Tỷ lệ nén tầm (pháo tăng)</t>
        </is>
      </c>
      <c r="B11" s="41">
        <f>2500/B10</f>
        <v/>
      </c>
      <c r="C11" s="41" t="inlineStr">
        <is>
          <t>lần</t>
        </is>
      </c>
      <c r="D11" s="41" t="inlineStr">
        <is>
          <t>Tầm bị nén rất mạnh so với kích thước (0,8×): khoảng cách giữa hai xe tăng đấu nhau chỉ ~5 thân xe</t>
        </is>
      </c>
    </row>
    <row r="12" ht="15" customHeight="1" s="32">
      <c r="A12" s="39" t="inlineStr">
        <is>
          <t>Tăng chủ lực chạy hết map thường</t>
        </is>
      </c>
      <c r="B12" s="39">
        <f>B2/6</f>
        <v/>
      </c>
      <c r="C12" s="39" t="inlineStr">
        <is>
          <t>s</t>
        </is>
      </c>
      <c r="D12" s="39" t="inlineStr">
        <is>
          <t>Tốc độ 6 m/s</t>
        </is>
      </c>
    </row>
    <row r="13" ht="15" customHeight="1" s="32">
      <c r="A13" s="41" t="inlineStr">
        <is>
          <t>Tiêm kích bay hết map thường</t>
        </is>
      </c>
      <c r="B13" s="41">
        <f>B2/40</f>
        <v/>
      </c>
      <c r="C13" s="41" t="inlineStr">
        <is>
          <t>s</t>
        </is>
      </c>
      <c r="D13" s="41" t="inlineStr">
        <is>
          <t>Tốc độ 40 m/s</t>
        </is>
      </c>
    </row>
    <row r="14" ht="15" customHeight="1" s="32">
      <c r="A14" s="39" t="inlineStr">
        <is>
          <t>Tên lửa phòng không cần nhanh hơn tiêm kích</t>
        </is>
      </c>
      <c r="B14" s="39">
        <f>40*1.3</f>
        <v/>
      </c>
      <c r="C14" s="39" t="inlineStr">
        <is>
          <t>m/s</t>
        </is>
      </c>
      <c r="D14" s="39" t="inlineStr">
        <is>
          <t>Tối thiểu 1,3 lần mục tiêu để bắt kịp</t>
        </is>
      </c>
    </row>
    <row r="15" ht="42.75" customHeight="1" s="32">
      <c r="A15" s="41" t="inlineStr">
        <is>
          <t>Kết luận</t>
        </is>
      </c>
      <c r="B15" s="41" t="n"/>
      <c r="C15" s="41" t="n"/>
      <c r="D15" s="41" t="inlineStr">
        <is>
          <t>Không thể theo tầm thật (sẽ vượt cả map). Nguyên tắc: kích thước theo tỷ lệ cố định; tốc độ theo hệ số từng loại; tầm và tầm nhìn giữ trong khoảng 15–180 m, sắp theo thứ tự thật (súng máy &lt; pháo tự động &lt; pháo tăng &lt; tên lửa chống tăng &lt; cối &lt; lựu pháo &lt; pháo phản lực &lt; tên lửa); tên lửa phòng không nhanh hơn mục tiêu; thời gian bay 0,6–2 s cho tên lửa thường.</t>
        </is>
      </c>
    </row>
  </sheetData>
  <autoFilter ref="A1:D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1" min="1" max="1"/>
    <col width="150" customWidth="1" style="31" min="2" max="2"/>
  </cols>
  <sheetData>
    <row r="1" ht="42" customHeight="1" s="32">
      <c r="A1" s="37" t="inlineStr">
        <is>
          <t>Mục</t>
        </is>
      </c>
      <c r="B1" s="37" t="inlineStr">
        <is>
          <t>Hướng dẫn cho agent dựng model (để ra sản phẩm chất lượng cao)</t>
        </is>
      </c>
    </row>
    <row r="2" ht="15" customHeight="1" s="32">
      <c r="A2" s="39" t="inlineStr">
        <is>
          <t>Mục tiêu</t>
        </is>
      </c>
      <c r="B2" s="39" t="inlineStr">
        <is>
          <t>Mỗi xe, tháp, boss phải nhận ra được ngay ở zoom mặc định trên điện thoại (camera chéo 45–60°), nhìn giống khí tài thật đủ để người chơi nhận ra loại, nhưng không phải bản sao có thương hiệu.</t>
        </is>
      </c>
    </row>
    <row r="3" ht="32.25" customHeight="1" s="32">
      <c r="A3" s="41" t="inlineStr">
        <is>
          <t>Quy trình</t>
        </is>
      </c>
      <c r="B3" s="41" t="inlineStr">
        <is>
          <t>1) Đọc cột "Hình dạng (cho AI vẽ)" và kích thước đề xuất. 2) Tìm ảnh tham chiếu của mẫu thật ở 4 góc (trước, bên, trên, 3/4). 3) Chặn khối lớn (thân, tháp, nòng, bánh/xích) đúng tỷ lệ trước, chưa thêm chi tiết. 4) Render thử ở camera trong game, so bóng (silhouette) với các xe cùng lớp. 5) Mới thêm chi tiết vừa (cửa, ống khói, hộp đạn, ăng-ten). 6) Làm bản vỡ và bản LOD. 7) Chụp ảnh so sánh trước/sau lưu vào docs/ui-screens/.</t>
        </is>
      </c>
    </row>
    <row r="4" ht="21.75" customHeight="1" s="32">
      <c r="A4" s="39" t="inlineStr">
        <is>
          <t>Bóng trước, chi tiết sau</t>
        </is>
      </c>
      <c r="B4" s="39" t="inlineStr">
        <is>
          <t>Người chơi nhận ra xe nhờ bóng nhìn từ trên xuống. Mỗi xe phải có 1–2 đặc điểm nhận dạng lớn nêu trong cột Hình dạng (ví dụ nòng rất dài, 2 nòng song song, đĩa radar, mái rùa). Nếu tô đen toàn bộ model mà vẫn nhận ra được xe là đạt.</t>
        </is>
      </c>
    </row>
    <row r="5" ht="15" customHeight="1" s="32">
      <c r="A5" s="41" t="inlineStr">
        <is>
          <t>Phóng đại có chủ đích</t>
        </is>
      </c>
      <c r="B5" s="41" t="inlineStr">
        <is>
          <t>Phóng đại khoảng 10–20% các bộ phận nhận dạng: nòng pháo, tháp, bệ tên lửa, đĩa radar, rô-to. Không phóng đại thân xe (giữ đúng tỷ lệ 0,8 × thật cho mặt đất, 0,4 × cho máy bay).</t>
        </is>
      </c>
    </row>
    <row r="6" ht="21.75" customHeight="1" s="32">
      <c r="A6" s="39" t="inlineStr">
        <is>
          <t>Tỷ lệ</t>
        </is>
      </c>
      <c r="B6" s="39" t="inlineStr">
        <is>
          <t>Mặt đất 0,8 × thật; máy bay, trực thăng 0,4 × thật; đạn phóng từ mặt đất 0,8 ×, từ máy bay 0,5 ×, tối thiểu 0,8 m; boss ×1,3–1,5 so với mẫu gốc. Trong cùng lớp, thứ tự to nhỏ phải đúng như ngoài đời (tăng chủ lực dài hơn xe bộ binh; Su-27 dài hơn Su-25; tăng hai nòng to hơn tăng chủ lực).</t>
        </is>
      </c>
    </row>
    <row r="7" ht="15" customHeight="1" s="32">
      <c r="A7" s="41" t="inlineStr">
        <is>
          <t>Chi tiết nhỏ</t>
        </is>
      </c>
      <c r="B7" s="41" t="inlineStr">
        <is>
          <t>Không làm chi tiết mỏng dưới 0,1 m (dây, lan can mảnh) vì sẽ nhấp nháy trên điện thoại; thay bằng texture. Vát cạnh (bevel) nhẹ mọi cạnh lớn để bắt sáng.</t>
        </is>
      </c>
    </row>
    <row r="8" ht="21.75" customHeight="1" s="32">
      <c r="A8" s="39" t="inlineStr">
        <is>
          <t>Ngân sách</t>
        </is>
      </c>
      <c r="B8" s="39" t="inlineStr">
        <is>
          <t>Khởi điểm: xe nhẹ 1.500–3.000 tam giác; xe tăng 3.000–5.000; máy bay 2.000–4.000; tháp 1.500–3.500; boss 15.000–40.000 (chia bộ phận). LOD1 khoảng 50%, LOD2 khoảng 20%. Texture 512–1024 px, dùng chung atlas theo phe.</t>
        </is>
      </c>
    </row>
    <row r="9" ht="21.75" customHeight="1" s="32">
      <c r="A9" s="41" t="inlineStr">
        <is>
          <t>Vật liệu và màu</t>
        </is>
      </c>
      <c r="B9" s="41" t="inlineStr">
        <is>
          <t>PBR đơn giản (màu nền, độ nhám, kim loại). Màu nền ngụy trang theo phe và biome; vạch màu phe trên nóc và hai hông (theo token giao diện) nhìn rõ ở đồ họa Thấp. Bẩn và trầy nhẹ ở mép, bánh xích, đáy xe. Không dùng phù hiệu, cờ, logo quốc gia hay nhà sản xuất thật.</t>
        </is>
      </c>
    </row>
    <row r="10" ht="15" customHeight="1" s="32">
      <c r="A10" s="39" t="inlineStr">
        <is>
          <t>Điểm gắn</t>
        </is>
      </c>
      <c r="B10" s="39" t="inlineStr">
        <is>
          <t>Đặt và đặt tên điểm gắn cho mọi vũ khí (tâm xoay tháp, đầu nòng, điểm phóng tên lửa), điểm khói xả, điểm bị cháy, điểm thả dù; khớp với dữ liệu vũ khí để hiệu ứng bắn ra đúng chỗ.</t>
        </is>
      </c>
    </row>
    <row r="11" ht="15" customHeight="1" s="32">
      <c r="A11" s="41" t="inlineStr">
        <is>
          <t>Bộ phận boss</t>
        </is>
      </c>
      <c r="B11" s="41" t="inlineStr">
        <is>
          <t>Mỗi bộ phận phá được là một khối riêng có bản nguyên và bản vỡ; bộ phận quan trọng (tháp chính, động cơ, cửa xưởng) phải to và dễ nhắm. Boss có vạch màu và ký hiệu của tướng sở hữu.</t>
        </is>
      </c>
    </row>
    <row r="12" ht="15" customHeight="1" s="32">
      <c r="A12" s="39" t="inlineStr">
        <is>
          <t>Nhánh và hạng</t>
        </is>
      </c>
      <c r="B12" s="39" t="inlineStr">
        <is>
          <t>Hai nhánh hạng 7 của mỗi tháp phải khác nhau về hình dạng mô-đun vũ khí (xem cột Hình dạng ở sheet Công trình). Hạng 1–6 thêm chi tiết nhỏ theo hạng (vạch hạng, ốp giáp ở hạng 3 và 5).</t>
        </is>
      </c>
    </row>
    <row r="13" ht="21.75" customHeight="1" s="32">
      <c r="A13" s="41" t="inlineStr">
        <is>
          <t>Kiểm tra chất lượng</t>
        </is>
      </c>
      <c r="B13" s="41" t="inlineStr">
        <is>
          <t>Trước khi nộp: (1) ảnh bóng đen từ trên xuống nhận ra được; (2) so kích thước với xe cùng lớp đúng thứ tự; (3) không có mặt lật, lỗ hở, texture kéo giãn; (4) đo số tam giác trong ngân sách; (5) chạy test xe kẹt sau khi đổi vùng va chạm; (6) chụp ảnh ở đồ họa Thấp và Cao.</t>
        </is>
      </c>
    </row>
    <row r="14" ht="32.25" customHeight="1" s="32">
      <c r="A14" s="39" t="inlineStr">
        <is>
          <t>Mẫu prompt cho agent</t>
        </is>
      </c>
      <c r="B14" s="39" t="inlineStr">
        <is>
          <t>"Dựng model &lt;tên&gt; cho Machine Brigade. Hình dạng: &lt;cột Hình dạng&gt;. Kích thước: &lt;dài × rộng × cao&gt; m. Tham chiếu: &lt;mẫu thật&gt;. Đặc điểm nhận dạng phải nhìn rõ từ camera chéo 50°: &lt;1–2 đặc điểm&gt;. Phóng đại 15% nòng/tháp. Ngân sách &lt;n&gt; tam giác, LOD1/LOD2. Vật liệu PBR, atlas phe &lt;tên phe&gt;, vạch màu phe trên nóc và hai hông. Đặt điểm gắn: &lt;danh sách&gt;. Làm bản vỡ. Không dùng phù hiệu thật. Render ảnh so sánh với &lt;xe cùng lớp&gt; và lưu vào docs/ui-screens/."</t>
        </is>
      </c>
    </row>
  </sheetData>
  <autoFilter ref="A1:B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2026-09-30T03:36:42Z</dcterms:created>
  <dcterms:modified xsi:type="dcterms:W3CDTF">2026-10-01T13:27:41Z</dcterms:modified>
  <cp:revision>0</cp:revision>
</cp:coreProperties>
</file>