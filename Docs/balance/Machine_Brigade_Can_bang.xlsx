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ục lục" sheetId="1" state="visible" r:id="rId1"/>
    <sheet name="Tổng quan" sheetId="2" state="visible" r:id="rId2"/>
    <sheet name="Cốt truyện" sheetId="3" state="visible" r:id="rId3"/>
    <sheet name="Thay đổi chi tiết" sheetId="4" state="visible" r:id="rId4"/>
    <sheet name="Kiểm tra từng mục" sheetId="5" state="visible" r:id="rId5"/>
    <sheet name="Cân bằng lần 2" sheetId="6" state="visible" r:id="rId6"/>
    <sheet name="Việc cho agent" sheetId="7" state="visible" r:id="rId7"/>
    <sheet name="Phương tiện" sheetId="8" state="visible" r:id="rId8"/>
    <sheet name="Công trình" sheetId="9" state="visible" r:id="rId9"/>
    <sheet name="Boss" sheetId="10" state="visible" r:id="rId10"/>
    <sheet name="Boss đề xuất" sheetId="11" state="visible" r:id="rId11"/>
    <sheet name="Tên đề xuất" sheetId="12" state="visible" r:id="rId12"/>
    <sheet name="Kích thước – giá" sheetId="13" state="visible" r:id="rId13"/>
    <sheet name="Vũ khí đề xuất" sheetId="14" state="visible" r:id="rId14"/>
    <sheet name="Đơn vị – vũ khí" sheetId="15" state="visible" r:id="rId15"/>
    <sheet name="Tổng DPS đơn vị" sheetId="16" state="visible" r:id="rId16"/>
    <sheet name="Tốc độ tên lửa" sheetId="17" state="visible" r:id="rId17"/>
    <sheet name="Kích thước đạn" sheetId="18" state="visible" r:id="rId18"/>
    <sheet name="Hệ số" sheetId="19" state="visible" r:id="rId19"/>
    <sheet name="Giá CP" sheetId="20" state="visible" r:id="rId20"/>
    <sheet name="Thẻ hỗ trợ" sheetId="21" state="visible" r:id="rId21"/>
    <sheet name="Thẻ hỗ trợ mới" sheetId="22" state="visible" r:id="rId22"/>
    <sheet name="Đề xuất thêm" sheetId="23" state="visible" r:id="rId23"/>
    <sheet name="Công trình mới" sheetId="24" state="visible" r:id="rId24"/>
    <sheet name="Tên lửa &amp; bom mới" sheetId="25" state="visible" r:id="rId25"/>
    <sheet name="Boss mới" sheetId="26" state="visible" r:id="rId26"/>
    <sheet name="Tỷ lệ map" sheetId="27" state="visible" r:id="rId27"/>
    <sheet name="Hướng dẫn vẽ" sheetId="28" state="visible" r:id="rId28"/>
  </sheets>
  <definedNames>
    <definedName name="_xlnm._FilterDatabase" localSheetId="2" hidden="1">'Cốt truyện'!$A$1:$C$35</definedName>
    <definedName name="_xlnm._FilterDatabase" localSheetId="3" hidden="1">'Thay đổi chi tiết'!$A$1:$H$213</definedName>
    <definedName name="_xlnm._FilterDatabase" localSheetId="4" hidden="1">'Kiểm tra từng mục'!$A$1:$H$1291</definedName>
    <definedName name="_xlnm._FilterDatabase" localSheetId="5" hidden="1">'Cân bằng lần 2'!$A$1:$K$57</definedName>
    <definedName name="_xlnm._FilterDatabase" localSheetId="6" hidden="1">'Việc cho agent'!$A$1:$F$18</definedName>
    <definedName name="_xlnm._FilterDatabase" localSheetId="7" hidden="1">'Phương tiện'!$A$1:$AJ$59</definedName>
    <definedName name="_xlnm._FilterDatabase" localSheetId="8" hidden="1">'Công trình'!$A$1:$T$62</definedName>
    <definedName name="_xlnm._FilterDatabase" localSheetId="9" hidden="1">'Boss'!$A$1:$W$34</definedName>
    <definedName name="_xlnm._FilterDatabase" localSheetId="10" hidden="1">'Boss đề xuất'!$A$1:$L$34</definedName>
    <definedName name="_xlnm._FilterDatabase" localSheetId="11" hidden="1">'Tên đề xuất'!$A$1:$F$65</definedName>
    <definedName name="_xlnm._FilterDatabase" localSheetId="12" hidden="1">'Kích thước – giá'!$A$1:$J$59</definedName>
    <definedName name="_xlnm._FilterDatabase" localSheetId="13" hidden="1">'Vũ khí đề xuất'!$A$1:$AO$155</definedName>
    <definedName name="_xlnm._FilterDatabase" localSheetId="14" hidden="1">'Đơn vị – vũ khí'!$A$1:$M$311</definedName>
    <definedName name="_xlnm._FilterDatabase" localSheetId="15" hidden="1">'Tổng DPS đơn vị'!$A$1:$M$129</definedName>
    <definedName name="_xlnm._FilterDatabase" localSheetId="16" hidden="1">'Tốc độ tên lửa'!$A$1:$L$59</definedName>
    <definedName name="_xlnm._FilterDatabase" localSheetId="17" hidden="1">'Kích thước đạn'!$A$1:$L$44</definedName>
    <definedName name="_xlnm._FilterDatabase" localSheetId="18" hidden="1">'Hệ số'!$A$1:$D$17</definedName>
    <definedName name="_xlnm._FilterDatabase" localSheetId="19" hidden="1">'Giá CP'!$A$1:$L$59</definedName>
    <definedName name="_xlnm._FilterDatabase" localSheetId="20" hidden="1">'Thẻ hỗ trợ'!$A$1:$E$7</definedName>
    <definedName name="_xlnm._FilterDatabase" localSheetId="21" hidden="1">'Thẻ hỗ trợ mới'!$A$1:$K$12</definedName>
    <definedName name="_xlnm._FilterDatabase" localSheetId="22" hidden="1">'Đề xuất thêm'!$A$1:$L$57</definedName>
    <definedName name="_xlnm._FilterDatabase" localSheetId="23" hidden="1">'Công trình mới'!$A$1:$Z$15</definedName>
    <definedName name="_xlnm._FilterDatabase" localSheetId="24" hidden="1">'Tên lửa &amp; bom mới'!$A$1:$S$15</definedName>
    <definedName name="_xlnm._FilterDatabase" localSheetId="25" hidden="1">'Boss mới'!$A$1:$L$9</definedName>
    <definedName name="_xlnm._FilterDatabase" localSheetId="26" hidden="1">'Tỷ lệ map'!$A$1:$D$15</definedName>
    <definedName name="_xlnm._FilterDatabase" localSheetId="27" hidden="1">'Hướng dẫn vẽ'!$A$1:$B$14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sz val="10"/>
    </font>
    <font>
      <name val="Arial"/>
      <charset val="1"/>
      <family val="0"/>
      <color rgb="FF1F5F8B"/>
      <sz val="10"/>
      <u val="single"/>
    </font>
    <font>
      <name val="Arial"/>
      <charset val="1"/>
      <family val="0"/>
      <sz val="10"/>
    </font>
    <font>
      <name val="Arial"/>
      <charset val="1"/>
      <family val="0"/>
      <b val="1"/>
      <sz val="9"/>
    </font>
    <font>
      <name val="Arial"/>
      <charset val="1"/>
      <family val="0"/>
      <sz val="9"/>
    </font>
  </fonts>
  <fills count="10">
    <fill>
      <patternFill/>
    </fill>
    <fill>
      <patternFill patternType="gray125"/>
    </fill>
    <fill>
      <patternFill patternType="solid">
        <fgColor rgb="FF1F3A4D"/>
        <bgColor rgb="FF003366"/>
      </patternFill>
    </fill>
    <fill>
      <patternFill patternType="solid">
        <fgColor rgb="FFF4F6F8"/>
        <bgColor rgb="FFFFFFFF"/>
      </patternFill>
    </fill>
    <fill>
      <patternFill patternType="solid">
        <fgColor rgb="FF5B6770"/>
        <bgColor rgb="FF808080"/>
      </patternFill>
    </fill>
    <fill>
      <patternFill patternType="solid">
        <fgColor rgb="FF1F5F8B"/>
        <bgColor rgb="FF008080"/>
      </patternFill>
    </fill>
    <fill>
      <patternFill patternType="solid">
        <fgColor rgb="FF6B4E16"/>
        <bgColor rgb="FF5B6770"/>
      </patternFill>
    </fill>
    <fill>
      <patternFill patternType="solid">
        <fgColor rgb="FFF8CBAD"/>
        <bgColor rgb="FFFFE699"/>
      </patternFill>
    </fill>
    <fill>
      <patternFill patternType="solid">
        <fgColor rgb="FFFFE699"/>
        <bgColor rgb="FFF8CBAD"/>
      </patternFill>
    </fill>
    <fill>
      <patternFill patternType="solid">
        <fgColor rgb="FFE2EFDA"/>
        <bgColor rgb="FFF4F6F8"/>
      </patternFill>
    </fill>
  </fills>
  <borders count="2">
    <border>
      <left/>
      <right/>
      <top/>
      <bottom/>
      <diagonal/>
    </border>
    <border>
      <left style="thin">
        <color rgb="FFC9CED3"/>
      </left>
      <right style="thin">
        <color rgb="FFC9CED3"/>
      </right>
      <top style="thin">
        <color rgb="FFC9CED3"/>
      </top>
      <bottom style="thin">
        <color rgb="FFC9CE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0" borderId="1" applyAlignment="1" pivotButton="0" quotePrefix="0" xfId="0">
      <alignment horizontal="general" vertical="center" wrapText="1"/>
    </xf>
    <xf numFmtId="0" fontId="6" fillId="0" borderId="1" applyAlignment="1" pivotButton="0" quotePrefix="0" xfId="0">
      <alignment horizontal="general" vertical="center" wrapText="1"/>
    </xf>
    <xf numFmtId="0" fontId="7" fillId="0" borderId="1" applyAlignment="1" pivotButton="0" quotePrefix="0" xfId="0">
      <alignment horizontal="general" vertical="center" wrapText="1"/>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8" fillId="0" borderId="1" applyAlignment="1" pivotButton="0" quotePrefix="0" xfId="0">
      <alignment horizontal="left" vertical="top" wrapText="1"/>
    </xf>
    <xf numFmtId="0" fontId="9" fillId="0" borderId="1" applyAlignment="1" pivotButton="0" quotePrefix="0" xfId="0">
      <alignment horizontal="left" vertical="top" wrapText="1"/>
    </xf>
    <xf numFmtId="0" fontId="9" fillId="3" borderId="1" applyAlignment="1" pivotButton="0" quotePrefix="0" xfId="0">
      <alignment horizontal="center" vertical="top" wrapText="1"/>
    </xf>
    <xf numFmtId="0" fontId="9" fillId="0" borderId="1" applyAlignment="1" pivotButton="0" quotePrefix="0" xfId="0">
      <alignment horizontal="center" vertical="top"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9" fillId="7" borderId="1" applyAlignment="1" pivotButton="0" quotePrefix="0" xfId="0">
      <alignment horizontal="left" vertical="top" wrapText="1"/>
    </xf>
    <xf numFmtId="0" fontId="9" fillId="8" borderId="1" applyAlignment="1" pivotButton="0" quotePrefix="0" xfId="0">
      <alignment horizontal="left" vertical="top" wrapText="1"/>
    </xf>
    <xf numFmtId="0" fontId="9" fillId="9" borderId="1" applyAlignment="1" pivotButton="0" quotePrefix="0" xfId="0">
      <alignment horizontal="left" vertical="top" wrapText="1"/>
    </xf>
    <xf numFmtId="164" fontId="9" fillId="3" borderId="1" applyAlignment="1" pivotButton="0" quotePrefix="0" xfId="0">
      <alignment horizontal="left" vertical="top" wrapText="1"/>
    </xf>
    <xf numFmtId="164" fontId="9" fillId="0" borderId="1" applyAlignment="1" pivotButton="0" quotePrefix="0" xfId="0">
      <alignment horizontal="left" vertical="top" wrapText="1"/>
    </xf>
    <xf numFmtId="164" fontId="9" fillId="3" borderId="1" applyAlignment="1" pivotButton="0" quotePrefix="0" xfId="0">
      <alignment horizontal="center" vertical="top" wrapText="1"/>
    </xf>
    <xf numFmtId="164" fontId="9" fillId="0" borderId="1" applyAlignment="1" pivotButton="0" quotePrefix="0" xfId="0">
      <alignment horizontal="center" vertical="top" wrapText="1"/>
    </xf>
    <xf numFmtId="1" fontId="9" fillId="3" borderId="1" applyAlignment="1" pivotButton="0" quotePrefix="0" xfId="0">
      <alignment horizontal="left" vertical="top" wrapText="1"/>
    </xf>
    <xf numFmtId="1" fontId="9" fillId="0" borderId="1" applyAlignment="1" pivotButton="0" quotePrefix="0" xfId="0">
      <alignment horizontal="left" vertical="top" wrapText="1"/>
    </xf>
    <xf numFmtId="2" fontId="9" fillId="3" borderId="1" applyAlignment="1" pivotButton="0" quotePrefix="0" xfId="0">
      <alignment horizontal="left" vertical="top" wrapText="1"/>
    </xf>
    <xf numFmtId="2" fontId="9" fillId="3" borderId="1" applyAlignment="1" pivotButton="0" quotePrefix="0" xfId="0">
      <alignment horizontal="center" vertical="top" wrapText="1"/>
    </xf>
    <xf numFmtId="2" fontId="9" fillId="0" borderId="1" applyAlignment="1" pivotButton="0" quotePrefix="0" xfId="0">
      <alignment horizontal="left" vertical="top" wrapText="1"/>
    </xf>
    <xf numFmtId="2" fontId="9" fillId="0" borderId="1" applyAlignment="1" pivotButton="0" quotePrefix="0" xfId="0">
      <alignment horizontal="center" vertical="top" wrapText="1"/>
    </xf>
    <xf numFmtId="9" fontId="9" fillId="3" borderId="1" applyAlignment="1" pivotButton="0" quotePrefix="0" xfId="0">
      <alignment horizontal="left" vertical="top" wrapText="1"/>
    </xf>
    <xf numFmtId="9" fontId="9" fillId="0" borderId="1"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0" borderId="1" applyAlignment="1" pivotButton="0" quotePrefix="0" xfId="0">
      <alignment horizontal="general" vertical="center" wrapText="1"/>
    </xf>
    <xf numFmtId="0" fontId="6" fillId="0" borderId="1" applyAlignment="1" pivotButton="0" quotePrefix="0" xfId="0">
      <alignment horizontal="general" vertical="center" wrapText="1"/>
    </xf>
    <xf numFmtId="0" fontId="7" fillId="0" borderId="1" applyAlignment="1" pivotButton="0" quotePrefix="0" xfId="0">
      <alignment horizontal="general" vertical="center" wrapText="1"/>
    </xf>
    <xf numFmtId="0" fontId="4" fillId="2" borderId="1" applyAlignment="1" pivotButton="0" quotePrefix="0" xfId="0">
      <alignment horizontal="center" vertical="center"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8" fillId="0" borderId="1" applyAlignment="1" pivotButton="0" quotePrefix="0" xfId="0">
      <alignment horizontal="left" vertical="top" wrapText="1"/>
    </xf>
    <xf numFmtId="0" fontId="9" fillId="0" borderId="1" applyAlignment="1" pivotButton="0" quotePrefix="0" xfId="0">
      <alignment horizontal="left" vertical="top" wrapText="1"/>
    </xf>
    <xf numFmtId="0" fontId="9" fillId="3" borderId="1" applyAlignment="1" pivotButton="0" quotePrefix="0" xfId="0">
      <alignment horizontal="center" vertical="top" wrapText="1"/>
    </xf>
    <xf numFmtId="0" fontId="9" fillId="0" borderId="1" applyAlignment="1" pivotButton="0" quotePrefix="0" xfId="0">
      <alignment horizontal="center" vertical="top"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9" fillId="7" borderId="1" applyAlignment="1" pivotButton="0" quotePrefix="0" xfId="0">
      <alignment horizontal="left" vertical="top" wrapText="1"/>
    </xf>
    <xf numFmtId="0" fontId="9" fillId="8" borderId="1" applyAlignment="1" pivotButton="0" quotePrefix="0" xfId="0">
      <alignment horizontal="left" vertical="top" wrapText="1"/>
    </xf>
    <xf numFmtId="0" fontId="9" fillId="9" borderId="1" applyAlignment="1" pivotButton="0" quotePrefix="0" xfId="0">
      <alignment horizontal="left" vertical="top" wrapText="1"/>
    </xf>
    <xf numFmtId="164" fontId="9" fillId="3" borderId="1" applyAlignment="1" pivotButton="0" quotePrefix="0" xfId="0">
      <alignment horizontal="left" vertical="top" wrapText="1"/>
    </xf>
    <xf numFmtId="164" fontId="9" fillId="0" borderId="1" applyAlignment="1" pivotButton="0" quotePrefix="0" xfId="0">
      <alignment horizontal="left" vertical="top" wrapText="1"/>
    </xf>
    <xf numFmtId="164" fontId="9" fillId="3" borderId="1" applyAlignment="1" pivotButton="0" quotePrefix="0" xfId="0">
      <alignment horizontal="center" vertical="top" wrapText="1"/>
    </xf>
    <xf numFmtId="164" fontId="9" fillId="0" borderId="1" applyAlignment="1" pivotButton="0" quotePrefix="0" xfId="0">
      <alignment horizontal="center" vertical="top" wrapText="1"/>
    </xf>
    <xf numFmtId="1" fontId="9" fillId="3" borderId="1" applyAlignment="1" pivotButton="0" quotePrefix="0" xfId="0">
      <alignment horizontal="left" vertical="top" wrapText="1"/>
    </xf>
    <xf numFmtId="1" fontId="9" fillId="0" borderId="1" applyAlignment="1" pivotButton="0" quotePrefix="0" xfId="0">
      <alignment horizontal="left" vertical="top" wrapText="1"/>
    </xf>
    <xf numFmtId="2" fontId="9" fillId="3" borderId="1" applyAlignment="1" pivotButton="0" quotePrefix="0" xfId="0">
      <alignment horizontal="left" vertical="top" wrapText="1"/>
    </xf>
    <xf numFmtId="2" fontId="9" fillId="3" borderId="1" applyAlignment="1" pivotButton="0" quotePrefix="0" xfId="0">
      <alignment horizontal="center" vertical="top" wrapText="1"/>
    </xf>
    <xf numFmtId="2" fontId="9" fillId="0" borderId="1" applyAlignment="1" pivotButton="0" quotePrefix="0" xfId="0">
      <alignment horizontal="left" vertical="top" wrapText="1"/>
    </xf>
    <xf numFmtId="2" fontId="9" fillId="0" borderId="1" applyAlignment="1" pivotButton="0" quotePrefix="0" xfId="0">
      <alignment horizontal="center" vertical="top" wrapText="1"/>
    </xf>
    <xf numFmtId="9" fontId="9" fillId="3" borderId="1" applyAlignment="1" pivotButton="0" quotePrefix="0" xfId="0">
      <alignment horizontal="left" vertical="top" wrapText="1"/>
    </xf>
    <xf numFmtId="9" fontId="9" fillId="0" borderId="1"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3A4D"/>
          <bgColor rgb="FF000000"/>
        </patternFill>
      </fill>
    </dxf>
    <dxf>
      <fill>
        <patternFill patternType="solid">
          <fgColor rgb="FFF4F6F8"/>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1F5F8B"/>
          <bgColor rgb="FF000000"/>
        </patternFill>
      </fill>
    </dxf>
    <dxf>
      <fill>
        <patternFill patternType="solid">
          <fgColor rgb="FF6B4E16"/>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E6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ED3"/>
      <rgbColor rgb="FF808080"/>
      <rgbColor rgb="FF9999FF"/>
      <rgbColor rgb="FF993366"/>
      <rgbColor rgb="FFF4F6F8"/>
      <rgbColor rgb="FFCCFFFF"/>
      <rgbColor rgb="FF660066"/>
      <rgbColor rgb="FFFF8080"/>
      <rgbColor rgb="FF1F5F8B"/>
      <rgbColor rgb="FFCCCCFF"/>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5B6770"/>
      <rgbColor rgb="FF969696"/>
      <rgbColor rgb="FF003366"/>
      <rgbColor rgb="FF339966"/>
      <rgbColor rgb="FF003300"/>
      <rgbColor rgb="FF333300"/>
      <rgbColor rgb="FF6B4E16"/>
      <rgbColor rgb="FF993366"/>
      <rgbColor rgb="FF333399"/>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Machine_Brigade_Can_bang.xlsx" TargetMode="External" Id="rId1" /><Relationship Type="http://schemas.openxmlformats.org/officeDocument/2006/relationships/hyperlink" Target="Machine_Brigade_Can_bang.xlsx" TargetMode="External" Id="rId2" /><Relationship Type="http://schemas.openxmlformats.org/officeDocument/2006/relationships/hyperlink" Target="Machine_Brigade_Can_bang.xlsx" TargetMode="External" Id="rId3" /><Relationship Type="http://schemas.openxmlformats.org/officeDocument/2006/relationships/hyperlink" Target="Machine_Brigade_Can_bang.xlsx" TargetMode="External" Id="rId4" /><Relationship Type="http://schemas.openxmlformats.org/officeDocument/2006/relationships/hyperlink" Target="Machine_Brigade_Can_bang.xlsx" TargetMode="External" Id="rId5" /><Relationship Type="http://schemas.openxmlformats.org/officeDocument/2006/relationships/hyperlink" Target="Machine_Brigade_Can_bang.xlsx" TargetMode="External" Id="rId6" /><Relationship Type="http://schemas.openxmlformats.org/officeDocument/2006/relationships/hyperlink" Target="Machine_Brigade_Can_bang.xlsx" TargetMode="External" Id="rId7" /><Relationship Type="http://schemas.openxmlformats.org/officeDocument/2006/relationships/hyperlink" Target="Machine_Brigade_Can_bang.xlsx" TargetMode="External" Id="rId8" /><Relationship Type="http://schemas.openxmlformats.org/officeDocument/2006/relationships/hyperlink" Target="Machine_Brigade_Can_bang.xlsx" TargetMode="External" Id="rId9" /><Relationship Type="http://schemas.openxmlformats.org/officeDocument/2006/relationships/hyperlink" Target="Machine_Brigade_Can_bang.xlsx" TargetMode="External" Id="rId10" /><Relationship Type="http://schemas.openxmlformats.org/officeDocument/2006/relationships/hyperlink" Target="Machine_Brigade_Can_bang.xlsx" TargetMode="External" Id="rId11" /><Relationship Type="http://schemas.openxmlformats.org/officeDocument/2006/relationships/hyperlink" Target="Machine_Brigade_Can_bang.xlsx" TargetMode="External" Id="rId12" /><Relationship Type="http://schemas.openxmlformats.org/officeDocument/2006/relationships/hyperlink" Target="Machine_Brigade_Can_bang.xlsx" TargetMode="External" Id="rId13" /><Relationship Type="http://schemas.openxmlformats.org/officeDocument/2006/relationships/hyperlink" Target="Machine_Brigade_Can_bang.xlsx" TargetMode="External" Id="rId14" /><Relationship Type="http://schemas.openxmlformats.org/officeDocument/2006/relationships/hyperlink" Target="Machine_Brigade_Can_bang.xlsx" TargetMode="External" Id="rId15" /><Relationship Type="http://schemas.openxmlformats.org/officeDocument/2006/relationships/hyperlink" Target="Machine_Brigade_Can_bang.xlsx" TargetMode="External" Id="rId16" /><Relationship Type="http://schemas.openxmlformats.org/officeDocument/2006/relationships/hyperlink" Target="Machine_Brigade_Can_bang.xlsx" TargetMode="External" Id="rId17" /><Relationship Type="http://schemas.openxmlformats.org/officeDocument/2006/relationships/hyperlink" Target="Machine_Brigade_Can_bang.xlsx" TargetMode="External" Id="rId18" /><Relationship Type="http://schemas.openxmlformats.org/officeDocument/2006/relationships/hyperlink" Target="Machine_Brigade_Can_bang.xlsx" TargetMode="External" Id="rId19" /><Relationship Type="http://schemas.openxmlformats.org/officeDocument/2006/relationships/hyperlink" Target="Machine_Brigade_Can_bang.xlsx" TargetMode="External" Id="rId20" /><Relationship Type="http://schemas.openxmlformats.org/officeDocument/2006/relationships/hyperlink" Target="Machine_Brigade_Can_bang.xlsx" TargetMode="External" Id="rId21" /><Relationship Type="http://schemas.openxmlformats.org/officeDocument/2006/relationships/hyperlink" Target="Machine_Brigade_Can_bang.xlsx" TargetMode="External" Id="rId22" /><Relationship Type="http://schemas.openxmlformats.org/officeDocument/2006/relationships/hyperlink" Target="Machine_Brigade_Can_bang.xlsx" TargetMode="External" Id="rId23" /><Relationship Type="http://schemas.openxmlformats.org/officeDocument/2006/relationships/hyperlink" Target="Machine_Brigade_Can_bang.xlsx" TargetMode="External" Id="rId24" /><Relationship Type="http://schemas.openxmlformats.org/officeDocument/2006/relationships/hyperlink" Target="Machine_Brigade_Can_bang.xlsx" TargetMode="External" Id="rId25" /><Relationship Type="http://schemas.openxmlformats.org/officeDocument/2006/relationships/hyperlink" Target="Machine_Brigade_Can_bang.xlsx" TargetMode="External" Id="rId26" /><Relationship Type="http://schemas.openxmlformats.org/officeDocument/2006/relationships/hyperlink" Target="Machine_Brigade_Can_bang.xlsx" TargetMode="External" Id="rId27" /></Relationships>
</file>

<file path=xl/worksheets/sheet1.xml><?xml version="1.0" encoding="utf-8"?>
<worksheet xmlns="http://schemas.openxmlformats.org/spreadsheetml/2006/main">
  <sheetPr filterMode="0">
    <outlinePr summaryBelow="1" summaryRight="1"/>
    <pageSetUpPr fitToPage="0"/>
  </sheetPr>
  <dimension ref="A1:C2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31" min="1" max="1"/>
    <col width="24" customWidth="1" style="31" min="2" max="2"/>
    <col width="90" customWidth="1" style="31" min="3" max="3"/>
  </cols>
  <sheetData>
    <row r="1" ht="15" customHeight="1" s="32">
      <c r="A1" s="33" t="inlineStr">
        <is>
          <t>Nhóm</t>
        </is>
      </c>
      <c r="B1" s="33" t="inlineStr">
        <is>
          <t>Sheet</t>
        </is>
      </c>
      <c r="C1" s="33" t="inlineStr">
        <is>
          <t>Nội dung</t>
        </is>
      </c>
    </row>
    <row r="2" ht="15" customHeight="1" s="32">
      <c r="A2" s="34" t="inlineStr">
        <is>
          <t>Bắt đầu</t>
        </is>
      </c>
      <c r="B2" s="35" t="inlineStr">
        <is>
          <t>Tổng quan</t>
        </is>
      </c>
      <c r="C2" s="36" t="inlineStr">
        <is>
          <t>Nguồn, nguyên tắc quyết định, vấn đề chung, thang máu boss</t>
        </is>
      </c>
    </row>
    <row r="3" ht="15" customHeight="1" s="32">
      <c r="A3" s="34" t="inlineStr">
        <is>
          <t>Bắt đầu</t>
        </is>
      </c>
      <c r="B3" s="35" t="inlineStr">
        <is>
          <t>Cốt truyện</t>
        </is>
      </c>
      <c r="C3" s="36" t="inlineStr">
        <is>
          <t>Cốt truyện đầy đủ: bối cảnh, nhân vật, 12 chương, 3 chương xen kẽ, phần kết, móc nối</t>
        </is>
      </c>
    </row>
    <row r="4" ht="15" customHeight="1" s="32">
      <c r="A4" s="34" t="inlineStr">
        <is>
          <t>Quyết định</t>
        </is>
      </c>
      <c r="B4" s="35" t="inlineStr">
        <is>
          <t>Thay đổi chi tiết</t>
        </is>
      </c>
      <c r="C4" s="36" t="inlineStr">
        <is>
          <t>Danh sách hành động: mọi thay đổi cụ thể, xếp theo ưu tiên</t>
        </is>
      </c>
    </row>
    <row r="5" ht="15" customHeight="1" s="32">
      <c r="A5" s="34" t="inlineStr">
        <is>
          <t>Quyết định</t>
        </is>
      </c>
      <c r="B5" s="35" t="inlineStr">
        <is>
          <t>Kiểm tra từng mục</t>
        </is>
      </c>
      <c r="C5" s="36" t="inlineStr">
        <is>
          <t>Giữ / Đổi / Xem lại cho từng mục của mọi xe, tháp, boss</t>
        </is>
      </c>
    </row>
    <row r="6" ht="15" customHeight="1" s="32">
      <c r="A6" s="34" t="inlineStr">
        <is>
          <t>Quyết định</t>
        </is>
      </c>
      <c r="B6" s="35" t="inlineStr">
        <is>
          <t>Cân bằng lần 2</t>
        </is>
      </c>
      <c r="C6" s="36" t="inlineStr">
        <is>
          <t>Đánh giá lại sau khi áp đợt 1: còn mạnh, còn yếu, cần theo dõi</t>
        </is>
      </c>
    </row>
    <row r="7" ht="15" customHeight="1" s="32">
      <c r="A7" s="34" t="inlineStr">
        <is>
          <t>Quyết định</t>
        </is>
      </c>
      <c r="B7" s="35" t="inlineStr">
        <is>
          <t>Việc cho agent</t>
        </is>
      </c>
      <c r="C7" s="36" t="inlineStr">
        <is>
          <t>Danh sách việc cho agent code, sheet nguồn và tiêu chí đạt</t>
        </is>
      </c>
    </row>
    <row r="8" ht="15" customHeight="1" s="32">
      <c r="A8" s="34" t="inlineStr">
        <is>
          <t>Đơn vị</t>
        </is>
      </c>
      <c r="B8" s="35" t="inlineStr">
        <is>
          <t>Phương tiện</t>
        </is>
      </c>
      <c r="C8" s="36" t="inlineStr">
        <is>
          <t>Chỉ số, miêu tả, hình dạng cho AI vẽ, đề xuất và lý do</t>
        </is>
      </c>
    </row>
    <row r="9" ht="15" customHeight="1" s="32">
      <c r="A9" s="34" t="inlineStr">
        <is>
          <t>Đơn vị</t>
        </is>
      </c>
      <c r="B9" s="35" t="inlineStr">
        <is>
          <t>Công trình</t>
        </is>
      </c>
      <c r="C9" s="36" t="inlineStr">
        <is>
          <t>Như trên, cho tháp, công trình, nhánh</t>
        </is>
      </c>
    </row>
    <row r="10" ht="15" customHeight="1" s="32">
      <c r="A10" s="34" t="inlineStr">
        <is>
          <t>Đơn vị</t>
        </is>
      </c>
      <c r="B10" s="35" t="inlineStr">
        <is>
          <t>Boss</t>
        </is>
      </c>
      <c r="C10" s="36" t="inlineStr">
        <is>
          <t>Như trên, cho boss và mini boss</t>
        </is>
      </c>
    </row>
    <row r="11" ht="15" customHeight="1" s="32">
      <c r="A11" s="34" t="inlineStr">
        <is>
          <t>Đơn vị</t>
        </is>
      </c>
      <c r="B11" s="35" t="inlineStr">
        <is>
          <t>Boss đề xuất</t>
        </is>
      </c>
      <c r="C11" s="36" t="inlineStr">
        <is>
          <t>Máu, DPS mục tiêu, vũ khí thêm, siêu vũ khí (chỉ boss chủ lực)</t>
        </is>
      </c>
    </row>
    <row r="12" ht="15" customHeight="1" s="32">
      <c r="A12" s="34" t="inlineStr">
        <is>
          <t>Đơn vị</t>
        </is>
      </c>
      <c r="B12" s="35" t="inlineStr">
        <is>
          <t>Tên đề xuất</t>
        </is>
      </c>
      <c r="C12" s="36" t="inlineStr">
        <is>
          <t>Tên đầy đủ, tên ngắn, tên tiếng Anh</t>
        </is>
      </c>
    </row>
    <row r="13" ht="15" customHeight="1" s="32">
      <c r="A13" s="34" t="inlineStr">
        <is>
          <t>Đơn vị</t>
        </is>
      </c>
      <c r="B13" s="35" t="inlineStr">
        <is>
          <t>Kích thước – giá</t>
        </is>
      </c>
      <c r="C13" s="36" t="inlineStr">
        <is>
          <t>Kích thước model so với giá: vật to phải đắt (trừ khi ngoài đời rẻ)</t>
        </is>
      </c>
    </row>
    <row r="14" ht="15" customHeight="1" s="32">
      <c r="A14" s="34" t="inlineStr">
        <is>
          <t>Vũ khí</t>
        </is>
      </c>
      <c r="B14" s="35" t="inlineStr">
        <is>
          <t>Vũ khí đề xuất</t>
        </is>
      </c>
      <c r="C14" s="36" t="inlineStr">
        <is>
          <t>Mọi vũ khí: hiện tại → đề xuất, DPS theo từng cấp giáp (công thức)</t>
        </is>
      </c>
    </row>
    <row r="15" ht="15" customHeight="1" s="32">
      <c r="A15" s="34" t="inlineStr">
        <is>
          <t>Vũ khí</t>
        </is>
      </c>
      <c r="B15" s="35" t="inlineStr">
        <is>
          <t>Đơn vị – vũ khí</t>
        </is>
      </c>
      <c r="C15" s="36" t="inlineStr">
        <is>
          <t>Vũ khí của từng đơn vị và thay đổi bộ vũ khí</t>
        </is>
      </c>
    </row>
    <row r="16" ht="15" customHeight="1" s="32">
      <c r="A16" s="34" t="inlineStr">
        <is>
          <t>Vũ khí</t>
        </is>
      </c>
      <c r="B16" s="35" t="inlineStr">
        <is>
          <t>Tổng DPS đơn vị</t>
        </is>
      </c>
      <c r="C16" s="36" t="inlineStr">
        <is>
          <t>Tổng DPS đề xuất theo đơn vị (công thức)</t>
        </is>
      </c>
    </row>
    <row r="17" ht="15" customHeight="1" s="32">
      <c r="A17" s="34" t="inlineStr">
        <is>
          <t>Vũ khí</t>
        </is>
      </c>
      <c r="B17" s="35" t="inlineStr">
        <is>
          <t>Tốc độ tên lửa</t>
        </is>
      </c>
      <c r="C17" s="36" t="inlineStr">
        <is>
          <t>Tốc độ bay theo tầm game và mục tiêu cần bắt</t>
        </is>
      </c>
    </row>
    <row r="18" ht="15" customHeight="1" s="32">
      <c r="A18" s="34" t="inlineStr">
        <is>
          <t>Vũ khí</t>
        </is>
      </c>
      <c r="B18" s="35" t="inlineStr">
        <is>
          <t>Kích thước đạn</t>
        </is>
      </c>
      <c r="C18" s="36" t="inlineStr">
        <is>
          <t>Kích thước model đạn so với thật</t>
        </is>
      </c>
    </row>
    <row r="19" ht="15" customHeight="1" s="32">
      <c r="A19" s="34" t="inlineStr">
        <is>
          <t>Vũ khí</t>
        </is>
      </c>
      <c r="B19" s="35" t="inlineStr">
        <is>
          <t>Hệ số</t>
        </is>
      </c>
      <c r="C19" s="36" t="inlineStr">
        <is>
          <t>Hệ số loại sát thương và chênh lệch xuyên–giáp dùng trong công thức</t>
        </is>
      </c>
    </row>
    <row r="20" ht="15" customHeight="1" s="32">
      <c r="A20" s="34" t="inlineStr">
        <is>
          <t>Kinh tế</t>
        </is>
      </c>
      <c r="B20" s="35" t="inlineStr">
        <is>
          <t>Giá CP</t>
        </is>
      </c>
      <c r="C20" s="36" t="inlineStr">
        <is>
          <t>Giá theo hiệu quả và giá ngoài đời</t>
        </is>
      </c>
    </row>
    <row r="21" ht="15" customHeight="1" s="32">
      <c r="A21" s="34" t="inlineStr">
        <is>
          <t>Kinh tế</t>
        </is>
      </c>
      <c r="B21" s="35" t="inlineStr">
        <is>
          <t>Thẻ hỗ trợ</t>
        </is>
      </c>
      <c r="C21" s="36" t="inlineStr">
        <is>
          <t>Đề xuất cho thẻ hỗ trợ hiện có</t>
        </is>
      </c>
    </row>
    <row r="22" ht="15" customHeight="1" s="32">
      <c r="A22" s="34" t="inlineStr">
        <is>
          <t>Nội dung mới</t>
        </is>
      </c>
      <c r="B22" s="35" t="inlineStr">
        <is>
          <t>Thẻ hỗ trợ mới</t>
        </is>
      </c>
      <c r="C22" s="36" t="inlineStr">
        <is>
          <t>11 thẻ hỗ trợ mới</t>
        </is>
      </c>
    </row>
    <row r="23" ht="15" customHeight="1" s="32">
      <c r="A23" s="34" t="inlineStr">
        <is>
          <t>Nội dung mới</t>
        </is>
      </c>
      <c r="B23" s="35" t="inlineStr">
        <is>
          <t>Đề xuất thêm</t>
        </is>
      </c>
      <c r="C23" s="36" t="inlineStr">
        <is>
          <t>Phương tiện và công trình mới (56 mục)</t>
        </is>
      </c>
    </row>
    <row r="24" ht="15" customHeight="1" s="32">
      <c r="A24" s="34" t="inlineStr">
        <is>
          <t>Nội dung mới</t>
        </is>
      </c>
      <c r="B24" s="35" t="inlineStr">
        <is>
          <t>Công trình mới</t>
        </is>
      </c>
      <c r="C24" s="36" t="inlineStr">
        <is>
          <t>Công trình mới có đủ chỉ số và DPS</t>
        </is>
      </c>
    </row>
    <row r="25" ht="15" customHeight="1" s="32">
      <c r="A25" s="34" t="inlineStr">
        <is>
          <t>Nội dung mới</t>
        </is>
      </c>
      <c r="B25" s="35" t="inlineStr">
        <is>
          <t>Tên lửa &amp; bom mới</t>
        </is>
      </c>
      <c r="C25" s="36" t="inlineStr">
        <is>
          <t>Đạn, tên lửa, bom mới có đủ chỉ số</t>
        </is>
      </c>
    </row>
    <row r="26" ht="15" customHeight="1" s="32">
      <c r="A26" s="34" t="inlineStr">
        <is>
          <t>Nội dung mới</t>
        </is>
      </c>
      <c r="B26" s="35" t="inlineStr">
        <is>
          <t>Boss mới</t>
        </is>
      </c>
      <c r="C26" s="36" t="inlineStr">
        <is>
          <t>8 boss mới (4 chủ lực, 4 mini)</t>
        </is>
      </c>
    </row>
    <row r="27" ht="15" customHeight="1" s="32">
      <c r="A27" s="34" t="inlineStr">
        <is>
          <t>Tham chiếu</t>
        </is>
      </c>
      <c r="B27" s="35" t="inlineStr">
        <is>
          <t>Tỷ lệ map</t>
        </is>
      </c>
      <c r="C27" s="36" t="inlineStr">
        <is>
          <t>Hệ số kích thước, tốc độ, tầm theo map</t>
        </is>
      </c>
    </row>
    <row r="28" ht="15" customHeight="1" s="32">
      <c r="A28" s="34" t="inlineStr">
        <is>
          <t>Tham chiếu</t>
        </is>
      </c>
      <c r="B28" s="35" t="inlineStr">
        <is>
          <t>Hướng dẫn vẽ</t>
        </is>
      </c>
      <c r="C28" s="36" t="inlineStr">
        <is>
          <t>Quy trình và mẫu prompt để dựng model chất lượng cao</t>
        </is>
      </c>
    </row>
  </sheetData>
  <hyperlinks>
    <hyperlink xmlns:r="http://schemas.openxmlformats.org/officeDocument/2006/relationships" ref="B2" location="'Tổng%20quan'!A1" display="Tổng quan" r:id="rId1"/>
    <hyperlink xmlns:r="http://schemas.openxmlformats.org/officeDocument/2006/relationships" ref="B3" location="'Cốt%20truyện'!A1" display="Cốt truyện" r:id="rId2"/>
    <hyperlink xmlns:r="http://schemas.openxmlformats.org/officeDocument/2006/relationships" ref="B4" location="'Thay%20đổi%20chi%20tiết'!A1" display="Thay đổi chi tiết" r:id="rId3"/>
    <hyperlink xmlns:r="http://schemas.openxmlformats.org/officeDocument/2006/relationships" ref="B5" location="'Kiểm%20tra%20từng%20mục'!A1" display="Kiểm tra từng mục" r:id="rId4"/>
    <hyperlink xmlns:r="http://schemas.openxmlformats.org/officeDocument/2006/relationships" ref="B6" location="'Cân%20bằng%20lần%202'!A1" display="Cân bằng lần 2" r:id="rId5"/>
    <hyperlink xmlns:r="http://schemas.openxmlformats.org/officeDocument/2006/relationships" ref="B7" location="'Việc%20cho%20agent'!A1" display="Việc cho agent" r:id="rId6"/>
    <hyperlink xmlns:r="http://schemas.openxmlformats.org/officeDocument/2006/relationships" ref="B8" location="'Phương%20tiện'!A1" display="Phương tiện" r:id="rId7"/>
    <hyperlink xmlns:r="http://schemas.openxmlformats.org/officeDocument/2006/relationships" ref="B9" location="'Công%20trình'!A1" display="Công trình" r:id="rId8"/>
    <hyperlink xmlns:r="http://schemas.openxmlformats.org/officeDocument/2006/relationships" ref="B10" location="'Boss'!A1" display="Boss" r:id="rId9"/>
    <hyperlink xmlns:r="http://schemas.openxmlformats.org/officeDocument/2006/relationships" ref="B11" location="'Boss%20đề%20xuất'!A1" display="Boss đề xuất" r:id="rId10"/>
    <hyperlink xmlns:r="http://schemas.openxmlformats.org/officeDocument/2006/relationships" ref="B12" location="'Tên%20đề%20xuất'!A1" display="Tên đề xuất" r:id="rId11"/>
    <hyperlink xmlns:r="http://schemas.openxmlformats.org/officeDocument/2006/relationships" ref="B13" location="'Kích%20thước%20–%20giá'!A1" display="Kích thước – giá" r:id="rId12"/>
    <hyperlink xmlns:r="http://schemas.openxmlformats.org/officeDocument/2006/relationships" ref="B14" location="'Vũ%20khí%20đề%20xuất'!A1" display="Vũ khí đề xuất" r:id="rId13"/>
    <hyperlink xmlns:r="http://schemas.openxmlformats.org/officeDocument/2006/relationships" ref="B15" location="'Đơn%20vị%20–%20vũ%20khí'!A1" display="Đơn vị – vũ khí" r:id="rId14"/>
    <hyperlink xmlns:r="http://schemas.openxmlformats.org/officeDocument/2006/relationships" ref="B16" location="'Tổng%20DPS%20đơn%20vị'!A1" display="Tổng DPS đơn vị" r:id="rId15"/>
    <hyperlink xmlns:r="http://schemas.openxmlformats.org/officeDocument/2006/relationships" ref="B17" location="'Tốc%20độ%20tên%20lửa'!A1" display="Tốc độ tên lửa" r:id="rId16"/>
    <hyperlink xmlns:r="http://schemas.openxmlformats.org/officeDocument/2006/relationships" ref="B18" location="'Kích%20thước%20đạn'!A1" display="Kích thước đạn" r:id="rId17"/>
    <hyperlink xmlns:r="http://schemas.openxmlformats.org/officeDocument/2006/relationships" ref="B19" location="'Hệ%20số'!A1" display="Hệ số" r:id="rId18"/>
    <hyperlink xmlns:r="http://schemas.openxmlformats.org/officeDocument/2006/relationships" ref="B20" location="'Giá%20CP'!A1" display="Giá CP" r:id="rId19"/>
    <hyperlink xmlns:r="http://schemas.openxmlformats.org/officeDocument/2006/relationships" ref="B21" location="'Thẻ%20hỗ%20trợ'!A1" display="Thẻ hỗ trợ" r:id="rId20"/>
    <hyperlink xmlns:r="http://schemas.openxmlformats.org/officeDocument/2006/relationships" ref="B22" location="'Thẻ%20hỗ%20trợ%20mới'!A1" display="Thẻ hỗ trợ mới" r:id="rId21"/>
    <hyperlink xmlns:r="http://schemas.openxmlformats.org/officeDocument/2006/relationships" ref="B23" location="'Đề%20xuất%20thêm'!A1" display="Đề xuất thêm" r:id="rId22"/>
    <hyperlink xmlns:r="http://schemas.openxmlformats.org/officeDocument/2006/relationships" ref="B24" location="'Công%20trình%20mới'!A1" display="Công trình mới" r:id="rId23"/>
    <hyperlink xmlns:r="http://schemas.openxmlformats.org/officeDocument/2006/relationships" ref="B25" location="'Tên%20lửa%20&amp;%20bom%20mới'!A1" display="Tên lửa &amp; bom mới" r:id="rId24"/>
    <hyperlink xmlns:r="http://schemas.openxmlformats.org/officeDocument/2006/relationships" ref="B26" location="'Boss%20mới'!A1" display="Boss mới" r:id="rId25"/>
    <hyperlink xmlns:r="http://schemas.openxmlformats.org/officeDocument/2006/relationships" ref="B27" location="'Tỷ%20lệ%20map'!A1" display="Tỷ lệ map" r:id="rId26"/>
    <hyperlink xmlns:r="http://schemas.openxmlformats.org/officeDocument/2006/relationships" ref="B28" location="'Hướng%20dẫn%20vẽ'!A1" display="Hướng dẫn vẽ" r:id="rId2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1" min="1" max="1"/>
    <col width="160" customWidth="1" style="31" min="2" max="2"/>
  </cols>
  <sheetData>
    <row r="1" ht="42" customHeight="1" s="32">
      <c r="A1" s="37" t="inlineStr">
        <is>
          <t>Rà soát cân bằng Machine Brigade (bản 2)</t>
        </is>
      </c>
      <c r="B1" s="37" t="n"/>
    </row>
    <row r="2" ht="21.75" customHeight="1" s="32">
      <c r="A2" s="38" t="inlineStr">
        <is>
          <t>Nguồn</t>
        </is>
      </c>
      <c r="B2" s="39" t="inlineStr">
        <is>
          <t>Machine_Brigade_Design_Review_1.pdf (264 trang): thẻ phần 8 và 11; bảng 9, 9b (giá trị thực chiến), 10b (nhịp bắn, đường đạn, di chuyển), 10c (tầm nổ), 12 (thẻ hỗ trợ). Giá và thông số ngoài đời là ước lượng từ thông tin công khai, chỉ dùng để so thứ tự tương đối.</t>
        </is>
      </c>
    </row>
    <row r="3" ht="53.25" customHeight="1" s="32">
      <c r="A3" s="40" t="inlineStr">
        <is>
          <t>Cách đọc</t>
        </is>
      </c>
      <c r="B3" s="41" t="inlineStr">
        <is>
          <t>Sheet "Vũ khí đề xuất" có mọi vũ khí (154) với số hiện tại và đề xuất cho sát thương, chế độ bắn, viên/s, số viên mỗi băng hoặc loạt, thời gian nạp, tầm, tốc độ bay, nổ lan, và DPS đề xuất theo từng cấp giáp 0–5, trên không, công trình (công thức). Sheet "Đơn vị – vũ khí" và "Tổng DPS đơn vị" cộng DPS theo từng xe, tháp, boss. Sheet "Boss đề xuất": máu, DPS mục tiêu, vũ khí thêm, siêu vũ khí (chỉ boss chủ lực; mini boss bỏ đòn lớn). Sheet "Công trình mới" và "Tên lửa &amp; bom mới" có đủ chỉ số. Sheet "Kiểm tra từng mục" đi qua mọi mục của mọi xe, tháp, boss (tên, máu, giáp từng mặt, tốc độ, tốc độ xoay, kích thước, tầm nhìn, tầm bắn, giá, vũ khí, hành vi, nổ khi bị phá, tham khảo) và ghi Giữ / Đổi / Xem lại kèm lý do. Sheet "Thay đổi chi tiết" là danh sách hành động: mỗi dòng một thay đổi cụ thể (vũ khí thêm/bỏ/đổi, cỡ nòng, sát thương, nhịp, tầm, giáp, máu, tốc độ, giá, hành vi) kèm lý do. Các sheet Phương tiện, Công trình, Boss, Vũ khí tổng hợp lại theo từng đơn vị. Các cột có công thức tự tính lại khi sửa số.</t>
        </is>
      </c>
    </row>
    <row r="4" ht="15" customHeight="1" s="32">
      <c r="A4" s="39" t="n"/>
      <c r="B4" s="39" t="n"/>
    </row>
    <row r="5" ht="15" customHeight="1" s="32">
      <c r="A5" s="40" t="inlineStr">
        <is>
          <t>NGUYÊN TẮC DÙNG ĐỂ QUYẾT</t>
        </is>
      </c>
      <c r="B5" s="41" t="n"/>
    </row>
    <row r="6" ht="32.25" customHeight="1" s="32">
      <c r="A6" s="38" t="inlineStr">
        <is>
          <t>Tốc độ tên lửa</t>
        </is>
      </c>
      <c r="B6" s="39" t="inlineStr">
        <is>
          <t>Tính từ lúc phóng tới lúc trúng trong tầm của game (đã nén rất nhiều so với ngoài đời), không dùng Mach thật. Hai điều kiện: (1) tên lửa phòng không và không đối không phải nhanh hơn mục tiêu nhanh nhất nó cần bắt khoảng 1,2–1,5 lần (tiêm kích bay 40 m/s, drone hộ vệ 46 m/s, trong khi tên lửa hiện chỉ 24 m/s); (2) thời gian bay tới tầm tối đa khoảng 0,6–2 giây, để vẫn nhìn thấy, vẫn bị pháo sáng và APS đánh chặn. Tên lửa chống tăng lái bằng dây cố ý chậm (khoảng 2 s) để khói, APS và né có tác dụng; tên lửa hành trình và Shahed cố ý chậm để phòng không có cơ hội. Chi tiết ở sheet "Tốc độ tên lửa".</t>
        </is>
      </c>
    </row>
    <row r="7" ht="21.75" customHeight="1" s="32">
      <c r="A7" s="40" t="inlineStr">
        <is>
          <t>Giá (CP)</t>
        </is>
      </c>
      <c r="B7" s="41" t="inlineStr">
        <is>
          <t>Quyết theo hai yếu tố: (1) tác động lên trận đấu, đo bằng giá trị thực chiến trên mỗi CP so với trung vị của cùng vai trò (sheet "Giá CP"); (2) chi phí sản xuất ngoài đời, chỉ để giữ thứ tự hợp lý trong cùng vai trò (đồ rẻ ngoài đời không nên đắt trong game và ngược lại), không quy đổi thẳng vì chênh lệch ngoài đời quá lớn (B-2 đắt gấp hàng trăm lần một chiếc tăng).</t>
        </is>
      </c>
    </row>
    <row r="8" ht="15" customHeight="1" s="32">
      <c r="A8" s="38" t="inlineStr">
        <is>
          <t>Bán kính nổ</t>
        </is>
      </c>
      <c r="B8" s="39" t="inlineStr">
        <is>
          <t>Bán kính ≈ 10 m × (khối lượng/500 kg)^(1/3), lấy FAB-500 = 10 m làm mốc; cùng một loại đạn phải cùng bán kính ở mọi đơn vị.</t>
        </is>
      </c>
    </row>
    <row r="9" ht="15" customHeight="1" s="32">
      <c r="A9" s="40" t="inlineStr">
        <is>
          <t>Nhịp bắn</t>
        </is>
      </c>
      <c r="B9" s="41" t="inlineStr">
        <is>
          <t>Giữ DPS duy trì như hiện tại, nhưng đổi nhịp bắn (viên/s, loạt, nghỉ) cho giống vũ khí thật, để mỗi vũ khí có cảm giác riêng (luồng đạn CIWS, loạt pháo tự động, phát đơn pháo tăng).</t>
        </is>
      </c>
    </row>
    <row r="10" ht="15" customHeight="1" s="32">
      <c r="A10" s="38" t="inlineStr">
        <is>
          <t>Sát thương mỗi phát</t>
        </is>
      </c>
      <c r="B10" s="39" t="inlineStr">
        <is>
          <t>Theo thang cỡ nòng và đầu nổ của prompt 13 (không đổi trong bản này, trừ chỗ ghi rõ).</t>
        </is>
      </c>
    </row>
    <row r="11" ht="21.75" customHeight="1" s="32">
      <c r="A11" s="41" t="inlineStr">
        <is>
          <t>Kích thước</t>
        </is>
      </c>
      <c r="B11" s="41" t="inlineStr">
        <is>
          <t>Xe mặt đất 0,8 × kích thước thật; máy bay và trực thăng 0,4 × thật (sải cánh / rô-to); đạn phóng từ mặt đất 0,8 ×, từ máy bay 0,5 ×, tối thiểu 0,8 m; boss theo thiết kế (×1,3–1,5 so với mẫu), trùm cuối là vật thể lớn nhất. Nổ khi bị phá ≈ 3 m + 0,45 × chiều dài xe (+3 m nếu chở nhiều đạn). Hiệu ứng nổ trên màn hình phải bằng bán kính gây sát thương. Xem sheet Tỷ lệ map.</t>
        </is>
      </c>
    </row>
    <row r="12" ht="15" customHeight="1" s="32">
      <c r="A12" s="39" t="inlineStr">
        <is>
          <t>Tên</t>
        </is>
      </c>
      <c r="B12" s="39" t="inlineStr">
        <is>
          <t>Tên thẻ mô tả vai trò bằng tiếng Việt, không chứa tên mẫu thật (tên mẫu thật để ở dòng phụ theo ngụy trang); có tên ngắn cho HUD và tên tiếng Anh; một đơn vị chỉ một tên ở mọi bảng. Xem sheet Tên đề xuất.</t>
        </is>
      </c>
    </row>
    <row r="13" ht="15" customHeight="1" s="32">
      <c r="A13" s="41" t="n"/>
      <c r="B13" s="41" t="n"/>
    </row>
    <row r="14" ht="15" customHeight="1" s="32">
      <c r="A14" s="38" t="inlineStr">
        <is>
          <t>VẤN ĐỀ CHUNG</t>
        </is>
      </c>
      <c r="B14" s="39" t="n"/>
    </row>
    <row r="15" ht="15" customHeight="1" s="32">
      <c r="A15" s="40" t="inlineStr">
        <is>
          <t>1. Tên lửa chậm hơn mục tiêu</t>
        </is>
      </c>
      <c r="B15" s="41" t="inlineStr">
        <is>
          <t>Mọi tên lửa phòng không và không đối không bay 24 m/s, chậm hơn tiêm kích (40) và drone hộ vệ (46). Kh-29L và R-60 chỉ 10 m/s.</t>
        </is>
      </c>
    </row>
    <row r="16" ht="15" customHeight="1" s="32">
      <c r="A16" s="38" t="inlineStr">
        <is>
          <t>2. Cùng vũ khí, khác tốc độ</t>
        </is>
      </c>
      <c r="B16" s="39" t="inlineStr">
        <is>
          <t>S-8 (20/27/48), Hydra (48/38), Grad (24/52/55), GMLRS (24/52), TOS (24/45), Hellfire (12/21/24), Lancet (28/16), FPV (26/18).</t>
        </is>
      </c>
    </row>
    <row r="17" ht="15" customHeight="1" s="32">
      <c r="A17" s="40" t="inlineStr">
        <is>
          <t>3. Bán kính nổ ngược khối lượng</t>
        </is>
      </c>
      <c r="B17" s="41" t="inlineStr">
        <is>
          <t>Kh-101 400 kg (6 m) và JASSM 450 kg (5 m) nổ nhỏ hơn FAB-250 (8 m); pháo 460 mm (7 m) nhỏ hơn cối 240 mm (9 m); 155 mm có 4 giá trị khác nhau.</t>
        </is>
      </c>
    </row>
    <row r="18" ht="15" customHeight="1" s="32">
      <c r="A18" s="38" t="inlineStr">
        <is>
          <t>4. Phòng không tháp ngược cỡ ô</t>
        </is>
      </c>
      <c r="B18" s="39" t="inlineStr">
        <is>
          <t>Tháp ô nhỏ 300, Patriot ô lớn 188.</t>
        </is>
      </c>
    </row>
    <row r="19" ht="15" customHeight="1" s="32">
      <c r="A19" s="40" t="inlineStr">
        <is>
          <t>5. Máu boss ngược thứ bậc</t>
        </is>
      </c>
      <c r="B19" s="41" t="inlineStr">
        <is>
          <t>Trùm cuối ít máu hơn boss chương 5; boss chủ lực chương 11 ít máu hơn nhiều mini boss; boss chương 1 gần bằng boss cuối game.</t>
        </is>
      </c>
    </row>
    <row r="20" ht="15" customHeight="1" s="32">
      <c r="A20" s="38" t="inlineStr">
        <is>
          <t>6. Mâu thuẫn với danh sách giữ lại</t>
        </is>
      </c>
      <c r="B20" s="39" t="inlineStr">
        <is>
          <t>Pháo tự hành dùng model CAESAR; Tăng hạng nặng tham khảo T-14.</t>
        </is>
      </c>
    </row>
    <row r="21" ht="15" customHeight="1" s="32">
      <c r="A21" s="40" t="inlineStr">
        <is>
          <t>7. Tham khảo lệch vũ khí</t>
        </is>
      </c>
      <c r="B21" s="41" t="inlineStr">
        <is>
          <t>Tháp phòng không (GDF 35 mm / 2A38 30 mm), nhánh tên lửa ô nhỏ (Buk), Scylla (pháo 460 mm), Icarus (pháo xe tăng), Mi-24 (Hellfire của Mỹ).</t>
        </is>
      </c>
    </row>
    <row r="22" ht="15" customHeight="1" s="32">
      <c r="A22" s="38" t="inlineStr">
        <is>
          <t>8. Ô nhỏ thiếu chống tăng</t>
        </is>
      </c>
      <c r="B22" s="39" t="inlineStr">
        <is>
          <t>Ô nhỏ có chống xe nhẹ, phòng không, EW, chướng ngại, kinh tế, nhưng không có tháp chống tăng (trừ bãi mìn). Xem "Ụ pháo chống tăng" ở sheet Đề xuất thêm.</t>
        </is>
      </c>
    </row>
    <row r="23" ht="15" customHeight="1" s="32">
      <c r="A23" s="40" t="inlineStr">
        <is>
          <t>9. Bảng 9b thiếu xe hỗ trợ</t>
        </is>
      </c>
      <c r="B23" s="41" t="inlineStr">
        <is>
          <t>Xe hỗ trợ có giá trị 0. Cần chỉ số "giá trị hỗ trợ" (máu sửa, đạn nạp, tên lửa hút, sát thương khiên chặn).</t>
        </is>
      </c>
    </row>
    <row r="24" ht="15" customHeight="1" s="32">
      <c r="A24" s="39" t="n"/>
      <c r="B24" s="39" t="n"/>
    </row>
    <row r="25" ht="15" customHeight="1" s="32">
      <c r="A25" s="41" t="inlineStr">
        <is>
          <t>THANG MÁU BOSS CHỦ LỰC (gốc, trước scale)</t>
        </is>
      </c>
      <c r="B25" s="41" t="inlineStr">
        <is>
          <t>Mini boss khoảng 45–60% boss chủ lực cùng chương.</t>
        </is>
      </c>
    </row>
    <row r="26" ht="15" customHeight="1" s="32">
      <c r="A26" s="39" t="inlineStr">
        <is>
          <t>Chương 1</t>
        </is>
      </c>
      <c r="B26" s="42" t="n">
        <v>12000</v>
      </c>
    </row>
    <row r="27" ht="15" customHeight="1" s="32">
      <c r="A27" s="41" t="inlineStr">
        <is>
          <t>Chương 2</t>
        </is>
      </c>
      <c r="B27" s="43" t="n">
        <v>13000</v>
      </c>
    </row>
    <row r="28" ht="15" customHeight="1" s="32">
      <c r="A28" s="39" t="inlineStr">
        <is>
          <t>Chương 3</t>
        </is>
      </c>
      <c r="B28" s="42" t="n">
        <v>15000</v>
      </c>
    </row>
    <row r="29" ht="15" customHeight="1" s="32">
      <c r="A29" s="41" t="inlineStr">
        <is>
          <t>Chương 4</t>
        </is>
      </c>
      <c r="B29" s="43" t="n">
        <v>17000</v>
      </c>
    </row>
    <row r="30" ht="15" customHeight="1" s="32">
      <c r="A30" s="39" t="inlineStr">
        <is>
          <t>Chương 5</t>
        </is>
      </c>
      <c r="B30" s="42" t="n">
        <v>18000</v>
      </c>
    </row>
    <row r="31" ht="15" customHeight="1" s="32">
      <c r="A31" s="41" t="inlineStr">
        <is>
          <t>Chương 6</t>
        </is>
      </c>
      <c r="B31" s="43" t="n">
        <v>19000</v>
      </c>
    </row>
    <row r="32" ht="15" customHeight="1" s="32">
      <c r="A32" s="39" t="inlineStr">
        <is>
          <t>Chương 7</t>
        </is>
      </c>
      <c r="B32" s="42" t="n">
        <v>20000</v>
      </c>
    </row>
    <row r="33" ht="15" customHeight="1" s="32">
      <c r="A33" s="41" t="inlineStr">
        <is>
          <t>Chương 8</t>
        </is>
      </c>
      <c r="B33" s="43" t="n">
        <v>21000</v>
      </c>
    </row>
    <row r="34" ht="15" customHeight="1" s="32">
      <c r="A34" s="39" t="inlineStr">
        <is>
          <t>Chương 9</t>
        </is>
      </c>
      <c r="B34" s="42" t="n">
        <v>22000</v>
      </c>
    </row>
    <row r="35" ht="15" customHeight="1" s="32">
      <c r="A35" s="41" t="inlineStr">
        <is>
          <t>Chương 10</t>
        </is>
      </c>
      <c r="B35" s="43" t="n">
        <v>23000</v>
      </c>
    </row>
    <row r="36" ht="15" customHeight="1" s="32">
      <c r="A36" s="39" t="inlineStr">
        <is>
          <t>Chương 11</t>
        </is>
      </c>
      <c r="B36" s="42" t="n">
        <v>24000</v>
      </c>
    </row>
    <row r="37" ht="15" customHeight="1" s="32">
      <c r="A37" s="41" t="inlineStr">
        <is>
          <t>Chương 12</t>
        </is>
      </c>
      <c r="B37" s="43" t="n">
        <v>26000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31" min="1" max="1"/>
    <col width="40" customWidth="1" style="31" min="2" max="2"/>
    <col width="150" customWidth="1" style="31" min="3" max="3"/>
  </cols>
  <sheetData>
    <row r="1" ht="42" customHeight="1" s="32">
      <c r="A1" s="37" t="inlineStr">
        <is>
          <t>Phần</t>
        </is>
      </c>
      <c r="B1" s="37" t="inlineStr">
        <is>
          <t>Mục</t>
        </is>
      </c>
      <c r="C1" s="37" t="inlineStr">
        <is>
          <t>Nội dung</t>
        </is>
      </c>
    </row>
    <row r="2" ht="21.75" customHeight="1" s="32">
      <c r="A2" s="39" t="inlineStr">
        <is>
          <t>Bối cảnh</t>
        </is>
      </c>
      <c r="B2" s="39" t="inlineStr">
        <is>
          <t>Thế giới</t>
        </is>
      </c>
      <c r="C2" s="39" t="inlineStr">
        <is>
          <t>Tương lai gần. Meridian Coast là vùng ven biển giàu dầu mỏ và khoáng sản. Sau khi chính quyền trong vùng sụp đổ, một tập đoàn khai khoáng thuê Hegemon, tập đoàn quân sự tư nhân lớn nhất thế giới, để "giữ ổn định". Trong hai năm, Hegemon trở thành thế lực chiếm đóng và biến cả vùng thành nơi thử nghiệm vũ khí.</t>
        </is>
      </c>
    </row>
    <row r="3" ht="21.75" customHeight="1" s="32">
      <c r="A3" s="41" t="inlineStr">
        <is>
          <t>Bối cảnh</t>
        </is>
      </c>
      <c r="B3" s="41" t="inlineStr">
        <is>
          <t>Phe ta</t>
        </is>
      </c>
      <c r="C3" s="41" t="inlineStr">
        <is>
          <t>Các tỉnh còn lại lập ra Meridian Accord. Lực lượng mạnh nhất là 7th Mechanized Brigade ("Machine Brigade"), chỉ gồm phương tiện, đánh bằng thả dù và tốc độ. Người chơi là chỉ huy chiến trường của lữ đoàn.</t>
        </is>
      </c>
    </row>
    <row r="4" ht="15" customHeight="1" s="32">
      <c r="A4" s="39" t="inlineStr">
        <is>
          <t>Bối cảnh</t>
        </is>
      </c>
      <c r="B4" s="39" t="inlineStr">
        <is>
          <t>Mối đe dọa</t>
        </is>
      </c>
      <c r="C4" s="39" t="inlineStr">
        <is>
          <t>Dự án Icarus của Director Lucien Aurel: vũ khí quỹ đạo có thể tấn công bất kỳ điểm nào trên mặt đất mà không ai chạm tới được.</t>
        </is>
      </c>
    </row>
    <row r="5" ht="15" customHeight="1" s="32">
      <c r="A5" s="41" t="inlineStr">
        <is>
          <t>Mở đầu</t>
        </is>
      </c>
      <c r="B5" s="41" t="inlineStr">
        <is>
          <t>Cảnh nhảy tới tương lai</t>
        </is>
      </c>
      <c r="C5" s="41" t="inlineStr">
        <is>
          <t>Vài giây của cảnh cuối: bầu trời Helion, thanh tungsten rơi xuống, giọng Aurel: "Họ vẫn chưa hiểu." Cắt về Stormbeach, ba năm trước.</t>
        </is>
      </c>
    </row>
    <row r="6" ht="15" customHeight="1" s="32">
      <c r="A6" s="39" t="inlineStr">
        <is>
          <t>Nhân vật</t>
        </is>
      </c>
      <c r="B6" s="39" t="inlineStr">
        <is>
          <t>Colonel Marcus Kade "Iron"</t>
        </is>
      </c>
      <c r="C6" s="39" t="inlineStr">
        <is>
          <t>Chỉ huy trực tiếp, giọng chính trên thoại. Bình tĩnh, thực dụng, tin vào lữ đoàn hơn các chính trị gia. Đền đáp ở phần kết: từ chối ghế chính phủ, ở lại với lữ đoàn.</t>
        </is>
      </c>
    </row>
    <row r="7" ht="15" customHeight="1" s="32">
      <c r="A7" s="41" t="inlineStr">
        <is>
          <t>Nhân vật</t>
        </is>
      </c>
      <c r="B7" s="41" t="inlineStr">
        <is>
          <t>Engineer Mara Lind</t>
        </is>
      </c>
      <c r="C7" s="41" t="inlineStr">
        <is>
          <t>Phụ trách căn cứ. Từng thiết kế Behemoth cho Hegemon, bỏ đi vì mặc cảm. Đối mặt Behemoth Mk.0 do chính mình thiết kế (Xen kẽ I). Đền đáp: Behemoth bà sửa lại chiến đấu cùng lữ đoàn ở Helion.</t>
        </is>
      </c>
    </row>
    <row r="8" ht="15" customHeight="1" s="32">
      <c r="A8" s="39" t="inlineStr">
        <is>
          <t>Nhân vật</t>
        </is>
      </c>
      <c r="B8" s="39" t="inlineStr">
        <is>
          <t>Lieutenant Jonah Reyes "Hawk"</t>
        </is>
      </c>
      <c r="C8" s="39" t="inlineStr">
        <is>
          <t>Chỉ huy không quân. Có món nợ với Raven, người bắn hạ đồng đội cũ của anh. Bị bắn rơi sau chiến tuyến (Xen kẽ III); đấu tay đôi với Raven và bắn phát cuối hạ Roc (chương 10).</t>
        </is>
      </c>
    </row>
    <row r="9" ht="15" customHeight="1" s="32">
      <c r="A9" s="41" t="inlineStr">
        <is>
          <t>Nhân vật</t>
        </is>
      </c>
      <c r="B9" s="41" t="inlineStr">
        <is>
          <t>Captain Nadia Kerr</t>
        </is>
      </c>
      <c r="C9" s="41" t="inlineStr">
        <is>
          <t>Sĩ quan tình báo, giao nhiệm vụ phụ, giải mã dự án địch. Cài manh mối về Thorne từ chương 4; phát hiện cú phản bội đầu tiên ở chương 7.</t>
        </is>
      </c>
    </row>
    <row r="10" ht="15" customHeight="1" s="32">
      <c r="A10" s="39" t="inlineStr">
        <is>
          <t>Nhân vật</t>
        </is>
      </c>
      <c r="B10" s="39" t="inlineStr">
        <is>
          <t>Major Brandt</t>
        </is>
      </c>
      <c r="C10" s="39" t="inlineStr">
        <is>
          <t>Chỉ huy đồn trú bờ biển phía tây, tin tuyệt đối vào pháo đài. Đầu hàng ở chương 1, quay lại giúp phe ta phòng thủ ở chương 6 (mở chỉ huy "Bulwark").</t>
        </is>
      </c>
    </row>
    <row r="11" ht="15" customHeight="1" s="32">
      <c r="A11" s="41" t="inlineStr">
        <is>
          <t>Nhân vật</t>
        </is>
      </c>
      <c r="B11" s="41" t="inlineStr">
        <is>
          <t>General Viktor Varga "Anvil"</t>
        </is>
      </c>
      <c r="C11" s="41" t="inlineStr">
        <is>
          <t>Tướng thiết giáp, cha đẻ Behemoth; già, trọng danh dự, tôn trọng người chơi. Ngừng bắn với Kade để sơ tán Hollow Dam (chương 6). Ngã xuống ở Helion.</t>
        </is>
      </c>
    </row>
    <row r="12" ht="15" customHeight="1" s="32">
      <c r="A12" s="39" t="inlineStr">
        <is>
          <t>Nhân vật</t>
        </is>
      </c>
      <c r="B12" s="39" t="inlineStr">
        <is>
          <t>Colonel Ilya Orlov "Winter"</t>
        </is>
      </c>
      <c r="C12" s="39" t="inlineStr">
        <is>
          <t>Tướng pháo binh, lạnh lùng, thích thắng từ xa. Rút lui ở chương 3 ("Mùa đông luôn quay lại"), trận cuối với Gungnir ở chương 11.</t>
        </is>
      </c>
    </row>
    <row r="13" ht="15" customHeight="1" s="32">
      <c r="A13" s="41" t="inlineStr">
        <is>
          <t>Nhân vật</t>
        </is>
      </c>
      <c r="B13" s="41" t="inlineStr">
        <is>
          <t>Admiral Magnus Kessler "Maelstrom"</t>
        </is>
      </c>
      <c r="C13" s="41" t="inlineStr">
        <is>
          <t>Hậu cần và hải quân, coi chiến tranh là bảng lãi lỗ. Mất hạm đội ở chương 4, liên kết với Thorne ở chương 9, thương lượng tới phút cuối ở Helion.</t>
        </is>
      </c>
    </row>
    <row r="14" ht="15" customHeight="1" s="32">
      <c r="A14" s="39" t="inlineStr">
        <is>
          <t>Nhân vật</t>
        </is>
      </c>
      <c r="B14" s="39" t="inlineStr">
        <is>
          <t>Dr. Elara Venn "Queen"</t>
        </is>
      </c>
      <c r="C14" s="39" t="inlineStr">
        <is>
          <t>Nhà khoa học bầy drone, thiết kế cho cứu hộ thiên tai. Đầu hàng và đào ngũ ở cuối chương 5; bị cả hai phe săn (Xen kẽ II); mở chỉ huy drone.</t>
        </is>
      </c>
    </row>
    <row r="15" ht="15" customHeight="1" s="32">
      <c r="A15" s="41" t="inlineStr">
        <is>
          <t>Nhân vật</t>
        </is>
      </c>
      <c r="B15" s="41" t="inlineStr">
        <is>
          <t>Kasimir Wolff "Raven"</t>
        </is>
      </c>
      <c r="C15" s="41" t="inlineStr">
        <is>
          <t>Phi công át chủ bài của Hegemon, kiêu ngạo. Lái Morrigan; bị hạ ở chương 10.</t>
        </is>
      </c>
    </row>
    <row r="16" ht="15" customHeight="1" s="32">
      <c r="A16" s="39" t="inlineStr">
        <is>
          <t>Nhân vật</t>
        </is>
      </c>
      <c r="B16" s="39" t="inlineStr">
        <is>
          <t>Director Lucien Aurel "Sol"</t>
        </is>
      </c>
      <c r="C16" s="39" t="inlineStr">
        <is>
          <t>Người đứng đầu Dự án Icarus. Tin ai kiểm soát bầu trời sẽ kiểm soát thế giới. Chiến đấu tới cùng trong xác Icarus.</t>
        </is>
      </c>
    </row>
    <row r="17" ht="15" customHeight="1" s="32">
      <c r="A17" s="41" t="inlineStr">
        <is>
          <t>Nhân vật</t>
        </is>
      </c>
      <c r="B17" s="41" t="inlineStr">
        <is>
          <t>General Roland Thorne "Titan"</t>
        </is>
      </c>
      <c r="C17" s="41" t="inlineStr">
        <is>
          <t>Chỉ huy đồng minh lớn nhất của Accord, phản bội ở chương 7 vì tin Accord chắc chắn thua khi Icarus hoạt động; Aurel hứa trao quyền cai quản Meridian Coast. Bị hạ ở chương 9, để ngỏ việc còn sống.</t>
        </is>
      </c>
    </row>
    <row r="18" ht="21.75" customHeight="1" s="32">
      <c r="A18" s="39" t="inlineStr">
        <is>
          <t>Hồi I · Landfall</t>
        </is>
      </c>
      <c r="B18" s="39" t="inlineStr">
        <is>
          <t>Chương 1 · Coast of Fire (8 + 1)</t>
        </is>
      </c>
      <c r="C18" s="39" t="inlineStr">
        <is>
          <t>Map: Stormbeach, Greenvale, Ashfield. Đổ bộ, chiếm làng chài, lập tiền đồn đầu tiên, Mara dựng căn cứ. Mini boss: Bastion Mk.0. Boss: Bastion. Brandt đầu hàng; hồ sơ nhắc tới Varga. Mở: chỉ huy Kade.</t>
        </is>
      </c>
    </row>
    <row r="19" ht="15" customHeight="1" s="32">
      <c r="A19" s="41" t="inlineStr">
        <is>
          <t>Hồi I · Landfall</t>
        </is>
      </c>
      <c r="B19" s="41" t="inlineStr">
        <is>
          <t>Chương 2 · Black Gold (11 + 2)</t>
        </is>
      </c>
      <c r="C19" s="41" t="inlineStr">
        <is>
          <t>Map: Dunebreak, Red Rock. Varga lên sóng; Thorne chi viện lần đầu. Inferno ở nhà máy lọc dầu (Mara nhận ra thiết kế). Boss: Behemoth. Mara kể quá khứ. Mở: chỉ huy Mara.</t>
        </is>
      </c>
    </row>
    <row r="20" ht="15" customHeight="1" s="32">
      <c r="A20" s="39" t="inlineStr">
        <is>
          <t>Hồi I · Landfall</t>
        </is>
      </c>
      <c r="B20" s="39" t="inlineStr">
        <is>
          <t>Chương 3 · The Long Winter (12 + 2)</t>
        </is>
      </c>
      <c r="C20" s="39" t="inlineStr">
        <is>
          <t>Map: Frostpeak, Whiteout Pass. Pháo binh vô hình của Orlov; Raven xuất hiện với Harpy; truy đuổi Fenrir trong bão tuyết. Boss: Jötunn. Mở: chỉ huy Hawk.</t>
        </is>
      </c>
    </row>
    <row r="21" ht="15" customHeight="1" s="32">
      <c r="A21" s="41" t="inlineStr">
        <is>
          <t>Xen kẽ I</t>
        </is>
      </c>
      <c r="B21" s="41" t="inlineStr">
        <is>
          <t>Blueprints (4)</t>
        </is>
      </c>
      <c r="C21" s="41" t="inlineStr">
        <is>
          <t>Map: Foundry. Mara lấy lại bản thiết kế Behemoth, đối mặt Behemoth Mk.0. Mở: chỉ huy Ledger.</t>
        </is>
      </c>
    </row>
    <row r="22" ht="21.75" customHeight="1" s="32">
      <c r="A22" s="39" t="inlineStr">
        <is>
          <t>Hồi II · Counteroffensive</t>
        </is>
      </c>
      <c r="B22" s="39" t="inlineStr">
        <is>
          <t>Chương 4 · Iron Harbor (16 + 2)</t>
        </is>
      </c>
      <c r="C22" s="39" t="inlineStr">
        <is>
          <t>Map: Ironport, Rust Yard, Beacon Bay. Chặn Juggernaut; phát hiện Tempest ở cảng; Scylla chặn đường. Lựa chọn: đuổi Kessler hay cứu tàu dân sự. Manh mối đầu về Thorne. Boss: Leviathan. Chiến lợi phẩm: Pháo điện từ (từ xác Tempest). Mở: Nadia, Flag.</t>
        </is>
      </c>
    </row>
    <row r="23" ht="15" customHeight="1" s="32">
      <c r="A23" s="41" t="inlineStr">
        <is>
          <t>Hồi II · Counteroffensive</t>
        </is>
      </c>
      <c r="B23" s="41" t="inlineStr">
        <is>
          <t>Chương 5 · Burning Canopy (13 + 2)</t>
        </is>
      </c>
      <c r="C23" s="41" t="inlineStr">
        <is>
          <t>Map: Emberridge, Jungle Pass. Locust, Hive; phòng thí nghiệm của Venn. Boss: Matriarch. Venn đầu hàng, mang thư mục "Icarus". Chiến lợi phẩm: Máy bay mẹ thả drone. Mở: Venn.</t>
        </is>
      </c>
    </row>
    <row r="24" ht="21.75" customHeight="1" s="32">
      <c r="A24" s="39" t="inlineStr">
        <is>
          <t>Hồi II · Counteroffensive</t>
        </is>
      </c>
      <c r="B24" s="39" t="inlineStr">
        <is>
          <t>Chương 6 · Counterstrike (16 + 2)</t>
        </is>
      </c>
      <c r="C24" s="39" t="inlineStr">
        <is>
          <t>Map: Ashfield, Whiteout Pass, Hollow Dam, Stormbeach (đảo chiều). Varga tổng phản công; Charybdis; Behemoth Mk.II; hộ tống Behemoth bị chiếm; ngừng bắn sơ tán Hollow Dam; Brandt giúp phòng tuyến. Boss: Moloch. Chiến lợi phẩm: Xe công sự triển khai. Mở: Bulwark.</t>
        </is>
      </c>
    </row>
    <row r="25" ht="15" customHeight="1" s="32">
      <c r="A25" s="41" t="inlineStr">
        <is>
          <t>Xen kẽ II</t>
        </is>
      </c>
      <c r="B25" s="41" t="inlineStr">
        <is>
          <t>The Queen's Choice (4)</t>
        </is>
      </c>
      <c r="C25" s="41" t="inlineStr">
        <is>
          <t>Map: Mirewood, Border Crossing. Hộ tống Venn; 2 Locust săn bà. Mở: Rush.</t>
        </is>
      </c>
    </row>
    <row r="26" ht="15" customHeight="1" s="32">
      <c r="A26" s="39" t="inlineStr">
        <is>
          <t>Hồi III · Betrayal</t>
        </is>
      </c>
      <c r="B26" s="39" t="inlineStr">
        <is>
          <t>Chương 7 · Veyra (18 + 1)</t>
        </is>
      </c>
      <c r="C26" s="39" t="inlineStr">
        <is>
          <t>Map: Metro City, Veyra Old Quarter, Veyra. Giải phóng từng quận; Thorne phản bội giữa trận cuối; đánh ngược Atlas. Boss: Nemesis. Thorne trốn. Mở: Longshot.</t>
        </is>
      </c>
    </row>
    <row r="27" ht="15" customHeight="1" s="32">
      <c r="A27" s="41" t="inlineStr">
        <is>
          <t>Hồi III · Betrayal</t>
        </is>
      </c>
      <c r="B27" s="41" t="inlineStr">
        <is>
          <t>Chương 8 · Underworld (12 + 2)</t>
        </is>
      </c>
      <c r="C27" s="41" t="inlineStr">
        <is>
          <t>Map: Deepcut Mine, Red Rock, Dunebreak. Tartarus, Ixion. Lựa chọn: cứu thợ mỏ hay đánh thẳng Kronos. Boss: Kronos. Mở: Tide, Magpie.</t>
        </is>
      </c>
    </row>
    <row r="28" ht="15" customHeight="1" s="32">
      <c r="A28" s="39" t="inlineStr">
        <is>
          <t>Hồi III · Betrayal</t>
        </is>
      </c>
      <c r="B28" s="39" t="inlineStr">
        <is>
          <t>Chương 9 · Rough Water (14 + 2)</t>
        </is>
      </c>
      <c r="C28" s="39" t="inlineStr">
        <is>
          <t>Map: Beacon Bay, Coral Keys. Caspian, Scylla tái đấu. Boss: Typhon. Tin nhắn cuối của Thorne: "Đừng để tôi đã đúng."</t>
        </is>
      </c>
    </row>
    <row r="29" ht="15" customHeight="1" s="32">
      <c r="A29" s="41" t="inlineStr">
        <is>
          <t>Xen kẽ III</t>
        </is>
      </c>
      <c r="B29" s="41" t="inlineStr">
        <is>
          <t>Hawk and Raven (4)</t>
        </is>
      </c>
      <c r="C29" s="41" t="inlineStr">
        <is>
          <t>Map: Frostpeak, Jungle Pass (đảo chiều). Cứu Hawk bị bắn rơi; Morrigan săn lùng. Mở: Crown.</t>
        </is>
      </c>
    </row>
    <row r="30" ht="15" customHeight="1" s="32">
      <c r="A30" s="39" t="inlineStr">
        <is>
          <t>Hồi IV · Silver Sky</t>
        </is>
      </c>
      <c r="B30" s="39" t="inlineStr">
        <is>
          <t>Chương 10 · War in the Sky (14 + 2)</t>
        </is>
      </c>
      <c r="C30" s="39" t="inlineStr">
        <is>
          <t>Map: Skyhold, Frostpeak. Spectre, Argus, Icarus Mk.0; đấu tay đôi Hawk – Raven. Boss: Roc. Chiến lợi phẩm: Drone hộ vệ. Mở: Vault.</t>
        </is>
      </c>
    </row>
    <row r="31" ht="15" customHeight="1" s="32">
      <c r="A31" s="41" t="inlineStr">
        <is>
          <t>Hồi IV · Silver Sky</t>
        </is>
      </c>
      <c r="B31" s="41" t="inlineStr">
        <is>
          <t>Chương 11 · Skygate (11 + 1)</t>
        </is>
      </c>
      <c r="C31" s="41" t="inlineStr">
        <is>
          <t>Map: Skygate Array. Aurel thông báo vệ tinh đầu tiên; trận cuối của Orlov với Gungnir. Lựa chọn: phá radar trước hay đi thẳng. Boss: Daedalus.</t>
        </is>
      </c>
    </row>
    <row r="32" ht="15" customHeight="1" s="32">
      <c r="A32" s="39" t="inlineStr">
        <is>
          <t>Hồi IV · Silver Sky</t>
        </is>
      </c>
      <c r="B32" s="39" t="inlineStr">
        <is>
          <t>Chương 12 · Helion (10)</t>
        </is>
      </c>
      <c r="C32" s="39" t="inlineStr">
        <is>
          <t>Map: Helion Launch Complex, Salt Flats, Dunebreak. Varga (Behemoth Mk.II) và Kessler (Scylla) tái đấu; "Tổng tấn công" của mọi đồng minh cũ; Behemoth của Mara. Boss cuối: Icarus rơi khỏi bầu trời.</t>
        </is>
      </c>
    </row>
    <row r="33" ht="21.75" customHeight="1" s="32">
      <c r="A33" s="41" t="inlineStr">
        <is>
          <t>Phần kết</t>
        </is>
      </c>
      <c r="B33" s="41" t="inlineStr">
        <is>
          <t>Kết</t>
        </is>
      </c>
      <c r="C33" s="41" t="inlineStr">
        <is>
          <t>Icarus bị hạ, Hegemon tan rã. Kade ở lại lữ đoàn; Mara và Venn tháo dỡ cỗ máy; Hawk bay tuần tra cuối qua Skyhold. Nadia nhìn màn hình quỹ đạo: vẫn còn vài chấm sáng. Dự án Icarus chưa bao giờ chỉ có một phi thuyền.</t>
        </is>
      </c>
    </row>
    <row r="34" ht="21.75" customHeight="1" s="32">
      <c r="A34" s="39" t="inlineStr">
        <is>
          <t>Móc nối</t>
        </is>
      </c>
      <c r="B34" s="39" t="inlineStr">
        <is>
          <t>Nội dung sau này</t>
        </is>
      </c>
      <c r="C34" s="39" t="inlineStr">
        <is>
          <t>Các phi thuyền còn lại trên quỹ đạo (boss Hyperion); tàn quân Kessler trên sông nội địa (hải quân, Kraken, Nyx, Hydra); tướng mới của Hegemon mỗi mùa (Monster, Garuda, Cerberus, Stymphalos); số phận của Thorne.</t>
        </is>
      </c>
    </row>
    <row r="35" ht="21.75" customHeight="1" s="32">
      <c r="A35" s="41" t="inlineStr">
        <is>
          <t>Cơ chế kể chuyện</t>
        </is>
      </c>
      <c r="B35" s="41" t="inlineStr">
        <is>
          <t>Tóm tắt</t>
        </is>
      </c>
      <c r="C35" s="41" t="inlineStr">
        <is>
          <t>Bản đồ mặt trận đổi màu theo tiến độ; manh mối về Thorne ở chương 4–6; lựa chọn có hệ quả ở chương 4, 8, 11; chiến lợi phẩm gắn truyện; hồ sơ tình báo; tranh truyện cuối chương; thoại dạng chữ; khoảnh khắc cốt truyện làm chậm thời gian (5–6 lần cả chiến dịch).</t>
        </is>
      </c>
    </row>
  </sheetData>
  <autoFilter ref="A1:C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13"/>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8" customWidth="1" style="31" min="2" max="2"/>
    <col width="26" customWidth="1" style="31" min="3" max="3"/>
    <col width="42" customWidth="1" style="31" min="4" max="4"/>
    <col width="52" customWidth="1" style="31" min="5" max="5"/>
    <col width="58" customWidth="1" style="31" min="6" max="6"/>
    <col width="40" customWidth="1" style="31" min="7" max="7"/>
    <col width="8" customWidth="1" style="31" min="8" max="8"/>
  </cols>
  <sheetData>
    <row r="1" ht="42" customHeight="1" s="32">
      <c r="A1" s="37" t="inlineStr">
        <is>
          <t>id</t>
        </is>
      </c>
      <c r="B1" s="37" t="inlineStr">
        <is>
          <t>Đơn vị</t>
        </is>
      </c>
      <c r="C1" s="37" t="inlineStr">
        <is>
          <t>Hạng mục</t>
        </is>
      </c>
      <c r="D1" s="44" t="inlineStr">
        <is>
          <t>Hiện tại</t>
        </is>
      </c>
      <c r="E1" s="45" t="inlineStr">
        <is>
          <t>Đề xuất (cụ thể)</t>
        </is>
      </c>
      <c r="F1" s="46" t="inlineStr">
        <is>
          <t>Lý do thay đổi</t>
        </is>
      </c>
      <c r="G1" s="37" t="inlineStr">
        <is>
          <t>Tham khảo (ngoài đời / game)</t>
        </is>
      </c>
      <c r="H1" s="46" t="inlineStr">
        <is>
          <t>Ưu tiên</t>
        </is>
      </c>
    </row>
    <row r="2" ht="21.75" customHeight="1" s="32">
      <c r="A2" s="39" t="inlineStr">
        <is>
          <t>aa_turret</t>
        </is>
      </c>
      <c r="B2" s="39" t="inlineStr">
        <is>
          <t>Tháp phòng không</t>
        </is>
      </c>
      <c r="C2" s="39" t="inlineStr">
        <is>
          <t>Vũ khí và tham khảo</t>
        </is>
      </c>
      <c r="D2" s="39" t="inlineStr">
        <is>
          <t>tham khảo Oerlikon GDF 35 mm nhưng vũ khí 2A38 30 mm · chống máy bay 300</t>
        </is>
      </c>
      <c r="E2" s="39" t="inlineStr">
        <is>
          <t>chọn một: đổi vũ khí thành Oerlikon 35 mm hoặc đổi tham khảo sang 2A38; chống máy bay 300→240</t>
        </is>
      </c>
      <c r="F2" s="39" t="inlineStr">
        <is>
          <t>Tham khảo lệch vũ khí; tháp ô nhỏ đang mạnh hơn Patriot ô lớn.</t>
        </is>
      </c>
      <c r="G2" s="39" t="inlineStr">
        <is>
          <t>Skyguard/GDF (35 mm) hoặc Tunguska (2A38)</t>
        </is>
      </c>
      <c r="H2" s="47" t="inlineStr">
        <is>
          <t>Cao</t>
        </is>
      </c>
    </row>
    <row r="3" ht="21.75" customHeight="1" s="32">
      <c r="A3" s="41" t="inlineStr">
        <is>
          <t>artillery</t>
        </is>
      </c>
      <c r="B3" s="41" t="inlineStr">
        <is>
          <t>Pháo tự hành</t>
        </is>
      </c>
      <c r="C3" s="41" t="inlineStr">
        <is>
          <t>Vũ khí: lựu pháo 155 mm</t>
        </is>
      </c>
      <c r="D3" s="41" t="inlineStr">
        <is>
          <t>0,10 phát/s · DPS duy trì 27 · giá trị thấp hơn Pháo phản lực cùng giá</t>
        </is>
      </c>
      <c r="E3" s="41" t="inlineStr">
        <is>
          <t>0,14 phát/s · bắn 3 loạt rồi dời vị trí (giữ)</t>
        </is>
      </c>
      <c r="F3" s="41" t="inlineStr">
        <is>
          <t>Pháo tự hành đang kém hẳn pháo phản lực 6 CP (331 so với 510 theo vai trò).</t>
        </is>
      </c>
      <c r="G3" s="41" t="inlineStr">
        <is>
          <t>M109A7: 4 phát/phút tối đa</t>
        </is>
      </c>
      <c r="H3" s="47" t="inlineStr">
        <is>
          <t>Cao</t>
        </is>
      </c>
    </row>
    <row r="4" ht="21.75" customHeight="1" s="32">
      <c r="A4" s="39" t="inlineStr">
        <is>
          <t>artillery</t>
        </is>
      </c>
      <c r="B4" s="39" t="inlineStr">
        <is>
          <t>Pháo tự hành</t>
        </is>
      </c>
      <c r="C4" s="39" t="inlineStr">
        <is>
          <t>Model và tham khảo</t>
        </is>
      </c>
      <c r="D4" s="39" t="inlineStr">
        <is>
          <t>CAESAR bánh lốp (nằm trong danh sách giữ lại)</t>
        </is>
      </c>
      <c r="E4" s="39" t="inlineStr">
        <is>
          <t>Đổi model sang M109A7 xích; giáp trước 1→2; tốc độ 7→6</t>
        </is>
      </c>
      <c r="F4" s="39" t="inlineStr">
        <is>
          <t>Để CAESAR cho thẻ "Pháo bánh lốp bắn rồi chạy" sau này, không vướng danh sách giữ lại.</t>
        </is>
      </c>
      <c r="G4" s="39" t="inlineStr">
        <is>
          <t>M109A7 Paladin</t>
        </is>
      </c>
      <c r="H4" s="47" t="inlineStr">
        <is>
          <t>Cao</t>
        </is>
      </c>
    </row>
    <row r="5" ht="15" customHeight="1" s="32">
      <c r="A5" s="41" t="inlineStr">
        <is>
          <t>attack_helicopter</t>
        </is>
      </c>
      <c r="B5" s="41" t="inlineStr">
        <is>
          <t>Trực thăng tấn công</t>
        </is>
      </c>
      <c r="C5" s="41" t="inlineStr">
        <is>
          <t>Giá</t>
        </is>
      </c>
      <c r="D5" s="41" t="inlineStr">
        <is>
          <t>11 CP (hiệu quả 0,66 × trung vị trực thăng)</t>
        </is>
      </c>
      <c r="E5" s="41" t="inlineStr">
        <is>
          <t>9 CP</t>
        </is>
      </c>
      <c r="F5" s="41" t="inlineStr">
        <is>
          <t>Yếu hơn các trực thăng khác tính theo CP.</t>
        </is>
      </c>
      <c r="G5" s="41" t="inlineStr">
        <is>
          <t>AH-64D</t>
        </is>
      </c>
      <c r="H5" s="47" t="inlineStr">
        <is>
          <t>Cao</t>
        </is>
      </c>
    </row>
    <row r="6" ht="15" customHeight="1" s="32">
      <c r="A6" s="39" t="inlineStr">
        <is>
          <t>attack_jet</t>
        </is>
      </c>
      <c r="B6" s="39" t="inlineStr">
        <is>
          <t>Máy bay cường kích</t>
        </is>
      </c>
      <c r="C6" s="39" t="inlineStr">
        <is>
          <t>Vũ khí: FAB-250</t>
        </is>
      </c>
      <c r="D6" s="39" t="inlineStr">
        <is>
          <t>2 quả mỗi lần đầy đạn</t>
        </is>
      </c>
      <c r="E6" s="39" t="inlineStr">
        <is>
          <t>1 quả</t>
        </is>
      </c>
      <c r="F6" s="39" t="inlineStr">
        <is>
          <t>Giá trị lên công sự 1.156 cao nhất nhóm cùng giá.</t>
        </is>
      </c>
      <c r="G6" s="39" t="inlineStr">
        <is>
          <t>Su-25: tải trọng hỗn hợp</t>
        </is>
      </c>
      <c r="H6" s="47" t="inlineStr">
        <is>
          <t>Cao</t>
        </is>
      </c>
    </row>
    <row r="7" ht="21.75" customHeight="1" s="32">
      <c r="A7" s="41" t="inlineStr">
        <is>
          <t>attack_jet</t>
        </is>
      </c>
      <c r="B7" s="41" t="inlineStr">
        <is>
          <t>Máy bay cường kích</t>
        </is>
      </c>
      <c r="C7" s="41" t="inlineStr">
        <is>
          <t>Vũ khí: Kh-29L, R-60</t>
        </is>
      </c>
      <c r="D7" s="41" t="inlineStr">
        <is>
          <t>tốc độ 10 (bay 4 s và 2,8 s, chậm như drone)</t>
        </is>
      </c>
      <c r="E7" s="41" t="inlineStr">
        <is>
          <t>Kh-29L: 32 (bay 1,25 s) · R-60: 42</t>
        </is>
      </c>
      <c r="F7" s="41" t="inlineStr">
        <is>
          <t>Tên lửa không đối đất nặng và tên lửa không đối không đang chậm nhất game.</t>
        </is>
      </c>
      <c r="G7" s="41" t="inlineStr">
        <is>
          <t>Kh-29L: Mach 2,5; R-60: Mach 2,7</t>
        </is>
      </c>
      <c r="H7" s="47" t="inlineStr">
        <is>
          <t>Cao</t>
        </is>
      </c>
    </row>
    <row r="8" ht="15" customHeight="1" s="32">
      <c r="A8" s="39" t="inlineStr">
        <is>
          <t>attack_jet</t>
        </is>
      </c>
      <c r="B8" s="39" t="inlineStr">
        <is>
          <t>Máy bay cường kích</t>
        </is>
      </c>
      <c r="C8" s="39" t="inlineStr">
        <is>
          <t>Giá</t>
        </is>
      </c>
      <c r="D8" s="39" t="inlineStr">
        <is>
          <t>16 CP (hiệu quả 1,27)</t>
        </is>
      </c>
      <c r="E8" s="39" t="inlineStr">
        <is>
          <t>18 CP</t>
        </is>
      </c>
      <c r="F8" s="39" t="inlineStr">
        <is>
          <t>Mạnh nhất nhóm máy bay tính theo CP.</t>
        </is>
      </c>
      <c r="G8" s="39" t="inlineStr">
        <is>
          <t>Su-25 ~11 triệu USD, A-10 ~19 triệu USD</t>
        </is>
      </c>
      <c r="H8" s="47" t="inlineStr">
        <is>
          <t>Cao</t>
        </is>
      </c>
    </row>
    <row r="9" ht="21.75" customHeight="1" s="32">
      <c r="A9" s="41"/>
      <c r="B9" s="41"/>
      <c r="C9" s="41"/>
      <c r="D9" s="41"/>
      <c r="E9" s="41"/>
      <c r="F9" s="41"/>
      <c r="G9" s="41"/>
      <c r="H9" s="47"/>
    </row>
    <row r="10" ht="21.75" customHeight="1" s="32">
      <c r="A10" s="39" t="inlineStr">
        <is>
          <t>daedalus</t>
        </is>
      </c>
      <c r="B10" s="39" t="inlineStr">
        <is>
          <t>Daedalus · Tàu đổ bộ quỹ đạo</t>
        </is>
      </c>
      <c r="C10" s="39" t="inlineStr">
        <is>
          <t>Máu, vũ khí</t>
        </is>
      </c>
      <c r="D10" s="39" t="inlineStr">
        <is>
          <t>9.435 · 2 pháo 30 mm</t>
        </is>
      </c>
      <c r="E10" s="39" t="inlineStr">
        <is>
          <t>~24.000 · thêm 2 tháp laser phòng thủ điểm và 2 pháo 57 mm dưới bụng</t>
        </is>
      </c>
      <c r="F10" s="39" t="inlineStr">
        <is>
          <t>Boss chủ lực chương 11 yếu hơn nhiều mini boss.</t>
        </is>
      </c>
      <c r="G10" s="39" t="inlineStr">
        <is>
          <t>Acclamator (Star Wars)</t>
        </is>
      </c>
      <c r="H10" s="47" t="inlineStr">
        <is>
          <t>Cao</t>
        </is>
      </c>
    </row>
    <row r="11" ht="15" customHeight="1" s="32">
      <c r="A11" s="41" t="inlineStr">
        <is>
          <t>fighter_jet</t>
        </is>
      </c>
      <c r="B11" s="41" t="inlineStr">
        <is>
          <t>Tiêm kích</t>
        </is>
      </c>
      <c r="C11" s="41" t="inlineStr">
        <is>
          <t>Vũ khí: AIM-120, AIM-9X</t>
        </is>
      </c>
      <c r="D11" s="41" t="inlineStr">
        <is>
          <t>tốc độ 24 (chậm hơn tiêm kích 40 m/s)</t>
        </is>
      </c>
      <c r="E11" s="41" t="inlineStr">
        <is>
          <t>AIM-120: 60 (bay 1 s) · AIM-9X: 55</t>
        </is>
      </c>
      <c r="F11" s="41" t="inlineStr">
        <is>
          <t>Tên lửa phải bắt kịp mục tiêu nhanh nhất.</t>
        </is>
      </c>
      <c r="G11" s="41" t="inlineStr">
        <is>
          <t>AIM-120: Mach 4; AIM-9X: Mach 2,5+</t>
        </is>
      </c>
      <c r="H11" s="47" t="inlineStr">
        <is>
          <t>Cao</t>
        </is>
      </c>
    </row>
    <row r="12" ht="15" customHeight="1" s="32">
      <c r="A12" s="39" t="inlineStr">
        <is>
          <t>heavy_tank</t>
        </is>
      </c>
      <c r="B12" s="39" t="inlineStr">
        <is>
          <t>Tăng hạng nặng</t>
        </is>
      </c>
      <c r="C12" s="39" t="inlineStr">
        <is>
          <t>Giá (CP)</t>
        </is>
      </c>
      <c r="D12" s="42" t="n">
        <v>12</v>
      </c>
      <c r="E12" s="39" t="inlineStr">
        <is>
          <t>13 CP</t>
        </is>
      </c>
      <c r="F12" s="39" t="inlineStr">
        <is>
          <t>Xem sheet Giá CP.</t>
        </is>
      </c>
      <c r="G12" s="39" t="n"/>
      <c r="H12" s="47" t="inlineStr">
        <is>
          <t>Cao</t>
        </is>
      </c>
    </row>
    <row r="13" ht="15" customHeight="1" s="32">
      <c r="A13" s="41" t="inlineStr">
        <is>
          <t>iron_beam</t>
        </is>
      </c>
      <c r="B13" s="41" t="inlineStr">
        <is>
          <t>La-de phòng không</t>
        </is>
      </c>
      <c r="C13" s="41" t="inlineStr">
        <is>
          <t>Giá</t>
        </is>
      </c>
      <c r="D13" s="41" t="inlineStr">
        <is>
          <t>7 CP · giá trị 87 (0,33 × trung vị) · bắn 8% thời gian</t>
        </is>
      </c>
      <c r="E13" s="41" t="inlineStr">
        <is>
          <t>6 CP</t>
        </is>
      </c>
      <c r="F13" s="41" t="inlineStr">
        <is>
          <t>Gần như vô dụng hiện tại.</t>
        </is>
      </c>
      <c r="G13" s="41" t="inlineStr">
        <is>
          <t>Iron Beam: chi phí mỗi phát rất thấp</t>
        </is>
      </c>
      <c r="H13" s="47" t="inlineStr">
        <is>
          <t>Cao</t>
        </is>
      </c>
    </row>
    <row r="14" ht="21.75" customHeight="1" s="32">
      <c r="A14" s="39" t="inlineStr">
        <is>
          <t>iron_beam</t>
        </is>
      </c>
      <c r="B14" s="39" t="inlineStr">
        <is>
          <t>La-de phòng không</t>
        </is>
      </c>
      <c r="C14" s="39" t="inlineStr">
        <is>
          <t>Vũ khí: laser 100 kW</t>
        </is>
      </c>
      <c r="D14" s="39" t="inlineStr">
        <is>
          <t>7,5/tick · DPS 143 lý thuyết</t>
        </is>
      </c>
      <c r="E14" s="39" t="inlineStr">
        <is>
          <t>10/tick · DPS ~190; mở rộng APS: đánh chặn cả đạn cối và rốc-két pháo binh trong 30 m; ưu tiên drone</t>
        </is>
      </c>
      <c r="F14" s="39" t="inlineStr">
        <is>
          <t>Vai trò thật của Iron Beam là chặn drone, rốc-két, cối.</t>
        </is>
      </c>
      <c r="G14" s="39" t="inlineStr">
        <is>
          <t>Rafael Iron Beam</t>
        </is>
      </c>
      <c r="H14" s="47" t="inlineStr">
        <is>
          <t>Cao</t>
        </is>
      </c>
    </row>
    <row r="15" ht="15" customHeight="1" s="32">
      <c r="A15" s="41" t="inlineStr">
        <is>
          <t>long_sam</t>
        </is>
      </c>
      <c r="B15" s="41" t="inlineStr">
        <is>
          <t>Tên lửa phòng không tầm xa</t>
        </is>
      </c>
      <c r="C15" s="41" t="inlineStr">
        <is>
          <t>Giá</t>
        </is>
      </c>
      <c r="D15" s="41" t="inlineStr">
        <is>
          <t>11 CP (hiệu quả 2,29 × trung vị)</t>
        </is>
      </c>
      <c r="E15" s="41" t="inlineStr">
        <is>
          <t>14 CP</t>
        </is>
      </c>
      <c r="F15" s="41" t="inlineStr">
        <is>
          <t>Hiệu quả gấp đôi các xe phòng không khác; S-400 ngoài đời cực đắt.</t>
        </is>
      </c>
      <c r="G15" s="41" t="inlineStr">
        <is>
          <t>S-400: ~500 triệu USD một tiểu đoàn</t>
        </is>
      </c>
      <c r="H15" s="47" t="inlineStr">
        <is>
          <t>Cao</t>
        </is>
      </c>
    </row>
    <row r="16" ht="15" customHeight="1" s="32">
      <c r="A16" s="39" t="inlineStr">
        <is>
          <t>missile_battery</t>
        </is>
      </c>
      <c r="B16" s="39" t="inlineStr">
        <is>
          <t>Tên lửa Patriot tầm xa</t>
        </is>
      </c>
      <c r="C16" s="39" t="inlineStr">
        <is>
          <t>Vũ khí: Patriot PAC-2</t>
        </is>
      </c>
      <c r="D16" s="39" t="inlineStr">
        <is>
          <t>chống máy bay 188 · tốc độ 24 (bay 3,75 s)</t>
        </is>
      </c>
      <c r="E16" s="39" t="inlineStr">
        <is>
          <t>chống máy bay 300 · tốc độ 60 (bay 1,5 s)</t>
        </is>
      </c>
      <c r="F16" s="39" t="inlineStr">
        <is>
          <t>Tháp ô lớn phải mạnh hơn tháp ô nhỏ; tên lửa phải bắt kịp máy bay.</t>
        </is>
      </c>
      <c r="G16" s="39" t="inlineStr">
        <is>
          <t>PAC-2: Mach 4</t>
        </is>
      </c>
      <c r="H16" s="47" t="inlineStr">
        <is>
          <t>Cao</t>
        </is>
      </c>
    </row>
    <row r="17" ht="21.75" customHeight="1" s="32">
      <c r="A17" s="41" t="inlineStr">
        <is>
          <t>rocket_turret.guided</t>
        </is>
      </c>
      <c r="B17" s="41" t="inlineStr">
        <is>
          <t>Dàn rốc-két · nhánh Rốc-két dẫn đường</t>
        </is>
      </c>
      <c r="C17" s="41" t="inlineStr">
        <is>
          <t>Vũ khí: GMLRS dẫn đường</t>
        </is>
      </c>
      <c r="D17" s="41" t="inlineStr">
        <is>
          <t>100/phát · nổ lan 3 m · tốc độ 24 · DPS 27/27</t>
        </is>
      </c>
      <c r="E17" s="41" t="inlineStr">
        <is>
          <t>160/phát · nổ lan 4,5 m · tốc độ 50 · mục tiêu ~60/60</t>
        </is>
      </c>
      <c r="F17" s="41" t="inlineStr">
        <is>
          <t>Nhánh gần như vô dụng; GMLRS thật chính xác và mạnh với công trình.</t>
        </is>
      </c>
      <c r="G17" s="41" t="inlineStr">
        <is>
          <t>GMLRS: đầu nổ 90 kg</t>
        </is>
      </c>
      <c r="H17" s="47" t="inlineStr">
        <is>
          <t>Cao</t>
        </is>
      </c>
    </row>
    <row r="18" ht="21.75" customHeight="1" s="32">
      <c r="A18" s="39" t="inlineStr">
        <is>
          <t>sam_launcher</t>
        </is>
      </c>
      <c r="B18" s="39" t="inlineStr">
        <is>
          <t>Tên lửa phòng không</t>
        </is>
      </c>
      <c r="C18" s="39" t="inlineStr">
        <is>
          <t>Giá</t>
        </is>
      </c>
      <c r="D18" s="39" t="inlineStr">
        <is>
          <t>5 CP (hiệu quả 1,61 × trung vị)</t>
        </is>
      </c>
      <c r="E18" s="39" t="inlineStr">
        <is>
          <t>7 CP</t>
        </is>
      </c>
      <c r="F18" s="39" t="inlineStr">
        <is>
          <t>Hiệu quả cao nhất nhóm phòng không di động; Buk ngoài đời đắt hơn Gepard nhiều.</t>
        </is>
      </c>
      <c r="G18" s="39" t="inlineStr">
        <is>
          <t>Buk TELAR ~10–15 triệu USD</t>
        </is>
      </c>
      <c r="H18" s="47" t="inlineStr">
        <is>
          <t>Cao</t>
        </is>
      </c>
    </row>
    <row r="19" ht="15" customHeight="1" s="32">
      <c r="A19" s="41" t="inlineStr">
        <is>
          <t>sam_launcher</t>
        </is>
      </c>
      <c r="B19" s="41" t="inlineStr">
        <is>
          <t>Tên lửa phòng không</t>
        </is>
      </c>
      <c r="C19" s="41" t="inlineStr">
        <is>
          <t>Vũ khí: 9M317 Buk</t>
        </is>
      </c>
      <c r="D19" s="41" t="inlineStr">
        <is>
          <t>tốc độ 24 (bay 2,3 s, chậm hơn tiêm kích 40 m/s)</t>
        </is>
      </c>
      <c r="E19" s="41" t="inlineStr">
        <is>
          <t>tốc độ 50 (bay 1,1 s)</t>
        </is>
      </c>
      <c r="F19" s="41" t="inlineStr">
        <is>
          <t>Tên lửa không đuổi kịp máy bay nhanh.</t>
        </is>
      </c>
      <c r="G19" s="41" t="inlineStr">
        <is>
          <t>9M317: Mach 4</t>
        </is>
      </c>
      <c r="H19" s="47" t="inlineStr">
        <is>
          <t>Cao</t>
        </is>
      </c>
    </row>
    <row r="20" ht="15" customHeight="1" s="32">
      <c r="A20" s="39" t="inlineStr">
        <is>
          <t>scout_heli</t>
        </is>
      </c>
      <c r="B20" s="39" t="inlineStr">
        <is>
          <t>Trực thăng trinh sát</t>
        </is>
      </c>
      <c r="C20" s="39" t="inlineStr">
        <is>
          <t>Giá</t>
        </is>
      </c>
      <c r="D20" s="39" t="inlineStr">
        <is>
          <t>4 CP · giá trị vs xe nhẹ 956 (cao nhất game theo CP)</t>
        </is>
      </c>
      <c r="E20" s="39" t="inlineStr">
        <is>
          <t>5 CP</t>
        </is>
      </c>
      <c r="F20" s="39" t="inlineStr">
        <is>
          <t>Trực thăng trinh sát đang là thẻ diệt xe nhẹ mạnh nhất.</t>
        </is>
      </c>
      <c r="G20" s="39" t="inlineStr">
        <is>
          <t>MH-6 Little Bird ~5 triệu USD</t>
        </is>
      </c>
      <c r="H20" s="47" t="inlineStr">
        <is>
          <t>Cao</t>
        </is>
      </c>
    </row>
    <row r="21" ht="15" customHeight="1" s="32">
      <c r="A21" s="41" t="inlineStr">
        <is>
          <t>scout_heli</t>
        </is>
      </c>
      <c r="B21" s="41" t="inlineStr">
        <is>
          <t>Trực thăng trinh sát</t>
        </is>
      </c>
      <c r="C21" s="41" t="inlineStr">
        <is>
          <t>Vũ khí: Hydra 70</t>
        </is>
      </c>
      <c r="D21" s="41" t="inlineStr">
        <is>
          <t>12 quả mỗi lần đầy đạn</t>
        </is>
      </c>
      <c r="E21" s="41" t="inlineStr">
        <is>
          <t>6 quả</t>
        </is>
      </c>
      <c r="F21" s="41" t="inlineStr">
        <is>
          <t>Giảm sức phá xe nhẹ, giữ minigun để vẫn đúng vai trò trinh sát vũ trang.</t>
        </is>
      </c>
      <c r="G21" s="41" t="inlineStr">
        <is>
          <t>AH-6: 2 ống 7 quả Hydra</t>
        </is>
      </c>
      <c r="H21" s="47" t="inlineStr">
        <is>
          <t>Cao</t>
        </is>
      </c>
    </row>
    <row r="22" ht="15" customHeight="1" s="32">
      <c r="A22" s="39" t="inlineStr">
        <is>
          <t>scout_jeep</t>
        </is>
      </c>
      <c r="B22" s="39" t="inlineStr">
        <is>
          <t>Xe trinh sát</t>
        </is>
      </c>
      <c r="C22" s="39" t="inlineStr">
        <is>
          <t>Tầm nhìn</t>
        </is>
      </c>
      <c r="D22" s="39" t="inlineStr">
        <is>
          <t>35 m</t>
        </is>
      </c>
      <c r="E22" s="39" t="inlineStr">
        <is>
          <t>55 m</t>
        </is>
      </c>
      <c r="F22" s="39" t="inlineStr">
        <is>
          <t>Trinh sát đang nhìn kém xe bọc thép; không làm được việc trinh sát.</t>
        </is>
      </c>
      <c r="G22" s="39" t="inlineStr">
        <is>
          <t>Fennek / LRV có cột quan sát và kính nhiệt</t>
        </is>
      </c>
      <c r="H22" s="47" t="inlineStr">
        <is>
          <t>Cao</t>
        </is>
      </c>
    </row>
    <row r="23" ht="15" customHeight="1" s="32">
      <c r="A23" s="41" t="inlineStr">
        <is>
          <t>scout_jeep</t>
        </is>
      </c>
      <c r="B23" s="41" t="inlineStr">
        <is>
          <t>Xe trinh sát</t>
        </is>
      </c>
      <c r="C23" s="41" t="inlineStr">
        <is>
          <t>Hành vi</t>
        </is>
      </c>
      <c r="D23" s="41" t="inlineStr">
        <is>
          <t>Không có ẩn</t>
        </is>
      </c>
      <c r="E23" s="41" t="inlineStr">
        <is>
          <t>Ẩn khi đứng yên (chỉ lộ ở 60% tầm nhìn địch), lộ khi bắn</t>
        </is>
      </c>
      <c r="F23" s="41" t="inlineStr">
        <is>
          <t>Trinh sát thật dựa vào ngụy trang và đứng quan sát.</t>
        </is>
      </c>
      <c r="G23" s="41" t="inlineStr">
        <is>
          <t>Fennek; Wargame (đơn vị trinh sát ẩn khi đứng yên)</t>
        </is>
      </c>
      <c r="H23" s="47" t="inlineStr">
        <is>
          <t>Cao</t>
        </is>
      </c>
    </row>
    <row r="24" ht="21.75" customHeight="1" s="32">
      <c r="A24" s="39" t="inlineStr">
        <is>
          <t>scylla</t>
        </is>
      </c>
      <c r="B24" s="39" t="inlineStr">
        <is>
          <t>Scylla · Tàu khu trục</t>
        </is>
      </c>
      <c r="C24" s="39" t="inlineStr">
        <is>
          <t>Vũ khí, máu</t>
        </is>
      </c>
      <c r="D24" s="39" t="inlineStr">
        <is>
          <t>pháo 460 mm (của Yamato) · 13.370 máu</t>
        </is>
      </c>
      <c r="E24" s="39" t="inlineStr">
        <is>
          <t>pháo 130 mm AK-130 đôi + bệ tên lửa chống hạm + CIWS · ~9.000 máu</t>
        </is>
      </c>
      <c r="F24" s="39" t="inlineStr">
        <is>
          <t>Tàu khu trục mini boss mang pháo thiết giáp hạm, máu cao hơn boss chủ lực.</t>
        </is>
      </c>
      <c r="G24" s="39" t="inlineStr">
        <is>
          <t>Sovremenny (AK-130, P-270 Moskit)</t>
        </is>
      </c>
      <c r="H24" s="47" t="inlineStr">
        <is>
          <t>Cao</t>
        </is>
      </c>
    </row>
    <row r="25" ht="15" customHeight="1" s="32">
      <c r="A25" s="41" t="inlineStr">
        <is>
          <t>silver_bug</t>
        </is>
      </c>
      <c r="B25" s="41" t="inlineStr">
        <is>
          <t>Icarus · Phi thuyền quỹ đạo</t>
        </is>
      </c>
      <c r="C25" s="41" t="inlineStr">
        <is>
          <t>Máu</t>
        </is>
      </c>
      <c r="D25" s="41" t="inlineStr">
        <is>
          <t>13.388 (thấp hơn Matriarch chương 5)</t>
        </is>
      </c>
      <c r="E25" s="41" t="inlineStr">
        <is>
          <t>~26.000 (cao nhất game)</t>
        </is>
      </c>
      <c r="F25" s="41" t="inlineStr">
        <is>
          <t>Trùm cuối phải có nhiều máu nhất.</t>
        </is>
      </c>
      <c r="G25" s="41" t="inlineStr">
        <is>
          <t>Thang máu boss (Tổng quan)</t>
        </is>
      </c>
      <c r="H25" s="47" t="inlineStr">
        <is>
          <t>Cao</t>
        </is>
      </c>
    </row>
    <row r="26" ht="21.75" customHeight="1" s="32">
      <c r="A26" s="39" t="inlineStr">
        <is>
          <t>silver_bug</t>
        </is>
      </c>
      <c r="B26" s="39" t="inlineStr">
        <is>
          <t>Icarus · Phi thuyền quỹ đạo</t>
        </is>
      </c>
      <c r="C26" s="39" t="inlineStr">
        <is>
          <t>Vũ khí</t>
        </is>
      </c>
      <c r="D26" s="39" t="inlineStr">
        <is>
          <t>2 pháo Rh-120 xe tăng, 2 Oerlikon 35, 2 Bofors 40</t>
        </is>
      </c>
      <c r="E26" s="39" t="inlineStr">
        <is>
          <t>thay bằng 2 coilgun và 2 tháp laser phòng thủ điểm; pháo thông thường chỉ ở tháp phụ pha 3 (xác rơi)</t>
        </is>
      </c>
      <c r="F26" s="39" t="inlineStr">
        <is>
          <t>Phi thuyền quỹ đạo mang pháo xe tăng là vô lý.</t>
        </is>
      </c>
      <c r="G26" s="39" t="inlineStr">
        <is>
          <t>Polyus/Skif-DM; SOLG (Ace Combat 5)</t>
        </is>
      </c>
      <c r="H26" s="47" t="inlineStr">
        <is>
          <t>Cao</t>
        </is>
      </c>
    </row>
    <row r="27" ht="15" customHeight="1" s="32">
      <c r="A27" s="41" t="inlineStr">
        <is>
          <t>stealth_fighter</t>
        </is>
      </c>
      <c r="B27" s="41" t="inlineStr">
        <is>
          <t>Tiêm kích tàng hình</t>
        </is>
      </c>
      <c r="C27" s="41" t="inlineStr">
        <is>
          <t>Giá (CP)</t>
        </is>
      </c>
      <c r="D27" s="43" t="n">
        <v>14</v>
      </c>
      <c r="E27" s="41" t="inlineStr">
        <is>
          <t>13 CP</t>
        </is>
      </c>
      <c r="F27" s="41" t="inlineStr">
        <is>
          <t>Xem sheet Giá CP.</t>
        </is>
      </c>
      <c r="G27" s="41" t="n"/>
      <c r="H27" s="47" t="inlineStr">
        <is>
          <t>Cao</t>
        </is>
      </c>
    </row>
    <row r="28" ht="15" customHeight="1" s="32">
      <c r="A28" s="39" t="inlineStr">
        <is>
          <t>strike_drone</t>
        </is>
      </c>
      <c r="B28" s="39" t="inlineStr">
        <is>
          <t>UAV tấn công</t>
        </is>
      </c>
      <c r="C28" s="39" t="inlineStr">
        <is>
          <t>Giá</t>
        </is>
      </c>
      <c r="D28" s="39" t="inlineStr">
        <is>
          <t>8 CP · 469/670/734</t>
        </is>
      </c>
      <c r="E28" s="39" t="inlineStr">
        <is>
          <t>9 CP (giữ 4 Hellfire)</t>
        </is>
      </c>
      <c r="F28" s="39" t="inlineStr">
        <is>
          <t>Vẫn mạnh gấp rưỡi xe diệt tăng cùng giá khi không có phòng không.</t>
        </is>
      </c>
      <c r="G28" s="39" t="inlineStr">
        <is>
          <t>MQ-9 Reaper ~30 triệu USD, mang 4 Hellfire</t>
        </is>
      </c>
      <c r="H28" s="47" t="inlineStr">
        <is>
          <t>Cao</t>
        </is>
      </c>
    </row>
    <row r="29" ht="32.25" customHeight="1" s="32">
      <c r="A29" s="41" t="inlineStr">
        <is>
          <t>swarm_carrier</t>
        </is>
      </c>
      <c r="B29" s="41" t="inlineStr">
        <is>
          <t>Máy bay mẹ thả drone</t>
        </is>
      </c>
      <c r="C29" s="41" t="inlineStr">
        <is>
          <t>Vũ khí: thêm Rapid Dragon</t>
        </is>
      </c>
      <c r="D29" s="41" t="inlineStr">
        <is>
          <t>8 drone FPV + bom SDB; khung C-130 to bằng Pháo hạm bay (22 CP) nhưng chỉ 8 CP</t>
        </is>
      </c>
      <c r="E29" s="41" t="inlineStr">
        <is>
          <t>Bỏ SDB; thêm 2 tên lửa hành trình thả từ khoang (410/quả, Nổ mạnh xuyên 3, nổ lan 9 m, tầm 90, tốc độ 20) mỗi lượt, giữ 8 drone</t>
        </is>
      </c>
      <c r="F29" s="41" t="inlineStr">
        <is>
          <t>Máy bay to như vậy mà rẻ là không hợp lý; thêm vũ khí để xứng giá mới. Rapid Dragon là hệ thống thật cho máy bay vận tải thả tên lửa hành trình theo pallet.</t>
        </is>
      </c>
      <c r="G29" s="41" t="inlineStr">
        <is>
          <t>Rapid Dragon (C-130/C-17 thả JASSM-ER)</t>
        </is>
      </c>
      <c r="H29" s="47" t="inlineStr">
        <is>
          <t>Cao</t>
        </is>
      </c>
    </row>
    <row r="30" ht="21.75" customHeight="1" s="32">
      <c r="A30" s="39" t="inlineStr">
        <is>
          <t>swarm_carrier</t>
        </is>
      </c>
      <c r="B30" s="39" t="inlineStr">
        <is>
          <t>Máy bay mẹ thả drone</t>
        </is>
      </c>
      <c r="C30" s="39" t="inlineStr">
        <is>
          <t>Giá</t>
        </is>
      </c>
      <c r="D30" s="39" t="inlineStr">
        <is>
          <t>8 CP</t>
        </is>
      </c>
      <c r="E30" s="39" t="inlineStr">
        <is>
          <t>13 CP</t>
        </is>
      </c>
      <c r="F30" s="39" t="inlineStr">
        <is>
          <t>Ngang tầm máy bay lớn khác sau khi có thêm tên lửa hành trình; C-130 ngoài đời ~70 triệu USD, đắt hơn Apache.</t>
        </is>
      </c>
      <c r="G30" s="39" t="inlineStr">
        <is>
          <t>C-130</t>
        </is>
      </c>
      <c r="H30" s="47" t="inlineStr">
        <is>
          <t>Cao</t>
        </is>
      </c>
    </row>
    <row r="31" ht="15" customHeight="1" s="32">
      <c r="A31" s="41" t="inlineStr">
        <is>
          <t>titan_tank</t>
        </is>
      </c>
      <c r="B31" s="41" t="inlineStr">
        <is>
          <t>Siêu tăng Titan</t>
        </is>
      </c>
      <c r="C31" s="41" t="inlineStr">
        <is>
          <t>Giá (CP)</t>
        </is>
      </c>
      <c r="D31" s="43" t="n">
        <v>16</v>
      </c>
      <c r="E31" s="41" t="inlineStr">
        <is>
          <t>18 CP</t>
        </is>
      </c>
      <c r="F31" s="41" t="inlineStr">
        <is>
          <t>Xem sheet Giá CP.</t>
        </is>
      </c>
      <c r="G31" s="41" t="n"/>
      <c r="H31" s="47" t="inlineStr">
        <is>
          <t>Cao</t>
        </is>
      </c>
    </row>
    <row r="32" ht="15" customHeight="1" s="32">
      <c r="A32" s="39" t="inlineStr">
        <is>
          <t>wheeled_gun</t>
        </is>
      </c>
      <c r="B32" s="39" t="inlineStr">
        <is>
          <t>Pháo bánh lốp diệt tăng</t>
        </is>
      </c>
      <c r="C32" s="39" t="inlineStr">
        <is>
          <t>Máu</t>
        </is>
      </c>
      <c r="D32" s="39" t="inlineStr">
        <is>
          <t>1.914 (gần bằng tăng chủ lực 1.980)</t>
        </is>
      </c>
      <c r="E32" s="39" t="inlineStr">
        <is>
          <t>1.500</t>
        </is>
      </c>
      <c r="F32" s="39" t="inlineStr">
        <is>
          <t>Xe bánh lốp giáp nhẹ không thể trâu như tăng.</t>
        </is>
      </c>
      <c r="G32" s="39" t="inlineStr">
        <is>
          <t>Centauro II: giáp chống 14,5–30 mm</t>
        </is>
      </c>
      <c r="H32" s="47" t="inlineStr">
        <is>
          <t>Cao</t>
        </is>
      </c>
    </row>
    <row r="33" ht="15" customHeight="1" s="32">
      <c r="A33" s="41" t="inlineStr">
        <is>
          <t>wheeled_gun</t>
        </is>
      </c>
      <c r="B33" s="41" t="inlineStr">
        <is>
          <t>Pháo bánh lốp diệt tăng</t>
        </is>
      </c>
      <c r="C33" s="41" t="inlineStr">
        <is>
          <t>Vũ khí: 120 mm</t>
        </is>
      </c>
      <c r="D33" s="41" t="inlineStr">
        <is>
          <t>0,36 phát/s (nạp 2,8 s, nhanh hơn MBT)</t>
        </is>
      </c>
      <c r="E33" s="41" t="inlineStr">
        <is>
          <t>0,27 phát/s (DPS duy trì 94→~70)</t>
        </is>
      </c>
      <c r="F33" s="41" t="inlineStr">
        <is>
          <t>Nạp tay không thể nhanh hơn tăng chủ lực; đang lấn át Pháo chống tăng.</t>
        </is>
      </c>
      <c r="G33" s="41" t="inlineStr">
        <is>
          <t>Centauro II nạp tay</t>
        </is>
      </c>
      <c r="H33" s="47" t="inlineStr">
        <is>
          <t>Cao</t>
        </is>
      </c>
    </row>
    <row r="34" ht="21.75" customHeight="1" s="32">
      <c r="A34" s="39" t="inlineStr">
        <is>
          <t>zu23_technical</t>
        </is>
      </c>
      <c r="B34" s="39" t="inlineStr">
        <is>
          <t>Bán tải ZU-23</t>
        </is>
      </c>
      <c r="C34" s="39" t="inlineStr">
        <is>
          <t>Vũ khí: ZU-23-2</t>
        </is>
      </c>
      <c r="D34" s="39" t="inlineStr">
        <is>
          <t>15/phát · 11 viên/s · tầm 32 m · giá trị vs máy bay 62</t>
        </is>
      </c>
      <c r="E34" s="39" t="inlineStr">
        <is>
          <t>7/phát · 25 viên/s · tầm 38 m (giữ DPS)</t>
        </is>
      </c>
      <c r="F34" s="39" t="inlineStr">
        <is>
          <t>Hiệu quả chỉ 0,24 lần trung vị phòng không; tầm quá ngắn nên máy bay bắn trước.</t>
        </is>
      </c>
      <c r="G34" s="39" t="inlineStr">
        <is>
          <t>ZU-23-2: 2.000 phát/phút, tầm 2,5 km</t>
        </is>
      </c>
      <c r="H34" s="47" t="inlineStr">
        <is>
          <t>Cao</t>
        </is>
      </c>
    </row>
    <row r="35" ht="21.75" customHeight="1" s="32">
      <c r="A35" s="41" t="inlineStr">
        <is>
          <t>aa_turret.sam</t>
        </is>
      </c>
      <c r="B35" s="41" t="inlineStr">
        <is>
          <t>Tháp phòng không · nhánh Trạm tên lửa</t>
        </is>
      </c>
      <c r="C35" s="41" t="inlineStr">
        <is>
          <t>Tham khảo</t>
        </is>
      </c>
      <c r="D35" s="41" t="inlineStr">
        <is>
          <t>9K37 Buk (hệ thống lớn)</t>
        </is>
      </c>
      <c r="E35" s="41" t="inlineStr">
        <is>
          <t>Mistral / RBS-70 / Starstreak LML (bệ nhỏ)</t>
        </is>
      </c>
      <c r="F35" s="41" t="inlineStr">
        <is>
          <t>Buk là hệ thống cỡ tiểu đoàn, không hợp tháp ô nhỏ.</t>
        </is>
      </c>
      <c r="G35" s="41" t="inlineStr">
        <is>
          <t>Mistral ATLAS, RBS-70</t>
        </is>
      </c>
      <c r="H35" s="48" t="inlineStr">
        <is>
          <t>Trung</t>
        </is>
      </c>
    </row>
    <row r="36" ht="15" customHeight="1" s="32">
      <c r="A36" s="39" t="inlineStr">
        <is>
          <t>aa_vehicle</t>
        </is>
      </c>
      <c r="B36" s="39" t="inlineStr">
        <is>
          <t>Xe phòng không</t>
        </is>
      </c>
      <c r="C36" s="39" t="inlineStr">
        <is>
          <t>Vũ khí: Stinger</t>
        </is>
      </c>
      <c r="D36" s="39" t="inlineStr">
        <is>
          <t>tốc độ 24 (bay 1,8 s)</t>
        </is>
      </c>
      <c r="E36" s="39" t="inlineStr">
        <is>
          <t>tốc độ 42 (bay 1,05 s)</t>
        </is>
      </c>
      <c r="F36" s="39" t="inlineStr">
        <is>
          <t>Tên lửa phải nhanh hơn mục tiêu (cường kích bay 32 m/s); hiện chậm hơn.</t>
        </is>
      </c>
      <c r="G36" s="39" t="inlineStr">
        <is>
          <t>Stinger: Mach 2,2</t>
        </is>
      </c>
      <c r="H36" s="48" t="inlineStr">
        <is>
          <t>Trung</t>
        </is>
      </c>
    </row>
    <row r="37" ht="15" customHeight="1" s="32">
      <c r="A37" s="41" t="inlineStr">
        <is>
          <t>aa_vehicle</t>
        </is>
      </c>
      <c r="B37" s="41" t="inlineStr">
        <is>
          <t>Xe phòng không</t>
        </is>
      </c>
      <c r="C37" s="41" t="inlineStr">
        <is>
          <t>Giáp (T/H/S/N)</t>
        </is>
      </c>
      <c r="D37" s="41" t="inlineStr">
        <is>
          <t>1/0/0/0</t>
        </is>
      </c>
      <c r="E37" s="41" t="inlineStr">
        <is>
          <t>2/1/1/0</t>
        </is>
      </c>
      <c r="F37" s="41" t="inlineStr">
        <is>
          <t>Gepard dùng khung Leopard 1.</t>
        </is>
      </c>
      <c r="G37" s="41" t="n"/>
      <c r="H37" s="48" t="inlineStr">
        <is>
          <t>Trung</t>
        </is>
      </c>
    </row>
    <row r="38" ht="21.75" customHeight="1" s="32">
      <c r="A38" s="39" t="inlineStr">
        <is>
          <t>argus</t>
        </is>
      </c>
      <c r="B38" s="39" t="inlineStr">
        <is>
          <t>Argus · Khí cầu trinh sát</t>
        </is>
      </c>
      <c r="C38" s="39" t="inlineStr">
        <is>
          <t>Máu</t>
        </is>
      </c>
      <c r="D38" s="42" t="n">
        <v>7410</v>
      </c>
      <c r="E38" s="39" t="inlineStr">
        <is>
          <t>10350–13800</t>
        </is>
      </c>
      <c r="F38" s="39" t="inlineStr">
        <is>
          <t>Theo thang máu boss mới (Tổng quan): mini boss bằng 45–60% boss chủ lực chương 10. Máu gốc trước scale chiến dịch.</t>
        </is>
      </c>
      <c r="G38" s="39" t="n"/>
      <c r="H38" s="48" t="inlineStr">
        <is>
          <t>Trung</t>
        </is>
      </c>
    </row>
    <row r="39" ht="15" customHeight="1" s="32">
      <c r="A39" s="41" t="inlineStr">
        <is>
          <t>armored_bulldozer</t>
        </is>
      </c>
      <c r="B39" s="41" t="inlineStr">
        <is>
          <t>Xe ủi bọc thép</t>
        </is>
      </c>
      <c r="C39" s="41" t="inlineStr">
        <is>
          <t>Tốc độ</t>
        </is>
      </c>
      <c r="D39" s="43" t="n">
        <v>5</v>
      </c>
      <c r="E39" s="41" t="inlineStr">
        <is>
          <t>4 m/s</t>
        </is>
      </c>
      <c r="F39" s="41" t="inlineStr">
        <is>
          <t>D9R thật chỉ ~15 km/h; giữ nhanh hơn thực tế một chút để không kẹt nhịp.</t>
        </is>
      </c>
      <c r="G39" s="41" t="n"/>
      <c r="H39" s="48" t="inlineStr">
        <is>
          <t>Trung</t>
        </is>
      </c>
    </row>
    <row r="40" ht="21.75" customHeight="1" s="32">
      <c r="A40" s="39" t="inlineStr">
        <is>
          <t>armored_train</t>
        </is>
      </c>
      <c r="B40" s="39" t="inlineStr">
        <is>
          <t>Juggernaut · Đoàn tàu bọc thép</t>
        </is>
      </c>
      <c r="C40" s="39" t="inlineStr">
        <is>
          <t>Máu</t>
        </is>
      </c>
      <c r="D40" s="42" t="n">
        <v>5820</v>
      </c>
      <c r="E40" s="39" t="inlineStr">
        <is>
          <t>7650–10200</t>
        </is>
      </c>
      <c r="F40" s="39" t="inlineStr">
        <is>
          <t>Theo thang máu boss mới (Tổng quan): mini boss bằng 45–60% boss chủ lực chương 4. Máu gốc trước scale chiến dịch.</t>
        </is>
      </c>
      <c r="G40" s="39" t="n"/>
      <c r="H40" s="48" t="inlineStr">
        <is>
          <t>Trung</t>
        </is>
      </c>
    </row>
    <row r="41" ht="15" customHeight="1" s="32">
      <c r="A41" s="41" t="inlineStr">
        <is>
          <t>artillery</t>
        </is>
      </c>
      <c r="B41" s="41" t="inlineStr">
        <is>
          <t>Pháo tự hành</t>
        </is>
      </c>
      <c r="C41" s="41" t="inlineStr">
        <is>
          <t>Giáp (T/H/S/N)</t>
        </is>
      </c>
      <c r="D41" s="41" t="inlineStr">
        <is>
          <t>1/0/0/0</t>
        </is>
      </c>
      <c r="E41" s="41" t="inlineStr">
        <is>
          <t>2/1/1/0</t>
        </is>
      </c>
      <c r="F41" s="41" t="inlineStr">
        <is>
          <t>M109 có giáp nhẹ chống mảnh (nếu đổi model sang M109).</t>
        </is>
      </c>
      <c r="G41" s="41" t="n"/>
      <c r="H41" s="48" t="inlineStr">
        <is>
          <t>Trung</t>
        </is>
      </c>
    </row>
    <row r="42" ht="21.75" customHeight="1" s="32">
      <c r="A42" s="39"/>
      <c r="B42" s="39"/>
      <c r="C42" s="39"/>
      <c r="D42" s="39"/>
      <c r="E42" s="39"/>
      <c r="F42" s="39"/>
      <c r="G42" s="39"/>
      <c r="H42" s="48"/>
    </row>
    <row r="43" ht="15" customHeight="1" s="32">
      <c r="A43" s="41" t="inlineStr">
        <is>
          <t>attack_helicopter</t>
        </is>
      </c>
      <c r="B43" s="41" t="inlineStr">
        <is>
          <t>Trực thăng tấn công</t>
        </is>
      </c>
      <c r="C43" s="41" t="inlineStr">
        <is>
          <t>Vũ khí: Hellfire, Stinger ATAS</t>
        </is>
      </c>
      <c r="D43" s="41" t="inlineStr">
        <is>
          <t>Hellfire tốc độ 24 · ATAS tốc độ 24</t>
        </is>
      </c>
      <c r="E43" s="41" t="inlineStr">
        <is>
          <t>Hellfire 26 (bay 2,1 s ở 55 m) · ATAS 42</t>
        </is>
      </c>
      <c r="F43" s="41" t="inlineStr">
        <is>
          <t>Thống nhất Hellfire mọi nơi; ATAS đủ nhanh để bắn trực thăng địch.</t>
        </is>
      </c>
      <c r="G43" s="41" t="inlineStr">
        <is>
          <t>Hellfire: Mach 1,3</t>
        </is>
      </c>
      <c r="H43" s="48" t="inlineStr">
        <is>
          <t>Trung</t>
        </is>
      </c>
    </row>
    <row r="44" ht="15" customHeight="1" s="32">
      <c r="A44" s="39" t="inlineStr">
        <is>
          <t>attack_jet</t>
        </is>
      </c>
      <c r="B44" s="39" t="inlineStr">
        <is>
          <t>Máy bay cường kích</t>
        </is>
      </c>
      <c r="C44" s="39" t="inlineStr">
        <is>
          <t>Vũ khí: GSh-30-2</t>
        </is>
      </c>
      <c r="D44" s="39" t="inlineStr">
        <is>
          <t>băng 94 viên</t>
        </is>
      </c>
      <c r="E44" s="39" t="inlineStr">
        <is>
          <t>băng 70 viên, nạp 1,5 s</t>
        </is>
      </c>
      <c r="F44" s="39" t="inlineStr">
        <is>
          <t>Lần cân bằng 2: vẫn mạnh sau khi tăng giá và bớt bom.</t>
        </is>
      </c>
      <c r="G44" s="39" t="inlineStr">
        <is>
          <t>Su-25: 250 viên cả lượt bay</t>
        </is>
      </c>
      <c r="H44" s="48" t="inlineStr">
        <is>
          <t>Trung</t>
        </is>
      </c>
    </row>
    <row r="45" ht="21.75" customHeight="1" s="32">
      <c r="A45" s="41" t="inlineStr">
        <is>
          <t>ballistic_launcher</t>
        </is>
      </c>
      <c r="B45" s="41" t="inlineStr">
        <is>
          <t>Xe phóng tên lửa đạn đạo</t>
        </is>
      </c>
      <c r="C45" s="41" t="inlineStr">
        <is>
          <t>Vũ khí: Iskander</t>
        </is>
      </c>
      <c r="D45" s="41" t="inlineStr">
        <is>
          <t>tốc độ 24 (bay 7,5 s) · nổ lan 12 m</t>
        </is>
      </c>
      <c r="E45" s="41" t="inlineStr">
        <is>
          <t>tốc độ 50 (bay 3,6 s) · nổ lan 10 m</t>
        </is>
      </c>
      <c r="F45" s="41" t="inlineStr">
        <is>
          <t>Tên lửa đạn đạo phải là thứ nhanh nhất; vẫn đủ thời gian cho PAC-3 đánh chặn.</t>
        </is>
      </c>
      <c r="G45" s="41" t="inlineStr">
        <is>
          <t>Iskander 9M723: đầu nổ ~480 kg</t>
        </is>
      </c>
      <c r="H45" s="48" t="inlineStr">
        <is>
          <t>Trung</t>
        </is>
      </c>
    </row>
    <row r="46" ht="15" customHeight="1" s="32">
      <c r="A46" s="39" t="inlineStr">
        <is>
          <t>bastion_mk0</t>
        </is>
      </c>
      <c r="B46" s="39" t="inlineStr">
        <is>
          <t>Bastion Mk.0 · Pháo đài nguyên mẫu</t>
        </is>
      </c>
      <c r="C46" s="39" t="inlineStr">
        <is>
          <t>Máu, giáp</t>
        </is>
      </c>
      <c r="D46" s="39" t="inlineStr">
        <is>
          <t>12.576 · 5/4/4/3</t>
        </is>
      </c>
      <c r="E46" s="39" t="inlineStr">
        <is>
          <t>~6.000 · trước 5→4</t>
        </is>
      </c>
      <c r="F46" s="39" t="inlineStr">
        <is>
          <t>Mini boss chương 1 nhiều máu hơn boss chủ lực chương 2.</t>
        </is>
      </c>
      <c r="G46" s="39" t="inlineStr">
        <is>
          <t>Thang máu boss</t>
        </is>
      </c>
      <c r="H46" s="48" t="inlineStr">
        <is>
          <t>Trung</t>
        </is>
      </c>
    </row>
    <row r="47" ht="15" customHeight="1" s="32">
      <c r="A47" s="41" t="inlineStr">
        <is>
          <t>behemoth</t>
        </is>
      </c>
      <c r="B47" s="41" t="inlineStr">
        <is>
          <t>Behemoth · Quái vật thép</t>
        </is>
      </c>
      <c r="C47" s="41" t="inlineStr">
        <is>
          <t>Máu</t>
        </is>
      </c>
      <c r="D47" s="41" t="inlineStr">
        <is>
          <t>10.115</t>
        </is>
      </c>
      <c r="E47" s="41" t="inlineStr">
        <is>
          <t>~13.000</t>
        </is>
      </c>
      <c r="F47" s="41" t="inlineStr">
        <is>
          <t>Boss chủ lực chương 2 ít máu hơn mini boss chương 1.</t>
        </is>
      </c>
      <c r="G47" s="41" t="inlineStr">
        <is>
          <t>Thang máu boss</t>
        </is>
      </c>
      <c r="H47" s="48" t="inlineStr">
        <is>
          <t>Trung</t>
        </is>
      </c>
    </row>
    <row r="48" ht="21.75" customHeight="1" s="32">
      <c r="A48" s="39" t="inlineStr">
        <is>
          <t>behemoth_mk2</t>
        </is>
      </c>
      <c r="B48" s="39" t="inlineStr">
        <is>
          <t>Behemoth Mk.II · Behemoth nâng cấp</t>
        </is>
      </c>
      <c r="C48" s="39" t="inlineStr">
        <is>
          <t>Máu</t>
        </is>
      </c>
      <c r="D48" s="42" t="n">
        <v>6942</v>
      </c>
      <c r="E48" s="39" t="inlineStr">
        <is>
          <t>8550–11400</t>
        </is>
      </c>
      <c r="F48" s="39" t="inlineStr">
        <is>
          <t>Theo thang máu boss mới (Tổng quan): mini boss bằng 45–60% boss chủ lực chương 6. Máu gốc trước scale chiến dịch.</t>
        </is>
      </c>
      <c r="G48" s="39" t="n"/>
      <c r="H48" s="48" t="inlineStr">
        <is>
          <t>Trung</t>
        </is>
      </c>
    </row>
    <row r="49" ht="21.75" customHeight="1" s="32">
      <c r="A49" s="41" t="inlineStr">
        <is>
          <t>behemoth_tempest</t>
        </is>
      </c>
      <c r="B49" s="41" t="inlineStr">
        <is>
          <t>Tempest · Behemoth pháo điện từ</t>
        </is>
      </c>
      <c r="C49" s="41" t="inlineStr">
        <is>
          <t>Máu</t>
        </is>
      </c>
      <c r="D49" s="43" t="n">
        <v>5820</v>
      </c>
      <c r="E49" s="41" t="inlineStr">
        <is>
          <t>7650–10200</t>
        </is>
      </c>
      <c r="F49" s="41" t="inlineStr">
        <is>
          <t>Theo thang máu boss mới (Tổng quan): mini boss bằng 45–60% boss chủ lực chương 4. Máu gốc trước scale chiến dịch.</t>
        </is>
      </c>
      <c r="G49" s="41" t="n"/>
      <c r="H49" s="48" t="inlineStr">
        <is>
          <t>Trung</t>
        </is>
      </c>
    </row>
    <row r="50" ht="15" customHeight="1" s="32">
      <c r="A50" s="39"/>
      <c r="B50" s="39"/>
      <c r="C50" s="39"/>
      <c r="D50" s="39"/>
      <c r="E50" s="39"/>
      <c r="F50" s="39"/>
      <c r="G50" s="39"/>
      <c r="H50" s="48"/>
    </row>
    <row r="51" ht="15" customHeight="1" s="32">
      <c r="A51" s="41"/>
      <c r="B51" s="41"/>
      <c r="C51" s="41"/>
      <c r="D51" s="41"/>
      <c r="E51" s="41"/>
      <c r="F51" s="41"/>
      <c r="G51" s="41"/>
      <c r="H51" s="48"/>
    </row>
    <row r="52" ht="15" customHeight="1" s="32">
      <c r="A52" s="39" t="inlineStr">
        <is>
          <t>c_ram</t>
        </is>
      </c>
      <c r="B52" s="39" t="inlineStr">
        <is>
          <t>Trạm C-RAM</t>
        </is>
      </c>
      <c r="C52" s="39" t="inlineStr">
        <is>
          <t>Vũ khí: Phalanx 20 mm</t>
        </is>
      </c>
      <c r="D52" s="39" t="inlineStr">
        <is>
          <t>13/phát · 8,2 viên/s · băng 23</t>
        </is>
      </c>
      <c r="E52" s="39" t="inlineStr">
        <is>
          <t>2/phát · 50 viên/s · băng 200 (giữ khả năng đánh chặn)</t>
        </is>
      </c>
      <c r="F52" s="39" t="inlineStr">
        <is>
          <t>Không có cảm giác luồng đạn CIWS.</t>
        </is>
      </c>
      <c r="G52" s="39" t="inlineStr">
        <is>
          <t>Phalanx: 4.500 phát/phút</t>
        </is>
      </c>
      <c r="H52" s="48" t="inlineStr">
        <is>
          <t>Trung</t>
        </is>
      </c>
    </row>
    <row r="53" ht="21.75" customHeight="1" s="32">
      <c r="A53" s="41"/>
      <c r="B53" s="41"/>
      <c r="C53" s="41"/>
      <c r="D53" s="43"/>
      <c r="E53" s="41"/>
      <c r="F53" s="41"/>
      <c r="G53" s="41"/>
      <c r="H53" s="48"/>
    </row>
    <row r="54" ht="21.75" customHeight="1" s="32">
      <c r="A54" s="39" t="inlineStr">
        <is>
          <t>command_airship</t>
        </is>
      </c>
      <c r="B54" s="39" t="inlineStr">
        <is>
          <t>Roc · Khí cầu chỉ huy</t>
        </is>
      </c>
      <c r="C54" s="39" t="inlineStr">
        <is>
          <t>Máu</t>
        </is>
      </c>
      <c r="D54" s="42" t="n">
        <v>16575</v>
      </c>
      <c r="E54" s="39" t="inlineStr">
        <is>
          <t>20700–25300</t>
        </is>
      </c>
      <c r="F54" s="39" t="inlineStr">
        <is>
          <t>Theo thang máu boss mới (Tổng quan): boss chủ lực chương 10. Máu gốc trước scale chiến dịch.</t>
        </is>
      </c>
      <c r="G54" s="39" t="n"/>
      <c r="H54" s="48" t="inlineStr">
        <is>
          <t>Trung</t>
        </is>
      </c>
    </row>
    <row r="55" ht="15" customHeight="1" s="32">
      <c r="A55" s="41" t="inlineStr">
        <is>
          <t>command_vehicle</t>
        </is>
      </c>
      <c r="B55" s="41" t="inlineStr">
        <is>
          <t>Xe chỉ huy</t>
        </is>
      </c>
      <c r="C55" s="41" t="inlineStr">
        <is>
          <t>Giáp (T/H/S/N)</t>
        </is>
      </c>
      <c r="D55" s="41" t="inlineStr">
        <is>
          <t>2/1/0/0</t>
        </is>
      </c>
      <c r="E55" s="41" t="inlineStr">
        <is>
          <t>1/1/0/0</t>
        </is>
      </c>
      <c r="F55" s="41" t="inlineStr">
        <is>
          <t>Stryker bọc thép nhẹ.</t>
        </is>
      </c>
      <c r="G55" s="41" t="n"/>
      <c r="H55" s="48" t="inlineStr">
        <is>
          <t>Trung</t>
        </is>
      </c>
    </row>
    <row r="56" ht="15" customHeight="1" s="32">
      <c r="A56" s="39" t="inlineStr">
        <is>
          <t>daedalus</t>
        </is>
      </c>
      <c r="B56" s="39" t="inlineStr">
        <is>
          <t>Daedalus · Tàu đổ bộ quỹ đạo</t>
        </is>
      </c>
      <c r="C56" s="39" t="inlineStr">
        <is>
          <t>Kích thước</t>
        </is>
      </c>
      <c r="D56" s="39" t="inlineStr">
        <is>
          <t>36.4 × 20.4 × 11.8</t>
        </is>
      </c>
      <c r="E56" s="39" t="inlineStr">
        <is>
          <t>~45 × 26 m</t>
        </is>
      </c>
      <c r="F56" s="39" t="inlineStr">
        <is>
          <t>Boss chủ lực chương 11 nhỏ hơn mini boss Caspian.</t>
        </is>
      </c>
      <c r="G56" s="39" t="n"/>
      <c r="H56" s="48" t="inlineStr">
        <is>
          <t>Trung</t>
        </is>
      </c>
    </row>
    <row r="57" ht="15" customHeight="1" s="32">
      <c r="A57" s="41" t="inlineStr">
        <is>
          <t>engineer_vehicle</t>
        </is>
      </c>
      <c r="B57" s="41" t="inlineStr">
        <is>
          <t>Xe công binh</t>
        </is>
      </c>
      <c r="C57" s="41" t="inlineStr">
        <is>
          <t>Giáp (T/H/S/N)</t>
        </is>
      </c>
      <c r="D57" s="41" t="inlineStr">
        <is>
          <t>2/1/0/0</t>
        </is>
      </c>
      <c r="E57" s="41" t="inlineStr">
        <is>
          <t>2/1/1/0</t>
        </is>
      </c>
      <c r="F57" s="41" t="inlineStr">
        <is>
          <t>Khung xe tăng cứu kéo.</t>
        </is>
      </c>
      <c r="G57" s="41" t="n"/>
      <c r="H57" s="48" t="inlineStr">
        <is>
          <t>Trung</t>
        </is>
      </c>
    </row>
    <row r="58" ht="21.75" customHeight="1" s="32">
      <c r="A58" s="39" t="inlineStr">
        <is>
          <t>flame_tank</t>
        </is>
      </c>
      <c r="B58" s="39" t="inlineStr">
        <is>
          <t>Tăng phun lửa</t>
        </is>
      </c>
      <c r="C58" s="39" t="inlineStr">
        <is>
          <t>Kích thước model (dài × rộng × cao)</t>
        </is>
      </c>
      <c r="D58" s="39" t="inlineStr">
        <is>
          <t>5.0 × 2.8 × 2.7</t>
        </is>
      </c>
      <c r="E58" s="39" t="inlineStr">
        <is>
          <t>7.2 × 2.6 × 1.9</t>
        </is>
      </c>
      <c r="F58" s="39" t="inlineStr">
        <is>
          <t>Mẫu thật TO-55 (khung T-55): 9.0 × 3.3 m; theo tỷ lệ chung (mặt đất 0,8) nên là 7.2 × 2.6 m. Đổi kích thước thì chỉnh vùng va chạm và chạy lại test xe kẹt.</t>
        </is>
      </c>
      <c r="G58" s="39" t="n"/>
      <c r="H58" s="48" t="inlineStr">
        <is>
          <t>Trung</t>
        </is>
      </c>
    </row>
    <row r="59" ht="15" customHeight="1" s="32">
      <c r="A59" s="41" t="inlineStr">
        <is>
          <t>fortress_bastion</t>
        </is>
      </c>
      <c r="B59" s="41" t="inlineStr">
        <is>
          <t>Bastion · Pháo đài</t>
        </is>
      </c>
      <c r="C59" s="41" t="inlineStr">
        <is>
          <t>Máu</t>
        </is>
      </c>
      <c r="D59" s="41" t="inlineStr">
        <is>
          <t>17.935 (chương 1)</t>
        </is>
      </c>
      <c r="E59" s="41" t="inlineStr">
        <is>
          <t>~12.000</t>
        </is>
      </c>
      <c r="F59" s="41" t="inlineStr">
        <is>
          <t>Boss chương 1 gần bằng boss chương 9–12.</t>
        </is>
      </c>
      <c r="G59" s="41" t="inlineStr">
        <is>
          <t>Thang máu boss</t>
        </is>
      </c>
      <c r="H59" s="48" t="inlineStr">
        <is>
          <t>Trung</t>
        </is>
      </c>
    </row>
    <row r="60" ht="21.75" customHeight="1" s="32">
      <c r="A60" s="39"/>
      <c r="B60" s="39"/>
      <c r="C60" s="39"/>
      <c r="D60" s="42"/>
      <c r="E60" s="39"/>
      <c r="F60" s="39"/>
      <c r="G60" s="39"/>
      <c r="H60" s="48"/>
    </row>
    <row r="61" ht="15" customHeight="1" s="32">
      <c r="A61" s="41" t="inlineStr">
        <is>
          <t>gun_turret.long</t>
        </is>
      </c>
      <c r="B61" s="41" t="inlineStr">
        <is>
          <t>Tháp pháo · nhánh Pháo bắn tỉa</t>
        </is>
      </c>
      <c r="C61" s="41" t="inlineStr">
        <is>
          <t>Vũ khí: 120 mm L/55</t>
        </is>
      </c>
      <c r="D61" s="41" t="inlineStr">
        <is>
          <t>DPS 48/62 (thấp hơn bản gốc 65/83)</t>
        </is>
      </c>
      <c r="E61" s="41" t="inlineStr">
        <is>
          <t>phát đầu tiên vào mục tiêu mới +50% sát thương, hoặc xuyên +1 cấp</t>
        </is>
      </c>
      <c r="F61" s="41" t="inlineStr">
        <is>
          <t>Nhánh bắn tỉa cần một ưu thế rõ ngoài tầm.</t>
        </is>
      </c>
      <c r="G61" s="41" t="inlineStr">
        <is>
          <t>Rh-120 L/55: sơ tốc cao hơn L/44</t>
        </is>
      </c>
      <c r="H61" s="48" t="inlineStr">
        <is>
          <t>Trung</t>
        </is>
      </c>
    </row>
    <row r="62" ht="21.75" customHeight="1" s="32">
      <c r="A62" s="39"/>
      <c r="B62" s="39"/>
      <c r="C62" s="39"/>
      <c r="D62" s="39"/>
      <c r="E62" s="39"/>
      <c r="F62" s="39"/>
      <c r="G62" s="39"/>
      <c r="H62" s="48"/>
    </row>
    <row r="63" ht="15" customHeight="1" s="32">
      <c r="A63" s="41"/>
      <c r="B63" s="41"/>
      <c r="C63" s="41"/>
      <c r="D63" s="41"/>
      <c r="E63" s="41"/>
      <c r="F63" s="41"/>
      <c r="G63" s="41"/>
      <c r="H63" s="48"/>
    </row>
    <row r="64" ht="21.75" customHeight="1" s="32">
      <c r="A64" s="39"/>
      <c r="B64" s="39"/>
      <c r="C64" s="39"/>
      <c r="D64" s="42"/>
      <c r="E64" s="39"/>
      <c r="F64" s="39"/>
      <c r="G64" s="39"/>
      <c r="H64" s="48"/>
    </row>
    <row r="65" ht="15" customHeight="1" s="32">
      <c r="A65" s="41" t="inlineStr">
        <is>
          <t>heavy_aa</t>
        </is>
      </c>
      <c r="B65" s="41" t="inlineStr">
        <is>
          <t>Pháo tên lửa phòng không</t>
        </is>
      </c>
      <c r="C65" s="41" t="inlineStr">
        <is>
          <t>Giá</t>
        </is>
      </c>
      <c r="D65" s="41" t="inlineStr">
        <is>
          <t>6 CP (rẻ hơn Buk 7 CP)</t>
        </is>
      </c>
      <c r="E65" s="41" t="inlineStr">
        <is>
          <t>7 CP</t>
        </is>
      </c>
      <c r="F65" s="41" t="inlineStr">
        <is>
          <t>Pantsir đắt ngang hoặc hơn Buk ngoài đời, hiệu quả 1,14 × trung vị.</t>
        </is>
      </c>
      <c r="G65" s="41" t="inlineStr">
        <is>
          <t>Pantsir-S1 ~13–15 triệu USD</t>
        </is>
      </c>
      <c r="H65" s="48" t="inlineStr">
        <is>
          <t>Trung</t>
        </is>
      </c>
    </row>
    <row r="66" ht="15" customHeight="1" s="32">
      <c r="A66" s="39" t="inlineStr">
        <is>
          <t>heavy_bomber</t>
        </is>
      </c>
      <c r="B66" s="39" t="inlineStr">
        <is>
          <t>Oanh tạc cơ hạng nặng</t>
        </is>
      </c>
      <c r="C66" s="39" t="inlineStr">
        <is>
          <t>Vũ khí: Kh-101</t>
        </is>
      </c>
      <c r="D66" s="39" t="inlineStr">
        <is>
          <t>nổ lan 6 m · tốc độ 17</t>
        </is>
      </c>
      <c r="E66" s="39" t="inlineStr">
        <is>
          <t>nổ lan 9 m · tốc độ 22 (bay 5 s)</t>
        </is>
      </c>
      <c r="F66" s="39" t="inlineStr">
        <is>
          <t>Như JASSM.</t>
        </is>
      </c>
      <c r="G66" s="39" t="inlineStr">
        <is>
          <t>Kh-101: đầu nổ 400 kg</t>
        </is>
      </c>
      <c r="H66" s="48" t="inlineStr">
        <is>
          <t>Trung</t>
        </is>
      </c>
    </row>
    <row r="67" ht="21.75" customHeight="1" s="32">
      <c r="A67" s="41" t="inlineStr">
        <is>
          <t>heavy_bomber</t>
        </is>
      </c>
      <c r="B67" s="41" t="inlineStr">
        <is>
          <t>Oanh tạc cơ hạng nặng</t>
        </is>
      </c>
      <c r="C67" s="41" t="inlineStr">
        <is>
          <t>Vũ khí: FAB-500</t>
        </is>
      </c>
      <c r="D67" s="41" t="inlineStr">
        <is>
          <t>9 quả mỗi lượt</t>
        </is>
      </c>
      <c r="E67" s="41" t="inlineStr">
        <is>
          <t>7 quả mỗi lượt</t>
        </is>
      </c>
      <c r="F67" s="41" t="inlineStr">
        <is>
          <t>Lần cân bằng 2: vẫn mạnh hơn trung vị máy bay cả khi đo DPS và giá trị thực chiến.</t>
        </is>
      </c>
      <c r="G67" s="41" t="inlineStr">
        <is>
          <t>B-52</t>
        </is>
      </c>
      <c r="H67" s="48" t="inlineStr">
        <is>
          <t>Trung</t>
        </is>
      </c>
    </row>
    <row r="68" ht="21.75" customHeight="1" s="32">
      <c r="A68" s="39" t="inlineStr">
        <is>
          <t>heavy_tank</t>
        </is>
      </c>
      <c r="B68" s="39" t="inlineStr">
        <is>
          <t>Tăng hạng nặng</t>
        </is>
      </c>
      <c r="C68" s="39" t="inlineStr">
        <is>
          <t>Tham khảo, giá</t>
        </is>
      </c>
      <c r="D68" s="39" t="inlineStr">
        <is>
          <t>tham khảo T-14 (danh sách giữ lại) · 12 CP (hiệu quả 1,16)</t>
        </is>
      </c>
      <c r="E68" s="39" t="inlineStr">
        <is>
          <t>bỏ T-14 khỏi tham khảo, giữ Object 195 / T-95 · giá 13 CP</t>
        </is>
      </c>
      <c r="F68" s="39" t="inlineStr">
        <is>
          <t>Tránh vướng danh sách giữ lại; hơi mạnh so với giá.</t>
        </is>
      </c>
      <c r="G68" s="39" t="inlineStr">
        <is>
          <t>Object 195</t>
        </is>
      </c>
      <c r="H68" s="48" t="inlineStr">
        <is>
          <t>Trung</t>
        </is>
      </c>
    </row>
    <row r="69" ht="21.75" customHeight="1" s="32">
      <c r="A69" s="41" t="inlineStr">
        <is>
          <t>heavy_tank</t>
        </is>
      </c>
      <c r="B69" s="41" t="inlineStr">
        <is>
          <t>Tăng hạng nặng</t>
        </is>
      </c>
      <c r="C69" s="41" t="inlineStr">
        <is>
          <t>Tốc độ xoay thân / tháp</t>
        </is>
      </c>
      <c r="D69" s="41" t="inlineStr">
        <is>
          <t>1 / 1</t>
        </is>
      </c>
      <c r="E69" s="41" t="inlineStr">
        <is>
          <t>1 / 2</t>
        </is>
      </c>
      <c r="F69" s="41" t="inlineStr">
        <is>
          <t>Tháp pháo xe tăng thật xoay nhanh hơn thân (~40°/s); hiện bằng thân. Lưu ý: đơn vị ghi °/s nhưng giá trị 1–6 có vẻ là rad/s, cần kiểm lại nhãn.</t>
        </is>
      </c>
      <c r="G69" s="41" t="n"/>
      <c r="H69" s="48" t="inlineStr">
        <is>
          <t>Trung</t>
        </is>
      </c>
    </row>
    <row r="70" ht="21.75" customHeight="1" s="32">
      <c r="A70" s="39" t="inlineStr">
        <is>
          <t>heavy_turret</t>
        </is>
      </c>
      <c r="B70" s="39" t="inlineStr">
        <is>
          <t>Pháo đài hạng nặng</t>
        </is>
      </c>
      <c r="C70" s="39" t="inlineStr">
        <is>
          <t>Vũ khí: 155 mm đôi</t>
        </is>
      </c>
      <c r="D70" s="39" t="inlineStr">
        <is>
          <t>138/98 · chỉ đạn nổ mạnh (xuyên 3)</t>
        </is>
      </c>
      <c r="E70" s="39" t="inlineStr">
        <is>
          <t>thêm đạn xuyên 155 mm (xuyên 4, ~300/phát), tự đổi như Tăng hạng nặng; nổ lan 4,5→7 m</t>
        </is>
      </c>
      <c r="F70" s="39" t="inlineStr">
        <is>
          <t>Chống xe nặng dưới mục tiêu 140; bán kính nổ lệch các khẩu 155 khác.</t>
        </is>
      </c>
      <c r="G70" s="39" t="inlineStr">
        <is>
          <t>Pháo bờ biển 155 mm</t>
        </is>
      </c>
      <c r="H70" s="48" t="inlineStr">
        <is>
          <t>Trung</t>
        </is>
      </c>
    </row>
    <row r="71" ht="21.75" customHeight="1" s="32">
      <c r="A71" s="41" t="inlineStr">
        <is>
          <t>icarus_mk0</t>
        </is>
      </c>
      <c r="B71" s="41" t="inlineStr">
        <is>
          <t>Icarus Mk.0 · Phi thuyền nguyên mẫu</t>
        </is>
      </c>
      <c r="C71" s="41" t="inlineStr">
        <is>
          <t>Máu</t>
        </is>
      </c>
      <c r="D71" s="43" t="n">
        <v>8696</v>
      </c>
      <c r="E71" s="41" t="inlineStr">
        <is>
          <t>10350–13800</t>
        </is>
      </c>
      <c r="F71" s="41" t="inlineStr">
        <is>
          <t>Theo thang máu boss mới (Tổng quan): mini boss bằng 45–60% boss chủ lực chương 10. Máu gốc trước scale chiến dịch.</t>
        </is>
      </c>
      <c r="G71" s="41" t="n"/>
      <c r="H71" s="48" t="inlineStr">
        <is>
          <t>Trung</t>
        </is>
      </c>
    </row>
    <row r="72" ht="15" customHeight="1" s="32">
      <c r="A72" s="39" t="inlineStr">
        <is>
          <t>ifv</t>
        </is>
      </c>
      <c r="B72" s="39" t="inlineStr">
        <is>
          <t>Xe chiến đấu bộ binh</t>
        </is>
      </c>
      <c r="C72" s="39" t="inlineStr">
        <is>
          <t>Vũ khí: 2A42 30 mm</t>
        </is>
      </c>
      <c r="D72" s="39" t="inlineStr">
        <is>
          <t>22/phát · 4,9 viên/s liên tục · băng 26</t>
        </is>
      </c>
      <c r="E72" s="39" t="inlineStr">
        <is>
          <t>22/phát · loạt 10 viên ở 9 viên/s · nghỉ 1,5 s · DPS duy trì giữ ~94</t>
        </is>
      </c>
      <c r="F72" s="39" t="inlineStr">
        <is>
          <t>Ngoài đời 2A42 bắn loạt nhanh; cảm giác "xả loạt" khác súng máy.</t>
        </is>
      </c>
      <c r="G72" s="39" t="inlineStr">
        <is>
          <t>2A42: 550–800 phát/phút</t>
        </is>
      </c>
      <c r="H72" s="48" t="inlineStr">
        <is>
          <t>Trung</t>
        </is>
      </c>
    </row>
    <row r="73" ht="21.75" customHeight="1" s="32">
      <c r="A73" s="41" t="inlineStr">
        <is>
          <t>ifv</t>
        </is>
      </c>
      <c r="B73" s="41" t="inlineStr">
        <is>
          <t>Xe chiến đấu bộ binh</t>
        </is>
      </c>
      <c r="C73" s="41" t="inlineStr">
        <is>
          <t>Vũ khí: TOW-2</t>
        </is>
      </c>
      <c r="D73" s="41" t="inlineStr">
        <is>
          <t>tầm 34 m · tốc độ 19</t>
        </is>
      </c>
      <c r="E73" s="41" t="inlineStr">
        <is>
          <t>tầm 40 m · tốc độ 20 (bay 2,0 s tới tầm tối đa)</t>
        </is>
      </c>
      <c r="F73" s="41" t="inlineStr">
        <is>
          <t>Tên lửa chống tăng phải bắn xa hơn pháo xe tăng (34 m), nếu không thì không có lý do mang.</t>
        </is>
      </c>
      <c r="G73" s="41" t="inlineStr">
        <is>
          <t>TOW-2: 3,75 km, xa hơn tầm giao chiến pháo tăng 2–3 km</t>
        </is>
      </c>
      <c r="H73" s="48" t="inlineStr">
        <is>
          <t>Trung</t>
        </is>
      </c>
    </row>
    <row r="74" ht="21.75" customHeight="1" s="32">
      <c r="A74" s="39" t="inlineStr">
        <is>
          <t>ifv</t>
        </is>
      </c>
      <c r="B74" s="39" t="inlineStr">
        <is>
          <t>Xe chiến đấu bộ binh</t>
        </is>
      </c>
      <c r="C74" s="39" t="inlineStr">
        <is>
          <t>Tốc độ</t>
        </is>
      </c>
      <c r="D74" s="42" t="n">
        <v>9</v>
      </c>
      <c r="E74" s="39" t="inlineStr">
        <is>
          <t>8 m/s</t>
        </is>
      </c>
      <c r="F74" s="39" t="inlineStr">
        <is>
          <t>Bradley và tăng chủ lực chạy gần như ngang nhau ngoài đời; hiện IFV nhanh gấp rưỡi tăng.</t>
        </is>
      </c>
      <c r="G74" s="39" t="n"/>
      <c r="H74" s="48" t="inlineStr">
        <is>
          <t>Trung</t>
        </is>
      </c>
    </row>
    <row r="75" ht="21.75" customHeight="1" s="32">
      <c r="A75" s="41" t="inlineStr">
        <is>
          <t>ixion</t>
        </is>
      </c>
      <c r="B75" s="41" t="inlineStr">
        <is>
          <t>Ixion · Xe bánh khổng lồ</t>
        </is>
      </c>
      <c r="C75" s="41" t="inlineStr">
        <is>
          <t>Máu</t>
        </is>
      </c>
      <c r="D75" s="43" t="n">
        <v>7574</v>
      </c>
      <c r="E75" s="41" t="inlineStr">
        <is>
          <t>9450–12600</t>
        </is>
      </c>
      <c r="F75" s="41" t="inlineStr">
        <is>
          <t>Theo thang máu boss mới (Tổng quan): mini boss bằng 45–60% boss chủ lực chương 8. Máu gốc trước scale chiến dịch.</t>
        </is>
      </c>
      <c r="G75" s="41" t="n"/>
      <c r="H75" s="48" t="inlineStr">
        <is>
          <t>Trung</t>
        </is>
      </c>
    </row>
    <row r="76" ht="21.75" customHeight="1" s="32">
      <c r="A76" s="39"/>
      <c r="B76" s="39"/>
      <c r="C76" s="39"/>
      <c r="D76" s="42"/>
      <c r="E76" s="39"/>
      <c r="F76" s="39"/>
      <c r="G76" s="39"/>
      <c r="H76" s="48"/>
    </row>
    <row r="77" ht="21.75" customHeight="1" s="32">
      <c r="A77" s="41" t="inlineStr">
        <is>
          <t>landing_hovercraft</t>
        </is>
      </c>
      <c r="B77" s="41" t="inlineStr">
        <is>
          <t>Charybdis · Tàu đệm khí đổ bộ</t>
        </is>
      </c>
      <c r="C77" s="41" t="inlineStr">
        <is>
          <t>Máu</t>
        </is>
      </c>
      <c r="D77" s="43" t="n">
        <v>7293</v>
      </c>
      <c r="E77" s="41" t="inlineStr">
        <is>
          <t>8550–11400</t>
        </is>
      </c>
      <c r="F77" s="41" t="inlineStr">
        <is>
          <t>Theo thang máu boss mới (Tổng quan): mini boss bằng 45–60% boss chủ lực chương 6. Máu gốc trước scale chiến dịch.</t>
        </is>
      </c>
      <c r="G77" s="41" t="n"/>
      <c r="H77" s="48" t="inlineStr">
        <is>
          <t>Trung</t>
        </is>
      </c>
    </row>
    <row r="78" ht="15" customHeight="1" s="32">
      <c r="A78" s="39" t="inlineStr">
        <is>
          <t>laser_tank</t>
        </is>
      </c>
      <c r="B78" s="39" t="inlineStr">
        <is>
          <t>Xe la-de tập trung</t>
        </is>
      </c>
      <c r="C78" s="39" t="inlineStr">
        <is>
          <t>Giá, tăng dần</t>
        </is>
      </c>
      <c r="D78" s="39" t="inlineStr">
        <is>
          <t>10 CP (hiệu quả 0,72) · đạt ×2 sau 6 s</t>
        </is>
      </c>
      <c r="E78" s="39" t="inlineStr">
        <is>
          <t>9 CP · đạt ×2 sau 4 s</t>
        </is>
      </c>
      <c r="F78" s="39" t="inlineStr">
        <is>
          <t>Kém Pháo điện từ rẻ hơn ở chính vai trò diệt tăng.</t>
        </is>
      </c>
      <c r="G78" s="39" t="inlineStr">
        <is>
          <t>Rheinmetall HEL</t>
        </is>
      </c>
      <c r="H78" s="48" t="inlineStr">
        <is>
          <t>Trung</t>
        </is>
      </c>
    </row>
    <row r="79" ht="15" customHeight="1" s="32">
      <c r="A79" s="41" t="inlineStr">
        <is>
          <t>laser_tank</t>
        </is>
      </c>
      <c r="B79" s="41" t="inlineStr">
        <is>
          <t>Xe la-de tập trung</t>
        </is>
      </c>
      <c r="C79" s="41" t="inlineStr">
        <is>
          <t>Giáp (T/H/S/N)</t>
        </is>
      </c>
      <c r="D79" s="41" t="inlineStr">
        <is>
          <t>3/2/1/1</t>
        </is>
      </c>
      <c r="E79" s="41" t="inlineStr">
        <is>
          <t>2/1/1/1</t>
        </is>
      </c>
      <c r="F79" s="41" t="inlineStr">
        <is>
          <t>Xe mang laser không phải xe tăng hạng nặng.</t>
        </is>
      </c>
      <c r="G79" s="41" t="n"/>
      <c r="H79" s="48" t="inlineStr">
        <is>
          <t>Trung</t>
        </is>
      </c>
    </row>
    <row r="80" ht="15" customHeight="1" s="32">
      <c r="A80" s="39" t="inlineStr">
        <is>
          <t>leviathan</t>
        </is>
      </c>
      <c r="B80" s="39" t="inlineStr">
        <is>
          <t>Leviathan · Thiết giáp hạm</t>
        </is>
      </c>
      <c r="C80" s="39" t="inlineStr">
        <is>
          <t>Vũ khí: 460 mm</t>
        </is>
      </c>
      <c r="D80" s="39" t="inlineStr">
        <is>
          <t>nổ lan 7 m</t>
        </is>
      </c>
      <c r="E80" s="39" t="inlineStr">
        <is>
          <t>nổ lan 13 m</t>
        </is>
      </c>
      <c r="F80" s="39" t="inlineStr">
        <is>
          <t>Đạn 1,46 tấn đang nổ nhỏ hơn cối 240 mm.</t>
        </is>
      </c>
      <c r="G80" s="39" t="inlineStr">
        <is>
          <t>Type 94 460 mm</t>
        </is>
      </c>
      <c r="H80" s="48" t="inlineStr">
        <is>
          <t>Trung</t>
        </is>
      </c>
    </row>
    <row r="81" ht="21.75" customHeight="1" s="32">
      <c r="A81" s="41" t="inlineStr">
        <is>
          <t>locust</t>
        </is>
      </c>
      <c r="B81" s="41" t="inlineStr">
        <is>
          <t>Locust · Tàu con drone</t>
        </is>
      </c>
      <c r="C81" s="41" t="inlineStr">
        <is>
          <t>Máu</t>
        </is>
      </c>
      <c r="D81" s="43" t="n">
        <v>6311</v>
      </c>
      <c r="E81" s="41" t="inlineStr">
        <is>
          <t>8100–10800</t>
        </is>
      </c>
      <c r="F81" s="41" t="inlineStr">
        <is>
          <t>Theo thang máu boss mới (Tổng quan): mini boss bằng 45–60% boss chủ lực chương 5. Máu gốc trước scale chiến dịch.</t>
        </is>
      </c>
      <c r="G81" s="41" t="n"/>
      <c r="H81" s="48" t="inlineStr">
        <is>
          <t>Trung</t>
        </is>
      </c>
    </row>
    <row r="82" ht="15" customHeight="1" s="32">
      <c r="A82" s="39" t="inlineStr">
        <is>
          <t>long_sam</t>
        </is>
      </c>
      <c r="B82" s="39" t="inlineStr">
        <is>
          <t>Tên lửa phòng không tầm xa</t>
        </is>
      </c>
      <c r="C82" s="39" t="inlineStr">
        <is>
          <t>Vũ khí: 48N6</t>
        </is>
      </c>
      <c r="D82" s="39" t="inlineStr">
        <is>
          <t>tốc độ 24 (bay 4,0 s)</t>
        </is>
      </c>
      <c r="E82" s="39" t="inlineStr">
        <is>
          <t>tốc độ 65 (bay 1,5 s)</t>
        </is>
      </c>
      <c r="F82" s="39" t="inlineStr">
        <is>
          <t>Tên lửa tầm xa cần nhanh để trúng máy bay ở rìa tầm.</t>
        </is>
      </c>
      <c r="G82" s="39" t="inlineStr">
        <is>
          <t>48N6: Mach 6</t>
        </is>
      </c>
      <c r="H82" s="48" t="inlineStr">
        <is>
          <t>Trung</t>
        </is>
      </c>
    </row>
    <row r="83" ht="21.75" customHeight="1" s="32">
      <c r="A83" s="41" t="inlineStr">
        <is>
          <t>main_battle_tank</t>
        </is>
      </c>
      <c r="B83" s="41" t="inlineStr">
        <is>
          <t>Tăng chủ lực</t>
        </is>
      </c>
      <c r="C83" s="41" t="inlineStr">
        <is>
          <t>Giáp (T/H/S/N)</t>
        </is>
      </c>
      <c r="D83" s="41" t="inlineStr">
        <is>
          <t>3/2/1/1</t>
        </is>
      </c>
      <c r="E83" s="41" t="inlineStr">
        <is>
          <t>4/2/1/1</t>
        </is>
      </c>
      <c r="F83" s="41" t="inlineStr">
        <is>
          <t>Giáp trước tăng chủ lực hiện đại chịu được tên lửa chống tăng thường (mặt trước tốt nhất trong nhóm xe thường).</t>
        </is>
      </c>
      <c r="G83" s="41" t="n"/>
      <c r="H83" s="48" t="inlineStr">
        <is>
          <t>Trung</t>
        </is>
      </c>
    </row>
    <row r="84" ht="15" customHeight="1" s="32">
      <c r="A84" s="39" t="inlineStr">
        <is>
          <t>main_battle_tank</t>
        </is>
      </c>
      <c r="B84" s="39" t="inlineStr">
        <is>
          <t>Tăng chủ lực</t>
        </is>
      </c>
      <c r="C84" s="39" t="inlineStr">
        <is>
          <t>Tốc độ</t>
        </is>
      </c>
      <c r="D84" s="42" t="n">
        <v>6</v>
      </c>
      <c r="E84" s="39" t="inlineStr">
        <is>
          <t>6,5 m/s</t>
        </is>
      </c>
      <c r="F84" s="39" t="inlineStr">
        <is>
          <t>Như trên: kéo gần tăng và IFV.</t>
        </is>
      </c>
      <c r="G84" s="39" t="n"/>
      <c r="H84" s="48" t="inlineStr">
        <is>
          <t>Trung</t>
        </is>
      </c>
    </row>
    <row r="85" ht="21.75" customHeight="1" s="32">
      <c r="A85" s="41" t="inlineStr">
        <is>
          <t>main_battle_tank</t>
        </is>
      </c>
      <c r="B85" s="41" t="inlineStr">
        <is>
          <t>Tăng chủ lực</t>
        </is>
      </c>
      <c r="C85" s="41" t="inlineStr">
        <is>
          <t>Tốc độ xoay thân / tháp</t>
        </is>
      </c>
      <c r="D85" s="41" t="inlineStr">
        <is>
          <t>1 / 1</t>
        </is>
      </c>
      <c r="E85" s="41" t="inlineStr">
        <is>
          <t>1 / 2</t>
        </is>
      </c>
      <c r="F85" s="41" t="inlineStr">
        <is>
          <t>Tháp pháo xe tăng thật xoay nhanh hơn thân (~40°/s); hiện bằng thân. Lưu ý: đơn vị ghi °/s nhưng giá trị 1–6 có vẻ là rad/s, cần kiểm lại nhãn.</t>
        </is>
      </c>
      <c r="G85" s="41" t="n"/>
      <c r="H85" s="48" t="inlineStr">
        <is>
          <t>Trung</t>
        </is>
      </c>
    </row>
    <row r="86" ht="15" customHeight="1" s="32">
      <c r="A86" s="39" t="inlineStr">
        <is>
          <t>mine_layer</t>
        </is>
      </c>
      <c r="B86" s="39" t="inlineStr">
        <is>
          <t>Xe rải mìn</t>
        </is>
      </c>
      <c r="C86" s="39" t="inlineStr">
        <is>
          <t>Giáp (T/H/S/N)</t>
        </is>
      </c>
      <c r="D86" s="39" t="inlineStr">
        <is>
          <t>1/0/0/0</t>
        </is>
      </c>
      <c r="E86" s="39" t="inlineStr">
        <is>
          <t>1/1/0/0</t>
        </is>
      </c>
      <c r="F86" s="39" t="inlineStr">
        <is>
          <t>Khung bọc thép nhẹ.</t>
        </is>
      </c>
      <c r="G86" s="39" t="n"/>
      <c r="H86" s="48" t="inlineStr">
        <is>
          <t>Trung</t>
        </is>
      </c>
    </row>
    <row r="87" ht="21.75" customHeight="1" s="32">
      <c r="A87" s="41" t="inlineStr">
        <is>
          <t>missile_battery.lrr</t>
        </is>
      </c>
      <c r="B87" s="41" t="inlineStr">
        <is>
          <t>Tên lửa Patriot tầm xa · nhánh Radar tầm xa</t>
        </is>
      </c>
      <c r="C87" s="41" t="inlineStr">
        <is>
          <t>Vũ khí</t>
        </is>
      </c>
      <c r="D87" s="41" t="inlineStr">
        <is>
          <t>chống máy bay 186 · tầm 100</t>
        </is>
      </c>
      <c r="E87" s="41" t="inlineStr">
        <is>
          <t>chống máy bay 260</t>
        </is>
      </c>
      <c r="F87" s="41" t="inlineStr">
        <is>
          <t>Nhánh chống máy bay phải mạnh hơn nhánh đánh chặn ở vai trò chống máy bay.</t>
        </is>
      </c>
      <c r="G87" s="41" t="inlineStr">
        <is>
          <t>Patriot radar tầm xa</t>
        </is>
      </c>
      <c r="H87" s="48" t="inlineStr">
        <is>
          <t>Trung</t>
        </is>
      </c>
    </row>
    <row r="88" ht="21.75" customHeight="1" s="32">
      <c r="A88" s="39" t="inlineStr">
        <is>
          <t>missile_battery.pac3</t>
        </is>
      </c>
      <c r="B88" s="39" t="inlineStr">
        <is>
          <t>Tên lửa Patriot tầm xa · nhánh PAC-3 đánh chặn</t>
        </is>
      </c>
      <c r="C88" s="39" t="inlineStr">
        <is>
          <t>Vũ khí: PAC-3</t>
        </is>
      </c>
      <c r="D88" s="39" t="inlineStr">
        <is>
          <t>tốc độ 24</t>
        </is>
      </c>
      <c r="E88" s="39" t="inlineStr">
        <is>
          <t>tốc độ 65; đo số tên lửa đòn lớn boss bắn hạ được</t>
        </is>
      </c>
      <c r="F88" s="39" t="inlineStr">
        <is>
          <t>Tên lửa đánh chặn phải nhanh hơn tên lửa hành trình và đạn đạo.</t>
        </is>
      </c>
      <c r="G88" s="39" t="inlineStr">
        <is>
          <t>PAC-3 MSE: Mach 5</t>
        </is>
      </c>
      <c r="H88" s="48" t="inlineStr">
        <is>
          <t>Trung</t>
        </is>
      </c>
    </row>
    <row r="89" ht="15" customHeight="1" s="32">
      <c r="A89" s="41" t="inlineStr">
        <is>
          <t>mlrs</t>
        </is>
      </c>
      <c r="B89" s="41" t="inlineStr">
        <is>
          <t>Pháo phản lực</t>
        </is>
      </c>
      <c r="C89" s="41" t="inlineStr">
        <is>
          <t>Hành vi</t>
        </is>
      </c>
      <c r="D89" s="41" t="inlineStr">
        <is>
          <t>Đứng bắn, không dời vị trí</t>
        </is>
      </c>
      <c r="E89" s="41" t="inlineStr">
        <is>
          <t>Bắn xong một loạt thì dời vị trí 15–20 m (như Pháo tự hành)</t>
        </is>
      </c>
      <c r="F89" s="41" t="inlineStr">
        <is>
          <t>HIMARS nổi tiếng với chiến thuật bắn rồi chạy.</t>
        </is>
      </c>
      <c r="G89" s="41" t="inlineStr">
        <is>
          <t>HIMARS</t>
        </is>
      </c>
      <c r="H89" s="48" t="inlineStr">
        <is>
          <t>Trung</t>
        </is>
      </c>
    </row>
    <row r="90" ht="21.75" customHeight="1" s="32">
      <c r="A90" s="39" t="inlineStr">
        <is>
          <t>mlrs</t>
        </is>
      </c>
      <c r="B90" s="39" t="inlineStr">
        <is>
          <t>Pháo phản lực</t>
        </is>
      </c>
      <c r="C90" s="39" t="inlineStr">
        <is>
          <t>Giá</t>
        </is>
      </c>
      <c r="D90" s="39" t="inlineStr">
        <is>
          <t>6 CP (hiệu quả 1,14 × trung vị pháo binh)</t>
        </is>
      </c>
      <c r="E90" s="39" t="inlineStr">
        <is>
          <t>7 CP</t>
        </is>
      </c>
      <c r="F90" s="39" t="inlineStr">
        <is>
          <t>Mạnh hơn pháo tự hành cùng giá; HIMARS ngoài đời đắt hơn lựu pháo.</t>
        </is>
      </c>
      <c r="G90" s="39" t="inlineStr">
        <is>
          <t>HIMARS ~5 triệu USD mỗi bệ, rốc-két ~160 nghìn USD/quả</t>
        </is>
      </c>
      <c r="H90" s="48" t="inlineStr">
        <is>
          <t>Trung</t>
        </is>
      </c>
    </row>
    <row r="91" ht="15" customHeight="1" s="32">
      <c r="A91" s="41" t="inlineStr">
        <is>
          <t>mortar_carrier</t>
        </is>
      </c>
      <c r="B91" s="41" t="inlineStr">
        <is>
          <t>Xe súng cối</t>
        </is>
      </c>
      <c r="C91" s="41" t="inlineStr">
        <is>
          <t>Giáp (T/H/S/N)</t>
        </is>
      </c>
      <c r="D91" s="41" t="inlineStr">
        <is>
          <t>1/0/0/0</t>
        </is>
      </c>
      <c r="E91" s="41" t="inlineStr">
        <is>
          <t>1/1/0/0</t>
        </is>
      </c>
      <c r="F91" s="41" t="inlineStr">
        <is>
          <t>Khung M113.</t>
        </is>
      </c>
      <c r="G91" s="41" t="n"/>
      <c r="H91" s="48" t="inlineStr">
        <is>
          <t>Trung</t>
        </is>
      </c>
    </row>
    <row r="92" ht="21.75" customHeight="1" s="32">
      <c r="A92" s="39" t="inlineStr">
        <is>
          <t>nuke_train</t>
        </is>
      </c>
      <c r="B92" s="39" t="inlineStr">
        <is>
          <t>Nemesis · Đoàn tàu tên lửa</t>
        </is>
      </c>
      <c r="C92" s="39" t="inlineStr">
        <is>
          <t>Máu</t>
        </is>
      </c>
      <c r="D92" s="42" t="n">
        <v>13260</v>
      </c>
      <c r="E92" s="39" t="inlineStr">
        <is>
          <t>18000–22000</t>
        </is>
      </c>
      <c r="F92" s="39" t="inlineStr">
        <is>
          <t>Theo thang máu boss mới (Tổng quan): boss chủ lực chương 7. Máu gốc trước scale chiến dịch.</t>
        </is>
      </c>
      <c r="G92" s="39" t="n"/>
      <c r="H92" s="48" t="inlineStr">
        <is>
          <t>Trung</t>
        </is>
      </c>
    </row>
    <row r="93" ht="15" customHeight="1" s="32">
      <c r="A93" s="41"/>
      <c r="B93" s="41"/>
      <c r="C93" s="41"/>
      <c r="D93" s="41"/>
      <c r="E93" s="41"/>
      <c r="F93" s="41"/>
      <c r="G93" s="41"/>
      <c r="H93" s="48"/>
    </row>
    <row r="94" ht="21.75" customHeight="1" s="32">
      <c r="A94" s="39"/>
      <c r="B94" s="39"/>
      <c r="C94" s="39"/>
      <c r="D94" s="42"/>
      <c r="E94" s="39"/>
      <c r="F94" s="39"/>
      <c r="G94" s="39"/>
      <c r="H94" s="48"/>
    </row>
    <row r="95" ht="21.75" customHeight="1" s="32">
      <c r="A95" s="41" t="inlineStr">
        <is>
          <t>recon_drone</t>
        </is>
      </c>
      <c r="B95" s="41" t="inlineStr">
        <is>
          <t>UAV trinh sát</t>
        </is>
      </c>
      <c r="C95" s="41" t="inlineStr">
        <is>
          <t>Tốc độ</t>
        </is>
      </c>
      <c r="D95" s="43" t="n">
        <v>18</v>
      </c>
      <c r="E95" s="41" t="inlineStr">
        <is>
          <t>13 m/s</t>
        </is>
      </c>
      <c r="F95" s="41" t="inlineStr">
        <is>
          <t>TB2 thật chậm (~130 km/h), chậm hơn MQ-9; UAV trinh sát nên bay chậm, lượn lâu.</t>
        </is>
      </c>
      <c r="G95" s="41" t="n"/>
      <c r="H95" s="48" t="inlineStr">
        <is>
          <t>Trung</t>
        </is>
      </c>
    </row>
    <row r="96" ht="15" customHeight="1" s="32">
      <c r="A96" s="39" t="inlineStr">
        <is>
          <t>sam_launcher</t>
        </is>
      </c>
      <c r="B96" s="39" t="inlineStr">
        <is>
          <t>Tên lửa phòng không</t>
        </is>
      </c>
      <c r="C96" s="39" t="inlineStr">
        <is>
          <t>Máu</t>
        </is>
      </c>
      <c r="D96" s="39" t="inlineStr">
        <is>
          <t>1.760</t>
        </is>
      </c>
      <c r="E96" s="39" t="inlineStr">
        <is>
          <t>1.300</t>
        </is>
      </c>
      <c r="F96" s="39" t="inlineStr">
        <is>
          <t>Cao hơn cả Pantsir (1.188) dù là xe phóng tên lửa ít giáp.</t>
        </is>
      </c>
      <c r="G96" s="39" t="inlineStr">
        <is>
          <t>9A310</t>
        </is>
      </c>
      <c r="H96" s="48" t="inlineStr">
        <is>
          <t>Trung</t>
        </is>
      </c>
    </row>
    <row r="97" ht="15" customHeight="1" s="32">
      <c r="A97" s="41" t="inlineStr">
        <is>
          <t>sam_launcher</t>
        </is>
      </c>
      <c r="B97" s="41" t="inlineStr">
        <is>
          <t>Tên lửa phòng không</t>
        </is>
      </c>
      <c r="C97" s="41" t="inlineStr">
        <is>
          <t>Giáp (T/H/S/N)</t>
        </is>
      </c>
      <c r="D97" s="41" t="inlineStr">
        <is>
          <t>1/0/0/0</t>
        </is>
      </c>
      <c r="E97" s="41" t="inlineStr">
        <is>
          <t>1/1/0/0</t>
        </is>
      </c>
      <c r="F97" s="41" t="inlineStr">
        <is>
          <t>Khung GM-569 bọc nhẹ.</t>
        </is>
      </c>
      <c r="G97" s="41" t="n"/>
      <c r="H97" s="48" t="inlineStr">
        <is>
          <t>Trung</t>
        </is>
      </c>
    </row>
    <row r="98" ht="21.75" customHeight="1" s="32">
      <c r="A98" s="39" t="inlineStr">
        <is>
          <t>scout_jeep</t>
        </is>
      </c>
      <c r="B98" s="39" t="inlineStr">
        <is>
          <t>Xe trinh sát</t>
        </is>
      </c>
      <c r="C98" s="39" t="inlineStr">
        <is>
          <t>Kích thước model (dài × rộng × cao)</t>
        </is>
      </c>
      <c r="D98" s="39" t="inlineStr">
        <is>
          <t>3.7 × 1.9 × 2.0</t>
        </is>
      </c>
      <c r="E98" s="39" t="inlineStr">
        <is>
          <t>2.7 × 1.3 × 1.4</t>
        </is>
      </c>
      <c r="F98" s="39" t="inlineStr">
        <is>
          <t>Mẫu thật M151 / LRV: 3.4 × 1.6 m; theo tỷ lệ chung (mặt đất 0,8) nên là 2.7 × 1.3 m. Đổi kích thước thì chỉnh vùng va chạm và chạy lại test xe kẹt.</t>
        </is>
      </c>
      <c r="G98" s="39" t="n"/>
      <c r="H98" s="48" t="inlineStr">
        <is>
          <t>Trung</t>
        </is>
      </c>
    </row>
    <row r="99" ht="15" customHeight="1" s="32">
      <c r="A99" s="41" t="inlineStr">
        <is>
          <t>siege_tank</t>
        </is>
      </c>
      <c r="B99" s="41" t="inlineStr">
        <is>
          <t>Tăng công thành</t>
        </is>
      </c>
      <c r="C99" s="41" t="inlineStr">
        <is>
          <t>Giáp (T/H/S/N)</t>
        </is>
      </c>
      <c r="D99" s="41" t="inlineStr">
        <is>
          <t>3/2/1/1</t>
        </is>
      </c>
      <c r="E99" s="41" t="inlineStr">
        <is>
          <t>2/1/1/0</t>
        </is>
      </c>
      <c r="F99" s="41" t="inlineStr">
        <is>
          <t>2S4 Tyulpan là khung pháo tự hành, giáp nhẹ, không dày như tăng.</t>
        </is>
      </c>
      <c r="G99" s="41" t="n"/>
      <c r="H99" s="48" t="inlineStr">
        <is>
          <t>Trung</t>
        </is>
      </c>
    </row>
    <row r="100" ht="21.75" customHeight="1" s="32">
      <c r="A100" s="39" t="inlineStr">
        <is>
          <t>silver_bug</t>
        </is>
      </c>
      <c r="B100" s="39" t="inlineStr">
        <is>
          <t>Icarus · Phi thuyền quỹ đạo</t>
        </is>
      </c>
      <c r="C100" s="39" t="inlineStr">
        <is>
          <t>Kích thước</t>
        </is>
      </c>
      <c r="D100" s="39" t="inlineStr">
        <is>
          <t>37.0 × 25.0 × 8.9</t>
        </is>
      </c>
      <c r="E100" s="39" t="inlineStr">
        <is>
          <t>~60 × 40 m</t>
        </is>
      </c>
      <c r="F100" s="39" t="inlineStr">
        <is>
          <t>Trùm cuối nhỏ hơn Roc, Typhon, Nemesis, Kronos và cả mini boss Caspian; phi thuyền quỹ đạo nên là vật thể lớn nhất trên trời.</t>
        </is>
      </c>
      <c r="G100" s="39" t="n"/>
      <c r="H100" s="48" t="inlineStr">
        <is>
          <t>Trung</t>
        </is>
      </c>
    </row>
    <row r="101" ht="21.75" customHeight="1" s="32">
      <c r="A101" s="41"/>
      <c r="B101" s="41"/>
      <c r="C101" s="41"/>
      <c r="D101" s="43"/>
      <c r="E101" s="41"/>
      <c r="F101" s="41"/>
      <c r="G101" s="41"/>
      <c r="H101" s="48"/>
    </row>
    <row r="102" ht="21.75" customHeight="1" s="32">
      <c r="A102" s="39"/>
      <c r="B102" s="39"/>
      <c r="C102" s="39"/>
      <c r="D102" s="39"/>
      <c r="E102" s="39"/>
      <c r="F102" s="39"/>
      <c r="G102" s="39"/>
      <c r="H102" s="48"/>
    </row>
    <row r="103" ht="15" customHeight="1" s="32">
      <c r="A103" s="41"/>
      <c r="B103" s="41"/>
      <c r="C103" s="41"/>
      <c r="D103" s="41"/>
      <c r="E103" s="41"/>
      <c r="F103" s="41"/>
      <c r="G103" s="41"/>
      <c r="H103" s="48"/>
    </row>
    <row r="104" ht="21.75" customHeight="1" s="32">
      <c r="A104" s="39" t="inlineStr">
        <is>
          <t>stealth_bomber</t>
        </is>
      </c>
      <c r="B104" s="39" t="inlineStr">
        <is>
          <t>Máy bay ném bom tàng hình</t>
        </is>
      </c>
      <c r="C104" s="39" t="inlineStr">
        <is>
          <t>Giá</t>
        </is>
      </c>
      <c r="D104" s="39" t="inlineStr">
        <is>
          <t>18 CP (rẻ hơn Oanh tạc cơ 22 CP)</t>
        </is>
      </c>
      <c r="E104" s="39" t="inlineStr">
        <is>
          <t>21 CP</t>
        </is>
      </c>
      <c r="F104" s="39" t="inlineStr">
        <is>
          <t>Máy bay ném bom tàng hình đắt nhất thế giới lại rẻ hơn B-52; hiệu quả sau đổi giá vẫn gần trung vị.</t>
        </is>
      </c>
      <c r="G104" s="39" t="inlineStr">
        <is>
          <t>B-2 ~2 tỷ USD</t>
        </is>
      </c>
      <c r="H104" s="48" t="inlineStr">
        <is>
          <t>Trung</t>
        </is>
      </c>
    </row>
    <row r="105" ht="15" customHeight="1" s="32">
      <c r="A105" s="41" t="inlineStr">
        <is>
          <t>stealth_bomber</t>
        </is>
      </c>
      <c r="B105" s="41" t="inlineStr">
        <is>
          <t>Máy bay ném bom tàng hình</t>
        </is>
      </c>
      <c r="C105" s="41" t="inlineStr">
        <is>
          <t>Vũ khí: JASSM</t>
        </is>
      </c>
      <c r="D105" s="41" t="inlineStr">
        <is>
          <t>nổ lan 5 m · tốc độ 17</t>
        </is>
      </c>
      <c r="E105" s="41" t="inlineStr">
        <is>
          <t>nổ lan 9 m · tốc độ 20 (bay 4,5 s, đủ để bị đánh chặn)</t>
        </is>
      </c>
      <c r="F105" s="41" t="inlineStr">
        <is>
          <t>Đầu nổ 450 kg đang nổ nhỏ hơn bom 250 kg.</t>
        </is>
      </c>
      <c r="G105" s="41" t="inlineStr">
        <is>
          <t>JASSM: đầu nổ 450 kg</t>
        </is>
      </c>
      <c r="H105" s="48" t="inlineStr">
        <is>
          <t>Trung</t>
        </is>
      </c>
    </row>
    <row r="106" ht="15" customHeight="1" s="32">
      <c r="A106" s="39" t="inlineStr">
        <is>
          <t>stealth_fighter</t>
        </is>
      </c>
      <c r="B106" s="39" t="inlineStr">
        <is>
          <t>Tiêm kích tàng hình</t>
        </is>
      </c>
      <c r="C106" s="39" t="inlineStr">
        <is>
          <t>Vũ khí và giá</t>
        </is>
      </c>
      <c r="D106" s="39" t="inlineStr">
        <is>
          <t>chống máy bay 219 (kém tiêm kích 351) · 14 CP</t>
        </is>
      </c>
      <c r="E106" s="39" t="inlineStr">
        <is>
          <t>+1 AIM-120 mỗi lần đầy đạn; giá 14→13</t>
        </is>
      </c>
      <c r="F106" s="39" t="inlineStr">
        <is>
          <t>Đắt hơn nhưng kém tiêm kích thường ở vai trò chính.</t>
        </is>
      </c>
      <c r="G106" s="39" t="inlineStr">
        <is>
          <t>F-22 mang 6 AIM-120 trong khoang</t>
        </is>
      </c>
      <c r="H106" s="48" t="inlineStr">
        <is>
          <t>Trung</t>
        </is>
      </c>
    </row>
    <row r="107" ht="15" customHeight="1" s="32">
      <c r="A107" s="41" t="inlineStr">
        <is>
          <t>stealth_fighter</t>
        </is>
      </c>
      <c r="B107" s="41" t="inlineStr">
        <is>
          <t>Tiêm kích tàng hình</t>
        </is>
      </c>
      <c r="C107" s="41" t="inlineStr">
        <is>
          <t>Tốc độ</t>
        </is>
      </c>
      <c r="D107" s="43" t="n">
        <v>40</v>
      </c>
      <c r="E107" s="41" t="inlineStr">
        <is>
          <t>44 m/s</t>
        </is>
      </c>
      <c r="F107" s="41" t="inlineStr">
        <is>
          <t>F-22/Su-57 bay hành trình siêu âm, nhanh hơn Su-27.</t>
        </is>
      </c>
      <c r="G107" s="41" t="n"/>
      <c r="H107" s="48" t="inlineStr">
        <is>
          <t>Trung</t>
        </is>
      </c>
    </row>
    <row r="108" ht="21.75" customHeight="1" s="32">
      <c r="A108" s="39" t="inlineStr">
        <is>
          <t>supply_truck</t>
        </is>
      </c>
      <c r="B108" s="39" t="inlineStr">
        <is>
          <t>Xe tiếp tế</t>
        </is>
      </c>
      <c r="C108" s="39" t="inlineStr">
        <is>
          <t>Tốc độ</t>
        </is>
      </c>
      <c r="D108" s="42" t="n">
        <v>3.6</v>
      </c>
      <c r="E108" s="39" t="inlineStr">
        <is>
          <t>6 m/s</t>
        </is>
      </c>
      <c r="F108" s="39" t="inlineStr">
        <is>
          <t>Xe tải tiếp tế đang chậm nhất game (3,6), chậm hơn cả xe tăng nặng; khó theo kịp đội hình.</t>
        </is>
      </c>
      <c r="G108" s="39" t="n"/>
      <c r="H108" s="48" t="inlineStr">
        <is>
          <t>Trung</t>
        </is>
      </c>
    </row>
    <row r="109" ht="21.75" customHeight="1" s="32">
      <c r="A109" s="41"/>
      <c r="B109" s="41"/>
      <c r="C109" s="41"/>
      <c r="D109" s="43"/>
      <c r="E109" s="41"/>
      <c r="F109" s="41"/>
      <c r="G109" s="41"/>
      <c r="H109" s="48"/>
    </row>
    <row r="110" ht="32.25" customHeight="1" s="32">
      <c r="A110" s="39" t="inlineStr">
        <is>
          <t>swarm_carrier</t>
        </is>
      </c>
      <c r="B110" s="39" t="inlineStr">
        <is>
          <t>Máy bay mẹ thả drone</t>
        </is>
      </c>
      <c r="C110" s="39" t="inlineStr">
        <is>
          <t>Kích thước model (dài × rộng × cao)</t>
        </is>
      </c>
      <c r="D110" s="39" t="inlineStr">
        <is>
          <t>16.4 × 18.8 × 6.1</t>
        </is>
      </c>
      <c r="E110" s="39" t="inlineStr">
        <is>
          <t>11.9 × 16.2 × 4.6</t>
        </is>
      </c>
      <c r="F110" s="39" t="inlineStr">
        <is>
          <t>Mẫu thật C-130 Hercules: 29.8 × 40.4 m; theo tỷ lệ chung (trên không 0,4) nên là 11.9 × 16.2 m. Cùng khung C-130 với Pháo hạm bay nhưng đang to hơn nó. Đổi kích thước thì chỉnh vùng va chạm và chạy lại test xe kẹt.</t>
        </is>
      </c>
      <c r="G110" s="39" t="n"/>
      <c r="H110" s="48" t="inlineStr">
        <is>
          <t>Trung</t>
        </is>
      </c>
    </row>
    <row r="111" ht="15" customHeight="1" s="32">
      <c r="A111" s="41" t="inlineStr">
        <is>
          <t>tank_destroyer</t>
        </is>
      </c>
      <c r="B111" s="41" t="inlineStr">
        <is>
          <t>Pháo chống tăng</t>
        </is>
      </c>
      <c r="C111" s="41" t="inlineStr">
        <is>
          <t>Giáp</t>
        </is>
      </c>
      <c r="D111" s="41" t="inlineStr">
        <is>
          <t>trước 3 / hông 2 / sau 1 / nóc 1</t>
        </is>
      </c>
      <c r="E111" s="41" t="inlineStr">
        <is>
          <t>trước 2 / hông 1 / sau 1 / nóc 0</t>
        </is>
      </c>
      <c r="F111" s="41" t="inlineStr">
        <is>
          <t>2S25 Sprut-SD là pháo chống tăng thả dù, giáp rất mỏng.</t>
        </is>
      </c>
      <c r="G111" s="41" t="inlineStr">
        <is>
          <t>2S25 Sprut-SD</t>
        </is>
      </c>
      <c r="H111" s="48" t="inlineStr">
        <is>
          <t>Trung</t>
        </is>
      </c>
    </row>
    <row r="112" ht="15" customHeight="1" s="32">
      <c r="A112" s="39" t="inlineStr">
        <is>
          <t>tank_destroyer</t>
        </is>
      </c>
      <c r="B112" s="39" t="inlineStr">
        <is>
          <t>Pháo chống tăng</t>
        </is>
      </c>
      <c r="C112" s="39" t="inlineStr">
        <is>
          <t>Tầm, nhịp, giá</t>
        </is>
      </c>
      <c r="D112" s="39" t="inlineStr">
        <is>
          <t>tầm 40 · 0,27 phát/s · 7 CP (hiệu quả 0,78)</t>
        </is>
      </c>
      <c r="E112" s="39" t="inlineStr">
        <is>
          <t>tầm 46 · 0,30 phát/s · 6 CP</t>
        </is>
      </c>
      <c r="F112" s="39" t="inlineStr">
        <is>
          <t>Bù lại giáp mỏng bằng tầm bắn tỉa; hiện kém các xe diệt tăng khác.</t>
        </is>
      </c>
      <c r="G112" s="39" t="inlineStr">
        <is>
          <t>Pháo 2A75: sơ tốc cao, bắn xa</t>
        </is>
      </c>
      <c r="H112" s="48" t="inlineStr">
        <is>
          <t>Trung</t>
        </is>
      </c>
    </row>
    <row r="113" ht="21.75" customHeight="1" s="32">
      <c r="A113" s="41" t="inlineStr">
        <is>
          <t>titan_tank</t>
        </is>
      </c>
      <c r="B113" s="41" t="inlineStr">
        <is>
          <t>Siêu tăng Titan</t>
        </is>
      </c>
      <c r="C113" s="41" t="inlineStr">
        <is>
          <t>Tốc độ, giá</t>
        </is>
      </c>
      <c r="D113" s="41" t="inlineStr">
        <is>
          <t>4,6 m/s · 16 CP (hiệu quả 1,36)</t>
        </is>
      </c>
      <c r="E113" s="41" t="inlineStr">
        <is>
          <t>4,0 m/s · 18 CP</t>
        </is>
      </c>
      <c r="F113" s="41" t="inlineStr">
        <is>
          <t>Nặng hơn Tăng hạng nặng mà chạy nhanh hơn; hiệu quả cao nhất nhóm hạng nặng.</t>
        </is>
      </c>
      <c r="G113" s="41" t="inlineStr">
        <is>
          <t>Landkreuzer Ratte (thiết kế 1.000 tấn)</t>
        </is>
      </c>
      <c r="H113" s="48" t="inlineStr">
        <is>
          <t>Trung</t>
        </is>
      </c>
    </row>
    <row r="114" ht="21.75" customHeight="1" s="32">
      <c r="A114" s="39" t="inlineStr">
        <is>
          <t>titan_tank</t>
        </is>
      </c>
      <c r="B114" s="39" t="inlineStr">
        <is>
          <t>Siêu tăng Titan</t>
        </is>
      </c>
      <c r="C114" s="39" t="inlineStr">
        <is>
          <t>Tốc độ xoay thân / tháp</t>
        </is>
      </c>
      <c r="D114" s="39" t="inlineStr">
        <is>
          <t>1 / 1</t>
        </is>
      </c>
      <c r="E114" s="39" t="inlineStr">
        <is>
          <t>1 / 2</t>
        </is>
      </c>
      <c r="F114" s="39" t="inlineStr">
        <is>
          <t>Tháp pháo xe tăng thật xoay nhanh hơn thân (~40°/s); hiện bằng thân. Lưu ý: đơn vị ghi °/s nhưng giá trị 1–6 có vẻ là rad/s, cần kiểm lại nhãn.</t>
        </is>
      </c>
      <c r="G114" s="39" t="n"/>
      <c r="H114" s="48" t="inlineStr">
        <is>
          <t>Trung</t>
        </is>
      </c>
    </row>
    <row r="115" ht="21.75" customHeight="1" s="32">
      <c r="A115" s="41"/>
      <c r="B115" s="41"/>
      <c r="C115" s="41"/>
      <c r="D115" s="41"/>
      <c r="E115" s="41"/>
      <c r="F115" s="41"/>
      <c r="G115" s="41"/>
      <c r="H115" s="48"/>
    </row>
    <row r="116" ht="21.75" customHeight="1" s="32">
      <c r="A116" s="39" t="inlineStr">
        <is>
          <t>twin_tank</t>
        </is>
      </c>
      <c r="B116" s="39" t="inlineStr">
        <is>
          <t>Tăng hai nòng</t>
        </is>
      </c>
      <c r="C116" s="39" t="inlineStr">
        <is>
          <t>Tốc độ xoay thân / tháp</t>
        </is>
      </c>
      <c r="D116" s="39" t="inlineStr">
        <is>
          <t>1 / 1</t>
        </is>
      </c>
      <c r="E116" s="39" t="inlineStr">
        <is>
          <t>1 / 2</t>
        </is>
      </c>
      <c r="F116" s="39" t="inlineStr">
        <is>
          <t>Tháp pháo xe tăng thật xoay nhanh hơn thân (~40°/s); hiện bằng thân. Lưu ý: đơn vị ghi °/s nhưng giá trị 1–6 có vẻ là rad/s, cần kiểm lại nhãn.</t>
        </is>
      </c>
      <c r="G116" s="39" t="n"/>
      <c r="H116" s="48" t="inlineStr">
        <is>
          <t>Trung</t>
        </is>
      </c>
    </row>
    <row r="117" ht="15" customHeight="1" s="32">
      <c r="A117" s="41" t="inlineStr">
        <is>
          <t>typhon</t>
        </is>
      </c>
      <c r="B117" s="41" t="inlineStr">
        <is>
          <t>Typhon · Tàu ngầm tên lửa</t>
        </is>
      </c>
      <c r="C117" s="41" t="inlineStr">
        <is>
          <t>Vũ khí</t>
        </is>
      </c>
      <c r="D117" s="41" t="inlineStr">
        <is>
          <t>Buk + AK-100</t>
        </is>
      </c>
      <c r="E117" s="41" t="inlineStr">
        <is>
          <t>thêm tên lửa hành trình tầm ngắn bắn thường</t>
        </is>
      </c>
      <c r="F117" s="41" t="inlineStr">
        <is>
          <t>Thiết kế có nhưng dữ liệu chưa có.</t>
        </is>
      </c>
      <c r="G117" s="41" t="inlineStr">
        <is>
          <t>Project 941</t>
        </is>
      </c>
      <c r="H117" s="48" t="inlineStr">
        <is>
          <t>Trung</t>
        </is>
      </c>
    </row>
    <row r="118" ht="21.75" customHeight="1" s="32">
      <c r="A118" s="39" t="inlineStr">
        <is>
          <t>typhon</t>
        </is>
      </c>
      <c r="B118" s="39" t="inlineStr">
        <is>
          <t>Typhon · Tàu ngầm tên lửa</t>
        </is>
      </c>
      <c r="C118" s="39" t="inlineStr">
        <is>
          <t>Máu</t>
        </is>
      </c>
      <c r="D118" s="42" t="n">
        <v>17935</v>
      </c>
      <c r="E118" s="39" t="inlineStr">
        <is>
          <t>19800–24200</t>
        </is>
      </c>
      <c r="F118" s="39" t="inlineStr">
        <is>
          <t>Theo thang máu boss mới (Tổng quan): boss chủ lực chương 9. Máu gốc trước scale chiến dịch.</t>
        </is>
      </c>
      <c r="G118" s="39" t="n"/>
      <c r="H118" s="48" t="inlineStr">
        <is>
          <t>Trung</t>
        </is>
      </c>
    </row>
    <row r="119" ht="21.75" customHeight="1" s="32">
      <c r="A119" s="41" t="inlineStr">
        <is>
          <t>vbied</t>
        </is>
      </c>
      <c r="B119" s="41" t="inlineStr">
        <is>
          <t>Xe bom tự sát bọc thép</t>
        </is>
      </c>
      <c r="C119" s="41" t="inlineStr">
        <is>
          <t>Giáp</t>
        </is>
      </c>
      <c r="D119" s="41" t="inlineStr">
        <is>
          <t>0 mọi mặt</t>
        </is>
      </c>
      <c r="E119" s="41" t="inlineStr">
        <is>
          <t>trước 2 / hông 1 / sau 0 / nóc 0</t>
        </is>
      </c>
      <c r="F119" s="41" t="inlineStr">
        <is>
          <t>Tên "bọc thép" nhưng giáp 0; chỉ gây sát thương 4% thời gian vì chết trước khi tới.</t>
        </is>
      </c>
      <c r="G119" s="41" t="inlineStr">
        <is>
          <t>"Iron Coffin" ở Mosul hàn thép dày phía trước</t>
        </is>
      </c>
      <c r="H119" s="48" t="inlineStr">
        <is>
          <t>Trung</t>
        </is>
      </c>
    </row>
    <row r="120" ht="21.75" customHeight="1" s="32">
      <c r="A120" s="39" t="inlineStr">
        <is>
          <t>vbied</t>
        </is>
      </c>
      <c r="B120" s="39" t="inlineStr">
        <is>
          <t>Xe bom tự sát bọc thép</t>
        </is>
      </c>
      <c r="C120" s="39" t="inlineStr">
        <is>
          <t>Máu, nổ lan</t>
        </is>
      </c>
      <c r="D120" s="39" t="inlineStr">
        <is>
          <t>572 máu · nổ lan 7,5 m</t>
        </is>
      </c>
      <c r="E120" s="39" t="inlineStr">
        <is>
          <t>800 máu · nổ lan 10 m</t>
        </is>
      </c>
      <c r="F120" s="39" t="inlineStr">
        <is>
          <t>Cần sống đủ tới mục tiêu; 900 kg thuốc nổ theo thang bom phải nổ rộng hơn bom 250 kg (8 m).</t>
        </is>
      </c>
      <c r="G120" s="39" t="inlineStr">
        <is>
          <t>Thang bán kính nổ (sheet Tổng quan)</t>
        </is>
      </c>
      <c r="H120" s="48" t="inlineStr">
        <is>
          <t>Trung</t>
        </is>
      </c>
    </row>
    <row r="121" ht="15" customHeight="1" s="32">
      <c r="A121" s="41"/>
      <c r="B121" s="41"/>
      <c r="C121" s="41"/>
      <c r="D121" s="41"/>
      <c r="E121" s="41"/>
      <c r="F121" s="41"/>
      <c r="G121" s="41"/>
      <c r="H121" s="48"/>
    </row>
    <row r="122" ht="15" customHeight="1" s="32">
      <c r="A122" s="39" t="inlineStr">
        <is>
          <t>aa_vehicle</t>
        </is>
      </c>
      <c r="B122" s="39" t="inlineStr">
        <is>
          <t>Xe phòng không</t>
        </is>
      </c>
      <c r="C122" s="39" t="inlineStr">
        <is>
          <t>Tên</t>
        </is>
      </c>
      <c r="D122" s="39" t="inlineStr">
        <is>
          <t>Xe phòng không</t>
        </is>
      </c>
      <c r="E122" s="39" t="inlineStr">
        <is>
          <t>Pháo cao xạ tự hành · ngắn: Cao xạ · EN: Self-Propelled AA Gun</t>
        </is>
      </c>
      <c r="F122" s="39" t="inlineStr">
        <is>
          <t>"Xe phòng không" quá chung (có 6 xe phòng không).</t>
        </is>
      </c>
      <c r="G122" s="39" t="n"/>
      <c r="H122" s="49" t="inlineStr">
        <is>
          <t>Thấp</t>
        </is>
      </c>
    </row>
    <row r="123" ht="21.75" customHeight="1" s="32">
      <c r="A123" s="41"/>
      <c r="B123" s="41"/>
      <c r="C123" s="41"/>
      <c r="D123" s="41"/>
      <c r="E123" s="41"/>
      <c r="F123" s="41"/>
      <c r="G123" s="41"/>
      <c r="H123" s="49"/>
    </row>
    <row r="124" ht="15" customHeight="1" s="32">
      <c r="A124" s="39" t="inlineStr">
        <is>
          <t>armored_car</t>
        </is>
      </c>
      <c r="B124" s="39" t="inlineStr">
        <is>
          <t>Xe bọc thép</t>
        </is>
      </c>
      <c r="C124" s="39" t="inlineStr">
        <is>
          <t>Tầm nhìn</t>
        </is>
      </c>
      <c r="D124" s="39" t="inlineStr">
        <is>
          <t>36 m</t>
        </is>
      </c>
      <c r="E124" s="39" t="inlineStr">
        <is>
          <t>42 m</t>
        </is>
      </c>
      <c r="F124" s="39" t="inlineStr">
        <is>
          <t>Xe bánh lốp trinh sát đi trước tuyến; hiện nhìn kém cả xuồng (46).</t>
        </is>
      </c>
      <c r="G124" s="39" t="inlineStr">
        <is>
          <t>Pandur I / Stryker RV có kính ngắm nhiệt</t>
        </is>
      </c>
      <c r="H124" s="49" t="inlineStr">
        <is>
          <t>Thấp</t>
        </is>
      </c>
    </row>
    <row r="125" ht="15" customHeight="1" s="32">
      <c r="A125" s="41" t="inlineStr">
        <is>
          <t>armored_car</t>
        </is>
      </c>
      <c r="B125" s="41" t="inlineStr">
        <is>
          <t>Xe bọc thép</t>
        </is>
      </c>
      <c r="C125" s="41" t="inlineStr">
        <is>
          <t>Tên</t>
        </is>
      </c>
      <c r="D125" s="41" t="inlineStr">
        <is>
          <t>Xe bọc thép</t>
        </is>
      </c>
      <c r="E125" s="41" t="inlineStr">
        <is>
          <t>Xe bọc thép bánh lốp · ngắn: Bánh lốp · EN: Armored Car</t>
        </is>
      </c>
      <c r="F125" s="41" t="inlineStr">
        <is>
          <t>"Xe bọc thép" quá chung, trùng với nhiều xe khác cũng bọc thép.</t>
        </is>
      </c>
      <c r="G125" s="41" t="n"/>
      <c r="H125" s="49" t="inlineStr">
        <is>
          <t>Thấp</t>
        </is>
      </c>
    </row>
    <row r="126" ht="21.75" customHeight="1" s="32">
      <c r="A126" s="39" t="inlineStr">
        <is>
          <t>armored_car</t>
        </is>
      </c>
      <c r="B126" s="39" t="inlineStr">
        <is>
          <t>Xe bọc thép</t>
        </is>
      </c>
      <c r="C126" s="39" t="inlineStr">
        <is>
          <t>Kích thước model (dài × rộng × cao)</t>
        </is>
      </c>
      <c r="D126" s="39" t="inlineStr">
        <is>
          <t>5.9 × 2.3 × 2.7</t>
        </is>
      </c>
      <c r="E126" s="39" t="inlineStr">
        <is>
          <t>4.6 × 2.0 × 1.4</t>
        </is>
      </c>
      <c r="F126" s="39" t="inlineStr">
        <is>
          <t>Mẫu thật Pandur I 6x6: 5.7 × 2.5 m; theo tỷ lệ chung (mặt đất 0,8) nên là 4.6 × 2.0 m. Đổi kích thước thì chỉnh vùng va chạm và chạy lại test xe kẹt.</t>
        </is>
      </c>
      <c r="G126" s="39" t="n"/>
      <c r="H126" s="49" t="inlineStr">
        <is>
          <t>Thấp</t>
        </is>
      </c>
    </row>
    <row r="127" ht="15" customHeight="1" s="32">
      <c r="A127" s="41" t="inlineStr">
        <is>
          <t>armored_train</t>
        </is>
      </c>
      <c r="B127" s="41" t="inlineStr">
        <is>
          <t>Juggernaut · Đoàn tàu bọc thép</t>
        </is>
      </c>
      <c r="C127" s="41" t="inlineStr">
        <is>
          <t>Giáp</t>
        </is>
      </c>
      <c r="D127" s="41" t="inlineStr">
        <is>
          <t>trước 5</t>
        </is>
      </c>
      <c r="E127" s="41" t="inlineStr">
        <is>
          <t>trước 4</t>
        </is>
      </c>
      <c r="F127" s="41" t="inlineStr">
        <is>
          <t>Mini boss giáp ngang boss chủ lực.</t>
        </is>
      </c>
      <c r="G127" s="41" t="inlineStr">
        <is>
          <t>Luật mini boss</t>
        </is>
      </c>
      <c r="H127" s="49" t="inlineStr">
        <is>
          <t>Thấp</t>
        </is>
      </c>
    </row>
    <row r="128" ht="15" customHeight="1" s="32">
      <c r="A128" s="39" t="inlineStr">
        <is>
          <t>armored_train</t>
        </is>
      </c>
      <c r="B128" s="39" t="inlineStr">
        <is>
          <t>Juggernaut · Đoàn tàu bọc thép</t>
        </is>
      </c>
      <c r="C128" s="39" t="inlineStr">
        <is>
          <t>Giáp</t>
        </is>
      </c>
      <c r="D128" s="39" t="inlineStr">
        <is>
          <t>5/3/3/2</t>
        </is>
      </c>
      <c r="E128" s="39" t="inlineStr">
        <is>
          <t>4/3/3/2</t>
        </is>
      </c>
      <c r="F128" s="39" t="inlineStr">
        <is>
          <t>Mini boss không có giáp trước 5 (chỉ boss chủ lực).</t>
        </is>
      </c>
      <c r="G128" s="39" t="n"/>
      <c r="H128" s="49" t="inlineStr">
        <is>
          <t>Thấp</t>
        </is>
      </c>
    </row>
    <row r="129" ht="15" customHeight="1" s="32">
      <c r="A129" s="41" t="inlineStr">
        <is>
          <t>artillery</t>
        </is>
      </c>
      <c r="B129" s="41" t="inlineStr">
        <is>
          <t>Pháo tự hành</t>
        </is>
      </c>
      <c r="C129" s="41" t="inlineStr">
        <is>
          <t>Tên</t>
        </is>
      </c>
      <c r="D129" s="41" t="inlineStr">
        <is>
          <t>Pháo tự hành</t>
        </is>
      </c>
      <c r="E129" s="41" t="inlineStr">
        <is>
          <t>Lựu pháo tự hành · ngắn: Lựu pháo · EN: SP Howitzer</t>
        </is>
      </c>
      <c r="F129" s="41" t="inlineStr">
        <is>
          <t>"Pháo tự hành" quá chung (pháo phản lực, pháo chống tăng cũng tự hành).</t>
        </is>
      </c>
      <c r="G129" s="41" t="n"/>
      <c r="H129" s="49" t="inlineStr">
        <is>
          <t>Thấp</t>
        </is>
      </c>
    </row>
    <row r="130" ht="32.25" customHeight="1" s="32">
      <c r="A130" s="39" t="inlineStr">
        <is>
          <t>artillery</t>
        </is>
      </c>
      <c r="B130" s="39" t="inlineStr">
        <is>
          <t>Pháo tự hành</t>
        </is>
      </c>
      <c r="C130" s="39" t="inlineStr">
        <is>
          <t>Kích thước model (dài × rộng × cao)</t>
        </is>
      </c>
      <c r="D130" s="39" t="inlineStr">
        <is>
          <t>8.1 × 2.3 × 3.6</t>
        </is>
      </c>
      <c r="E130" s="39" t="inlineStr">
        <is>
          <t>7.8 × 3.1 × 2.9</t>
        </is>
      </c>
      <c r="F130" s="39" t="inlineStr">
        <is>
          <t>Mẫu thật M109A7 (đề xuất đổi từ CAESAR): 9.7 × 3.9 m; theo tỷ lệ chung (mặt đất 0,8) nên là 7.8 × 3.1 m. Đổi kích thước thì chỉnh vùng va chạm và chạy lại test xe kẹt.</t>
        </is>
      </c>
      <c r="G130" s="39" t="n"/>
      <c r="H130" s="49" t="inlineStr">
        <is>
          <t>Thấp</t>
        </is>
      </c>
    </row>
    <row r="131" ht="21.75" customHeight="1" s="32">
      <c r="A131" s="41" t="inlineStr">
        <is>
          <t>artillery</t>
        </is>
      </c>
      <c r="B131" s="41" t="inlineStr">
        <is>
          <t>Pháo tự hành</t>
        </is>
      </c>
      <c r="C131" s="41" t="inlineStr">
        <is>
          <t>Nổ khi bị phá (bán kính)</t>
        </is>
      </c>
      <c r="D131" s="41" t="inlineStr">
        <is>
          <t>6 m · 160 sát thương</t>
        </is>
      </c>
      <c r="E131" s="41" t="inlineStr">
        <is>
          <t>~10 m</t>
        </is>
      </c>
      <c r="F131" s="41" t="inlineStr">
        <is>
          <t>Bán kính nổ khi bị phá nên theo cỡ xe, cộng thêm nếu xe chở nhiều đạn/nhiên liệu. Xe này chở nhiều đạn.</t>
        </is>
      </c>
      <c r="G131" s="41" t="n"/>
      <c r="H131" s="49" t="inlineStr">
        <is>
          <t>Thấp</t>
        </is>
      </c>
    </row>
    <row r="132" ht="32.25" customHeight="1" s="32">
      <c r="A132" s="39" t="inlineStr">
        <is>
          <t>attack_helicopter</t>
        </is>
      </c>
      <c r="B132" s="39" t="inlineStr">
        <is>
          <t>Trực thăng tấn công</t>
        </is>
      </c>
      <c r="C132" s="39" t="inlineStr">
        <is>
          <t>Kích thước model (dài × rộng × cao)</t>
        </is>
      </c>
      <c r="D132" s="39" t="inlineStr">
        <is>
          <t>6.0 × 4.0 × 2.3</t>
        </is>
      </c>
      <c r="E132" s="39" t="inlineStr">
        <is>
          <t>7.1 × 5.8 × 1.8</t>
        </is>
      </c>
      <c r="F132" s="39" t="inlineStr">
        <is>
          <t>Mẫu thật AH-64D Apache: 17.7 × 14.6 m; theo tỷ lệ chung (trên không 0,4) nên là 7.1 × 5.8 m. Đổi kích thước thì chỉnh vùng va chạm và chạy lại test xe kẹt.</t>
        </is>
      </c>
      <c r="G132" s="39" t="n"/>
      <c r="H132" s="49" t="inlineStr">
        <is>
          <t>Thấp</t>
        </is>
      </c>
    </row>
    <row r="133" ht="21.75" customHeight="1" s="32">
      <c r="A133" s="41" t="inlineStr">
        <is>
          <t>ballistic_launcher</t>
        </is>
      </c>
      <c r="B133" s="41" t="inlineStr">
        <is>
          <t>Xe phóng tên lửa đạn đạo</t>
        </is>
      </c>
      <c r="C133" s="41" t="inlineStr">
        <is>
          <t>Tên</t>
        </is>
      </c>
      <c r="D133" s="41" t="inlineStr">
        <is>
          <t>Xe phóng tên lửa đạn đạo</t>
        </is>
      </c>
      <c r="E133" s="41" t="inlineStr">
        <is>
          <t>Xe phóng tên lửa chiến thuật · ngắn: Tên lửa chiến thuật · EN: Tactical Ballistic Launcher</t>
        </is>
      </c>
      <c r="F133" s="41" t="inlineStr">
        <is>
          <t>"Chiến thuật" đúng phân loại thật (Iskander là tên lửa đạn đạo chiến thuật).</t>
        </is>
      </c>
      <c r="G133" s="41" t="n"/>
      <c r="H133" s="49" t="inlineStr">
        <is>
          <t>Thấp</t>
        </is>
      </c>
    </row>
    <row r="134" ht="15" customHeight="1" s="32">
      <c r="A134" s="39" t="inlineStr">
        <is>
          <t>bastion_mk0</t>
        </is>
      </c>
      <c r="B134" s="39" t="inlineStr">
        <is>
          <t>Bastion Mk.0 · Pháo đài nguyên mẫu</t>
        </is>
      </c>
      <c r="C134" s="39" t="inlineStr">
        <is>
          <t>Giáp</t>
        </is>
      </c>
      <c r="D134" s="39" t="inlineStr">
        <is>
          <t>5/4/4/3</t>
        </is>
      </c>
      <c r="E134" s="39" t="inlineStr">
        <is>
          <t>4/4/4/3</t>
        </is>
      </c>
      <c r="F134" s="39" t="inlineStr">
        <is>
          <t>Mini boss không có giáp trước 5 (chỉ boss chủ lực).</t>
        </is>
      </c>
      <c r="G134" s="39" t="n"/>
      <c r="H134" s="49" t="inlineStr">
        <is>
          <t>Thấp</t>
        </is>
      </c>
    </row>
    <row r="135" ht="15" customHeight="1" s="32">
      <c r="A135" s="41" t="inlineStr">
        <is>
          <t>behemoth_inferno</t>
        </is>
      </c>
      <c r="B135" s="41" t="inlineStr">
        <is>
          <t>Inferno · Behemoth phun lửa</t>
        </is>
      </c>
      <c r="C135" s="41" t="inlineStr">
        <is>
          <t>Giáp</t>
        </is>
      </c>
      <c r="D135" s="41" t="inlineStr">
        <is>
          <t>5/3/2/2</t>
        </is>
      </c>
      <c r="E135" s="41" t="inlineStr">
        <is>
          <t>4/3/2/2</t>
        </is>
      </c>
      <c r="F135" s="41" t="inlineStr">
        <is>
          <t>Mini boss không có giáp trước 5 (chỉ boss chủ lực).</t>
        </is>
      </c>
      <c r="G135" s="41" t="n"/>
      <c r="H135" s="49" t="inlineStr">
        <is>
          <t>Thấp</t>
        </is>
      </c>
    </row>
    <row r="136" ht="21.75" customHeight="1" s="32">
      <c r="A136" s="39" t="inlineStr">
        <is>
          <t>behemoth_mk2</t>
        </is>
      </c>
      <c r="B136" s="39" t="inlineStr">
        <is>
          <t>Behemoth Mk.II · Behemoth nâng cấp</t>
        </is>
      </c>
      <c r="C136" s="39" t="inlineStr">
        <is>
          <t>Giáp</t>
        </is>
      </c>
      <c r="D136" s="39" t="inlineStr">
        <is>
          <t>5/3/2/2</t>
        </is>
      </c>
      <c r="E136" s="39" t="inlineStr">
        <is>
          <t>4/3/2/2</t>
        </is>
      </c>
      <c r="F136" s="39" t="inlineStr">
        <is>
          <t>Mini boss không có giáp trước 5 (chỉ boss chủ lực).</t>
        </is>
      </c>
      <c r="G136" s="39" t="n"/>
      <c r="H136" s="49" t="inlineStr">
        <is>
          <t>Thấp</t>
        </is>
      </c>
    </row>
    <row r="137" ht="15" customHeight="1" s="32">
      <c r="A137" s="41" t="inlineStr">
        <is>
          <t>behemoth_tempest</t>
        </is>
      </c>
      <c r="B137" s="41" t="inlineStr">
        <is>
          <t>Tempest · Behemoth pháo điện từ</t>
        </is>
      </c>
      <c r="C137" s="41" t="inlineStr">
        <is>
          <t>Giáp</t>
        </is>
      </c>
      <c r="D137" s="41" t="inlineStr">
        <is>
          <t>5/3/2/2</t>
        </is>
      </c>
      <c r="E137" s="41" t="inlineStr">
        <is>
          <t>4/3/2/2</t>
        </is>
      </c>
      <c r="F137" s="41" t="inlineStr">
        <is>
          <t>Mini boss không có giáp trước 5 (chỉ boss chủ lực).</t>
        </is>
      </c>
      <c r="G137" s="41" t="n"/>
      <c r="H137" s="49" t="inlineStr">
        <is>
          <t>Thấp</t>
        </is>
      </c>
    </row>
    <row r="138" ht="15" customHeight="1" s="32">
      <c r="A138" s="39"/>
      <c r="B138" s="39"/>
      <c r="C138" s="39"/>
      <c r="D138" s="39"/>
      <c r="E138" s="39"/>
      <c r="F138" s="39"/>
      <c r="G138" s="39"/>
      <c r="H138" s="49"/>
    </row>
    <row r="139" ht="15" customHeight="1" s="32">
      <c r="A139" s="41"/>
      <c r="B139" s="41"/>
      <c r="C139" s="41"/>
      <c r="D139" s="41"/>
      <c r="E139" s="41"/>
      <c r="F139" s="41"/>
      <c r="G139" s="41"/>
      <c r="H139" s="49"/>
    </row>
    <row r="140" ht="15" customHeight="1" s="32">
      <c r="A140" s="39" t="inlineStr">
        <is>
          <t>bulwark_post</t>
        </is>
      </c>
      <c r="B140" s="39" t="inlineStr">
        <is>
          <t>Ụ súng tạm</t>
        </is>
      </c>
      <c r="C140" s="39" t="inlineStr">
        <is>
          <t>Tên</t>
        </is>
      </c>
      <c r="D140" s="39" t="inlineStr">
        <is>
          <t>Ụ súng tạm</t>
        </is>
      </c>
      <c r="E140" s="39" t="inlineStr">
        <is>
          <t>Ụ súng dã chiến · ngắn: Ụ súng · EN: Field Gun Post</t>
        </is>
      </c>
      <c r="F140" s="39" t="inlineStr">
        <is>
          <t>"Tạm" nghe như lỗi.</t>
        </is>
      </c>
      <c r="G140" s="39" t="n"/>
      <c r="H140" s="49" t="inlineStr">
        <is>
          <t>Thấp</t>
        </is>
      </c>
    </row>
    <row r="141" ht="15" customHeight="1" s="32">
      <c r="A141" s="41"/>
      <c r="B141" s="41"/>
      <c r="C141" s="41"/>
      <c r="D141" s="41"/>
      <c r="E141" s="41"/>
      <c r="F141" s="41"/>
      <c r="G141" s="41"/>
      <c r="H141" s="49"/>
    </row>
    <row r="142" ht="15" customHeight="1" s="32">
      <c r="A142" s="39" t="inlineStr">
        <is>
          <t>c_ram</t>
        </is>
      </c>
      <c r="B142" s="39" t="inlineStr">
        <is>
          <t>Trạm C-RAM</t>
        </is>
      </c>
      <c r="C142" s="39" t="inlineStr">
        <is>
          <t>Tên</t>
        </is>
      </c>
      <c r="D142" s="39" t="inlineStr">
        <is>
          <t>Trạm C-RAM</t>
        </is>
      </c>
      <c r="E142" s="39" t="inlineStr">
        <is>
          <t>Trạm đánh chặn C-RAM · ngắn: C-RAM · EN: C-RAM Interceptor</t>
        </is>
      </c>
      <c r="F142" s="39" t="inlineStr">
        <is>
          <t>Giữ nghĩa.</t>
        </is>
      </c>
      <c r="G142" s="39" t="n"/>
      <c r="H142" s="49" t="inlineStr">
        <is>
          <t>Thấp</t>
        </is>
      </c>
    </row>
    <row r="143" ht="21.75" customHeight="1" s="32">
      <c r="A143" s="41" t="inlineStr">
        <is>
          <t>command_vehicle</t>
        </is>
      </c>
      <c r="B143" s="41" t="inlineStr">
        <is>
          <t>Xe chỉ huy</t>
        </is>
      </c>
      <c r="C143" s="41" t="inlineStr">
        <is>
          <t>Kích thước model (dài × rộng × cao)</t>
        </is>
      </c>
      <c r="D143" s="41" t="inlineStr">
        <is>
          <t>6.7 × 2.5 × 4.7</t>
        </is>
      </c>
      <c r="E143" s="41" t="inlineStr">
        <is>
          <t>5.6 × 2.2 × 2.1</t>
        </is>
      </c>
      <c r="F143" s="41" t="inlineStr">
        <is>
          <t>Mẫu thật Stryker CV: 6.95 × 2.72 m; theo tỷ lệ chung (mặt đất 0,8) nên là 5.6 × 2.2 m. Đổi kích thước thì chỉnh vùng va chạm và chạy lại test xe kẹt.</t>
        </is>
      </c>
      <c r="G143" s="41" t="n"/>
      <c r="H143" s="49" t="inlineStr">
        <is>
          <t>Thấp</t>
        </is>
      </c>
    </row>
    <row r="144" ht="21.75" customHeight="1" s="32">
      <c r="A144" s="39"/>
      <c r="B144" s="39"/>
      <c r="C144" s="39"/>
      <c r="D144" s="39"/>
      <c r="E144" s="39"/>
      <c r="F144" s="39"/>
      <c r="G144" s="39"/>
      <c r="H144" s="49"/>
    </row>
    <row r="145" ht="21.75" customHeight="1" s="32">
      <c r="A145" s="41"/>
      <c r="B145" s="41"/>
      <c r="C145" s="41"/>
      <c r="D145" s="41"/>
      <c r="E145" s="41"/>
      <c r="F145" s="41"/>
      <c r="G145" s="41"/>
      <c r="H145" s="49"/>
    </row>
    <row r="146" ht="15" customHeight="1" s="32">
      <c r="A146" s="39" t="inlineStr">
        <is>
          <t>drone_hangar</t>
        </is>
      </c>
      <c r="B146" s="39" t="inlineStr">
        <is>
          <t>Nhà chứa drone</t>
        </is>
      </c>
      <c r="C146" s="39" t="inlineStr">
        <is>
          <t>Tên</t>
        </is>
      </c>
      <c r="D146" s="39" t="inlineStr">
        <is>
          <t>Nhà chứa drone</t>
        </is>
      </c>
      <c r="E146" s="39" t="inlineStr">
        <is>
          <t>Nhà chứa drone · ngắn: Nhà chứa drone · EN: Drone Hangar</t>
        </is>
      </c>
      <c r="F146" s="39" t="inlineStr">
        <is>
          <t>Giữ.</t>
        </is>
      </c>
      <c r="G146" s="39" t="n"/>
      <c r="H146" s="49" t="inlineStr">
        <is>
          <t>Thấp</t>
        </is>
      </c>
    </row>
    <row r="147" ht="15" customHeight="1" s="32">
      <c r="A147" s="41" t="inlineStr">
        <is>
          <t>earth_borer</t>
        </is>
      </c>
      <c r="B147" s="41" t="inlineStr">
        <is>
          <t>Tartarus · Máy khoan</t>
        </is>
      </c>
      <c r="C147" s="41" t="inlineStr">
        <is>
          <t>Máu</t>
        </is>
      </c>
      <c r="D147" s="41" t="inlineStr">
        <is>
          <t>11.430</t>
        </is>
      </c>
      <c r="E147" s="41" t="inlineStr">
        <is>
          <t>~10.000 (mini chương 8)</t>
        </is>
      </c>
      <c r="F147" s="41" t="inlineStr">
        <is>
          <t>Mini boss nhiều máu hơn boss chủ lực chương 2 và 11.</t>
        </is>
      </c>
      <c r="G147" s="41" t="inlineStr">
        <is>
          <t>Thang máu boss</t>
        </is>
      </c>
      <c r="H147" s="49" t="inlineStr">
        <is>
          <t>Thấp</t>
        </is>
      </c>
    </row>
    <row r="148" ht="15" customHeight="1" s="32">
      <c r="A148" s="39" t="inlineStr">
        <is>
          <t>ew_jammer</t>
        </is>
      </c>
      <c r="B148" s="39" t="inlineStr">
        <is>
          <t>Xe tác chiến điện tử</t>
        </is>
      </c>
      <c r="C148" s="39" t="inlineStr">
        <is>
          <t>Tên</t>
        </is>
      </c>
      <c r="D148" s="39" t="inlineStr">
        <is>
          <t>Xe tác chiến điện tử</t>
        </is>
      </c>
      <c r="E148" s="39" t="inlineStr">
        <is>
          <t>Xe gây nhiễu điện tử · ngắn: Gây nhiễu · EN: EW Jammer</t>
        </is>
      </c>
      <c r="F148" s="39" t="inlineStr">
        <is>
          <t>"Tác chiến điện tử" dài; bảng DPS đã dùng "Gây nhiễu".</t>
        </is>
      </c>
      <c r="G148" s="39" t="n"/>
      <c r="H148" s="49" t="inlineStr">
        <is>
          <t>Thấp</t>
        </is>
      </c>
    </row>
    <row r="149" ht="15" customHeight="1" s="32">
      <c r="A149" s="41" t="inlineStr">
        <is>
          <t>fenrir</t>
        </is>
      </c>
      <c r="B149" s="41" t="inlineStr">
        <is>
          <t>Fenrir · Xe tiên phong</t>
        </is>
      </c>
      <c r="C149" s="41" t="inlineStr">
        <is>
          <t>Giáp</t>
        </is>
      </c>
      <c r="D149" s="41" t="inlineStr">
        <is>
          <t>trước 5</t>
        </is>
      </c>
      <c r="E149" s="41" t="inlineStr">
        <is>
          <t>trước 4</t>
        </is>
      </c>
      <c r="F149" s="41" t="inlineStr">
        <is>
          <t>Như trên.</t>
        </is>
      </c>
      <c r="G149" s="41" t="inlineStr">
        <is>
          <t>Luật mini boss</t>
        </is>
      </c>
      <c r="H149" s="49" t="inlineStr">
        <is>
          <t>Thấp</t>
        </is>
      </c>
    </row>
    <row r="150" ht="15" customHeight="1" s="32">
      <c r="A150" s="39" t="inlineStr">
        <is>
          <t>fenrir</t>
        </is>
      </c>
      <c r="B150" s="39" t="inlineStr">
        <is>
          <t>Fenrir · Xe tiên phong</t>
        </is>
      </c>
      <c r="C150" s="39" t="inlineStr">
        <is>
          <t>Giáp</t>
        </is>
      </c>
      <c r="D150" s="39" t="inlineStr">
        <is>
          <t>5/4/3/2</t>
        </is>
      </c>
      <c r="E150" s="39" t="inlineStr">
        <is>
          <t>4/4/3/2</t>
        </is>
      </c>
      <c r="F150" s="39" t="inlineStr">
        <is>
          <t>Mini boss không có giáp trước 5 (chỉ boss chủ lực).</t>
        </is>
      </c>
      <c r="G150" s="39" t="n"/>
      <c r="H150" s="49" t="inlineStr">
        <is>
          <t>Thấp</t>
        </is>
      </c>
    </row>
    <row r="151" ht="32.25" customHeight="1" s="32">
      <c r="A151" s="41" t="inlineStr">
        <is>
          <t>fighter_jet</t>
        </is>
      </c>
      <c r="B151" s="41" t="inlineStr">
        <is>
          <t>Tiêm kích</t>
        </is>
      </c>
      <c r="C151" s="41" t="inlineStr">
        <is>
          <t>Kích thước model (dài × rộng × cao)</t>
        </is>
      </c>
      <c r="D151" s="41" t="inlineStr">
        <is>
          <t>6.4 × 4.2 × 1.4</t>
        </is>
      </c>
      <c r="E151" s="41" t="inlineStr">
        <is>
          <t>8.8 × 5.9 × 2.4</t>
        </is>
      </c>
      <c r="F151" s="41" t="inlineStr">
        <is>
          <t>Mẫu thật Su-27: 21.9 × 14.7 m; theo tỷ lệ chung (trên không 0,4) nên là 8.8 × 5.9 m. Su-27 thật dài hơn Su-25 40%, nhưng trong game bằng nhau. Đổi kích thước thì chỉnh vùng va chạm và chạy lại test xe kẹt.</t>
        </is>
      </c>
      <c r="G151" s="41" t="n"/>
      <c r="H151" s="49" t="inlineStr">
        <is>
          <t>Thấp</t>
        </is>
      </c>
    </row>
    <row r="152" ht="21.75" customHeight="1" s="32">
      <c r="A152" s="39" t="inlineStr">
        <is>
          <t>flame_tank</t>
        </is>
      </c>
      <c r="B152" s="39" t="inlineStr">
        <is>
          <t>Tăng phun lửa</t>
        </is>
      </c>
      <c r="C152" s="39" t="inlineStr">
        <is>
          <t>Vũ khí: súng phun lửa</t>
        </is>
      </c>
      <c r="D152" s="39" t="inlineStr">
        <is>
          <t>23,5/tick · giá trị vs xe nhẹ 587 ở 5 CP</t>
        </is>
      </c>
      <c r="E152" s="39" t="inlineStr">
        <is>
          <t>sát thương −10% lên xe nhẹ; giữ giá 5 CP</t>
        </is>
      </c>
      <c r="F152" s="39" t="inlineStr">
        <is>
          <t>Mạnh nhất theo CP khi đánh gần xe nhẹ; nhưng yếu với tăng và công sự nên giữ giá.</t>
        </is>
      </c>
      <c r="G152" s="39" t="inlineStr">
        <is>
          <t>TO-55, M67 Zippo</t>
        </is>
      </c>
      <c r="H152" s="49" t="inlineStr">
        <is>
          <t>Thấp</t>
        </is>
      </c>
    </row>
    <row r="153" ht="21.75" customHeight="1" s="32">
      <c r="A153" s="41" t="inlineStr">
        <is>
          <t>flame_tank</t>
        </is>
      </c>
      <c r="B153" s="41" t="inlineStr">
        <is>
          <t>Tăng phun lửa</t>
        </is>
      </c>
      <c r="C153" s="41" t="inlineStr">
        <is>
          <t>Nổ khi bị phá (bán kính)</t>
        </is>
      </c>
      <c r="D153" s="41" t="inlineStr">
        <is>
          <t>8 m · 280 sát thương</t>
        </is>
      </c>
      <c r="E153" s="41" t="inlineStr">
        <is>
          <t>~5 m</t>
        </is>
      </c>
      <c r="F153" s="41" t="inlineStr">
        <is>
          <t>Bán kính nổ khi bị phá nên theo cỡ xe, cộng thêm nếu xe chở nhiều đạn/nhiên liệu.</t>
        </is>
      </c>
      <c r="G153" s="41" t="n"/>
      <c r="H153" s="49" t="inlineStr">
        <is>
          <t>Thấp</t>
        </is>
      </c>
    </row>
    <row r="154" ht="21.75" customHeight="1" s="32">
      <c r="A154" s="39" t="inlineStr">
        <is>
          <t>fpv_carrier</t>
        </is>
      </c>
      <c r="B154" s="39" t="inlineStr">
        <is>
          <t>Xe phóng drone FPV</t>
        </is>
      </c>
      <c r="C154" s="39" t="inlineStr">
        <is>
          <t>Kích thước model (dài × rộng × cao)</t>
        </is>
      </c>
      <c r="D154" s="39" t="inlineStr">
        <is>
          <t>7.0 × 2.6 × 3.6</t>
        </is>
      </c>
      <c r="E154" s="39" t="inlineStr">
        <is>
          <t>7.2 × 2.0 × 2.6</t>
        </is>
      </c>
      <c r="F154" s="39" t="inlineStr">
        <is>
          <t>Mẫu thật KamAZ Typhoon-K: 9.0 × 2.55 m; theo tỷ lệ chung (mặt đất 0,8) nên là 7.2 × 2.0 m. Đổi kích thước thì chỉnh vùng va chạm và chạy lại test xe kẹt.</t>
        </is>
      </c>
      <c r="G154" s="39" t="n"/>
      <c r="H154" s="49" t="inlineStr">
        <is>
          <t>Thấp</t>
        </is>
      </c>
    </row>
    <row r="155" ht="21.75" customHeight="1" s="32">
      <c r="A155" s="41"/>
      <c r="B155" s="41"/>
      <c r="C155" s="41"/>
      <c r="D155" s="41"/>
      <c r="E155" s="41"/>
      <c r="F155" s="41"/>
      <c r="G155" s="41"/>
      <c r="H155" s="49"/>
    </row>
    <row r="156" ht="15" customHeight="1" s="32">
      <c r="A156" s="39" t="inlineStr">
        <is>
          <t>heavy_aa</t>
        </is>
      </c>
      <c r="B156" s="39" t="inlineStr">
        <is>
          <t>Pháo tên lửa phòng không</t>
        </is>
      </c>
      <c r="C156" s="39" t="inlineStr">
        <is>
          <t>Vũ khí: 2A38 30 mm đôi</t>
        </is>
      </c>
      <c r="D156" s="39" t="inlineStr">
        <is>
          <t>22/phát · 13,6 viên/s</t>
        </is>
      </c>
      <c r="E156" s="39" t="inlineStr">
        <is>
          <t>7,5/phát · 40 viên/s (giữ DPS)</t>
        </is>
      </c>
      <c r="F156" s="39" t="inlineStr">
        <is>
          <t>Tạo luồng đạn đặc trưng Pantsir.</t>
        </is>
      </c>
      <c r="G156" s="39" t="inlineStr">
        <is>
          <t>2A38M: ~5.000 phát/phút cả cặp</t>
        </is>
      </c>
      <c r="H156" s="49" t="inlineStr">
        <is>
          <t>Thấp</t>
        </is>
      </c>
    </row>
    <row r="157" ht="21.75" customHeight="1" s="32">
      <c r="A157" s="41" t="inlineStr">
        <is>
          <t>heavy_aa</t>
        </is>
      </c>
      <c r="B157" s="41" t="inlineStr">
        <is>
          <t>Pháo tên lửa phòng không</t>
        </is>
      </c>
      <c r="C157" s="41" t="inlineStr">
        <is>
          <t>Tên</t>
        </is>
      </c>
      <c r="D157" s="41" t="inlineStr">
        <is>
          <t>Pháo tên lửa phòng không</t>
        </is>
      </c>
      <c r="E157" s="41" t="inlineStr">
        <is>
          <t>Xe phòng không pháo – tên lửa · ngắn: PK hỗn hợp · EN: Gun–Missile AA</t>
        </is>
      </c>
      <c r="F157" s="41" t="inlineStr">
        <is>
          <t>"Pháo tên lửa phòng không" khó hiểu; bảng DPS đã gọi "PK hỗn hợp".</t>
        </is>
      </c>
      <c r="G157" s="41" t="n"/>
      <c r="H157" s="49" t="inlineStr">
        <is>
          <t>Thấp</t>
        </is>
      </c>
    </row>
    <row r="158" ht="32.25" customHeight="1" s="32">
      <c r="A158" s="39" t="inlineStr">
        <is>
          <t>heavy_aa</t>
        </is>
      </c>
      <c r="B158" s="39" t="inlineStr">
        <is>
          <t>Pháo tên lửa phòng không</t>
        </is>
      </c>
      <c r="C158" s="39" t="inlineStr">
        <is>
          <t>Kích thước model (dài × rộng × cao)</t>
        </is>
      </c>
      <c r="D158" s="39" t="inlineStr">
        <is>
          <t>7.0 × 2.5 × 3.3</t>
        </is>
      </c>
      <c r="E158" s="39" t="inlineStr">
        <is>
          <t>9.6 × 2.6 × 2.8</t>
        </is>
      </c>
      <c r="F158" s="39" t="inlineStr">
        <is>
          <t>Mẫu thật Pantsir-S1 (KamAZ): 12.0 × 3.2 m; theo tỷ lệ chung (mặt đất 0,8) nên là 9.6 × 2.6 m. Đổi kích thước thì chỉnh vùng va chạm và chạy lại test xe kẹt.</t>
        </is>
      </c>
      <c r="G158" s="39" t="n"/>
      <c r="H158" s="49" t="inlineStr">
        <is>
          <t>Thấp</t>
        </is>
      </c>
    </row>
    <row r="159" ht="15" customHeight="1" s="32">
      <c r="A159" s="41" t="inlineStr">
        <is>
          <t>heavy_bomber</t>
        </is>
      </c>
      <c r="B159" s="41" t="inlineStr">
        <is>
          <t>Oanh tạc cơ hạng nặng</t>
        </is>
      </c>
      <c r="C159" s="41" t="inlineStr">
        <is>
          <t>Tên</t>
        </is>
      </c>
      <c r="D159" s="41" t="inlineStr">
        <is>
          <t>Oanh tạc cơ hạng nặng</t>
        </is>
      </c>
      <c r="E159" s="41" t="inlineStr">
        <is>
          <t>Oanh tạc cơ chiến lược · ngắn: Oanh tạc cơ · EN: Strategic Bomber</t>
        </is>
      </c>
      <c r="F159" s="41" t="inlineStr">
        <is>
          <t>"Chiến lược" đúng phân loại B-52.</t>
        </is>
      </c>
      <c r="G159" s="41" t="n"/>
      <c r="H159" s="49" t="inlineStr">
        <is>
          <t>Thấp</t>
        </is>
      </c>
    </row>
    <row r="160" ht="15" customHeight="1" s="32">
      <c r="A160" s="39" t="inlineStr">
        <is>
          <t>heavy_rocket_artillery</t>
        </is>
      </c>
      <c r="B160" s="39" t="inlineStr">
        <is>
          <t>Pháo phản lực hạng nặng</t>
        </is>
      </c>
      <c r="C160" s="39" t="inlineStr">
        <is>
          <t>Vũ khí: Smerch 300 mm</t>
        </is>
      </c>
      <c r="D160" s="39" t="inlineStr">
        <is>
          <t>tốc độ 24 (bay 5,8 s, chậm hơn cả Grad)</t>
        </is>
      </c>
      <c r="E160" s="39" t="inlineStr">
        <is>
          <t>tốc độ 55 (bay 2,5 s)</t>
        </is>
      </c>
      <c r="F160" s="39" t="inlineStr">
        <is>
          <t>Rốc-két cỡ lớn bay nhanh và xa nhất; hiện chậm ngược.</t>
        </is>
      </c>
      <c r="G160" s="39" t="inlineStr">
        <is>
          <t>9M55: tầm 70–90 km</t>
        </is>
      </c>
      <c r="H160" s="49" t="inlineStr">
        <is>
          <t>Thấp</t>
        </is>
      </c>
    </row>
    <row r="161" ht="15" customHeight="1" s="32">
      <c r="A161" s="41" t="inlineStr">
        <is>
          <t>heavy_rocket_artillery</t>
        </is>
      </c>
      <c r="B161" s="41" t="inlineStr">
        <is>
          <t>Pháo phản lực hạng nặng</t>
        </is>
      </c>
      <c r="C161" s="41" t="inlineStr">
        <is>
          <t>Giá</t>
        </is>
      </c>
      <c r="D161" s="41" t="inlineStr">
        <is>
          <t>11 CP (hiệu quả 1,16)</t>
        </is>
      </c>
      <c r="E161" s="41" t="inlineStr">
        <is>
          <t>12 CP</t>
        </is>
      </c>
      <c r="F161" s="41" t="inlineStr">
        <is>
          <t>Mạnh hơn đạn đạo cùng giá.</t>
        </is>
      </c>
      <c r="G161" s="41" t="inlineStr">
        <is>
          <t>BM-30 Smerch</t>
        </is>
      </c>
      <c r="H161" s="49" t="inlineStr">
        <is>
          <t>Thấp</t>
        </is>
      </c>
    </row>
    <row r="162" ht="21.75" customHeight="1" s="32">
      <c r="A162" s="39" t="inlineStr">
        <is>
          <t>heavy_turret</t>
        </is>
      </c>
      <c r="B162" s="39" t="inlineStr">
        <is>
          <t>Pháo đài hạng nặng</t>
        </is>
      </c>
      <c r="C162" s="39" t="inlineStr">
        <is>
          <t>Tên</t>
        </is>
      </c>
      <c r="D162" s="39" t="inlineStr">
        <is>
          <t>Pháo đài hạng nặng</t>
        </is>
      </c>
      <c r="E162" s="39" t="inlineStr">
        <is>
          <t>Tháp pháo hạng nặng · ngắn: Pháo hạng nặng · EN: Heavy Gun Turret</t>
        </is>
      </c>
      <c r="F162" s="39" t="inlineStr">
        <is>
          <t>"Pháo đài" dễ nhầm với boss Bastion và pháo đài trong Công thành.</t>
        </is>
      </c>
      <c r="G162" s="39" t="n"/>
      <c r="H162" s="49" t="inlineStr">
        <is>
          <t>Thấp</t>
        </is>
      </c>
    </row>
    <row r="163" ht="21.75" customHeight="1" s="32">
      <c r="A163" s="41" t="inlineStr">
        <is>
          <t>hover_gunboat</t>
        </is>
      </c>
      <c r="B163" s="41" t="inlineStr">
        <is>
          <t>Xuồng cao tốc đệm khí</t>
        </is>
      </c>
      <c r="C163" s="41" t="inlineStr">
        <is>
          <t>Vũ khí: AK-630 30 mm</t>
        </is>
      </c>
      <c r="D163" s="41" t="inlineStr">
        <is>
          <t>22/phát · 60 viên/s · băng 15 · nạp 14,7 s · DPS duy trì 22</t>
        </is>
      </c>
      <c r="E163" s="41" t="inlineStr">
        <is>
          <t>12/phát · 60 viên/s · băng 60 · nạp 5 s · DPS duy trì ~85</t>
        </is>
      </c>
      <c r="F163" s="41" t="inlineStr">
        <is>
          <t>Bắn 0,25 s rồi im 14,7 s: không giống CIWS, và hộ tống boss gần như vô hại.</t>
        </is>
      </c>
      <c r="G163" s="41" t="inlineStr">
        <is>
          <t>AK-630M: 4.000–5.000 phát/phút, băng 2.000 viên</t>
        </is>
      </c>
      <c r="H163" s="49" t="inlineStr">
        <is>
          <t>Thấp</t>
        </is>
      </c>
    </row>
    <row r="164" ht="21.75" customHeight="1" s="32">
      <c r="A164" s="39" t="inlineStr">
        <is>
          <t>hover_gunboat</t>
        </is>
      </c>
      <c r="B164" s="39" t="inlineStr">
        <is>
          <t>Xuồng cao tốc đệm khí</t>
        </is>
      </c>
      <c r="C164" s="39" t="inlineStr">
        <is>
          <t>Tên</t>
        </is>
      </c>
      <c r="D164" s="39" t="inlineStr">
        <is>
          <t>Xuồng cao tốc đệm khí</t>
        </is>
      </c>
      <c r="E164" s="39" t="inlineStr">
        <is>
          <t>Xuồng đệm khí hộ tống · ngắn: Xuồng hộ tống · EN: Escort Hovercraft</t>
        </is>
      </c>
      <c r="F164" s="39" t="inlineStr">
        <is>
          <t>Nói rõ vai trò hộ tống boss.</t>
        </is>
      </c>
      <c r="G164" s="39" t="n"/>
      <c r="H164" s="49" t="inlineStr">
        <is>
          <t>Thấp</t>
        </is>
      </c>
    </row>
    <row r="165" ht="21.75" customHeight="1" s="32">
      <c r="A165" s="41" t="inlineStr">
        <is>
          <t>hover_gunboat</t>
        </is>
      </c>
      <c r="B165" s="41" t="inlineStr">
        <is>
          <t>Xuồng cao tốc đệm khí</t>
        </is>
      </c>
      <c r="C165" s="41" t="inlineStr">
        <is>
          <t>Nổ khi bị phá (bán kính)</t>
        </is>
      </c>
      <c r="D165" s="41" t="inlineStr">
        <is>
          <t>6 m · 140 sát thương</t>
        </is>
      </c>
      <c r="E165" s="41" t="inlineStr">
        <is>
          <t>~9 m</t>
        </is>
      </c>
      <c r="F165" s="41" t="inlineStr">
        <is>
          <t>Bán kính nổ khi bị phá nên theo cỡ xe, cộng thêm nếu xe chở nhiều đạn/nhiên liệu.</t>
        </is>
      </c>
      <c r="G165" s="41" t="n"/>
      <c r="H165" s="49" t="inlineStr">
        <is>
          <t>Thấp</t>
        </is>
      </c>
    </row>
    <row r="166" ht="15" customHeight="1" s="32">
      <c r="A166" s="39" t="inlineStr">
        <is>
          <t>iron_beam</t>
        </is>
      </c>
      <c r="B166" s="39" t="inlineStr">
        <is>
          <t>La-de phòng không</t>
        </is>
      </c>
      <c r="C166" s="39" t="inlineStr">
        <is>
          <t>Tên</t>
        </is>
      </c>
      <c r="D166" s="39" t="inlineStr">
        <is>
          <t>La-de phòng không</t>
        </is>
      </c>
      <c r="E166" s="39" t="inlineStr">
        <is>
          <t>Xe la-de phòng không · ngắn: La-de PK · EN: Laser AA</t>
        </is>
      </c>
      <c r="F166" s="39" t="inlineStr">
        <is>
          <t>Giữ.</t>
        </is>
      </c>
      <c r="G166" s="39" t="n"/>
      <c r="H166" s="49" t="inlineStr">
        <is>
          <t>Thấp</t>
        </is>
      </c>
    </row>
    <row r="167" ht="32.25" customHeight="1" s="32">
      <c r="A167" s="41" t="inlineStr">
        <is>
          <t>iron_beam</t>
        </is>
      </c>
      <c r="B167" s="41" t="inlineStr">
        <is>
          <t>La-de phòng không</t>
        </is>
      </c>
      <c r="C167" s="41" t="inlineStr">
        <is>
          <t>Kích thước model (dài × rộng × cao)</t>
        </is>
      </c>
      <c r="D167" s="41" t="inlineStr">
        <is>
          <t>7.8 × 2.7 × 3.7</t>
        </is>
      </c>
      <c r="E167" s="41" t="inlineStr">
        <is>
          <t>8.0 × 2.0 × 2.8</t>
        </is>
      </c>
      <c r="F167" s="41" t="inlineStr">
        <is>
          <t>Mẫu thật Iron Beam (xe tải mang laser): 10.0 × 2.5 m; theo tỷ lệ chung (mặt đất 0,8) nên là 8.0 × 2.0 m. Đổi kích thước thì chỉnh vùng va chạm và chạy lại test xe kẹt.</t>
        </is>
      </c>
      <c r="G167" s="41" t="n"/>
      <c r="H167" s="49" t="inlineStr">
        <is>
          <t>Thấp</t>
        </is>
      </c>
    </row>
    <row r="168" ht="15" customHeight="1" s="32">
      <c r="A168" s="39"/>
      <c r="B168" s="39"/>
      <c r="C168" s="39"/>
      <c r="D168" s="39"/>
      <c r="E168" s="39"/>
      <c r="F168" s="39"/>
      <c r="G168" s="39"/>
      <c r="H168" s="49"/>
    </row>
    <row r="169" ht="21.75" customHeight="1" s="32">
      <c r="A169" s="41"/>
      <c r="B169" s="41"/>
      <c r="C169" s="41"/>
      <c r="D169" s="41"/>
      <c r="E169" s="41"/>
      <c r="F169" s="41"/>
      <c r="G169" s="41"/>
      <c r="H169" s="49"/>
    </row>
    <row r="170" ht="21.75" customHeight="1" s="32">
      <c r="A170" s="39"/>
      <c r="B170" s="39"/>
      <c r="C170" s="39"/>
      <c r="D170" s="39"/>
      <c r="E170" s="39"/>
      <c r="F170" s="39"/>
      <c r="G170" s="39"/>
      <c r="H170" s="49"/>
    </row>
    <row r="171" ht="21.75" customHeight="1" s="32">
      <c r="A171" s="41"/>
      <c r="B171" s="41"/>
      <c r="C171" s="41"/>
      <c r="D171" s="41"/>
      <c r="E171" s="41"/>
      <c r="F171" s="41"/>
      <c r="G171" s="41"/>
      <c r="H171" s="49"/>
    </row>
    <row r="172" ht="15" customHeight="1" s="32">
      <c r="A172" s="39" t="inlineStr">
        <is>
          <t>laser_tank</t>
        </is>
      </c>
      <c r="B172" s="39" t="inlineStr">
        <is>
          <t>Xe la-de tập trung</t>
        </is>
      </c>
      <c r="C172" s="39" t="inlineStr">
        <is>
          <t>Tên</t>
        </is>
      </c>
      <c r="D172" s="39" t="inlineStr">
        <is>
          <t>Xe la-de tập trung</t>
        </is>
      </c>
      <c r="E172" s="39" t="inlineStr">
        <is>
          <t>Xe la-de diệt tăng · ngắn: La-de diệt tăng · EN: Laser Tank Destroyer</t>
        </is>
      </c>
      <c r="F172" s="39" t="inlineStr">
        <is>
          <t>"Tập trung" không nói lên vai trò.</t>
        </is>
      </c>
      <c r="G172" s="39" t="n"/>
      <c r="H172" s="49" t="inlineStr">
        <is>
          <t>Thấp</t>
        </is>
      </c>
    </row>
    <row r="173" ht="15" customHeight="1" s="32">
      <c r="A173" s="41" t="inlineStr">
        <is>
          <t>light_tank</t>
        </is>
      </c>
      <c r="B173" s="41" t="inlineStr">
        <is>
          <t>Tăng hạng nhẹ</t>
        </is>
      </c>
      <c r="C173" s="41" t="inlineStr">
        <is>
          <t>Vũ khí: 57 mm</t>
        </is>
      </c>
      <c r="D173" s="41" t="inlineStr">
        <is>
          <t>77/phát · bắn đơn 0,4 phát/s</t>
        </is>
      </c>
      <c r="E173" s="41" t="inlineStr">
        <is>
          <t>77/phát · loạt 2 phát ở 2 phát/s · nghỉ 3,5 s · DPS duy trì ~35</t>
        </is>
      </c>
      <c r="F173" s="41" t="inlineStr">
        <is>
          <t>Pháo 57 mm tự động nhưng đang bắn như pháo nạp tay.</t>
        </is>
      </c>
      <c r="G173" s="41" t="inlineStr">
        <is>
          <t>AU-220M: 120 phát/phút</t>
        </is>
      </c>
      <c r="H173" s="49" t="inlineStr">
        <is>
          <t>Thấp</t>
        </is>
      </c>
    </row>
    <row r="174" ht="15" customHeight="1" s="32">
      <c r="A174" s="39" t="inlineStr">
        <is>
          <t>light_tank</t>
        </is>
      </c>
      <c r="B174" s="39" t="inlineStr">
        <is>
          <t>Tăng hạng nhẹ</t>
        </is>
      </c>
      <c r="C174" s="39" t="inlineStr">
        <is>
          <t>Tầm nhìn</t>
        </is>
      </c>
      <c r="D174" s="39" t="inlineStr">
        <is>
          <t>30 m</t>
        </is>
      </c>
      <c r="E174" s="39" t="inlineStr">
        <is>
          <t>36 m</t>
        </is>
      </c>
      <c r="F174" s="39" t="inlineStr">
        <is>
          <t>Tăng nhẹ lội nước thường làm trinh sát cho tuyến.</t>
        </is>
      </c>
      <c r="G174" s="39" t="inlineStr">
        <is>
          <t>PT-76, ZBD-05</t>
        </is>
      </c>
      <c r="H174" s="49" t="inlineStr">
        <is>
          <t>Thấp</t>
        </is>
      </c>
    </row>
    <row r="175" ht="15" customHeight="1" s="32">
      <c r="A175" s="41" t="inlineStr">
        <is>
          <t>light_tank</t>
        </is>
      </c>
      <c r="B175" s="41" t="inlineStr">
        <is>
          <t>Tăng hạng nhẹ</t>
        </is>
      </c>
      <c r="C175" s="41" t="inlineStr">
        <is>
          <t>Tên</t>
        </is>
      </c>
      <c r="D175" s="41" t="inlineStr">
        <is>
          <t>Tăng hạng nhẹ</t>
        </is>
      </c>
      <c r="E175" s="41" t="inlineStr">
        <is>
          <t>Tăng nhẹ lội nước · ngắn: Tăng nhẹ · EN: Amphibious Light Tank</t>
        </is>
      </c>
      <c r="F175" s="41" t="inlineStr">
        <is>
          <t>Nói rõ đặc điểm (PT-76, ZBD-05 đều lội nước).</t>
        </is>
      </c>
      <c r="G175" s="41" t="n"/>
      <c r="H175" s="49" t="inlineStr">
        <is>
          <t>Thấp</t>
        </is>
      </c>
    </row>
    <row r="176" ht="21.75" customHeight="1" s="32">
      <c r="A176" s="39" t="inlineStr">
        <is>
          <t>long_sam</t>
        </is>
      </c>
      <c r="B176" s="39" t="inlineStr">
        <is>
          <t>Tên lửa phòng không tầm xa</t>
        </is>
      </c>
      <c r="C176" s="39" t="inlineStr">
        <is>
          <t>Tên</t>
        </is>
      </c>
      <c r="D176" s="39" t="inlineStr">
        <is>
          <t>Tên lửa phòng không tầm xa</t>
        </is>
      </c>
      <c r="E176" s="39" t="inlineStr">
        <is>
          <t>Xe tên lửa phòng không tầm xa · ngắn: PK tầm xa · EN: Long-range SAM</t>
        </is>
      </c>
      <c r="F176" s="39" t="inlineStr">
        <is>
          <t>Giữ nghĩa, thống nhất với tầm trung.</t>
        </is>
      </c>
      <c r="G176" s="39" t="n"/>
      <c r="H176" s="49" t="inlineStr">
        <is>
          <t>Thấp</t>
        </is>
      </c>
    </row>
    <row r="177" ht="21.75" customHeight="1" s="32">
      <c r="A177" s="41" t="inlineStr">
        <is>
          <t>missile_battery</t>
        </is>
      </c>
      <c r="B177" s="41" t="inlineStr">
        <is>
          <t>Tên lửa Patriot tầm xa</t>
        </is>
      </c>
      <c r="C177" s="41" t="inlineStr">
        <is>
          <t>Tên</t>
        </is>
      </c>
      <c r="D177" s="41" t="inlineStr">
        <is>
          <t>Tên lửa Patriot tầm xa</t>
        </is>
      </c>
      <c r="E177" s="41" t="inlineStr">
        <is>
          <t>Trạm tên lửa phòng không tầm xa · ngắn: PK tầm xa · EN: Long-range SAM Site</t>
        </is>
      </c>
      <c r="F177" s="41" t="inlineStr">
        <is>
          <t>Bỏ tên thật "Patriot" khỏi tên thẻ.</t>
        </is>
      </c>
      <c r="G177" s="41" t="n"/>
      <c r="H177" s="49" t="inlineStr">
        <is>
          <t>Thấp</t>
        </is>
      </c>
    </row>
    <row r="178" ht="15" customHeight="1" s="32">
      <c r="A178" s="39" t="inlineStr">
        <is>
          <t>mlrs</t>
        </is>
      </c>
      <c r="B178" s="39" t="inlineStr">
        <is>
          <t>Pháo phản lực</t>
        </is>
      </c>
      <c r="C178" s="39" t="inlineStr">
        <is>
          <t>Tên</t>
        </is>
      </c>
      <c r="D178" s="39" t="inlineStr">
        <is>
          <t>Pháo phản lực</t>
        </is>
      </c>
      <c r="E178" s="39" t="inlineStr">
        <is>
          <t>Pháo phản lực dẫn đường · ngắn: Phản lực · EN: Guided MLRS</t>
        </is>
      </c>
      <c r="F178" s="39" t="inlineStr">
        <is>
          <t>Phân biệt với pháo phản lực hạng nặng và nhiệt áp.</t>
        </is>
      </c>
      <c r="G178" s="39" t="n"/>
      <c r="H178" s="49" t="inlineStr">
        <is>
          <t>Thấp</t>
        </is>
      </c>
    </row>
    <row r="179" ht="15" customHeight="1" s="32">
      <c r="A179" s="41"/>
      <c r="B179" s="41"/>
      <c r="C179" s="41"/>
      <c r="D179" s="41"/>
      <c r="E179" s="41"/>
      <c r="F179" s="41"/>
      <c r="G179" s="41"/>
      <c r="H179" s="49"/>
    </row>
    <row r="180" ht="15" customHeight="1" s="32">
      <c r="A180" s="39" t="inlineStr">
        <is>
          <t>mortar_carrier</t>
        </is>
      </c>
      <c r="B180" s="39" t="inlineStr">
        <is>
          <t>Xe súng cối</t>
        </is>
      </c>
      <c r="C180" s="39" t="inlineStr">
        <is>
          <t>Vũ khí: cối 120 mm</t>
        </is>
      </c>
      <c r="D180" s="39" t="inlineStr">
        <is>
          <t>0,17 phát/s</t>
        </is>
      </c>
      <c r="E180" s="39" t="inlineStr">
        <is>
          <t>0,2 phát/s</t>
        </is>
      </c>
      <c r="F180" s="39" t="inlineStr">
        <is>
          <t>Cối 120 bắn nhanh ngoài đời; cảm giác "mưa cối".</t>
        </is>
      </c>
      <c r="G180" s="39" t="inlineStr">
        <is>
          <t>2B11: 15 phát/phút</t>
        </is>
      </c>
      <c r="H180" s="49" t="inlineStr">
        <is>
          <t>Thấp</t>
        </is>
      </c>
    </row>
    <row r="181" ht="15" customHeight="1" s="32">
      <c r="A181" s="41" t="inlineStr">
        <is>
          <t>mortar_carrier</t>
        </is>
      </c>
      <c r="B181" s="41" t="inlineStr">
        <is>
          <t>Xe súng cối</t>
        </is>
      </c>
      <c r="C181" s="41" t="inlineStr">
        <is>
          <t>Tên</t>
        </is>
      </c>
      <c r="D181" s="41" t="inlineStr">
        <is>
          <t>Xe súng cối</t>
        </is>
      </c>
      <c r="E181" s="41" t="inlineStr">
        <is>
          <t>Xe cối tự hành · ngắn: Xe cối · EN: Mortar Carrier</t>
        </is>
      </c>
      <c r="F181" s="41" t="inlineStr">
        <is>
          <t>"Xe súng cối" nghe lạ.</t>
        </is>
      </c>
      <c r="G181" s="41" t="n"/>
      <c r="H181" s="49" t="inlineStr">
        <is>
          <t>Thấp</t>
        </is>
      </c>
    </row>
    <row r="182" ht="21.75" customHeight="1" s="32">
      <c r="A182" s="39" t="inlineStr">
        <is>
          <t>mortar_carrier</t>
        </is>
      </c>
      <c r="B182" s="39" t="inlineStr">
        <is>
          <t>Xe súng cối</t>
        </is>
      </c>
      <c r="C182" s="39" t="inlineStr">
        <is>
          <t>Nổ khi bị phá (bán kính)</t>
        </is>
      </c>
      <c r="D182" s="39" t="inlineStr">
        <is>
          <t>5 m · 120 sát thương</t>
        </is>
      </c>
      <c r="E182" s="39" t="inlineStr">
        <is>
          <t>~8 m</t>
        </is>
      </c>
      <c r="F182" s="39" t="inlineStr">
        <is>
          <t>Bán kính nổ khi bị phá nên theo cỡ xe, cộng thêm nếu xe chở nhiều đạn/nhiên liệu. Xe này chở nhiều đạn.</t>
        </is>
      </c>
      <c r="G182" s="39" t="n"/>
      <c r="H182" s="49" t="inlineStr">
        <is>
          <t>Thấp</t>
        </is>
      </c>
    </row>
    <row r="183" ht="15" customHeight="1" s="32">
      <c r="A183" s="41" t="inlineStr">
        <is>
          <t>railgun_truck</t>
        </is>
      </c>
      <c r="B183" s="41" t="inlineStr">
        <is>
          <t>Xe súng điện từ</t>
        </is>
      </c>
      <c r="C183" s="41" t="inlineStr">
        <is>
          <t>Giá</t>
        </is>
      </c>
      <c r="D183" s="41" t="inlineStr">
        <is>
          <t>9 CP (hiệu quả 1,22)</t>
        </is>
      </c>
      <c r="E183" s="41" t="inlineStr">
        <is>
          <t>10 CP</t>
        </is>
      </c>
      <c r="F183" s="41" t="inlineStr">
        <is>
          <t>Mạnh nhất nhóm diệt tăng.</t>
        </is>
      </c>
      <c r="G183" s="41" t="inlineStr">
        <is>
          <t>(giả tưởng gần: EMRG)</t>
        </is>
      </c>
      <c r="H183" s="49" t="inlineStr">
        <is>
          <t>Thấp</t>
        </is>
      </c>
    </row>
    <row r="184" ht="15" customHeight="1" s="32">
      <c r="A184" s="39" t="inlineStr">
        <is>
          <t>railgun_truck</t>
        </is>
      </c>
      <c r="B184" s="39" t="inlineStr">
        <is>
          <t>Xe súng điện từ</t>
        </is>
      </c>
      <c r="C184" s="39" t="inlineStr">
        <is>
          <t>Tên</t>
        </is>
      </c>
      <c r="D184" s="39" t="inlineStr">
        <is>
          <t>Xe súng điện từ</t>
        </is>
      </c>
      <c r="E184" s="39" t="inlineStr">
        <is>
          <t>Xe pháo điện từ · ngắn: Pháo điện từ · EN: Railgun Truck</t>
        </is>
      </c>
      <c r="F184" s="39" t="inlineStr">
        <is>
          <t>Thẻ ghi "Xe súng điện từ", bảng DPS ghi "Pháo điện từ": thống nhất.</t>
        </is>
      </c>
      <c r="G184" s="39" t="n"/>
      <c r="H184" s="49" t="inlineStr">
        <is>
          <t>Thấp</t>
        </is>
      </c>
    </row>
    <row r="185" ht="15" customHeight="1" s="32">
      <c r="A185" s="41" t="inlineStr">
        <is>
          <t>rocket_turret</t>
        </is>
      </c>
      <c r="B185" s="41" t="inlineStr">
        <is>
          <t>Dàn rốc-két</t>
        </is>
      </c>
      <c r="C185" s="41" t="inlineStr">
        <is>
          <t>Vũ khí: Grad</t>
        </is>
      </c>
      <c r="D185" s="41" t="inlineStr">
        <is>
          <t>87/40</t>
        </is>
      </c>
      <c r="E185" s="41" t="inlineStr">
        <is>
          <t>+15% sát thương hoặc nạp 3,35→2,9 s</t>
        </is>
      </c>
      <c r="F185" s="41" t="inlineStr">
        <is>
          <t>Hơi dưới mục tiêu 110/45.</t>
        </is>
      </c>
      <c r="G185" s="41" t="inlineStr">
        <is>
          <t>BM-21</t>
        </is>
      </c>
      <c r="H185" s="49" t="inlineStr">
        <is>
          <t>Thấp</t>
        </is>
      </c>
    </row>
    <row r="186" ht="21.75" customHeight="1" s="32">
      <c r="A186" s="39" t="inlineStr">
        <is>
          <t>sam_launcher</t>
        </is>
      </c>
      <c r="B186" s="39" t="inlineStr">
        <is>
          <t>Tên lửa phòng không</t>
        </is>
      </c>
      <c r="C186" s="39" t="inlineStr">
        <is>
          <t>Tên</t>
        </is>
      </c>
      <c r="D186" s="39" t="inlineStr">
        <is>
          <t>Tên lửa phòng không</t>
        </is>
      </c>
      <c r="E186" s="39" t="inlineStr">
        <is>
          <t>Xe tên lửa phòng không tầm trung · ngắn: PK tầm trung · EN: Medium-range SAM</t>
        </is>
      </c>
      <c r="F186" s="39" t="inlineStr">
        <is>
          <t>Phân biệt với tầm xa và vác vai.</t>
        </is>
      </c>
      <c r="G186" s="39" t="n"/>
      <c r="H186" s="49" t="inlineStr">
        <is>
          <t>Thấp</t>
        </is>
      </c>
    </row>
    <row r="187" ht="21.75" customHeight="1" s="32">
      <c r="A187" s="41" t="inlineStr">
        <is>
          <t>scout_heli</t>
        </is>
      </c>
      <c r="B187" s="41" t="inlineStr">
        <is>
          <t>Trực thăng trinh sát</t>
        </is>
      </c>
      <c r="C187" s="41" t="inlineStr">
        <is>
          <t>Tên</t>
        </is>
      </c>
      <c r="D187" s="41" t="inlineStr">
        <is>
          <t>Trực thăng trinh sát</t>
        </is>
      </c>
      <c r="E187" s="41" t="inlineStr">
        <is>
          <t>Trực thăng trinh sát vũ trang · ngắn: TT trinh sát · EN: Armed Scout Helicopter</t>
        </is>
      </c>
      <c r="F187" s="41" t="inlineStr">
        <is>
          <t>Nói rõ nó có vũ khí.</t>
        </is>
      </c>
      <c r="G187" s="41" t="n"/>
      <c r="H187" s="49" t="inlineStr">
        <is>
          <t>Thấp</t>
        </is>
      </c>
    </row>
    <row r="188" ht="15" customHeight="1" s="32">
      <c r="A188" s="39" t="inlineStr">
        <is>
          <t>scout_jeep</t>
        </is>
      </c>
      <c r="B188" s="39" t="inlineStr">
        <is>
          <t>Xe trinh sát</t>
        </is>
      </c>
      <c r="C188" s="39" t="inlineStr">
        <is>
          <t>Tên</t>
        </is>
      </c>
      <c r="D188" s="39" t="inlineStr">
        <is>
          <t>Xe trinh sát</t>
        </is>
      </c>
      <c r="E188" s="39" t="inlineStr">
        <is>
          <t>Xe trinh sát hạng nhẹ · ngắn: Trinh sát · EN: Scout Jeep</t>
        </is>
      </c>
      <c r="F188" s="39" t="inlineStr">
        <is>
          <t>Phân biệt với xe trinh sát radar nếu thêm sau này.</t>
        </is>
      </c>
      <c r="G188" s="39" t="n"/>
      <c r="H188" s="49" t="inlineStr">
        <is>
          <t>Thấp</t>
        </is>
      </c>
    </row>
    <row r="189" ht="15" customHeight="1" s="32">
      <c r="A189" s="41" t="inlineStr">
        <is>
          <t>scylla</t>
        </is>
      </c>
      <c r="B189" s="41" t="inlineStr">
        <is>
          <t>Scylla · Tàu khu trục</t>
        </is>
      </c>
      <c r="C189" s="41" t="inlineStr">
        <is>
          <t>Giáp</t>
        </is>
      </c>
      <c r="D189" s="41" t="inlineStr">
        <is>
          <t>5/4/3/2</t>
        </is>
      </c>
      <c r="E189" s="41" t="inlineStr">
        <is>
          <t>4/4/3/2</t>
        </is>
      </c>
      <c r="F189" s="41" t="inlineStr">
        <is>
          <t>Mini boss không có giáp trước 5 (chỉ boss chủ lực).</t>
        </is>
      </c>
      <c r="G189" s="41" t="n"/>
      <c r="H189" s="49" t="inlineStr">
        <is>
          <t>Thấp</t>
        </is>
      </c>
    </row>
    <row r="190" ht="15" customHeight="1" s="32">
      <c r="A190" s="39" t="inlineStr">
        <is>
          <t>shahed_truck</t>
        </is>
      </c>
      <c r="B190" s="39" t="inlineStr">
        <is>
          <t>Xe phóng Shahed</t>
        </is>
      </c>
      <c r="C190" s="39" t="inlineStr">
        <is>
          <t>Vũ khí: Shahed-136</t>
        </is>
      </c>
      <c r="D190" s="39" t="inlineStr">
        <is>
          <t>nổ lan 6 m</t>
        </is>
      </c>
      <c r="E190" s="39" t="inlineStr">
        <is>
          <t>nổ lan 4,5 m</t>
        </is>
      </c>
      <c r="F190" s="39" t="inlineStr">
        <is>
          <t>Đầu nổ 40–50 kg phải nổ nhỏ hơn bom SDB và FAB-250.</t>
        </is>
      </c>
      <c r="G190" s="39" t="inlineStr">
        <is>
          <t>Shahed-136: 40–50 kg</t>
        </is>
      </c>
      <c r="H190" s="49" t="inlineStr">
        <is>
          <t>Thấp</t>
        </is>
      </c>
    </row>
    <row r="191" ht="21.75" customHeight="1" s="32">
      <c r="A191" s="41" t="inlineStr">
        <is>
          <t>shahed_truck</t>
        </is>
      </c>
      <c r="B191" s="41" t="inlineStr">
        <is>
          <t>Xe phóng Shahed</t>
        </is>
      </c>
      <c r="C191" s="41" t="inlineStr">
        <is>
          <t>Tên</t>
        </is>
      </c>
      <c r="D191" s="41" t="inlineStr">
        <is>
          <t>Xe phóng Shahed</t>
        </is>
      </c>
      <c r="E191" s="41" t="inlineStr">
        <is>
          <t>Xe phóng drone cảm tử tầm xa · ngắn: Drone cảm tử · EN: Long-range Drone Launcher</t>
        </is>
      </c>
      <c r="F191" s="41" t="inlineStr">
        <is>
          <t>Bỏ tên thật "Shahed" khỏi tên thẻ.</t>
        </is>
      </c>
      <c r="G191" s="41" t="n"/>
      <c r="H191" s="49" t="inlineStr">
        <is>
          <t>Thấp</t>
        </is>
      </c>
    </row>
    <row r="192" ht="32.25" customHeight="1" s="32">
      <c r="A192" s="39" t="inlineStr">
        <is>
          <t>shahed_truck</t>
        </is>
      </c>
      <c r="B192" s="39" t="inlineStr">
        <is>
          <t>Xe phóng Shahed</t>
        </is>
      </c>
      <c r="C192" s="39" t="inlineStr">
        <is>
          <t>Kích thước model (dài × rộng × cao)</t>
        </is>
      </c>
      <c r="D192" s="39" t="inlineStr">
        <is>
          <t>6.9 × 2.6 × 4.1</t>
        </is>
      </c>
      <c r="E192" s="39" t="inlineStr">
        <is>
          <t>6.4 × 2.0 × 2.8</t>
        </is>
      </c>
      <c r="F192" s="39" t="inlineStr">
        <is>
          <t>Mẫu thật xe tải phóng Shahed: 8.0 × 2.5 m; theo tỷ lệ chung (mặt đất 0,8) nên là 6.4 × 2.0 m. Đổi kích thước thì chỉnh vùng va chạm và chạy lại test xe kẹt.</t>
        </is>
      </c>
      <c r="G192" s="39" t="n"/>
      <c r="H192" s="49" t="inlineStr">
        <is>
          <t>Thấp</t>
        </is>
      </c>
    </row>
    <row r="193" ht="15" customHeight="1" s="32">
      <c r="A193" s="41" t="inlineStr">
        <is>
          <t>siege_tank</t>
        </is>
      </c>
      <c r="B193" s="41" t="inlineStr">
        <is>
          <t>Tăng công thành</t>
        </is>
      </c>
      <c r="C193" s="41" t="inlineStr">
        <is>
          <t>Tên</t>
        </is>
      </c>
      <c r="D193" s="41" t="inlineStr">
        <is>
          <t>Tăng công thành</t>
        </is>
      </c>
      <c r="E193" s="41" t="inlineStr">
        <is>
          <t>Pháo cối công thành · ngắn: Công thành · EN: Siege Mortar</t>
        </is>
      </c>
      <c r="F193" s="41" t="inlineStr">
        <is>
          <t>Không phải xe tăng; vũ khí chính là cối 240 mm.</t>
        </is>
      </c>
      <c r="G193" s="41" t="n"/>
      <c r="H193" s="49" t="inlineStr">
        <is>
          <t>Thấp</t>
        </is>
      </c>
    </row>
    <row r="194" ht="21.75" customHeight="1" s="32">
      <c r="A194" s="39" t="inlineStr">
        <is>
          <t>siege_tank</t>
        </is>
      </c>
      <c r="B194" s="39" t="inlineStr">
        <is>
          <t>Tăng công thành</t>
        </is>
      </c>
      <c r="C194" s="39" t="inlineStr">
        <is>
          <t>Kích thước model (dài × rộng × cao)</t>
        </is>
      </c>
      <c r="D194" s="39" t="inlineStr">
        <is>
          <t>7.7 × 3.4 × 3.1</t>
        </is>
      </c>
      <c r="E194" s="39" t="inlineStr">
        <is>
          <t>6.8 × 2.6 × 2.6</t>
        </is>
      </c>
      <c r="F194" s="39" t="inlineStr">
        <is>
          <t>Mẫu thật 2S4 Tyulpan: 8.5 × 3.2 m; theo tỷ lệ chung (mặt đất 0,8) nên là 6.8 × 2.6 m. Đổi kích thước thì chỉnh vùng va chạm và chạy lại test xe kẹt.</t>
        </is>
      </c>
      <c r="G194" s="39" t="n"/>
      <c r="H194" s="49" t="inlineStr">
        <is>
          <t>Thấp</t>
        </is>
      </c>
    </row>
    <row r="195" ht="15" customHeight="1" s="32">
      <c r="A195" s="41" t="inlineStr">
        <is>
          <t>sky_gunship</t>
        </is>
      </c>
      <c r="B195" s="41" t="inlineStr">
        <is>
          <t>Pháo hạm AC-130</t>
        </is>
      </c>
      <c r="C195" s="41" t="inlineStr">
        <is>
          <t>Tên</t>
        </is>
      </c>
      <c r="D195" s="41" t="inlineStr">
        <is>
          <t>Pháo hạm AC-130</t>
        </is>
      </c>
      <c r="E195" s="41" t="inlineStr">
        <is>
          <t>Pháo hạm bay · ngắn: Pháo hạm · EN: Airborne Gunship</t>
        </is>
      </c>
      <c r="F195" s="41" t="inlineStr">
        <is>
          <t>Bỏ tên thật "AC-130" khỏi tên thẻ (đưa vào dòng phụ).</t>
        </is>
      </c>
      <c r="G195" s="41" t="n"/>
      <c r="H195" s="49" t="inlineStr">
        <is>
          <t>Thấp</t>
        </is>
      </c>
    </row>
    <row r="196" ht="15" customHeight="1" s="32">
      <c r="A196" s="39"/>
      <c r="B196" s="39"/>
      <c r="C196" s="39"/>
      <c r="D196" s="39"/>
      <c r="E196" s="39"/>
      <c r="F196" s="39"/>
      <c r="G196" s="39"/>
      <c r="H196" s="49"/>
    </row>
    <row r="197" ht="15" customHeight="1" s="32">
      <c r="A197" s="41" t="inlineStr">
        <is>
          <t>spawn_bastion</t>
        </is>
      </c>
      <c r="B197" s="41" t="inlineStr">
        <is>
          <t>Tháp căn cứ</t>
        </is>
      </c>
      <c r="C197" s="41" t="inlineStr">
        <is>
          <t>Tên</t>
        </is>
      </c>
      <c r="D197" s="41" t="inlineStr">
        <is>
          <t>Tháp căn cứ</t>
        </is>
      </c>
      <c r="E197" s="41" t="inlineStr">
        <is>
          <t>(kiểm tra còn dùng không) · ngắn: — · EN: —</t>
        </is>
      </c>
      <c r="F197" s="41" t="inlineStr">
        <is>
          <t>Tên của hệ căn cứ cũ.</t>
        </is>
      </c>
      <c r="G197" s="41" t="n"/>
      <c r="H197" s="49" t="inlineStr">
        <is>
          <t>Thấp</t>
        </is>
      </c>
    </row>
    <row r="198" ht="15" customHeight="1" s="32">
      <c r="A198" s="39" t="inlineStr">
        <is>
          <t>stealth_bomber</t>
        </is>
      </c>
      <c r="B198" s="39" t="inlineStr">
        <is>
          <t>Máy bay ném bom tàng hình</t>
        </is>
      </c>
      <c r="C198" s="39" t="inlineStr">
        <is>
          <t>Tên</t>
        </is>
      </c>
      <c r="D198" s="39" t="inlineStr">
        <is>
          <t>Máy bay ném bom tàng hình</t>
        </is>
      </c>
      <c r="E198" s="39" t="inlineStr">
        <is>
          <t>Oanh tạc cơ tàng hình · ngắn: OTC tàng hình · EN: Stealth Bomber</t>
        </is>
      </c>
      <c r="F198" s="39" t="inlineStr">
        <is>
          <t>Thống nhất gốc "oanh tạc cơ" với Oanh tạc cơ.</t>
        </is>
      </c>
      <c r="G198" s="39" t="n"/>
      <c r="H198" s="49" t="inlineStr">
        <is>
          <t>Thấp</t>
        </is>
      </c>
    </row>
    <row r="199" ht="21.75" customHeight="1" s="32">
      <c r="A199" s="41" t="inlineStr">
        <is>
          <t>stealth_fighter</t>
        </is>
      </c>
      <c r="B199" s="41" t="inlineStr">
        <is>
          <t>Tiêm kích tàng hình</t>
        </is>
      </c>
      <c r="C199" s="41" t="inlineStr">
        <is>
          <t>Nổ khi bị phá (bán kính)</t>
        </is>
      </c>
      <c r="D199" s="41" t="inlineStr">
        <is>
          <t>7 m · 160 sát thương</t>
        </is>
      </c>
      <c r="E199" s="41" t="inlineStr">
        <is>
          <t>~5 m</t>
        </is>
      </c>
      <c r="F199" s="41" t="inlineStr">
        <is>
          <t>Bán kính nổ khi bị phá nên theo cỡ xe, cộng thêm nếu xe chở nhiều đạn/nhiên liệu.</t>
        </is>
      </c>
      <c r="G199" s="41" t="n"/>
      <c r="H199" s="49" t="inlineStr">
        <is>
          <t>Thấp</t>
        </is>
      </c>
    </row>
    <row r="200" ht="15" customHeight="1" s="32">
      <c r="A200" s="39" t="inlineStr">
        <is>
          <t>supply_truck</t>
        </is>
      </c>
      <c r="B200" s="39" t="inlineStr">
        <is>
          <t>Xe tiếp tế</t>
        </is>
      </c>
      <c r="C200" s="39" t="inlineStr">
        <is>
          <t>Tên</t>
        </is>
      </c>
      <c r="D200" s="39" t="inlineStr">
        <is>
          <t>Xe tiếp tế</t>
        </is>
      </c>
      <c r="E200" s="39" t="inlineStr">
        <is>
          <t>Xe tải tiếp tế · ngắn: Tiếp tế · EN: Supply Truck</t>
        </is>
      </c>
      <c r="F200" s="39" t="inlineStr">
        <is>
          <t>Giữ nghĩa, thêm "tải" cho rõ hình dạng.</t>
        </is>
      </c>
      <c r="G200" s="39" t="n"/>
      <c r="H200" s="49" t="inlineStr">
        <is>
          <t>Thấp</t>
        </is>
      </c>
    </row>
    <row r="201" ht="21.75" customHeight="1" s="32">
      <c r="A201" s="41" t="inlineStr">
        <is>
          <t>supply_truck</t>
        </is>
      </c>
      <c r="B201" s="41" t="inlineStr">
        <is>
          <t>Xe tiếp tế</t>
        </is>
      </c>
      <c r="C201" s="41" t="inlineStr">
        <is>
          <t>Kích thước model (dài × rộng × cao)</t>
        </is>
      </c>
      <c r="D201" s="41" t="inlineStr">
        <is>
          <t>7.6 × 2.7 × 3.5</t>
        </is>
      </c>
      <c r="E201" s="41" t="inlineStr">
        <is>
          <t>8.2 × 2.0 × 2.1</t>
        </is>
      </c>
      <c r="F201" s="41" t="inlineStr">
        <is>
          <t>Mẫu thật M977 HEMTT: 10.2 × 2.44 m; theo tỷ lệ chung (mặt đất 0,8) nên là 8.2 × 2.0 m. Đổi kích thước thì chỉnh vùng va chạm và chạy lại test xe kẹt.</t>
        </is>
      </c>
      <c r="G201" s="41" t="n"/>
      <c r="H201" s="49" t="inlineStr">
        <is>
          <t>Thấp</t>
        </is>
      </c>
    </row>
    <row r="202" ht="15" customHeight="1" s="32">
      <c r="A202" s="39"/>
      <c r="B202" s="39"/>
      <c r="C202" s="39"/>
      <c r="D202" s="39"/>
      <c r="E202" s="39"/>
      <c r="F202" s="39"/>
      <c r="G202" s="39"/>
      <c r="H202" s="49"/>
    </row>
    <row r="203" ht="15" customHeight="1" s="32">
      <c r="A203" s="41" t="inlineStr">
        <is>
          <t>tank_destroyer</t>
        </is>
      </c>
      <c r="B203" s="41" t="inlineStr">
        <is>
          <t>Pháo chống tăng</t>
        </is>
      </c>
      <c r="C203" s="41" t="inlineStr">
        <is>
          <t>Tên</t>
        </is>
      </c>
      <c r="D203" s="41" t="inlineStr">
        <is>
          <t>Pháo chống tăng</t>
        </is>
      </c>
      <c r="E203" s="41" t="inlineStr">
        <is>
          <t>Pháo chống tăng tự hành · ngắn: Chống tăng · EN: Tank Destroyer</t>
        </is>
      </c>
      <c r="F203" s="41" t="inlineStr">
        <is>
          <t>Giữ nghĩa.</t>
        </is>
      </c>
      <c r="G203" s="41" t="n"/>
      <c r="H203" s="49" t="inlineStr">
        <is>
          <t>Thấp</t>
        </is>
      </c>
    </row>
    <row r="204" ht="15" customHeight="1" s="32">
      <c r="A204" s="39" t="inlineStr">
        <is>
          <t>thermobaric_launcher</t>
        </is>
      </c>
      <c r="B204" s="39" t="inlineStr">
        <is>
          <t>Pháo phản lực nhiệt áp</t>
        </is>
      </c>
      <c r="C204" s="39" t="inlineStr">
        <is>
          <t>Giá</t>
        </is>
      </c>
      <c r="D204" s="39" t="inlineStr">
        <is>
          <t>8 CP (hiệu quả 1,16)</t>
        </is>
      </c>
      <c r="E204" s="39" t="inlineStr">
        <is>
          <t>9 CP</t>
        </is>
      </c>
      <c r="F204" s="39" t="inlineStr">
        <is>
          <t>Mạnh nhất nhóm pháo với công sự sau khi sửa hệ số nhiệt áp.</t>
        </is>
      </c>
      <c r="G204" s="39" t="inlineStr">
        <is>
          <t>TOS-1A</t>
        </is>
      </c>
      <c r="H204" s="49" t="inlineStr">
        <is>
          <t>Thấp</t>
        </is>
      </c>
    </row>
    <row r="205" ht="21.75" customHeight="1" s="32">
      <c r="A205" s="41" t="inlineStr">
        <is>
          <t>thermobaric_launcher</t>
        </is>
      </c>
      <c r="B205" s="41" t="inlineStr">
        <is>
          <t>Pháo phản lực nhiệt áp</t>
        </is>
      </c>
      <c r="C205" s="41" t="inlineStr">
        <is>
          <t>Nổ khi bị phá (bán kính)</t>
        </is>
      </c>
      <c r="D205" s="41" t="inlineStr">
        <is>
          <t>12 m · 360 sát thương</t>
        </is>
      </c>
      <c r="E205" s="41" t="inlineStr">
        <is>
          <t>~9 m</t>
        </is>
      </c>
      <c r="F205" s="41" t="inlineStr">
        <is>
          <t>Bán kính nổ khi bị phá nên theo cỡ xe, cộng thêm nếu xe chở nhiều đạn/nhiên liệu. Xe này chở nhiều đạn.</t>
        </is>
      </c>
      <c r="G205" s="41" t="n"/>
      <c r="H205" s="49" t="inlineStr">
        <is>
          <t>Thấp</t>
        </is>
      </c>
    </row>
    <row r="206" ht="15" customHeight="1" s="32">
      <c r="A206" s="39" t="inlineStr">
        <is>
          <t>titan_tank</t>
        </is>
      </c>
      <c r="B206" s="39" t="inlineStr">
        <is>
          <t>Siêu tăng Titan</t>
        </is>
      </c>
      <c r="C206" s="39" t="inlineStr">
        <is>
          <t>Tên</t>
        </is>
      </c>
      <c r="D206" s="39" t="inlineStr">
        <is>
          <t>Siêu tăng Titan</t>
        </is>
      </c>
      <c r="E206" s="39" t="inlineStr">
        <is>
          <t>Siêu tăng · ngắn: Siêu tăng · EN: Super-Heavy Tank</t>
        </is>
      </c>
      <c r="F206" s="39" t="inlineStr">
        <is>
          <t>"Titan" trùng biệt danh tướng Thorne ("Titan"); bỏ để tránh nhầm.</t>
        </is>
      </c>
      <c r="G206" s="39" t="n"/>
      <c r="H206" s="49" t="inlineStr">
        <is>
          <t>Thấp</t>
        </is>
      </c>
    </row>
    <row r="207" ht="21.75" customHeight="1" s="32">
      <c r="A207" s="41" t="inlineStr">
        <is>
          <t>titan_tank</t>
        </is>
      </c>
      <c r="B207" s="41" t="inlineStr">
        <is>
          <t>Siêu tăng Titan</t>
        </is>
      </c>
      <c r="C207" s="41" t="inlineStr">
        <is>
          <t>Kích thước model (dài × rộng × cao)</t>
        </is>
      </c>
      <c r="D207" s="41" t="inlineStr">
        <is>
          <t>10.4 × 3.6 × 3.5</t>
        </is>
      </c>
      <c r="E207" s="41" t="inlineStr">
        <is>
          <t>dài ≥ 10.6 m</t>
        </is>
      </c>
      <c r="F207" s="41" t="inlineStr">
        <is>
          <t>Phải to hơn rõ rệt so với heavy_tank (8.8 m), khoảng ×1.2.</t>
        </is>
      </c>
      <c r="G207" s="41" t="n"/>
      <c r="H207" s="49" t="inlineStr">
        <is>
          <t>Thấp</t>
        </is>
      </c>
    </row>
    <row r="208" ht="21.75" customHeight="1" s="32">
      <c r="A208" s="39" t="inlineStr">
        <is>
          <t>titan_tank</t>
        </is>
      </c>
      <c r="B208" s="39" t="inlineStr">
        <is>
          <t>Siêu tăng Titan</t>
        </is>
      </c>
      <c r="C208" s="39" t="inlineStr">
        <is>
          <t>Nổ khi bị phá (bán kính)</t>
        </is>
      </c>
      <c r="D208" s="39" t="inlineStr">
        <is>
          <t>12 m · 520 sát thương</t>
        </is>
      </c>
      <c r="E208" s="39" t="inlineStr">
        <is>
          <t>~8 m</t>
        </is>
      </c>
      <c r="F208" s="39" t="inlineStr">
        <is>
          <t>Bán kính nổ khi bị phá nên theo cỡ xe, cộng thêm nếu xe chở nhiều đạn/nhiên liệu.</t>
        </is>
      </c>
      <c r="G208" s="39" t="n"/>
      <c r="H208" s="49" t="inlineStr">
        <is>
          <t>Thấp</t>
        </is>
      </c>
    </row>
    <row r="209" ht="15" customHeight="1" s="32">
      <c r="A209" s="41"/>
      <c r="B209" s="41"/>
      <c r="C209" s="41"/>
      <c r="D209" s="41"/>
      <c r="E209" s="41"/>
      <c r="F209" s="41"/>
      <c r="G209" s="41"/>
      <c r="H209" s="49"/>
    </row>
    <row r="210" ht="21.75" customHeight="1" s="32">
      <c r="A210" s="39" t="inlineStr">
        <is>
          <t>twin_tank</t>
        </is>
      </c>
      <c r="B210" s="39" t="inlineStr">
        <is>
          <t>Tăng hai nòng</t>
        </is>
      </c>
      <c r="C210" s="39" t="inlineStr">
        <is>
          <t>Kích thước model (dài × rộng × cao)</t>
        </is>
      </c>
      <c r="D210" s="39" t="inlineStr">
        <is>
          <t>6.9 × 3.0 × 2.9</t>
        </is>
      </c>
      <c r="E210" s="39" t="inlineStr">
        <is>
          <t>dài ≥ 7.2 m</t>
        </is>
      </c>
      <c r="F210" s="39" t="inlineStr">
        <is>
          <t>Phải to hơn rõ rệt so với main_battle_tank (6.3 m), khoảng ×1.15.</t>
        </is>
      </c>
      <c r="G210" s="39" t="n"/>
      <c r="H210" s="49" t="inlineStr">
        <is>
          <t>Thấp</t>
        </is>
      </c>
    </row>
    <row r="211" ht="15" customHeight="1" s="32">
      <c r="A211" s="41" t="inlineStr">
        <is>
          <t>vbied</t>
        </is>
      </c>
      <c r="B211" s="41" t="inlineStr">
        <is>
          <t>Xe bom tự sát bọc thép</t>
        </is>
      </c>
      <c r="C211" s="41" t="inlineStr">
        <is>
          <t>Tên</t>
        </is>
      </c>
      <c r="D211" s="41" t="inlineStr">
        <is>
          <t>Xe bom tự sát bọc thép</t>
        </is>
      </c>
      <c r="E211" s="41" t="inlineStr">
        <is>
          <t>Xe bom bọc thép · ngắn: Xe bom · EN: Armored Car Bomb</t>
        </is>
      </c>
      <c r="F211" s="41" t="inlineStr">
        <is>
          <t>Rút gọn; "tự sát" có thể nhạy cảm khi phát hành rộng.</t>
        </is>
      </c>
      <c r="G211" s="41" t="n"/>
      <c r="H211" s="49" t="inlineStr">
        <is>
          <t>Thấp</t>
        </is>
      </c>
    </row>
    <row r="212" ht="21.75" customHeight="1" s="32">
      <c r="A212" s="39" t="inlineStr">
        <is>
          <t>wheeled_gun</t>
        </is>
      </c>
      <c r="B212" s="39" t="inlineStr">
        <is>
          <t>Pháo bánh lốp diệt tăng</t>
        </is>
      </c>
      <c r="C212" s="39" t="inlineStr">
        <is>
          <t>Tên</t>
        </is>
      </c>
      <c r="D212" s="39" t="inlineStr">
        <is>
          <t>Pháo bánh lốp diệt tăng</t>
        </is>
      </c>
      <c r="E212" s="39" t="inlineStr">
        <is>
          <t>Pháo xung kích bánh lốp · ngắn: Bánh lốp diệt tăng · EN: Wheeled Tank Destroyer</t>
        </is>
      </c>
      <c r="F212" s="39" t="inlineStr">
        <is>
          <t>Tên hiện dài và lặp "pháo"; "xung kích" nói rõ vai trò đánh nhanh.</t>
        </is>
      </c>
      <c r="G212" s="39" t="n"/>
      <c r="H212" s="49" t="inlineStr">
        <is>
          <t>Thấp</t>
        </is>
      </c>
    </row>
    <row r="213" ht="15" customHeight="1" s="32">
      <c r="A213" s="41" t="inlineStr">
        <is>
          <t>zu23_technical</t>
        </is>
      </c>
      <c r="B213" s="41" t="inlineStr">
        <is>
          <t>Bán tải ZU-23</t>
        </is>
      </c>
      <c r="C213" s="41" t="inlineStr">
        <is>
          <t>Tên</t>
        </is>
      </c>
      <c r="D213" s="41" t="inlineStr">
        <is>
          <t>Bán tải ZU-23</t>
        </is>
      </c>
      <c r="E213" s="41" t="inlineStr">
        <is>
          <t>Bán tải cao xạ · ngắn: Cao xạ bán tải · EN: Flak Technical</t>
        </is>
      </c>
      <c r="F213" s="41" t="inlineStr">
        <is>
          <t>Bỏ tên thật khỏi tên thẻ.</t>
        </is>
      </c>
      <c r="G213" s="41" t="n"/>
      <c r="H213" s="49" t="inlineStr">
        <is>
          <t>Thấp</t>
        </is>
      </c>
    </row>
  </sheetData>
  <autoFilter ref="A1:H21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29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28" customWidth="1" style="31" min="3" max="3"/>
    <col width="30" customWidth="1" style="31" min="4" max="4"/>
    <col width="9" customWidth="1" style="31" min="5" max="5"/>
    <col width="45" customWidth="1" style="31" min="6" max="6"/>
    <col width="70" customWidth="1" style="31" min="7" max="7"/>
    <col width="8" customWidth="1" style="31" min="8" max="8"/>
  </cols>
  <sheetData>
    <row r="1" ht="42" customHeight="1" s="32">
      <c r="A1" s="37" t="inlineStr">
        <is>
          <t>id</t>
        </is>
      </c>
      <c r="B1" s="37" t="inlineStr">
        <is>
          <t>Đơn vị</t>
        </is>
      </c>
      <c r="C1" s="37" t="inlineStr">
        <is>
          <t>Mục</t>
        </is>
      </c>
      <c r="D1" s="44" t="inlineStr">
        <is>
          <t>Hiện tại</t>
        </is>
      </c>
      <c r="E1" s="46" t="inlineStr">
        <is>
          <t>Kết quả</t>
        </is>
      </c>
      <c r="F1" s="45" t="inlineStr">
        <is>
          <t>Đề xuất</t>
        </is>
      </c>
      <c r="G1" s="46" t="inlineStr">
        <is>
          <t>Lý do</t>
        </is>
      </c>
      <c r="H1" s="46" t="inlineStr">
        <is>
          <t>Ưu tiên</t>
        </is>
      </c>
    </row>
    <row r="2" ht="21.75" customHeight="1" s="32">
      <c r="A2" s="39" t="inlineStr">
        <is>
          <t>hover_gunboat</t>
        </is>
      </c>
      <c r="B2" s="39" t="inlineStr">
        <is>
          <t>Xuồng cao tốc đệm khí</t>
        </is>
      </c>
      <c r="C2" s="39" t="inlineStr">
        <is>
          <t>Tên</t>
        </is>
      </c>
      <c r="D2" s="39" t="inlineStr">
        <is>
          <t>Xuồng cao tốc đệm khí</t>
        </is>
      </c>
      <c r="E2" s="47" t="inlineStr">
        <is>
          <t>Đổi</t>
        </is>
      </c>
      <c r="F2" s="39" t="inlineStr">
        <is>
          <t>Xuồng đệm khí hộ tống · ngắn: Xuồng hộ tống · EN: Escort Hovercraft</t>
        </is>
      </c>
      <c r="G2" s="39" t="inlineStr">
        <is>
          <t>Nói rõ vai trò hộ tống boss.</t>
        </is>
      </c>
      <c r="H2" s="49" t="inlineStr">
        <is>
          <t>Thấp</t>
        </is>
      </c>
    </row>
    <row r="3" ht="15" customHeight="1" s="32">
      <c r="A3" s="41" t="inlineStr">
        <is>
          <t>hover_gunboat</t>
        </is>
      </c>
      <c r="B3" s="41" t="inlineStr">
        <is>
          <t>Xuồng cao tốc đệm khí</t>
        </is>
      </c>
      <c r="C3" s="41" t="inlineStr">
        <is>
          <t>Giáp (T/H/S/N)</t>
        </is>
      </c>
      <c r="D3" s="41" t="inlineStr">
        <is>
          <t>1/0/0/0</t>
        </is>
      </c>
      <c r="E3" s="49" t="inlineStr">
        <is>
          <t>Giữ</t>
        </is>
      </c>
      <c r="F3" s="41" t="n"/>
      <c r="G3" s="41" t="inlineStr">
        <is>
          <t>Giả tưởng / máy bay; khớp vai trò.</t>
        </is>
      </c>
      <c r="H3" s="41" t="n"/>
    </row>
    <row r="4" ht="15" customHeight="1" s="32">
      <c r="A4" s="39" t="inlineStr">
        <is>
          <t>hover_gunboat</t>
        </is>
      </c>
      <c r="B4" s="39" t="inlineStr">
        <is>
          <t>Xuồng cao tốc đệm khí</t>
        </is>
      </c>
      <c r="C4" s="39" t="inlineStr">
        <is>
          <t>Tốc độ</t>
        </is>
      </c>
      <c r="D4" s="42" t="n">
        <v>8.5</v>
      </c>
      <c r="E4" s="49" t="inlineStr">
        <is>
          <t>Giữ</t>
        </is>
      </c>
      <c r="F4" s="39" t="n"/>
      <c r="G4" s="39" t="inlineStr">
        <is>
          <t>Giả tưởng; so với xe cùng lớp.</t>
        </is>
      </c>
      <c r="H4" s="39" t="n"/>
    </row>
    <row r="5" ht="15" customHeight="1" s="32">
      <c r="A5" s="41" t="inlineStr">
        <is>
          <t>hover_gunboat</t>
        </is>
      </c>
      <c r="B5" s="41" t="inlineStr">
        <is>
          <t>Xuồng cao tốc đệm khí</t>
        </is>
      </c>
      <c r="C5" s="41" t="inlineStr">
        <is>
          <t>Tốc độ xoay thân / tháp</t>
        </is>
      </c>
      <c r="D5" s="41" t="inlineStr">
        <is>
          <t>1 / 3</t>
        </is>
      </c>
      <c r="E5" s="49" t="inlineStr">
        <is>
          <t>Giữ</t>
        </is>
      </c>
      <c r="F5" s="41" t="n"/>
      <c r="G5" s="41" t="inlineStr">
        <is>
          <t>Hợp lý so với loại xe.</t>
        </is>
      </c>
      <c r="H5" s="41" t="n"/>
    </row>
    <row r="6" ht="15" customHeight="1" s="32">
      <c r="A6" s="39" t="inlineStr">
        <is>
          <t>hover_gunboat</t>
        </is>
      </c>
      <c r="B6" s="39" t="inlineStr">
        <is>
          <t>Xuồng cao tốc đệm khí</t>
        </is>
      </c>
      <c r="C6" s="39" t="inlineStr">
        <is>
          <t>Kích thước model (dài × rộng × cao)</t>
        </is>
      </c>
      <c r="D6" s="39" t="inlineStr">
        <is>
          <t>14.0 × 3.9 × 4.4</t>
        </is>
      </c>
      <c r="E6" s="49" t="inlineStr">
        <is>
          <t>Giữ</t>
        </is>
      </c>
      <c r="F6" s="39" t="n"/>
      <c r="G6" s="39" t="inlineStr">
        <is>
          <t>Giả tưởng; so với xe cùng lớp.</t>
        </is>
      </c>
      <c r="H6" s="39" t="n"/>
    </row>
    <row r="7" ht="15" customHeight="1" s="32">
      <c r="A7" s="41" t="inlineStr">
        <is>
          <t>hover_gunboat</t>
        </is>
      </c>
      <c r="B7" s="41" t="inlineStr">
        <is>
          <t>Xuồng cao tốc đệm khí</t>
        </is>
      </c>
      <c r="C7" s="41" t="inlineStr">
        <is>
          <t>Tầm nhìn</t>
        </is>
      </c>
      <c r="D7" s="43" t="n">
        <v>46</v>
      </c>
      <c r="E7" s="49" t="inlineStr">
        <is>
          <t>Giữ</t>
        </is>
      </c>
      <c r="F7" s="41" t="n"/>
      <c r="G7" s="41" t="inlineStr">
        <is>
          <t>Khớp vai trò.</t>
        </is>
      </c>
      <c r="H7" s="41" t="n"/>
    </row>
    <row r="8" ht="15" customHeight="1" s="32">
      <c r="A8" s="39" t="inlineStr">
        <is>
          <t>hover_gunboat</t>
        </is>
      </c>
      <c r="B8" s="39" t="inlineStr">
        <is>
          <t>Xuồng cao tốc đệm khí</t>
        </is>
      </c>
      <c r="C8" s="39" t="inlineStr">
        <is>
          <t>Tầm bắn</t>
        </is>
      </c>
      <c r="D8" s="39" t="inlineStr">
        <is>
          <t>34</t>
        </is>
      </c>
      <c r="E8" s="49" t="inlineStr">
        <is>
          <t>Giữ</t>
        </is>
      </c>
      <c r="F8" s="39" t="n"/>
      <c r="G8" s="39" t="inlineStr">
        <is>
          <t>Thứ tự tầm hợp lý trong nhóm.</t>
        </is>
      </c>
      <c r="H8" s="39" t="n"/>
    </row>
    <row r="9" ht="15" customHeight="1" s="32">
      <c r="A9" s="41" t="inlineStr">
        <is>
          <t>hover_gunboat</t>
        </is>
      </c>
      <c r="B9" s="41" t="inlineStr">
        <is>
          <t>Xuồng cao tốc đệm khí</t>
        </is>
      </c>
      <c r="C9" s="41" t="inlineStr">
        <is>
          <t>Giá (CP)</t>
        </is>
      </c>
      <c r="D9" s="43" t="n">
        <v>0</v>
      </c>
      <c r="E9" s="49" t="inlineStr">
        <is>
          <t>Giữ</t>
        </is>
      </c>
      <c r="F9" s="41" t="n"/>
      <c r="G9" s="41" t="inlineStr">
        <is>
          <t>Hiệu quả trong khoảng ±25% trung vị, thứ tự giá hợp ngoài đời (sheet Giá CP).</t>
        </is>
      </c>
      <c r="H9" s="41" t="n"/>
    </row>
    <row r="10" ht="21.75" customHeight="1" s="32">
      <c r="A10" s="39" t="inlineStr">
        <is>
          <t>hover_gunboat</t>
        </is>
      </c>
      <c r="B10" s="39" t="inlineStr">
        <is>
          <t>Xuồng cao tốc đệm khí</t>
        </is>
      </c>
      <c r="C10" s="39" t="inlineStr">
        <is>
          <t>Vũ khí: AK-630 30 mm</t>
        </is>
      </c>
      <c r="D10" s="39" t="inlineStr">
        <is>
          <t>22/phát · 60 viên/s · băng 15 · nạp 14,7 s · DPS duy trì 22</t>
        </is>
      </c>
      <c r="E10" s="47" t="inlineStr">
        <is>
          <t>Đổi</t>
        </is>
      </c>
      <c r="F10" s="39" t="inlineStr">
        <is>
          <t>12/phát · 60 viên/s · băng 60 · nạp 5 s · DPS duy trì ~85</t>
        </is>
      </c>
      <c r="G10" s="39" t="inlineStr">
        <is>
          <t>Bắn 0,25 s rồi im 14,7 s: không giống CIWS, và hộ tống boss gần như vô hại.</t>
        </is>
      </c>
      <c r="H10" s="49" t="inlineStr">
        <is>
          <t>Thấp</t>
        </is>
      </c>
    </row>
    <row r="11" ht="21.75" customHeight="1" s="32">
      <c r="A11" s="41" t="inlineStr">
        <is>
          <t>hover_gunboat</t>
        </is>
      </c>
      <c r="B11" s="41" t="inlineStr">
        <is>
          <t>Xuồng cao tốc đệm khí</t>
        </is>
      </c>
      <c r="C11" s="41" t="inlineStr">
        <is>
          <t>Hành vi</t>
        </is>
      </c>
      <c r="D11" s="41" t="inlineStr">
        <is>
          <t>Vừa chạy vừa bắn; Bắn hết 15 viên thì thay băng; Xe bọc thép</t>
        </is>
      </c>
      <c r="E11" s="49" t="inlineStr">
        <is>
          <t>Giữ</t>
        </is>
      </c>
      <c r="F11" s="41" t="n"/>
      <c r="G11" s="41" t="inlineStr">
        <is>
          <t>Hợp vai trò.</t>
        </is>
      </c>
      <c r="H11" s="41" t="n"/>
    </row>
    <row r="12" ht="15" customHeight="1" s="32">
      <c r="A12" s="39" t="inlineStr">
        <is>
          <t>hover_gunboat</t>
        </is>
      </c>
      <c r="B12" s="39" t="inlineStr">
        <is>
          <t>Xuồng cao tốc đệm khí</t>
        </is>
      </c>
      <c r="C12" s="39" t="inlineStr">
        <is>
          <t>Nổ khi bị phá (bán kính)</t>
        </is>
      </c>
      <c r="D12" s="39" t="inlineStr">
        <is>
          <t>6 m · 140 sát thương</t>
        </is>
      </c>
      <c r="E12" s="47" t="inlineStr">
        <is>
          <t>Đổi</t>
        </is>
      </c>
      <c r="F12" s="39" t="inlineStr">
        <is>
          <t>~9 m</t>
        </is>
      </c>
      <c r="G12" s="39" t="inlineStr">
        <is>
          <t>Bán kính nổ khi bị phá nên theo cỡ xe, cộng thêm nếu xe chở nhiều đạn/nhiên liệu.</t>
        </is>
      </c>
      <c r="H12" s="49" t="inlineStr">
        <is>
          <t>Thấp</t>
        </is>
      </c>
    </row>
    <row r="13" ht="32.25" customHeight="1" s="32">
      <c r="A13" s="41" t="inlineStr">
        <is>
          <t>hover_gunboat</t>
        </is>
      </c>
      <c r="B13" s="41" t="inlineStr">
        <is>
          <t>Xuồng cao tốc đệm khí</t>
        </is>
      </c>
      <c r="C13" s="41" t="inlineStr">
        <is>
          <t>Tham khảo / model</t>
        </is>
      </c>
      <c r="D13" s="41" t="inlineStr">
        <is>
          <t>tàu tấn công nhanh vỏ lướt, AK-630 30 mm — Xuồng pháo hộ tống tàu đệm khí</t>
        </is>
      </c>
      <c r="E13" s="49" t="inlineStr">
        <is>
          <t>Giữ</t>
        </is>
      </c>
      <c r="F13" s="41" t="n"/>
      <c r="G13" s="41" t="inlineStr">
        <is>
          <t>Khớp vũ khí và vai trò.</t>
        </is>
      </c>
      <c r="H13" s="41" t="n"/>
    </row>
    <row r="14" ht="15" customHeight="1" s="32">
      <c r="A14" s="39" t="inlineStr">
        <is>
          <t>armored_car</t>
        </is>
      </c>
      <c r="B14" s="39" t="inlineStr">
        <is>
          <t>Xe bọc thép</t>
        </is>
      </c>
      <c r="C14" s="39" t="inlineStr">
        <is>
          <t>Tên</t>
        </is>
      </c>
      <c r="D14" s="39" t="inlineStr">
        <is>
          <t>Xe bọc thép</t>
        </is>
      </c>
      <c r="E14" s="47" t="inlineStr">
        <is>
          <t>Đổi</t>
        </is>
      </c>
      <c r="F14" s="39" t="inlineStr">
        <is>
          <t>Xe bọc thép bánh lốp · ngắn: Bánh lốp · EN: Armored Car</t>
        </is>
      </c>
      <c r="G14" s="39" t="inlineStr">
        <is>
          <t>"Xe bọc thép" quá chung, trùng với nhiều xe khác cũng bọc thép.</t>
        </is>
      </c>
      <c r="H14" s="49" t="inlineStr">
        <is>
          <t>Thấp</t>
        </is>
      </c>
    </row>
    <row r="15" ht="15" customHeight="1" s="32">
      <c r="A15" s="41" t="inlineStr">
        <is>
          <t>armored_car</t>
        </is>
      </c>
      <c r="B15" s="41" t="inlineStr">
        <is>
          <t>Xe bọc thép</t>
        </is>
      </c>
      <c r="C15" s="41" t="inlineStr">
        <is>
          <t>Máu</t>
        </is>
      </c>
      <c r="D15" s="43" t="n">
        <v>660</v>
      </c>
      <c r="E15" s="49" t="inlineStr">
        <is>
          <t>Giữ</t>
        </is>
      </c>
      <c r="F15" s="41" t="n"/>
      <c r="G15" s="41" t="inlineStr">
        <is>
          <t>Máu/CP 1.07 × trung vị lớp Xe nhẹ.</t>
        </is>
      </c>
      <c r="H15" s="41" t="n"/>
    </row>
    <row r="16" ht="15" customHeight="1" s="32">
      <c r="A16" s="39" t="inlineStr">
        <is>
          <t>armored_car</t>
        </is>
      </c>
      <c r="B16" s="39" t="inlineStr">
        <is>
          <t>Xe bọc thép</t>
        </is>
      </c>
      <c r="C16" s="39" t="inlineStr">
        <is>
          <t>Giáp (T/H/S/N)</t>
        </is>
      </c>
      <c r="D16" s="39" t="inlineStr">
        <is>
          <t>1/0/0/0</t>
        </is>
      </c>
      <c r="E16" s="49" t="inlineStr">
        <is>
          <t>Giữ</t>
        </is>
      </c>
      <c r="F16" s="39" t="n"/>
      <c r="G16" s="39" t="inlineStr">
        <is>
          <t>Khớp mẫu thật theo thang 0–4.</t>
        </is>
      </c>
      <c r="H16" s="39" t="n"/>
    </row>
    <row r="17" ht="15" customHeight="1" s="32">
      <c r="A17" s="41" t="inlineStr">
        <is>
          <t>armored_car</t>
        </is>
      </c>
      <c r="B17" s="41" t="inlineStr">
        <is>
          <t>Xe bọc thép</t>
        </is>
      </c>
      <c r="C17" s="41" t="inlineStr">
        <is>
          <t>Tốc độ</t>
        </is>
      </c>
      <c r="D17" s="43" t="n">
        <v>11.5</v>
      </c>
      <c r="E17" s="49" t="inlineStr">
        <is>
          <t>Giữ</t>
        </is>
      </c>
      <c r="F17" s="41" t="n"/>
      <c r="G17" s="41" t="inlineStr">
        <is>
          <t>Gần tốc độ thật × hệ số nén (11.1).</t>
        </is>
      </c>
      <c r="H17" s="41" t="n"/>
    </row>
    <row r="18" ht="15" customHeight="1" s="32">
      <c r="A18" s="39" t="inlineStr">
        <is>
          <t>armored_car</t>
        </is>
      </c>
      <c r="B18" s="39" t="inlineStr">
        <is>
          <t>Xe bọc thép</t>
        </is>
      </c>
      <c r="C18" s="39" t="inlineStr">
        <is>
          <t>Tốc độ xoay thân / tháp</t>
        </is>
      </c>
      <c r="D18" s="39" t="inlineStr">
        <is>
          <t>3 / 4</t>
        </is>
      </c>
      <c r="E18" s="49" t="inlineStr">
        <is>
          <t>Giữ</t>
        </is>
      </c>
      <c r="F18" s="39" t="n"/>
      <c r="G18" s="39" t="inlineStr">
        <is>
          <t>Hợp lý so với loại xe.</t>
        </is>
      </c>
      <c r="H18" s="39" t="n"/>
    </row>
    <row r="19" ht="21.75" customHeight="1" s="32">
      <c r="A19" s="41" t="inlineStr">
        <is>
          <t>armored_car</t>
        </is>
      </c>
      <c r="B19" s="41" t="inlineStr">
        <is>
          <t>Xe bọc thép</t>
        </is>
      </c>
      <c r="C19" s="41" t="inlineStr">
        <is>
          <t>Kích thước model (dài × rộng × cao)</t>
        </is>
      </c>
      <c r="D19" s="41" t="inlineStr">
        <is>
          <t>5.9 × 2.3 × 2.7</t>
        </is>
      </c>
      <c r="E19" s="47" t="inlineStr">
        <is>
          <t>Đổi</t>
        </is>
      </c>
      <c r="F19" s="41" t="inlineStr">
        <is>
          <t>4.6 × 2.0 × 1.4</t>
        </is>
      </c>
      <c r="G19" s="41" t="inlineStr">
        <is>
          <t>Mẫu thật Pandur I 6x6: 5.7 × 2.5 m; theo tỷ lệ chung (mặt đất 0,8) nên là 4.6 × 2.0 m. Đổi kích thước thì chỉnh vùng va chạm và chạy lại test xe kẹt.</t>
        </is>
      </c>
      <c r="H19" s="49" t="inlineStr">
        <is>
          <t>Thấp</t>
        </is>
      </c>
    </row>
    <row r="20" ht="15" customHeight="1" s="32">
      <c r="A20" s="39" t="inlineStr">
        <is>
          <t>armored_car</t>
        </is>
      </c>
      <c r="B20" s="39" t="inlineStr">
        <is>
          <t>Xe bọc thép</t>
        </is>
      </c>
      <c r="C20" s="39" t="inlineStr">
        <is>
          <t>Tầm nhìn</t>
        </is>
      </c>
      <c r="D20" s="42" t="n">
        <v>36</v>
      </c>
      <c r="E20" s="47" t="inlineStr">
        <is>
          <t>Đổi</t>
        </is>
      </c>
      <c r="F20" s="39" t="inlineStr">
        <is>
          <t>42 m</t>
        </is>
      </c>
      <c r="G20" s="39" t="inlineStr">
        <is>
          <t>Xe bánh lốp trinh sát đi trước tuyến; hiện nhìn kém cả xuồng (46).</t>
        </is>
      </c>
      <c r="H20" s="49" t="inlineStr">
        <is>
          <t>Thấp</t>
        </is>
      </c>
    </row>
    <row r="21" ht="15" customHeight="1" s="32">
      <c r="A21" s="41" t="inlineStr">
        <is>
          <t>armored_car</t>
        </is>
      </c>
      <c r="B21" s="41" t="inlineStr">
        <is>
          <t>Xe bọc thép</t>
        </is>
      </c>
      <c r="C21" s="41" t="inlineStr">
        <is>
          <t>Tầm bắn</t>
        </is>
      </c>
      <c r="D21" s="41" t="inlineStr">
        <is>
          <t>30</t>
        </is>
      </c>
      <c r="E21" s="47" t="inlineStr">
        <is>
          <t>Đổi</t>
        </is>
      </c>
      <c r="F21" s="41" t="inlineStr">
        <is>
          <t>42 m</t>
        </is>
      </c>
      <c r="G21" s="41" t="inlineStr">
        <is>
          <t>Xe bánh lốp trinh sát đi trước tuyến; hiện nhìn kém cả xuồng (46).</t>
        </is>
      </c>
      <c r="H21" s="49" t="inlineStr">
        <is>
          <t>Thấp</t>
        </is>
      </c>
    </row>
    <row r="22" ht="15" customHeight="1" s="32">
      <c r="A22" s="39" t="inlineStr">
        <is>
          <t>armored_car</t>
        </is>
      </c>
      <c r="B22" s="39" t="inlineStr">
        <is>
          <t>Xe bọc thép</t>
        </is>
      </c>
      <c r="C22" s="39" t="inlineStr">
        <is>
          <t>Giá (CP)</t>
        </is>
      </c>
      <c r="D22" s="42" t="n">
        <v>3</v>
      </c>
      <c r="E22" s="49" t="inlineStr">
        <is>
          <t>Giữ</t>
        </is>
      </c>
      <c r="F22" s="39" t="n"/>
      <c r="G22" s="39" t="inlineStr">
        <is>
          <t>Hiệu quả trong khoảng ±25% trung vị, thứ tự giá hợp ngoài đời (sheet Giá CP).</t>
        </is>
      </c>
      <c r="H22" s="39" t="n"/>
    </row>
    <row r="23" ht="15" customHeight="1" s="32">
      <c r="A23" s="41" t="inlineStr">
        <is>
          <t>armored_car</t>
        </is>
      </c>
      <c r="B23" s="41" t="inlineStr">
        <is>
          <t>Xe bọc thép</t>
        </is>
      </c>
      <c r="C23" s="41" t="inlineStr">
        <is>
          <t>Vũ khí</t>
        </is>
      </c>
      <c r="D23" s="43" t="n">
        <v>2</v>
      </c>
      <c r="E23" s="49" t="inlineStr">
        <is>
          <t>Giữ</t>
        </is>
      </c>
      <c r="F23" s="41" t="n"/>
      <c r="G23" s="41" t="inlineStr">
        <is>
          <t>Bộ vũ khí khớp mẫu thật và vai trò.</t>
        </is>
      </c>
      <c r="H23" s="41" t="n"/>
    </row>
    <row r="24" ht="21.75" customHeight="1" s="32">
      <c r="A24" s="39" t="inlineStr">
        <is>
          <t>armored_car</t>
        </is>
      </c>
      <c r="B24" s="39" t="inlineStr">
        <is>
          <t>Xe bọc thép</t>
        </is>
      </c>
      <c r="C24" s="39" t="inlineStr">
        <is>
          <t>Hành vi</t>
        </is>
      </c>
      <c r="D24" s="39" t="inlineStr">
        <is>
          <t>Vừa chạy vừa bắn; Bắn hết 19 viên thì thay băng; Xe chiến đấu bộ binh</t>
        </is>
      </c>
      <c r="E24" s="49" t="inlineStr">
        <is>
          <t>Giữ</t>
        </is>
      </c>
      <c r="F24" s="39" t="n"/>
      <c r="G24" s="39" t="inlineStr">
        <is>
          <t>Hợp vai trò.</t>
        </is>
      </c>
      <c r="H24" s="39" t="n"/>
    </row>
    <row r="25" ht="15" customHeight="1" s="32">
      <c r="A25" s="41" t="inlineStr">
        <is>
          <t>armored_car</t>
        </is>
      </c>
      <c r="B25" s="41" t="inlineStr">
        <is>
          <t>Xe bọc thép</t>
        </is>
      </c>
      <c r="C25" s="41" t="inlineStr">
        <is>
          <t>Nổ khi bị phá (bán kính)</t>
        </is>
      </c>
      <c r="D25" s="41" t="inlineStr">
        <is>
          <t>5 m · 100 sát thương</t>
        </is>
      </c>
      <c r="E25" s="49" t="inlineStr">
        <is>
          <t>Giữ</t>
        </is>
      </c>
      <c r="F25" s="41" t="n"/>
      <c r="G25" s="41" t="inlineStr">
        <is>
          <t>Hợp với cỡ xe.</t>
        </is>
      </c>
      <c r="H25" s="41" t="n"/>
    </row>
    <row r="26" ht="32.25" customHeight="1" s="32">
      <c r="A26" s="39" t="inlineStr">
        <is>
          <t>armored_car</t>
        </is>
      </c>
      <c r="B26" s="39" t="inlineStr">
        <is>
          <t>Xe bọc thép</t>
        </is>
      </c>
      <c r="C26" s="39" t="inlineStr">
        <is>
          <t>Tham khảo / model</t>
        </is>
      </c>
      <c r="D26" s="39" t="inlineStr">
        <is>
          <t>Pandur I 6x6, M242 Bushmaster 25 mm — ước đoán: xe bọc thép 6x6 bánh lộ ngoài, tháp pháo t</t>
        </is>
      </c>
      <c r="E26" s="49" t="inlineStr">
        <is>
          <t>Giữ</t>
        </is>
      </c>
      <c r="F26" s="39" t="n"/>
      <c r="G26" s="39" t="inlineStr">
        <is>
          <t>Khớp vũ khí và vai trò.</t>
        </is>
      </c>
      <c r="H26" s="39" t="n"/>
    </row>
    <row r="27" ht="21.75" customHeight="1" s="32">
      <c r="A27" s="41" t="inlineStr">
        <is>
          <t>ifv</t>
        </is>
      </c>
      <c r="B27" s="41" t="inlineStr">
        <is>
          <t>Xe chiến đấu bộ binh</t>
        </is>
      </c>
      <c r="C27" s="41" t="inlineStr">
        <is>
          <t>Tên</t>
        </is>
      </c>
      <c r="D27" s="41" t="inlineStr">
        <is>
          <t>Xe chiến đấu bộ binh</t>
        </is>
      </c>
      <c r="E27" s="49" t="inlineStr">
        <is>
          <t>Giữ</t>
        </is>
      </c>
      <c r="F27" s="41" t="inlineStr">
        <is>
          <t>Xe chiến đấu bộ binh · ngắn: Xe bộ binh · EN: Infantry Fighting Vehicle</t>
        </is>
      </c>
      <c r="G27" s="41" t="inlineStr">
        <is>
          <t>Giữ.</t>
        </is>
      </c>
      <c r="H27" s="41" t="n"/>
    </row>
    <row r="28" ht="15" customHeight="1" s="32">
      <c r="A28" s="39" t="inlineStr">
        <is>
          <t>ifv</t>
        </is>
      </c>
      <c r="B28" s="39" t="inlineStr">
        <is>
          <t>Xe chiến đấu bộ binh</t>
        </is>
      </c>
      <c r="C28" s="39" t="inlineStr">
        <is>
          <t>Máu</t>
        </is>
      </c>
      <c r="D28" s="42" t="n">
        <v>1144</v>
      </c>
      <c r="E28" s="49" t="inlineStr">
        <is>
          <t>Giữ</t>
        </is>
      </c>
      <c r="F28" s="39" t="n"/>
      <c r="G28" s="39" t="inlineStr">
        <is>
          <t>Máu/CP 0.93 × trung vị lớp Xe nhẹ.</t>
        </is>
      </c>
      <c r="H28" s="39" t="n"/>
    </row>
    <row r="29" ht="15" customHeight="1" s="32">
      <c r="A29" s="41" t="inlineStr">
        <is>
          <t>ifv</t>
        </is>
      </c>
      <c r="B29" s="41" t="inlineStr">
        <is>
          <t>Xe chiến đấu bộ binh</t>
        </is>
      </c>
      <c r="C29" s="41" t="inlineStr">
        <is>
          <t>Giáp (T/H/S/N)</t>
        </is>
      </c>
      <c r="D29" s="41" t="inlineStr">
        <is>
          <t>2/1/0/0</t>
        </is>
      </c>
      <c r="E29" s="49" t="inlineStr">
        <is>
          <t>Giữ</t>
        </is>
      </c>
      <c r="F29" s="41" t="n"/>
      <c r="G29" s="41" t="inlineStr">
        <is>
          <t>Khớp mẫu thật theo thang 0–4.</t>
        </is>
      </c>
      <c r="H29" s="41" t="n"/>
    </row>
    <row r="30" ht="15" customHeight="1" s="32">
      <c r="A30" s="39" t="inlineStr">
        <is>
          <t>ifv</t>
        </is>
      </c>
      <c r="B30" s="39" t="inlineStr">
        <is>
          <t>Xe chiến đấu bộ binh</t>
        </is>
      </c>
      <c r="C30" s="39" t="inlineStr">
        <is>
          <t>Tốc độ</t>
        </is>
      </c>
      <c r="D30" s="42" t="n">
        <v>9</v>
      </c>
      <c r="E30" s="47" t="inlineStr">
        <is>
          <t>Đổi</t>
        </is>
      </c>
      <c r="F30" s="39" t="inlineStr">
        <is>
          <t>8 m/s</t>
        </is>
      </c>
      <c r="G30" s="39" t="inlineStr">
        <is>
          <t>Bradley và tăng chủ lực chạy gần như ngang nhau ngoài đời; hiện IFV nhanh gấp rưỡi tăng.</t>
        </is>
      </c>
      <c r="H30" s="48" t="inlineStr">
        <is>
          <t>Trung</t>
        </is>
      </c>
    </row>
    <row r="31" ht="15" customHeight="1" s="32">
      <c r="A31" s="41" t="inlineStr">
        <is>
          <t>ifv</t>
        </is>
      </c>
      <c r="B31" s="41" t="inlineStr">
        <is>
          <t>Xe chiến đấu bộ binh</t>
        </is>
      </c>
      <c r="C31" s="41" t="inlineStr">
        <is>
          <t>Tốc độ xoay thân / tháp</t>
        </is>
      </c>
      <c r="D31" s="41" t="inlineStr">
        <is>
          <t>2 / 3</t>
        </is>
      </c>
      <c r="E31" s="49" t="inlineStr">
        <is>
          <t>Giữ</t>
        </is>
      </c>
      <c r="F31" s="41" t="n"/>
      <c r="G31" s="41" t="inlineStr">
        <is>
          <t>Hợp lý so với loại xe.</t>
        </is>
      </c>
      <c r="H31" s="41" t="n"/>
    </row>
    <row r="32" ht="15" customHeight="1" s="32">
      <c r="A32" s="39" t="inlineStr">
        <is>
          <t>ifv</t>
        </is>
      </c>
      <c r="B32" s="39" t="inlineStr">
        <is>
          <t>Xe chiến đấu bộ binh</t>
        </is>
      </c>
      <c r="C32" s="39" t="inlineStr">
        <is>
          <t>Kích thước model (dài × rộng × cao)</t>
        </is>
      </c>
      <c r="D32" s="39" t="inlineStr">
        <is>
          <t>6.2 × 2.7 × 3.1</t>
        </is>
      </c>
      <c r="E32" s="49" t="inlineStr">
        <is>
          <t>Giữ</t>
        </is>
      </c>
      <c r="F32" s="39" t="n"/>
      <c r="G32" s="39" t="inlineStr">
        <is>
          <t>Khớp tỷ lệ chung (mẫu thật 6.55 m).</t>
        </is>
      </c>
      <c r="H32" s="39" t="n"/>
    </row>
    <row r="33" ht="15" customHeight="1" s="32">
      <c r="A33" s="41" t="inlineStr">
        <is>
          <t>ifv</t>
        </is>
      </c>
      <c r="B33" s="41" t="inlineStr">
        <is>
          <t>Xe chiến đấu bộ binh</t>
        </is>
      </c>
      <c r="C33" s="41" t="inlineStr">
        <is>
          <t>Tầm nhìn</t>
        </is>
      </c>
      <c r="D33" s="43" t="n">
        <v>34</v>
      </c>
      <c r="E33" s="49" t="inlineStr">
        <is>
          <t>Giữ</t>
        </is>
      </c>
      <c r="F33" s="41" t="n"/>
      <c r="G33" s="41" t="inlineStr">
        <is>
          <t>Khớp vai trò.</t>
        </is>
      </c>
      <c r="H33" s="41" t="n"/>
    </row>
    <row r="34" ht="21.75" customHeight="1" s="32">
      <c r="A34" s="39" t="inlineStr">
        <is>
          <t>ifv</t>
        </is>
      </c>
      <c r="B34" s="39" t="inlineStr">
        <is>
          <t>Xe chiến đấu bộ binh</t>
        </is>
      </c>
      <c r="C34" s="39" t="inlineStr">
        <is>
          <t>Tầm bắn</t>
        </is>
      </c>
      <c r="D34" s="39" t="inlineStr">
        <is>
          <t>34</t>
        </is>
      </c>
      <c r="E34" s="47" t="inlineStr">
        <is>
          <t>Đổi</t>
        </is>
      </c>
      <c r="F34" s="39" t="inlineStr">
        <is>
          <t>tầm 40 m · tốc độ 20 (bay 2,0 s tới tầm tối đa)</t>
        </is>
      </c>
      <c r="G34" s="39" t="inlineStr">
        <is>
          <t>Tên lửa chống tăng phải bắn xa hơn pháo xe tăng (34 m), nếu không thì không có lý do mang.</t>
        </is>
      </c>
      <c r="H34" s="48" t="inlineStr">
        <is>
          <t>Trung</t>
        </is>
      </c>
    </row>
    <row r="35" ht="15" customHeight="1" s="32">
      <c r="A35" s="41" t="inlineStr">
        <is>
          <t>ifv</t>
        </is>
      </c>
      <c r="B35" s="41" t="inlineStr">
        <is>
          <t>Xe chiến đấu bộ binh</t>
        </is>
      </c>
      <c r="C35" s="41" t="inlineStr">
        <is>
          <t>Giá (CP)</t>
        </is>
      </c>
      <c r="D35" s="43" t="n">
        <v>6</v>
      </c>
      <c r="E35" s="49" t="inlineStr">
        <is>
          <t>Giữ</t>
        </is>
      </c>
      <c r="F35" s="41" t="n"/>
      <c r="G35" s="41" t="inlineStr">
        <is>
          <t>Hiệu quả trong khoảng ±25% trung vị, thứ tự giá hợp ngoài đời (sheet Giá CP).</t>
        </is>
      </c>
      <c r="H35" s="41" t="n"/>
    </row>
    <row r="36" ht="21.75" customHeight="1" s="32">
      <c r="A36" s="39" t="inlineStr">
        <is>
          <t>ifv</t>
        </is>
      </c>
      <c r="B36" s="39" t="inlineStr">
        <is>
          <t>Xe chiến đấu bộ binh</t>
        </is>
      </c>
      <c r="C36" s="39" t="inlineStr">
        <is>
          <t>Vũ khí: 2A42 30 mm</t>
        </is>
      </c>
      <c r="D36" s="39" t="inlineStr">
        <is>
          <t>22/phát · 4,9 viên/s liên tục · băng 26</t>
        </is>
      </c>
      <c r="E36" s="47" t="inlineStr">
        <is>
          <t>Đổi</t>
        </is>
      </c>
      <c r="F36" s="39" t="inlineStr">
        <is>
          <t>22/phát · loạt 10 viên ở 9 viên/s · nghỉ 1,5 s · DPS duy trì giữ ~94</t>
        </is>
      </c>
      <c r="G36" s="39" t="inlineStr">
        <is>
          <t>Ngoài đời 2A42 bắn loạt nhanh; cảm giác "xả loạt" khác súng máy.</t>
        </is>
      </c>
      <c r="H36" s="48" t="inlineStr">
        <is>
          <t>Trung</t>
        </is>
      </c>
    </row>
    <row r="37" ht="21.75" customHeight="1" s="32">
      <c r="A37" s="41" t="inlineStr">
        <is>
          <t>ifv</t>
        </is>
      </c>
      <c r="B37" s="41" t="inlineStr">
        <is>
          <t>Xe chiến đấu bộ binh</t>
        </is>
      </c>
      <c r="C37" s="41" t="inlineStr">
        <is>
          <t>Vũ khí: TOW-2</t>
        </is>
      </c>
      <c r="D37" s="41" t="inlineStr">
        <is>
          <t>tầm 34 m · tốc độ 19</t>
        </is>
      </c>
      <c r="E37" s="47" t="inlineStr">
        <is>
          <t>Đổi</t>
        </is>
      </c>
      <c r="F37" s="41" t="inlineStr">
        <is>
          <t>tầm 40 m · tốc độ 20 (bay 2,0 s tới tầm tối đa)</t>
        </is>
      </c>
      <c r="G37" s="41" t="inlineStr">
        <is>
          <t>Tên lửa chống tăng phải bắn xa hơn pháo xe tăng (34 m), nếu không thì không có lý do mang.</t>
        </is>
      </c>
      <c r="H37" s="48" t="inlineStr">
        <is>
          <t>Trung</t>
        </is>
      </c>
    </row>
    <row r="38" ht="32.25" customHeight="1" s="32">
      <c r="A38" s="39" t="inlineStr">
        <is>
          <t>ifv</t>
        </is>
      </c>
      <c r="B38" s="39" t="inlineStr">
        <is>
          <t>Xe chiến đấu bộ binh</t>
        </is>
      </c>
      <c r="C38" s="39" t="inlineStr">
        <is>
          <t>Hành vi</t>
        </is>
      </c>
      <c r="D38" s="39" t="inlineStr">
        <is>
          <t>Vừa chạy vừa bắn; Bắn hết 26 viên thì thay băng; Khói: khi bị bắn (mỗi 30 giây);</t>
        </is>
      </c>
      <c r="E38" s="49" t="inlineStr">
        <is>
          <t>Giữ</t>
        </is>
      </c>
      <c r="F38" s="39" t="n"/>
      <c r="G38" s="39" t="inlineStr">
        <is>
          <t>Hợp vai trò.</t>
        </is>
      </c>
      <c r="H38" s="39" t="n"/>
    </row>
    <row r="39" ht="15" customHeight="1" s="32">
      <c r="A39" s="41" t="inlineStr">
        <is>
          <t>ifv</t>
        </is>
      </c>
      <c r="B39" s="41" t="inlineStr">
        <is>
          <t>Xe chiến đấu bộ binh</t>
        </is>
      </c>
      <c r="C39" s="41" t="inlineStr">
        <is>
          <t>Nổ khi bị phá (bán kính)</t>
        </is>
      </c>
      <c r="D39" s="41" t="inlineStr">
        <is>
          <t>6 m · 160 sát thương</t>
        </is>
      </c>
      <c r="E39" s="49" t="inlineStr">
        <is>
          <t>Giữ</t>
        </is>
      </c>
      <c r="F39" s="41" t="n"/>
      <c r="G39" s="41" t="inlineStr">
        <is>
          <t>Hợp với cỡ xe.</t>
        </is>
      </c>
      <c r="H39" s="41" t="n"/>
    </row>
    <row r="40" ht="32.25" customHeight="1" s="32">
      <c r="A40" s="39" t="inlineStr">
        <is>
          <t>ifv</t>
        </is>
      </c>
      <c r="B40" s="39" t="inlineStr">
        <is>
          <t>Xe chiến đấu bộ binh</t>
        </is>
      </c>
      <c r="C40" s="39" t="inlineStr">
        <is>
          <t>Tham khảo / model</t>
        </is>
      </c>
      <c r="D40" s="39" t="inlineStr">
        <is>
          <t>M2 Bradley, BMP-3, 2A42 30 mm, BGM-71 TOW-2 — Xe chiến đấu bộ binh bánh xích, pháo 30 mm v</t>
        </is>
      </c>
      <c r="E40" s="49" t="inlineStr">
        <is>
          <t>Giữ</t>
        </is>
      </c>
      <c r="F40" s="39" t="n"/>
      <c r="G40" s="39" t="inlineStr">
        <is>
          <t>Khớp vũ khí và vai trò.</t>
        </is>
      </c>
      <c r="H40" s="39" t="n"/>
    </row>
    <row r="41" ht="15" customHeight="1" s="32">
      <c r="A41" s="41" t="inlineStr">
        <is>
          <t>supply_truck</t>
        </is>
      </c>
      <c r="B41" s="41" t="inlineStr">
        <is>
          <t>Xe tiếp tế</t>
        </is>
      </c>
      <c r="C41" s="41" t="inlineStr">
        <is>
          <t>Tên</t>
        </is>
      </c>
      <c r="D41" s="41" t="inlineStr">
        <is>
          <t>Xe tiếp tế</t>
        </is>
      </c>
      <c r="E41" s="47" t="inlineStr">
        <is>
          <t>Đổi</t>
        </is>
      </c>
      <c r="F41" s="41" t="inlineStr">
        <is>
          <t>Xe tải tiếp tế · ngắn: Tiếp tế · EN: Supply Truck</t>
        </is>
      </c>
      <c r="G41" s="41" t="inlineStr">
        <is>
          <t>Giữ nghĩa, thêm "tải" cho rõ hình dạng.</t>
        </is>
      </c>
      <c r="H41" s="49" t="inlineStr">
        <is>
          <t>Thấp</t>
        </is>
      </c>
    </row>
    <row r="42" ht="15" customHeight="1" s="32">
      <c r="A42" s="39" t="inlineStr">
        <is>
          <t>supply_truck</t>
        </is>
      </c>
      <c r="B42" s="39" t="inlineStr">
        <is>
          <t>Xe tiếp tế</t>
        </is>
      </c>
      <c r="C42" s="39" t="inlineStr">
        <is>
          <t>Giáp (T/H/S/N)</t>
        </is>
      </c>
      <c r="D42" s="39" t="inlineStr">
        <is>
          <t>cấp 0 (Không giáp)</t>
        </is>
      </c>
      <c r="E42" s="49" t="inlineStr">
        <is>
          <t>Giữ</t>
        </is>
      </c>
      <c r="F42" s="39" t="n"/>
      <c r="G42" s="39" t="inlineStr">
        <is>
          <t>Khớp mẫu thật theo thang 0–4.</t>
        </is>
      </c>
      <c r="H42" s="39" t="n"/>
    </row>
    <row r="43" ht="15" customHeight="1" s="32">
      <c r="A43" s="41" t="inlineStr">
        <is>
          <t>supply_truck</t>
        </is>
      </c>
      <c r="B43" s="41" t="inlineStr">
        <is>
          <t>Xe tiếp tế</t>
        </is>
      </c>
      <c r="C43" s="41" t="inlineStr">
        <is>
          <t>Tốc độ</t>
        </is>
      </c>
      <c r="D43" s="43" t="n">
        <v>3.6</v>
      </c>
      <c r="E43" s="47" t="inlineStr">
        <is>
          <t>Đổi</t>
        </is>
      </c>
      <c r="F43" s="41" t="inlineStr">
        <is>
          <t>6 m/s</t>
        </is>
      </c>
      <c r="G43" s="41" t="inlineStr">
        <is>
          <t>Xe tải tiếp tế đang chậm nhất game (3,6), chậm hơn cả xe tăng nặng; khó theo kịp đội hình.</t>
        </is>
      </c>
      <c r="H43" s="48" t="inlineStr">
        <is>
          <t>Trung</t>
        </is>
      </c>
    </row>
    <row r="44" ht="15" customHeight="1" s="32">
      <c r="A44" s="39" t="inlineStr">
        <is>
          <t>supply_truck</t>
        </is>
      </c>
      <c r="B44" s="39" t="inlineStr">
        <is>
          <t>Xe tiếp tế</t>
        </is>
      </c>
      <c r="C44" s="39" t="inlineStr">
        <is>
          <t>Tốc độ xoay thân / tháp</t>
        </is>
      </c>
      <c r="D44" s="39" t="inlineStr">
        <is>
          <t>2 / 3</t>
        </is>
      </c>
      <c r="E44" s="49" t="inlineStr">
        <is>
          <t>Giữ</t>
        </is>
      </c>
      <c r="F44" s="39" t="n"/>
      <c r="G44" s="39" t="inlineStr">
        <is>
          <t>Hợp lý so với loại xe.</t>
        </is>
      </c>
      <c r="H44" s="39" t="n"/>
    </row>
    <row r="45" ht="21.75" customHeight="1" s="32">
      <c r="A45" s="41" t="inlineStr">
        <is>
          <t>supply_truck</t>
        </is>
      </c>
      <c r="B45" s="41" t="inlineStr">
        <is>
          <t>Xe tiếp tế</t>
        </is>
      </c>
      <c r="C45" s="41" t="inlineStr">
        <is>
          <t>Kích thước model (dài × rộng × cao)</t>
        </is>
      </c>
      <c r="D45" s="41" t="inlineStr">
        <is>
          <t>7.6 × 2.7 × 3.5</t>
        </is>
      </c>
      <c r="E45" s="47" t="inlineStr">
        <is>
          <t>Đổi</t>
        </is>
      </c>
      <c r="F45" s="41" t="inlineStr">
        <is>
          <t>8.2 × 2.0 × 2.1</t>
        </is>
      </c>
      <c r="G45" s="41" t="inlineStr">
        <is>
          <t>Mẫu thật M977 HEMTT: 10.2 × 2.44 m; theo tỷ lệ chung (mặt đất 0,8) nên là 8.2 × 2.0 m. Đổi kích thước thì chỉnh vùng va chạm và chạy lại test xe kẹt.</t>
        </is>
      </c>
      <c r="H45" s="49" t="inlineStr">
        <is>
          <t>Thấp</t>
        </is>
      </c>
    </row>
    <row r="46" ht="15" customHeight="1" s="32">
      <c r="A46" s="39" t="inlineStr">
        <is>
          <t>supply_truck</t>
        </is>
      </c>
      <c r="B46" s="39" t="inlineStr">
        <is>
          <t>Xe tiếp tế</t>
        </is>
      </c>
      <c r="C46" s="39" t="inlineStr">
        <is>
          <t>Tầm nhìn</t>
        </is>
      </c>
      <c r="D46" s="42" t="n">
        <v>26</v>
      </c>
      <c r="E46" s="49" t="inlineStr">
        <is>
          <t>Giữ</t>
        </is>
      </c>
      <c r="F46" s="39" t="n"/>
      <c r="G46" s="39" t="inlineStr">
        <is>
          <t>Khớp vai trò.</t>
        </is>
      </c>
      <c r="H46" s="39" t="n"/>
    </row>
    <row r="47" ht="15" customHeight="1" s="32">
      <c r="A47" s="41" t="inlineStr">
        <is>
          <t>supply_truck</t>
        </is>
      </c>
      <c r="B47" s="41" t="inlineStr">
        <is>
          <t>Xe tiếp tế</t>
        </is>
      </c>
      <c r="C47" s="41" t="inlineStr">
        <is>
          <t>Tầm bắn</t>
        </is>
      </c>
      <c r="D47" s="41" t="inlineStr">
        <is>
          <t>22</t>
        </is>
      </c>
      <c r="E47" s="49" t="inlineStr">
        <is>
          <t>Giữ</t>
        </is>
      </c>
      <c r="F47" s="41" t="n"/>
      <c r="G47" s="41" t="inlineStr">
        <is>
          <t>Thứ tự tầm hợp lý trong nhóm.</t>
        </is>
      </c>
      <c r="H47" s="41" t="n"/>
    </row>
    <row r="48" ht="15" customHeight="1" s="32">
      <c r="A48" s="39" t="inlineStr">
        <is>
          <t>supply_truck</t>
        </is>
      </c>
      <c r="B48" s="39" t="inlineStr">
        <is>
          <t>Xe tiếp tế</t>
        </is>
      </c>
      <c r="C48" s="39" t="inlineStr">
        <is>
          <t>Giá (CP)</t>
        </is>
      </c>
      <c r="D48" s="42" t="n">
        <v>0</v>
      </c>
      <c r="E48" s="49" t="inlineStr">
        <is>
          <t>Giữ</t>
        </is>
      </c>
      <c r="F48" s="39" t="n"/>
      <c r="G48" s="39" t="inlineStr">
        <is>
          <t>Hiệu quả trong khoảng ±25% trung vị, thứ tự giá hợp ngoài đời (sheet Giá CP).</t>
        </is>
      </c>
      <c r="H48" s="39" t="n"/>
    </row>
    <row r="49" ht="15" customHeight="1" s="32">
      <c r="A49" s="41" t="inlineStr">
        <is>
          <t>supply_truck</t>
        </is>
      </c>
      <c r="B49" s="41" t="inlineStr">
        <is>
          <t>Xe tiếp tế</t>
        </is>
      </c>
      <c r="C49" s="41" t="inlineStr">
        <is>
          <t>Vũ khí</t>
        </is>
      </c>
      <c r="D49" s="43" t="n">
        <v>1</v>
      </c>
      <c r="E49" s="49" t="inlineStr">
        <is>
          <t>Giữ</t>
        </is>
      </c>
      <c r="F49" s="41" t="n"/>
      <c r="G49" s="41" t="inlineStr">
        <is>
          <t>Bộ vũ khí khớp mẫu thật và vai trò.</t>
        </is>
      </c>
      <c r="H49" s="41" t="n"/>
    </row>
    <row r="50" ht="32.25" customHeight="1" s="32">
      <c r="A50" s="39" t="inlineStr">
        <is>
          <t>supply_truck</t>
        </is>
      </c>
      <c r="B50" s="39" t="inlineStr">
        <is>
          <t>Xe tiếp tế</t>
        </is>
      </c>
      <c r="C50" s="39" t="inlineStr">
        <is>
          <t>Hành vi</t>
        </is>
      </c>
      <c r="D50" s="39" t="inlineStr">
        <is>
          <t>Đi sau tuyến đầu, cạnh các xe nó phục vụ; Bắn hết 28 viên thì thay băng; Xe công</t>
        </is>
      </c>
      <c r="E50" s="49" t="inlineStr">
        <is>
          <t>Giữ</t>
        </is>
      </c>
      <c r="F50" s="39" t="n"/>
      <c r="G50" s="39" t="inlineStr">
        <is>
          <t>Hợp vai trò.</t>
        </is>
      </c>
      <c r="H50" s="39" t="n"/>
    </row>
    <row r="51" ht="15" customHeight="1" s="32">
      <c r="A51" s="41" t="inlineStr">
        <is>
          <t>supply_truck</t>
        </is>
      </c>
      <c r="B51" s="41" t="inlineStr">
        <is>
          <t>Xe tiếp tế</t>
        </is>
      </c>
      <c r="C51" s="41" t="inlineStr">
        <is>
          <t>Nổ khi bị phá (bán kính)</t>
        </is>
      </c>
      <c r="D51" s="41" t="inlineStr">
        <is>
          <t>6 m · 120 sát thương</t>
        </is>
      </c>
      <c r="E51" s="49" t="inlineStr">
        <is>
          <t>Giữ</t>
        </is>
      </c>
      <c r="F51" s="41" t="n"/>
      <c r="G51" s="41" t="inlineStr">
        <is>
          <t>Hợp với cỡ xe.</t>
        </is>
      </c>
      <c r="H51" s="41" t="n"/>
    </row>
    <row r="52" ht="32.25" customHeight="1" s="32">
      <c r="A52" s="39" t="inlineStr">
        <is>
          <t>supply_truck</t>
        </is>
      </c>
      <c r="B52" s="39" t="inlineStr">
        <is>
          <t>Xe tiếp tế</t>
        </is>
      </c>
      <c r="C52" s="39" t="inlineStr">
        <is>
          <t>Tham khảo / model</t>
        </is>
      </c>
      <c r="D52" s="39" t="inlineStr">
        <is>
          <t>M977 HEMTT, KamAZ-5350, M2 Browning 12,7 mm — ước đoán: xe tải tiếp tế, súng máy trên vòng</t>
        </is>
      </c>
      <c r="E52" s="49" t="inlineStr">
        <is>
          <t>Giữ</t>
        </is>
      </c>
      <c r="F52" s="39" t="n"/>
      <c r="G52" s="39" t="inlineStr">
        <is>
          <t>Khớp vũ khí và vai trò.</t>
        </is>
      </c>
      <c r="H52" s="39" t="n"/>
    </row>
    <row r="53" ht="15" customHeight="1" s="32">
      <c r="A53" s="41" t="inlineStr">
        <is>
          <t>engineer_vehicle</t>
        </is>
      </c>
      <c r="B53" s="41" t="inlineStr">
        <is>
          <t>Xe công binh</t>
        </is>
      </c>
      <c r="C53" s="41" t="inlineStr">
        <is>
          <t>Tên</t>
        </is>
      </c>
      <c r="D53" s="41" t="inlineStr">
        <is>
          <t>Xe công binh</t>
        </is>
      </c>
      <c r="E53" s="49" t="inlineStr">
        <is>
          <t>Giữ</t>
        </is>
      </c>
      <c r="F53" s="41" t="inlineStr">
        <is>
          <t>Xe công binh · ngắn: Công binh · EN: Engineering Vehicle</t>
        </is>
      </c>
      <c r="G53" s="41" t="inlineStr">
        <is>
          <t>Giữ.</t>
        </is>
      </c>
      <c r="H53" s="41" t="n"/>
    </row>
    <row r="54" ht="15" customHeight="1" s="32">
      <c r="A54" s="39" t="inlineStr">
        <is>
          <t>engineer_vehicle</t>
        </is>
      </c>
      <c r="B54" s="39" t="inlineStr">
        <is>
          <t>Xe công binh</t>
        </is>
      </c>
      <c r="C54" s="39" t="inlineStr">
        <is>
          <t>Máu</t>
        </is>
      </c>
      <c r="D54" s="42" t="n">
        <v>1760</v>
      </c>
      <c r="E54" s="49" t="inlineStr">
        <is>
          <t>Giữ</t>
        </is>
      </c>
      <c r="F54" s="39" t="n"/>
      <c r="G54" s="39" t="inlineStr">
        <is>
          <t>Máu/CP 3.01 × trung vị lớp Hỗ trợ.</t>
        </is>
      </c>
      <c r="H54" s="39" t="n"/>
    </row>
    <row r="55" ht="15" customHeight="1" s="32">
      <c r="A55" s="41" t="inlineStr">
        <is>
          <t>engineer_vehicle</t>
        </is>
      </c>
      <c r="B55" s="41" t="inlineStr">
        <is>
          <t>Xe công binh</t>
        </is>
      </c>
      <c r="C55" s="41" t="inlineStr">
        <is>
          <t>Giáp (T/H/S/N)</t>
        </is>
      </c>
      <c r="D55" s="41" t="inlineStr">
        <is>
          <t>2/1/0/0</t>
        </is>
      </c>
      <c r="E55" s="47" t="inlineStr">
        <is>
          <t>Đổi</t>
        </is>
      </c>
      <c r="F55" s="41" t="inlineStr">
        <is>
          <t>2/1/1/0</t>
        </is>
      </c>
      <c r="G55" s="41" t="inlineStr">
        <is>
          <t>Khung xe tăng cứu kéo.</t>
        </is>
      </c>
      <c r="H55" s="48" t="inlineStr">
        <is>
          <t>Trung</t>
        </is>
      </c>
    </row>
    <row r="56" ht="21.75" customHeight="1" s="32">
      <c r="A56" s="39" t="inlineStr">
        <is>
          <t>engineer_vehicle</t>
        </is>
      </c>
      <c r="B56" s="39" t="inlineStr">
        <is>
          <t>Xe công binh</t>
        </is>
      </c>
      <c r="C56" s="39" t="inlineStr">
        <is>
          <t>Tốc độ</t>
        </is>
      </c>
      <c r="D56" s="42" t="n">
        <v>7</v>
      </c>
      <c r="E56" s="48" t="inlineStr">
        <is>
          <t>Xem lại</t>
        </is>
      </c>
      <c r="F56" s="39" t="inlineStr">
        <is>
          <t>Mẫu thật × hệ số map ≈ 4.4 m/s</t>
        </is>
      </c>
      <c r="G56" s="39" t="inlineStr">
        <is>
          <t>Lệch hơn 35% so với tốc độ thật nhân hệ số nén của map (xích 0,33, bánh 0,4, trực thăng 0,17, máy bay 0,16). Có thể giữ nếu là chủ đích.</t>
        </is>
      </c>
      <c r="H56" s="39" t="n"/>
    </row>
    <row r="57" ht="15" customHeight="1" s="32">
      <c r="A57" s="41" t="inlineStr">
        <is>
          <t>engineer_vehicle</t>
        </is>
      </c>
      <c r="B57" s="41" t="inlineStr">
        <is>
          <t>Xe công binh</t>
        </is>
      </c>
      <c r="C57" s="41" t="inlineStr">
        <is>
          <t>Tốc độ xoay thân / tháp</t>
        </is>
      </c>
      <c r="D57" s="41" t="inlineStr">
        <is>
          <t>1 / 3</t>
        </is>
      </c>
      <c r="E57" s="49" t="inlineStr">
        <is>
          <t>Giữ</t>
        </is>
      </c>
      <c r="F57" s="41" t="n"/>
      <c r="G57" s="41" t="inlineStr">
        <is>
          <t>Hợp lý so với loại xe.</t>
        </is>
      </c>
      <c r="H57" s="41" t="n"/>
    </row>
    <row r="58" ht="15" customHeight="1" s="32">
      <c r="A58" s="39" t="inlineStr">
        <is>
          <t>engineer_vehicle</t>
        </is>
      </c>
      <c r="B58" s="39" t="inlineStr">
        <is>
          <t>Xe công binh</t>
        </is>
      </c>
      <c r="C58" s="39" t="inlineStr">
        <is>
          <t>Kích thước model (dài × rộng × cao)</t>
        </is>
      </c>
      <c r="D58" s="39" t="inlineStr">
        <is>
          <t>6.3 × 2.8 × 2.4</t>
        </is>
      </c>
      <c r="E58" s="49" t="inlineStr">
        <is>
          <t>Giữ</t>
        </is>
      </c>
      <c r="F58" s="39" t="n"/>
      <c r="G58" s="39" t="inlineStr">
        <is>
          <t>Khớp tỷ lệ chung (mẫu thật 8.6 m).</t>
        </is>
      </c>
      <c r="H58" s="39" t="n"/>
    </row>
    <row r="59" ht="15" customHeight="1" s="32">
      <c r="A59" s="41" t="inlineStr">
        <is>
          <t>engineer_vehicle</t>
        </is>
      </c>
      <c r="B59" s="41" t="inlineStr">
        <is>
          <t>Xe công binh</t>
        </is>
      </c>
      <c r="C59" s="41" t="inlineStr">
        <is>
          <t>Tầm nhìn</t>
        </is>
      </c>
      <c r="D59" s="43" t="n">
        <v>30</v>
      </c>
      <c r="E59" s="49" t="inlineStr">
        <is>
          <t>Giữ</t>
        </is>
      </c>
      <c r="F59" s="41" t="n"/>
      <c r="G59" s="41" t="inlineStr">
        <is>
          <t>Khớp vai trò.</t>
        </is>
      </c>
      <c r="H59" s="41" t="n"/>
    </row>
    <row r="60" ht="15" customHeight="1" s="32">
      <c r="A60" s="39" t="inlineStr">
        <is>
          <t>engineer_vehicle</t>
        </is>
      </c>
      <c r="B60" s="39" t="inlineStr">
        <is>
          <t>Xe công binh</t>
        </is>
      </c>
      <c r="C60" s="39" t="inlineStr">
        <is>
          <t>Tầm bắn</t>
        </is>
      </c>
      <c r="D60" s="39" t="inlineStr">
        <is>
          <t>15</t>
        </is>
      </c>
      <c r="E60" s="49" t="inlineStr">
        <is>
          <t>Giữ</t>
        </is>
      </c>
      <c r="F60" s="39" t="n"/>
      <c r="G60" s="39" t="inlineStr">
        <is>
          <t>Thứ tự tầm hợp lý trong nhóm.</t>
        </is>
      </c>
      <c r="H60" s="39" t="n"/>
    </row>
    <row r="61" ht="15" customHeight="1" s="32">
      <c r="A61" s="41" t="inlineStr">
        <is>
          <t>engineer_vehicle</t>
        </is>
      </c>
      <c r="B61" s="41" t="inlineStr">
        <is>
          <t>Xe công binh</t>
        </is>
      </c>
      <c r="C61" s="41" t="inlineStr">
        <is>
          <t>Giá (CP)</t>
        </is>
      </c>
      <c r="D61" s="43" t="n">
        <v>3</v>
      </c>
      <c r="E61" s="49" t="inlineStr">
        <is>
          <t>Giữ</t>
        </is>
      </c>
      <c r="F61" s="41" t="n"/>
      <c r="G61" s="41" t="inlineStr">
        <is>
          <t>Hiệu quả trong khoảng ±25% trung vị, thứ tự giá hợp ngoài đời (sheet Giá CP).</t>
        </is>
      </c>
      <c r="H61" s="41" t="n"/>
    </row>
    <row r="62" ht="15" customHeight="1" s="32">
      <c r="A62" s="39" t="inlineStr">
        <is>
          <t>engineer_vehicle</t>
        </is>
      </c>
      <c r="B62" s="39" t="inlineStr">
        <is>
          <t>Xe công binh</t>
        </is>
      </c>
      <c r="C62" s="39" t="inlineStr">
        <is>
          <t>Vũ khí</t>
        </is>
      </c>
      <c r="D62" s="42" t="n">
        <v>1</v>
      </c>
      <c r="E62" s="49" t="inlineStr">
        <is>
          <t>Giữ</t>
        </is>
      </c>
      <c r="F62" s="39" t="n"/>
      <c r="G62" s="39" t="inlineStr">
        <is>
          <t>Bộ vũ khí khớp mẫu thật và vai trò.</t>
        </is>
      </c>
      <c r="H62" s="39" t="n"/>
    </row>
    <row r="63" ht="32.25" customHeight="1" s="32">
      <c r="A63" s="41" t="inlineStr">
        <is>
          <t>engineer_vehicle</t>
        </is>
      </c>
      <c r="B63" s="41" t="inlineStr">
        <is>
          <t>Xe công binh</t>
        </is>
      </c>
      <c r="C63" s="41" t="inlineStr">
        <is>
          <t>Hành vi</t>
        </is>
      </c>
      <c r="D63" s="41" t="inlineStr">
        <is>
          <t xml:space="preserve">Đi sau tuyến đầu, cạnh các xe nó phục vụ; Bắn hết 28 viên thì thay băng; Sửa xe </t>
        </is>
      </c>
      <c r="E63" s="49" t="inlineStr">
        <is>
          <t>Giữ</t>
        </is>
      </c>
      <c r="F63" s="41" t="n"/>
      <c r="G63" s="41" t="inlineStr">
        <is>
          <t>Hợp vai trò.</t>
        </is>
      </c>
      <c r="H63" s="41" t="n"/>
    </row>
    <row r="64" ht="15" customHeight="1" s="32">
      <c r="A64" s="39" t="inlineStr">
        <is>
          <t>engineer_vehicle</t>
        </is>
      </c>
      <c r="B64" s="39" t="inlineStr">
        <is>
          <t>Xe công binh</t>
        </is>
      </c>
      <c r="C64" s="39" t="inlineStr">
        <is>
          <t>Nổ khi bị phá (bán kính)</t>
        </is>
      </c>
      <c r="D64" s="39" t="inlineStr">
        <is>
          <t>6 m · 140 sát thương</t>
        </is>
      </c>
      <c r="E64" s="49" t="inlineStr">
        <is>
          <t>Giữ</t>
        </is>
      </c>
      <c r="F64" s="39" t="n"/>
      <c r="G64" s="39" t="inlineStr">
        <is>
          <t>Hợp với cỡ xe.</t>
        </is>
      </c>
      <c r="H64" s="39" t="n"/>
    </row>
    <row r="65" ht="21.75" customHeight="1" s="32">
      <c r="A65" s="41" t="inlineStr">
        <is>
          <t>engineer_vehicle</t>
        </is>
      </c>
      <c r="B65" s="41" t="inlineStr">
        <is>
          <t>Xe công binh</t>
        </is>
      </c>
      <c r="C65" s="41" t="inlineStr">
        <is>
          <t>Tham khảo / model</t>
        </is>
      </c>
      <c r="D65" s="41" t="inlineStr">
        <is>
          <t>BREM-1, M88 Hercules — Xe cứu kéo công binh có lưỡi ủi và cần cẩu</t>
        </is>
      </c>
      <c r="E65" s="49" t="inlineStr">
        <is>
          <t>Giữ</t>
        </is>
      </c>
      <c r="F65" s="41" t="n"/>
      <c r="G65" s="41" t="inlineStr">
        <is>
          <t>Khớp vũ khí và vai trò.</t>
        </is>
      </c>
      <c r="H65" s="41" t="n"/>
    </row>
    <row r="66" ht="15" customHeight="1" s="32">
      <c r="A66" s="39"/>
      <c r="B66" s="39"/>
      <c r="C66" s="39"/>
      <c r="D66" s="39"/>
      <c r="E66" s="47"/>
      <c r="F66" s="39"/>
      <c r="G66" s="39"/>
      <c r="H66" s="49"/>
    </row>
    <row r="67" ht="15" customHeight="1" s="32">
      <c r="A67" s="41"/>
      <c r="B67" s="41"/>
      <c r="C67" s="41"/>
      <c r="D67" s="43"/>
      <c r="E67" s="49"/>
      <c r="F67" s="41"/>
      <c r="G67" s="41"/>
      <c r="H67" s="41"/>
    </row>
    <row r="68" ht="15" customHeight="1" s="32">
      <c r="A68" s="39"/>
      <c r="B68" s="39"/>
      <c r="C68" s="39"/>
      <c r="D68" s="39"/>
      <c r="E68" s="47"/>
      <c r="F68" s="39"/>
      <c r="G68" s="39"/>
      <c r="H68" s="48"/>
    </row>
    <row r="69" ht="21.75" customHeight="1" s="32">
      <c r="A69" s="41"/>
      <c r="B69" s="41"/>
      <c r="C69" s="41"/>
      <c r="D69" s="43"/>
      <c r="E69" s="48"/>
      <c r="F69" s="41"/>
      <c r="G69" s="41"/>
      <c r="H69" s="41"/>
    </row>
    <row r="70" ht="15" customHeight="1" s="32">
      <c r="A70" s="39"/>
      <c r="B70" s="39"/>
      <c r="C70" s="39"/>
      <c r="D70" s="39"/>
      <c r="E70" s="49"/>
      <c r="F70" s="39"/>
      <c r="G70" s="39"/>
      <c r="H70" s="39"/>
    </row>
    <row r="71" ht="15" customHeight="1" s="32">
      <c r="A71" s="41"/>
      <c r="B71" s="41"/>
      <c r="C71" s="41"/>
      <c r="D71" s="41"/>
      <c r="E71" s="49"/>
      <c r="F71" s="41"/>
      <c r="G71" s="41"/>
      <c r="H71" s="41"/>
    </row>
    <row r="72" ht="15" customHeight="1" s="32">
      <c r="A72" s="39"/>
      <c r="B72" s="39"/>
      <c r="C72" s="39"/>
      <c r="D72" s="42"/>
      <c r="E72" s="49"/>
      <c r="F72" s="39"/>
      <c r="G72" s="39"/>
      <c r="H72" s="39"/>
    </row>
    <row r="73" ht="21.75" customHeight="1" s="32">
      <c r="A73" s="41"/>
      <c r="B73" s="41"/>
      <c r="C73" s="41"/>
      <c r="D73" s="41"/>
      <c r="E73" s="47"/>
      <c r="F73" s="41"/>
      <c r="G73" s="41"/>
      <c r="H73" s="48"/>
    </row>
    <row r="74" ht="15" customHeight="1" s="32">
      <c r="A74" s="39"/>
      <c r="B74" s="39"/>
      <c r="C74" s="39"/>
      <c r="D74" s="42"/>
      <c r="E74" s="49"/>
      <c r="F74" s="39"/>
      <c r="G74" s="39"/>
      <c r="H74" s="39"/>
    </row>
    <row r="75" ht="21.75" customHeight="1" s="32">
      <c r="A75" s="41"/>
      <c r="B75" s="41"/>
      <c r="C75" s="41"/>
      <c r="D75" s="41"/>
      <c r="E75" s="47"/>
      <c r="F75" s="41"/>
      <c r="G75" s="41"/>
      <c r="H75" s="48"/>
    </row>
    <row r="76" ht="32.25" customHeight="1" s="32">
      <c r="A76" s="39"/>
      <c r="B76" s="39"/>
      <c r="C76" s="39"/>
      <c r="D76" s="39"/>
      <c r="E76" s="49"/>
      <c r="F76" s="39"/>
      <c r="G76" s="39"/>
      <c r="H76" s="39"/>
    </row>
    <row r="77" ht="15" customHeight="1" s="32">
      <c r="A77" s="41"/>
      <c r="B77" s="41"/>
      <c r="C77" s="41"/>
      <c r="D77" s="41"/>
      <c r="E77" s="49"/>
      <c r="F77" s="41"/>
      <c r="G77" s="41"/>
      <c r="H77" s="41"/>
    </row>
    <row r="78" ht="21.75" customHeight="1" s="32">
      <c r="A78" s="39"/>
      <c r="B78" s="39"/>
      <c r="C78" s="39"/>
      <c r="D78" s="39"/>
      <c r="E78" s="49"/>
      <c r="F78" s="39"/>
      <c r="G78" s="39"/>
      <c r="H78" s="39"/>
    </row>
    <row r="79" ht="15" customHeight="1" s="32">
      <c r="A79" s="41" t="inlineStr">
        <is>
          <t>ammo_carrier</t>
        </is>
      </c>
      <c r="B79" s="41" t="inlineStr">
        <is>
          <t>Xe tiếp đạn</t>
        </is>
      </c>
      <c r="C79" s="41" t="inlineStr">
        <is>
          <t>Tên</t>
        </is>
      </c>
      <c r="D79" s="41" t="inlineStr">
        <is>
          <t>Xe tiếp đạn</t>
        </is>
      </c>
      <c r="E79" s="49" t="inlineStr">
        <is>
          <t>Giữ</t>
        </is>
      </c>
      <c r="F79" s="41" t="inlineStr">
        <is>
          <t>Xe tiếp đạn · ngắn: Tiếp đạn · EN: Ammo Carrier</t>
        </is>
      </c>
      <c r="G79" s="41" t="inlineStr">
        <is>
          <t>Giữ.</t>
        </is>
      </c>
      <c r="H79" s="41" t="n"/>
    </row>
    <row r="80" ht="15" customHeight="1" s="32">
      <c r="A80" s="39" t="inlineStr">
        <is>
          <t>ammo_carrier</t>
        </is>
      </c>
      <c r="B80" s="39" t="inlineStr">
        <is>
          <t>Xe tiếp đạn</t>
        </is>
      </c>
      <c r="C80" s="39" t="inlineStr">
        <is>
          <t>Máu</t>
        </is>
      </c>
      <c r="D80" s="42" t="n">
        <v>1144</v>
      </c>
      <c r="E80" s="49" t="inlineStr">
        <is>
          <t>Giữ</t>
        </is>
      </c>
      <c r="F80" s="39" t="n"/>
      <c r="G80" s="39" t="inlineStr">
        <is>
          <t>Máu/CP 1.47 × trung vị lớp Hỗ trợ.</t>
        </is>
      </c>
      <c r="H80" s="39" t="n"/>
    </row>
    <row r="81" ht="15" customHeight="1" s="32">
      <c r="A81" s="41" t="inlineStr">
        <is>
          <t>ammo_carrier</t>
        </is>
      </c>
      <c r="B81" s="41" t="inlineStr">
        <is>
          <t>Xe tiếp đạn</t>
        </is>
      </c>
      <c r="C81" s="41" t="inlineStr">
        <is>
          <t>Giáp (T/H/S/N)</t>
        </is>
      </c>
      <c r="D81" s="41" t="inlineStr">
        <is>
          <t>cấp 0 (Không giáp)</t>
        </is>
      </c>
      <c r="E81" s="49" t="inlineStr">
        <is>
          <t>Giữ</t>
        </is>
      </c>
      <c r="F81" s="41" t="n"/>
      <c r="G81" s="41" t="inlineStr">
        <is>
          <t>Khớp mẫu thật theo thang 0–4.</t>
        </is>
      </c>
      <c r="H81" s="41" t="n"/>
    </row>
    <row r="82" ht="15" customHeight="1" s="32">
      <c r="A82" s="39" t="inlineStr">
        <is>
          <t>ammo_carrier</t>
        </is>
      </c>
      <c r="B82" s="39" t="inlineStr">
        <is>
          <t>Xe tiếp đạn</t>
        </is>
      </c>
      <c r="C82" s="39" t="inlineStr">
        <is>
          <t>Tốc độ</t>
        </is>
      </c>
      <c r="D82" s="42" t="n">
        <v>8.5</v>
      </c>
      <c r="E82" s="49" t="inlineStr">
        <is>
          <t>Giữ</t>
        </is>
      </c>
      <c r="F82" s="39" t="n"/>
      <c r="G82" s="39" t="inlineStr">
        <is>
          <t>Gần tốc độ thật × hệ số nén (9.8).</t>
        </is>
      </c>
      <c r="H82" s="39" t="n"/>
    </row>
    <row r="83" ht="15" customHeight="1" s="32">
      <c r="A83" s="41" t="inlineStr">
        <is>
          <t>ammo_carrier</t>
        </is>
      </c>
      <c r="B83" s="41" t="inlineStr">
        <is>
          <t>Xe tiếp đạn</t>
        </is>
      </c>
      <c r="C83" s="41" t="inlineStr">
        <is>
          <t>Tốc độ xoay thân / tháp</t>
        </is>
      </c>
      <c r="D83" s="41" t="inlineStr">
        <is>
          <t>2 / 3</t>
        </is>
      </c>
      <c r="E83" s="49" t="inlineStr">
        <is>
          <t>Giữ</t>
        </is>
      </c>
      <c r="F83" s="41" t="n"/>
      <c r="G83" s="41" t="inlineStr">
        <is>
          <t>Hợp lý so với loại xe.</t>
        </is>
      </c>
      <c r="H83" s="41" t="n"/>
    </row>
    <row r="84" ht="15" customHeight="1" s="32">
      <c r="A84" s="39" t="inlineStr">
        <is>
          <t>ammo_carrier</t>
        </is>
      </c>
      <c r="B84" s="39" t="inlineStr">
        <is>
          <t>Xe tiếp đạn</t>
        </is>
      </c>
      <c r="C84" s="39" t="inlineStr">
        <is>
          <t>Kích thước model (dài × rộng × cao)</t>
        </is>
      </c>
      <c r="D84" s="39" t="inlineStr">
        <is>
          <t>6.9 × 2.4 × 3.2</t>
        </is>
      </c>
      <c r="E84" s="49" t="inlineStr">
        <is>
          <t>Giữ</t>
        </is>
      </c>
      <c r="F84" s="39" t="n"/>
      <c r="G84" s="39" t="inlineStr">
        <is>
          <t>Khớp tỷ lệ chung (mẫu thật 10.2 m).</t>
        </is>
      </c>
      <c r="H84" s="39" t="n"/>
    </row>
    <row r="85" ht="15" customHeight="1" s="32">
      <c r="A85" s="41" t="inlineStr">
        <is>
          <t>ammo_carrier</t>
        </is>
      </c>
      <c r="B85" s="41" t="inlineStr">
        <is>
          <t>Xe tiếp đạn</t>
        </is>
      </c>
      <c r="C85" s="41" t="inlineStr">
        <is>
          <t>Tầm nhìn</t>
        </is>
      </c>
      <c r="D85" s="43" t="n">
        <v>30</v>
      </c>
      <c r="E85" s="49" t="inlineStr">
        <is>
          <t>Giữ</t>
        </is>
      </c>
      <c r="F85" s="41" t="n"/>
      <c r="G85" s="41" t="inlineStr">
        <is>
          <t>Khớp vai trò.</t>
        </is>
      </c>
      <c r="H85" s="41" t="n"/>
    </row>
    <row r="86" ht="15" customHeight="1" s="32">
      <c r="A86" s="39" t="inlineStr">
        <is>
          <t>ammo_carrier</t>
        </is>
      </c>
      <c r="B86" s="39" t="inlineStr">
        <is>
          <t>Xe tiếp đạn</t>
        </is>
      </c>
      <c r="C86" s="39" t="inlineStr">
        <is>
          <t>Tầm bắn</t>
        </is>
      </c>
      <c r="D86" s="39" t="inlineStr">
        <is>
          <t>15</t>
        </is>
      </c>
      <c r="E86" s="49" t="inlineStr">
        <is>
          <t>Giữ</t>
        </is>
      </c>
      <c r="F86" s="39" t="n"/>
      <c r="G86" s="39" t="inlineStr">
        <is>
          <t>Thứ tự tầm hợp lý trong nhóm.</t>
        </is>
      </c>
      <c r="H86" s="39" t="n"/>
    </row>
    <row r="87" ht="15" customHeight="1" s="32">
      <c r="A87" s="41" t="inlineStr">
        <is>
          <t>ammo_carrier</t>
        </is>
      </c>
      <c r="B87" s="41" t="inlineStr">
        <is>
          <t>Xe tiếp đạn</t>
        </is>
      </c>
      <c r="C87" s="41" t="inlineStr">
        <is>
          <t>Giá (CP)</t>
        </is>
      </c>
      <c r="D87" s="43" t="n">
        <v>4</v>
      </c>
      <c r="E87" s="49" t="inlineStr">
        <is>
          <t>Giữ</t>
        </is>
      </c>
      <c r="F87" s="41" t="n"/>
      <c r="G87" s="41" t="inlineStr">
        <is>
          <t>Hiệu quả trong khoảng ±25% trung vị, thứ tự giá hợp ngoài đời (sheet Giá CP).</t>
        </is>
      </c>
      <c r="H87" s="41" t="n"/>
    </row>
    <row r="88" ht="15" customHeight="1" s="32">
      <c r="A88" s="39" t="inlineStr">
        <is>
          <t>ammo_carrier</t>
        </is>
      </c>
      <c r="B88" s="39" t="inlineStr">
        <is>
          <t>Xe tiếp đạn</t>
        </is>
      </c>
      <c r="C88" s="39" t="inlineStr">
        <is>
          <t>Vũ khí</t>
        </is>
      </c>
      <c r="D88" s="42" t="n">
        <v>1</v>
      </c>
      <c r="E88" s="49" t="inlineStr">
        <is>
          <t>Giữ</t>
        </is>
      </c>
      <c r="F88" s="39" t="n"/>
      <c r="G88" s="39" t="inlineStr">
        <is>
          <t>Bộ vũ khí khớp mẫu thật và vai trò.</t>
        </is>
      </c>
      <c r="H88" s="39" t="n"/>
    </row>
    <row r="89" ht="21.75" customHeight="1" s="32">
      <c r="A89" s="41" t="inlineStr">
        <is>
          <t>ammo_carrier</t>
        </is>
      </c>
      <c r="B89" s="41" t="inlineStr">
        <is>
          <t>Xe tiếp đạn</t>
        </is>
      </c>
      <c r="C89" s="41" t="inlineStr">
        <is>
          <t>Hành vi</t>
        </is>
      </c>
      <c r="D89" s="41" t="inlineStr">
        <is>
          <t xml:space="preserve">Đi sau tuyến đầu, cạnh các xe nó phục vụ                                        </t>
        </is>
      </c>
      <c r="E89" s="49" t="inlineStr">
        <is>
          <t>Giữ</t>
        </is>
      </c>
      <c r="F89" s="41" t="n"/>
      <c r="G89" s="41" t="inlineStr">
        <is>
          <t>Hợp vai trò.</t>
        </is>
      </c>
      <c r="H89" s="41" t="n"/>
    </row>
    <row r="90" ht="15" customHeight="1" s="32">
      <c r="A90" s="39" t="inlineStr">
        <is>
          <t>ammo_carrier</t>
        </is>
      </c>
      <c r="B90" s="39" t="inlineStr">
        <is>
          <t>Xe tiếp đạn</t>
        </is>
      </c>
      <c r="C90" s="39" t="inlineStr">
        <is>
          <t>Nổ khi bị phá (bán kính)</t>
        </is>
      </c>
      <c r="D90" s="39" t="inlineStr">
        <is>
          <t>7 m · 180 sát thương</t>
        </is>
      </c>
      <c r="E90" s="49" t="inlineStr">
        <is>
          <t>Giữ</t>
        </is>
      </c>
      <c r="F90" s="39" t="n"/>
      <c r="G90" s="39" t="inlineStr">
        <is>
          <t>Hợp với cỡ xe.</t>
        </is>
      </c>
      <c r="H90" s="39" t="n"/>
    </row>
    <row r="91" ht="32.25" customHeight="1" s="32">
      <c r="A91" s="41" t="inlineStr">
        <is>
          <t>ammo_carrier</t>
        </is>
      </c>
      <c r="B91" s="41" t="inlineStr">
        <is>
          <t>Xe tiếp đạn</t>
        </is>
      </c>
      <c r="C91" s="41" t="inlineStr">
        <is>
          <t>Tham khảo / model</t>
        </is>
      </c>
      <c r="D91" s="41" t="inlineStr">
        <is>
          <t>M977 HEMTT, KamAZ-5350, M2 Browning 12,7 mm — ước đoán: xe tải hậu cần chở đạn, súng máy t</t>
        </is>
      </c>
      <c r="E91" s="49" t="inlineStr">
        <is>
          <t>Giữ</t>
        </is>
      </c>
      <c r="F91" s="41" t="n"/>
      <c r="G91" s="41" t="inlineStr">
        <is>
          <t>Khớp vũ khí và vai trò.</t>
        </is>
      </c>
      <c r="H91" s="41" t="n"/>
    </row>
    <row r="92" ht="21.75" customHeight="1" s="32">
      <c r="A92" s="39"/>
      <c r="B92" s="39"/>
      <c r="C92" s="39"/>
      <c r="D92" s="39"/>
      <c r="E92" s="47"/>
      <c r="F92" s="39"/>
      <c r="G92" s="39"/>
      <c r="H92" s="49"/>
    </row>
    <row r="93" ht="15" customHeight="1" s="32">
      <c r="A93" s="41"/>
      <c r="B93" s="41"/>
      <c r="C93" s="41"/>
      <c r="D93" s="43"/>
      <c r="E93" s="49"/>
      <c r="F93" s="41"/>
      <c r="G93" s="41"/>
      <c r="H93" s="41"/>
    </row>
    <row r="94" ht="15" customHeight="1" s="32">
      <c r="A94" s="39"/>
      <c r="B94" s="39"/>
      <c r="C94" s="39"/>
      <c r="D94" s="39"/>
      <c r="E94" s="49"/>
      <c r="F94" s="39"/>
      <c r="G94" s="39"/>
      <c r="H94" s="39"/>
    </row>
    <row r="95" ht="15" customHeight="1" s="32">
      <c r="A95" s="41"/>
      <c r="B95" s="41"/>
      <c r="C95" s="41"/>
      <c r="D95" s="43"/>
      <c r="E95" s="49"/>
      <c r="F95" s="41"/>
      <c r="G95" s="41"/>
      <c r="H95" s="41"/>
    </row>
    <row r="96" ht="15" customHeight="1" s="32">
      <c r="A96" s="39"/>
      <c r="B96" s="39"/>
      <c r="C96" s="39"/>
      <c r="D96" s="39"/>
      <c r="E96" s="49"/>
      <c r="F96" s="39"/>
      <c r="G96" s="39"/>
      <c r="H96" s="39"/>
    </row>
    <row r="97" ht="21.75" customHeight="1" s="32">
      <c r="A97" s="41"/>
      <c r="B97" s="41"/>
      <c r="C97" s="41"/>
      <c r="D97" s="41"/>
      <c r="E97" s="47"/>
      <c r="F97" s="41"/>
      <c r="G97" s="41"/>
      <c r="H97" s="49"/>
    </row>
    <row r="98" ht="15" customHeight="1" s="32">
      <c r="A98" s="39"/>
      <c r="B98" s="39"/>
      <c r="C98" s="39"/>
      <c r="D98" s="42"/>
      <c r="E98" s="49"/>
      <c r="F98" s="39"/>
      <c r="G98" s="39"/>
      <c r="H98" s="39"/>
    </row>
    <row r="99" ht="15" customHeight="1" s="32">
      <c r="A99" s="41"/>
      <c r="B99" s="41"/>
      <c r="C99" s="41"/>
      <c r="D99" s="41"/>
      <c r="E99" s="49"/>
      <c r="F99" s="41"/>
      <c r="G99" s="41"/>
      <c r="H99" s="41"/>
    </row>
    <row r="100" ht="15" customHeight="1" s="32">
      <c r="A100" s="39"/>
      <c r="B100" s="39"/>
      <c r="C100" s="39"/>
      <c r="D100" s="42"/>
      <c r="E100" s="49"/>
      <c r="F100" s="39"/>
      <c r="G100" s="39"/>
      <c r="H100" s="39"/>
    </row>
    <row r="101" ht="15" customHeight="1" s="32">
      <c r="A101" s="41"/>
      <c r="B101" s="41"/>
      <c r="C101" s="41"/>
      <c r="D101" s="43"/>
      <c r="E101" s="49"/>
      <c r="F101" s="41"/>
      <c r="G101" s="41"/>
      <c r="H101" s="41"/>
    </row>
    <row r="102" ht="21.75" customHeight="1" s="32">
      <c r="A102" s="39"/>
      <c r="B102" s="39"/>
      <c r="C102" s="39"/>
      <c r="D102" s="39"/>
      <c r="E102" s="49"/>
      <c r="F102" s="39"/>
      <c r="G102" s="39"/>
      <c r="H102" s="39"/>
    </row>
    <row r="103" ht="15" customHeight="1" s="32">
      <c r="A103" s="41"/>
      <c r="B103" s="41"/>
      <c r="C103" s="41"/>
      <c r="D103" s="41"/>
      <c r="E103" s="49"/>
      <c r="F103" s="41"/>
      <c r="G103" s="41"/>
      <c r="H103" s="41"/>
    </row>
    <row r="104" ht="21.75" customHeight="1" s="32">
      <c r="A104" s="39"/>
      <c r="B104" s="39"/>
      <c r="C104" s="39"/>
      <c r="D104" s="39"/>
      <c r="E104" s="49"/>
      <c r="F104" s="39"/>
      <c r="G104" s="39"/>
      <c r="H104" s="39"/>
    </row>
    <row r="105" ht="15" customHeight="1" s="32">
      <c r="A105" s="41" t="inlineStr">
        <is>
          <t>ew_jammer</t>
        </is>
      </c>
      <c r="B105" s="41" t="inlineStr">
        <is>
          <t>Xe tác chiến điện tử</t>
        </is>
      </c>
      <c r="C105" s="41" t="inlineStr">
        <is>
          <t>Tên</t>
        </is>
      </c>
      <c r="D105" s="41" t="inlineStr">
        <is>
          <t>Xe tác chiến điện tử</t>
        </is>
      </c>
      <c r="E105" s="47" t="inlineStr">
        <is>
          <t>Đổi</t>
        </is>
      </c>
      <c r="F105" s="41" t="inlineStr">
        <is>
          <t>Xe gây nhiễu điện tử · ngắn: Gây nhiễu · EN: EW Jammer</t>
        </is>
      </c>
      <c r="G105" s="41" t="inlineStr">
        <is>
          <t>"Tác chiến điện tử" dài; bảng DPS đã dùng "Gây nhiễu".</t>
        </is>
      </c>
      <c r="H105" s="49" t="inlineStr">
        <is>
          <t>Thấp</t>
        </is>
      </c>
    </row>
    <row r="106" ht="15" customHeight="1" s="32">
      <c r="A106" s="39" t="inlineStr">
        <is>
          <t>ew_jammer</t>
        </is>
      </c>
      <c r="B106" s="39" t="inlineStr">
        <is>
          <t>Xe tác chiến điện tử</t>
        </is>
      </c>
      <c r="C106" s="39" t="inlineStr">
        <is>
          <t>Máu</t>
        </is>
      </c>
      <c r="D106" s="42" t="n">
        <v>836</v>
      </c>
      <c r="E106" s="49" t="inlineStr">
        <is>
          <t>Giữ</t>
        </is>
      </c>
      <c r="F106" s="39" t="n"/>
      <c r="G106" s="39" t="inlineStr">
        <is>
          <t>Máu/CP 0.86 × trung vị lớp Hỗ trợ.</t>
        </is>
      </c>
      <c r="H106" s="39" t="n"/>
    </row>
    <row r="107" ht="15" customHeight="1" s="32">
      <c r="A107" s="41" t="inlineStr">
        <is>
          <t>ew_jammer</t>
        </is>
      </c>
      <c r="B107" s="41" t="inlineStr">
        <is>
          <t>Xe tác chiến điện tử</t>
        </is>
      </c>
      <c r="C107" s="41" t="inlineStr">
        <is>
          <t>Giáp (T/H/S/N)</t>
        </is>
      </c>
      <c r="D107" s="41" t="inlineStr">
        <is>
          <t>1/0/0/0</t>
        </is>
      </c>
      <c r="E107" s="49" t="inlineStr">
        <is>
          <t>Giữ</t>
        </is>
      </c>
      <c r="F107" s="41" t="n"/>
      <c r="G107" s="41" t="inlineStr">
        <is>
          <t>Giả tưởng / máy bay; khớp vai trò.</t>
        </is>
      </c>
      <c r="H107" s="41" t="n"/>
    </row>
    <row r="108" ht="15" customHeight="1" s="32">
      <c r="A108" s="39" t="inlineStr">
        <is>
          <t>ew_jammer</t>
        </is>
      </c>
      <c r="B108" s="39" t="inlineStr">
        <is>
          <t>Xe tác chiến điện tử</t>
        </is>
      </c>
      <c r="C108" s="39" t="inlineStr">
        <is>
          <t>Tốc độ</t>
        </is>
      </c>
      <c r="D108" s="42" t="n">
        <v>8</v>
      </c>
      <c r="E108" s="49" t="inlineStr">
        <is>
          <t>Giữ</t>
        </is>
      </c>
      <c r="F108" s="39" t="n"/>
      <c r="G108" s="39" t="inlineStr">
        <is>
          <t>Gần tốc độ thật × hệ số nén (8.9).</t>
        </is>
      </c>
      <c r="H108" s="39" t="n"/>
    </row>
    <row r="109" ht="15" customHeight="1" s="32">
      <c r="A109" s="41" t="inlineStr">
        <is>
          <t>ew_jammer</t>
        </is>
      </c>
      <c r="B109" s="41" t="inlineStr">
        <is>
          <t>Xe tác chiến điện tử</t>
        </is>
      </c>
      <c r="C109" s="41" t="inlineStr">
        <is>
          <t>Tốc độ xoay thân / tháp</t>
        </is>
      </c>
      <c r="D109" s="41" t="inlineStr">
        <is>
          <t>2 / 3</t>
        </is>
      </c>
      <c r="E109" s="49" t="inlineStr">
        <is>
          <t>Giữ</t>
        </is>
      </c>
      <c r="F109" s="41" t="n"/>
      <c r="G109" s="41" t="inlineStr">
        <is>
          <t>Hợp lý so với loại xe.</t>
        </is>
      </c>
      <c r="H109" s="41" t="n"/>
    </row>
    <row r="110" ht="15" customHeight="1" s="32">
      <c r="A110" s="39" t="inlineStr">
        <is>
          <t>ew_jammer</t>
        </is>
      </c>
      <c r="B110" s="39" t="inlineStr">
        <is>
          <t>Xe tác chiến điện tử</t>
        </is>
      </c>
      <c r="C110" s="39" t="inlineStr">
        <is>
          <t>Kích thước model (dài × rộng × cao)</t>
        </is>
      </c>
      <c r="D110" s="39" t="inlineStr">
        <is>
          <t>7.9 × 2.9 × 5.1</t>
        </is>
      </c>
      <c r="E110" s="49" t="inlineStr">
        <is>
          <t>Giữ</t>
        </is>
      </c>
      <c r="F110" s="39" t="n"/>
      <c r="G110" s="39" t="inlineStr">
        <is>
          <t>Khớp tỷ lệ chung (mẫu thật 11.0 m).</t>
        </is>
      </c>
      <c r="H110" s="39" t="n"/>
    </row>
    <row r="111" ht="15" customHeight="1" s="32">
      <c r="A111" s="41" t="inlineStr">
        <is>
          <t>ew_jammer</t>
        </is>
      </c>
      <c r="B111" s="41" t="inlineStr">
        <is>
          <t>Xe tác chiến điện tử</t>
        </is>
      </c>
      <c r="C111" s="41" t="inlineStr">
        <is>
          <t>Tầm nhìn</t>
        </is>
      </c>
      <c r="D111" s="43" t="n">
        <v>40</v>
      </c>
      <c r="E111" s="49" t="inlineStr">
        <is>
          <t>Giữ</t>
        </is>
      </c>
      <c r="F111" s="41" t="n"/>
      <c r="G111" s="41" t="inlineStr">
        <is>
          <t>Khớp vai trò.</t>
        </is>
      </c>
      <c r="H111" s="41" t="n"/>
    </row>
    <row r="112" ht="15" customHeight="1" s="32">
      <c r="A112" s="39" t="inlineStr">
        <is>
          <t>ew_jammer</t>
        </is>
      </c>
      <c r="B112" s="39" t="inlineStr">
        <is>
          <t>Xe tác chiến điện tử</t>
        </is>
      </c>
      <c r="C112" s="39" t="inlineStr">
        <is>
          <t>Tầm bắn</t>
        </is>
      </c>
      <c r="D112" s="39" t="inlineStr">
        <is>
          <t>15</t>
        </is>
      </c>
      <c r="E112" s="49" t="inlineStr">
        <is>
          <t>Giữ</t>
        </is>
      </c>
      <c r="F112" s="39" t="n"/>
      <c r="G112" s="39" t="inlineStr">
        <is>
          <t>Thứ tự tầm hợp lý trong nhóm.</t>
        </is>
      </c>
      <c r="H112" s="39" t="n"/>
    </row>
    <row r="113" ht="15" customHeight="1" s="32">
      <c r="A113" s="41" t="inlineStr">
        <is>
          <t>ew_jammer</t>
        </is>
      </c>
      <c r="B113" s="41" t="inlineStr">
        <is>
          <t>Xe tác chiến điện tử</t>
        </is>
      </c>
      <c r="C113" s="41" t="inlineStr">
        <is>
          <t>Giá (CP)</t>
        </is>
      </c>
      <c r="D113" s="43" t="n">
        <v>5</v>
      </c>
      <c r="E113" s="49" t="inlineStr">
        <is>
          <t>Giữ</t>
        </is>
      </c>
      <c r="F113" s="41" t="n"/>
      <c r="G113" s="41" t="inlineStr">
        <is>
          <t>Hiệu quả trong khoảng ±25% trung vị, thứ tự giá hợp ngoài đời (sheet Giá CP).</t>
        </is>
      </c>
      <c r="H113" s="41" t="n"/>
    </row>
    <row r="114" ht="15" customHeight="1" s="32">
      <c r="A114" s="39" t="inlineStr">
        <is>
          <t>ew_jammer</t>
        </is>
      </c>
      <c r="B114" s="39" t="inlineStr">
        <is>
          <t>Xe tác chiến điện tử</t>
        </is>
      </c>
      <c r="C114" s="39" t="inlineStr">
        <is>
          <t>Vũ khí</t>
        </is>
      </c>
      <c r="D114" s="42" t="n">
        <v>1</v>
      </c>
      <c r="E114" s="49" t="inlineStr">
        <is>
          <t>Giữ</t>
        </is>
      </c>
      <c r="F114" s="39" t="n"/>
      <c r="G114" s="39" t="inlineStr">
        <is>
          <t>Bộ vũ khí khớp mẫu thật và vai trò.</t>
        </is>
      </c>
      <c r="H114" s="39" t="n"/>
    </row>
    <row r="115" ht="21.75" customHeight="1" s="32">
      <c r="A115" s="41" t="inlineStr">
        <is>
          <t>ew_jammer</t>
        </is>
      </c>
      <c r="B115" s="41" t="inlineStr">
        <is>
          <t>Xe tác chiến điện tử</t>
        </is>
      </c>
      <c r="C115" s="41" t="inlineStr">
        <is>
          <t>Hành vi</t>
        </is>
      </c>
      <c r="D115" s="41" t="inlineStr">
        <is>
          <t xml:space="preserve">Đi sau tuyến đầu, cạnh các xe nó phục vụ                                        </t>
        </is>
      </c>
      <c r="E115" s="49" t="inlineStr">
        <is>
          <t>Giữ</t>
        </is>
      </c>
      <c r="F115" s="41" t="n"/>
      <c r="G115" s="41" t="inlineStr">
        <is>
          <t>Hợp vai trò.</t>
        </is>
      </c>
      <c r="H115" s="41" t="n"/>
    </row>
    <row r="116" ht="15" customHeight="1" s="32">
      <c r="A116" s="39" t="inlineStr">
        <is>
          <t>ew_jammer</t>
        </is>
      </c>
      <c r="B116" s="39" t="inlineStr">
        <is>
          <t>Xe tác chiến điện tử</t>
        </is>
      </c>
      <c r="C116" s="39" t="inlineStr">
        <is>
          <t>Nổ khi bị phá (bán kính)</t>
        </is>
      </c>
      <c r="D116" s="39" t="inlineStr">
        <is>
          <t>7 m · 160 sát thương</t>
        </is>
      </c>
      <c r="E116" s="49" t="inlineStr">
        <is>
          <t>Giữ</t>
        </is>
      </c>
      <c r="F116" s="39" t="n"/>
      <c r="G116" s="39" t="inlineStr">
        <is>
          <t>Hợp với cỡ xe.</t>
        </is>
      </c>
      <c r="H116" s="39" t="n"/>
    </row>
    <row r="117" ht="21.75" customHeight="1" s="32">
      <c r="A117" s="41" t="inlineStr">
        <is>
          <t>ew_jammer</t>
        </is>
      </c>
      <c r="B117" s="41" t="inlineStr">
        <is>
          <t>Xe tác chiến điện tử</t>
        </is>
      </c>
      <c r="C117" s="41" t="inlineStr">
        <is>
          <t>Tham khảo / model</t>
        </is>
      </c>
      <c r="D117" s="41" t="inlineStr">
        <is>
          <t>Krasukha-4, Leer-3 — Xe tác chiến điện tử 6x6, cột ăng-ten gây nhiễu</t>
        </is>
      </c>
      <c r="E117" s="49" t="inlineStr">
        <is>
          <t>Giữ</t>
        </is>
      </c>
      <c r="F117" s="41" t="n"/>
      <c r="G117" s="41" t="inlineStr">
        <is>
          <t>Khớp vũ khí và vai trò.</t>
        </is>
      </c>
      <c r="H117" s="41" t="n"/>
    </row>
    <row r="118" ht="15" customHeight="1" s="32">
      <c r="A118" s="39" t="inlineStr">
        <is>
          <t>mine_layer</t>
        </is>
      </c>
      <c r="B118" s="39" t="inlineStr">
        <is>
          <t>Xe rải mìn</t>
        </is>
      </c>
      <c r="C118" s="39" t="inlineStr">
        <is>
          <t>Tên</t>
        </is>
      </c>
      <c r="D118" s="39" t="inlineStr">
        <is>
          <t>Xe rải mìn</t>
        </is>
      </c>
      <c r="E118" s="49" t="inlineStr">
        <is>
          <t>Giữ</t>
        </is>
      </c>
      <c r="F118" s="39" t="inlineStr">
        <is>
          <t>Xe rải mìn · ngắn: Rải mìn · EN: Minelayer</t>
        </is>
      </c>
      <c r="G118" s="39" t="inlineStr">
        <is>
          <t>Giữ.</t>
        </is>
      </c>
      <c r="H118" s="39" t="n"/>
    </row>
    <row r="119" ht="15" customHeight="1" s="32">
      <c r="A119" s="41" t="inlineStr">
        <is>
          <t>mine_layer</t>
        </is>
      </c>
      <c r="B119" s="41" t="inlineStr">
        <is>
          <t>Xe rải mìn</t>
        </is>
      </c>
      <c r="C119" s="41" t="inlineStr">
        <is>
          <t>Máu</t>
        </is>
      </c>
      <c r="D119" s="43" t="n">
        <v>924</v>
      </c>
      <c r="E119" s="49" t="inlineStr">
        <is>
          <t>Giữ</t>
        </is>
      </c>
      <c r="F119" s="41" t="n"/>
      <c r="G119" s="41" t="inlineStr">
        <is>
          <t>Máu/CP 0.95 × trung vị lớp Hỗ trợ.</t>
        </is>
      </c>
      <c r="H119" s="41" t="n"/>
    </row>
    <row r="120" ht="15" customHeight="1" s="32">
      <c r="A120" s="39" t="inlineStr">
        <is>
          <t>mine_layer</t>
        </is>
      </c>
      <c r="B120" s="39" t="inlineStr">
        <is>
          <t>Xe rải mìn</t>
        </is>
      </c>
      <c r="C120" s="39" t="inlineStr">
        <is>
          <t>Giáp (T/H/S/N)</t>
        </is>
      </c>
      <c r="D120" s="39" t="inlineStr">
        <is>
          <t>1/0/0/0</t>
        </is>
      </c>
      <c r="E120" s="47" t="inlineStr">
        <is>
          <t>Đổi</t>
        </is>
      </c>
      <c r="F120" s="39" t="inlineStr">
        <is>
          <t>1/1/0/0</t>
        </is>
      </c>
      <c r="G120" s="39" t="inlineStr">
        <is>
          <t>Khung bọc thép nhẹ.</t>
        </is>
      </c>
      <c r="H120" s="48" t="inlineStr">
        <is>
          <t>Trung</t>
        </is>
      </c>
    </row>
    <row r="121" ht="21.75" customHeight="1" s="32">
      <c r="A121" s="41" t="inlineStr">
        <is>
          <t>mine_layer</t>
        </is>
      </c>
      <c r="B121" s="41" t="inlineStr">
        <is>
          <t>Xe rải mìn</t>
        </is>
      </c>
      <c r="C121" s="41" t="inlineStr">
        <is>
          <t>Tốc độ</t>
        </is>
      </c>
      <c r="D121" s="43" t="n">
        <v>8</v>
      </c>
      <c r="E121" s="48" t="inlineStr">
        <is>
          <t>Xem lại</t>
        </is>
      </c>
      <c r="F121" s="41" t="inlineStr">
        <is>
          <t>Mẫu thật × hệ số map ≈ 5.5 m/s</t>
        </is>
      </c>
      <c r="G121" s="41" t="inlineStr">
        <is>
          <t>Lệch hơn 35% so với tốc độ thật nhân hệ số nén của map (xích 0,33, bánh 0,4, trực thăng 0,17, máy bay 0,16). Có thể giữ nếu là chủ đích.</t>
        </is>
      </c>
      <c r="H121" s="41" t="n"/>
    </row>
    <row r="122" ht="15" customHeight="1" s="32">
      <c r="A122" s="39" t="inlineStr">
        <is>
          <t>mine_layer</t>
        </is>
      </c>
      <c r="B122" s="39" t="inlineStr">
        <is>
          <t>Xe rải mìn</t>
        </is>
      </c>
      <c r="C122" s="39" t="inlineStr">
        <is>
          <t>Tốc độ xoay thân / tháp</t>
        </is>
      </c>
      <c r="D122" s="39" t="inlineStr">
        <is>
          <t>2 / 3</t>
        </is>
      </c>
      <c r="E122" s="49" t="inlineStr">
        <is>
          <t>Giữ</t>
        </is>
      </c>
      <c r="F122" s="39" t="n"/>
      <c r="G122" s="39" t="inlineStr">
        <is>
          <t>Hợp lý so với loại xe.</t>
        </is>
      </c>
      <c r="H122" s="39" t="n"/>
    </row>
    <row r="123" ht="15" customHeight="1" s="32">
      <c r="A123" s="41" t="inlineStr">
        <is>
          <t>mine_layer</t>
        </is>
      </c>
      <c r="B123" s="41" t="inlineStr">
        <is>
          <t>Xe rải mìn</t>
        </is>
      </c>
      <c r="C123" s="41" t="inlineStr">
        <is>
          <t>Kích thước model (dài × rộng × cao)</t>
        </is>
      </c>
      <c r="D123" s="41" t="inlineStr">
        <is>
          <t>6.6 × 2.6 × 3.0</t>
        </is>
      </c>
      <c r="E123" s="49" t="inlineStr">
        <is>
          <t>Giữ</t>
        </is>
      </c>
      <c r="F123" s="41" t="n"/>
      <c r="G123" s="41" t="inlineStr">
        <is>
          <t>Khớp tỷ lệ chung (mẫu thật 9.3 m).</t>
        </is>
      </c>
      <c r="H123" s="41" t="n"/>
    </row>
    <row r="124" ht="15" customHeight="1" s="32">
      <c r="A124" s="39" t="inlineStr">
        <is>
          <t>mine_layer</t>
        </is>
      </c>
      <c r="B124" s="39" t="inlineStr">
        <is>
          <t>Xe rải mìn</t>
        </is>
      </c>
      <c r="C124" s="39" t="inlineStr">
        <is>
          <t>Tầm nhìn</t>
        </is>
      </c>
      <c r="D124" s="42" t="n">
        <v>30</v>
      </c>
      <c r="E124" s="49" t="inlineStr">
        <is>
          <t>Giữ</t>
        </is>
      </c>
      <c r="F124" s="39" t="n"/>
      <c r="G124" s="39" t="inlineStr">
        <is>
          <t>Khớp vai trò.</t>
        </is>
      </c>
      <c r="H124" s="39" t="n"/>
    </row>
    <row r="125" ht="15" customHeight="1" s="32">
      <c r="A125" s="41" t="inlineStr">
        <is>
          <t>mine_layer</t>
        </is>
      </c>
      <c r="B125" s="41" t="inlineStr">
        <is>
          <t>Xe rải mìn</t>
        </is>
      </c>
      <c r="C125" s="41" t="inlineStr">
        <is>
          <t>Tầm bắn</t>
        </is>
      </c>
      <c r="D125" s="41" t="inlineStr">
        <is>
          <t>15</t>
        </is>
      </c>
      <c r="E125" s="49" t="inlineStr">
        <is>
          <t>Giữ</t>
        </is>
      </c>
      <c r="F125" s="41" t="n"/>
      <c r="G125" s="41" t="inlineStr">
        <is>
          <t>Thứ tự tầm hợp lý trong nhóm.</t>
        </is>
      </c>
      <c r="H125" s="41" t="n"/>
    </row>
    <row r="126" ht="15" customHeight="1" s="32">
      <c r="A126" s="39" t="inlineStr">
        <is>
          <t>mine_layer</t>
        </is>
      </c>
      <c r="B126" s="39" t="inlineStr">
        <is>
          <t>Xe rải mìn</t>
        </is>
      </c>
      <c r="C126" s="39" t="inlineStr">
        <is>
          <t>Giá (CP)</t>
        </is>
      </c>
      <c r="D126" s="42" t="n">
        <v>5</v>
      </c>
      <c r="E126" s="49" t="inlineStr">
        <is>
          <t>Giữ</t>
        </is>
      </c>
      <c r="F126" s="39" t="n"/>
      <c r="G126" s="39" t="inlineStr">
        <is>
          <t>Hiệu quả trong khoảng ±25% trung vị, thứ tự giá hợp ngoài đời (sheet Giá CP).</t>
        </is>
      </c>
      <c r="H126" s="39" t="n"/>
    </row>
    <row r="127" ht="15" customHeight="1" s="32">
      <c r="A127" s="41" t="inlineStr">
        <is>
          <t>mine_layer</t>
        </is>
      </c>
      <c r="B127" s="41" t="inlineStr">
        <is>
          <t>Xe rải mìn</t>
        </is>
      </c>
      <c r="C127" s="41" t="inlineStr">
        <is>
          <t>Vũ khí</t>
        </is>
      </c>
      <c r="D127" s="43" t="n">
        <v>1</v>
      </c>
      <c r="E127" s="49" t="inlineStr">
        <is>
          <t>Giữ</t>
        </is>
      </c>
      <c r="F127" s="41" t="n"/>
      <c r="G127" s="41" t="inlineStr">
        <is>
          <t>Bộ vũ khí khớp mẫu thật và vai trò.</t>
        </is>
      </c>
      <c r="H127" s="41" t="n"/>
    </row>
    <row r="128" ht="21.75" customHeight="1" s="32">
      <c r="A128" s="39" t="inlineStr">
        <is>
          <t>mine_layer</t>
        </is>
      </c>
      <c r="B128" s="39" t="inlineStr">
        <is>
          <t>Xe rải mìn</t>
        </is>
      </c>
      <c r="C128" s="39" t="inlineStr">
        <is>
          <t>Hành vi</t>
        </is>
      </c>
      <c r="D128" s="39" t="inlineStr">
        <is>
          <t xml:space="preserve">Đi sau tuyến đầu, cạnh các xe nó phục vụ                                        </t>
        </is>
      </c>
      <c r="E128" s="49" t="inlineStr">
        <is>
          <t>Giữ</t>
        </is>
      </c>
      <c r="F128" s="39" t="n"/>
      <c r="G128" s="39" t="inlineStr">
        <is>
          <t>Hợp vai trò.</t>
        </is>
      </c>
      <c r="H128" s="39" t="n"/>
    </row>
    <row r="129" ht="15" customHeight="1" s="32">
      <c r="A129" s="41" t="inlineStr">
        <is>
          <t>mine_layer</t>
        </is>
      </c>
      <c r="B129" s="41" t="inlineStr">
        <is>
          <t>Xe rải mìn</t>
        </is>
      </c>
      <c r="C129" s="41" t="inlineStr">
        <is>
          <t>Nổ khi bị phá (bán kính)</t>
        </is>
      </c>
      <c r="D129" s="41" t="inlineStr">
        <is>
          <t>8 m · 280 sát thương</t>
        </is>
      </c>
      <c r="E129" s="49" t="inlineStr">
        <is>
          <t>Giữ</t>
        </is>
      </c>
      <c r="F129" s="41" t="n"/>
      <c r="G129" s="41" t="inlineStr">
        <is>
          <t>Hợp với cỡ xe.</t>
        </is>
      </c>
      <c r="H129" s="41" t="n"/>
    </row>
    <row r="130" ht="21.75" customHeight="1" s="32">
      <c r="A130" s="39" t="inlineStr">
        <is>
          <t>mine_layer</t>
        </is>
      </c>
      <c r="B130" s="39" t="inlineStr">
        <is>
          <t>Xe rải mìn</t>
        </is>
      </c>
      <c r="C130" s="39" t="inlineStr">
        <is>
          <t>Tham khảo / model</t>
        </is>
      </c>
      <c r="D130" s="39" t="inlineStr">
        <is>
          <t>GMZ-3, MT-LB — Xe rải mìn bánh xích, máng thả mìn phía sau</t>
        </is>
      </c>
      <c r="E130" s="49" t="inlineStr">
        <is>
          <t>Giữ</t>
        </is>
      </c>
      <c r="F130" s="39" t="n"/>
      <c r="G130" s="39" t="inlineStr">
        <is>
          <t>Khớp vũ khí và vai trò.</t>
        </is>
      </c>
      <c r="H130" s="39" t="n"/>
    </row>
    <row r="131" ht="15" customHeight="1" s="32">
      <c r="A131" s="41" t="inlineStr">
        <is>
          <t>command_vehicle</t>
        </is>
      </c>
      <c r="B131" s="41" t="inlineStr">
        <is>
          <t>Xe chỉ huy</t>
        </is>
      </c>
      <c r="C131" s="41" t="inlineStr">
        <is>
          <t>Tên</t>
        </is>
      </c>
      <c r="D131" s="41" t="inlineStr">
        <is>
          <t>Xe chỉ huy</t>
        </is>
      </c>
      <c r="E131" s="49" t="inlineStr">
        <is>
          <t>Giữ</t>
        </is>
      </c>
      <c r="F131" s="41" t="inlineStr">
        <is>
          <t>Xe chỉ huy · ngắn: Chỉ huy · EN: Command Vehicle</t>
        </is>
      </c>
      <c r="G131" s="41" t="inlineStr">
        <is>
          <t>Giữ.</t>
        </is>
      </c>
      <c r="H131" s="41" t="n"/>
    </row>
    <row r="132" ht="15" customHeight="1" s="32">
      <c r="A132" s="39" t="inlineStr">
        <is>
          <t>command_vehicle</t>
        </is>
      </c>
      <c r="B132" s="39" t="inlineStr">
        <is>
          <t>Xe chỉ huy</t>
        </is>
      </c>
      <c r="C132" s="39" t="inlineStr">
        <is>
          <t>Máu</t>
        </is>
      </c>
      <c r="D132" s="42" t="n">
        <v>1232</v>
      </c>
      <c r="E132" s="49" t="inlineStr">
        <is>
          <t>Giữ</t>
        </is>
      </c>
      <c r="F132" s="39" t="n"/>
      <c r="G132" s="39" t="inlineStr">
        <is>
          <t>Máu/CP 1.05 × trung vị lớp Hỗ trợ.</t>
        </is>
      </c>
      <c r="H132" s="39" t="n"/>
    </row>
    <row r="133" ht="15" customHeight="1" s="32">
      <c r="A133" s="41" t="inlineStr">
        <is>
          <t>command_vehicle</t>
        </is>
      </c>
      <c r="B133" s="41" t="inlineStr">
        <is>
          <t>Xe chỉ huy</t>
        </is>
      </c>
      <c r="C133" s="41" t="inlineStr">
        <is>
          <t>Giáp (T/H/S/N)</t>
        </is>
      </c>
      <c r="D133" s="41" t="inlineStr">
        <is>
          <t>2/1/0/0</t>
        </is>
      </c>
      <c r="E133" s="47" t="inlineStr">
        <is>
          <t>Đổi</t>
        </is>
      </c>
      <c r="F133" s="41" t="inlineStr">
        <is>
          <t>1/1/0/0</t>
        </is>
      </c>
      <c r="G133" s="41" t="inlineStr">
        <is>
          <t>Stryker bọc thép nhẹ.</t>
        </is>
      </c>
      <c r="H133" s="48" t="inlineStr">
        <is>
          <t>Trung</t>
        </is>
      </c>
    </row>
    <row r="134" ht="15" customHeight="1" s="32">
      <c r="A134" s="39" t="inlineStr">
        <is>
          <t>command_vehicle</t>
        </is>
      </c>
      <c r="B134" s="39" t="inlineStr">
        <is>
          <t>Xe chỉ huy</t>
        </is>
      </c>
      <c r="C134" s="39" t="inlineStr">
        <is>
          <t>Tốc độ</t>
        </is>
      </c>
      <c r="D134" s="42" t="n">
        <v>8</v>
      </c>
      <c r="E134" s="49" t="inlineStr">
        <is>
          <t>Giữ</t>
        </is>
      </c>
      <c r="F134" s="39" t="n"/>
      <c r="G134" s="39" t="inlineStr">
        <is>
          <t>Gần tốc độ thật × hệ số nén (10.8).</t>
        </is>
      </c>
      <c r="H134" s="39" t="n"/>
    </row>
    <row r="135" ht="15" customHeight="1" s="32">
      <c r="A135" s="41" t="inlineStr">
        <is>
          <t>command_vehicle</t>
        </is>
      </c>
      <c r="B135" s="41" t="inlineStr">
        <is>
          <t>Xe chỉ huy</t>
        </is>
      </c>
      <c r="C135" s="41" t="inlineStr">
        <is>
          <t>Tốc độ xoay thân / tháp</t>
        </is>
      </c>
      <c r="D135" s="41" t="inlineStr">
        <is>
          <t>2 / 3</t>
        </is>
      </c>
      <c r="E135" s="49" t="inlineStr">
        <is>
          <t>Giữ</t>
        </is>
      </c>
      <c r="F135" s="41" t="n"/>
      <c r="G135" s="41" t="inlineStr">
        <is>
          <t>Hợp lý so với loại xe.</t>
        </is>
      </c>
      <c r="H135" s="41" t="n"/>
    </row>
    <row r="136" ht="21.75" customHeight="1" s="32">
      <c r="A136" s="39" t="inlineStr">
        <is>
          <t>command_vehicle</t>
        </is>
      </c>
      <c r="B136" s="39" t="inlineStr">
        <is>
          <t>Xe chỉ huy</t>
        </is>
      </c>
      <c r="C136" s="39" t="inlineStr">
        <is>
          <t>Kích thước model (dài × rộng × cao)</t>
        </is>
      </c>
      <c r="D136" s="39" t="inlineStr">
        <is>
          <t>6.7 × 2.5 × 4.7</t>
        </is>
      </c>
      <c r="E136" s="47" t="inlineStr">
        <is>
          <t>Đổi</t>
        </is>
      </c>
      <c r="F136" s="39" t="inlineStr">
        <is>
          <t>5.6 × 2.2 × 2.1</t>
        </is>
      </c>
      <c r="G136" s="39" t="inlineStr">
        <is>
          <t>Mẫu thật Stryker CV: 6.95 × 2.72 m; theo tỷ lệ chung (mặt đất 0,8) nên là 5.6 × 2.2 m. Đổi kích thước thì chỉnh vùng va chạm và chạy lại test xe kẹt.</t>
        </is>
      </c>
      <c r="H136" s="49" t="inlineStr">
        <is>
          <t>Thấp</t>
        </is>
      </c>
    </row>
    <row r="137" ht="15" customHeight="1" s="32">
      <c r="A137" s="41" t="inlineStr">
        <is>
          <t>command_vehicle</t>
        </is>
      </c>
      <c r="B137" s="41" t="inlineStr">
        <is>
          <t>Xe chỉ huy</t>
        </is>
      </c>
      <c r="C137" s="41" t="inlineStr">
        <is>
          <t>Tầm nhìn</t>
        </is>
      </c>
      <c r="D137" s="43" t="n">
        <v>44</v>
      </c>
      <c r="E137" s="49" t="inlineStr">
        <is>
          <t>Giữ</t>
        </is>
      </c>
      <c r="F137" s="41" t="n"/>
      <c r="G137" s="41" t="inlineStr">
        <is>
          <t>Khớp vai trò.</t>
        </is>
      </c>
      <c r="H137" s="41" t="n"/>
    </row>
    <row r="138" ht="15" customHeight="1" s="32">
      <c r="A138" s="39" t="inlineStr">
        <is>
          <t>command_vehicle</t>
        </is>
      </c>
      <c r="B138" s="39" t="inlineStr">
        <is>
          <t>Xe chỉ huy</t>
        </is>
      </c>
      <c r="C138" s="39" t="inlineStr">
        <is>
          <t>Tầm bắn</t>
        </is>
      </c>
      <c r="D138" s="39" t="inlineStr">
        <is>
          <t>15</t>
        </is>
      </c>
      <c r="E138" s="49" t="inlineStr">
        <is>
          <t>Giữ</t>
        </is>
      </c>
      <c r="F138" s="39" t="n"/>
      <c r="G138" s="39" t="inlineStr">
        <is>
          <t>Thứ tự tầm hợp lý trong nhóm.</t>
        </is>
      </c>
      <c r="H138" s="39" t="n"/>
    </row>
    <row r="139" ht="15" customHeight="1" s="32">
      <c r="A139" s="41" t="inlineStr">
        <is>
          <t>command_vehicle</t>
        </is>
      </c>
      <c r="B139" s="41" t="inlineStr">
        <is>
          <t>Xe chỉ huy</t>
        </is>
      </c>
      <c r="C139" s="41" t="inlineStr">
        <is>
          <t>Giá (CP)</t>
        </is>
      </c>
      <c r="D139" s="43" t="n">
        <v>6</v>
      </c>
      <c r="E139" s="49" t="inlineStr">
        <is>
          <t>Giữ</t>
        </is>
      </c>
      <c r="F139" s="41" t="n"/>
      <c r="G139" s="41" t="inlineStr">
        <is>
          <t>Hiệu quả trong khoảng ±25% trung vị, thứ tự giá hợp ngoài đời (sheet Giá CP).</t>
        </is>
      </c>
      <c r="H139" s="41" t="n"/>
    </row>
    <row r="140" ht="15" customHeight="1" s="32">
      <c r="A140" s="39" t="inlineStr">
        <is>
          <t>command_vehicle</t>
        </is>
      </c>
      <c r="B140" s="39" t="inlineStr">
        <is>
          <t>Xe chỉ huy</t>
        </is>
      </c>
      <c r="C140" s="39" t="inlineStr">
        <is>
          <t>Vũ khí</t>
        </is>
      </c>
      <c r="D140" s="42" t="n">
        <v>1</v>
      </c>
      <c r="E140" s="49" t="inlineStr">
        <is>
          <t>Giữ</t>
        </is>
      </c>
      <c r="F140" s="39" t="n"/>
      <c r="G140" s="39" t="inlineStr">
        <is>
          <t>Bộ vũ khí khớp mẫu thật và vai trò.</t>
        </is>
      </c>
      <c r="H140" s="39" t="n"/>
    </row>
    <row r="141" ht="32.25" customHeight="1" s="32">
      <c r="A141" s="41" t="inlineStr">
        <is>
          <t>command_vehicle</t>
        </is>
      </c>
      <c r="B141" s="41" t="inlineStr">
        <is>
          <t>Xe chỉ huy</t>
        </is>
      </c>
      <c r="C141" s="41" t="inlineStr">
        <is>
          <t>Hành vi</t>
        </is>
      </c>
      <c r="D141" s="41" t="inlineStr">
        <is>
          <t>Đi sau tuyến đầu, cạnh các xe nó phục vụ; Bắn hết 28 viên thì thay băng; Xe phát</t>
        </is>
      </c>
      <c r="E141" s="49" t="inlineStr">
        <is>
          <t>Giữ</t>
        </is>
      </c>
      <c r="F141" s="41" t="n"/>
      <c r="G141" s="41" t="inlineStr">
        <is>
          <t>Hợp vai trò.</t>
        </is>
      </c>
      <c r="H141" s="41" t="n"/>
    </row>
    <row r="142" ht="15" customHeight="1" s="32">
      <c r="A142" s="39" t="inlineStr">
        <is>
          <t>command_vehicle</t>
        </is>
      </c>
      <c r="B142" s="39" t="inlineStr">
        <is>
          <t>Xe chỉ huy</t>
        </is>
      </c>
      <c r="C142" s="39" t="inlineStr">
        <is>
          <t>Nổ khi bị phá (bán kính)</t>
        </is>
      </c>
      <c r="D142" s="39" t="inlineStr">
        <is>
          <t>6 m · 140 sát thương</t>
        </is>
      </c>
      <c r="E142" s="49" t="inlineStr">
        <is>
          <t>Giữ</t>
        </is>
      </c>
      <c r="F142" s="39" t="n"/>
      <c r="G142" s="39" t="inlineStr">
        <is>
          <t>Hợp với cỡ xe.</t>
        </is>
      </c>
      <c r="H142" s="39" t="n"/>
    </row>
    <row r="143" ht="32.25" customHeight="1" s="32">
      <c r="A143" s="41" t="inlineStr">
        <is>
          <t>command_vehicle</t>
        </is>
      </c>
      <c r="B143" s="41" t="inlineStr">
        <is>
          <t>Xe chỉ huy</t>
        </is>
      </c>
      <c r="C143" s="41" t="inlineStr">
        <is>
          <t>Tham khảo / model</t>
        </is>
      </c>
      <c r="D143" s="41" t="inlineStr">
        <is>
          <t>M1130 Stryker CV, BTR-80 KShM, LAV-C2 — Xe chỉ huy 8x8, cột ăng-ten kính viễn vọng gập</t>
        </is>
      </c>
      <c r="E143" s="49" t="inlineStr">
        <is>
          <t>Giữ</t>
        </is>
      </c>
      <c r="F143" s="41" t="n"/>
      <c r="G143" s="41" t="inlineStr">
        <is>
          <t>Khớp vũ khí và vai trò.</t>
        </is>
      </c>
      <c r="H143" s="41" t="n"/>
    </row>
    <row r="144" ht="15" customHeight="1" s="32">
      <c r="A144" s="39" t="inlineStr">
        <is>
          <t>shield_carrier</t>
        </is>
      </c>
      <c r="B144" s="39" t="inlineStr">
        <is>
          <t>Xe phát khiên</t>
        </is>
      </c>
      <c r="C144" s="39" t="inlineStr">
        <is>
          <t>Tên</t>
        </is>
      </c>
      <c r="D144" s="39" t="inlineStr">
        <is>
          <t>Xe phát khiên</t>
        </is>
      </c>
      <c r="E144" s="49" t="inlineStr">
        <is>
          <t>Giữ</t>
        </is>
      </c>
      <c r="F144" s="39" t="inlineStr">
        <is>
          <t>Xe phát khiên · ngắn: Phát khiên · EN: Shield Carrier</t>
        </is>
      </c>
      <c r="G144" s="39" t="inlineStr">
        <is>
          <t>Giữ.</t>
        </is>
      </c>
      <c r="H144" s="39" t="n"/>
    </row>
    <row r="145" ht="15" customHeight="1" s="32">
      <c r="A145" s="41" t="inlineStr">
        <is>
          <t>shield_carrier</t>
        </is>
      </c>
      <c r="B145" s="41" t="inlineStr">
        <is>
          <t>Xe phát khiên</t>
        </is>
      </c>
      <c r="C145" s="41" t="inlineStr">
        <is>
          <t>Máu</t>
        </is>
      </c>
      <c r="D145" s="43" t="n">
        <v>1056</v>
      </c>
      <c r="E145" s="49" t="inlineStr">
        <is>
          <t>Giữ</t>
        </is>
      </c>
      <c r="F145" s="41" t="n"/>
      <c r="G145" s="41" t="inlineStr">
        <is>
          <t>Máu/CP 0.77 × trung vị lớp Hỗ trợ.</t>
        </is>
      </c>
      <c r="H145" s="41" t="n"/>
    </row>
    <row r="146" ht="15" customHeight="1" s="32">
      <c r="A146" s="39" t="inlineStr">
        <is>
          <t>shield_carrier</t>
        </is>
      </c>
      <c r="B146" s="39" t="inlineStr">
        <is>
          <t>Xe phát khiên</t>
        </is>
      </c>
      <c r="C146" s="39" t="inlineStr">
        <is>
          <t>Giáp (T/H/S/N)</t>
        </is>
      </c>
      <c r="D146" s="39" t="inlineStr">
        <is>
          <t>1/0/0/0</t>
        </is>
      </c>
      <c r="E146" s="49" t="inlineStr">
        <is>
          <t>Giữ</t>
        </is>
      </c>
      <c r="F146" s="39" t="n"/>
      <c r="G146" s="39" t="inlineStr">
        <is>
          <t>Giả tưởng / máy bay; khớp vai trò.</t>
        </is>
      </c>
      <c r="H146" s="39" t="n"/>
    </row>
    <row r="147" ht="15" customHeight="1" s="32">
      <c r="A147" s="41" t="inlineStr">
        <is>
          <t>shield_carrier</t>
        </is>
      </c>
      <c r="B147" s="41" t="inlineStr">
        <is>
          <t>Xe phát khiên</t>
        </is>
      </c>
      <c r="C147" s="41" t="inlineStr">
        <is>
          <t>Tốc độ</t>
        </is>
      </c>
      <c r="D147" s="43" t="n">
        <v>8.5</v>
      </c>
      <c r="E147" s="49" t="inlineStr">
        <is>
          <t>Giữ</t>
        </is>
      </c>
      <c r="F147" s="41" t="n"/>
      <c r="G147" s="41" t="inlineStr">
        <is>
          <t>Gần tốc độ thật × hệ số nén (11.4).</t>
        </is>
      </c>
      <c r="H147" s="41" t="n"/>
    </row>
    <row r="148" ht="15" customHeight="1" s="32">
      <c r="A148" s="39" t="inlineStr">
        <is>
          <t>shield_carrier</t>
        </is>
      </c>
      <c r="B148" s="39" t="inlineStr">
        <is>
          <t>Xe phát khiên</t>
        </is>
      </c>
      <c r="C148" s="39" t="inlineStr">
        <is>
          <t>Tốc độ xoay thân / tháp</t>
        </is>
      </c>
      <c r="D148" s="39" t="inlineStr">
        <is>
          <t>2 / 3</t>
        </is>
      </c>
      <c r="E148" s="49" t="inlineStr">
        <is>
          <t>Giữ</t>
        </is>
      </c>
      <c r="F148" s="39" t="n"/>
      <c r="G148" s="39" t="inlineStr">
        <is>
          <t>Hợp lý so với loại xe.</t>
        </is>
      </c>
      <c r="H148" s="39" t="n"/>
    </row>
    <row r="149" ht="15" customHeight="1" s="32">
      <c r="A149" s="41" t="inlineStr">
        <is>
          <t>shield_carrier</t>
        </is>
      </c>
      <c r="B149" s="41" t="inlineStr">
        <is>
          <t>Xe phát khiên</t>
        </is>
      </c>
      <c r="C149" s="41" t="inlineStr">
        <is>
          <t>Kích thước model (dài × rộng × cao)</t>
        </is>
      </c>
      <c r="D149" s="41" t="inlineStr">
        <is>
          <t>7.4 × 2.5 × 5.3</t>
        </is>
      </c>
      <c r="E149" s="49" t="inlineStr">
        <is>
          <t>Giữ</t>
        </is>
      </c>
      <c r="F149" s="41" t="n"/>
      <c r="G149" s="41" t="inlineStr">
        <is>
          <t>Khớp tỷ lệ chung (mẫu thật 7.9 m).</t>
        </is>
      </c>
      <c r="H149" s="41" t="n"/>
    </row>
    <row r="150" ht="15" customHeight="1" s="32">
      <c r="A150" s="39" t="inlineStr">
        <is>
          <t>shield_carrier</t>
        </is>
      </c>
      <c r="B150" s="39" t="inlineStr">
        <is>
          <t>Xe phát khiên</t>
        </is>
      </c>
      <c r="C150" s="39" t="inlineStr">
        <is>
          <t>Tầm nhìn</t>
        </is>
      </c>
      <c r="D150" s="42" t="n">
        <v>36</v>
      </c>
      <c r="E150" s="49" t="inlineStr">
        <is>
          <t>Giữ</t>
        </is>
      </c>
      <c r="F150" s="39" t="n"/>
      <c r="G150" s="39" t="inlineStr">
        <is>
          <t>Khớp vai trò.</t>
        </is>
      </c>
      <c r="H150" s="39" t="n"/>
    </row>
    <row r="151" ht="15" customHeight="1" s="32">
      <c r="A151" s="41" t="inlineStr">
        <is>
          <t>shield_carrier</t>
        </is>
      </c>
      <c r="B151" s="41" t="inlineStr">
        <is>
          <t>Xe phát khiên</t>
        </is>
      </c>
      <c r="C151" s="41" t="inlineStr">
        <is>
          <t>Tầm bắn</t>
        </is>
      </c>
      <c r="D151" s="41" t="inlineStr">
        <is>
          <t>15</t>
        </is>
      </c>
      <c r="E151" s="49" t="inlineStr">
        <is>
          <t>Giữ</t>
        </is>
      </c>
      <c r="F151" s="41" t="n"/>
      <c r="G151" s="41" t="inlineStr">
        <is>
          <t>Thứ tự tầm hợp lý trong nhóm.</t>
        </is>
      </c>
      <c r="H151" s="41" t="n"/>
    </row>
    <row r="152" ht="15" customHeight="1" s="32">
      <c r="A152" s="39" t="inlineStr">
        <is>
          <t>shield_carrier</t>
        </is>
      </c>
      <c r="B152" s="39" t="inlineStr">
        <is>
          <t>Xe phát khiên</t>
        </is>
      </c>
      <c r="C152" s="39" t="inlineStr">
        <is>
          <t>Giá (CP)</t>
        </is>
      </c>
      <c r="D152" s="42" t="n">
        <v>7</v>
      </c>
      <c r="E152" s="49" t="inlineStr">
        <is>
          <t>Giữ</t>
        </is>
      </c>
      <c r="F152" s="39" t="n"/>
      <c r="G152" s="39" t="inlineStr">
        <is>
          <t>Hiệu quả trong khoảng ±25% trung vị, thứ tự giá hợp ngoài đời (sheet Giá CP).</t>
        </is>
      </c>
      <c r="H152" s="39" t="n"/>
    </row>
    <row r="153" ht="15" customHeight="1" s="32">
      <c r="A153" s="41" t="inlineStr">
        <is>
          <t>shield_carrier</t>
        </is>
      </c>
      <c r="B153" s="41" t="inlineStr">
        <is>
          <t>Xe phát khiên</t>
        </is>
      </c>
      <c r="C153" s="41" t="inlineStr">
        <is>
          <t>Vũ khí</t>
        </is>
      </c>
      <c r="D153" s="43" t="n">
        <v>1</v>
      </c>
      <c r="E153" s="49" t="inlineStr">
        <is>
          <t>Giữ</t>
        </is>
      </c>
      <c r="F153" s="41" t="n"/>
      <c r="G153" s="41" t="inlineStr">
        <is>
          <t>Bộ vũ khí khớp mẫu thật và vai trò.</t>
        </is>
      </c>
      <c r="H153" s="41" t="n"/>
    </row>
    <row r="154" ht="32.25" customHeight="1" s="32">
      <c r="A154" s="39" t="inlineStr">
        <is>
          <t>shield_carrier</t>
        </is>
      </c>
      <c r="B154" s="39" t="inlineStr">
        <is>
          <t>Xe phát khiên</t>
        </is>
      </c>
      <c r="C154" s="39" t="inlineStr">
        <is>
          <t>Hành vi</t>
        </is>
      </c>
      <c r="D154" s="39" t="inlineStr">
        <is>
          <t>Đi sau tuyến đầu, cạnh các xe nó phục vụ; Bắn hết 28 viên thì thay băng; Vòm khi</t>
        </is>
      </c>
      <c r="E154" s="49" t="inlineStr">
        <is>
          <t>Giữ</t>
        </is>
      </c>
      <c r="F154" s="39" t="n"/>
      <c r="G154" s="39" t="inlineStr">
        <is>
          <t>Hợp vai trò.</t>
        </is>
      </c>
      <c r="H154" s="39" t="n"/>
    </row>
    <row r="155" ht="15" customHeight="1" s="32">
      <c r="A155" s="41" t="inlineStr">
        <is>
          <t>shield_carrier</t>
        </is>
      </c>
      <c r="B155" s="41" t="inlineStr">
        <is>
          <t>Xe phát khiên</t>
        </is>
      </c>
      <c r="C155" s="41" t="inlineStr">
        <is>
          <t>Nổ khi bị phá (bán kính)</t>
        </is>
      </c>
      <c r="D155" s="41" t="inlineStr">
        <is>
          <t>7 m · 180 sát thương</t>
        </is>
      </c>
      <c r="E155" s="49" t="inlineStr">
        <is>
          <t>Giữ</t>
        </is>
      </c>
      <c r="F155" s="41" t="n"/>
      <c r="G155" s="41" t="inlineStr">
        <is>
          <t>Hợp với cỡ xe.</t>
        </is>
      </c>
      <c r="H155" s="41" t="n"/>
    </row>
    <row r="156" ht="32.25" customHeight="1" s="32">
      <c r="A156" s="39" t="inlineStr">
        <is>
          <t>shield_carrier</t>
        </is>
      </c>
      <c r="B156" s="39" t="inlineStr">
        <is>
          <t>Xe phát khiên</t>
        </is>
      </c>
      <c r="C156" s="39" t="inlineStr">
        <is>
          <t>Tham khảo / model</t>
        </is>
      </c>
      <c r="D156" s="39" t="inlineStr">
        <is>
          <t xml:space="preserve">xe 8x8 kiểu Boxer / Stryker · Shield Battery (StarCraft II), Bubble Shield (Halo 3) — ước </t>
        </is>
      </c>
      <c r="E156" s="49" t="inlineStr">
        <is>
          <t>Giữ</t>
        </is>
      </c>
      <c r="F156" s="39" t="n"/>
      <c r="G156" s="39" t="inlineStr">
        <is>
          <t>Khớp vũ khí và vai trò.</t>
        </is>
      </c>
      <c r="H156" s="39" t="n"/>
    </row>
    <row r="157" ht="15" customHeight="1" s="32">
      <c r="A157" s="41" t="inlineStr">
        <is>
          <t>scout_jeep</t>
        </is>
      </c>
      <c r="B157" s="41" t="inlineStr">
        <is>
          <t>Xe trinh sát</t>
        </is>
      </c>
      <c r="C157" s="41" t="inlineStr">
        <is>
          <t>Tên</t>
        </is>
      </c>
      <c r="D157" s="41" t="inlineStr">
        <is>
          <t>Xe trinh sát</t>
        </is>
      </c>
      <c r="E157" s="47" t="inlineStr">
        <is>
          <t>Đổi</t>
        </is>
      </c>
      <c r="F157" s="41" t="inlineStr">
        <is>
          <t>Xe trinh sát hạng nhẹ · ngắn: Trinh sát · EN: Scout Jeep</t>
        </is>
      </c>
      <c r="G157" s="41" t="inlineStr">
        <is>
          <t>Phân biệt với xe trinh sát radar nếu thêm sau này.</t>
        </is>
      </c>
      <c r="H157" s="49" t="inlineStr">
        <is>
          <t>Thấp</t>
        </is>
      </c>
    </row>
    <row r="158" ht="15" customHeight="1" s="32">
      <c r="A158" s="39" t="inlineStr">
        <is>
          <t>scout_jeep</t>
        </is>
      </c>
      <c r="B158" s="39" t="inlineStr">
        <is>
          <t>Xe trinh sát</t>
        </is>
      </c>
      <c r="C158" s="39" t="inlineStr">
        <is>
          <t>Máu</t>
        </is>
      </c>
      <c r="D158" s="42" t="n">
        <v>264</v>
      </c>
      <c r="E158" s="49" t="inlineStr">
        <is>
          <t>Giữ</t>
        </is>
      </c>
      <c r="F158" s="39" t="n"/>
      <c r="G158" s="39" t="inlineStr">
        <is>
          <t>Máu/CP 0.82 × trung vị lớp Trinh sát.</t>
        </is>
      </c>
      <c r="H158" s="39" t="n"/>
    </row>
    <row r="159" ht="15" customHeight="1" s="32">
      <c r="A159" s="41" t="inlineStr">
        <is>
          <t>scout_jeep</t>
        </is>
      </c>
      <c r="B159" s="41" t="inlineStr">
        <is>
          <t>Xe trinh sát</t>
        </is>
      </c>
      <c r="C159" s="41" t="inlineStr">
        <is>
          <t>Giáp (T/H/S/N)</t>
        </is>
      </c>
      <c r="D159" s="41" t="inlineStr">
        <is>
          <t>cấp 0 (Không giáp)</t>
        </is>
      </c>
      <c r="E159" s="49" t="inlineStr">
        <is>
          <t>Giữ</t>
        </is>
      </c>
      <c r="F159" s="41" t="n"/>
      <c r="G159" s="41" t="inlineStr">
        <is>
          <t>Khớp mẫu thật theo thang 0–4.</t>
        </is>
      </c>
      <c r="H159" s="41" t="n"/>
    </row>
    <row r="160" ht="15" customHeight="1" s="32">
      <c r="A160" s="39" t="inlineStr">
        <is>
          <t>scout_jeep</t>
        </is>
      </c>
      <c r="B160" s="39" t="inlineStr">
        <is>
          <t>Xe trinh sát</t>
        </is>
      </c>
      <c r="C160" s="39" t="inlineStr">
        <is>
          <t>Tốc độ</t>
        </is>
      </c>
      <c r="D160" s="42" t="n">
        <v>12</v>
      </c>
      <c r="E160" s="49" t="inlineStr">
        <is>
          <t>Giữ</t>
        </is>
      </c>
      <c r="F160" s="39" t="n"/>
      <c r="G160" s="39" t="inlineStr">
        <is>
          <t>Gần tốc độ thật × hệ số nén (11.7).</t>
        </is>
      </c>
      <c r="H160" s="39" t="n"/>
    </row>
    <row r="161" ht="15" customHeight="1" s="32">
      <c r="A161" s="41" t="inlineStr">
        <is>
          <t>scout_jeep</t>
        </is>
      </c>
      <c r="B161" s="41" t="inlineStr">
        <is>
          <t>Xe trinh sát</t>
        </is>
      </c>
      <c r="C161" s="41" t="inlineStr">
        <is>
          <t>Tốc độ xoay thân / tháp</t>
        </is>
      </c>
      <c r="D161" s="41" t="inlineStr">
        <is>
          <t>3 / 6</t>
        </is>
      </c>
      <c r="E161" s="49" t="inlineStr">
        <is>
          <t>Giữ</t>
        </is>
      </c>
      <c r="F161" s="41" t="n"/>
      <c r="G161" s="41" t="inlineStr">
        <is>
          <t>Hợp lý so với loại xe.</t>
        </is>
      </c>
      <c r="H161" s="41" t="n"/>
    </row>
    <row r="162" ht="21.75" customHeight="1" s="32">
      <c r="A162" s="39" t="inlineStr">
        <is>
          <t>scout_jeep</t>
        </is>
      </c>
      <c r="B162" s="39" t="inlineStr">
        <is>
          <t>Xe trinh sát</t>
        </is>
      </c>
      <c r="C162" s="39" t="inlineStr">
        <is>
          <t>Kích thước model (dài × rộng × cao)</t>
        </is>
      </c>
      <c r="D162" s="39" t="inlineStr">
        <is>
          <t>3.7 × 1.9 × 2.0</t>
        </is>
      </c>
      <c r="E162" s="47" t="inlineStr">
        <is>
          <t>Đổi</t>
        </is>
      </c>
      <c r="F162" s="39" t="inlineStr">
        <is>
          <t>2.7 × 1.3 × 1.4</t>
        </is>
      </c>
      <c r="G162" s="39" t="inlineStr">
        <is>
          <t>Mẫu thật M151 / LRV: 3.4 × 1.6 m; theo tỷ lệ chung (mặt đất 0,8) nên là 2.7 × 1.3 m. Đổi kích thước thì chỉnh vùng va chạm và chạy lại test xe kẹt.</t>
        </is>
      </c>
      <c r="H162" s="48" t="inlineStr">
        <is>
          <t>Trung</t>
        </is>
      </c>
    </row>
    <row r="163" ht="15" customHeight="1" s="32">
      <c r="A163" s="41" t="inlineStr">
        <is>
          <t>scout_jeep</t>
        </is>
      </c>
      <c r="B163" s="41" t="inlineStr">
        <is>
          <t>Xe trinh sát</t>
        </is>
      </c>
      <c r="C163" s="41" t="inlineStr">
        <is>
          <t>Tầm nhìn</t>
        </is>
      </c>
      <c r="D163" s="43" t="n">
        <v>35</v>
      </c>
      <c r="E163" s="47" t="inlineStr">
        <is>
          <t>Đổi</t>
        </is>
      </c>
      <c r="F163" s="41" t="inlineStr">
        <is>
          <t>55 m</t>
        </is>
      </c>
      <c r="G163" s="41" t="inlineStr">
        <is>
          <t>Trinh sát đang nhìn kém xe bọc thép; không làm được việc trinh sát.</t>
        </is>
      </c>
      <c r="H163" s="47" t="inlineStr">
        <is>
          <t>Cao</t>
        </is>
      </c>
    </row>
    <row r="164" ht="15" customHeight="1" s="32">
      <c r="A164" s="39" t="inlineStr">
        <is>
          <t>scout_jeep</t>
        </is>
      </c>
      <c r="B164" s="39" t="inlineStr">
        <is>
          <t>Xe trinh sát</t>
        </is>
      </c>
      <c r="C164" s="39" t="inlineStr">
        <is>
          <t>Tầm bắn</t>
        </is>
      </c>
      <c r="D164" s="39" t="inlineStr">
        <is>
          <t>22</t>
        </is>
      </c>
      <c r="E164" s="47" t="inlineStr">
        <is>
          <t>Đổi</t>
        </is>
      </c>
      <c r="F164" s="39" t="inlineStr">
        <is>
          <t>55 m</t>
        </is>
      </c>
      <c r="G164" s="39" t="inlineStr">
        <is>
          <t>Trinh sát đang nhìn kém xe bọc thép; không làm được việc trinh sát.</t>
        </is>
      </c>
      <c r="H164" s="47" t="inlineStr">
        <is>
          <t>Cao</t>
        </is>
      </c>
    </row>
    <row r="165" ht="15" customHeight="1" s="32">
      <c r="A165" s="41" t="inlineStr">
        <is>
          <t>scout_jeep</t>
        </is>
      </c>
      <c r="B165" s="41" t="inlineStr">
        <is>
          <t>Xe trinh sát</t>
        </is>
      </c>
      <c r="C165" s="41" t="inlineStr">
        <is>
          <t>Giá (CP)</t>
        </is>
      </c>
      <c r="D165" s="43" t="n">
        <v>2</v>
      </c>
      <c r="E165" s="49" t="inlineStr">
        <is>
          <t>Giữ</t>
        </is>
      </c>
      <c r="F165" s="41" t="n"/>
      <c r="G165" s="41" t="inlineStr">
        <is>
          <t>Hiệu quả trong khoảng ±25% trung vị, thứ tự giá hợp ngoài đời (sheet Giá CP).</t>
        </is>
      </c>
      <c r="H165" s="41" t="n"/>
    </row>
    <row r="166" ht="15" customHeight="1" s="32">
      <c r="A166" s="39" t="inlineStr">
        <is>
          <t>scout_jeep</t>
        </is>
      </c>
      <c r="B166" s="39" t="inlineStr">
        <is>
          <t>Xe trinh sát</t>
        </is>
      </c>
      <c r="C166" s="39" t="inlineStr">
        <is>
          <t>Vũ khí</t>
        </is>
      </c>
      <c r="D166" s="42" t="n">
        <v>1</v>
      </c>
      <c r="E166" s="49" t="inlineStr">
        <is>
          <t>Giữ</t>
        </is>
      </c>
      <c r="F166" s="39" t="n"/>
      <c r="G166" s="39" t="inlineStr">
        <is>
          <t>Bộ vũ khí khớp mẫu thật và vai trò.</t>
        </is>
      </c>
      <c r="H166" s="39" t="n"/>
    </row>
    <row r="167" ht="15" customHeight="1" s="32">
      <c r="A167" s="41" t="inlineStr">
        <is>
          <t>scout_jeep</t>
        </is>
      </c>
      <c r="B167" s="41" t="inlineStr">
        <is>
          <t>Xe trinh sát</t>
        </is>
      </c>
      <c r="C167" s="41" t="inlineStr">
        <is>
          <t>Hành vi</t>
        </is>
      </c>
      <c r="D167" s="41" t="inlineStr">
        <is>
          <t>Không có ẩn</t>
        </is>
      </c>
      <c r="E167" s="47" t="inlineStr">
        <is>
          <t>Đổi</t>
        </is>
      </c>
      <c r="F167" s="41" t="inlineStr">
        <is>
          <t>Ẩn khi đứng yên (chỉ lộ ở 60% tầm nhìn địch), lộ khi bắn</t>
        </is>
      </c>
      <c r="G167" s="41" t="inlineStr">
        <is>
          <t>Trinh sát thật dựa vào ngụy trang và đứng quan sát.</t>
        </is>
      </c>
      <c r="H167" s="47" t="inlineStr">
        <is>
          <t>Cao</t>
        </is>
      </c>
    </row>
    <row r="168" ht="15" customHeight="1" s="32">
      <c r="A168" s="39" t="inlineStr">
        <is>
          <t>scout_jeep</t>
        </is>
      </c>
      <c r="B168" s="39" t="inlineStr">
        <is>
          <t>Xe trinh sát</t>
        </is>
      </c>
      <c r="C168" s="39" t="inlineStr">
        <is>
          <t>Nổ khi bị phá (bán kính)</t>
        </is>
      </c>
      <c r="D168" s="39" t="inlineStr">
        <is>
          <t>4 m · 60 sát thương</t>
        </is>
      </c>
      <c r="E168" s="49" t="inlineStr">
        <is>
          <t>Giữ</t>
        </is>
      </c>
      <c r="F168" s="39" t="n"/>
      <c r="G168" s="39" t="inlineStr">
        <is>
          <t>Hợp với cỡ xe.</t>
        </is>
      </c>
      <c r="H168" s="39" t="n"/>
    </row>
    <row r="169" ht="32.25" customHeight="1" s="32">
      <c r="A169" s="41" t="inlineStr">
        <is>
          <t>scout_jeep</t>
        </is>
      </c>
      <c r="B169" s="41" t="inlineStr">
        <is>
          <t>Xe trinh sát</t>
        </is>
      </c>
      <c r="C169" s="41" t="inlineStr">
        <is>
          <t>Tham khảo / model</t>
        </is>
      </c>
      <c r="D169" s="41" t="inlineStr">
        <is>
          <t xml:space="preserve">M151 MUTT, Land Rover WMIK, M2 Browning 12,7 mm — ước đoán: xe trinh sát 4x4 mui trần gắn </t>
        </is>
      </c>
      <c r="E169" s="49" t="inlineStr">
        <is>
          <t>Giữ</t>
        </is>
      </c>
      <c r="F169" s="41" t="n"/>
      <c r="G169" s="41" t="inlineStr">
        <is>
          <t>Khớp vũ khí và vai trò.</t>
        </is>
      </c>
      <c r="H169" s="41" t="n"/>
    </row>
    <row r="170" ht="15" customHeight="1" s="32">
      <c r="A170" s="39" t="inlineStr">
        <is>
          <t>vbied</t>
        </is>
      </c>
      <c r="B170" s="39" t="inlineStr">
        <is>
          <t>Xe bom tự sát bọc thép</t>
        </is>
      </c>
      <c r="C170" s="39" t="inlineStr">
        <is>
          <t>Tên</t>
        </is>
      </c>
      <c r="D170" s="39" t="inlineStr">
        <is>
          <t>Xe bom tự sát bọc thép</t>
        </is>
      </c>
      <c r="E170" s="47" t="inlineStr">
        <is>
          <t>Đổi</t>
        </is>
      </c>
      <c r="F170" s="39" t="inlineStr">
        <is>
          <t>Xe bom bọc thép · ngắn: Xe bom · EN: Armored Car Bomb</t>
        </is>
      </c>
      <c r="G170" s="39" t="inlineStr">
        <is>
          <t>Rút gọn; "tự sát" có thể nhạy cảm khi phát hành rộng.</t>
        </is>
      </c>
      <c r="H170" s="49" t="inlineStr">
        <is>
          <t>Thấp</t>
        </is>
      </c>
    </row>
    <row r="171" ht="21.75" customHeight="1" s="32">
      <c r="A171" s="41" t="inlineStr">
        <is>
          <t>vbied</t>
        </is>
      </c>
      <c r="B171" s="41" t="inlineStr">
        <is>
          <t>Xe bom tự sát bọc thép</t>
        </is>
      </c>
      <c r="C171" s="41" t="inlineStr">
        <is>
          <t>Máu</t>
        </is>
      </c>
      <c r="D171" s="43" t="n">
        <v>572</v>
      </c>
      <c r="E171" s="47" t="inlineStr">
        <is>
          <t>Đổi</t>
        </is>
      </c>
      <c r="F171" s="41" t="inlineStr">
        <is>
          <t>800 máu · nổ lan 10 m</t>
        </is>
      </c>
      <c r="G171" s="41" t="inlineStr">
        <is>
          <t>Cần sống đủ tới mục tiêu; 900 kg thuốc nổ theo thang bom phải nổ rộng hơn bom 250 kg (8 m).</t>
        </is>
      </c>
      <c r="H171" s="48" t="inlineStr">
        <is>
          <t>Trung</t>
        </is>
      </c>
    </row>
    <row r="172" ht="15" customHeight="1" s="32">
      <c r="A172" s="39" t="inlineStr">
        <is>
          <t>vbied</t>
        </is>
      </c>
      <c r="B172" s="39" t="inlineStr">
        <is>
          <t>Xe bom tự sát bọc thép</t>
        </is>
      </c>
      <c r="C172" s="39" t="inlineStr">
        <is>
          <t>Giáp (T/H/S/N)</t>
        </is>
      </c>
      <c r="D172" s="39" t="inlineStr">
        <is>
          <t>cấp 0 (Không giáp)</t>
        </is>
      </c>
      <c r="E172" s="47" t="inlineStr">
        <is>
          <t>Đổi</t>
        </is>
      </c>
      <c r="F172" s="39" t="inlineStr">
        <is>
          <t>trước 2 / hông 1 / sau 0 / nóc 0</t>
        </is>
      </c>
      <c r="G172" s="39" t="inlineStr">
        <is>
          <t>Tên "bọc thép" nhưng giáp 0; chỉ gây sát thương 4% thời gian vì chết trước khi tới.</t>
        </is>
      </c>
      <c r="H172" s="48" t="inlineStr">
        <is>
          <t>Trung</t>
        </is>
      </c>
    </row>
    <row r="173" ht="21.75" customHeight="1" s="32">
      <c r="A173" s="41" t="inlineStr">
        <is>
          <t>vbied</t>
        </is>
      </c>
      <c r="B173" s="41" t="inlineStr">
        <is>
          <t>Xe bom tự sát bọc thép</t>
        </is>
      </c>
      <c r="C173" s="41" t="inlineStr">
        <is>
          <t>Tốc độ</t>
        </is>
      </c>
      <c r="D173" s="43" t="n">
        <v>13</v>
      </c>
      <c r="E173" s="48" t="inlineStr">
        <is>
          <t>Xem lại</t>
        </is>
      </c>
      <c r="F173" s="41" t="inlineStr">
        <is>
          <t>Mẫu thật × hệ số map ≈ 6.7 m/s</t>
        </is>
      </c>
      <c r="G173" s="41" t="inlineStr">
        <is>
          <t>Lệch hơn 35% so với tốc độ thật nhân hệ số nén của map (xích 0,33, bánh 0,4, trực thăng 0,17, máy bay 0,16). Có thể giữ nếu là chủ đích.</t>
        </is>
      </c>
      <c r="H173" s="41" t="n"/>
    </row>
    <row r="174" ht="15" customHeight="1" s="32">
      <c r="A174" s="39" t="inlineStr">
        <is>
          <t>vbied</t>
        </is>
      </c>
      <c r="B174" s="39" t="inlineStr">
        <is>
          <t>Xe bom tự sát bọc thép</t>
        </is>
      </c>
      <c r="C174" s="39" t="inlineStr">
        <is>
          <t>Tốc độ xoay thân / tháp</t>
        </is>
      </c>
      <c r="D174" s="39" t="inlineStr">
        <is>
          <t>3 / 6</t>
        </is>
      </c>
      <c r="E174" s="49" t="inlineStr">
        <is>
          <t>Giữ</t>
        </is>
      </c>
      <c r="F174" s="39" t="n"/>
      <c r="G174" s="39" t="inlineStr">
        <is>
          <t>Hợp lý so với loại xe.</t>
        </is>
      </c>
      <c r="H174" s="39" t="n"/>
    </row>
    <row r="175" ht="15" customHeight="1" s="32">
      <c r="A175" s="41" t="inlineStr">
        <is>
          <t>vbied</t>
        </is>
      </c>
      <c r="B175" s="41" t="inlineStr">
        <is>
          <t>Xe bom tự sát bọc thép</t>
        </is>
      </c>
      <c r="C175" s="41" t="inlineStr">
        <is>
          <t>Kích thước model (dài × rộng × cao)</t>
        </is>
      </c>
      <c r="D175" s="41" t="inlineStr">
        <is>
          <t>4.4 × 1.9 × 2.4</t>
        </is>
      </c>
      <c r="E175" s="49" t="inlineStr">
        <is>
          <t>Giữ</t>
        </is>
      </c>
      <c r="F175" s="41" t="n"/>
      <c r="G175" s="41" t="inlineStr">
        <is>
          <t>Khớp tỷ lệ chung (mẫu thật 5.3 m).</t>
        </is>
      </c>
      <c r="H175" s="41" t="n"/>
    </row>
    <row r="176" ht="15" customHeight="1" s="32">
      <c r="A176" s="39" t="inlineStr">
        <is>
          <t>vbied</t>
        </is>
      </c>
      <c r="B176" s="39" t="inlineStr">
        <is>
          <t>Xe bom tự sát bọc thép</t>
        </is>
      </c>
      <c r="C176" s="39" t="inlineStr">
        <is>
          <t>Tầm nhìn</t>
        </is>
      </c>
      <c r="D176" s="42" t="n">
        <v>30</v>
      </c>
      <c r="E176" s="49" t="inlineStr">
        <is>
          <t>Giữ</t>
        </is>
      </c>
      <c r="F176" s="39" t="n"/>
      <c r="G176" s="39" t="inlineStr">
        <is>
          <t>Khớp vai trò.</t>
        </is>
      </c>
      <c r="H176" s="39" t="n"/>
    </row>
    <row r="177" ht="15" customHeight="1" s="32">
      <c r="A177" s="41" t="inlineStr">
        <is>
          <t>vbied</t>
        </is>
      </c>
      <c r="B177" s="41" t="inlineStr">
        <is>
          <t>Xe bom tự sát bọc thép</t>
        </is>
      </c>
      <c r="C177" s="41" t="inlineStr">
        <is>
          <t>Tầm bắn</t>
        </is>
      </c>
      <c r="D177" s="41" t="inlineStr">
        <is>
          <t>3</t>
        </is>
      </c>
      <c r="E177" s="49" t="inlineStr">
        <is>
          <t>Giữ</t>
        </is>
      </c>
      <c r="F177" s="41" t="n"/>
      <c r="G177" s="41" t="inlineStr">
        <is>
          <t>Thứ tự tầm hợp lý trong nhóm.</t>
        </is>
      </c>
      <c r="H177" s="41" t="n"/>
    </row>
    <row r="178" ht="15" customHeight="1" s="32">
      <c r="A178" s="39" t="inlineStr">
        <is>
          <t>vbied</t>
        </is>
      </c>
      <c r="B178" s="39" t="inlineStr">
        <is>
          <t>Xe bom tự sát bọc thép</t>
        </is>
      </c>
      <c r="C178" s="39" t="inlineStr">
        <is>
          <t>Giá (CP)</t>
        </is>
      </c>
      <c r="D178" s="42" t="n">
        <v>3</v>
      </c>
      <c r="E178" s="49" t="inlineStr">
        <is>
          <t>Giữ</t>
        </is>
      </c>
      <c r="F178" s="39" t="n"/>
      <c r="G178" s="39" t="inlineStr">
        <is>
          <t>Hiệu quả trong khoảng ±25% trung vị, thứ tự giá hợp ngoài đời (sheet Giá CP).</t>
        </is>
      </c>
      <c r="H178" s="39" t="n"/>
    </row>
    <row r="179" ht="15" customHeight="1" s="32">
      <c r="A179" s="41" t="inlineStr">
        <is>
          <t>vbied</t>
        </is>
      </c>
      <c r="B179" s="41" t="inlineStr">
        <is>
          <t>Xe bom tự sát bọc thép</t>
        </is>
      </c>
      <c r="C179" s="41" t="inlineStr">
        <is>
          <t>Vũ khí</t>
        </is>
      </c>
      <c r="D179" s="43" t="n">
        <v>1</v>
      </c>
      <c r="E179" s="49" t="inlineStr">
        <is>
          <t>Giữ</t>
        </is>
      </c>
      <c r="F179" s="41" t="n"/>
      <c r="G179" s="41" t="inlineStr">
        <is>
          <t>Bộ vũ khí khớp mẫu thật và vai trò.</t>
        </is>
      </c>
      <c r="H179" s="41" t="n"/>
    </row>
    <row r="180" ht="21.75" customHeight="1" s="32">
      <c r="A180" s="39" t="inlineStr">
        <is>
          <t>vbied</t>
        </is>
      </c>
      <c r="B180" s="39" t="inlineStr">
        <is>
          <t>Xe bom tự sát bọc thép</t>
        </is>
      </c>
      <c r="C180" s="39" t="inlineStr">
        <is>
          <t>Hành vi</t>
        </is>
      </c>
      <c r="D180" s="39" t="inlineStr">
        <is>
          <t>Lao thẳng vào mục tiêu và tự nổ; Xe tăng (4); Tăng hạng nhẹ</t>
        </is>
      </c>
      <c r="E180" s="49" t="inlineStr">
        <is>
          <t>Giữ</t>
        </is>
      </c>
      <c r="F180" s="39" t="n"/>
      <c r="G180" s="39" t="inlineStr">
        <is>
          <t>Hợp vai trò.</t>
        </is>
      </c>
      <c r="H180" s="39" t="n"/>
    </row>
    <row r="181" ht="15" customHeight="1" s="32">
      <c r="A181" s="41" t="inlineStr">
        <is>
          <t>vbied</t>
        </is>
      </c>
      <c r="B181" s="41" t="inlineStr">
        <is>
          <t>Xe bom tự sát bọc thép</t>
        </is>
      </c>
      <c r="C181" s="41" t="inlineStr">
        <is>
          <t>Nổ khi bị phá (bán kính)</t>
        </is>
      </c>
      <c r="D181" s="41" t="inlineStr">
        <is>
          <t>6 m · 600 sát thương</t>
        </is>
      </c>
      <c r="E181" s="49" t="inlineStr">
        <is>
          <t>Giữ</t>
        </is>
      </c>
      <c r="F181" s="41" t="n"/>
      <c r="G181" s="41" t="inlineStr">
        <is>
          <t>Hợp với cỡ xe.</t>
        </is>
      </c>
      <c r="H181" s="41" t="n"/>
    </row>
    <row r="182" ht="32.25" customHeight="1" s="32">
      <c r="A182" s="39" t="inlineStr">
        <is>
          <t>vbied</t>
        </is>
      </c>
      <c r="B182" s="39" t="inlineStr">
        <is>
          <t>Xe bom tự sát bọc thép</t>
        </is>
      </c>
      <c r="C182" s="39" t="inlineStr">
        <is>
          <t>Tham khảo / model</t>
        </is>
      </c>
      <c r="D182" s="39" t="inlineStr">
        <is>
          <t>xe bom tự sát bọc thép ở Mosul 2016-17 ('Iron Coffin') — Xe bán tải bom tự sát bọc thép hà</t>
        </is>
      </c>
      <c r="E182" s="49" t="inlineStr">
        <is>
          <t>Giữ</t>
        </is>
      </c>
      <c r="F182" s="39" t="n"/>
      <c r="G182" s="39" t="inlineStr">
        <is>
          <t>Khớp vũ khí và vai trò.</t>
        </is>
      </c>
      <c r="H182" s="39" t="n"/>
    </row>
    <row r="183" ht="21.75" customHeight="1" s="32">
      <c r="A183" s="41" t="inlineStr">
        <is>
          <t>light_tank</t>
        </is>
      </c>
      <c r="B183" s="41" t="inlineStr">
        <is>
          <t>Tăng hạng nhẹ</t>
        </is>
      </c>
      <c r="C183" s="41" t="inlineStr">
        <is>
          <t>Tên</t>
        </is>
      </c>
      <c r="D183" s="41" t="inlineStr">
        <is>
          <t>Tăng hạng nhẹ</t>
        </is>
      </c>
      <c r="E183" s="47" t="inlineStr">
        <is>
          <t>Đổi</t>
        </is>
      </c>
      <c r="F183" s="41" t="inlineStr">
        <is>
          <t>Tăng nhẹ lội nước · ngắn: Tăng nhẹ · EN: Amphibious Light Tank</t>
        </is>
      </c>
      <c r="G183" s="41" t="inlineStr">
        <is>
          <t>Nói rõ đặc điểm (PT-76, ZBD-05 đều lội nước).</t>
        </is>
      </c>
      <c r="H183" s="49" t="inlineStr">
        <is>
          <t>Thấp</t>
        </is>
      </c>
    </row>
    <row r="184" ht="15" customHeight="1" s="32">
      <c r="A184" s="39" t="inlineStr">
        <is>
          <t>light_tank</t>
        </is>
      </c>
      <c r="B184" s="39" t="inlineStr">
        <is>
          <t>Tăng hạng nhẹ</t>
        </is>
      </c>
      <c r="C184" s="39" t="inlineStr">
        <is>
          <t>Máu</t>
        </is>
      </c>
      <c r="D184" s="42" t="n">
        <v>1012</v>
      </c>
      <c r="E184" s="49" t="inlineStr">
        <is>
          <t>Giữ</t>
        </is>
      </c>
      <c r="F184" s="39" t="n"/>
      <c r="G184" s="39" t="inlineStr">
        <is>
          <t>Máu/CP 1.09 × trung vị lớp Xe tăng.</t>
        </is>
      </c>
      <c r="H184" s="39" t="n"/>
    </row>
    <row r="185" ht="15" customHeight="1" s="32">
      <c r="A185" s="41" t="inlineStr">
        <is>
          <t>light_tank</t>
        </is>
      </c>
      <c r="B185" s="41" t="inlineStr">
        <is>
          <t>Tăng hạng nhẹ</t>
        </is>
      </c>
      <c r="C185" s="41" t="inlineStr">
        <is>
          <t>Giáp (T/H/S/N)</t>
        </is>
      </c>
      <c r="D185" s="41" t="inlineStr">
        <is>
          <t>2/1/0/0</t>
        </is>
      </c>
      <c r="E185" s="49" t="inlineStr">
        <is>
          <t>Giữ</t>
        </is>
      </c>
      <c r="F185" s="41" t="n"/>
      <c r="G185" s="41" t="inlineStr">
        <is>
          <t>Khớp mẫu thật theo thang 0–4.</t>
        </is>
      </c>
      <c r="H185" s="41" t="n"/>
    </row>
    <row r="186" ht="21.75" customHeight="1" s="32">
      <c r="A186" s="39" t="inlineStr">
        <is>
          <t>light_tank</t>
        </is>
      </c>
      <c r="B186" s="39" t="inlineStr">
        <is>
          <t>Tăng hạng nhẹ</t>
        </is>
      </c>
      <c r="C186" s="39" t="inlineStr">
        <is>
          <t>Tốc độ</t>
        </is>
      </c>
      <c r="D186" s="42" t="n">
        <v>9</v>
      </c>
      <c r="E186" s="48" t="inlineStr">
        <is>
          <t>Xem lại</t>
        </is>
      </c>
      <c r="F186" s="39" t="inlineStr">
        <is>
          <t>Mẫu thật × hệ số map ≈ 4.0 m/s</t>
        </is>
      </c>
      <c r="G186" s="39" t="inlineStr">
        <is>
          <t>Lệch hơn 35% so với tốc độ thật nhân hệ số nén của map (xích 0,33, bánh 0,4, trực thăng 0,17, máy bay 0,16). Có thể giữ nếu là chủ đích.</t>
        </is>
      </c>
      <c r="H186" s="39" t="n"/>
    </row>
    <row r="187" ht="15" customHeight="1" s="32">
      <c r="A187" s="41" t="inlineStr">
        <is>
          <t>light_tank</t>
        </is>
      </c>
      <c r="B187" s="41" t="inlineStr">
        <is>
          <t>Tăng hạng nhẹ</t>
        </is>
      </c>
      <c r="C187" s="41" t="inlineStr">
        <is>
          <t>Tốc độ xoay thân / tháp</t>
        </is>
      </c>
      <c r="D187" s="41" t="inlineStr">
        <is>
          <t>2 / 2</t>
        </is>
      </c>
      <c r="E187" s="49" t="inlineStr">
        <is>
          <t>Giữ</t>
        </is>
      </c>
      <c r="F187" s="41" t="n"/>
      <c r="G187" s="41" t="inlineStr">
        <is>
          <t>Hợp lý so với loại xe.</t>
        </is>
      </c>
      <c r="H187" s="41" t="n"/>
    </row>
    <row r="188" ht="15" customHeight="1" s="32">
      <c r="A188" s="39" t="inlineStr">
        <is>
          <t>light_tank</t>
        </is>
      </c>
      <c r="B188" s="39" t="inlineStr">
        <is>
          <t>Tăng hạng nhẹ</t>
        </is>
      </c>
      <c r="C188" s="39" t="inlineStr">
        <is>
          <t>Kích thước model (dài × rộng × cao)</t>
        </is>
      </c>
      <c r="D188" s="39" t="inlineStr">
        <is>
          <t>6.2 × 2.3 × 2.2</t>
        </is>
      </c>
      <c r="E188" s="49" t="inlineStr">
        <is>
          <t>Giữ</t>
        </is>
      </c>
      <c r="F188" s="39" t="n"/>
      <c r="G188" s="39" t="inlineStr">
        <is>
          <t>Khớp tỷ lệ chung (mẫu thật 7.6 m).</t>
        </is>
      </c>
      <c r="H188" s="39" t="n"/>
    </row>
    <row r="189" ht="15" customHeight="1" s="32">
      <c r="A189" s="41" t="inlineStr">
        <is>
          <t>light_tank</t>
        </is>
      </c>
      <c r="B189" s="41" t="inlineStr">
        <is>
          <t>Tăng hạng nhẹ</t>
        </is>
      </c>
      <c r="C189" s="41" t="inlineStr">
        <is>
          <t>Tầm nhìn</t>
        </is>
      </c>
      <c r="D189" s="43" t="n">
        <v>30</v>
      </c>
      <c r="E189" s="47" t="inlineStr">
        <is>
          <t>Đổi</t>
        </is>
      </c>
      <c r="F189" s="41" t="inlineStr">
        <is>
          <t>36 m</t>
        </is>
      </c>
      <c r="G189" s="41" t="inlineStr">
        <is>
          <t>Tăng nhẹ lội nước thường làm trinh sát cho tuyến.</t>
        </is>
      </c>
      <c r="H189" s="49" t="inlineStr">
        <is>
          <t>Thấp</t>
        </is>
      </c>
    </row>
    <row r="190" ht="15" customHeight="1" s="32">
      <c r="A190" s="39" t="inlineStr">
        <is>
          <t>light_tank</t>
        </is>
      </c>
      <c r="B190" s="39" t="inlineStr">
        <is>
          <t>Tăng hạng nhẹ</t>
        </is>
      </c>
      <c r="C190" s="39" t="inlineStr">
        <is>
          <t>Tầm bắn</t>
        </is>
      </c>
      <c r="D190" s="39" t="inlineStr">
        <is>
          <t>28</t>
        </is>
      </c>
      <c r="E190" s="47" t="inlineStr">
        <is>
          <t>Đổi</t>
        </is>
      </c>
      <c r="F190" s="39" t="inlineStr">
        <is>
          <t>36 m</t>
        </is>
      </c>
      <c r="G190" s="39" t="inlineStr">
        <is>
          <t>Tăng nhẹ lội nước thường làm trinh sát cho tuyến.</t>
        </is>
      </c>
      <c r="H190" s="49" t="inlineStr">
        <is>
          <t>Thấp</t>
        </is>
      </c>
    </row>
    <row r="191" ht="15" customHeight="1" s="32">
      <c r="A191" s="41" t="inlineStr">
        <is>
          <t>light_tank</t>
        </is>
      </c>
      <c r="B191" s="41" t="inlineStr">
        <is>
          <t>Tăng hạng nhẹ</t>
        </is>
      </c>
      <c r="C191" s="41" t="inlineStr">
        <is>
          <t>Giá (CP)</t>
        </is>
      </c>
      <c r="D191" s="43" t="n">
        <v>3</v>
      </c>
      <c r="E191" s="49" t="inlineStr">
        <is>
          <t>Giữ</t>
        </is>
      </c>
      <c r="F191" s="41" t="n"/>
      <c r="G191" s="41" t="inlineStr">
        <is>
          <t>Hiệu quả trong khoảng ±25% trung vị, thứ tự giá hợp ngoài đời (sheet Giá CP).</t>
        </is>
      </c>
      <c r="H191" s="41" t="n"/>
    </row>
    <row r="192" ht="21.75" customHeight="1" s="32">
      <c r="A192" s="39" t="inlineStr">
        <is>
          <t>light_tank</t>
        </is>
      </c>
      <c r="B192" s="39" t="inlineStr">
        <is>
          <t>Tăng hạng nhẹ</t>
        </is>
      </c>
      <c r="C192" s="39" t="inlineStr">
        <is>
          <t>Vũ khí: 57 mm</t>
        </is>
      </c>
      <c r="D192" s="39" t="inlineStr">
        <is>
          <t>77/phát · bắn đơn 0,4 phát/s</t>
        </is>
      </c>
      <c r="E192" s="47" t="inlineStr">
        <is>
          <t>Đổi</t>
        </is>
      </c>
      <c r="F192" s="39" t="inlineStr">
        <is>
          <t>77/phát · loạt 2 phát ở 2 phát/s · nghỉ 3,5 s · DPS duy trì ~35</t>
        </is>
      </c>
      <c r="G192" s="39" t="inlineStr">
        <is>
          <t>Pháo 57 mm tự động nhưng đang bắn như pháo nạp tay.</t>
        </is>
      </c>
      <c r="H192" s="49" t="inlineStr">
        <is>
          <t>Thấp</t>
        </is>
      </c>
    </row>
    <row r="193" ht="15" customHeight="1" s="32">
      <c r="A193" s="41" t="inlineStr">
        <is>
          <t>light_tank</t>
        </is>
      </c>
      <c r="B193" s="41" t="inlineStr">
        <is>
          <t>Tăng hạng nhẹ</t>
        </is>
      </c>
      <c r="C193" s="41" t="inlineStr">
        <is>
          <t>Hành vi</t>
        </is>
      </c>
      <c r="D193" s="41" t="inlineStr">
        <is>
          <t>Vừa chạy vừa bắn; Tăng phun lửa</t>
        </is>
      </c>
      <c r="E193" s="49" t="inlineStr">
        <is>
          <t>Giữ</t>
        </is>
      </c>
      <c r="F193" s="41" t="n"/>
      <c r="G193" s="41" t="inlineStr">
        <is>
          <t>Hợp vai trò.</t>
        </is>
      </c>
      <c r="H193" s="41" t="n"/>
    </row>
    <row r="194" ht="15" customHeight="1" s="32">
      <c r="A194" s="39" t="inlineStr">
        <is>
          <t>light_tank</t>
        </is>
      </c>
      <c r="B194" s="39" t="inlineStr">
        <is>
          <t>Tăng hạng nhẹ</t>
        </is>
      </c>
      <c r="C194" s="39" t="inlineStr">
        <is>
          <t>Nổ khi bị phá (bán kính)</t>
        </is>
      </c>
      <c r="D194" s="39" t="inlineStr">
        <is>
          <t>5 m · 120 sát thương</t>
        </is>
      </c>
      <c r="E194" s="49" t="inlineStr">
        <is>
          <t>Giữ</t>
        </is>
      </c>
      <c r="F194" s="39" t="n"/>
      <c r="G194" s="39" t="inlineStr">
        <is>
          <t>Hợp với cỡ xe.</t>
        </is>
      </c>
      <c r="H194" s="39" t="n"/>
    </row>
    <row r="195" ht="32.25" customHeight="1" s="32">
      <c r="A195" s="41" t="inlineStr">
        <is>
          <t>light_tank</t>
        </is>
      </c>
      <c r="B195" s="41" t="inlineStr">
        <is>
          <t>Tăng hạng nhẹ</t>
        </is>
      </c>
      <c r="C195" s="41" t="inlineStr">
        <is>
          <t>Tham khảo / model</t>
        </is>
      </c>
      <c r="D195" s="41" t="inlineStr">
        <is>
          <t>PT-76, ZBD-05, AU-220M 57 mm (mô-đun không người lái) — Xe tăng nhẹ lội nước, mô-đun 57 mm</t>
        </is>
      </c>
      <c r="E195" s="49" t="inlineStr">
        <is>
          <t>Giữ</t>
        </is>
      </c>
      <c r="F195" s="41" t="n"/>
      <c r="G195" s="41" t="inlineStr">
        <is>
          <t>Khớp vũ khí và vai trò.</t>
        </is>
      </c>
      <c r="H195" s="41" t="n"/>
    </row>
    <row r="196" ht="15" customHeight="1" s="32">
      <c r="A196" s="39" t="inlineStr">
        <is>
          <t>flame_tank</t>
        </is>
      </c>
      <c r="B196" s="39" t="inlineStr">
        <is>
          <t>Tăng phun lửa</t>
        </is>
      </c>
      <c r="C196" s="39" t="inlineStr">
        <is>
          <t>Tên</t>
        </is>
      </c>
      <c r="D196" s="39" t="inlineStr">
        <is>
          <t>Tăng phun lửa</t>
        </is>
      </c>
      <c r="E196" s="49" t="inlineStr">
        <is>
          <t>Giữ</t>
        </is>
      </c>
      <c r="F196" s="39" t="inlineStr">
        <is>
          <t>Tăng phun lửa · ngắn: Phun lửa · EN: Flame Tank</t>
        </is>
      </c>
      <c r="G196" s="39" t="inlineStr">
        <is>
          <t>Giữ.</t>
        </is>
      </c>
      <c r="H196" s="39" t="n"/>
    </row>
    <row r="197" ht="15" customHeight="1" s="32">
      <c r="A197" s="41" t="inlineStr">
        <is>
          <t>flame_tank</t>
        </is>
      </c>
      <c r="B197" s="41" t="inlineStr">
        <is>
          <t>Tăng phun lửa</t>
        </is>
      </c>
      <c r="C197" s="41" t="inlineStr">
        <is>
          <t>Máu</t>
        </is>
      </c>
      <c r="D197" s="43" t="n">
        <v>1320</v>
      </c>
      <c r="E197" s="49" t="inlineStr">
        <is>
          <t>Giữ</t>
        </is>
      </c>
      <c r="F197" s="41" t="n"/>
      <c r="G197" s="41" t="inlineStr">
        <is>
          <t>Máu/CP 0.85 × trung vị lớp Xe tăng.</t>
        </is>
      </c>
      <c r="H197" s="41" t="n"/>
    </row>
    <row r="198" ht="15" customHeight="1" s="32">
      <c r="A198" s="39" t="inlineStr">
        <is>
          <t>flame_tank</t>
        </is>
      </c>
      <c r="B198" s="39" t="inlineStr">
        <is>
          <t>Tăng phun lửa</t>
        </is>
      </c>
      <c r="C198" s="39" t="inlineStr">
        <is>
          <t>Giáp (T/H/S/N)</t>
        </is>
      </c>
      <c r="D198" s="39" t="inlineStr">
        <is>
          <t>3/2/1/1</t>
        </is>
      </c>
      <c r="E198" s="49" t="inlineStr">
        <is>
          <t>Giữ</t>
        </is>
      </c>
      <c r="F198" s="39" t="n"/>
      <c r="G198" s="39" t="inlineStr">
        <is>
          <t>Khớp mẫu thật theo thang 0–4.</t>
        </is>
      </c>
      <c r="H198" s="39" t="n"/>
    </row>
    <row r="199" ht="21.75" customHeight="1" s="32">
      <c r="A199" s="41" t="inlineStr">
        <is>
          <t>flame_tank</t>
        </is>
      </c>
      <c r="B199" s="41" t="inlineStr">
        <is>
          <t>Tăng phun lửa</t>
        </is>
      </c>
      <c r="C199" s="41" t="inlineStr">
        <is>
          <t>Tốc độ</t>
        </is>
      </c>
      <c r="D199" s="43" t="n">
        <v>6.5</v>
      </c>
      <c r="E199" s="48" t="inlineStr">
        <is>
          <t>Xem lại</t>
        </is>
      </c>
      <c r="F199" s="41" t="inlineStr">
        <is>
          <t>Mẫu thật × hệ số map ≈ 4.6 m/s</t>
        </is>
      </c>
      <c r="G199" s="41" t="inlineStr">
        <is>
          <t>Lệch hơn 35% so với tốc độ thật nhân hệ số nén của map (xích 0,33, bánh 0,4, trực thăng 0,17, máy bay 0,16). Có thể giữ nếu là chủ đích.</t>
        </is>
      </c>
      <c r="H199" s="41" t="n"/>
    </row>
    <row r="200" ht="15" customHeight="1" s="32">
      <c r="A200" s="39" t="inlineStr">
        <is>
          <t>flame_tank</t>
        </is>
      </c>
      <c r="B200" s="39" t="inlineStr">
        <is>
          <t>Tăng phun lửa</t>
        </is>
      </c>
      <c r="C200" s="39" t="inlineStr">
        <is>
          <t>Tốc độ xoay thân / tháp</t>
        </is>
      </c>
      <c r="D200" s="39" t="inlineStr">
        <is>
          <t>1 / 2</t>
        </is>
      </c>
      <c r="E200" s="49" t="inlineStr">
        <is>
          <t>Giữ</t>
        </is>
      </c>
      <c r="F200" s="39" t="n"/>
      <c r="G200" s="39" t="inlineStr">
        <is>
          <t>Hợp lý so với loại xe.</t>
        </is>
      </c>
      <c r="H200" s="39" t="n"/>
    </row>
    <row r="201" ht="21.75" customHeight="1" s="32">
      <c r="A201" s="41" t="inlineStr">
        <is>
          <t>flame_tank</t>
        </is>
      </c>
      <c r="B201" s="41" t="inlineStr">
        <is>
          <t>Tăng phun lửa</t>
        </is>
      </c>
      <c r="C201" s="41" t="inlineStr">
        <is>
          <t>Kích thước model (dài × rộng × cao)</t>
        </is>
      </c>
      <c r="D201" s="41" t="inlineStr">
        <is>
          <t>5.0 × 2.8 × 2.7</t>
        </is>
      </c>
      <c r="E201" s="47" t="inlineStr">
        <is>
          <t>Đổi</t>
        </is>
      </c>
      <c r="F201" s="41" t="inlineStr">
        <is>
          <t>7.2 × 2.6 × 1.9</t>
        </is>
      </c>
      <c r="G201" s="41" t="inlineStr">
        <is>
          <t>Mẫu thật TO-55 (khung T-55): 9.0 × 3.3 m; theo tỷ lệ chung (mặt đất 0,8) nên là 7.2 × 2.6 m. Đổi kích thước thì chỉnh vùng va chạm và chạy lại test xe kẹt.</t>
        </is>
      </c>
      <c r="H201" s="48" t="inlineStr">
        <is>
          <t>Trung</t>
        </is>
      </c>
    </row>
    <row r="202" ht="15" customHeight="1" s="32">
      <c r="A202" s="39" t="inlineStr">
        <is>
          <t>flame_tank</t>
        </is>
      </c>
      <c r="B202" s="39" t="inlineStr">
        <is>
          <t>Tăng phun lửa</t>
        </is>
      </c>
      <c r="C202" s="39" t="inlineStr">
        <is>
          <t>Tầm nhìn</t>
        </is>
      </c>
      <c r="D202" s="42" t="n">
        <v>26</v>
      </c>
      <c r="E202" s="49" t="inlineStr">
        <is>
          <t>Giữ</t>
        </is>
      </c>
      <c r="F202" s="39" t="n"/>
      <c r="G202" s="39" t="inlineStr">
        <is>
          <t>Khớp vai trò.</t>
        </is>
      </c>
      <c r="H202" s="39" t="n"/>
    </row>
    <row r="203" ht="15" customHeight="1" s="32">
      <c r="A203" s="41" t="inlineStr">
        <is>
          <t>flame_tank</t>
        </is>
      </c>
      <c r="B203" s="41" t="inlineStr">
        <is>
          <t>Tăng phun lửa</t>
        </is>
      </c>
      <c r="C203" s="41" t="inlineStr">
        <is>
          <t>Tầm bắn</t>
        </is>
      </c>
      <c r="D203" s="41" t="inlineStr">
        <is>
          <t>20</t>
        </is>
      </c>
      <c r="E203" s="49" t="inlineStr">
        <is>
          <t>Giữ</t>
        </is>
      </c>
      <c r="F203" s="41" t="n"/>
      <c r="G203" s="41" t="inlineStr">
        <is>
          <t>Thứ tự tầm hợp lý trong nhóm.</t>
        </is>
      </c>
      <c r="H203" s="41" t="n"/>
    </row>
    <row r="204" ht="15" customHeight="1" s="32">
      <c r="A204" s="39" t="inlineStr">
        <is>
          <t>flame_tank</t>
        </is>
      </c>
      <c r="B204" s="39" t="inlineStr">
        <is>
          <t>Tăng phun lửa</t>
        </is>
      </c>
      <c r="C204" s="39" t="inlineStr">
        <is>
          <t>Giá (CP)</t>
        </is>
      </c>
      <c r="D204" s="42" t="n">
        <v>5</v>
      </c>
      <c r="E204" s="49" t="inlineStr">
        <is>
          <t>Giữ</t>
        </is>
      </c>
      <c r="F204" s="39" t="n"/>
      <c r="G204" s="39" t="inlineStr">
        <is>
          <t>Hiệu quả trong khoảng ±25% trung vị, thứ tự giá hợp ngoài đời (sheet Giá CP).</t>
        </is>
      </c>
      <c r="H204" s="39" t="n"/>
    </row>
    <row r="205" ht="15" customHeight="1" s="32">
      <c r="A205" s="41" t="inlineStr">
        <is>
          <t>flame_tank</t>
        </is>
      </c>
      <c r="B205" s="41" t="inlineStr">
        <is>
          <t>Tăng phun lửa</t>
        </is>
      </c>
      <c r="C205" s="41" t="inlineStr">
        <is>
          <t>Vũ khí: súng phun lửa</t>
        </is>
      </c>
      <c r="D205" s="41" t="inlineStr">
        <is>
          <t>23,5/tick · giá trị vs xe nhẹ 587 ở 5 CP</t>
        </is>
      </c>
      <c r="E205" s="47" t="inlineStr">
        <is>
          <t>Đổi</t>
        </is>
      </c>
      <c r="F205" s="41" t="inlineStr">
        <is>
          <t>sát thương −10% lên xe nhẹ; giữ giá 5 CP</t>
        </is>
      </c>
      <c r="G205" s="41" t="inlineStr">
        <is>
          <t>Mạnh nhất theo CP khi đánh gần xe nhẹ; nhưng yếu với tăng và công sự nên giữ giá.</t>
        </is>
      </c>
      <c r="H205" s="49" t="inlineStr">
        <is>
          <t>Thấp</t>
        </is>
      </c>
    </row>
    <row r="206" ht="15" customHeight="1" s="32">
      <c r="A206" s="39" t="inlineStr">
        <is>
          <t>flame_tank</t>
        </is>
      </c>
      <c r="B206" s="39" t="inlineStr">
        <is>
          <t>Tăng phun lửa</t>
        </is>
      </c>
      <c r="C206" s="39" t="inlineStr">
        <is>
          <t>Hành vi</t>
        </is>
      </c>
      <c r="D206" s="39" t="inlineStr">
        <is>
          <t>Vừa chạy vừa bắn; Xe tăng rùa</t>
        </is>
      </c>
      <c r="E206" s="49" t="inlineStr">
        <is>
          <t>Giữ</t>
        </is>
      </c>
      <c r="F206" s="39" t="n"/>
      <c r="G206" s="39" t="inlineStr">
        <is>
          <t>Hợp vai trò.</t>
        </is>
      </c>
      <c r="H206" s="39" t="n"/>
    </row>
    <row r="207" ht="15" customHeight="1" s="32">
      <c r="A207" s="41" t="inlineStr">
        <is>
          <t>flame_tank</t>
        </is>
      </c>
      <c r="B207" s="41" t="inlineStr">
        <is>
          <t>Tăng phun lửa</t>
        </is>
      </c>
      <c r="C207" s="41" t="inlineStr">
        <is>
          <t>Nổ khi bị phá (bán kính)</t>
        </is>
      </c>
      <c r="D207" s="41" t="inlineStr">
        <is>
          <t>8 m · 280 sát thương</t>
        </is>
      </c>
      <c r="E207" s="47" t="inlineStr">
        <is>
          <t>Đổi</t>
        </is>
      </c>
      <c r="F207" s="41" t="inlineStr">
        <is>
          <t>~5 m</t>
        </is>
      </c>
      <c r="G207" s="41" t="inlineStr">
        <is>
          <t>Bán kính nổ khi bị phá nên theo cỡ xe, cộng thêm nếu xe chở nhiều đạn/nhiên liệu.</t>
        </is>
      </c>
      <c r="H207" s="49" t="inlineStr">
        <is>
          <t>Thấp</t>
        </is>
      </c>
    </row>
    <row r="208" ht="32.25" customHeight="1" s="32">
      <c r="A208" s="39" t="inlineStr">
        <is>
          <t>flame_tank</t>
        </is>
      </c>
      <c r="B208" s="39" t="inlineStr">
        <is>
          <t>Tăng phun lửa</t>
        </is>
      </c>
      <c r="C208" s="39" t="inlineStr">
        <is>
          <t>Tham khảo / model</t>
        </is>
      </c>
      <c r="D208" s="39" t="inlineStr">
        <is>
          <t>M67 Zippo, Churchill Crocodile, TO-55 · Flame Tank (Command &amp; Conquer) — ước đoán: xe tăng</t>
        </is>
      </c>
      <c r="E208" s="49" t="inlineStr">
        <is>
          <t>Giữ</t>
        </is>
      </c>
      <c r="F208" s="39" t="n"/>
      <c r="G208" s="39" t="inlineStr">
        <is>
          <t>Khớp vũ khí và vai trò.</t>
        </is>
      </c>
      <c r="H208" s="39" t="n"/>
    </row>
    <row r="209" ht="15" customHeight="1" s="32">
      <c r="A209" s="41"/>
      <c r="B209" s="41"/>
      <c r="C209" s="41"/>
      <c r="D209" s="41"/>
      <c r="E209" s="47"/>
      <c r="F209" s="41"/>
      <c r="G209" s="41"/>
      <c r="H209" s="49"/>
    </row>
    <row r="210" ht="15" customHeight="1" s="32">
      <c r="A210" s="39"/>
      <c r="B210" s="39"/>
      <c r="C210" s="39"/>
      <c r="D210" s="42"/>
      <c r="E210" s="49"/>
      <c r="F210" s="39"/>
      <c r="G210" s="39"/>
      <c r="H210" s="39"/>
    </row>
    <row r="211" ht="15" customHeight="1" s="32">
      <c r="A211" s="41"/>
      <c r="B211" s="41"/>
      <c r="C211" s="41"/>
      <c r="D211" s="41"/>
      <c r="E211" s="47"/>
      <c r="F211" s="41"/>
      <c r="G211" s="41"/>
      <c r="H211" s="48"/>
    </row>
    <row r="212" ht="15" customHeight="1" s="32">
      <c r="A212" s="39"/>
      <c r="B212" s="39"/>
      <c r="C212" s="39"/>
      <c r="D212" s="42"/>
      <c r="E212" s="49"/>
      <c r="F212" s="39"/>
      <c r="G212" s="39"/>
      <c r="H212" s="39"/>
    </row>
    <row r="213" ht="15" customHeight="1" s="32">
      <c r="A213" s="41"/>
      <c r="B213" s="41"/>
      <c r="C213" s="41"/>
      <c r="D213" s="41"/>
      <c r="E213" s="49"/>
      <c r="F213" s="41"/>
      <c r="G213" s="41"/>
      <c r="H213" s="41"/>
    </row>
    <row r="214" ht="15" customHeight="1" s="32">
      <c r="A214" s="39"/>
      <c r="B214" s="39"/>
      <c r="C214" s="39"/>
      <c r="D214" s="39"/>
      <c r="E214" s="49"/>
      <c r="F214" s="39"/>
      <c r="G214" s="39"/>
      <c r="H214" s="39"/>
    </row>
    <row r="215" ht="15" customHeight="1" s="32">
      <c r="A215" s="41"/>
      <c r="B215" s="41"/>
      <c r="C215" s="41"/>
      <c r="D215" s="43"/>
      <c r="E215" s="49"/>
      <c r="F215" s="41"/>
      <c r="G215" s="41"/>
      <c r="H215" s="41"/>
    </row>
    <row r="216" ht="15" customHeight="1" s="32">
      <c r="A216" s="39"/>
      <c r="B216" s="39"/>
      <c r="C216" s="39"/>
      <c r="D216" s="39"/>
      <c r="E216" s="49"/>
      <c r="F216" s="39"/>
      <c r="G216" s="39"/>
      <c r="H216" s="39"/>
    </row>
    <row r="217" ht="15" customHeight="1" s="32">
      <c r="A217" s="41"/>
      <c r="B217" s="41"/>
      <c r="C217" s="41"/>
      <c r="D217" s="43"/>
      <c r="E217" s="49"/>
      <c r="F217" s="41"/>
      <c r="G217" s="41"/>
      <c r="H217" s="41"/>
    </row>
    <row r="218" ht="15" customHeight="1" s="32">
      <c r="A218" s="39"/>
      <c r="B218" s="39"/>
      <c r="C218" s="39"/>
      <c r="D218" s="42"/>
      <c r="E218" s="49"/>
      <c r="F218" s="39"/>
      <c r="G218" s="39"/>
      <c r="H218" s="39"/>
    </row>
    <row r="219" ht="15" customHeight="1" s="32">
      <c r="A219" s="41"/>
      <c r="B219" s="41"/>
      <c r="C219" s="41"/>
      <c r="D219" s="41"/>
      <c r="E219" s="49"/>
      <c r="F219" s="41"/>
      <c r="G219" s="41"/>
      <c r="H219" s="41"/>
    </row>
    <row r="220" ht="15" customHeight="1" s="32">
      <c r="A220" s="39"/>
      <c r="B220" s="39"/>
      <c r="C220" s="39"/>
      <c r="D220" s="39"/>
      <c r="E220" s="49"/>
      <c r="F220" s="39"/>
      <c r="G220" s="39"/>
      <c r="H220" s="39"/>
    </row>
    <row r="221" ht="32.25" customHeight="1" s="32">
      <c r="A221" s="41"/>
      <c r="B221" s="41"/>
      <c r="C221" s="41"/>
      <c r="D221" s="41"/>
      <c r="E221" s="49"/>
      <c r="F221" s="41"/>
      <c r="G221" s="41"/>
      <c r="H221" s="41"/>
    </row>
    <row r="222" ht="21.75" customHeight="1" s="32">
      <c r="A222" s="39"/>
      <c r="B222" s="39"/>
      <c r="C222" s="39"/>
      <c r="D222" s="39"/>
      <c r="E222" s="47"/>
      <c r="F222" s="39"/>
      <c r="G222" s="39"/>
      <c r="H222" s="49"/>
    </row>
    <row r="223" ht="15" customHeight="1" s="32">
      <c r="A223" s="41"/>
      <c r="B223" s="41"/>
      <c r="C223" s="41"/>
      <c r="D223" s="43"/>
      <c r="E223" s="49"/>
      <c r="F223" s="41"/>
      <c r="G223" s="41"/>
      <c r="H223" s="41"/>
    </row>
    <row r="224" ht="15" customHeight="1" s="32">
      <c r="A224" s="39"/>
      <c r="B224" s="39"/>
      <c r="C224" s="39"/>
      <c r="D224" s="39"/>
      <c r="E224" s="49"/>
      <c r="F224" s="39"/>
      <c r="G224" s="39"/>
      <c r="H224" s="39"/>
    </row>
    <row r="225" ht="15" customHeight="1" s="32">
      <c r="A225" s="41"/>
      <c r="B225" s="41"/>
      <c r="C225" s="41"/>
      <c r="D225" s="43"/>
      <c r="E225" s="49"/>
      <c r="F225" s="41"/>
      <c r="G225" s="41"/>
      <c r="H225" s="41"/>
    </row>
    <row r="226" ht="15" customHeight="1" s="32">
      <c r="A226" s="39"/>
      <c r="B226" s="39"/>
      <c r="C226" s="39"/>
      <c r="D226" s="39"/>
      <c r="E226" s="49"/>
      <c r="F226" s="39"/>
      <c r="G226" s="39"/>
      <c r="H226" s="39"/>
    </row>
    <row r="227" ht="15" customHeight="1" s="32">
      <c r="A227" s="41"/>
      <c r="B227" s="41"/>
      <c r="C227" s="41"/>
      <c r="D227" s="41"/>
      <c r="E227" s="49"/>
      <c r="F227" s="41"/>
      <c r="G227" s="41"/>
      <c r="H227" s="41"/>
    </row>
    <row r="228" ht="15" customHeight="1" s="32">
      <c r="A228" s="39"/>
      <c r="B228" s="39"/>
      <c r="C228" s="39"/>
      <c r="D228" s="42"/>
      <c r="E228" s="49"/>
      <c r="F228" s="39"/>
      <c r="G228" s="39"/>
      <c r="H228" s="39"/>
    </row>
    <row r="229" ht="15" customHeight="1" s="32">
      <c r="A229" s="41"/>
      <c r="B229" s="41"/>
      <c r="C229" s="41"/>
      <c r="D229" s="41"/>
      <c r="E229" s="49"/>
      <c r="F229" s="41"/>
      <c r="G229" s="41"/>
      <c r="H229" s="41"/>
    </row>
    <row r="230" ht="15" customHeight="1" s="32">
      <c r="A230" s="39"/>
      <c r="B230" s="39"/>
      <c r="C230" s="39"/>
      <c r="D230" s="42"/>
      <c r="E230" s="49"/>
      <c r="F230" s="39"/>
      <c r="G230" s="39"/>
      <c r="H230" s="39"/>
    </row>
    <row r="231" ht="15" customHeight="1" s="32">
      <c r="A231" s="41"/>
      <c r="B231" s="41"/>
      <c r="C231" s="41"/>
      <c r="D231" s="41"/>
      <c r="E231" s="47"/>
      <c r="F231" s="41"/>
      <c r="G231" s="41"/>
      <c r="H231" s="48"/>
    </row>
    <row r="232" ht="15" customHeight="1" s="32">
      <c r="A232" s="39"/>
      <c r="B232" s="39"/>
      <c r="C232" s="39"/>
      <c r="D232" s="39"/>
      <c r="E232" s="47"/>
      <c r="F232" s="39"/>
      <c r="G232" s="39"/>
      <c r="H232" s="48"/>
    </row>
    <row r="233" ht="15" customHeight="1" s="32">
      <c r="A233" s="41"/>
      <c r="B233" s="41"/>
      <c r="C233" s="41"/>
      <c r="D233" s="41"/>
      <c r="E233" s="47"/>
      <c r="F233" s="41"/>
      <c r="G233" s="41"/>
      <c r="H233" s="49"/>
    </row>
    <row r="234" ht="32.25" customHeight="1" s="32">
      <c r="A234" s="39"/>
      <c r="B234" s="39"/>
      <c r="C234" s="39"/>
      <c r="D234" s="39"/>
      <c r="E234" s="49"/>
      <c r="F234" s="39"/>
      <c r="G234" s="39"/>
      <c r="H234" s="39"/>
    </row>
    <row r="235" ht="15" customHeight="1" s="32">
      <c r="A235" s="41"/>
      <c r="B235" s="41"/>
      <c r="C235" s="41"/>
      <c r="D235" s="41"/>
      <c r="E235" s="49"/>
      <c r="F235" s="41"/>
      <c r="G235" s="41"/>
      <c r="H235" s="41"/>
    </row>
    <row r="236" ht="32.25" customHeight="1" s="32">
      <c r="A236" s="39"/>
      <c r="B236" s="39"/>
      <c r="C236" s="39"/>
      <c r="D236" s="39"/>
      <c r="E236" s="49"/>
      <c r="F236" s="39"/>
      <c r="G236" s="39"/>
      <c r="H236" s="39"/>
    </row>
    <row r="237" ht="21.75" customHeight="1" s="32">
      <c r="A237" s="41" t="inlineStr">
        <is>
          <t>rocket_technical</t>
        </is>
      </c>
      <c r="B237" s="41" t="inlineStr">
        <is>
          <t>Bán tải rốc-két</t>
        </is>
      </c>
      <c r="C237" s="41" t="inlineStr">
        <is>
          <t>Tên</t>
        </is>
      </c>
      <c r="D237" s="41" t="inlineStr">
        <is>
          <t>Bán tải rốc-két</t>
        </is>
      </c>
      <c r="E237" s="49" t="inlineStr">
        <is>
          <t>Giữ</t>
        </is>
      </c>
      <c r="F237" s="41" t="inlineStr">
        <is>
          <t>Bán tải rốc-két · ngắn: Bán tải rốc-két · EN: Rocket Technical</t>
        </is>
      </c>
      <c r="G237" s="41" t="inlineStr">
        <is>
          <t>Giữ.</t>
        </is>
      </c>
      <c r="H237" s="41" t="n"/>
    </row>
    <row r="238" ht="15" customHeight="1" s="32">
      <c r="A238" s="39" t="inlineStr">
        <is>
          <t>rocket_technical</t>
        </is>
      </c>
      <c r="B238" s="39" t="inlineStr">
        <is>
          <t>Bán tải rốc-két</t>
        </is>
      </c>
      <c r="C238" s="39" t="inlineStr">
        <is>
          <t>Máu</t>
        </is>
      </c>
      <c r="D238" s="42" t="n">
        <v>506</v>
      </c>
      <c r="E238" s="49" t="inlineStr">
        <is>
          <t>Giữ</t>
        </is>
      </c>
      <c r="F238" s="39" t="n"/>
      <c r="G238" s="39" t="inlineStr">
        <is>
          <t>Máu/CP 1.44 × trung vị lớp Pháo binh.</t>
        </is>
      </c>
      <c r="H238" s="39" t="n"/>
    </row>
    <row r="239" ht="15" customHeight="1" s="32">
      <c r="A239" s="41" t="inlineStr">
        <is>
          <t>rocket_technical</t>
        </is>
      </c>
      <c r="B239" s="41" t="inlineStr">
        <is>
          <t>Bán tải rốc-két</t>
        </is>
      </c>
      <c r="C239" s="41" t="inlineStr">
        <is>
          <t>Giáp (T/H/S/N)</t>
        </is>
      </c>
      <c r="D239" s="41" t="inlineStr">
        <is>
          <t>cấp 0 (Không giáp)</t>
        </is>
      </c>
      <c r="E239" s="49" t="inlineStr">
        <is>
          <t>Giữ</t>
        </is>
      </c>
      <c r="F239" s="41" t="n"/>
      <c r="G239" s="41" t="inlineStr">
        <is>
          <t>Khớp mẫu thật theo thang 0–4.</t>
        </is>
      </c>
      <c r="H239" s="41" t="n"/>
    </row>
    <row r="240" ht="15" customHeight="1" s="32">
      <c r="A240" s="39" t="inlineStr">
        <is>
          <t>rocket_technical</t>
        </is>
      </c>
      <c r="B240" s="39" t="inlineStr">
        <is>
          <t>Bán tải rốc-két</t>
        </is>
      </c>
      <c r="C240" s="39" t="inlineStr">
        <is>
          <t>Tốc độ</t>
        </is>
      </c>
      <c r="D240" s="42" t="n">
        <v>13</v>
      </c>
      <c r="E240" s="49" t="inlineStr">
        <is>
          <t>Giữ</t>
        </is>
      </c>
      <c r="F240" s="39" t="n"/>
      <c r="G240" s="39" t="inlineStr">
        <is>
          <t>Gần tốc độ thật × hệ số nén (13.3).</t>
        </is>
      </c>
      <c r="H240" s="39" t="n"/>
    </row>
    <row r="241" ht="15" customHeight="1" s="32">
      <c r="A241" s="41" t="inlineStr">
        <is>
          <t>rocket_technical</t>
        </is>
      </c>
      <c r="B241" s="41" t="inlineStr">
        <is>
          <t>Bán tải rốc-két</t>
        </is>
      </c>
      <c r="C241" s="41" t="inlineStr">
        <is>
          <t>Tốc độ xoay thân / tháp</t>
        </is>
      </c>
      <c r="D241" s="41" t="inlineStr">
        <is>
          <t>3 / 3</t>
        </is>
      </c>
      <c r="E241" s="49" t="inlineStr">
        <is>
          <t>Giữ</t>
        </is>
      </c>
      <c r="F241" s="41" t="n"/>
      <c r="G241" s="41" t="inlineStr">
        <is>
          <t>Hợp lý so với loại xe.</t>
        </is>
      </c>
      <c r="H241" s="41" t="n"/>
    </row>
    <row r="242" ht="15" customHeight="1" s="32">
      <c r="A242" s="39" t="inlineStr">
        <is>
          <t>rocket_technical</t>
        </is>
      </c>
      <c r="B242" s="39" t="inlineStr">
        <is>
          <t>Bán tải rốc-két</t>
        </is>
      </c>
      <c r="C242" s="39" t="inlineStr">
        <is>
          <t>Kích thước model (dài × rộng × cao)</t>
        </is>
      </c>
      <c r="D242" s="39" t="inlineStr">
        <is>
          <t>4.6 × 1.8 × 2.8</t>
        </is>
      </c>
      <c r="E242" s="49" t="inlineStr">
        <is>
          <t>Giữ</t>
        </is>
      </c>
      <c r="F242" s="39" t="n"/>
      <c r="G242" s="39" t="inlineStr">
        <is>
          <t>Khớp tỷ lệ chung (mẫu thật 5.3 m).</t>
        </is>
      </c>
      <c r="H242" s="39" t="n"/>
    </row>
    <row r="243" ht="15" customHeight="1" s="32">
      <c r="A243" s="41" t="inlineStr">
        <is>
          <t>rocket_technical</t>
        </is>
      </c>
      <c r="B243" s="41" t="inlineStr">
        <is>
          <t>Bán tải rốc-két</t>
        </is>
      </c>
      <c r="C243" s="41" t="inlineStr">
        <is>
          <t>Tầm nhìn</t>
        </is>
      </c>
      <c r="D243" s="43" t="n">
        <v>30</v>
      </c>
      <c r="E243" s="49" t="inlineStr">
        <is>
          <t>Giữ</t>
        </is>
      </c>
      <c r="F243" s="41" t="n"/>
      <c r="G243" s="41" t="inlineStr">
        <is>
          <t>Khớp vai trò.</t>
        </is>
      </c>
      <c r="H243" s="41" t="n"/>
    </row>
    <row r="244" ht="15" customHeight="1" s="32">
      <c r="A244" s="39" t="inlineStr">
        <is>
          <t>rocket_technical</t>
        </is>
      </c>
      <c r="B244" s="39" t="inlineStr">
        <is>
          <t>Bán tải rốc-két</t>
        </is>
      </c>
      <c r="C244" s="39" t="inlineStr">
        <is>
          <t>Tầm bắn</t>
        </is>
      </c>
      <c r="D244" s="39" t="inlineStr">
        <is>
          <t>48</t>
        </is>
      </c>
      <c r="E244" s="49" t="inlineStr">
        <is>
          <t>Giữ</t>
        </is>
      </c>
      <c r="F244" s="39" t="n"/>
      <c r="G244" s="39" t="inlineStr">
        <is>
          <t>Thứ tự tầm hợp lý trong nhóm.</t>
        </is>
      </c>
      <c r="H244" s="39" t="n"/>
    </row>
    <row r="245" ht="15" customHeight="1" s="32">
      <c r="A245" s="41" t="inlineStr">
        <is>
          <t>rocket_technical</t>
        </is>
      </c>
      <c r="B245" s="41" t="inlineStr">
        <is>
          <t>Bán tải rốc-két</t>
        </is>
      </c>
      <c r="C245" s="41" t="inlineStr">
        <is>
          <t>Giá (CP)</t>
        </is>
      </c>
      <c r="D245" s="43" t="n">
        <v>3</v>
      </c>
      <c r="E245" s="49" t="inlineStr">
        <is>
          <t>Giữ</t>
        </is>
      </c>
      <c r="F245" s="41" t="n"/>
      <c r="G245" s="41" t="inlineStr">
        <is>
          <t>Hiệu quả trong khoảng ±25% trung vị, thứ tự giá hợp ngoài đời (sheet Giá CP).</t>
        </is>
      </c>
      <c r="H245" s="41" t="n"/>
    </row>
    <row r="246" ht="15" customHeight="1" s="32">
      <c r="A246" s="39" t="inlineStr">
        <is>
          <t>rocket_technical</t>
        </is>
      </c>
      <c r="B246" s="39" t="inlineStr">
        <is>
          <t>Bán tải rốc-két</t>
        </is>
      </c>
      <c r="C246" s="39" t="inlineStr">
        <is>
          <t>Vũ khí</t>
        </is>
      </c>
      <c r="D246" s="42" t="n">
        <v>2</v>
      </c>
      <c r="E246" s="49" t="inlineStr">
        <is>
          <t>Giữ</t>
        </is>
      </c>
      <c r="F246" s="39" t="n"/>
      <c r="G246" s="39" t="inlineStr">
        <is>
          <t>Bộ vũ khí khớp mẫu thật và vai trò.</t>
        </is>
      </c>
      <c r="H246" s="39" t="n"/>
    </row>
    <row r="247" ht="32.25" customHeight="1" s="32">
      <c r="A247" s="41" t="inlineStr">
        <is>
          <t>rocket_technical</t>
        </is>
      </c>
      <c r="B247" s="41" t="inlineStr">
        <is>
          <t>Bán tải rốc-két</t>
        </is>
      </c>
      <c r="C247" s="41" t="inlineStr">
        <is>
          <t>Hành vi</t>
        </is>
      </c>
      <c r="D247" s="41" t="inlineStr">
        <is>
          <t>Dừng lại mới bắn, từ 12-48 m; cần ta nhìn thấy mục tiêu (tự nó hoặc quân bạn); H</t>
        </is>
      </c>
      <c r="E247" s="49" t="inlineStr">
        <is>
          <t>Giữ</t>
        </is>
      </c>
      <c r="F247" s="41" t="n"/>
      <c r="G247" s="41" t="inlineStr">
        <is>
          <t>Hợp vai trò.</t>
        </is>
      </c>
      <c r="H247" s="41" t="n"/>
    </row>
    <row r="248" ht="15" customHeight="1" s="32">
      <c r="A248" s="39" t="inlineStr">
        <is>
          <t>rocket_technical</t>
        </is>
      </c>
      <c r="B248" s="39" t="inlineStr">
        <is>
          <t>Bán tải rốc-két</t>
        </is>
      </c>
      <c r="C248" s="39" t="inlineStr">
        <is>
          <t>Nổ khi bị phá (bán kính)</t>
        </is>
      </c>
      <c r="D248" s="39" t="inlineStr">
        <is>
          <t>6 m · 120 sát thương</t>
        </is>
      </c>
      <c r="E248" s="49" t="inlineStr">
        <is>
          <t>Giữ</t>
        </is>
      </c>
      <c r="F248" s="39" t="n"/>
      <c r="G248" s="39" t="inlineStr">
        <is>
          <t>Hợp với cỡ xe.</t>
        </is>
      </c>
      <c r="H248" s="39" t="n"/>
    </row>
    <row r="249" ht="32.25" customHeight="1" s="32">
      <c r="A249" s="41" t="inlineStr">
        <is>
          <t>rocket_technical</t>
        </is>
      </c>
      <c r="B249" s="41" t="inlineStr">
        <is>
          <t>Bán tải rốc-két</t>
        </is>
      </c>
      <c r="C249" s="41" t="inlineStr">
        <is>
          <t>Tham khảo / model</t>
        </is>
      </c>
      <c r="D249" s="41" t="inlineStr">
        <is>
          <t>Toyota Hilux 'technical', Type 63 107 mm — Xe bán tải dân sự gắn giàn rốc-két 12 ống</t>
        </is>
      </c>
      <c r="E249" s="49" t="inlineStr">
        <is>
          <t>Giữ</t>
        </is>
      </c>
      <c r="F249" s="41" t="n"/>
      <c r="G249" s="41" t="inlineStr">
        <is>
          <t>Khớp vũ khí và vai trò.</t>
        </is>
      </c>
      <c r="H249" s="41" t="n"/>
    </row>
    <row r="250" ht="15" customHeight="1" s="32">
      <c r="A250" s="39" t="inlineStr">
        <is>
          <t>mortar_carrier</t>
        </is>
      </c>
      <c r="B250" s="39" t="inlineStr">
        <is>
          <t>Xe súng cối</t>
        </is>
      </c>
      <c r="C250" s="39" t="inlineStr">
        <is>
          <t>Tên</t>
        </is>
      </c>
      <c r="D250" s="39" t="inlineStr">
        <is>
          <t>Xe súng cối</t>
        </is>
      </c>
      <c r="E250" s="47" t="inlineStr">
        <is>
          <t>Đổi</t>
        </is>
      </c>
      <c r="F250" s="39" t="inlineStr">
        <is>
          <t>Xe cối tự hành · ngắn: Xe cối · EN: Mortar Carrier</t>
        </is>
      </c>
      <c r="G250" s="39" t="inlineStr">
        <is>
          <t>"Xe súng cối" nghe lạ.</t>
        </is>
      </c>
      <c r="H250" s="49" t="inlineStr">
        <is>
          <t>Thấp</t>
        </is>
      </c>
    </row>
    <row r="251" ht="15" customHeight="1" s="32">
      <c r="A251" s="41" t="inlineStr">
        <is>
          <t>mortar_carrier</t>
        </is>
      </c>
      <c r="B251" s="41" t="inlineStr">
        <is>
          <t>Xe súng cối</t>
        </is>
      </c>
      <c r="C251" s="41" t="inlineStr">
        <is>
          <t>Máu</t>
        </is>
      </c>
      <c r="D251" s="43" t="n">
        <v>704</v>
      </c>
      <c r="E251" s="49" t="inlineStr">
        <is>
          <t>Giữ</t>
        </is>
      </c>
      <c r="F251" s="41" t="n"/>
      <c r="G251" s="41" t="inlineStr">
        <is>
          <t>Máu/CP 1.50 × trung vị lớp Pháo binh.</t>
        </is>
      </c>
      <c r="H251" s="41" t="n"/>
    </row>
    <row r="252" ht="15" customHeight="1" s="32">
      <c r="A252" s="39" t="inlineStr">
        <is>
          <t>mortar_carrier</t>
        </is>
      </c>
      <c r="B252" s="39" t="inlineStr">
        <is>
          <t>Xe súng cối</t>
        </is>
      </c>
      <c r="C252" s="39" t="inlineStr">
        <is>
          <t>Giáp (T/H/S/N)</t>
        </is>
      </c>
      <c r="D252" s="39" t="inlineStr">
        <is>
          <t>1/0/0/0</t>
        </is>
      </c>
      <c r="E252" s="47" t="inlineStr">
        <is>
          <t>Đổi</t>
        </is>
      </c>
      <c r="F252" s="39" t="inlineStr">
        <is>
          <t>1/1/0/0</t>
        </is>
      </c>
      <c r="G252" s="39" t="inlineStr">
        <is>
          <t>Khung M113.</t>
        </is>
      </c>
      <c r="H252" s="48" t="inlineStr">
        <is>
          <t>Trung</t>
        </is>
      </c>
    </row>
    <row r="253" ht="21.75" customHeight="1" s="32">
      <c r="A253" s="41" t="inlineStr">
        <is>
          <t>mortar_carrier</t>
        </is>
      </c>
      <c r="B253" s="41" t="inlineStr">
        <is>
          <t>Xe súng cối</t>
        </is>
      </c>
      <c r="C253" s="41" t="inlineStr">
        <is>
          <t>Tốc độ</t>
        </is>
      </c>
      <c r="D253" s="43" t="n">
        <v>8</v>
      </c>
      <c r="E253" s="48" t="inlineStr">
        <is>
          <t>Xem lại</t>
        </is>
      </c>
      <c r="F253" s="41" t="inlineStr">
        <is>
          <t>Mẫu thật × hệ số map ≈ 5.9 m/s</t>
        </is>
      </c>
      <c r="G253" s="41" t="inlineStr">
        <is>
          <t>Lệch hơn 35% so với tốc độ thật nhân hệ số nén của map (xích 0,33, bánh 0,4, trực thăng 0,17, máy bay 0,16). Có thể giữ nếu là chủ đích.</t>
        </is>
      </c>
      <c r="H253" s="41" t="n"/>
    </row>
    <row r="254" ht="15" customHeight="1" s="32">
      <c r="A254" s="39" t="inlineStr">
        <is>
          <t>mortar_carrier</t>
        </is>
      </c>
      <c r="B254" s="39" t="inlineStr">
        <is>
          <t>Xe súng cối</t>
        </is>
      </c>
      <c r="C254" s="39" t="inlineStr">
        <is>
          <t>Tốc độ xoay thân / tháp</t>
        </is>
      </c>
      <c r="D254" s="39" t="inlineStr">
        <is>
          <t>2 / 2</t>
        </is>
      </c>
      <c r="E254" s="49" t="inlineStr">
        <is>
          <t>Giữ</t>
        </is>
      </c>
      <c r="F254" s="39" t="n"/>
      <c r="G254" s="39" t="inlineStr">
        <is>
          <t>Hợp lý so với loại xe.</t>
        </is>
      </c>
      <c r="H254" s="39" t="n"/>
    </row>
    <row r="255" ht="15" customHeight="1" s="32">
      <c r="A255" s="41" t="inlineStr">
        <is>
          <t>mortar_carrier</t>
        </is>
      </c>
      <c r="B255" s="41" t="inlineStr">
        <is>
          <t>Xe súng cối</t>
        </is>
      </c>
      <c r="C255" s="41" t="inlineStr">
        <is>
          <t>Kích thước model (dài × rộng × cao)</t>
        </is>
      </c>
      <c r="D255" s="41" t="inlineStr">
        <is>
          <t>4.4 × 2.5 × 3.2</t>
        </is>
      </c>
      <c r="E255" s="49" t="inlineStr">
        <is>
          <t>Giữ</t>
        </is>
      </c>
      <c r="F255" s="41" t="n"/>
      <c r="G255" s="41" t="inlineStr">
        <is>
          <t>Khớp tỷ lệ chung (mẫu thật 4.9 m).</t>
        </is>
      </c>
      <c r="H255" s="41" t="n"/>
    </row>
    <row r="256" ht="15" customHeight="1" s="32">
      <c r="A256" s="39" t="inlineStr">
        <is>
          <t>mortar_carrier</t>
        </is>
      </c>
      <c r="B256" s="39" t="inlineStr">
        <is>
          <t>Xe súng cối</t>
        </is>
      </c>
      <c r="C256" s="39" t="inlineStr">
        <is>
          <t>Tầm nhìn</t>
        </is>
      </c>
      <c r="D256" s="42" t="n">
        <v>26</v>
      </c>
      <c r="E256" s="49" t="inlineStr">
        <is>
          <t>Giữ</t>
        </is>
      </c>
      <c r="F256" s="39" t="n"/>
      <c r="G256" s="39" t="inlineStr">
        <is>
          <t>Khớp vai trò.</t>
        </is>
      </c>
      <c r="H256" s="39" t="n"/>
    </row>
    <row r="257" ht="15" customHeight="1" s="32">
      <c r="A257" s="41" t="inlineStr">
        <is>
          <t>mortar_carrier</t>
        </is>
      </c>
      <c r="B257" s="41" t="inlineStr">
        <is>
          <t>Xe súng cối</t>
        </is>
      </c>
      <c r="C257" s="41" t="inlineStr">
        <is>
          <t>Tầm bắn</t>
        </is>
      </c>
      <c r="D257" s="41" t="inlineStr">
        <is>
          <t>55</t>
        </is>
      </c>
      <c r="E257" s="49" t="inlineStr">
        <is>
          <t>Giữ</t>
        </is>
      </c>
      <c r="F257" s="41" t="n"/>
      <c r="G257" s="41" t="inlineStr">
        <is>
          <t>Thứ tự tầm hợp lý trong nhóm.</t>
        </is>
      </c>
      <c r="H257" s="41" t="n"/>
    </row>
    <row r="258" ht="15" customHeight="1" s="32">
      <c r="A258" s="39" t="inlineStr">
        <is>
          <t>mortar_carrier</t>
        </is>
      </c>
      <c r="B258" s="39" t="inlineStr">
        <is>
          <t>Xe súng cối</t>
        </is>
      </c>
      <c r="C258" s="39" t="inlineStr">
        <is>
          <t>Giá (CP)</t>
        </is>
      </c>
      <c r="D258" s="42" t="n">
        <v>4</v>
      </c>
      <c r="E258" s="49" t="inlineStr">
        <is>
          <t>Giữ</t>
        </is>
      </c>
      <c r="F258" s="39" t="n"/>
      <c r="G258" s="39" t="inlineStr">
        <is>
          <t>Hiệu quả trong khoảng ±25% trung vị, thứ tự giá hợp ngoài đời (sheet Giá CP).</t>
        </is>
      </c>
      <c r="H258" s="39" t="n"/>
    </row>
    <row r="259" ht="15" customHeight="1" s="32">
      <c r="A259" s="41" t="inlineStr">
        <is>
          <t>mortar_carrier</t>
        </is>
      </c>
      <c r="B259" s="41" t="inlineStr">
        <is>
          <t>Xe súng cối</t>
        </is>
      </c>
      <c r="C259" s="41" t="inlineStr">
        <is>
          <t>Vũ khí: cối 120 mm</t>
        </is>
      </c>
      <c r="D259" s="41" t="inlineStr">
        <is>
          <t>0,17 phát/s</t>
        </is>
      </c>
      <c r="E259" s="47" t="inlineStr">
        <is>
          <t>Đổi</t>
        </is>
      </c>
      <c r="F259" s="41" t="inlineStr">
        <is>
          <t>0,2 phát/s</t>
        </is>
      </c>
      <c r="G259" s="41" t="inlineStr">
        <is>
          <t>Cối 120 bắn nhanh ngoài đời; cảm giác "mưa cối".</t>
        </is>
      </c>
      <c r="H259" s="49" t="inlineStr">
        <is>
          <t>Thấp</t>
        </is>
      </c>
    </row>
    <row r="260" ht="32.25" customHeight="1" s="32">
      <c r="A260" s="39" t="inlineStr">
        <is>
          <t>mortar_carrier</t>
        </is>
      </c>
      <c r="B260" s="39" t="inlineStr">
        <is>
          <t>Xe súng cối</t>
        </is>
      </c>
      <c r="C260" s="39" t="inlineStr">
        <is>
          <t>Hành vi</t>
        </is>
      </c>
      <c r="D260" s="39" t="inlineStr">
        <is>
          <t>Dừng lại mới bắn, từ 10-55 m; cần ta nhìn thấy mục tiêu (tự nó hoặc quân bạn); H</t>
        </is>
      </c>
      <c r="E260" s="49" t="inlineStr">
        <is>
          <t>Giữ</t>
        </is>
      </c>
      <c r="F260" s="39" t="n"/>
      <c r="G260" s="39" t="inlineStr">
        <is>
          <t>Hợp vai trò.</t>
        </is>
      </c>
      <c r="H260" s="39" t="n"/>
    </row>
    <row r="261" ht="21.75" customHeight="1" s="32">
      <c r="A261" s="41" t="inlineStr">
        <is>
          <t>mortar_carrier</t>
        </is>
      </c>
      <c r="B261" s="41" t="inlineStr">
        <is>
          <t>Xe súng cối</t>
        </is>
      </c>
      <c r="C261" s="41" t="inlineStr">
        <is>
          <t>Nổ khi bị phá (bán kính)</t>
        </is>
      </c>
      <c r="D261" s="41" t="inlineStr">
        <is>
          <t>5 m · 120 sát thương</t>
        </is>
      </c>
      <c r="E261" s="47" t="inlineStr">
        <is>
          <t>Đổi</t>
        </is>
      </c>
      <c r="F261" s="41" t="inlineStr">
        <is>
          <t>~8 m</t>
        </is>
      </c>
      <c r="G261" s="41" t="inlineStr">
        <is>
          <t>Bán kính nổ khi bị phá nên theo cỡ xe, cộng thêm nếu xe chở nhiều đạn/nhiên liệu. Xe này chở nhiều đạn.</t>
        </is>
      </c>
      <c r="H261" s="49" t="inlineStr">
        <is>
          <t>Thấp</t>
        </is>
      </c>
    </row>
    <row r="262" ht="32.25" customHeight="1" s="32">
      <c r="A262" s="39" t="inlineStr">
        <is>
          <t>mortar_carrier</t>
        </is>
      </c>
      <c r="B262" s="39" t="inlineStr">
        <is>
          <t>Xe súng cối</t>
        </is>
      </c>
      <c r="C262" s="39" t="inlineStr">
        <is>
          <t>Tham khảo / model</t>
        </is>
      </c>
      <c r="D262" s="39" t="inlineStr">
        <is>
          <t>M1064 (M113 mang cối 120 mm), 2B11 120 mm — Xe bọc thép M113 bắn cối qua cửa nóc</t>
        </is>
      </c>
      <c r="E262" s="49" t="inlineStr">
        <is>
          <t>Giữ</t>
        </is>
      </c>
      <c r="F262" s="39" t="n"/>
      <c r="G262" s="39" t="inlineStr">
        <is>
          <t>Khớp vũ khí và vai trò.</t>
        </is>
      </c>
      <c r="H262" s="39" t="n"/>
    </row>
    <row r="263" ht="15" customHeight="1" s="32">
      <c r="A263" s="41" t="inlineStr">
        <is>
          <t>artillery</t>
        </is>
      </c>
      <c r="B263" s="41" t="inlineStr">
        <is>
          <t>Pháo tự hành</t>
        </is>
      </c>
      <c r="C263" s="41" t="inlineStr">
        <is>
          <t>Tên</t>
        </is>
      </c>
      <c r="D263" s="41" t="inlineStr">
        <is>
          <t>Pháo tự hành</t>
        </is>
      </c>
      <c r="E263" s="47" t="inlineStr">
        <is>
          <t>Đổi</t>
        </is>
      </c>
      <c r="F263" s="41" t="inlineStr">
        <is>
          <t>Lựu pháo tự hành · ngắn: Lựu pháo · EN: SP Howitzer</t>
        </is>
      </c>
      <c r="G263" s="41" t="inlineStr">
        <is>
          <t>"Pháo tự hành" quá chung (pháo phản lực, pháo chống tăng cũng tự hành).</t>
        </is>
      </c>
      <c r="H263" s="49" t="inlineStr">
        <is>
          <t>Thấp</t>
        </is>
      </c>
    </row>
    <row r="264" ht="15" customHeight="1" s="32">
      <c r="A264" s="39" t="inlineStr">
        <is>
          <t>artillery</t>
        </is>
      </c>
      <c r="B264" s="39" t="inlineStr">
        <is>
          <t>Pháo tự hành</t>
        </is>
      </c>
      <c r="C264" s="39" t="inlineStr">
        <is>
          <t>Máu</t>
        </is>
      </c>
      <c r="D264" s="42" t="n">
        <v>660</v>
      </c>
      <c r="E264" s="49" t="inlineStr">
        <is>
          <t>Giữ</t>
        </is>
      </c>
      <c r="F264" s="39" t="n"/>
      <c r="G264" s="39" t="inlineStr">
        <is>
          <t>Máu/CP 0.94 × trung vị lớp Pháo binh.</t>
        </is>
      </c>
      <c r="H264" s="39" t="n"/>
    </row>
    <row r="265" ht="15" customHeight="1" s="32">
      <c r="A265" s="41" t="inlineStr">
        <is>
          <t>artillery</t>
        </is>
      </c>
      <c r="B265" s="41" t="inlineStr">
        <is>
          <t>Pháo tự hành</t>
        </is>
      </c>
      <c r="C265" s="41" t="inlineStr">
        <is>
          <t>Giáp (T/H/S/N)</t>
        </is>
      </c>
      <c r="D265" s="41" t="inlineStr">
        <is>
          <t>1/0/0/0</t>
        </is>
      </c>
      <c r="E265" s="47" t="inlineStr">
        <is>
          <t>Đổi</t>
        </is>
      </c>
      <c r="F265" s="41" t="inlineStr">
        <is>
          <t>2/1/1/0</t>
        </is>
      </c>
      <c r="G265" s="41" t="inlineStr">
        <is>
          <t>M109 có giáp nhẹ chống mảnh (nếu đổi model sang M109).</t>
        </is>
      </c>
      <c r="H265" s="48" t="inlineStr">
        <is>
          <t>Trung</t>
        </is>
      </c>
    </row>
    <row r="266" ht="15" customHeight="1" s="32">
      <c r="A266" s="39" t="inlineStr">
        <is>
          <t>artillery</t>
        </is>
      </c>
      <c r="B266" s="39" t="inlineStr">
        <is>
          <t>Pháo tự hành</t>
        </is>
      </c>
      <c r="C266" s="39" t="inlineStr">
        <is>
          <t>Tốc độ</t>
        </is>
      </c>
      <c r="D266" s="42" t="n">
        <v>7</v>
      </c>
      <c r="E266" s="49" t="inlineStr">
        <is>
          <t>Giữ</t>
        </is>
      </c>
      <c r="F266" s="39" t="n"/>
      <c r="G266" s="39" t="inlineStr">
        <is>
          <t>Gần tốc độ thật × hệ số nén (5.6).</t>
        </is>
      </c>
      <c r="H266" s="39" t="n"/>
    </row>
    <row r="267" ht="15" customHeight="1" s="32">
      <c r="A267" s="41" t="inlineStr">
        <is>
          <t>artillery</t>
        </is>
      </c>
      <c r="B267" s="41" t="inlineStr">
        <is>
          <t>Pháo tự hành</t>
        </is>
      </c>
      <c r="C267" s="41" t="inlineStr">
        <is>
          <t>Tốc độ xoay thân / tháp</t>
        </is>
      </c>
      <c r="D267" s="41" t="inlineStr">
        <is>
          <t>1 / 1</t>
        </is>
      </c>
      <c r="E267" s="49" t="inlineStr">
        <is>
          <t>Giữ</t>
        </is>
      </c>
      <c r="F267" s="41" t="n"/>
      <c r="G267" s="41" t="inlineStr">
        <is>
          <t>Hợp lý so với loại xe.</t>
        </is>
      </c>
      <c r="H267" s="41" t="n"/>
    </row>
    <row r="268" ht="21.75" customHeight="1" s="32">
      <c r="A268" s="39" t="inlineStr">
        <is>
          <t>artillery</t>
        </is>
      </c>
      <c r="B268" s="39" t="inlineStr">
        <is>
          <t>Pháo tự hành</t>
        </is>
      </c>
      <c r="C268" s="39" t="inlineStr">
        <is>
          <t>Kích thước model (dài × rộng × cao)</t>
        </is>
      </c>
      <c r="D268" s="39" t="inlineStr">
        <is>
          <t>8.1 × 2.3 × 3.6</t>
        </is>
      </c>
      <c r="E268" s="47" t="inlineStr">
        <is>
          <t>Đổi</t>
        </is>
      </c>
      <c r="F268" s="39" t="inlineStr">
        <is>
          <t>7.8 × 3.1 × 2.9</t>
        </is>
      </c>
      <c r="G268" s="39" t="inlineStr">
        <is>
          <t>Mẫu thật M109A7 (đề xuất đổi từ CAESAR): 9.7 × 3.9 m; theo tỷ lệ chung (mặt đất 0,8) nên là 7.8 × 3.1 m. Đổi kích thước thì chỉnh vùng va chạm và chạy lại test xe kẹt.</t>
        </is>
      </c>
      <c r="H268" s="49" t="inlineStr">
        <is>
          <t>Thấp</t>
        </is>
      </c>
    </row>
    <row r="269" ht="15" customHeight="1" s="32">
      <c r="A269" s="41" t="inlineStr">
        <is>
          <t>artillery</t>
        </is>
      </c>
      <c r="B269" s="41" t="inlineStr">
        <is>
          <t>Pháo tự hành</t>
        </is>
      </c>
      <c r="C269" s="41" t="inlineStr">
        <is>
          <t>Tầm nhìn</t>
        </is>
      </c>
      <c r="D269" s="43" t="n">
        <v>30</v>
      </c>
      <c r="E269" s="49" t="inlineStr">
        <is>
          <t>Giữ</t>
        </is>
      </c>
      <c r="F269" s="41" t="n"/>
      <c r="G269" s="41" t="inlineStr">
        <is>
          <t>Khớp vai trò.</t>
        </is>
      </c>
      <c r="H269" s="41" t="n"/>
    </row>
    <row r="270" ht="15" customHeight="1" s="32">
      <c r="A270" s="39" t="inlineStr">
        <is>
          <t>artillery</t>
        </is>
      </c>
      <c r="B270" s="39" t="inlineStr">
        <is>
          <t>Pháo tự hành</t>
        </is>
      </c>
      <c r="C270" s="39" t="inlineStr">
        <is>
          <t>Tầm bắn</t>
        </is>
      </c>
      <c r="D270" s="39" t="inlineStr">
        <is>
          <t>90</t>
        </is>
      </c>
      <c r="E270" s="49" t="inlineStr">
        <is>
          <t>Giữ</t>
        </is>
      </c>
      <c r="F270" s="39" t="n"/>
      <c r="G270" s="39" t="inlineStr">
        <is>
          <t>Thứ tự tầm hợp lý trong nhóm.</t>
        </is>
      </c>
      <c r="H270" s="39" t="n"/>
    </row>
    <row r="271" ht="15" customHeight="1" s="32">
      <c r="A271" s="41" t="inlineStr">
        <is>
          <t>artillery</t>
        </is>
      </c>
      <c r="B271" s="41" t="inlineStr">
        <is>
          <t>Pháo tự hành</t>
        </is>
      </c>
      <c r="C271" s="41" t="inlineStr">
        <is>
          <t>Giá (CP)</t>
        </is>
      </c>
      <c r="D271" s="43" t="n">
        <v>6</v>
      </c>
      <c r="E271" s="49" t="inlineStr">
        <is>
          <t>Giữ</t>
        </is>
      </c>
      <c r="F271" s="41" t="n"/>
      <c r="G271" s="41" t="inlineStr">
        <is>
          <t>Hiệu quả trong khoảng ±25% trung vị, thứ tự giá hợp ngoài đời (sheet Giá CP).</t>
        </is>
      </c>
      <c r="H271" s="41" t="n"/>
    </row>
    <row r="272" ht="21.75" customHeight="1" s="32">
      <c r="A272" s="39" t="inlineStr">
        <is>
          <t>artillery</t>
        </is>
      </c>
      <c r="B272" s="39" t="inlineStr">
        <is>
          <t>Pháo tự hành</t>
        </is>
      </c>
      <c r="C272" s="39" t="inlineStr">
        <is>
          <t>Vũ khí: lựu pháo 155 mm</t>
        </is>
      </c>
      <c r="D272" s="39" t="inlineStr">
        <is>
          <t>0,10 phát/s · DPS duy trì 27 · giá trị thấp hơn Pháo phản lực cùng giá</t>
        </is>
      </c>
      <c r="E272" s="47" t="inlineStr">
        <is>
          <t>Đổi</t>
        </is>
      </c>
      <c r="F272" s="39" t="inlineStr">
        <is>
          <t>0,14 phát/s · bắn 3 loạt rồi dời vị trí (giữ)</t>
        </is>
      </c>
      <c r="G272" s="39" t="inlineStr">
        <is>
          <t>Pháo tự hành đang kém hẳn pháo phản lực 6 CP (331 so với 510 theo vai trò).</t>
        </is>
      </c>
      <c r="H272" s="47" t="inlineStr">
        <is>
          <t>Cao</t>
        </is>
      </c>
    </row>
    <row r="273" ht="32.25" customHeight="1" s="32">
      <c r="A273" s="41" t="inlineStr">
        <is>
          <t>artillery</t>
        </is>
      </c>
      <c r="B273" s="41" t="inlineStr">
        <is>
          <t>Pháo tự hành</t>
        </is>
      </c>
      <c r="C273" s="41" t="inlineStr">
        <is>
          <t>Hành vi</t>
        </is>
      </c>
      <c r="D273" s="41" t="inlineStr">
        <is>
          <t>Dừng lại mới bắn, từ 25-90 m; cần ta nhìn thấy mục tiêu (tự nó hoặc quân bạn); B</t>
        </is>
      </c>
      <c r="E273" s="49" t="inlineStr">
        <is>
          <t>Giữ</t>
        </is>
      </c>
      <c r="F273" s="41" t="n"/>
      <c r="G273" s="41" t="inlineStr">
        <is>
          <t>Hợp vai trò.</t>
        </is>
      </c>
      <c r="H273" s="41" t="n"/>
    </row>
    <row r="274" ht="21.75" customHeight="1" s="32">
      <c r="A274" s="39" t="inlineStr">
        <is>
          <t>artillery</t>
        </is>
      </c>
      <c r="B274" s="39" t="inlineStr">
        <is>
          <t>Pháo tự hành</t>
        </is>
      </c>
      <c r="C274" s="39" t="inlineStr">
        <is>
          <t>Nổ khi bị phá (bán kính)</t>
        </is>
      </c>
      <c r="D274" s="39" t="inlineStr">
        <is>
          <t>6 m · 160 sát thương</t>
        </is>
      </c>
      <c r="E274" s="47" t="inlineStr">
        <is>
          <t>Đổi</t>
        </is>
      </c>
      <c r="F274" s="39" t="inlineStr">
        <is>
          <t>~10 m</t>
        </is>
      </c>
      <c r="G274" s="39" t="inlineStr">
        <is>
          <t>Bán kính nổ khi bị phá nên theo cỡ xe, cộng thêm nếu xe chở nhiều đạn/nhiên liệu. Xe này chở nhiều đạn.</t>
        </is>
      </c>
      <c r="H274" s="49" t="inlineStr">
        <is>
          <t>Thấp</t>
        </is>
      </c>
    </row>
    <row r="275" ht="21.75" customHeight="1" s="32">
      <c r="A275" s="41" t="inlineStr">
        <is>
          <t>artillery</t>
        </is>
      </c>
      <c r="B275" s="41" t="inlineStr">
        <is>
          <t>Pháo tự hành</t>
        </is>
      </c>
      <c r="C275" s="41" t="inlineStr">
        <is>
          <t>Tham khảo / model</t>
        </is>
      </c>
      <c r="D275" s="41" t="inlineStr">
        <is>
          <t>CAESAR bánh lốp (nằm trong danh sách giữ lại)</t>
        </is>
      </c>
      <c r="E275" s="47" t="inlineStr">
        <is>
          <t>Đổi</t>
        </is>
      </c>
      <c r="F275" s="41" t="inlineStr">
        <is>
          <t>Đổi model sang M109A7 xích; giáp trước 1→2; tốc độ 7→6</t>
        </is>
      </c>
      <c r="G275" s="41" t="inlineStr">
        <is>
          <t>Để CAESAR cho thẻ "Pháo bánh lốp bắn rồi chạy" sau này, không vướng danh sách giữ lại.</t>
        </is>
      </c>
      <c r="H275" s="47" t="inlineStr">
        <is>
          <t>Cao</t>
        </is>
      </c>
    </row>
    <row r="276" ht="21.75" customHeight="1" s="32">
      <c r="A276" s="39" t="inlineStr">
        <is>
          <t>mlrs</t>
        </is>
      </c>
      <c r="B276" s="39" t="inlineStr">
        <is>
          <t>Pháo phản lực</t>
        </is>
      </c>
      <c r="C276" s="39" t="inlineStr">
        <is>
          <t>Tên</t>
        </is>
      </c>
      <c r="D276" s="39" t="inlineStr">
        <is>
          <t>Pháo phản lực</t>
        </is>
      </c>
      <c r="E276" s="47" t="inlineStr">
        <is>
          <t>Đổi</t>
        </is>
      </c>
      <c r="F276" s="39" t="inlineStr">
        <is>
          <t>Pháo phản lực dẫn đường · ngắn: Phản lực · EN: Guided MLRS</t>
        </is>
      </c>
      <c r="G276" s="39" t="inlineStr">
        <is>
          <t>Phân biệt với pháo phản lực hạng nặng và nhiệt áp.</t>
        </is>
      </c>
      <c r="H276" s="49" t="inlineStr">
        <is>
          <t>Thấp</t>
        </is>
      </c>
    </row>
    <row r="277" ht="15" customHeight="1" s="32">
      <c r="A277" s="41" t="inlineStr">
        <is>
          <t>mlrs</t>
        </is>
      </c>
      <c r="B277" s="41" t="inlineStr">
        <is>
          <t>Pháo phản lực</t>
        </is>
      </c>
      <c r="C277" s="41" t="inlineStr">
        <is>
          <t>Máu</t>
        </is>
      </c>
      <c r="D277" s="43" t="n">
        <v>704</v>
      </c>
      <c r="E277" s="49" t="inlineStr">
        <is>
          <t>Giữ</t>
        </is>
      </c>
      <c r="F277" s="41" t="n"/>
      <c r="G277" s="41" t="inlineStr">
        <is>
          <t>Máu/CP 1.00 × trung vị lớp Pháo binh.</t>
        </is>
      </c>
      <c r="H277" s="41" t="n"/>
    </row>
    <row r="278" ht="15" customHeight="1" s="32">
      <c r="A278" s="39" t="inlineStr">
        <is>
          <t>mlrs</t>
        </is>
      </c>
      <c r="B278" s="39" t="inlineStr">
        <is>
          <t>Pháo phản lực</t>
        </is>
      </c>
      <c r="C278" s="39" t="inlineStr">
        <is>
          <t>Giáp (T/H/S/N)</t>
        </is>
      </c>
      <c r="D278" s="39" t="inlineStr">
        <is>
          <t>1/0/0/0</t>
        </is>
      </c>
      <c r="E278" s="49" t="inlineStr">
        <is>
          <t>Giữ</t>
        </is>
      </c>
      <c r="F278" s="39" t="n"/>
      <c r="G278" s="39" t="inlineStr">
        <is>
          <t>Giả tưởng / máy bay; khớp vai trò.</t>
        </is>
      </c>
      <c r="H278" s="39" t="n"/>
    </row>
    <row r="279" ht="21.75" customHeight="1" s="32">
      <c r="A279" s="41" t="inlineStr">
        <is>
          <t>mlrs</t>
        </is>
      </c>
      <c r="B279" s="41" t="inlineStr">
        <is>
          <t>Pháo phản lực</t>
        </is>
      </c>
      <c r="C279" s="41" t="inlineStr">
        <is>
          <t>Tốc độ</t>
        </is>
      </c>
      <c r="D279" s="43" t="n">
        <v>6</v>
      </c>
      <c r="E279" s="48" t="inlineStr">
        <is>
          <t>Xem lại</t>
        </is>
      </c>
      <c r="F279" s="41" t="inlineStr">
        <is>
          <t>Mẫu thật × hệ số map ≈ 9.4 m/s</t>
        </is>
      </c>
      <c r="G279" s="41" t="inlineStr">
        <is>
          <t>Lệch hơn 35% so với tốc độ thật nhân hệ số nén của map (xích 0,33, bánh 0,4, trực thăng 0,17, máy bay 0,16). Có thể giữ nếu là chủ đích.</t>
        </is>
      </c>
      <c r="H279" s="41" t="n"/>
    </row>
    <row r="280" ht="15" customHeight="1" s="32">
      <c r="A280" s="39" t="inlineStr">
        <is>
          <t>mlrs</t>
        </is>
      </c>
      <c r="B280" s="39" t="inlineStr">
        <is>
          <t>Pháo phản lực</t>
        </is>
      </c>
      <c r="C280" s="39" t="inlineStr">
        <is>
          <t>Tốc độ xoay thân / tháp</t>
        </is>
      </c>
      <c r="D280" s="39" t="inlineStr">
        <is>
          <t>1 / 1</t>
        </is>
      </c>
      <c r="E280" s="49" t="inlineStr">
        <is>
          <t>Giữ</t>
        </is>
      </c>
      <c r="F280" s="39" t="n"/>
      <c r="G280" s="39" t="inlineStr">
        <is>
          <t>Hợp lý so với loại xe.</t>
        </is>
      </c>
      <c r="H280" s="39" t="n"/>
    </row>
    <row r="281" ht="15" customHeight="1" s="32">
      <c r="A281" s="41" t="inlineStr">
        <is>
          <t>mlrs</t>
        </is>
      </c>
      <c r="B281" s="41" t="inlineStr">
        <is>
          <t>Pháo phản lực</t>
        </is>
      </c>
      <c r="C281" s="41" t="inlineStr">
        <is>
          <t>Kích thước model (dài × rộng × cao)</t>
        </is>
      </c>
      <c r="D281" s="41" t="inlineStr">
        <is>
          <t>6.4 × 2.3 × 3.6</t>
        </is>
      </c>
      <c r="E281" s="49" t="inlineStr">
        <is>
          <t>Giữ</t>
        </is>
      </c>
      <c r="F281" s="41" t="n"/>
      <c r="G281" s="41" t="inlineStr">
        <is>
          <t>Khớp tỷ lệ chung (mẫu thật 7.0 m).</t>
        </is>
      </c>
      <c r="H281" s="41" t="n"/>
    </row>
    <row r="282" ht="15" customHeight="1" s="32">
      <c r="A282" s="39" t="inlineStr">
        <is>
          <t>mlrs</t>
        </is>
      </c>
      <c r="B282" s="39" t="inlineStr">
        <is>
          <t>Pháo phản lực</t>
        </is>
      </c>
      <c r="C282" s="39" t="inlineStr">
        <is>
          <t>Tầm nhìn</t>
        </is>
      </c>
      <c r="D282" s="42" t="n">
        <v>30</v>
      </c>
      <c r="E282" s="49" t="inlineStr">
        <is>
          <t>Giữ</t>
        </is>
      </c>
      <c r="F282" s="39" t="n"/>
      <c r="G282" s="39" t="inlineStr">
        <is>
          <t>Khớp vai trò.</t>
        </is>
      </c>
      <c r="H282" s="39" t="n"/>
    </row>
    <row r="283" ht="15" customHeight="1" s="32">
      <c r="A283" s="41" t="inlineStr">
        <is>
          <t>mlrs</t>
        </is>
      </c>
      <c r="B283" s="41" t="inlineStr">
        <is>
          <t>Pháo phản lực</t>
        </is>
      </c>
      <c r="C283" s="41" t="inlineStr">
        <is>
          <t>Tầm bắn</t>
        </is>
      </c>
      <c r="D283" s="41" t="inlineStr">
        <is>
          <t>110</t>
        </is>
      </c>
      <c r="E283" s="49" t="inlineStr">
        <is>
          <t>Giữ</t>
        </is>
      </c>
      <c r="F283" s="41" t="n"/>
      <c r="G283" s="41" t="inlineStr">
        <is>
          <t>Thứ tự tầm hợp lý trong nhóm.</t>
        </is>
      </c>
      <c r="H283" s="41" t="n"/>
    </row>
    <row r="284" ht="15" customHeight="1" s="32">
      <c r="A284" s="39" t="inlineStr">
        <is>
          <t>mlrs</t>
        </is>
      </c>
      <c r="B284" s="39" t="inlineStr">
        <is>
          <t>Pháo phản lực</t>
        </is>
      </c>
      <c r="C284" s="39" t="inlineStr">
        <is>
          <t>Giá (CP)</t>
        </is>
      </c>
      <c r="D284" s="42" t="n">
        <v>6</v>
      </c>
      <c r="E284" s="47" t="inlineStr">
        <is>
          <t>Đổi</t>
        </is>
      </c>
      <c r="F284" s="39" t="inlineStr">
        <is>
          <t>7 CP</t>
        </is>
      </c>
      <c r="G284" s="39" t="inlineStr">
        <is>
          <t>Mạnh hơn pháo tự hành cùng giá; HIMARS ngoài đời đắt hơn lựu pháo.</t>
        </is>
      </c>
      <c r="H284" s="48" t="inlineStr">
        <is>
          <t>Trung</t>
        </is>
      </c>
    </row>
    <row r="285" ht="15" customHeight="1" s="32">
      <c r="A285" s="41" t="inlineStr">
        <is>
          <t>mlrs</t>
        </is>
      </c>
      <c r="B285" s="41" t="inlineStr">
        <is>
          <t>Pháo phản lực</t>
        </is>
      </c>
      <c r="C285" s="41" t="inlineStr">
        <is>
          <t>Vũ khí</t>
        </is>
      </c>
      <c r="D285" s="43" t="n">
        <v>2</v>
      </c>
      <c r="E285" s="49" t="inlineStr">
        <is>
          <t>Giữ</t>
        </is>
      </c>
      <c r="F285" s="41" t="n"/>
      <c r="G285" s="41" t="inlineStr">
        <is>
          <t>Bộ vũ khí khớp mẫu thật và vai trò.</t>
        </is>
      </c>
      <c r="H285" s="41" t="n"/>
    </row>
    <row r="286" ht="15" customHeight="1" s="32">
      <c r="A286" s="39" t="inlineStr">
        <is>
          <t>mlrs</t>
        </is>
      </c>
      <c r="B286" s="39" t="inlineStr">
        <is>
          <t>Pháo phản lực</t>
        </is>
      </c>
      <c r="C286" s="39" t="inlineStr">
        <is>
          <t>Hành vi</t>
        </is>
      </c>
      <c r="D286" s="39" t="inlineStr">
        <is>
          <t>Đứng bắn, không dời vị trí</t>
        </is>
      </c>
      <c r="E286" s="47" t="inlineStr">
        <is>
          <t>Đổi</t>
        </is>
      </c>
      <c r="F286" s="39" t="inlineStr">
        <is>
          <t>Bắn xong một loạt thì dời vị trí 15–20 m (như Pháo tự hành)</t>
        </is>
      </c>
      <c r="G286" s="39" t="inlineStr">
        <is>
          <t>HIMARS nổi tiếng với chiến thuật bắn rồi chạy.</t>
        </is>
      </c>
      <c r="H286" s="48" t="inlineStr">
        <is>
          <t>Trung</t>
        </is>
      </c>
    </row>
    <row r="287" ht="15" customHeight="1" s="32">
      <c r="A287" s="41" t="inlineStr">
        <is>
          <t>mlrs</t>
        </is>
      </c>
      <c r="B287" s="41" t="inlineStr">
        <is>
          <t>Pháo phản lực</t>
        </is>
      </c>
      <c r="C287" s="41" t="inlineStr">
        <is>
          <t>Nổ khi bị phá (bán kính)</t>
        </is>
      </c>
      <c r="D287" s="41" t="inlineStr">
        <is>
          <t>8 m · 220 sát thương</t>
        </is>
      </c>
      <c r="E287" s="49" t="inlineStr">
        <is>
          <t>Giữ</t>
        </is>
      </c>
      <c r="F287" s="41" t="n"/>
      <c r="G287" s="41" t="inlineStr">
        <is>
          <t>Hợp với cỡ xe.</t>
        </is>
      </c>
      <c r="H287" s="41" t="n"/>
    </row>
    <row r="288" ht="32.25" customHeight="1" s="32">
      <c r="A288" s="39" t="inlineStr">
        <is>
          <t>mlrs</t>
        </is>
      </c>
      <c r="B288" s="39" t="inlineStr">
        <is>
          <t>Pháo phản lực</t>
        </is>
      </c>
      <c r="C288" s="39" t="inlineStr">
        <is>
          <t>Tham khảo / model</t>
        </is>
      </c>
      <c r="D288" s="39" t="inlineStr">
        <is>
          <t>M142 HIMARS, M270 MLRS, M31 GMLRS 227 mm — Xe phóng rốc-két, nâng khối ống lên để bắn</t>
        </is>
      </c>
      <c r="E288" s="49" t="inlineStr">
        <is>
          <t>Giữ</t>
        </is>
      </c>
      <c r="F288" s="39" t="n"/>
      <c r="G288" s="39" t="inlineStr">
        <is>
          <t>Khớp vũ khí và vai trò.</t>
        </is>
      </c>
      <c r="H288" s="39" t="n"/>
    </row>
    <row r="289" ht="21.75" customHeight="1" s="32">
      <c r="A289" s="41" t="inlineStr">
        <is>
          <t>shahed_truck</t>
        </is>
      </c>
      <c r="B289" s="41" t="inlineStr">
        <is>
          <t>Xe phóng Shahed</t>
        </is>
      </c>
      <c r="C289" s="41" t="inlineStr">
        <is>
          <t>Tên</t>
        </is>
      </c>
      <c r="D289" s="41" t="inlineStr">
        <is>
          <t>Xe phóng Shahed</t>
        </is>
      </c>
      <c r="E289" s="47" t="inlineStr">
        <is>
          <t>Đổi</t>
        </is>
      </c>
      <c r="F289" s="41" t="inlineStr">
        <is>
          <t>Xe phóng drone cảm tử tầm xa · ngắn: Drone cảm tử · EN: Long-range Drone Launcher</t>
        </is>
      </c>
      <c r="G289" s="41" t="inlineStr">
        <is>
          <t>Bỏ tên thật "Shahed" khỏi tên thẻ.</t>
        </is>
      </c>
      <c r="H289" s="49" t="inlineStr">
        <is>
          <t>Thấp</t>
        </is>
      </c>
    </row>
    <row r="290" ht="15" customHeight="1" s="32">
      <c r="A290" s="39" t="inlineStr">
        <is>
          <t>shahed_truck</t>
        </is>
      </c>
      <c r="B290" s="39" t="inlineStr">
        <is>
          <t>Xe phóng Shahed</t>
        </is>
      </c>
      <c r="C290" s="39" t="inlineStr">
        <is>
          <t>Máu</t>
        </is>
      </c>
      <c r="D290" s="42" t="n">
        <v>880</v>
      </c>
      <c r="E290" s="49" t="inlineStr">
        <is>
          <t>Giữ</t>
        </is>
      </c>
      <c r="F290" s="39" t="n"/>
      <c r="G290" s="39" t="inlineStr">
        <is>
          <t>Máu/CP 0.94 × trung vị lớp Pháo binh.</t>
        </is>
      </c>
      <c r="H290" s="39" t="n"/>
    </row>
    <row r="291" ht="15" customHeight="1" s="32">
      <c r="A291" s="41" t="inlineStr">
        <is>
          <t>shahed_truck</t>
        </is>
      </c>
      <c r="B291" s="41" t="inlineStr">
        <is>
          <t>Xe phóng Shahed</t>
        </is>
      </c>
      <c r="C291" s="41" t="inlineStr">
        <is>
          <t>Giáp (T/H/S/N)</t>
        </is>
      </c>
      <c r="D291" s="41" t="inlineStr">
        <is>
          <t>1/0/0/0</t>
        </is>
      </c>
      <c r="E291" s="49" t="inlineStr">
        <is>
          <t>Giữ</t>
        </is>
      </c>
      <c r="F291" s="41" t="n"/>
      <c r="G291" s="41" t="inlineStr">
        <is>
          <t>Giả tưởng / máy bay; khớp vai trò.</t>
        </is>
      </c>
      <c r="H291" s="41" t="n"/>
    </row>
    <row r="292" ht="15" customHeight="1" s="32">
      <c r="A292" s="39" t="inlineStr">
        <is>
          <t>shahed_truck</t>
        </is>
      </c>
      <c r="B292" s="39" t="inlineStr">
        <is>
          <t>Xe phóng Shahed</t>
        </is>
      </c>
      <c r="C292" s="39" t="inlineStr">
        <is>
          <t>Tốc độ</t>
        </is>
      </c>
      <c r="D292" s="42" t="n">
        <v>8</v>
      </c>
      <c r="E292" s="49" t="inlineStr">
        <is>
          <t>Giữ</t>
        </is>
      </c>
      <c r="F292" s="39" t="n"/>
      <c r="G292" s="39" t="inlineStr">
        <is>
          <t>Gần tốc độ thật × hệ số nén (8.9).</t>
        </is>
      </c>
      <c r="H292" s="39" t="n"/>
    </row>
    <row r="293" ht="15" customHeight="1" s="32">
      <c r="A293" s="41" t="inlineStr">
        <is>
          <t>shahed_truck</t>
        </is>
      </c>
      <c r="B293" s="41" t="inlineStr">
        <is>
          <t>Xe phóng Shahed</t>
        </is>
      </c>
      <c r="C293" s="41" t="inlineStr">
        <is>
          <t>Tốc độ xoay thân / tháp</t>
        </is>
      </c>
      <c r="D293" s="41" t="inlineStr">
        <is>
          <t>1 / 1</t>
        </is>
      </c>
      <c r="E293" s="49" t="inlineStr">
        <is>
          <t>Giữ</t>
        </is>
      </c>
      <c r="F293" s="41" t="n"/>
      <c r="G293" s="41" t="inlineStr">
        <is>
          <t>Hợp lý so với loại xe.</t>
        </is>
      </c>
      <c r="H293" s="41" t="n"/>
    </row>
    <row r="294" ht="21.75" customHeight="1" s="32">
      <c r="A294" s="39" t="inlineStr">
        <is>
          <t>shahed_truck</t>
        </is>
      </c>
      <c r="B294" s="39" t="inlineStr">
        <is>
          <t>Xe phóng Shahed</t>
        </is>
      </c>
      <c r="C294" s="39" t="inlineStr">
        <is>
          <t>Kích thước model (dài × rộng × cao)</t>
        </is>
      </c>
      <c r="D294" s="39" t="inlineStr">
        <is>
          <t>6.9 × 2.6 × 4.1</t>
        </is>
      </c>
      <c r="E294" s="47" t="inlineStr">
        <is>
          <t>Đổi</t>
        </is>
      </c>
      <c r="F294" s="39" t="inlineStr">
        <is>
          <t>6.4 × 2.0 × 2.8</t>
        </is>
      </c>
      <c r="G294" s="39" t="inlineStr">
        <is>
          <t>Mẫu thật xe tải phóng Shahed: 8.0 × 2.5 m; theo tỷ lệ chung (mặt đất 0,8) nên là 6.4 × 2.0 m. Đổi kích thước thì chỉnh vùng va chạm và chạy lại test xe kẹt.</t>
        </is>
      </c>
      <c r="H294" s="49" t="inlineStr">
        <is>
          <t>Thấp</t>
        </is>
      </c>
    </row>
    <row r="295" ht="15" customHeight="1" s="32">
      <c r="A295" s="41" t="inlineStr">
        <is>
          <t>shahed_truck</t>
        </is>
      </c>
      <c r="B295" s="41" t="inlineStr">
        <is>
          <t>Xe phóng Shahed</t>
        </is>
      </c>
      <c r="C295" s="41" t="inlineStr">
        <is>
          <t>Tầm nhìn</t>
        </is>
      </c>
      <c r="D295" s="43" t="n">
        <v>30</v>
      </c>
      <c r="E295" s="49" t="inlineStr">
        <is>
          <t>Giữ</t>
        </is>
      </c>
      <c r="F295" s="41" t="n"/>
      <c r="G295" s="41" t="inlineStr">
        <is>
          <t>Khớp vai trò.</t>
        </is>
      </c>
      <c r="H295" s="41" t="n"/>
    </row>
    <row r="296" ht="15" customHeight="1" s="32">
      <c r="A296" s="39" t="inlineStr">
        <is>
          <t>shahed_truck</t>
        </is>
      </c>
      <c r="B296" s="39" t="inlineStr">
        <is>
          <t>Xe phóng Shahed</t>
        </is>
      </c>
      <c r="C296" s="39" t="inlineStr">
        <is>
          <t>Tầm bắn</t>
        </is>
      </c>
      <c r="D296" s="39" t="inlineStr">
        <is>
          <t>150</t>
        </is>
      </c>
      <c r="E296" s="49" t="inlineStr">
        <is>
          <t>Giữ</t>
        </is>
      </c>
      <c r="F296" s="39" t="n"/>
      <c r="G296" s="39" t="inlineStr">
        <is>
          <t>Thứ tự tầm hợp lý trong nhóm.</t>
        </is>
      </c>
      <c r="H296" s="39" t="n"/>
    </row>
    <row r="297" ht="15" customHeight="1" s="32">
      <c r="A297" s="41" t="inlineStr">
        <is>
          <t>shahed_truck</t>
        </is>
      </c>
      <c r="B297" s="41" t="inlineStr">
        <is>
          <t>Xe phóng Shahed</t>
        </is>
      </c>
      <c r="C297" s="41" t="inlineStr">
        <is>
          <t>Giá (CP)</t>
        </is>
      </c>
      <c r="D297" s="43" t="n">
        <v>8</v>
      </c>
      <c r="E297" s="49" t="inlineStr">
        <is>
          <t>Giữ</t>
        </is>
      </c>
      <c r="F297" s="41" t="n"/>
      <c r="G297" s="41" t="inlineStr">
        <is>
          <t>Hiệu quả trong khoảng ±25% trung vị, thứ tự giá hợp ngoài đời (sheet Giá CP).</t>
        </is>
      </c>
      <c r="H297" s="41" t="n"/>
    </row>
    <row r="298" ht="15" customHeight="1" s="32">
      <c r="A298" s="39" t="inlineStr">
        <is>
          <t>shahed_truck</t>
        </is>
      </c>
      <c r="B298" s="39" t="inlineStr">
        <is>
          <t>Xe phóng Shahed</t>
        </is>
      </c>
      <c r="C298" s="39" t="inlineStr">
        <is>
          <t>Vũ khí: Shahed-136</t>
        </is>
      </c>
      <c r="D298" s="39" t="inlineStr">
        <is>
          <t>nổ lan 6 m</t>
        </is>
      </c>
      <c r="E298" s="47" t="inlineStr">
        <is>
          <t>Đổi</t>
        </is>
      </c>
      <c r="F298" s="39" t="inlineStr">
        <is>
          <t>nổ lan 4,5 m</t>
        </is>
      </c>
      <c r="G298" s="39" t="inlineStr">
        <is>
          <t>Đầu nổ 40–50 kg phải nổ nhỏ hơn bom SDB và FAB-250.</t>
        </is>
      </c>
      <c r="H298" s="49" t="inlineStr">
        <is>
          <t>Thấp</t>
        </is>
      </c>
    </row>
    <row r="299" ht="32.25" customHeight="1" s="32">
      <c r="A299" s="41" t="inlineStr">
        <is>
          <t>shahed_truck</t>
        </is>
      </c>
      <c r="B299" s="41" t="inlineStr">
        <is>
          <t>Xe phóng Shahed</t>
        </is>
      </c>
      <c r="C299" s="41" t="inlineStr">
        <is>
          <t>Hành vi</t>
        </is>
      </c>
      <c r="D299" s="41" t="inlineStr">
        <is>
          <t xml:space="preserve">Dừng lại mới bắn, từ 20-150 m; cần ta nhìn thấy mục tiêu (tự nó hoặc quân bạn); </t>
        </is>
      </c>
      <c r="E299" s="49" t="inlineStr">
        <is>
          <t>Giữ</t>
        </is>
      </c>
      <c r="F299" s="41" t="n"/>
      <c r="G299" s="41" t="inlineStr">
        <is>
          <t>Hợp vai trò.</t>
        </is>
      </c>
      <c r="H299" s="41" t="n"/>
    </row>
    <row r="300" ht="15" customHeight="1" s="32">
      <c r="A300" s="39" t="inlineStr">
        <is>
          <t>shahed_truck</t>
        </is>
      </c>
      <c r="B300" s="39" t="inlineStr">
        <is>
          <t>Xe phóng Shahed</t>
        </is>
      </c>
      <c r="C300" s="39" t="inlineStr">
        <is>
          <t>Nổ khi bị phá (bán kính)</t>
        </is>
      </c>
      <c r="D300" s="39" t="inlineStr">
        <is>
          <t>7 m · 180 sát thương</t>
        </is>
      </c>
      <c r="E300" s="49" t="inlineStr">
        <is>
          <t>Giữ</t>
        </is>
      </c>
      <c r="F300" s="39" t="n"/>
      <c r="G300" s="39" t="inlineStr">
        <is>
          <t>Hợp với cỡ xe.</t>
        </is>
      </c>
      <c r="H300" s="39" t="n"/>
    </row>
    <row r="301" ht="32.25" customHeight="1" s="32">
      <c r="A301" s="41" t="inlineStr">
        <is>
          <t>shahed_truck</t>
        </is>
      </c>
      <c r="B301" s="41" t="inlineStr">
        <is>
          <t>Xe phóng Shahed</t>
        </is>
      </c>
      <c r="C301" s="41" t="inlineStr">
        <is>
          <t>Tham khảo / model</t>
        </is>
      </c>
      <c r="D301" s="41" t="inlineStr">
        <is>
          <t>Shahed-136 (Geran-2) — Xe tải phóng drone cánh tam giác Shahed trên giàn 5 ray</t>
        </is>
      </c>
      <c r="E301" s="49" t="inlineStr">
        <is>
          <t>Giữ</t>
        </is>
      </c>
      <c r="F301" s="41" t="n"/>
      <c r="G301" s="41" t="inlineStr">
        <is>
          <t>Khớp vũ khí và vai trò.</t>
        </is>
      </c>
      <c r="H301" s="41" t="n"/>
    </row>
    <row r="302" ht="21.75" customHeight="1" s="32">
      <c r="A302" s="39" t="inlineStr">
        <is>
          <t>thermobaric_launcher</t>
        </is>
      </c>
      <c r="B302" s="39" t="inlineStr">
        <is>
          <t>Pháo phản lực nhiệt áp</t>
        </is>
      </c>
      <c r="C302" s="39" t="inlineStr">
        <is>
          <t>Tên</t>
        </is>
      </c>
      <c r="D302" s="39" t="inlineStr">
        <is>
          <t>Pháo phản lực nhiệt áp</t>
        </is>
      </c>
      <c r="E302" s="49" t="inlineStr">
        <is>
          <t>Giữ</t>
        </is>
      </c>
      <c r="F302" s="39" t="inlineStr">
        <is>
          <t>Pháo phản lực nhiệt áp · ngắn: Nhiệt áp · EN: Thermobaric Launcher</t>
        </is>
      </c>
      <c r="G302" s="39" t="inlineStr">
        <is>
          <t>Giữ.</t>
        </is>
      </c>
      <c r="H302" s="39" t="n"/>
    </row>
    <row r="303" ht="21.75" customHeight="1" s="32">
      <c r="A303" s="41" t="inlineStr">
        <is>
          <t>thermobaric_launcher</t>
        </is>
      </c>
      <c r="B303" s="41" t="inlineStr">
        <is>
          <t>Pháo phản lực nhiệt áp</t>
        </is>
      </c>
      <c r="C303" s="41" t="inlineStr">
        <is>
          <t>Máu</t>
        </is>
      </c>
      <c r="D303" s="43" t="n">
        <v>1980</v>
      </c>
      <c r="E303" s="48" t="inlineStr">
        <is>
          <t>Xem lại</t>
        </is>
      </c>
      <c r="F303" s="41" t="inlineStr">
        <is>
          <t>Máu/CP gấp 2.1 lần trung vị lớp; giữ nếu đó là bản sắc (xe chịu đòn)</t>
        </is>
      </c>
      <c r="G303" s="41" t="inlineStr">
        <is>
          <t>Kiểm tra theo trung vị máu/CP của lớp.</t>
        </is>
      </c>
      <c r="H303" s="41" t="n"/>
    </row>
    <row r="304" ht="15" customHeight="1" s="32">
      <c r="A304" s="39" t="inlineStr">
        <is>
          <t>thermobaric_launcher</t>
        </is>
      </c>
      <c r="B304" s="39" t="inlineStr">
        <is>
          <t>Pháo phản lực nhiệt áp</t>
        </is>
      </c>
      <c r="C304" s="39" t="inlineStr">
        <is>
          <t>Giáp (T/H/S/N)</t>
        </is>
      </c>
      <c r="D304" s="39" t="inlineStr">
        <is>
          <t>3/2/1/1</t>
        </is>
      </c>
      <c r="E304" s="49" t="inlineStr">
        <is>
          <t>Giữ</t>
        </is>
      </c>
      <c r="F304" s="39" t="n"/>
      <c r="G304" s="39" t="inlineStr">
        <is>
          <t>Khớp mẫu thật theo thang 0–4.</t>
        </is>
      </c>
      <c r="H304" s="39" t="n"/>
    </row>
    <row r="305" ht="15" customHeight="1" s="32">
      <c r="A305" s="41" t="inlineStr">
        <is>
          <t>thermobaric_launcher</t>
        </is>
      </c>
      <c r="B305" s="41" t="inlineStr">
        <is>
          <t>Pháo phản lực nhiệt áp</t>
        </is>
      </c>
      <c r="C305" s="41" t="inlineStr">
        <is>
          <t>Tốc độ</t>
        </is>
      </c>
      <c r="D305" s="43" t="n">
        <v>5.5</v>
      </c>
      <c r="E305" s="49" t="inlineStr">
        <is>
          <t>Giữ</t>
        </is>
      </c>
      <c r="F305" s="41" t="n"/>
      <c r="G305" s="41" t="inlineStr">
        <is>
          <t>Gần tốc độ thật × hệ số nén (5.5).</t>
        </is>
      </c>
      <c r="H305" s="41" t="n"/>
    </row>
    <row r="306" ht="15" customHeight="1" s="32">
      <c r="A306" s="39" t="inlineStr">
        <is>
          <t>thermobaric_launcher</t>
        </is>
      </c>
      <c r="B306" s="39" t="inlineStr">
        <is>
          <t>Pháo phản lực nhiệt áp</t>
        </is>
      </c>
      <c r="C306" s="39" t="inlineStr">
        <is>
          <t>Tốc độ xoay thân / tháp</t>
        </is>
      </c>
      <c r="D306" s="39" t="inlineStr">
        <is>
          <t>1 / 1</t>
        </is>
      </c>
      <c r="E306" s="49" t="inlineStr">
        <is>
          <t>Giữ</t>
        </is>
      </c>
      <c r="F306" s="39" t="n"/>
      <c r="G306" s="39" t="inlineStr">
        <is>
          <t>Hợp lý so với loại xe.</t>
        </is>
      </c>
      <c r="H306" s="39" t="n"/>
    </row>
    <row r="307" ht="15" customHeight="1" s="32">
      <c r="A307" s="41" t="inlineStr">
        <is>
          <t>thermobaric_launcher</t>
        </is>
      </c>
      <c r="B307" s="41" t="inlineStr">
        <is>
          <t>Pháo phản lực nhiệt áp</t>
        </is>
      </c>
      <c r="C307" s="41" t="inlineStr">
        <is>
          <t>Kích thước model (dài × rộng × cao)</t>
        </is>
      </c>
      <c r="D307" s="41" t="inlineStr">
        <is>
          <t>6.3 × 3.1 × 2.9</t>
        </is>
      </c>
      <c r="E307" s="49" t="inlineStr">
        <is>
          <t>Giữ</t>
        </is>
      </c>
      <c r="F307" s="41" t="n"/>
      <c r="G307" s="41" t="inlineStr">
        <is>
          <t>Khớp tỷ lệ chung (mẫu thật 9.5 m).</t>
        </is>
      </c>
      <c r="H307" s="41" t="n"/>
    </row>
    <row r="308" ht="15" customHeight="1" s="32">
      <c r="A308" s="39" t="inlineStr">
        <is>
          <t>thermobaric_launcher</t>
        </is>
      </c>
      <c r="B308" s="39" t="inlineStr">
        <is>
          <t>Pháo phản lực nhiệt áp</t>
        </is>
      </c>
      <c r="C308" s="39" t="inlineStr">
        <is>
          <t>Tầm nhìn</t>
        </is>
      </c>
      <c r="D308" s="42" t="n">
        <v>30</v>
      </c>
      <c r="E308" s="49" t="inlineStr">
        <is>
          <t>Giữ</t>
        </is>
      </c>
      <c r="F308" s="39" t="n"/>
      <c r="G308" s="39" t="inlineStr">
        <is>
          <t>Khớp vai trò.</t>
        </is>
      </c>
      <c r="H308" s="39" t="n"/>
    </row>
    <row r="309" ht="15" customHeight="1" s="32">
      <c r="A309" s="41" t="inlineStr">
        <is>
          <t>thermobaric_launcher</t>
        </is>
      </c>
      <c r="B309" s="41" t="inlineStr">
        <is>
          <t>Pháo phản lực nhiệt áp</t>
        </is>
      </c>
      <c r="C309" s="41" t="inlineStr">
        <is>
          <t>Tầm bắn</t>
        </is>
      </c>
      <c r="D309" s="41" t="inlineStr">
        <is>
          <t>48</t>
        </is>
      </c>
      <c r="E309" s="49" t="inlineStr">
        <is>
          <t>Giữ</t>
        </is>
      </c>
      <c r="F309" s="41" t="n"/>
      <c r="G309" s="41" t="inlineStr">
        <is>
          <t>Thứ tự tầm hợp lý trong nhóm.</t>
        </is>
      </c>
      <c r="H309" s="41" t="n"/>
    </row>
    <row r="310" ht="15" customHeight="1" s="32">
      <c r="A310" s="39" t="inlineStr">
        <is>
          <t>thermobaric_launcher</t>
        </is>
      </c>
      <c r="B310" s="39" t="inlineStr">
        <is>
          <t>Pháo phản lực nhiệt áp</t>
        </is>
      </c>
      <c r="C310" s="39" t="inlineStr">
        <is>
          <t>Giá (CP)</t>
        </is>
      </c>
      <c r="D310" s="42" t="n">
        <v>8</v>
      </c>
      <c r="E310" s="47" t="inlineStr">
        <is>
          <t>Đổi</t>
        </is>
      </c>
      <c r="F310" s="39" t="inlineStr">
        <is>
          <t>9 CP</t>
        </is>
      </c>
      <c r="G310" s="39" t="inlineStr">
        <is>
          <t>Mạnh nhất nhóm pháo với công sự sau khi sửa hệ số nhiệt áp.</t>
        </is>
      </c>
      <c r="H310" s="49" t="inlineStr">
        <is>
          <t>Thấp</t>
        </is>
      </c>
    </row>
    <row r="311" ht="15" customHeight="1" s="32">
      <c r="A311" s="41" t="inlineStr">
        <is>
          <t>thermobaric_launcher</t>
        </is>
      </c>
      <c r="B311" s="41" t="inlineStr">
        <is>
          <t>Pháo phản lực nhiệt áp</t>
        </is>
      </c>
      <c r="C311" s="41" t="inlineStr">
        <is>
          <t>Vũ khí</t>
        </is>
      </c>
      <c r="D311" s="43" t="n">
        <v>2</v>
      </c>
      <c r="E311" s="49" t="inlineStr">
        <is>
          <t>Giữ</t>
        </is>
      </c>
      <c r="F311" s="41" t="n"/>
      <c r="G311" s="41" t="inlineStr">
        <is>
          <t>Bộ vũ khí khớp mẫu thật và vai trò.</t>
        </is>
      </c>
      <c r="H311" s="41" t="n"/>
    </row>
    <row r="312" ht="32.25" customHeight="1" s="32">
      <c r="A312" s="39" t="inlineStr">
        <is>
          <t>thermobaric_launcher</t>
        </is>
      </c>
      <c r="B312" s="39" t="inlineStr">
        <is>
          <t>Pháo phản lực nhiệt áp</t>
        </is>
      </c>
      <c r="C312" s="39" t="inlineStr">
        <is>
          <t>Hành vi</t>
        </is>
      </c>
      <c r="D312" s="39" t="inlineStr">
        <is>
          <t>Dừng lại mới bắn, từ 12-48 m; cần ta nhìn thấy mục tiêu (tự nó hoặc quân bạn); H</t>
        </is>
      </c>
      <c r="E312" s="49" t="inlineStr">
        <is>
          <t>Giữ</t>
        </is>
      </c>
      <c r="F312" s="39" t="n"/>
      <c r="G312" s="39" t="inlineStr">
        <is>
          <t>Hợp vai trò.</t>
        </is>
      </c>
      <c r="H312" s="39" t="n"/>
    </row>
    <row r="313" ht="21.75" customHeight="1" s="32">
      <c r="A313" s="41" t="inlineStr">
        <is>
          <t>thermobaric_launcher</t>
        </is>
      </c>
      <c r="B313" s="41" t="inlineStr">
        <is>
          <t>Pháo phản lực nhiệt áp</t>
        </is>
      </c>
      <c r="C313" s="41" t="inlineStr">
        <is>
          <t>Nổ khi bị phá (bán kính)</t>
        </is>
      </c>
      <c r="D313" s="41" t="inlineStr">
        <is>
          <t>12 m · 360 sát thương</t>
        </is>
      </c>
      <c r="E313" s="47" t="inlineStr">
        <is>
          <t>Đổi</t>
        </is>
      </c>
      <c r="F313" s="41" t="inlineStr">
        <is>
          <t>~9 m</t>
        </is>
      </c>
      <c r="G313" s="41" t="inlineStr">
        <is>
          <t>Bán kính nổ khi bị phá nên theo cỡ xe, cộng thêm nếu xe chở nhiều đạn/nhiên liệu. Xe này chở nhiều đạn.</t>
        </is>
      </c>
      <c r="H313" s="49" t="inlineStr">
        <is>
          <t>Thấp</t>
        </is>
      </c>
    </row>
    <row r="314" ht="32.25" customHeight="1" s="32">
      <c r="A314" s="39" t="inlineStr">
        <is>
          <t>thermobaric_launcher</t>
        </is>
      </c>
      <c r="B314" s="39" t="inlineStr">
        <is>
          <t>Pháo phản lực nhiệt áp</t>
        </is>
      </c>
      <c r="C314" s="39" t="inlineStr">
        <is>
          <t>Tham khảo / model</t>
        </is>
      </c>
      <c r="D314" s="39" t="inlineStr">
        <is>
          <t>TOS-1A Solntsepyok (khung T-72) — Giàn phóng rốc-két nhiệt áp 24 ống trên khung xe tăng</t>
        </is>
      </c>
      <c r="E314" s="49" t="inlineStr">
        <is>
          <t>Giữ</t>
        </is>
      </c>
      <c r="F314" s="39" t="n"/>
      <c r="G314" s="39" t="inlineStr">
        <is>
          <t>Khớp vũ khí và vai trò.</t>
        </is>
      </c>
      <c r="H314" s="39" t="n"/>
    </row>
    <row r="315" ht="21.75" customHeight="1" s="32">
      <c r="A315" s="41" t="inlineStr">
        <is>
          <t>ballistic_launcher</t>
        </is>
      </c>
      <c r="B315" s="41" t="inlineStr">
        <is>
          <t>Xe phóng tên lửa đạn đạo</t>
        </is>
      </c>
      <c r="C315" s="41" t="inlineStr">
        <is>
          <t>Tên</t>
        </is>
      </c>
      <c r="D315" s="41" t="inlineStr">
        <is>
          <t>Xe phóng tên lửa đạn đạo</t>
        </is>
      </c>
      <c r="E315" s="47" t="inlineStr">
        <is>
          <t>Đổi</t>
        </is>
      </c>
      <c r="F315" s="41" t="inlineStr">
        <is>
          <t>Xe phóng tên lửa chiến thuật · ngắn: Tên lửa chiến thuật · EN: Tactical Ballistic Launcher</t>
        </is>
      </c>
      <c r="G315" s="41" t="inlineStr">
        <is>
          <t>"Chiến thuật" đúng phân loại thật (Iskander là tên lửa đạn đạo chiến thuật).</t>
        </is>
      </c>
      <c r="H315" s="49" t="inlineStr">
        <is>
          <t>Thấp</t>
        </is>
      </c>
    </row>
    <row r="316" ht="15" customHeight="1" s="32">
      <c r="A316" s="39" t="inlineStr">
        <is>
          <t>ballistic_launcher</t>
        </is>
      </c>
      <c r="B316" s="39" t="inlineStr">
        <is>
          <t>Xe phóng tên lửa đạn đạo</t>
        </is>
      </c>
      <c r="C316" s="39" t="inlineStr">
        <is>
          <t>Máu</t>
        </is>
      </c>
      <c r="D316" s="42" t="n">
        <v>990</v>
      </c>
      <c r="E316" s="49" t="inlineStr">
        <is>
          <t>Giữ</t>
        </is>
      </c>
      <c r="F316" s="39" t="n"/>
      <c r="G316" s="39" t="inlineStr">
        <is>
          <t>Máu/CP 0.77 × trung vị lớp Pháo binh.</t>
        </is>
      </c>
      <c r="H316" s="39" t="n"/>
    </row>
    <row r="317" ht="15" customHeight="1" s="32">
      <c r="A317" s="41" t="inlineStr">
        <is>
          <t>ballistic_launcher</t>
        </is>
      </c>
      <c r="B317" s="41" t="inlineStr">
        <is>
          <t>Xe phóng tên lửa đạn đạo</t>
        </is>
      </c>
      <c r="C317" s="41" t="inlineStr">
        <is>
          <t>Giáp (T/H/S/N)</t>
        </is>
      </c>
      <c r="D317" s="41" t="inlineStr">
        <is>
          <t>1/0/0/0</t>
        </is>
      </c>
      <c r="E317" s="49" t="inlineStr">
        <is>
          <t>Giữ</t>
        </is>
      </c>
      <c r="F317" s="41" t="n"/>
      <c r="G317" s="41" t="inlineStr">
        <is>
          <t>Giả tưởng / máy bay; khớp vai trò.</t>
        </is>
      </c>
      <c r="H317" s="41" t="n"/>
    </row>
    <row r="318" ht="15" customHeight="1" s="32">
      <c r="A318" s="39" t="inlineStr">
        <is>
          <t>ballistic_launcher</t>
        </is>
      </c>
      <c r="B318" s="39" t="inlineStr">
        <is>
          <t>Xe phóng tên lửa đạn đạo</t>
        </is>
      </c>
      <c r="C318" s="39" t="inlineStr">
        <is>
          <t>Tốc độ</t>
        </is>
      </c>
      <c r="D318" s="42" t="n">
        <v>6.5</v>
      </c>
      <c r="E318" s="49" t="inlineStr">
        <is>
          <t>Giữ</t>
        </is>
      </c>
      <c r="F318" s="39" t="n"/>
      <c r="G318" s="39" t="inlineStr">
        <is>
          <t>Gần tốc độ thật × hệ số nén (7.8).</t>
        </is>
      </c>
      <c r="H318" s="39" t="n"/>
    </row>
    <row r="319" ht="15" customHeight="1" s="32">
      <c r="A319" s="41" t="inlineStr">
        <is>
          <t>ballistic_launcher</t>
        </is>
      </c>
      <c r="B319" s="41" t="inlineStr">
        <is>
          <t>Xe phóng tên lửa đạn đạo</t>
        </is>
      </c>
      <c r="C319" s="41" t="inlineStr">
        <is>
          <t>Tốc độ xoay thân / tháp</t>
        </is>
      </c>
      <c r="D319" s="41" t="inlineStr">
        <is>
          <t>1 / 1</t>
        </is>
      </c>
      <c r="E319" s="49" t="inlineStr">
        <is>
          <t>Giữ</t>
        </is>
      </c>
      <c r="F319" s="41" t="n"/>
      <c r="G319" s="41" t="inlineStr">
        <is>
          <t>Hợp lý so với loại xe.</t>
        </is>
      </c>
      <c r="H319" s="41" t="n"/>
    </row>
    <row r="320" ht="15" customHeight="1" s="32">
      <c r="A320" s="39" t="inlineStr">
        <is>
          <t>ballistic_launcher</t>
        </is>
      </c>
      <c r="B320" s="39" t="inlineStr">
        <is>
          <t>Xe phóng tên lửa đạn đạo</t>
        </is>
      </c>
      <c r="C320" s="39" t="inlineStr">
        <is>
          <t>Kích thước model (dài × rộng × cao)</t>
        </is>
      </c>
      <c r="D320" s="39" t="inlineStr">
        <is>
          <t>10.9 × 2.6 × 4.7</t>
        </is>
      </c>
      <c r="E320" s="49" t="inlineStr">
        <is>
          <t>Giữ</t>
        </is>
      </c>
      <c r="F320" s="39" t="n"/>
      <c r="G320" s="39" t="inlineStr">
        <is>
          <t>Khớp tỷ lệ chung (mẫu thật 13.1 m).</t>
        </is>
      </c>
      <c r="H320" s="39" t="n"/>
    </row>
    <row r="321" ht="15" customHeight="1" s="32">
      <c r="A321" s="41" t="inlineStr">
        <is>
          <t>ballistic_launcher</t>
        </is>
      </c>
      <c r="B321" s="41" t="inlineStr">
        <is>
          <t>Xe phóng tên lửa đạn đạo</t>
        </is>
      </c>
      <c r="C321" s="41" t="inlineStr">
        <is>
          <t>Tầm nhìn</t>
        </is>
      </c>
      <c r="D321" s="43" t="n">
        <v>26</v>
      </c>
      <c r="E321" s="49" t="inlineStr">
        <is>
          <t>Giữ</t>
        </is>
      </c>
      <c r="F321" s="41" t="n"/>
      <c r="G321" s="41" t="inlineStr">
        <is>
          <t>Khớp vai trò.</t>
        </is>
      </c>
      <c r="H321" s="41" t="n"/>
    </row>
    <row r="322" ht="15" customHeight="1" s="32">
      <c r="A322" s="39" t="inlineStr">
        <is>
          <t>ballistic_launcher</t>
        </is>
      </c>
      <c r="B322" s="39" t="inlineStr">
        <is>
          <t>Xe phóng tên lửa đạn đạo</t>
        </is>
      </c>
      <c r="C322" s="39" t="inlineStr">
        <is>
          <t>Tầm bắn</t>
        </is>
      </c>
      <c r="D322" s="39" t="inlineStr">
        <is>
          <t>180</t>
        </is>
      </c>
      <c r="E322" s="49" t="inlineStr">
        <is>
          <t>Giữ</t>
        </is>
      </c>
      <c r="F322" s="39" t="n"/>
      <c r="G322" s="39" t="inlineStr">
        <is>
          <t>Thứ tự tầm hợp lý trong nhóm.</t>
        </is>
      </c>
      <c r="H322" s="39" t="n"/>
    </row>
    <row r="323" ht="15" customHeight="1" s="32">
      <c r="A323" s="41" t="inlineStr">
        <is>
          <t>ballistic_launcher</t>
        </is>
      </c>
      <c r="B323" s="41" t="inlineStr">
        <is>
          <t>Xe phóng tên lửa đạn đạo</t>
        </is>
      </c>
      <c r="C323" s="41" t="inlineStr">
        <is>
          <t>Giá (CP)</t>
        </is>
      </c>
      <c r="D323" s="43" t="n">
        <v>11</v>
      </c>
      <c r="E323" s="49" t="inlineStr">
        <is>
          <t>Giữ</t>
        </is>
      </c>
      <c r="F323" s="41" t="n"/>
      <c r="G323" s="41" t="inlineStr">
        <is>
          <t>Hiệu quả trong khoảng ±25% trung vị, thứ tự giá hợp ngoài đời (sheet Giá CP).</t>
        </is>
      </c>
      <c r="H323" s="41" t="n"/>
    </row>
    <row r="324" ht="15" customHeight="1" s="32">
      <c r="A324" s="39" t="inlineStr">
        <is>
          <t>ballistic_launcher</t>
        </is>
      </c>
      <c r="B324" s="39" t="inlineStr">
        <is>
          <t>Xe phóng tên lửa đạn đạo</t>
        </is>
      </c>
      <c r="C324" s="39" t="inlineStr">
        <is>
          <t>Vũ khí: Iskander</t>
        </is>
      </c>
      <c r="D324" s="39" t="inlineStr">
        <is>
          <t>tốc độ 24 (bay 7,5 s) · nổ lan 12 m</t>
        </is>
      </c>
      <c r="E324" s="47" t="inlineStr">
        <is>
          <t>Đổi</t>
        </is>
      </c>
      <c r="F324" s="39" t="inlineStr">
        <is>
          <t>tốc độ 50 (bay 3,6 s) · nổ lan 10 m</t>
        </is>
      </c>
      <c r="G324" s="39" t="inlineStr">
        <is>
          <t>Tên lửa đạn đạo phải là thứ nhanh nhất; vẫn đủ thời gian cho PAC-3 đánh chặn.</t>
        </is>
      </c>
      <c r="H324" s="48" t="inlineStr">
        <is>
          <t>Trung</t>
        </is>
      </c>
    </row>
    <row r="325" ht="32.25" customHeight="1" s="32">
      <c r="A325" s="41" t="inlineStr">
        <is>
          <t>ballistic_launcher</t>
        </is>
      </c>
      <c r="B325" s="41" t="inlineStr">
        <is>
          <t>Xe phóng tên lửa đạn đạo</t>
        </is>
      </c>
      <c r="C325" s="41" t="inlineStr">
        <is>
          <t>Hành vi</t>
        </is>
      </c>
      <c r="D325" s="41" t="inlineStr">
        <is>
          <t xml:space="preserve">Dừng lại mới bắn, từ 40-180 m; cần ta nhìn thấy mục tiêu (tự nó hoặc quân bạn); </t>
        </is>
      </c>
      <c r="E325" s="49" t="inlineStr">
        <is>
          <t>Giữ</t>
        </is>
      </c>
      <c r="F325" s="41" t="n"/>
      <c r="G325" s="41" t="inlineStr">
        <is>
          <t>Hợp vai trò.</t>
        </is>
      </c>
      <c r="H325" s="41" t="n"/>
    </row>
    <row r="326" ht="15" customHeight="1" s="32">
      <c r="A326" s="39" t="inlineStr">
        <is>
          <t>ballistic_launcher</t>
        </is>
      </c>
      <c r="B326" s="39" t="inlineStr">
        <is>
          <t>Xe phóng tên lửa đạn đạo</t>
        </is>
      </c>
      <c r="C326" s="39" t="inlineStr">
        <is>
          <t>Nổ khi bị phá (bán kính)</t>
        </is>
      </c>
      <c r="D326" s="39" t="inlineStr">
        <is>
          <t>13 m · 520 sát thương</t>
        </is>
      </c>
      <c r="E326" s="49" t="inlineStr">
        <is>
          <t>Giữ</t>
        </is>
      </c>
      <c r="F326" s="39" t="n"/>
      <c r="G326" s="39" t="inlineStr">
        <is>
          <t>Hợp với cỡ xe.</t>
        </is>
      </c>
      <c r="H326" s="39" t="n"/>
    </row>
    <row r="327" ht="32.25" customHeight="1" s="32">
      <c r="A327" s="41" t="inlineStr">
        <is>
          <t>ballistic_launcher</t>
        </is>
      </c>
      <c r="B327" s="41" t="inlineStr">
        <is>
          <t>Xe phóng tên lửa đạn đạo</t>
        </is>
      </c>
      <c r="C327" s="41" t="inlineStr">
        <is>
          <t>Tham khảo / model</t>
        </is>
      </c>
      <c r="D327" s="41" t="inlineStr">
        <is>
          <t>9K720 Iskander (9M723) — Xe phóng tên lửa đạn đạo, dựng đứng tên lửa khi phóng</t>
        </is>
      </c>
      <c r="E327" s="49" t="inlineStr">
        <is>
          <t>Giữ</t>
        </is>
      </c>
      <c r="F327" s="41" t="n"/>
      <c r="G327" s="41" t="inlineStr">
        <is>
          <t>Khớp vũ khí và vai trò.</t>
        </is>
      </c>
      <c r="H327" s="41" t="n"/>
    </row>
    <row r="328" ht="21.75" customHeight="1" s="32">
      <c r="A328" s="39" t="inlineStr">
        <is>
          <t>heavy_rocket_artillery</t>
        </is>
      </c>
      <c r="B328" s="39" t="inlineStr">
        <is>
          <t>Pháo phản lực hạng nặng</t>
        </is>
      </c>
      <c r="C328" s="39" t="inlineStr">
        <is>
          <t>Tên</t>
        </is>
      </c>
      <c r="D328" s="39" t="inlineStr">
        <is>
          <t>Pháo phản lực hạng nặng</t>
        </is>
      </c>
      <c r="E328" s="49" t="inlineStr">
        <is>
          <t>Giữ</t>
        </is>
      </c>
      <c r="F328" s="39" t="inlineStr">
        <is>
          <t>Pháo phản lực hạng nặng · ngắn: Phản lực nặng · EN: Heavy MLRS</t>
        </is>
      </c>
      <c r="G328" s="39" t="inlineStr">
        <is>
          <t>Bảng DPS ghi "Phản lực 300": thống nhất.</t>
        </is>
      </c>
      <c r="H328" s="39" t="n"/>
    </row>
    <row r="329" ht="15" customHeight="1" s="32">
      <c r="A329" s="41" t="inlineStr">
        <is>
          <t>heavy_rocket_artillery</t>
        </is>
      </c>
      <c r="B329" s="41" t="inlineStr">
        <is>
          <t>Pháo phản lực hạng nặng</t>
        </is>
      </c>
      <c r="C329" s="41" t="inlineStr">
        <is>
          <t>Máu</t>
        </is>
      </c>
      <c r="D329" s="43" t="n">
        <v>924</v>
      </c>
      <c r="E329" s="49" t="inlineStr">
        <is>
          <t>Giữ</t>
        </is>
      </c>
      <c r="F329" s="41" t="n"/>
      <c r="G329" s="41" t="inlineStr">
        <is>
          <t>Máu/CP 0.72 × trung vị lớp Pháo binh.</t>
        </is>
      </c>
      <c r="H329" s="41" t="n"/>
    </row>
    <row r="330" ht="15" customHeight="1" s="32">
      <c r="A330" s="39" t="inlineStr">
        <is>
          <t>heavy_rocket_artillery</t>
        </is>
      </c>
      <c r="B330" s="39" t="inlineStr">
        <is>
          <t>Pháo phản lực hạng nặng</t>
        </is>
      </c>
      <c r="C330" s="39" t="inlineStr">
        <is>
          <t>Giáp (T/H/S/N)</t>
        </is>
      </c>
      <c r="D330" s="39" t="inlineStr">
        <is>
          <t>1/0/0/0</t>
        </is>
      </c>
      <c r="E330" s="49" t="inlineStr">
        <is>
          <t>Giữ</t>
        </is>
      </c>
      <c r="F330" s="39" t="n"/>
      <c r="G330" s="39" t="inlineStr">
        <is>
          <t>Giả tưởng / máy bay; khớp vai trò.</t>
        </is>
      </c>
      <c r="H330" s="39" t="n"/>
    </row>
    <row r="331" ht="15" customHeight="1" s="32">
      <c r="A331" s="41" t="inlineStr">
        <is>
          <t>heavy_rocket_artillery</t>
        </is>
      </c>
      <c r="B331" s="41" t="inlineStr">
        <is>
          <t>Pháo phản lực hạng nặng</t>
        </is>
      </c>
      <c r="C331" s="41" t="inlineStr">
        <is>
          <t>Tốc độ</t>
        </is>
      </c>
      <c r="D331" s="43" t="n">
        <v>6.5</v>
      </c>
      <c r="E331" s="49" t="inlineStr">
        <is>
          <t>Giữ</t>
        </is>
      </c>
      <c r="F331" s="41" t="n"/>
      <c r="G331" s="41" t="inlineStr">
        <is>
          <t>Gần tốc độ thật × hệ số nén (6.7).</t>
        </is>
      </c>
      <c r="H331" s="41" t="n"/>
    </row>
    <row r="332" ht="15" customHeight="1" s="32">
      <c r="A332" s="39" t="inlineStr">
        <is>
          <t>heavy_rocket_artillery</t>
        </is>
      </c>
      <c r="B332" s="39" t="inlineStr">
        <is>
          <t>Pháo phản lực hạng nặng</t>
        </is>
      </c>
      <c r="C332" s="39" t="inlineStr">
        <is>
          <t>Tốc độ xoay thân / tháp</t>
        </is>
      </c>
      <c r="D332" s="39" t="inlineStr">
        <is>
          <t>1 / 1</t>
        </is>
      </c>
      <c r="E332" s="49" t="inlineStr">
        <is>
          <t>Giữ</t>
        </is>
      </c>
      <c r="F332" s="39" t="n"/>
      <c r="G332" s="39" t="inlineStr">
        <is>
          <t>Hợp lý so với loại xe.</t>
        </is>
      </c>
      <c r="H332" s="39" t="n"/>
    </row>
    <row r="333" ht="15" customHeight="1" s="32">
      <c r="A333" s="41" t="inlineStr">
        <is>
          <t>heavy_rocket_artillery</t>
        </is>
      </c>
      <c r="B333" s="41" t="inlineStr">
        <is>
          <t>Pháo phản lực hạng nặng</t>
        </is>
      </c>
      <c r="C333" s="41" t="inlineStr">
        <is>
          <t>Kích thước model (dài × rộng × cao)</t>
        </is>
      </c>
      <c r="D333" s="41" t="inlineStr">
        <is>
          <t>10.5 × 2.7 × 4.2</t>
        </is>
      </c>
      <c r="E333" s="49" t="inlineStr">
        <is>
          <t>Giữ</t>
        </is>
      </c>
      <c r="F333" s="41" t="n"/>
      <c r="G333" s="41" t="inlineStr">
        <is>
          <t>Khớp tỷ lệ chung (mẫu thật 12.1 m).</t>
        </is>
      </c>
      <c r="H333" s="41" t="n"/>
    </row>
    <row r="334" ht="15" customHeight="1" s="32">
      <c r="A334" s="39" t="inlineStr">
        <is>
          <t>heavy_rocket_artillery</t>
        </is>
      </c>
      <c r="B334" s="39" t="inlineStr">
        <is>
          <t>Pháo phản lực hạng nặng</t>
        </is>
      </c>
      <c r="C334" s="39" t="inlineStr">
        <is>
          <t>Tầm nhìn</t>
        </is>
      </c>
      <c r="D334" s="42" t="n">
        <v>30</v>
      </c>
      <c r="E334" s="49" t="inlineStr">
        <is>
          <t>Giữ</t>
        </is>
      </c>
      <c r="F334" s="39" t="n"/>
      <c r="G334" s="39" t="inlineStr">
        <is>
          <t>Khớp vai trò.</t>
        </is>
      </c>
      <c r="H334" s="39" t="n"/>
    </row>
    <row r="335" ht="15" customHeight="1" s="32">
      <c r="A335" s="41" t="inlineStr">
        <is>
          <t>heavy_rocket_artillery</t>
        </is>
      </c>
      <c r="B335" s="41" t="inlineStr">
        <is>
          <t>Pháo phản lực hạng nặng</t>
        </is>
      </c>
      <c r="C335" s="41" t="inlineStr">
        <is>
          <t>Tầm bắn</t>
        </is>
      </c>
      <c r="D335" s="41" t="inlineStr">
        <is>
          <t>140</t>
        </is>
      </c>
      <c r="E335" s="49" t="inlineStr">
        <is>
          <t>Giữ</t>
        </is>
      </c>
      <c r="F335" s="41" t="n"/>
      <c r="G335" s="41" t="inlineStr">
        <is>
          <t>Thứ tự tầm hợp lý trong nhóm.</t>
        </is>
      </c>
      <c r="H335" s="41" t="n"/>
    </row>
    <row r="336" ht="15" customHeight="1" s="32">
      <c r="A336" s="39" t="inlineStr">
        <is>
          <t>heavy_rocket_artillery</t>
        </is>
      </c>
      <c r="B336" s="39" t="inlineStr">
        <is>
          <t>Pháo phản lực hạng nặng</t>
        </is>
      </c>
      <c r="C336" s="39" t="inlineStr">
        <is>
          <t>Giá (CP)</t>
        </is>
      </c>
      <c r="D336" s="42" t="n">
        <v>11</v>
      </c>
      <c r="E336" s="47" t="inlineStr">
        <is>
          <t>Đổi</t>
        </is>
      </c>
      <c r="F336" s="39" t="inlineStr">
        <is>
          <t>12 CP</t>
        </is>
      </c>
      <c r="G336" s="39" t="inlineStr">
        <is>
          <t>Mạnh hơn đạn đạo cùng giá.</t>
        </is>
      </c>
      <c r="H336" s="49" t="inlineStr">
        <is>
          <t>Thấp</t>
        </is>
      </c>
    </row>
    <row r="337" ht="21.75" customHeight="1" s="32">
      <c r="A337" s="41" t="inlineStr">
        <is>
          <t>heavy_rocket_artillery</t>
        </is>
      </c>
      <c r="B337" s="41" t="inlineStr">
        <is>
          <t>Pháo phản lực hạng nặng</t>
        </is>
      </c>
      <c r="C337" s="41" t="inlineStr">
        <is>
          <t>Vũ khí: Smerch 300 mm</t>
        </is>
      </c>
      <c r="D337" s="41" t="inlineStr">
        <is>
          <t>tốc độ 24 (bay 5,8 s, chậm hơn cả Grad)</t>
        </is>
      </c>
      <c r="E337" s="47" t="inlineStr">
        <is>
          <t>Đổi</t>
        </is>
      </c>
      <c r="F337" s="41" t="inlineStr">
        <is>
          <t>tốc độ 55 (bay 2,5 s)</t>
        </is>
      </c>
      <c r="G337" s="41" t="inlineStr">
        <is>
          <t>Rốc-két cỡ lớn bay nhanh và xa nhất; hiện chậm ngược.</t>
        </is>
      </c>
      <c r="H337" s="49" t="inlineStr">
        <is>
          <t>Thấp</t>
        </is>
      </c>
    </row>
    <row r="338" ht="32.25" customHeight="1" s="32">
      <c r="A338" s="39" t="inlineStr">
        <is>
          <t>heavy_rocket_artillery</t>
        </is>
      </c>
      <c r="B338" s="39" t="inlineStr">
        <is>
          <t>Pháo phản lực hạng nặng</t>
        </is>
      </c>
      <c r="C338" s="39" t="inlineStr">
        <is>
          <t>Hành vi</t>
        </is>
      </c>
      <c r="D338" s="39" t="inlineStr">
        <is>
          <t xml:space="preserve">Dừng lại mới bắn, từ 30-140 m; cần ta nhìn thấy mục tiêu (tự nó hoặc quân bạn); </t>
        </is>
      </c>
      <c r="E338" s="49" t="inlineStr">
        <is>
          <t>Giữ</t>
        </is>
      </c>
      <c r="F338" s="39" t="n"/>
      <c r="G338" s="39" t="inlineStr">
        <is>
          <t>Hợp vai trò.</t>
        </is>
      </c>
      <c r="H338" s="39" t="n"/>
    </row>
    <row r="339" ht="15" customHeight="1" s="32">
      <c r="A339" s="41" t="inlineStr">
        <is>
          <t>heavy_rocket_artillery</t>
        </is>
      </c>
      <c r="B339" s="41" t="inlineStr">
        <is>
          <t>Pháo phản lực hạng nặng</t>
        </is>
      </c>
      <c r="C339" s="41" t="inlineStr">
        <is>
          <t>Nổ khi bị phá (bán kính)</t>
        </is>
      </c>
      <c r="D339" s="41" t="inlineStr">
        <is>
          <t>11 m · 400 sát thương</t>
        </is>
      </c>
      <c r="E339" s="49" t="inlineStr">
        <is>
          <t>Giữ</t>
        </is>
      </c>
      <c r="F339" s="41" t="n"/>
      <c r="G339" s="41" t="inlineStr">
        <is>
          <t>Hợp với cỡ xe.</t>
        </is>
      </c>
      <c r="H339" s="41" t="n"/>
    </row>
    <row r="340" ht="21.75" customHeight="1" s="32">
      <c r="A340" s="39" t="inlineStr">
        <is>
          <t>heavy_rocket_artillery</t>
        </is>
      </c>
      <c r="B340" s="39" t="inlineStr">
        <is>
          <t>Pháo phản lực hạng nặng</t>
        </is>
      </c>
      <c r="C340" s="39" t="inlineStr">
        <is>
          <t>Tham khảo / model</t>
        </is>
      </c>
      <c r="D340" s="39" t="inlineStr">
        <is>
          <t>BM-30 Smerch (9M55 300 mm) — Xe phóng rốc-két 300 mm 8x8, 12 ống</t>
        </is>
      </c>
      <c r="E340" s="49" t="inlineStr">
        <is>
          <t>Giữ</t>
        </is>
      </c>
      <c r="F340" s="39" t="n"/>
      <c r="G340" s="39" t="inlineStr">
        <is>
          <t>Khớp vũ khí và vai trò.</t>
        </is>
      </c>
      <c r="H340" s="39" t="n"/>
    </row>
    <row r="341" ht="15" customHeight="1" s="32">
      <c r="A341" s="41" t="inlineStr">
        <is>
          <t>siege_tank</t>
        </is>
      </c>
      <c r="B341" s="41" t="inlineStr">
        <is>
          <t>Tăng công thành</t>
        </is>
      </c>
      <c r="C341" s="41" t="inlineStr">
        <is>
          <t>Tên</t>
        </is>
      </c>
      <c r="D341" s="41" t="inlineStr">
        <is>
          <t>Tăng công thành</t>
        </is>
      </c>
      <c r="E341" s="47" t="inlineStr">
        <is>
          <t>Đổi</t>
        </is>
      </c>
      <c r="F341" s="41" t="inlineStr">
        <is>
          <t>Pháo cối công thành · ngắn: Công thành · EN: Siege Mortar</t>
        </is>
      </c>
      <c r="G341" s="41" t="inlineStr">
        <is>
          <t>Không phải xe tăng; vũ khí chính là cối 240 mm.</t>
        </is>
      </c>
      <c r="H341" s="49" t="inlineStr">
        <is>
          <t>Thấp</t>
        </is>
      </c>
    </row>
    <row r="342" ht="21.75" customHeight="1" s="32">
      <c r="A342" s="39" t="inlineStr">
        <is>
          <t>siege_tank</t>
        </is>
      </c>
      <c r="B342" s="39" t="inlineStr">
        <is>
          <t>Tăng công thành</t>
        </is>
      </c>
      <c r="C342" s="39" t="inlineStr">
        <is>
          <t>Máu</t>
        </is>
      </c>
      <c r="D342" s="42" t="n">
        <v>3300</v>
      </c>
      <c r="E342" s="48" t="inlineStr">
        <is>
          <t>Xem lại</t>
        </is>
      </c>
      <c r="F342" s="39" t="inlineStr">
        <is>
          <t>Máu/CP gấp 2.3 lần trung vị lớp; giữ nếu đó là bản sắc (xe chịu đòn)</t>
        </is>
      </c>
      <c r="G342" s="39" t="inlineStr">
        <is>
          <t>Kiểm tra theo trung vị máu/CP của lớp.</t>
        </is>
      </c>
      <c r="H342" s="39" t="n"/>
    </row>
    <row r="343" ht="15" customHeight="1" s="32">
      <c r="A343" s="41" t="inlineStr">
        <is>
          <t>siege_tank</t>
        </is>
      </c>
      <c r="B343" s="41" t="inlineStr">
        <is>
          <t>Tăng công thành</t>
        </is>
      </c>
      <c r="C343" s="41" t="inlineStr">
        <is>
          <t>Giáp (T/H/S/N)</t>
        </is>
      </c>
      <c r="D343" s="41" t="inlineStr">
        <is>
          <t>3/2/1/1</t>
        </is>
      </c>
      <c r="E343" s="47" t="inlineStr">
        <is>
          <t>Đổi</t>
        </is>
      </c>
      <c r="F343" s="41" t="inlineStr">
        <is>
          <t>2/1/1/0</t>
        </is>
      </c>
      <c r="G343" s="41" t="inlineStr">
        <is>
          <t>2S4 Tyulpan là khung pháo tự hành, giáp nhẹ, không dày như tăng.</t>
        </is>
      </c>
      <c r="H343" s="48" t="inlineStr">
        <is>
          <t>Trung</t>
        </is>
      </c>
    </row>
    <row r="344" ht="15" customHeight="1" s="32">
      <c r="A344" s="39" t="inlineStr">
        <is>
          <t>siege_tank</t>
        </is>
      </c>
      <c r="B344" s="39" t="inlineStr">
        <is>
          <t>Tăng công thành</t>
        </is>
      </c>
      <c r="C344" s="39" t="inlineStr">
        <is>
          <t>Tốc độ</t>
        </is>
      </c>
      <c r="D344" s="42" t="n">
        <v>5.5</v>
      </c>
      <c r="E344" s="49" t="inlineStr">
        <is>
          <t>Giữ</t>
        </is>
      </c>
      <c r="F344" s="39" t="n"/>
      <c r="G344" s="39" t="inlineStr">
        <is>
          <t>Gần tốc độ thật × hệ số nén (5.7).</t>
        </is>
      </c>
      <c r="H344" s="39" t="n"/>
    </row>
    <row r="345" ht="15" customHeight="1" s="32">
      <c r="A345" s="41" t="inlineStr">
        <is>
          <t>siege_tank</t>
        </is>
      </c>
      <c r="B345" s="41" t="inlineStr">
        <is>
          <t>Tăng công thành</t>
        </is>
      </c>
      <c r="C345" s="41" t="inlineStr">
        <is>
          <t>Tốc độ xoay thân / tháp</t>
        </is>
      </c>
      <c r="D345" s="41" t="inlineStr">
        <is>
          <t>1 / 1</t>
        </is>
      </c>
      <c r="E345" s="49" t="inlineStr">
        <is>
          <t>Giữ</t>
        </is>
      </c>
      <c r="F345" s="41" t="n"/>
      <c r="G345" s="41" t="inlineStr">
        <is>
          <t>Hợp lý so với loại xe.</t>
        </is>
      </c>
      <c r="H345" s="41" t="n"/>
    </row>
    <row r="346" ht="21.75" customHeight="1" s="32">
      <c r="A346" s="39" t="inlineStr">
        <is>
          <t>siege_tank</t>
        </is>
      </c>
      <c r="B346" s="39" t="inlineStr">
        <is>
          <t>Tăng công thành</t>
        </is>
      </c>
      <c r="C346" s="39" t="inlineStr">
        <is>
          <t>Kích thước model (dài × rộng × cao)</t>
        </is>
      </c>
      <c r="D346" s="39" t="inlineStr">
        <is>
          <t>7.7 × 3.4 × 3.1</t>
        </is>
      </c>
      <c r="E346" s="47" t="inlineStr">
        <is>
          <t>Đổi</t>
        </is>
      </c>
      <c r="F346" s="39" t="inlineStr">
        <is>
          <t>6.8 × 2.6 × 2.6</t>
        </is>
      </c>
      <c r="G346" s="39" t="inlineStr">
        <is>
          <t>Mẫu thật 2S4 Tyulpan: 8.5 × 3.2 m; theo tỷ lệ chung (mặt đất 0,8) nên là 6.8 × 2.6 m. Đổi kích thước thì chỉnh vùng va chạm và chạy lại test xe kẹt.</t>
        </is>
      </c>
      <c r="H346" s="49" t="inlineStr">
        <is>
          <t>Thấp</t>
        </is>
      </c>
    </row>
    <row r="347" ht="15" customHeight="1" s="32">
      <c r="A347" s="41" t="inlineStr">
        <is>
          <t>siege_tank</t>
        </is>
      </c>
      <c r="B347" s="41" t="inlineStr">
        <is>
          <t>Tăng công thành</t>
        </is>
      </c>
      <c r="C347" s="41" t="inlineStr">
        <is>
          <t>Tầm nhìn</t>
        </is>
      </c>
      <c r="D347" s="43" t="n">
        <v>38</v>
      </c>
      <c r="E347" s="48" t="inlineStr">
        <is>
          <t>Xem lại</t>
        </is>
      </c>
      <c r="F347" s="41" t="inlineStr">
        <is>
          <t>~30 m</t>
        </is>
      </c>
      <c r="G347" s="41" t="inlineStr">
        <is>
          <t>Lệch hơn 20% so với mức kỳ vọng của vai trò.</t>
        </is>
      </c>
      <c r="H347" s="41" t="n"/>
    </row>
    <row r="348" ht="15" customHeight="1" s="32">
      <c r="A348" s="39" t="inlineStr">
        <is>
          <t>siege_tank</t>
        </is>
      </c>
      <c r="B348" s="39" t="inlineStr">
        <is>
          <t>Tăng công thành</t>
        </is>
      </c>
      <c r="C348" s="39" t="inlineStr">
        <is>
          <t>Tầm bắn</t>
        </is>
      </c>
      <c r="D348" s="39" t="inlineStr">
        <is>
          <t>70</t>
        </is>
      </c>
      <c r="E348" s="49" t="inlineStr">
        <is>
          <t>Giữ</t>
        </is>
      </c>
      <c r="F348" s="39" t="n"/>
      <c r="G348" s="39" t="inlineStr">
        <is>
          <t>Thứ tự tầm hợp lý trong nhóm.</t>
        </is>
      </c>
      <c r="H348" s="39" t="n"/>
    </row>
    <row r="349" ht="15" customHeight="1" s="32">
      <c r="A349" s="41" t="inlineStr">
        <is>
          <t>siege_tank</t>
        </is>
      </c>
      <c r="B349" s="41" t="inlineStr">
        <is>
          <t>Tăng công thành</t>
        </is>
      </c>
      <c r="C349" s="41" t="inlineStr">
        <is>
          <t>Giá (CP)</t>
        </is>
      </c>
      <c r="D349" s="43" t="n">
        <v>12</v>
      </c>
      <c r="E349" s="49" t="inlineStr">
        <is>
          <t>Giữ</t>
        </is>
      </c>
      <c r="F349" s="41" t="n"/>
      <c r="G349" s="41" t="inlineStr">
        <is>
          <t>Hiệu quả trong khoảng ±25% trung vị, thứ tự giá hợp ngoài đời (sheet Giá CP).</t>
        </is>
      </c>
      <c r="H349" s="41" t="n"/>
    </row>
    <row r="350" ht="15" customHeight="1" s="32">
      <c r="A350" s="39" t="inlineStr">
        <is>
          <t>siege_tank</t>
        </is>
      </c>
      <c r="B350" s="39" t="inlineStr">
        <is>
          <t>Tăng công thành</t>
        </is>
      </c>
      <c r="C350" s="39" t="inlineStr">
        <is>
          <t>Vũ khí</t>
        </is>
      </c>
      <c r="D350" s="42" t="n">
        <v>3</v>
      </c>
      <c r="E350" s="49" t="inlineStr">
        <is>
          <t>Giữ</t>
        </is>
      </c>
      <c r="F350" s="39" t="n"/>
      <c r="G350" s="39" t="inlineStr">
        <is>
          <t>Bộ vũ khí khớp mẫu thật và vai trò.</t>
        </is>
      </c>
      <c r="H350" s="39" t="n"/>
    </row>
    <row r="351" ht="32.25" customHeight="1" s="32">
      <c r="A351" s="41" t="inlineStr">
        <is>
          <t>siege_tank</t>
        </is>
      </c>
      <c r="B351" s="41" t="inlineStr">
        <is>
          <t>Tăng công thành</t>
        </is>
      </c>
      <c r="C351" s="41" t="inlineStr">
        <is>
          <t>Hành vi</t>
        </is>
      </c>
      <c r="D351" s="41" t="inlineStr">
        <is>
          <t>Dừng lại mới bắn, từ 16-70 m; cần ta nhìn thấy mục tiêu (tự nó hoặc quân bạn); Ư</t>
        </is>
      </c>
      <c r="E351" s="49" t="inlineStr">
        <is>
          <t>Giữ</t>
        </is>
      </c>
      <c r="F351" s="41" t="n"/>
      <c r="G351" s="41" t="inlineStr">
        <is>
          <t>Hợp vai trò.</t>
        </is>
      </c>
      <c r="H351" s="41" t="n"/>
    </row>
    <row r="352" ht="15" customHeight="1" s="32">
      <c r="A352" s="39" t="inlineStr">
        <is>
          <t>siege_tank</t>
        </is>
      </c>
      <c r="B352" s="39" t="inlineStr">
        <is>
          <t>Tăng công thành</t>
        </is>
      </c>
      <c r="C352" s="39" t="inlineStr">
        <is>
          <t>Nổ khi bị phá (bán kính)</t>
        </is>
      </c>
      <c r="D352" s="39" t="inlineStr">
        <is>
          <t>11 m · 440 sát thương</t>
        </is>
      </c>
      <c r="E352" s="49" t="inlineStr">
        <is>
          <t>Giữ</t>
        </is>
      </c>
      <c r="F352" s="39" t="n"/>
      <c r="G352" s="39" t="inlineStr">
        <is>
          <t>Hợp với cỡ xe.</t>
        </is>
      </c>
      <c r="H352" s="39" t="n"/>
    </row>
    <row r="353" ht="32.25" customHeight="1" s="32">
      <c r="A353" s="41" t="inlineStr">
        <is>
          <t>siege_tank</t>
        </is>
      </c>
      <c r="B353" s="41" t="inlineStr">
        <is>
          <t>Tăng công thành</t>
        </is>
      </c>
      <c r="C353" s="41" t="inlineStr">
        <is>
          <t>Tham khảo / model</t>
        </is>
      </c>
      <c r="D353" s="41" t="inlineStr">
        <is>
          <t>2S4 Tyulpan (2B8 240 mm), M110 (càng chống), 2S7 Pion · Siege Tank Crucio (StarCraft II) —</t>
        </is>
      </c>
      <c r="E353" s="49" t="inlineStr">
        <is>
          <t>Giữ</t>
        </is>
      </c>
      <c r="F353" s="41" t="n"/>
      <c r="G353" s="41" t="inlineStr">
        <is>
          <t>Khớp vũ khí và vai trò.</t>
        </is>
      </c>
      <c r="H353" s="41" t="n"/>
    </row>
    <row r="354" ht="15" customHeight="1" s="32">
      <c r="A354" s="39" t="inlineStr">
        <is>
          <t>zu23_technical</t>
        </is>
      </c>
      <c r="B354" s="39" t="inlineStr">
        <is>
          <t>Bán tải ZU-23</t>
        </is>
      </c>
      <c r="C354" s="39" t="inlineStr">
        <is>
          <t>Tên</t>
        </is>
      </c>
      <c r="D354" s="39" t="inlineStr">
        <is>
          <t>Bán tải ZU-23</t>
        </is>
      </c>
      <c r="E354" s="47" t="inlineStr">
        <is>
          <t>Đổi</t>
        </is>
      </c>
      <c r="F354" s="39" t="inlineStr">
        <is>
          <t>Bán tải cao xạ · ngắn: Cao xạ bán tải · EN: Flak Technical</t>
        </is>
      </c>
      <c r="G354" s="39" t="inlineStr">
        <is>
          <t>Bỏ tên thật khỏi tên thẻ.</t>
        </is>
      </c>
      <c r="H354" s="49" t="inlineStr">
        <is>
          <t>Thấp</t>
        </is>
      </c>
    </row>
    <row r="355" ht="15" customHeight="1" s="32">
      <c r="A355" s="41" t="inlineStr">
        <is>
          <t>zu23_technical</t>
        </is>
      </c>
      <c r="B355" s="41" t="inlineStr">
        <is>
          <t>Bán tải ZU-23</t>
        </is>
      </c>
      <c r="C355" s="41" t="inlineStr">
        <is>
          <t>Máu</t>
        </is>
      </c>
      <c r="D355" s="43" t="n">
        <v>462</v>
      </c>
      <c r="E355" s="49" t="inlineStr">
        <is>
          <t>Giữ</t>
        </is>
      </c>
      <c r="F355" s="41" t="n"/>
      <c r="G355" s="41" t="inlineStr">
        <is>
          <t>Máu/CP 0.89 × trung vị lớp Phòng không.</t>
        </is>
      </c>
      <c r="H355" s="41" t="n"/>
    </row>
    <row r="356" ht="15" customHeight="1" s="32">
      <c r="A356" s="39" t="inlineStr">
        <is>
          <t>zu23_technical</t>
        </is>
      </c>
      <c r="B356" s="39" t="inlineStr">
        <is>
          <t>Bán tải ZU-23</t>
        </is>
      </c>
      <c r="C356" s="39" t="inlineStr">
        <is>
          <t>Giáp (T/H/S/N)</t>
        </is>
      </c>
      <c r="D356" s="39" t="inlineStr">
        <is>
          <t>cấp 0 (Không giáp)</t>
        </is>
      </c>
      <c r="E356" s="49" t="inlineStr">
        <is>
          <t>Giữ</t>
        </is>
      </c>
      <c r="F356" s="39" t="n"/>
      <c r="G356" s="39" t="inlineStr">
        <is>
          <t>Khớp mẫu thật theo thang 0–4.</t>
        </is>
      </c>
      <c r="H356" s="39" t="n"/>
    </row>
    <row r="357" ht="15" customHeight="1" s="32">
      <c r="A357" s="41" t="inlineStr">
        <is>
          <t>zu23_technical</t>
        </is>
      </c>
      <c r="B357" s="41" t="inlineStr">
        <is>
          <t>Bán tải ZU-23</t>
        </is>
      </c>
      <c r="C357" s="41" t="inlineStr">
        <is>
          <t>Tốc độ</t>
        </is>
      </c>
      <c r="D357" s="43" t="n">
        <v>12</v>
      </c>
      <c r="E357" s="49" t="inlineStr">
        <is>
          <t>Giữ</t>
        </is>
      </c>
      <c r="F357" s="41" t="n"/>
      <c r="G357" s="41" t="inlineStr">
        <is>
          <t>Gần tốc độ thật × hệ số nén (13.3).</t>
        </is>
      </c>
      <c r="H357" s="41" t="n"/>
    </row>
    <row r="358" ht="15" customHeight="1" s="32">
      <c r="A358" s="39" t="inlineStr">
        <is>
          <t>zu23_technical</t>
        </is>
      </c>
      <c r="B358" s="39" t="inlineStr">
        <is>
          <t>Bán tải ZU-23</t>
        </is>
      </c>
      <c r="C358" s="39" t="inlineStr">
        <is>
          <t>Tốc độ xoay thân / tháp</t>
        </is>
      </c>
      <c r="D358" s="39" t="inlineStr">
        <is>
          <t>3 / 4</t>
        </is>
      </c>
      <c r="E358" s="49" t="inlineStr">
        <is>
          <t>Giữ</t>
        </is>
      </c>
      <c r="F358" s="39" t="n"/>
      <c r="G358" s="39" t="inlineStr">
        <is>
          <t>Hợp lý so với loại xe.</t>
        </is>
      </c>
      <c r="H358" s="39" t="n"/>
    </row>
    <row r="359" ht="15" customHeight="1" s="32">
      <c r="A359" s="41" t="inlineStr">
        <is>
          <t>zu23_technical</t>
        </is>
      </c>
      <c r="B359" s="41" t="inlineStr">
        <is>
          <t>Bán tải ZU-23</t>
        </is>
      </c>
      <c r="C359" s="41" t="inlineStr">
        <is>
          <t>Kích thước model (dài × rộng × cao)</t>
        </is>
      </c>
      <c r="D359" s="41" t="inlineStr">
        <is>
          <t>4.5 × 1.8 × 2.1</t>
        </is>
      </c>
      <c r="E359" s="49" t="inlineStr">
        <is>
          <t>Giữ</t>
        </is>
      </c>
      <c r="F359" s="41" t="n"/>
      <c r="G359" s="41" t="inlineStr">
        <is>
          <t>Khớp tỷ lệ chung (mẫu thật 5.3 m).</t>
        </is>
      </c>
      <c r="H359" s="41" t="n"/>
    </row>
    <row r="360" ht="15" customHeight="1" s="32">
      <c r="A360" s="39" t="inlineStr">
        <is>
          <t>zu23_technical</t>
        </is>
      </c>
      <c r="B360" s="39" t="inlineStr">
        <is>
          <t>Bán tải ZU-23</t>
        </is>
      </c>
      <c r="C360" s="39" t="inlineStr">
        <is>
          <t>Tầm nhìn</t>
        </is>
      </c>
      <c r="D360" s="42" t="n">
        <v>40</v>
      </c>
      <c r="E360" s="49" t="inlineStr">
        <is>
          <t>Giữ</t>
        </is>
      </c>
      <c r="F360" s="39" t="n"/>
      <c r="G360" s="39" t="inlineStr">
        <is>
          <t>Khớp vai trò.</t>
        </is>
      </c>
      <c r="H360" s="39" t="n"/>
    </row>
    <row r="361" ht="15" customHeight="1" s="32">
      <c r="A361" s="41" t="inlineStr">
        <is>
          <t>zu23_technical</t>
        </is>
      </c>
      <c r="B361" s="41" t="inlineStr">
        <is>
          <t>Bán tải ZU-23</t>
        </is>
      </c>
      <c r="C361" s="41" t="inlineStr">
        <is>
          <t>Tầm bắn</t>
        </is>
      </c>
      <c r="D361" s="41" t="inlineStr">
        <is>
          <t>32</t>
        </is>
      </c>
      <c r="E361" s="47" t="inlineStr">
        <is>
          <t>Đổi</t>
        </is>
      </c>
      <c r="F361" s="41" t="inlineStr">
        <is>
          <t>7/phát · 25 viên/s · tầm 38 m (giữ DPS)</t>
        </is>
      </c>
      <c r="G361" s="41" t="inlineStr">
        <is>
          <t>Hiệu quả chỉ 0,24 lần trung vị phòng không; tầm quá ngắn nên máy bay bắn trước.</t>
        </is>
      </c>
      <c r="H361" s="47" t="inlineStr">
        <is>
          <t>Cao</t>
        </is>
      </c>
    </row>
    <row r="362" ht="15" customHeight="1" s="32">
      <c r="A362" s="39" t="inlineStr">
        <is>
          <t>zu23_technical</t>
        </is>
      </c>
      <c r="B362" s="39" t="inlineStr">
        <is>
          <t>Bán tải ZU-23</t>
        </is>
      </c>
      <c r="C362" s="39" t="inlineStr">
        <is>
          <t>Giá (CP)</t>
        </is>
      </c>
      <c r="D362" s="42" t="n">
        <v>3</v>
      </c>
      <c r="E362" s="49" t="inlineStr">
        <is>
          <t>Giữ</t>
        </is>
      </c>
      <c r="F362" s="39" t="n"/>
      <c r="G362" s="39" t="inlineStr">
        <is>
          <t>Hiệu quả trong khoảng ±25% trung vị, thứ tự giá hợp ngoài đời (sheet Giá CP).</t>
        </is>
      </c>
      <c r="H362" s="39" t="n"/>
    </row>
    <row r="363" ht="21.75" customHeight="1" s="32">
      <c r="A363" s="41" t="inlineStr">
        <is>
          <t>zu23_technical</t>
        </is>
      </c>
      <c r="B363" s="41" t="inlineStr">
        <is>
          <t>Bán tải ZU-23</t>
        </is>
      </c>
      <c r="C363" s="41" t="inlineStr">
        <is>
          <t>Vũ khí: ZU-23-2</t>
        </is>
      </c>
      <c r="D363" s="41" t="inlineStr">
        <is>
          <t>15/phát · 11 viên/s · tầm 32 m · giá trị vs máy bay 62</t>
        </is>
      </c>
      <c r="E363" s="47" t="inlineStr">
        <is>
          <t>Đổi</t>
        </is>
      </c>
      <c r="F363" s="41" t="inlineStr">
        <is>
          <t>7/phát · 25 viên/s · tầm 38 m (giữ DPS)</t>
        </is>
      </c>
      <c r="G363" s="41" t="inlineStr">
        <is>
          <t>Hiệu quả chỉ 0,24 lần trung vị phòng không; tầm quá ngắn nên máy bay bắn trước.</t>
        </is>
      </c>
      <c r="H363" s="47" t="inlineStr">
        <is>
          <t>Cao</t>
        </is>
      </c>
    </row>
    <row r="364" ht="21.75" customHeight="1" s="32">
      <c r="A364" s="39" t="inlineStr">
        <is>
          <t>zu23_technical</t>
        </is>
      </c>
      <c r="B364" s="39" t="inlineStr">
        <is>
          <t>Bán tải ZU-23</t>
        </is>
      </c>
      <c r="C364" s="39" t="inlineStr">
        <is>
          <t>Hành vi</t>
        </is>
      </c>
      <c r="D364" s="39" t="inlineStr">
        <is>
          <t>Vừa chạy vừa bắn; Bắn hết 57 viên thì thay băng; Xe phòng không</t>
        </is>
      </c>
      <c r="E364" s="49" t="inlineStr">
        <is>
          <t>Giữ</t>
        </is>
      </c>
      <c r="F364" s="39" t="n"/>
      <c r="G364" s="39" t="inlineStr">
        <is>
          <t>Hợp vai trò.</t>
        </is>
      </c>
      <c r="H364" s="39" t="n"/>
    </row>
    <row r="365" ht="15" customHeight="1" s="32">
      <c r="A365" s="41" t="inlineStr">
        <is>
          <t>zu23_technical</t>
        </is>
      </c>
      <c r="B365" s="41" t="inlineStr">
        <is>
          <t>Bán tải ZU-23</t>
        </is>
      </c>
      <c r="C365" s="41" t="inlineStr">
        <is>
          <t>Nổ khi bị phá (bán kính)</t>
        </is>
      </c>
      <c r="D365" s="41" t="inlineStr">
        <is>
          <t>4 m · 60 sát thương</t>
        </is>
      </c>
      <c r="E365" s="49" t="inlineStr">
        <is>
          <t>Giữ</t>
        </is>
      </c>
      <c r="F365" s="41" t="n"/>
      <c r="G365" s="41" t="inlineStr">
        <is>
          <t>Hợp với cỡ xe.</t>
        </is>
      </c>
      <c r="H365" s="41" t="n"/>
    </row>
    <row r="366" ht="32.25" customHeight="1" s="32">
      <c r="A366" s="39" t="inlineStr">
        <is>
          <t>zu23_technical</t>
        </is>
      </c>
      <c r="B366" s="39" t="inlineStr">
        <is>
          <t>Bán tải ZU-23</t>
        </is>
      </c>
      <c r="C366" s="39" t="inlineStr">
        <is>
          <t>Tham khảo / model</t>
        </is>
      </c>
      <c r="D366" s="39" t="inlineStr">
        <is>
          <t>Toyota Hilux, ZU-23-2 23 mm — Xe bán tải gắn pháo phòng không hai nòng ZU-23-2</t>
        </is>
      </c>
      <c r="E366" s="49" t="inlineStr">
        <is>
          <t>Giữ</t>
        </is>
      </c>
      <c r="F366" s="39" t="n"/>
      <c r="G366" s="39" t="inlineStr">
        <is>
          <t>Khớp vũ khí và vai trò.</t>
        </is>
      </c>
      <c r="H366" s="39" t="n"/>
    </row>
    <row r="367" ht="21.75" customHeight="1" s="32">
      <c r="A367" s="41" t="inlineStr">
        <is>
          <t>aa_vehicle</t>
        </is>
      </c>
      <c r="B367" s="41" t="inlineStr">
        <is>
          <t>Xe phòng không</t>
        </is>
      </c>
      <c r="C367" s="41" t="inlineStr">
        <is>
          <t>Tên</t>
        </is>
      </c>
      <c r="D367" s="41" t="inlineStr">
        <is>
          <t>Xe phòng không</t>
        </is>
      </c>
      <c r="E367" s="47" t="inlineStr">
        <is>
          <t>Đổi</t>
        </is>
      </c>
      <c r="F367" s="41" t="inlineStr">
        <is>
          <t>Pháo cao xạ tự hành · ngắn: Cao xạ · EN: Self-Propelled AA Gun</t>
        </is>
      </c>
      <c r="G367" s="41" t="inlineStr">
        <is>
          <t>"Xe phòng không" quá chung (có 6 xe phòng không).</t>
        </is>
      </c>
      <c r="H367" s="49" t="inlineStr">
        <is>
          <t>Thấp</t>
        </is>
      </c>
    </row>
    <row r="368" ht="15" customHeight="1" s="32">
      <c r="A368" s="39" t="inlineStr">
        <is>
          <t>aa_vehicle</t>
        </is>
      </c>
      <c r="B368" s="39" t="inlineStr">
        <is>
          <t>Xe phòng không</t>
        </is>
      </c>
      <c r="C368" s="39" t="inlineStr">
        <is>
          <t>Máu</t>
        </is>
      </c>
      <c r="D368" s="42" t="n">
        <v>770</v>
      </c>
      <c r="E368" s="49" t="inlineStr">
        <is>
          <t>Giữ</t>
        </is>
      </c>
      <c r="F368" s="39" t="n"/>
      <c r="G368" s="39" t="inlineStr">
        <is>
          <t>Máu/CP 1.11 × trung vị lớp Phòng không.</t>
        </is>
      </c>
      <c r="H368" s="39" t="n"/>
    </row>
    <row r="369" ht="15" customHeight="1" s="32">
      <c r="A369" s="41" t="inlineStr">
        <is>
          <t>aa_vehicle</t>
        </is>
      </c>
      <c r="B369" s="41" t="inlineStr">
        <is>
          <t>Xe phòng không</t>
        </is>
      </c>
      <c r="C369" s="41" t="inlineStr">
        <is>
          <t>Giáp (T/H/S/N)</t>
        </is>
      </c>
      <c r="D369" s="41" t="inlineStr">
        <is>
          <t>1/0/0/0</t>
        </is>
      </c>
      <c r="E369" s="47" t="inlineStr">
        <is>
          <t>Đổi</t>
        </is>
      </c>
      <c r="F369" s="41" t="inlineStr">
        <is>
          <t>2/1/1/0</t>
        </is>
      </c>
      <c r="G369" s="41" t="inlineStr">
        <is>
          <t>Gepard dùng khung Leopard 1.</t>
        </is>
      </c>
      <c r="H369" s="48" t="inlineStr">
        <is>
          <t>Trung</t>
        </is>
      </c>
    </row>
    <row r="370" ht="15" customHeight="1" s="32">
      <c r="A370" s="39" t="inlineStr">
        <is>
          <t>aa_vehicle</t>
        </is>
      </c>
      <c r="B370" s="39" t="inlineStr">
        <is>
          <t>Xe phòng không</t>
        </is>
      </c>
      <c r="C370" s="39" t="inlineStr">
        <is>
          <t>Tốc độ</t>
        </is>
      </c>
      <c r="D370" s="42" t="n">
        <v>8</v>
      </c>
      <c r="E370" s="49" t="inlineStr">
        <is>
          <t>Giữ</t>
        </is>
      </c>
      <c r="F370" s="39" t="n"/>
      <c r="G370" s="39" t="inlineStr">
        <is>
          <t>Gần tốc độ thật × hệ số nén (6.0).</t>
        </is>
      </c>
      <c r="H370" s="39" t="n"/>
    </row>
    <row r="371" ht="15" customHeight="1" s="32">
      <c r="A371" s="41" t="inlineStr">
        <is>
          <t>aa_vehicle</t>
        </is>
      </c>
      <c r="B371" s="41" t="inlineStr">
        <is>
          <t>Xe phòng không</t>
        </is>
      </c>
      <c r="C371" s="41" t="inlineStr">
        <is>
          <t>Tốc độ xoay thân / tháp</t>
        </is>
      </c>
      <c r="D371" s="41" t="inlineStr">
        <is>
          <t>2 / 3</t>
        </is>
      </c>
      <c r="E371" s="49" t="inlineStr">
        <is>
          <t>Giữ</t>
        </is>
      </c>
      <c r="F371" s="41" t="n"/>
      <c r="G371" s="41" t="inlineStr">
        <is>
          <t>Hợp lý so với loại xe.</t>
        </is>
      </c>
      <c r="H371" s="41" t="n"/>
    </row>
    <row r="372" ht="15" customHeight="1" s="32">
      <c r="A372" s="39" t="inlineStr">
        <is>
          <t>aa_vehicle</t>
        </is>
      </c>
      <c r="B372" s="39" t="inlineStr">
        <is>
          <t>Xe phòng không</t>
        </is>
      </c>
      <c r="C372" s="39" t="inlineStr">
        <is>
          <t>Kích thước model (dài × rộng × cao)</t>
        </is>
      </c>
      <c r="D372" s="39" t="inlineStr">
        <is>
          <t>5.6 × 2.7 × 3.0</t>
        </is>
      </c>
      <c r="E372" s="49" t="inlineStr">
        <is>
          <t>Giữ</t>
        </is>
      </c>
      <c r="F372" s="39" t="n"/>
      <c r="G372" s="39" t="inlineStr">
        <is>
          <t>Khớp tỷ lệ chung (mẫu thật 7.7 m).</t>
        </is>
      </c>
      <c r="H372" s="39" t="n"/>
    </row>
    <row r="373" ht="15" customHeight="1" s="32">
      <c r="A373" s="41" t="inlineStr">
        <is>
          <t>aa_vehicle</t>
        </is>
      </c>
      <c r="B373" s="41" t="inlineStr">
        <is>
          <t>Xe phòng không</t>
        </is>
      </c>
      <c r="C373" s="41" t="inlineStr">
        <is>
          <t>Tầm nhìn</t>
        </is>
      </c>
      <c r="D373" s="43" t="n">
        <v>42</v>
      </c>
      <c r="E373" s="49" t="inlineStr">
        <is>
          <t>Giữ</t>
        </is>
      </c>
      <c r="F373" s="41" t="n"/>
      <c r="G373" s="41" t="inlineStr">
        <is>
          <t>Khớp vai trò.</t>
        </is>
      </c>
      <c r="H373" s="41" t="n"/>
    </row>
    <row r="374" ht="15" customHeight="1" s="32">
      <c r="A374" s="39" t="inlineStr">
        <is>
          <t>aa_vehicle</t>
        </is>
      </c>
      <c r="B374" s="39" t="inlineStr">
        <is>
          <t>Xe phòng không</t>
        </is>
      </c>
      <c r="C374" s="39" t="inlineStr">
        <is>
          <t>Tầm bắn</t>
        </is>
      </c>
      <c r="D374" s="39" t="inlineStr">
        <is>
          <t>44</t>
        </is>
      </c>
      <c r="E374" s="49" t="inlineStr">
        <is>
          <t>Giữ</t>
        </is>
      </c>
      <c r="F374" s="39" t="n"/>
      <c r="G374" s="39" t="inlineStr">
        <is>
          <t>Thứ tự tầm hợp lý trong nhóm.</t>
        </is>
      </c>
      <c r="H374" s="39" t="n"/>
    </row>
    <row r="375" ht="15" customHeight="1" s="32">
      <c r="A375" s="41" t="inlineStr">
        <is>
          <t>aa_vehicle</t>
        </is>
      </c>
      <c r="B375" s="41" t="inlineStr">
        <is>
          <t>Xe phòng không</t>
        </is>
      </c>
      <c r="C375" s="41" t="inlineStr">
        <is>
          <t>Giá (CP)</t>
        </is>
      </c>
      <c r="D375" s="43" t="n">
        <v>4</v>
      </c>
      <c r="E375" s="49" t="inlineStr">
        <is>
          <t>Giữ</t>
        </is>
      </c>
      <c r="F375" s="41" t="n"/>
      <c r="G375" s="41" t="inlineStr">
        <is>
          <t>Hiệu quả trong khoảng ±25% trung vị, thứ tự giá hợp ngoài đời (sheet Giá CP).</t>
        </is>
      </c>
      <c r="H375" s="41" t="n"/>
    </row>
    <row r="376" ht="15" customHeight="1" s="32">
      <c r="A376" s="39" t="inlineStr">
        <is>
          <t>aa_vehicle</t>
        </is>
      </c>
      <c r="B376" s="39" t="inlineStr">
        <is>
          <t>Xe phòng không</t>
        </is>
      </c>
      <c r="C376" s="39" t="inlineStr">
        <is>
          <t>Vũ khí: Stinger</t>
        </is>
      </c>
      <c r="D376" s="39" t="inlineStr">
        <is>
          <t>tốc độ 24 (bay 1,8 s)</t>
        </is>
      </c>
      <c r="E376" s="47" t="inlineStr">
        <is>
          <t>Đổi</t>
        </is>
      </c>
      <c r="F376" s="39" t="inlineStr">
        <is>
          <t>tốc độ 42 (bay 1,05 s)</t>
        </is>
      </c>
      <c r="G376" s="39" t="inlineStr">
        <is>
          <t>Tên lửa phải nhanh hơn mục tiêu (cường kích bay 32 m/s); hiện chậm hơn.</t>
        </is>
      </c>
      <c r="H376" s="48" t="inlineStr">
        <is>
          <t>Trung</t>
        </is>
      </c>
    </row>
    <row r="377" ht="21.75" customHeight="1" s="32">
      <c r="A377" s="41" t="inlineStr">
        <is>
          <t>aa_vehicle</t>
        </is>
      </c>
      <c r="B377" s="41" t="inlineStr">
        <is>
          <t>Xe phòng không</t>
        </is>
      </c>
      <c r="C377" s="41" t="inlineStr">
        <is>
          <t>Hành vi</t>
        </is>
      </c>
      <c r="D377" s="41" t="inlineStr">
        <is>
          <t>Vừa chạy vừa bắn; Bắn hết 22 viên thì thay băng; Tên lửa phòng không</t>
        </is>
      </c>
      <c r="E377" s="49" t="inlineStr">
        <is>
          <t>Giữ</t>
        </is>
      </c>
      <c r="F377" s="41" t="n"/>
      <c r="G377" s="41" t="inlineStr">
        <is>
          <t>Hợp vai trò.</t>
        </is>
      </c>
      <c r="H377" s="41" t="n"/>
    </row>
    <row r="378" ht="15" customHeight="1" s="32">
      <c r="A378" s="39" t="inlineStr">
        <is>
          <t>aa_vehicle</t>
        </is>
      </c>
      <c r="B378" s="39" t="inlineStr">
        <is>
          <t>Xe phòng không</t>
        </is>
      </c>
      <c r="C378" s="39" t="inlineStr">
        <is>
          <t>Nổ khi bị phá (bán kính)</t>
        </is>
      </c>
      <c r="D378" s="39" t="inlineStr">
        <is>
          <t>5 m · 120 sát thương</t>
        </is>
      </c>
      <c r="E378" s="49" t="inlineStr">
        <is>
          <t>Giữ</t>
        </is>
      </c>
      <c r="F378" s="39" t="n"/>
      <c r="G378" s="39" t="inlineStr">
        <is>
          <t>Hợp với cỡ xe.</t>
        </is>
      </c>
      <c r="H378" s="39" t="n"/>
    </row>
    <row r="379" ht="32.25" customHeight="1" s="32">
      <c r="A379" s="41" t="inlineStr">
        <is>
          <t>aa_vehicle</t>
        </is>
      </c>
      <c r="B379" s="41" t="inlineStr">
        <is>
          <t>Xe phòng không</t>
        </is>
      </c>
      <c r="C379" s="41" t="inlineStr">
        <is>
          <t>Tham khảo / model</t>
        </is>
      </c>
      <c r="D379" s="41" t="inlineStr">
        <is>
          <t>Flakpanzer Gepard (Oerlikon KDA 35 mm), Stinger / Starstreak — Pháo phòng không tự hành ha</t>
        </is>
      </c>
      <c r="E379" s="49" t="inlineStr">
        <is>
          <t>Giữ</t>
        </is>
      </c>
      <c r="F379" s="41" t="n"/>
      <c r="G379" s="41" t="inlineStr">
        <is>
          <t>Khớp vũ khí và vai trò.</t>
        </is>
      </c>
      <c r="H379" s="41" t="n"/>
    </row>
    <row r="380" ht="21.75" customHeight="1" s="32">
      <c r="A380" s="39" t="inlineStr">
        <is>
          <t>sam_launcher</t>
        </is>
      </c>
      <c r="B380" s="39" t="inlineStr">
        <is>
          <t>Tên lửa phòng không</t>
        </is>
      </c>
      <c r="C380" s="39" t="inlineStr">
        <is>
          <t>Tên</t>
        </is>
      </c>
      <c r="D380" s="39" t="inlineStr">
        <is>
          <t>Tên lửa phòng không</t>
        </is>
      </c>
      <c r="E380" s="47" t="inlineStr">
        <is>
          <t>Đổi</t>
        </is>
      </c>
      <c r="F380" s="39" t="inlineStr">
        <is>
          <t>Xe tên lửa phòng không tầm trung · ngắn: PK tầm trung · EN: Medium-range SAM</t>
        </is>
      </c>
      <c r="G380" s="39" t="inlineStr">
        <is>
          <t>Phân biệt với tầm xa và vác vai.</t>
        </is>
      </c>
      <c r="H380" s="49" t="inlineStr">
        <is>
          <t>Thấp</t>
        </is>
      </c>
    </row>
    <row r="381" ht="15" customHeight="1" s="32">
      <c r="A381" s="41" t="inlineStr">
        <is>
          <t>sam_launcher</t>
        </is>
      </c>
      <c r="B381" s="41" t="inlineStr">
        <is>
          <t>Tên lửa phòng không</t>
        </is>
      </c>
      <c r="C381" s="41" t="inlineStr">
        <is>
          <t>Máu</t>
        </is>
      </c>
      <c r="D381" s="43" t="n">
        <v>1760</v>
      </c>
      <c r="E381" s="47" t="inlineStr">
        <is>
          <t>Đổi</t>
        </is>
      </c>
      <c r="F381" s="41" t="inlineStr">
        <is>
          <t>1.300</t>
        </is>
      </c>
      <c r="G381" s="41" t="inlineStr">
        <is>
          <t>Cao hơn cả Pantsir (1.188) dù là xe phóng tên lửa ít giáp.</t>
        </is>
      </c>
      <c r="H381" s="48" t="inlineStr">
        <is>
          <t>Trung</t>
        </is>
      </c>
    </row>
    <row r="382" ht="15" customHeight="1" s="32">
      <c r="A382" s="39" t="inlineStr">
        <is>
          <t>sam_launcher</t>
        </is>
      </c>
      <c r="B382" s="39" t="inlineStr">
        <is>
          <t>Tên lửa phòng không</t>
        </is>
      </c>
      <c r="C382" s="39" t="inlineStr">
        <is>
          <t>Giáp (T/H/S/N)</t>
        </is>
      </c>
      <c r="D382" s="39" t="inlineStr">
        <is>
          <t>1/0/0/0</t>
        </is>
      </c>
      <c r="E382" s="47" t="inlineStr">
        <is>
          <t>Đổi</t>
        </is>
      </c>
      <c r="F382" s="39" t="inlineStr">
        <is>
          <t>1/1/0/0</t>
        </is>
      </c>
      <c r="G382" s="39" t="inlineStr">
        <is>
          <t>Khung GM-569 bọc nhẹ.</t>
        </is>
      </c>
      <c r="H382" s="48" t="inlineStr">
        <is>
          <t>Trung</t>
        </is>
      </c>
    </row>
    <row r="383" ht="15" customHeight="1" s="32">
      <c r="A383" s="41" t="inlineStr">
        <is>
          <t>sam_launcher</t>
        </is>
      </c>
      <c r="B383" s="41" t="inlineStr">
        <is>
          <t>Tên lửa phòng không</t>
        </is>
      </c>
      <c r="C383" s="41" t="inlineStr">
        <is>
          <t>Tốc độ</t>
        </is>
      </c>
      <c r="D383" s="43" t="n">
        <v>6.5</v>
      </c>
      <c r="E383" s="49" t="inlineStr">
        <is>
          <t>Giữ</t>
        </is>
      </c>
      <c r="F383" s="41" t="n"/>
      <c r="G383" s="41" t="inlineStr">
        <is>
          <t>Gần tốc độ thật × hệ số nén (6.0).</t>
        </is>
      </c>
      <c r="H383" s="41" t="n"/>
    </row>
    <row r="384" ht="15" customHeight="1" s="32">
      <c r="A384" s="39" t="inlineStr">
        <is>
          <t>sam_launcher</t>
        </is>
      </c>
      <c r="B384" s="39" t="inlineStr">
        <is>
          <t>Tên lửa phòng không</t>
        </is>
      </c>
      <c r="C384" s="39" t="inlineStr">
        <is>
          <t>Tốc độ xoay thân / tháp</t>
        </is>
      </c>
      <c r="D384" s="39" t="inlineStr">
        <is>
          <t>1 / 2</t>
        </is>
      </c>
      <c r="E384" s="49" t="inlineStr">
        <is>
          <t>Giữ</t>
        </is>
      </c>
      <c r="F384" s="39" t="n"/>
      <c r="G384" s="39" t="inlineStr">
        <is>
          <t>Hợp lý so với loại xe.</t>
        </is>
      </c>
      <c r="H384" s="39" t="n"/>
    </row>
    <row r="385" ht="15" customHeight="1" s="32">
      <c r="A385" s="41" t="inlineStr">
        <is>
          <t>sam_launcher</t>
        </is>
      </c>
      <c r="B385" s="41" t="inlineStr">
        <is>
          <t>Tên lửa phòng không</t>
        </is>
      </c>
      <c r="C385" s="41" t="inlineStr">
        <is>
          <t>Kích thước model (dài × rộng × cao)</t>
        </is>
      </c>
      <c r="D385" s="41" t="inlineStr">
        <is>
          <t>6.1 × 3.1 × 4.0</t>
        </is>
      </c>
      <c r="E385" s="49" t="inlineStr">
        <is>
          <t>Giữ</t>
        </is>
      </c>
      <c r="F385" s="41" t="n"/>
      <c r="G385" s="41" t="inlineStr">
        <is>
          <t>Khớp tỷ lệ chung (mẫu thật 9.3 m).</t>
        </is>
      </c>
      <c r="H385" s="41" t="n"/>
    </row>
    <row r="386" ht="15" customHeight="1" s="32">
      <c r="A386" s="39" t="inlineStr">
        <is>
          <t>sam_launcher</t>
        </is>
      </c>
      <c r="B386" s="39" t="inlineStr">
        <is>
          <t>Tên lửa phòng không</t>
        </is>
      </c>
      <c r="C386" s="39" t="inlineStr">
        <is>
          <t>Tầm nhìn</t>
        </is>
      </c>
      <c r="D386" s="42" t="n">
        <v>60</v>
      </c>
      <c r="E386" s="49" t="inlineStr">
        <is>
          <t>Giữ</t>
        </is>
      </c>
      <c r="F386" s="39" t="n"/>
      <c r="G386" s="39" t="inlineStr">
        <is>
          <t>Khớp vai trò.</t>
        </is>
      </c>
      <c r="H386" s="39" t="n"/>
    </row>
    <row r="387" ht="15" customHeight="1" s="32">
      <c r="A387" s="41" t="inlineStr">
        <is>
          <t>sam_launcher</t>
        </is>
      </c>
      <c r="B387" s="41" t="inlineStr">
        <is>
          <t>Tên lửa phòng không</t>
        </is>
      </c>
      <c r="C387" s="41" t="inlineStr">
        <is>
          <t>Tầm bắn</t>
        </is>
      </c>
      <c r="D387" s="41" t="inlineStr">
        <is>
          <t>55</t>
        </is>
      </c>
      <c r="E387" s="49" t="inlineStr">
        <is>
          <t>Giữ</t>
        </is>
      </c>
      <c r="F387" s="41" t="n"/>
      <c r="G387" s="41" t="inlineStr">
        <is>
          <t>Thứ tự tầm hợp lý trong nhóm.</t>
        </is>
      </c>
      <c r="H387" s="41" t="n"/>
    </row>
    <row r="388" ht="15" customHeight="1" s="32">
      <c r="A388" s="39" t="inlineStr">
        <is>
          <t>sam_launcher</t>
        </is>
      </c>
      <c r="B388" s="39" t="inlineStr">
        <is>
          <t>Tên lửa phòng không</t>
        </is>
      </c>
      <c r="C388" s="39" t="inlineStr">
        <is>
          <t>Giá (CP)</t>
        </is>
      </c>
      <c r="D388" s="42" t="n">
        <v>5</v>
      </c>
      <c r="E388" s="47" t="inlineStr">
        <is>
          <t>Đổi</t>
        </is>
      </c>
      <c r="F388" s="39" t="inlineStr">
        <is>
          <t>7 CP</t>
        </is>
      </c>
      <c r="G388" s="39" t="inlineStr">
        <is>
          <t>Hiệu quả cao nhất nhóm phòng không di động; Buk ngoài đời đắt hơn Gepard nhiều.</t>
        </is>
      </c>
      <c r="H388" s="47" t="inlineStr">
        <is>
          <t>Cao</t>
        </is>
      </c>
    </row>
    <row r="389" ht="21.75" customHeight="1" s="32">
      <c r="A389" s="41" t="inlineStr">
        <is>
          <t>sam_launcher</t>
        </is>
      </c>
      <c r="B389" s="41" t="inlineStr">
        <is>
          <t>Tên lửa phòng không</t>
        </is>
      </c>
      <c r="C389" s="41" t="inlineStr">
        <is>
          <t>Vũ khí: 9M317 Buk</t>
        </is>
      </c>
      <c r="D389" s="41" t="inlineStr">
        <is>
          <t>tốc độ 24 (bay 2,3 s, chậm hơn tiêm kích 40 m/s)</t>
        </is>
      </c>
      <c r="E389" s="47" t="inlineStr">
        <is>
          <t>Đổi</t>
        </is>
      </c>
      <c r="F389" s="41" t="inlineStr">
        <is>
          <t>tốc độ 50 (bay 1,1 s)</t>
        </is>
      </c>
      <c r="G389" s="41" t="inlineStr">
        <is>
          <t>Tên lửa không đuổi kịp máy bay nhanh.</t>
        </is>
      </c>
      <c r="H389" s="47" t="inlineStr">
        <is>
          <t>Cao</t>
        </is>
      </c>
    </row>
    <row r="390" ht="21.75" customHeight="1" s="32">
      <c r="A390" s="39" t="inlineStr">
        <is>
          <t>sam_launcher</t>
        </is>
      </c>
      <c r="B390" s="39" t="inlineStr">
        <is>
          <t>Tên lửa phòng không</t>
        </is>
      </c>
      <c r="C390" s="39" t="inlineStr">
        <is>
          <t>Hành vi</t>
        </is>
      </c>
      <c r="D390" s="39" t="inlineStr">
        <is>
          <t>Dừng lại mới bắn; Ưu tiên máy bay; Pháo tên lửa phòng không</t>
        </is>
      </c>
      <c r="E390" s="49" t="inlineStr">
        <is>
          <t>Giữ</t>
        </is>
      </c>
      <c r="F390" s="39" t="n"/>
      <c r="G390" s="39" t="inlineStr">
        <is>
          <t>Hợp vai trò.</t>
        </is>
      </c>
      <c r="H390" s="39" t="n"/>
    </row>
    <row r="391" ht="15" customHeight="1" s="32">
      <c r="A391" s="41" t="inlineStr">
        <is>
          <t>sam_launcher</t>
        </is>
      </c>
      <c r="B391" s="41" t="inlineStr">
        <is>
          <t>Tên lửa phòng không</t>
        </is>
      </c>
      <c r="C391" s="41" t="inlineStr">
        <is>
          <t>Nổ khi bị phá (bán kính)</t>
        </is>
      </c>
      <c r="D391" s="41" t="inlineStr">
        <is>
          <t>8 m · 240 sát thương</t>
        </is>
      </c>
      <c r="E391" s="49" t="inlineStr">
        <is>
          <t>Giữ</t>
        </is>
      </c>
      <c r="F391" s="41" t="n"/>
      <c r="G391" s="41" t="inlineStr">
        <is>
          <t>Hợp với cỡ xe.</t>
        </is>
      </c>
      <c r="H391" s="41" t="n"/>
    </row>
    <row r="392" ht="32.25" customHeight="1" s="32">
      <c r="A392" s="39" t="inlineStr">
        <is>
          <t>sam_launcher</t>
        </is>
      </c>
      <c r="B392" s="39" t="inlineStr">
        <is>
          <t>Tên lửa phòng không</t>
        </is>
      </c>
      <c r="C392" s="39" t="inlineStr">
        <is>
          <t>Tham khảo / model</t>
        </is>
      </c>
      <c r="D392" s="39" t="inlineStr">
        <is>
          <t>9K37 Buk (9A310), 9M317 — Bệ phóng tên lửa phòng không bánh xích, ray hướng lên mục tiêu</t>
        </is>
      </c>
      <c r="E392" s="49" t="inlineStr">
        <is>
          <t>Giữ</t>
        </is>
      </c>
      <c r="F392" s="39" t="n"/>
      <c r="G392" s="39" t="inlineStr">
        <is>
          <t>Khớp vũ khí và vai trò.</t>
        </is>
      </c>
      <c r="H392" s="39" t="n"/>
    </row>
    <row r="393" ht="21.75" customHeight="1" s="32">
      <c r="A393" s="41" t="inlineStr">
        <is>
          <t>heavy_aa</t>
        </is>
      </c>
      <c r="B393" s="41" t="inlineStr">
        <is>
          <t>Pháo tên lửa phòng không</t>
        </is>
      </c>
      <c r="C393" s="41" t="inlineStr">
        <is>
          <t>Tên</t>
        </is>
      </c>
      <c r="D393" s="41" t="inlineStr">
        <is>
          <t>Pháo tên lửa phòng không</t>
        </is>
      </c>
      <c r="E393" s="47" t="inlineStr">
        <is>
          <t>Đổi</t>
        </is>
      </c>
      <c r="F393" s="41" t="inlineStr">
        <is>
          <t>Xe phòng không pháo – tên lửa · ngắn: PK hỗn hợp · EN: Gun–Missile AA</t>
        </is>
      </c>
      <c r="G393" s="41" t="inlineStr">
        <is>
          <t>"Pháo tên lửa phòng không" khó hiểu; bảng DPS đã gọi "PK hỗn hợp".</t>
        </is>
      </c>
      <c r="H393" s="49" t="inlineStr">
        <is>
          <t>Thấp</t>
        </is>
      </c>
    </row>
    <row r="394" ht="15" customHeight="1" s="32">
      <c r="A394" s="39" t="inlineStr">
        <is>
          <t>heavy_aa</t>
        </is>
      </c>
      <c r="B394" s="39" t="inlineStr">
        <is>
          <t>Pháo tên lửa phòng không</t>
        </is>
      </c>
      <c r="C394" s="39" t="inlineStr">
        <is>
          <t>Máu</t>
        </is>
      </c>
      <c r="D394" s="42" t="n">
        <v>1188</v>
      </c>
      <c r="E394" s="49" t="inlineStr">
        <is>
          <t>Giữ</t>
        </is>
      </c>
      <c r="F394" s="39" t="n"/>
      <c r="G394" s="39" t="inlineStr">
        <is>
          <t>Máu/CP 1.14 × trung vị lớp Phòng không.</t>
        </is>
      </c>
      <c r="H394" s="39" t="n"/>
    </row>
    <row r="395" ht="15" customHeight="1" s="32">
      <c r="A395" s="41" t="inlineStr">
        <is>
          <t>heavy_aa</t>
        </is>
      </c>
      <c r="B395" s="41" t="inlineStr">
        <is>
          <t>Pháo tên lửa phòng không</t>
        </is>
      </c>
      <c r="C395" s="41" t="inlineStr">
        <is>
          <t>Giáp (T/H/S/N)</t>
        </is>
      </c>
      <c r="D395" s="41" t="inlineStr">
        <is>
          <t>1/0/0/0</t>
        </is>
      </c>
      <c r="E395" s="49" t="inlineStr">
        <is>
          <t>Giữ</t>
        </is>
      </c>
      <c r="F395" s="41" t="n"/>
      <c r="G395" s="41" t="inlineStr">
        <is>
          <t>Giả tưởng / máy bay; khớp vai trò.</t>
        </is>
      </c>
      <c r="H395" s="41" t="n"/>
    </row>
    <row r="396" ht="15" customHeight="1" s="32">
      <c r="A396" s="39" t="inlineStr">
        <is>
          <t>heavy_aa</t>
        </is>
      </c>
      <c r="B396" s="39" t="inlineStr">
        <is>
          <t>Pháo tên lửa phòng không</t>
        </is>
      </c>
      <c r="C396" s="39" t="inlineStr">
        <is>
          <t>Tốc độ</t>
        </is>
      </c>
      <c r="D396" s="42" t="n">
        <v>8.5</v>
      </c>
      <c r="E396" s="49" t="inlineStr">
        <is>
          <t>Giữ</t>
        </is>
      </c>
      <c r="F396" s="39" t="n"/>
      <c r="G396" s="39" t="inlineStr">
        <is>
          <t>Gần tốc độ thật × hệ số nén (10.0).</t>
        </is>
      </c>
      <c r="H396" s="39" t="n"/>
    </row>
    <row r="397" ht="15" customHeight="1" s="32">
      <c r="A397" s="41" t="inlineStr">
        <is>
          <t>heavy_aa</t>
        </is>
      </c>
      <c r="B397" s="41" t="inlineStr">
        <is>
          <t>Pháo tên lửa phòng không</t>
        </is>
      </c>
      <c r="C397" s="41" t="inlineStr">
        <is>
          <t>Tốc độ xoay thân / tháp</t>
        </is>
      </c>
      <c r="D397" s="41" t="inlineStr">
        <is>
          <t>2 / 4</t>
        </is>
      </c>
      <c r="E397" s="49" t="inlineStr">
        <is>
          <t>Giữ</t>
        </is>
      </c>
      <c r="F397" s="41" t="n"/>
      <c r="G397" s="41" t="inlineStr">
        <is>
          <t>Hợp lý so với loại xe.</t>
        </is>
      </c>
      <c r="H397" s="41" t="n"/>
    </row>
    <row r="398" ht="21.75" customHeight="1" s="32">
      <c r="A398" s="39" t="inlineStr">
        <is>
          <t>heavy_aa</t>
        </is>
      </c>
      <c r="B398" s="39" t="inlineStr">
        <is>
          <t>Pháo tên lửa phòng không</t>
        </is>
      </c>
      <c r="C398" s="39" t="inlineStr">
        <is>
          <t>Kích thước model (dài × rộng × cao)</t>
        </is>
      </c>
      <c r="D398" s="39" t="inlineStr">
        <is>
          <t>7.0 × 2.5 × 3.3</t>
        </is>
      </c>
      <c r="E398" s="47" t="inlineStr">
        <is>
          <t>Đổi</t>
        </is>
      </c>
      <c r="F398" s="39" t="inlineStr">
        <is>
          <t>9.6 × 2.6 × 2.8</t>
        </is>
      </c>
      <c r="G398" s="39" t="inlineStr">
        <is>
          <t>Mẫu thật Pantsir-S1 (KamAZ): 12.0 × 3.2 m; theo tỷ lệ chung (mặt đất 0,8) nên là 9.6 × 2.6 m. Đổi kích thước thì chỉnh vùng va chạm và chạy lại test xe kẹt.</t>
        </is>
      </c>
      <c r="H398" s="49" t="inlineStr">
        <is>
          <t>Thấp</t>
        </is>
      </c>
    </row>
    <row r="399" ht="15" customHeight="1" s="32">
      <c r="A399" s="41" t="inlineStr">
        <is>
          <t>heavy_aa</t>
        </is>
      </c>
      <c r="B399" s="41" t="inlineStr">
        <is>
          <t>Pháo tên lửa phòng không</t>
        </is>
      </c>
      <c r="C399" s="41" t="inlineStr">
        <is>
          <t>Tầm nhìn</t>
        </is>
      </c>
      <c r="D399" s="43" t="n">
        <v>60</v>
      </c>
      <c r="E399" s="49" t="inlineStr">
        <is>
          <t>Giữ</t>
        </is>
      </c>
      <c r="F399" s="41" t="n"/>
      <c r="G399" s="41" t="inlineStr">
        <is>
          <t>Khớp vai trò.</t>
        </is>
      </c>
      <c r="H399" s="41" t="n"/>
    </row>
    <row r="400" ht="15" customHeight="1" s="32">
      <c r="A400" s="39" t="inlineStr">
        <is>
          <t>heavy_aa</t>
        </is>
      </c>
      <c r="B400" s="39" t="inlineStr">
        <is>
          <t>Pháo tên lửa phòng không</t>
        </is>
      </c>
      <c r="C400" s="39" t="inlineStr">
        <is>
          <t>Tầm bắn</t>
        </is>
      </c>
      <c r="D400" s="39" t="inlineStr">
        <is>
          <t>44</t>
        </is>
      </c>
      <c r="E400" s="49" t="inlineStr">
        <is>
          <t>Giữ</t>
        </is>
      </c>
      <c r="F400" s="39" t="n"/>
      <c r="G400" s="39" t="inlineStr">
        <is>
          <t>Thứ tự tầm hợp lý trong nhóm.</t>
        </is>
      </c>
      <c r="H400" s="39" t="n"/>
    </row>
    <row r="401" ht="15" customHeight="1" s="32">
      <c r="A401" s="41" t="inlineStr">
        <is>
          <t>heavy_aa</t>
        </is>
      </c>
      <c r="B401" s="41" t="inlineStr">
        <is>
          <t>Pháo tên lửa phòng không</t>
        </is>
      </c>
      <c r="C401" s="41" t="inlineStr">
        <is>
          <t>Giá (CP)</t>
        </is>
      </c>
      <c r="D401" s="43" t="n">
        <v>6</v>
      </c>
      <c r="E401" s="47" t="inlineStr">
        <is>
          <t>Đổi</t>
        </is>
      </c>
      <c r="F401" s="41" t="inlineStr">
        <is>
          <t>7 CP</t>
        </is>
      </c>
      <c r="G401" s="41" t="inlineStr">
        <is>
          <t>Pantsir đắt ngang hoặc hơn Buk ngoài đời, hiệu quả 1,14 × trung vị.</t>
        </is>
      </c>
      <c r="H401" s="48" t="inlineStr">
        <is>
          <t>Trung</t>
        </is>
      </c>
    </row>
    <row r="402" ht="15" customHeight="1" s="32">
      <c r="A402" s="39" t="inlineStr">
        <is>
          <t>heavy_aa</t>
        </is>
      </c>
      <c r="B402" s="39" t="inlineStr">
        <is>
          <t>Pháo tên lửa phòng không</t>
        </is>
      </c>
      <c r="C402" s="39" t="inlineStr">
        <is>
          <t>Vũ khí: 2A38 30 mm đôi</t>
        </is>
      </c>
      <c r="D402" s="39" t="inlineStr">
        <is>
          <t>22/phát · 13,6 viên/s</t>
        </is>
      </c>
      <c r="E402" s="47" t="inlineStr">
        <is>
          <t>Đổi</t>
        </is>
      </c>
      <c r="F402" s="39" t="inlineStr">
        <is>
          <t>7,5/phát · 40 viên/s (giữ DPS)</t>
        </is>
      </c>
      <c r="G402" s="39" t="inlineStr">
        <is>
          <t>Tạo luồng đạn đặc trưng Pantsir.</t>
        </is>
      </c>
      <c r="H402" s="49" t="inlineStr">
        <is>
          <t>Thấp</t>
        </is>
      </c>
    </row>
    <row r="403" ht="21.75" customHeight="1" s="32">
      <c r="A403" s="41" t="inlineStr">
        <is>
          <t>heavy_aa</t>
        </is>
      </c>
      <c r="B403" s="41" t="inlineStr">
        <is>
          <t>Pháo tên lửa phòng không</t>
        </is>
      </c>
      <c r="C403" s="41" t="inlineStr">
        <is>
          <t>Hành vi</t>
        </is>
      </c>
      <c r="D403" s="41" t="inlineStr">
        <is>
          <t>Vừa chạy vừa bắn; Bắn hết 69 viên thì thay băng; La-de phòng không</t>
        </is>
      </c>
      <c r="E403" s="49" t="inlineStr">
        <is>
          <t>Giữ</t>
        </is>
      </c>
      <c r="F403" s="41" t="n"/>
      <c r="G403" s="41" t="inlineStr">
        <is>
          <t>Hợp vai trò.</t>
        </is>
      </c>
      <c r="H403" s="41" t="n"/>
    </row>
    <row r="404" ht="15" customHeight="1" s="32">
      <c r="A404" s="39" t="inlineStr">
        <is>
          <t>heavy_aa</t>
        </is>
      </c>
      <c r="B404" s="39" t="inlineStr">
        <is>
          <t>Pháo tên lửa phòng không</t>
        </is>
      </c>
      <c r="C404" s="39" t="inlineStr">
        <is>
          <t>Nổ khi bị phá (bán kính)</t>
        </is>
      </c>
      <c r="D404" s="39" t="inlineStr">
        <is>
          <t>7 m · 200 sát thương</t>
        </is>
      </c>
      <c r="E404" s="49" t="inlineStr">
        <is>
          <t>Giữ</t>
        </is>
      </c>
      <c r="F404" s="39" t="n"/>
      <c r="G404" s="39" t="inlineStr">
        <is>
          <t>Hợp với cỡ xe.</t>
        </is>
      </c>
      <c r="H404" s="39" t="n"/>
    </row>
    <row r="405" ht="21.75" customHeight="1" s="32">
      <c r="A405" s="41" t="inlineStr">
        <is>
          <t>heavy_aa</t>
        </is>
      </c>
      <c r="B405" s="41" t="inlineStr">
        <is>
          <t>Pháo tên lửa phòng không</t>
        </is>
      </c>
      <c r="C405" s="41" t="inlineStr">
        <is>
          <t>Tham khảo / model</t>
        </is>
      </c>
      <c r="D405" s="41" t="inlineStr">
        <is>
          <t>Pantsir-S1 (2A38 30 mm) — Xe tải phòng không kết hợp pháo và tên lửa</t>
        </is>
      </c>
      <c r="E405" s="49" t="inlineStr">
        <is>
          <t>Giữ</t>
        </is>
      </c>
      <c r="F405" s="41" t="n"/>
      <c r="G405" s="41" t="inlineStr">
        <is>
          <t>Khớp vũ khí và vai trò.</t>
        </is>
      </c>
      <c r="H405" s="41" t="n"/>
    </row>
    <row r="406" ht="15" customHeight="1" s="32">
      <c r="A406" s="39" t="inlineStr">
        <is>
          <t>iron_beam</t>
        </is>
      </c>
      <c r="B406" s="39" t="inlineStr">
        <is>
          <t>La-de phòng không</t>
        </is>
      </c>
      <c r="C406" s="39" t="inlineStr">
        <is>
          <t>Tên</t>
        </is>
      </c>
      <c r="D406" s="39" t="inlineStr">
        <is>
          <t>La-de phòng không</t>
        </is>
      </c>
      <c r="E406" s="47" t="inlineStr">
        <is>
          <t>Đổi</t>
        </is>
      </c>
      <c r="F406" s="39" t="inlineStr">
        <is>
          <t>Xe la-de phòng không · ngắn: La-de PK · EN: Laser AA</t>
        </is>
      </c>
      <c r="G406" s="39" t="inlineStr">
        <is>
          <t>Giữ.</t>
        </is>
      </c>
      <c r="H406" s="49" t="inlineStr">
        <is>
          <t>Thấp</t>
        </is>
      </c>
    </row>
    <row r="407" ht="15" customHeight="1" s="32">
      <c r="A407" s="41" t="inlineStr">
        <is>
          <t>iron_beam</t>
        </is>
      </c>
      <c r="B407" s="41" t="inlineStr">
        <is>
          <t>La-de phòng không</t>
        </is>
      </c>
      <c r="C407" s="41" t="inlineStr">
        <is>
          <t>Máu</t>
        </is>
      </c>
      <c r="D407" s="43" t="n">
        <v>990</v>
      </c>
      <c r="E407" s="49" t="inlineStr">
        <is>
          <t>Giữ</t>
        </is>
      </c>
      <c r="F407" s="41" t="n"/>
      <c r="G407" s="41" t="inlineStr">
        <is>
          <t>Máu/CP 0.82 × trung vị lớp Phòng không.</t>
        </is>
      </c>
      <c r="H407" s="41" t="n"/>
    </row>
    <row r="408" ht="15" customHeight="1" s="32">
      <c r="A408" s="39" t="inlineStr">
        <is>
          <t>iron_beam</t>
        </is>
      </c>
      <c r="B408" s="39" t="inlineStr">
        <is>
          <t>La-de phòng không</t>
        </is>
      </c>
      <c r="C408" s="39" t="inlineStr">
        <is>
          <t>Giáp (T/H/S/N)</t>
        </is>
      </c>
      <c r="D408" s="39" t="inlineStr">
        <is>
          <t>1/0/0/0</t>
        </is>
      </c>
      <c r="E408" s="49" t="inlineStr">
        <is>
          <t>Giữ</t>
        </is>
      </c>
      <c r="F408" s="39" t="n"/>
      <c r="G408" s="39" t="inlineStr">
        <is>
          <t>Giả tưởng / máy bay; khớp vai trò.</t>
        </is>
      </c>
      <c r="H408" s="39" t="n"/>
    </row>
    <row r="409" ht="15" customHeight="1" s="32">
      <c r="A409" s="41" t="inlineStr">
        <is>
          <t>iron_beam</t>
        </is>
      </c>
      <c r="B409" s="41" t="inlineStr">
        <is>
          <t>La-de phòng không</t>
        </is>
      </c>
      <c r="C409" s="41" t="inlineStr">
        <is>
          <t>Tốc độ</t>
        </is>
      </c>
      <c r="D409" s="43" t="n">
        <v>7</v>
      </c>
      <c r="E409" s="49" t="inlineStr">
        <is>
          <t>Giữ</t>
        </is>
      </c>
      <c r="F409" s="41" t="n"/>
      <c r="G409" s="41" t="inlineStr">
        <is>
          <t>Gần tốc độ thật × hệ số nén (8.9).</t>
        </is>
      </c>
      <c r="H409" s="41" t="n"/>
    </row>
    <row r="410" ht="15" customHeight="1" s="32">
      <c r="A410" s="39" t="inlineStr">
        <is>
          <t>iron_beam</t>
        </is>
      </c>
      <c r="B410" s="39" t="inlineStr">
        <is>
          <t>La-de phòng không</t>
        </is>
      </c>
      <c r="C410" s="39" t="inlineStr">
        <is>
          <t>Tốc độ xoay thân / tháp</t>
        </is>
      </c>
      <c r="D410" s="39" t="inlineStr">
        <is>
          <t>1 / 3</t>
        </is>
      </c>
      <c r="E410" s="49" t="inlineStr">
        <is>
          <t>Giữ</t>
        </is>
      </c>
      <c r="F410" s="39" t="n"/>
      <c r="G410" s="39" t="inlineStr">
        <is>
          <t>Hợp lý so với loại xe.</t>
        </is>
      </c>
      <c r="H410" s="39" t="n"/>
    </row>
    <row r="411" ht="21.75" customHeight="1" s="32">
      <c r="A411" s="41" t="inlineStr">
        <is>
          <t>iron_beam</t>
        </is>
      </c>
      <c r="B411" s="41" t="inlineStr">
        <is>
          <t>La-de phòng không</t>
        </is>
      </c>
      <c r="C411" s="41" t="inlineStr">
        <is>
          <t>Kích thước model (dài × rộng × cao)</t>
        </is>
      </c>
      <c r="D411" s="41" t="inlineStr">
        <is>
          <t>7.8 × 2.7 × 3.7</t>
        </is>
      </c>
      <c r="E411" s="47" t="inlineStr">
        <is>
          <t>Đổi</t>
        </is>
      </c>
      <c r="F411" s="41" t="inlineStr">
        <is>
          <t>8.0 × 2.0 × 2.8</t>
        </is>
      </c>
      <c r="G411" s="41" t="inlineStr">
        <is>
          <t>Mẫu thật Iron Beam (xe tải mang laser): 10.0 × 2.5 m; theo tỷ lệ chung (mặt đất 0,8) nên là 8.0 × 2.0 m. Đổi kích thước thì chỉnh vùng va chạm và chạy lại test xe kẹt.</t>
        </is>
      </c>
      <c r="H411" s="49" t="inlineStr">
        <is>
          <t>Thấp</t>
        </is>
      </c>
    </row>
    <row r="412" ht="15" customHeight="1" s="32">
      <c r="A412" s="39" t="inlineStr">
        <is>
          <t>iron_beam</t>
        </is>
      </c>
      <c r="B412" s="39" t="inlineStr">
        <is>
          <t>La-de phòng không</t>
        </is>
      </c>
      <c r="C412" s="39" t="inlineStr">
        <is>
          <t>Tầm nhìn</t>
        </is>
      </c>
      <c r="D412" s="42" t="n">
        <v>56</v>
      </c>
      <c r="E412" s="49" t="inlineStr">
        <is>
          <t>Giữ</t>
        </is>
      </c>
      <c r="F412" s="39" t="n"/>
      <c r="G412" s="39" t="inlineStr">
        <is>
          <t>Khớp vai trò.</t>
        </is>
      </c>
      <c r="H412" s="39" t="n"/>
    </row>
    <row r="413" ht="15" customHeight="1" s="32">
      <c r="A413" s="41" t="inlineStr">
        <is>
          <t>iron_beam</t>
        </is>
      </c>
      <c r="B413" s="41" t="inlineStr">
        <is>
          <t>La-de phòng không</t>
        </is>
      </c>
      <c r="C413" s="41" t="inlineStr">
        <is>
          <t>Tầm bắn</t>
        </is>
      </c>
      <c r="D413" s="41" t="inlineStr">
        <is>
          <t>45</t>
        </is>
      </c>
      <c r="E413" s="49" t="inlineStr">
        <is>
          <t>Giữ</t>
        </is>
      </c>
      <c r="F413" s="41" t="n"/>
      <c r="G413" s="41" t="inlineStr">
        <is>
          <t>Thứ tự tầm hợp lý trong nhóm.</t>
        </is>
      </c>
      <c r="H413" s="41" t="n"/>
    </row>
    <row r="414" ht="15" customHeight="1" s="32">
      <c r="A414" s="39" t="inlineStr">
        <is>
          <t>iron_beam</t>
        </is>
      </c>
      <c r="B414" s="39" t="inlineStr">
        <is>
          <t>La-de phòng không</t>
        </is>
      </c>
      <c r="C414" s="39" t="inlineStr">
        <is>
          <t>Giá (CP)</t>
        </is>
      </c>
      <c r="D414" s="42" t="n">
        <v>7</v>
      </c>
      <c r="E414" s="47" t="inlineStr">
        <is>
          <t>Đổi</t>
        </is>
      </c>
      <c r="F414" s="39" t="inlineStr">
        <is>
          <t>6 CP</t>
        </is>
      </c>
      <c r="G414" s="39" t="inlineStr">
        <is>
          <t>Gần như vô dụng hiện tại.</t>
        </is>
      </c>
      <c r="H414" s="47" t="inlineStr">
        <is>
          <t>Cao</t>
        </is>
      </c>
    </row>
    <row r="415" ht="21.75" customHeight="1" s="32">
      <c r="A415" s="41" t="inlineStr">
        <is>
          <t>iron_beam</t>
        </is>
      </c>
      <c r="B415" s="41" t="inlineStr">
        <is>
          <t>La-de phòng không</t>
        </is>
      </c>
      <c r="C415" s="41" t="inlineStr">
        <is>
          <t>Vũ khí: laser 100 kW</t>
        </is>
      </c>
      <c r="D415" s="41" t="inlineStr">
        <is>
          <t>7,5/tick · DPS 143 lý thuyết</t>
        </is>
      </c>
      <c r="E415" s="47" t="inlineStr">
        <is>
          <t>Đổi</t>
        </is>
      </c>
      <c r="F415" s="41" t="inlineStr">
        <is>
          <t>10/tick · DPS ~190; mở rộng APS: đánh chặn cả đạn cối và rốc-két pháo binh trong 30 m; ưu tiên drone</t>
        </is>
      </c>
      <c r="G415" s="41" t="inlineStr">
        <is>
          <t>Vai trò thật của Iron Beam là chặn drone, rốc-két, cối.</t>
        </is>
      </c>
      <c r="H415" s="47" t="inlineStr">
        <is>
          <t>Cao</t>
        </is>
      </c>
    </row>
    <row r="416" ht="32.25" customHeight="1" s="32">
      <c r="A416" s="39" t="inlineStr">
        <is>
          <t>iron_beam</t>
        </is>
      </c>
      <c r="B416" s="39" t="inlineStr">
        <is>
          <t>La-de phòng không</t>
        </is>
      </c>
      <c r="C416" s="39" t="inlineStr">
        <is>
          <t>Hành vi</t>
        </is>
      </c>
      <c r="D416" s="39" t="inlineStr">
        <is>
          <t>Vừa chạy vừa bắn; Ưu tiên máy bay; APS: bắn hạ tên lửa, drone và rốc-két bắn thẳ</t>
        </is>
      </c>
      <c r="E416" s="49" t="inlineStr">
        <is>
          <t>Giữ</t>
        </is>
      </c>
      <c r="F416" s="39" t="n"/>
      <c r="G416" s="39" t="inlineStr">
        <is>
          <t>Hợp vai trò.</t>
        </is>
      </c>
      <c r="H416" s="39" t="n"/>
    </row>
    <row r="417" ht="15" customHeight="1" s="32">
      <c r="A417" s="41" t="inlineStr">
        <is>
          <t>iron_beam</t>
        </is>
      </c>
      <c r="B417" s="41" t="inlineStr">
        <is>
          <t>La-de phòng không</t>
        </is>
      </c>
      <c r="C417" s="41" t="inlineStr">
        <is>
          <t>Nổ khi bị phá (bán kính)</t>
        </is>
      </c>
      <c r="D417" s="41" t="inlineStr">
        <is>
          <t>6 m · 140 sát thương</t>
        </is>
      </c>
      <c r="E417" s="49" t="inlineStr">
        <is>
          <t>Giữ</t>
        </is>
      </c>
      <c r="F417" s="41" t="n"/>
      <c r="G417" s="41" t="inlineStr">
        <is>
          <t>Hợp với cỡ xe.</t>
        </is>
      </c>
      <c r="H417" s="41" t="n"/>
    </row>
    <row r="418" ht="21.75" customHeight="1" s="32">
      <c r="A418" s="39" t="inlineStr">
        <is>
          <t>iron_beam</t>
        </is>
      </c>
      <c r="B418" s="39" t="inlineStr">
        <is>
          <t>La-de phòng không</t>
        </is>
      </c>
      <c r="C418" s="39" t="inlineStr">
        <is>
          <t>Tham khảo / model</t>
        </is>
      </c>
      <c r="D418" s="39" t="inlineStr">
        <is>
          <t>Rafael Iron Beam (laser 100 kW) — Xe laser phòng không năng lượng cao</t>
        </is>
      </c>
      <c r="E418" s="49" t="inlineStr">
        <is>
          <t>Giữ</t>
        </is>
      </c>
      <c r="F418" s="39" t="n"/>
      <c r="G418" s="39" t="inlineStr">
        <is>
          <t>Khớp vũ khí và vai trò.</t>
        </is>
      </c>
      <c r="H418" s="39" t="n"/>
    </row>
    <row r="419" ht="21.75" customHeight="1" s="32">
      <c r="A419" s="41" t="inlineStr">
        <is>
          <t>long_sam</t>
        </is>
      </c>
      <c r="B419" s="41" t="inlineStr">
        <is>
          <t>Tên lửa phòng không tầm xa</t>
        </is>
      </c>
      <c r="C419" s="41" t="inlineStr">
        <is>
          <t>Tên</t>
        </is>
      </c>
      <c r="D419" s="41" t="inlineStr">
        <is>
          <t>Tên lửa phòng không tầm xa</t>
        </is>
      </c>
      <c r="E419" s="47" t="inlineStr">
        <is>
          <t>Đổi</t>
        </is>
      </c>
      <c r="F419" s="41" t="inlineStr">
        <is>
          <t>Xe tên lửa phòng không tầm xa · ngắn: PK tầm xa · EN: Long-range SAM</t>
        </is>
      </c>
      <c r="G419" s="41" t="inlineStr">
        <is>
          <t>Giữ nghĩa, thống nhất với tầm trung.</t>
        </is>
      </c>
      <c r="H419" s="49" t="inlineStr">
        <is>
          <t>Thấp</t>
        </is>
      </c>
    </row>
    <row r="420" ht="15" customHeight="1" s="32">
      <c r="A420" s="39" t="inlineStr">
        <is>
          <t>long_sam</t>
        </is>
      </c>
      <c r="B420" s="39" t="inlineStr">
        <is>
          <t>Tên lửa phòng không tầm xa</t>
        </is>
      </c>
      <c r="C420" s="39" t="inlineStr">
        <is>
          <t>Máu</t>
        </is>
      </c>
      <c r="D420" s="42" t="n">
        <v>968</v>
      </c>
      <c r="E420" s="49" t="inlineStr">
        <is>
          <t>Giữ</t>
        </is>
      </c>
      <c r="F420" s="39" t="n"/>
      <c r="G420" s="39" t="inlineStr">
        <is>
          <t>Máu/CP 0.51 × trung vị lớp Phòng không.</t>
        </is>
      </c>
      <c r="H420" s="39" t="n"/>
    </row>
    <row r="421" ht="15" customHeight="1" s="32">
      <c r="A421" s="41" t="inlineStr">
        <is>
          <t>long_sam</t>
        </is>
      </c>
      <c r="B421" s="41" t="inlineStr">
        <is>
          <t>Tên lửa phòng không tầm xa</t>
        </is>
      </c>
      <c r="C421" s="41" t="inlineStr">
        <is>
          <t>Giáp (T/H/S/N)</t>
        </is>
      </c>
      <c r="D421" s="41" t="inlineStr">
        <is>
          <t>1/0/0/0</t>
        </is>
      </c>
      <c r="E421" s="49" t="inlineStr">
        <is>
          <t>Giữ</t>
        </is>
      </c>
      <c r="F421" s="41" t="n"/>
      <c r="G421" s="41" t="inlineStr">
        <is>
          <t>Giả tưởng / máy bay; khớp vai trò.</t>
        </is>
      </c>
      <c r="H421" s="41" t="n"/>
    </row>
    <row r="422" ht="15" customHeight="1" s="32">
      <c r="A422" s="39" t="inlineStr">
        <is>
          <t>long_sam</t>
        </is>
      </c>
      <c r="B422" s="39" t="inlineStr">
        <is>
          <t>Tên lửa phòng không tầm xa</t>
        </is>
      </c>
      <c r="C422" s="39" t="inlineStr">
        <is>
          <t>Tốc độ</t>
        </is>
      </c>
      <c r="D422" s="42" t="n">
        <v>6</v>
      </c>
      <c r="E422" s="49" t="inlineStr">
        <is>
          <t>Giữ</t>
        </is>
      </c>
      <c r="F422" s="39" t="n"/>
      <c r="G422" s="39" t="inlineStr">
        <is>
          <t>Gần tốc độ thật × hệ số nén (6.7).</t>
        </is>
      </c>
      <c r="H422" s="39" t="n"/>
    </row>
    <row r="423" ht="15" customHeight="1" s="32">
      <c r="A423" s="41" t="inlineStr">
        <is>
          <t>long_sam</t>
        </is>
      </c>
      <c r="B423" s="41" t="inlineStr">
        <is>
          <t>Tên lửa phòng không tầm xa</t>
        </is>
      </c>
      <c r="C423" s="41" t="inlineStr">
        <is>
          <t>Tốc độ xoay thân / tháp</t>
        </is>
      </c>
      <c r="D423" s="41" t="inlineStr">
        <is>
          <t>1 / 1</t>
        </is>
      </c>
      <c r="E423" s="49" t="inlineStr">
        <is>
          <t>Giữ</t>
        </is>
      </c>
      <c r="F423" s="41" t="n"/>
      <c r="G423" s="41" t="inlineStr">
        <is>
          <t>Hợp lý so với loại xe.</t>
        </is>
      </c>
      <c r="H423" s="41" t="n"/>
    </row>
    <row r="424" ht="15" customHeight="1" s="32">
      <c r="A424" s="39" t="inlineStr">
        <is>
          <t>long_sam</t>
        </is>
      </c>
      <c r="B424" s="39" t="inlineStr">
        <is>
          <t>Tên lửa phòng không tầm xa</t>
        </is>
      </c>
      <c r="C424" s="39" t="inlineStr">
        <is>
          <t>Kích thước model (dài × rộng × cao)</t>
        </is>
      </c>
      <c r="D424" s="39" t="inlineStr">
        <is>
          <t>9.8 × 3.1 × 3.7</t>
        </is>
      </c>
      <c r="E424" s="49" t="inlineStr">
        <is>
          <t>Giữ</t>
        </is>
      </c>
      <c r="F424" s="39" t="n"/>
      <c r="G424" s="39" t="inlineStr">
        <is>
          <t>Khớp tỷ lệ chung (mẫu thật 14.0 m).</t>
        </is>
      </c>
      <c r="H424" s="39" t="n"/>
    </row>
    <row r="425" ht="15" customHeight="1" s="32">
      <c r="A425" s="41" t="inlineStr">
        <is>
          <t>long_sam</t>
        </is>
      </c>
      <c r="B425" s="41" t="inlineStr">
        <is>
          <t>Tên lửa phòng không tầm xa</t>
        </is>
      </c>
      <c r="C425" s="41" t="inlineStr">
        <is>
          <t>Tầm nhìn</t>
        </is>
      </c>
      <c r="D425" s="43" t="n">
        <v>80</v>
      </c>
      <c r="E425" s="49" t="inlineStr">
        <is>
          <t>Giữ</t>
        </is>
      </c>
      <c r="F425" s="41" t="n"/>
      <c r="G425" s="41" t="inlineStr">
        <is>
          <t>Khớp vai trò.</t>
        </is>
      </c>
      <c r="H425" s="41" t="n"/>
    </row>
    <row r="426" ht="15" customHeight="1" s="32">
      <c r="A426" s="39" t="inlineStr">
        <is>
          <t>long_sam</t>
        </is>
      </c>
      <c r="B426" s="39" t="inlineStr">
        <is>
          <t>Tên lửa phòng không tầm xa</t>
        </is>
      </c>
      <c r="C426" s="39" t="inlineStr">
        <is>
          <t>Tầm bắn</t>
        </is>
      </c>
      <c r="D426" s="39" t="inlineStr">
        <is>
          <t>95</t>
        </is>
      </c>
      <c r="E426" s="49" t="inlineStr">
        <is>
          <t>Giữ</t>
        </is>
      </c>
      <c r="F426" s="39" t="n"/>
      <c r="G426" s="39" t="inlineStr">
        <is>
          <t>Thứ tự tầm hợp lý trong nhóm.</t>
        </is>
      </c>
      <c r="H426" s="39" t="n"/>
    </row>
    <row r="427" ht="15" customHeight="1" s="32">
      <c r="A427" s="41" t="inlineStr">
        <is>
          <t>long_sam</t>
        </is>
      </c>
      <c r="B427" s="41" t="inlineStr">
        <is>
          <t>Tên lửa phòng không tầm xa</t>
        </is>
      </c>
      <c r="C427" s="41" t="inlineStr">
        <is>
          <t>Giá (CP)</t>
        </is>
      </c>
      <c r="D427" s="43" t="n">
        <v>11</v>
      </c>
      <c r="E427" s="47" t="inlineStr">
        <is>
          <t>Đổi</t>
        </is>
      </c>
      <c r="F427" s="41" t="inlineStr">
        <is>
          <t>14 CP</t>
        </is>
      </c>
      <c r="G427" s="41" t="inlineStr">
        <is>
          <t>Hiệu quả gấp đôi các xe phòng không khác; S-400 ngoài đời cực đắt.</t>
        </is>
      </c>
      <c r="H427" s="47" t="inlineStr">
        <is>
          <t>Cao</t>
        </is>
      </c>
    </row>
    <row r="428" ht="15" customHeight="1" s="32">
      <c r="A428" s="39" t="inlineStr">
        <is>
          <t>long_sam</t>
        </is>
      </c>
      <c r="B428" s="39" t="inlineStr">
        <is>
          <t>Tên lửa phòng không tầm xa</t>
        </is>
      </c>
      <c r="C428" s="39" t="inlineStr">
        <is>
          <t>Vũ khí: 48N6</t>
        </is>
      </c>
      <c r="D428" s="39" t="inlineStr">
        <is>
          <t>tốc độ 24 (bay 4,0 s)</t>
        </is>
      </c>
      <c r="E428" s="47" t="inlineStr">
        <is>
          <t>Đổi</t>
        </is>
      </c>
      <c r="F428" s="39" t="inlineStr">
        <is>
          <t>tốc độ 65 (bay 1,5 s)</t>
        </is>
      </c>
      <c r="G428" s="39" t="inlineStr">
        <is>
          <t>Tên lửa tầm xa cần nhanh để trúng máy bay ở rìa tầm.</t>
        </is>
      </c>
      <c r="H428" s="48" t="inlineStr">
        <is>
          <t>Trung</t>
        </is>
      </c>
    </row>
    <row r="429" ht="32.25" customHeight="1" s="32">
      <c r="A429" s="41" t="inlineStr">
        <is>
          <t>long_sam</t>
        </is>
      </c>
      <c r="B429" s="41" t="inlineStr">
        <is>
          <t>Tên lửa phòng không tầm xa</t>
        </is>
      </c>
      <c r="C429" s="41" t="inlineStr">
        <is>
          <t>Hành vi</t>
        </is>
      </c>
      <c r="D429" s="41" t="inlineStr">
        <is>
          <t>Dừng lại mới bắn, từ 20-95 m; cần ta nhìn thấy mục tiêu (tự nó hoặc quân bạn); Ư</t>
        </is>
      </c>
      <c r="E429" s="49" t="inlineStr">
        <is>
          <t>Giữ</t>
        </is>
      </c>
      <c r="F429" s="41" t="n"/>
      <c r="G429" s="41" t="inlineStr">
        <is>
          <t>Hợp vai trò.</t>
        </is>
      </c>
      <c r="H429" s="41" t="n"/>
    </row>
    <row r="430" ht="15" customHeight="1" s="32">
      <c r="A430" s="39" t="inlineStr">
        <is>
          <t>long_sam</t>
        </is>
      </c>
      <c r="B430" s="39" t="inlineStr">
        <is>
          <t>Tên lửa phòng không tầm xa</t>
        </is>
      </c>
      <c r="C430" s="39" t="inlineStr">
        <is>
          <t>Nổ khi bị phá (bán kính)</t>
        </is>
      </c>
      <c r="D430" s="39" t="inlineStr">
        <is>
          <t>10 m · 320 sát thương</t>
        </is>
      </c>
      <c r="E430" s="49" t="inlineStr">
        <is>
          <t>Giữ</t>
        </is>
      </c>
      <c r="F430" s="39" t="n"/>
      <c r="G430" s="39" t="inlineStr">
        <is>
          <t>Hợp với cỡ xe.</t>
        </is>
      </c>
      <c r="H430" s="39" t="n"/>
    </row>
    <row r="431" ht="32.25" customHeight="1" s="32">
      <c r="A431" s="41" t="inlineStr">
        <is>
          <t>long_sam</t>
        </is>
      </c>
      <c r="B431" s="41" t="inlineStr">
        <is>
          <t>Tên lửa phòng không tầm xa</t>
        </is>
      </c>
      <c r="C431" s="41" t="inlineStr">
        <is>
          <t>Tham khảo / model</t>
        </is>
      </c>
      <c r="D431" s="41" t="inlineStr">
        <is>
          <t>S-300PMU (5P85), S-400 (48N6), khung MAZ-543 — Bệ phóng tên lửa phòng không tầm xa, dựng đ</t>
        </is>
      </c>
      <c r="E431" s="49" t="inlineStr">
        <is>
          <t>Giữ</t>
        </is>
      </c>
      <c r="F431" s="41" t="n"/>
      <c r="G431" s="41" t="inlineStr">
        <is>
          <t>Khớp vũ khí và vai trò.</t>
        </is>
      </c>
      <c r="H431" s="41" t="n"/>
    </row>
    <row r="432" ht="21.75" customHeight="1" s="32">
      <c r="A432" s="39" t="inlineStr">
        <is>
          <t>scout_heli</t>
        </is>
      </c>
      <c r="B432" s="39" t="inlineStr">
        <is>
          <t>Trực thăng trinh sát</t>
        </is>
      </c>
      <c r="C432" s="39" t="inlineStr">
        <is>
          <t>Tên</t>
        </is>
      </c>
      <c r="D432" s="39" t="inlineStr">
        <is>
          <t>Trực thăng trinh sát</t>
        </is>
      </c>
      <c r="E432" s="47" t="inlineStr">
        <is>
          <t>Đổi</t>
        </is>
      </c>
      <c r="F432" s="39" t="inlineStr">
        <is>
          <t>Trực thăng trinh sát vũ trang · ngắn: TT trinh sát · EN: Armed Scout Helicopter</t>
        </is>
      </c>
      <c r="G432" s="39" t="inlineStr">
        <is>
          <t>Nói rõ nó có vũ khí.</t>
        </is>
      </c>
      <c r="H432" s="49" t="inlineStr">
        <is>
          <t>Thấp</t>
        </is>
      </c>
    </row>
    <row r="433" ht="15" customHeight="1" s="32">
      <c r="A433" s="41" t="inlineStr">
        <is>
          <t>scout_heli</t>
        </is>
      </c>
      <c r="B433" s="41" t="inlineStr">
        <is>
          <t>Trực thăng trinh sát</t>
        </is>
      </c>
      <c r="C433" s="41" t="inlineStr">
        <is>
          <t>Máu</t>
        </is>
      </c>
      <c r="D433" s="43" t="n">
        <v>924</v>
      </c>
      <c r="E433" s="49" t="inlineStr">
        <is>
          <t>Giữ</t>
        </is>
      </c>
      <c r="F433" s="41" t="n"/>
      <c r="G433" s="41" t="inlineStr">
        <is>
          <t>Máu/CP 1.12 × trung vị lớp Trực thăng.</t>
        </is>
      </c>
      <c r="H433" s="41" t="n"/>
    </row>
    <row r="434" ht="15" customHeight="1" s="32">
      <c r="A434" s="39" t="inlineStr">
        <is>
          <t>scout_heli</t>
        </is>
      </c>
      <c r="B434" s="39" t="inlineStr">
        <is>
          <t>Trực thăng trinh sát</t>
        </is>
      </c>
      <c r="C434" s="39" t="inlineStr">
        <is>
          <t>Giáp (T/H/S/N)</t>
        </is>
      </c>
      <c r="D434" s="39" t="inlineStr">
        <is>
          <t>cấp 0 (Không giáp)</t>
        </is>
      </c>
      <c r="E434" s="49" t="inlineStr">
        <is>
          <t>Giữ</t>
        </is>
      </c>
      <c r="F434" s="39" t="n"/>
      <c r="G434" s="39" t="inlineStr">
        <is>
          <t>Khớp mẫu thật theo thang 0–4.</t>
        </is>
      </c>
      <c r="H434" s="39" t="n"/>
    </row>
    <row r="435" ht="15" customHeight="1" s="32">
      <c r="A435" s="41" t="inlineStr">
        <is>
          <t>scout_heli</t>
        </is>
      </c>
      <c r="B435" s="41" t="inlineStr">
        <is>
          <t>Trực thăng trinh sát</t>
        </is>
      </c>
      <c r="C435" s="41" t="inlineStr">
        <is>
          <t>Tốc độ</t>
        </is>
      </c>
      <c r="D435" s="43" t="n">
        <v>17</v>
      </c>
      <c r="E435" s="49" t="inlineStr">
        <is>
          <t>Giữ</t>
        </is>
      </c>
      <c r="F435" s="41" t="n"/>
      <c r="G435" s="41" t="inlineStr">
        <is>
          <t>Gần tốc độ thật × hệ số nén (13.2).</t>
        </is>
      </c>
      <c r="H435" s="41" t="n"/>
    </row>
    <row r="436" ht="15" customHeight="1" s="32">
      <c r="A436" s="39" t="inlineStr">
        <is>
          <t>scout_heli</t>
        </is>
      </c>
      <c r="B436" s="39" t="inlineStr">
        <is>
          <t>Trực thăng trinh sát</t>
        </is>
      </c>
      <c r="C436" s="39" t="inlineStr">
        <is>
          <t>Kích thước model (dài × rộng × cao)</t>
        </is>
      </c>
      <c r="D436" s="39" t="inlineStr">
        <is>
          <t>4.3 × 3.9 × 1.4</t>
        </is>
      </c>
      <c r="E436" s="49" t="inlineStr">
        <is>
          <t>Giữ</t>
        </is>
      </c>
      <c r="F436" s="39" t="n"/>
      <c r="G436" s="39" t="inlineStr">
        <is>
          <t>Khớp tỷ lệ chung (mẫu thật 9.9 m).</t>
        </is>
      </c>
      <c r="H436" s="39" t="n"/>
    </row>
    <row r="437" ht="15" customHeight="1" s="32">
      <c r="A437" s="41" t="inlineStr">
        <is>
          <t>scout_heli</t>
        </is>
      </c>
      <c r="B437" s="41" t="inlineStr">
        <is>
          <t>Trực thăng trinh sát</t>
        </is>
      </c>
      <c r="C437" s="41" t="inlineStr">
        <is>
          <t>Tầm nhìn</t>
        </is>
      </c>
      <c r="D437" s="43" t="n">
        <v>46</v>
      </c>
      <c r="E437" s="49" t="inlineStr">
        <is>
          <t>Giữ</t>
        </is>
      </c>
      <c r="F437" s="41" t="n"/>
      <c r="G437" s="41" t="inlineStr">
        <is>
          <t>Khớp vai trò.</t>
        </is>
      </c>
      <c r="H437" s="41" t="n"/>
    </row>
    <row r="438" ht="15" customHeight="1" s="32">
      <c r="A438" s="39" t="inlineStr">
        <is>
          <t>scout_heli</t>
        </is>
      </c>
      <c r="B438" s="39" t="inlineStr">
        <is>
          <t>Trực thăng trinh sát</t>
        </is>
      </c>
      <c r="C438" s="39" t="inlineStr">
        <is>
          <t>Tầm bắn</t>
        </is>
      </c>
      <c r="D438" s="39" t="inlineStr">
        <is>
          <t>28</t>
        </is>
      </c>
      <c r="E438" s="49" t="inlineStr">
        <is>
          <t>Giữ</t>
        </is>
      </c>
      <c r="F438" s="39" t="n"/>
      <c r="G438" s="39" t="inlineStr">
        <is>
          <t>Thứ tự tầm hợp lý trong nhóm.</t>
        </is>
      </c>
      <c r="H438" s="39" t="n"/>
    </row>
    <row r="439" ht="15" customHeight="1" s="32">
      <c r="A439" s="41" t="inlineStr">
        <is>
          <t>scout_heli</t>
        </is>
      </c>
      <c r="B439" s="41" t="inlineStr">
        <is>
          <t>Trực thăng trinh sát</t>
        </is>
      </c>
      <c r="C439" s="41" t="inlineStr">
        <is>
          <t>Giá (CP)</t>
        </is>
      </c>
      <c r="D439" s="43" t="n">
        <v>4</v>
      </c>
      <c r="E439" s="47" t="inlineStr">
        <is>
          <t>Đổi</t>
        </is>
      </c>
      <c r="F439" s="41" t="inlineStr">
        <is>
          <t>5 CP</t>
        </is>
      </c>
      <c r="G439" s="41" t="inlineStr">
        <is>
          <t>Trực thăng trinh sát đang là thẻ diệt xe nhẹ mạnh nhất.</t>
        </is>
      </c>
      <c r="H439" s="47" t="inlineStr">
        <is>
          <t>Cao</t>
        </is>
      </c>
    </row>
    <row r="440" ht="15" customHeight="1" s="32">
      <c r="A440" s="39" t="inlineStr">
        <is>
          <t>scout_heli</t>
        </is>
      </c>
      <c r="B440" s="39" t="inlineStr">
        <is>
          <t>Trực thăng trinh sát</t>
        </is>
      </c>
      <c r="C440" s="39" t="inlineStr">
        <is>
          <t>Vũ khí: Hydra 70</t>
        </is>
      </c>
      <c r="D440" s="39" t="inlineStr">
        <is>
          <t>12 quả mỗi lần đầy đạn</t>
        </is>
      </c>
      <c r="E440" s="47" t="inlineStr">
        <is>
          <t>Đổi</t>
        </is>
      </c>
      <c r="F440" s="39" t="inlineStr">
        <is>
          <t>6 quả</t>
        </is>
      </c>
      <c r="G440" s="39" t="inlineStr">
        <is>
          <t>Giảm sức phá xe nhẹ, giữ minigun để vẫn đúng vai trò trinh sát vũ trang.</t>
        </is>
      </c>
      <c r="H440" s="47" t="inlineStr">
        <is>
          <t>Cao</t>
        </is>
      </c>
    </row>
    <row r="441" ht="32.25" customHeight="1" s="32">
      <c r="A441" s="41" t="inlineStr">
        <is>
          <t>scout_heli</t>
        </is>
      </c>
      <c r="B441" s="41" t="inlineStr">
        <is>
          <t>Trực thăng trinh sát</t>
        </is>
      </c>
      <c r="C441" s="41" t="inlineStr">
        <is>
          <t>Hành vi</t>
        </is>
      </c>
      <c r="D441" s="41" t="inlineStr">
        <is>
          <t>Treo trên không ở rìa tầm bắn và nhả đạn; Bắn hết 64 viên thì thay băng; Ưu tiên</t>
        </is>
      </c>
      <c r="E441" s="49" t="inlineStr">
        <is>
          <t>Giữ</t>
        </is>
      </c>
      <c r="F441" s="41" t="n"/>
      <c r="G441" s="41" t="inlineStr">
        <is>
          <t>Hợp vai trò.</t>
        </is>
      </c>
      <c r="H441" s="41" t="n"/>
    </row>
    <row r="442" ht="15" customHeight="1" s="32">
      <c r="A442" s="39" t="inlineStr">
        <is>
          <t>scout_heli</t>
        </is>
      </c>
      <c r="B442" s="39" t="inlineStr">
        <is>
          <t>Trực thăng trinh sát</t>
        </is>
      </c>
      <c r="C442" s="39" t="inlineStr">
        <is>
          <t>Nổ khi bị phá (bán kính)</t>
        </is>
      </c>
      <c r="D442" s="39" t="inlineStr">
        <is>
          <t>5 m · 80 sát thương</t>
        </is>
      </c>
      <c r="E442" s="49" t="inlineStr">
        <is>
          <t>Giữ</t>
        </is>
      </c>
      <c r="F442" s="39" t="n"/>
      <c r="G442" s="39" t="inlineStr">
        <is>
          <t>Hợp với cỡ xe.</t>
        </is>
      </c>
      <c r="H442" s="39" t="n"/>
    </row>
    <row r="443" ht="32.25" customHeight="1" s="32">
      <c r="A443" s="41" t="inlineStr">
        <is>
          <t>scout_heli</t>
        </is>
      </c>
      <c r="B443" s="41" t="inlineStr">
        <is>
          <t>Trực thăng trinh sát</t>
        </is>
      </c>
      <c r="C443" s="41" t="inlineStr">
        <is>
          <t>Tham khảo / model</t>
        </is>
      </c>
      <c r="D443" s="41" t="inlineStr">
        <is>
          <t>MH-6 / AH-6 Little Bird, M134 Minigun — Trực thăng trinh sát nhẹ, ca-bin hình quả trứng</t>
        </is>
      </c>
      <c r="E443" s="49" t="inlineStr">
        <is>
          <t>Giữ</t>
        </is>
      </c>
      <c r="F443" s="41" t="n"/>
      <c r="G443" s="41" t="inlineStr">
        <is>
          <t>Khớp vũ khí và vai trò.</t>
        </is>
      </c>
      <c r="H443" s="41" t="n"/>
    </row>
    <row r="444" ht="15" customHeight="1" s="32">
      <c r="A444" s="39" t="inlineStr">
        <is>
          <t>recon_drone</t>
        </is>
      </c>
      <c r="B444" s="39" t="inlineStr">
        <is>
          <t>UAV trinh sát</t>
        </is>
      </c>
      <c r="C444" s="39" t="inlineStr">
        <is>
          <t>Tên</t>
        </is>
      </c>
      <c r="D444" s="39" t="inlineStr">
        <is>
          <t>UAV trinh sát</t>
        </is>
      </c>
      <c r="E444" s="49" t="inlineStr">
        <is>
          <t>Giữ</t>
        </is>
      </c>
      <c r="F444" s="39" t="inlineStr">
        <is>
          <t>UAV trinh sát · ngắn: UAV trinh sát · EN: Recon UAV</t>
        </is>
      </c>
      <c r="G444" s="39" t="inlineStr">
        <is>
          <t>Giữ.</t>
        </is>
      </c>
      <c r="H444" s="39" t="n"/>
    </row>
    <row r="445" ht="15" customHeight="1" s="32">
      <c r="A445" s="41" t="inlineStr">
        <is>
          <t>recon_drone</t>
        </is>
      </c>
      <c r="B445" s="41" t="inlineStr">
        <is>
          <t>UAV trinh sát</t>
        </is>
      </c>
      <c r="C445" s="41" t="inlineStr">
        <is>
          <t>Máu</t>
        </is>
      </c>
      <c r="D445" s="43" t="n">
        <v>704</v>
      </c>
      <c r="E445" s="49" t="inlineStr">
        <is>
          <t>Giữ</t>
        </is>
      </c>
      <c r="F445" s="41" t="n"/>
      <c r="G445" s="41" t="inlineStr">
        <is>
          <t>Máu/CP 1.00 × trung vị lớp Máy bay.</t>
        </is>
      </c>
      <c r="H445" s="41" t="n"/>
    </row>
    <row r="446" ht="15" customHeight="1" s="32">
      <c r="A446" s="39" t="inlineStr">
        <is>
          <t>recon_drone</t>
        </is>
      </c>
      <c r="B446" s="39" t="inlineStr">
        <is>
          <t>UAV trinh sát</t>
        </is>
      </c>
      <c r="C446" s="39" t="inlineStr">
        <is>
          <t>Giáp (T/H/S/N)</t>
        </is>
      </c>
      <c r="D446" s="39" t="inlineStr">
        <is>
          <t>cấp 0 (Không giáp)</t>
        </is>
      </c>
      <c r="E446" s="49" t="inlineStr">
        <is>
          <t>Giữ</t>
        </is>
      </c>
      <c r="F446" s="39" t="n"/>
      <c r="G446" s="39" t="inlineStr">
        <is>
          <t>Khớp mẫu thật theo thang 0–4.</t>
        </is>
      </c>
      <c r="H446" s="39" t="n"/>
    </row>
    <row r="447" ht="15" customHeight="1" s="32">
      <c r="A447" s="41" t="inlineStr">
        <is>
          <t>recon_drone</t>
        </is>
      </c>
      <c r="B447" s="41" t="inlineStr">
        <is>
          <t>UAV trinh sát</t>
        </is>
      </c>
      <c r="C447" s="41" t="inlineStr">
        <is>
          <t>Tốc độ</t>
        </is>
      </c>
      <c r="D447" s="43" t="n">
        <v>18</v>
      </c>
      <c r="E447" s="47" t="inlineStr">
        <is>
          <t>Đổi</t>
        </is>
      </c>
      <c r="F447" s="41" t="inlineStr">
        <is>
          <t>13 m/s</t>
        </is>
      </c>
      <c r="G447" s="41" t="inlineStr">
        <is>
          <t>TB2 thật chậm (~130 km/h), chậm hơn MQ-9; UAV trinh sát nên bay chậm, lượn lâu.</t>
        </is>
      </c>
      <c r="H447" s="48" t="inlineStr">
        <is>
          <t>Trung</t>
        </is>
      </c>
    </row>
    <row r="448" ht="15" customHeight="1" s="32">
      <c r="A448" s="39" t="inlineStr">
        <is>
          <t>recon_drone</t>
        </is>
      </c>
      <c r="B448" s="39" t="inlineStr">
        <is>
          <t>UAV trinh sát</t>
        </is>
      </c>
      <c r="C448" s="39" t="inlineStr">
        <is>
          <t>Kích thước model (dài × rộng × cao)</t>
        </is>
      </c>
      <c r="D448" s="39" t="inlineStr">
        <is>
          <t>2.9 × 5.0 × 0.7</t>
        </is>
      </c>
      <c r="E448" s="49" t="inlineStr">
        <is>
          <t>Giữ</t>
        </is>
      </c>
      <c r="F448" s="39" t="n"/>
      <c r="G448" s="39" t="inlineStr">
        <is>
          <t>Khớp tỷ lệ chung (mẫu thật 6.5 m).</t>
        </is>
      </c>
      <c r="H448" s="39" t="n"/>
    </row>
    <row r="449" ht="15" customHeight="1" s="32">
      <c r="A449" s="41" t="inlineStr">
        <is>
          <t>recon_drone</t>
        </is>
      </c>
      <c r="B449" s="41" t="inlineStr">
        <is>
          <t>UAV trinh sát</t>
        </is>
      </c>
      <c r="C449" s="41" t="inlineStr">
        <is>
          <t>Tầm nhìn</t>
        </is>
      </c>
      <c r="D449" s="43" t="n">
        <v>90</v>
      </c>
      <c r="E449" s="49" t="inlineStr">
        <is>
          <t>Giữ</t>
        </is>
      </c>
      <c r="F449" s="41" t="n"/>
      <c r="G449" s="41" t="inlineStr">
        <is>
          <t>Khớp vai trò.</t>
        </is>
      </c>
      <c r="H449" s="41" t="n"/>
    </row>
    <row r="450" ht="15" customHeight="1" s="32">
      <c r="A450" s="39" t="inlineStr">
        <is>
          <t>recon_drone</t>
        </is>
      </c>
      <c r="B450" s="39" t="inlineStr">
        <is>
          <t>UAV trinh sát</t>
        </is>
      </c>
      <c r="C450" s="39" t="inlineStr">
        <is>
          <t>Tầm bắn</t>
        </is>
      </c>
      <c r="D450" s="39" t="inlineStr">
        <is>
          <t>50</t>
        </is>
      </c>
      <c r="E450" s="49" t="inlineStr">
        <is>
          <t>Giữ</t>
        </is>
      </c>
      <c r="F450" s="39" t="n"/>
      <c r="G450" s="39" t="inlineStr">
        <is>
          <t>Thứ tự tầm hợp lý trong nhóm.</t>
        </is>
      </c>
      <c r="H450" s="39" t="n"/>
    </row>
    <row r="451" ht="15" customHeight="1" s="32">
      <c r="A451" s="41" t="inlineStr">
        <is>
          <t>recon_drone</t>
        </is>
      </c>
      <c r="B451" s="41" t="inlineStr">
        <is>
          <t>UAV trinh sát</t>
        </is>
      </c>
      <c r="C451" s="41" t="inlineStr">
        <is>
          <t>Giá (CP)</t>
        </is>
      </c>
      <c r="D451" s="43" t="n">
        <v>6</v>
      </c>
      <c r="E451" s="49" t="inlineStr">
        <is>
          <t>Giữ</t>
        </is>
      </c>
      <c r="F451" s="41" t="n"/>
      <c r="G451" s="41" t="inlineStr">
        <is>
          <t>Hiệu quả trong khoảng ±25% trung vị, thứ tự giá hợp ngoài đời (sheet Giá CP).</t>
        </is>
      </c>
      <c r="H451" s="41" t="n"/>
    </row>
    <row r="452" ht="15" customHeight="1" s="32">
      <c r="A452" s="39" t="inlineStr">
        <is>
          <t>recon_drone</t>
        </is>
      </c>
      <c r="B452" s="39" t="inlineStr">
        <is>
          <t>UAV trinh sát</t>
        </is>
      </c>
      <c r="C452" s="39" t="inlineStr">
        <is>
          <t>Vũ khí</t>
        </is>
      </c>
      <c r="D452" s="42" t="n">
        <v>1</v>
      </c>
      <c r="E452" s="49" t="inlineStr">
        <is>
          <t>Giữ</t>
        </is>
      </c>
      <c r="F452" s="39" t="n"/>
      <c r="G452" s="39" t="inlineStr">
        <is>
          <t>Bộ vũ khí khớp mẫu thật và vai trò.</t>
        </is>
      </c>
      <c r="H452" s="39" t="n"/>
    </row>
    <row r="453" ht="32.25" customHeight="1" s="32">
      <c r="A453" s="41" t="inlineStr">
        <is>
          <t>recon_drone</t>
        </is>
      </c>
      <c r="B453" s="41" t="inlineStr">
        <is>
          <t>UAV trinh sát</t>
        </is>
      </c>
      <c r="C453" s="41" t="inlineStr">
        <is>
          <t>Hành vi</t>
        </is>
      </c>
      <c r="D453" s="41" t="inlineStr">
        <is>
          <t>Bổ nhào xả hỏa lực vào mục tiêu, rồi vòng lại lượt khác; Sau mỗi lượt nó vòng lạ</t>
        </is>
      </c>
      <c r="E453" s="49" t="inlineStr">
        <is>
          <t>Giữ</t>
        </is>
      </c>
      <c r="F453" s="41" t="n"/>
      <c r="G453" s="41" t="inlineStr">
        <is>
          <t>Hợp vai trò.</t>
        </is>
      </c>
      <c r="H453" s="41" t="n"/>
    </row>
    <row r="454" ht="15" customHeight="1" s="32">
      <c r="A454" s="39" t="inlineStr">
        <is>
          <t>recon_drone</t>
        </is>
      </c>
      <c r="B454" s="39" t="inlineStr">
        <is>
          <t>UAV trinh sát</t>
        </is>
      </c>
      <c r="C454" s="39" t="inlineStr">
        <is>
          <t>Nổ khi bị phá (bán kính)</t>
        </is>
      </c>
      <c r="D454" s="39" t="inlineStr">
        <is>
          <t>5 m · 80 sát thương</t>
        </is>
      </c>
      <c r="E454" s="49" t="inlineStr">
        <is>
          <t>Giữ</t>
        </is>
      </c>
      <c r="F454" s="39" t="n"/>
      <c r="G454" s="39" t="inlineStr">
        <is>
          <t>Hợp với cỡ xe.</t>
        </is>
      </c>
      <c r="H454" s="39" t="n"/>
    </row>
    <row r="455" ht="21.75" customHeight="1" s="32">
      <c r="A455" s="41" t="inlineStr">
        <is>
          <t>recon_drone</t>
        </is>
      </c>
      <c r="B455" s="41" t="inlineStr">
        <is>
          <t>UAV trinh sát</t>
        </is>
      </c>
      <c r="C455" s="41" t="inlineStr">
        <is>
          <t>Tham khảo / model</t>
        </is>
      </c>
      <c r="D455" s="41" t="inlineStr">
        <is>
          <t>Bayraktar TB2, MAM-L — Drone trinh sát tầm trung, đuôi chữ V ngược</t>
        </is>
      </c>
      <c r="E455" s="49" t="inlineStr">
        <is>
          <t>Giữ</t>
        </is>
      </c>
      <c r="F455" s="41" t="n"/>
      <c r="G455" s="41" t="inlineStr">
        <is>
          <t>Khớp vũ khí và vai trò.</t>
        </is>
      </c>
      <c r="H455" s="41" t="n"/>
    </row>
    <row r="456" ht="15" customHeight="1" s="32">
      <c r="A456" s="39"/>
      <c r="B456" s="39"/>
      <c r="C456" s="39"/>
      <c r="D456" s="39"/>
      <c r="E456" s="49"/>
      <c r="F456" s="39"/>
      <c r="G456" s="39"/>
      <c r="H456" s="39"/>
    </row>
    <row r="457" ht="15" customHeight="1" s="32">
      <c r="A457" s="41"/>
      <c r="B457" s="41"/>
      <c r="C457" s="41"/>
      <c r="D457" s="43"/>
      <c r="E457" s="49"/>
      <c r="F457" s="41"/>
      <c r="G457" s="41"/>
      <c r="H457" s="41"/>
    </row>
    <row r="458" ht="15" customHeight="1" s="32">
      <c r="A458" s="39"/>
      <c r="B458" s="39"/>
      <c r="C458" s="39"/>
      <c r="D458" s="39"/>
      <c r="E458" s="49"/>
      <c r="F458" s="39"/>
      <c r="G458" s="39"/>
      <c r="H458" s="39"/>
    </row>
    <row r="459" ht="15" customHeight="1" s="32">
      <c r="A459" s="41"/>
      <c r="B459" s="41"/>
      <c r="C459" s="41"/>
      <c r="D459" s="43"/>
      <c r="E459" s="49"/>
      <c r="F459" s="41"/>
      <c r="G459" s="41"/>
      <c r="H459" s="41"/>
    </row>
    <row r="460" ht="15" customHeight="1" s="32">
      <c r="A460" s="39"/>
      <c r="B460" s="39"/>
      <c r="C460" s="39"/>
      <c r="D460" s="39"/>
      <c r="E460" s="49"/>
      <c r="F460" s="39"/>
      <c r="G460" s="39"/>
      <c r="H460" s="39"/>
    </row>
    <row r="461" ht="15" customHeight="1" s="32">
      <c r="A461" s="41"/>
      <c r="B461" s="41"/>
      <c r="C461" s="41"/>
      <c r="D461" s="43"/>
      <c r="E461" s="49"/>
      <c r="F461" s="41"/>
      <c r="G461" s="41"/>
      <c r="H461" s="41"/>
    </row>
    <row r="462" ht="15" customHeight="1" s="32">
      <c r="A462" s="39"/>
      <c r="B462" s="39"/>
      <c r="C462" s="39"/>
      <c r="D462" s="39"/>
      <c r="E462" s="49"/>
      <c r="F462" s="39"/>
      <c r="G462" s="39"/>
      <c r="H462" s="39"/>
    </row>
    <row r="463" ht="15" customHeight="1" s="32">
      <c r="A463" s="41"/>
      <c r="B463" s="41"/>
      <c r="C463" s="41"/>
      <c r="D463" s="43"/>
      <c r="E463" s="49"/>
      <c r="F463" s="41"/>
      <c r="G463" s="41"/>
      <c r="H463" s="41"/>
    </row>
    <row r="464" ht="15" customHeight="1" s="32">
      <c r="A464" s="39"/>
      <c r="B464" s="39"/>
      <c r="C464" s="39"/>
      <c r="D464" s="39"/>
      <c r="E464" s="47"/>
      <c r="F464" s="39"/>
      <c r="G464" s="39"/>
      <c r="H464" s="48"/>
    </row>
    <row r="465" ht="32.25" customHeight="1" s="32">
      <c r="A465" s="41"/>
      <c r="B465" s="41"/>
      <c r="C465" s="41"/>
      <c r="D465" s="41"/>
      <c r="E465" s="49"/>
      <c r="F465" s="41"/>
      <c r="G465" s="41"/>
      <c r="H465" s="41"/>
    </row>
    <row r="466" ht="15" customHeight="1" s="32">
      <c r="A466" s="39"/>
      <c r="B466" s="39"/>
      <c r="C466" s="39"/>
      <c r="D466" s="39"/>
      <c r="E466" s="49"/>
      <c r="F466" s="39"/>
      <c r="G466" s="39"/>
      <c r="H466" s="39"/>
    </row>
    <row r="467" ht="32.25" customHeight="1" s="32">
      <c r="A467" s="41"/>
      <c r="B467" s="41"/>
      <c r="C467" s="41"/>
      <c r="D467" s="41"/>
      <c r="E467" s="49"/>
      <c r="F467" s="41"/>
      <c r="G467" s="41"/>
      <c r="H467" s="41"/>
    </row>
    <row r="468" ht="15" customHeight="1" s="32">
      <c r="A468" s="39" t="inlineStr">
        <is>
          <t>strike_drone</t>
        </is>
      </c>
      <c r="B468" s="39" t="inlineStr">
        <is>
          <t>UAV tấn công</t>
        </is>
      </c>
      <c r="C468" s="39" t="inlineStr">
        <is>
          <t>Tên</t>
        </is>
      </c>
      <c r="D468" s="39" t="inlineStr">
        <is>
          <t>UAV tấn công</t>
        </is>
      </c>
      <c r="E468" s="49" t="inlineStr">
        <is>
          <t>Giữ</t>
        </is>
      </c>
      <c r="F468" s="39" t="inlineStr">
        <is>
          <t>UAV tấn công · ngắn: UAV tấn công · EN: Strike UAV</t>
        </is>
      </c>
      <c r="G468" s="39" t="inlineStr">
        <is>
          <t>Giữ.</t>
        </is>
      </c>
      <c r="H468" s="39" t="n"/>
    </row>
    <row r="469" ht="15" customHeight="1" s="32">
      <c r="A469" s="41" t="inlineStr">
        <is>
          <t>strike_drone</t>
        </is>
      </c>
      <c r="B469" s="41" t="inlineStr">
        <is>
          <t>UAV tấn công</t>
        </is>
      </c>
      <c r="C469" s="41" t="inlineStr">
        <is>
          <t>Máu</t>
        </is>
      </c>
      <c r="D469" s="43" t="n">
        <v>1056</v>
      </c>
      <c r="E469" s="49" t="inlineStr">
        <is>
          <t>Giữ</t>
        </is>
      </c>
      <c r="F469" s="41" t="n"/>
      <c r="G469" s="41" t="inlineStr">
        <is>
          <t>Máu/CP 1.13 × trung vị lớp Máy bay.</t>
        </is>
      </c>
      <c r="H469" s="41" t="n"/>
    </row>
    <row r="470" ht="15" customHeight="1" s="32">
      <c r="A470" s="39" t="inlineStr">
        <is>
          <t>strike_drone</t>
        </is>
      </c>
      <c r="B470" s="39" t="inlineStr">
        <is>
          <t>UAV tấn công</t>
        </is>
      </c>
      <c r="C470" s="39" t="inlineStr">
        <is>
          <t>Giáp (T/H/S/N)</t>
        </is>
      </c>
      <c r="D470" s="39" t="inlineStr">
        <is>
          <t>cấp 0 (Không giáp)</t>
        </is>
      </c>
      <c r="E470" s="49" t="inlineStr">
        <is>
          <t>Giữ</t>
        </is>
      </c>
      <c r="F470" s="39" t="n"/>
      <c r="G470" s="39" t="inlineStr">
        <is>
          <t>Khớp mẫu thật theo thang 0–4.</t>
        </is>
      </c>
      <c r="H470" s="39" t="n"/>
    </row>
    <row r="471" ht="21.75" customHeight="1" s="32">
      <c r="A471" s="41" t="inlineStr">
        <is>
          <t>strike_drone</t>
        </is>
      </c>
      <c r="B471" s="41" t="inlineStr">
        <is>
          <t>UAV tấn công</t>
        </is>
      </c>
      <c r="C471" s="41" t="inlineStr">
        <is>
          <t>Tốc độ</t>
        </is>
      </c>
      <c r="D471" s="43" t="n">
        <v>19</v>
      </c>
      <c r="E471" s="48" t="inlineStr">
        <is>
          <t>Xem lại</t>
        </is>
      </c>
      <c r="F471" s="41" t="inlineStr">
        <is>
          <t>Mẫu thật × hệ số map ≈ 13.9 m/s</t>
        </is>
      </c>
      <c r="G471" s="41" t="inlineStr">
        <is>
          <t>Lệch hơn 35% so với tốc độ thật nhân hệ số nén của map (xích 0,33, bánh 0,4, trực thăng 0,17, máy bay 0,16). Có thể giữ nếu là chủ đích.</t>
        </is>
      </c>
      <c r="H471" s="41" t="n"/>
    </row>
    <row r="472" ht="15" customHeight="1" s="32">
      <c r="A472" s="39" t="inlineStr">
        <is>
          <t>strike_drone</t>
        </is>
      </c>
      <c r="B472" s="39" t="inlineStr">
        <is>
          <t>UAV tấn công</t>
        </is>
      </c>
      <c r="C472" s="39" t="inlineStr">
        <is>
          <t>Kích thước model (dài × rộng × cao)</t>
        </is>
      </c>
      <c r="D472" s="39" t="inlineStr">
        <is>
          <t>4.5 × 7.4 × 1.1</t>
        </is>
      </c>
      <c r="E472" s="49" t="inlineStr">
        <is>
          <t>Giữ</t>
        </is>
      </c>
      <c r="F472" s="39" t="n"/>
      <c r="G472" s="39" t="inlineStr">
        <is>
          <t>Khớp tỷ lệ chung (mẫu thật 11.0 m).</t>
        </is>
      </c>
      <c r="H472" s="39" t="n"/>
    </row>
    <row r="473" ht="15" customHeight="1" s="32">
      <c r="A473" s="41" t="inlineStr">
        <is>
          <t>strike_drone</t>
        </is>
      </c>
      <c r="B473" s="41" t="inlineStr">
        <is>
          <t>UAV tấn công</t>
        </is>
      </c>
      <c r="C473" s="41" t="inlineStr">
        <is>
          <t>Tầm nhìn</t>
        </is>
      </c>
      <c r="D473" s="43" t="n">
        <v>62</v>
      </c>
      <c r="E473" s="49" t="inlineStr">
        <is>
          <t>Giữ</t>
        </is>
      </c>
      <c r="F473" s="41" t="n"/>
      <c r="G473" s="41" t="inlineStr">
        <is>
          <t>Khớp vai trò.</t>
        </is>
      </c>
      <c r="H473" s="41" t="n"/>
    </row>
    <row r="474" ht="15" customHeight="1" s="32">
      <c r="A474" s="39" t="inlineStr">
        <is>
          <t>strike_drone</t>
        </is>
      </c>
      <c r="B474" s="39" t="inlineStr">
        <is>
          <t>UAV tấn công</t>
        </is>
      </c>
      <c r="C474" s="39" t="inlineStr">
        <is>
          <t>Tầm bắn</t>
        </is>
      </c>
      <c r="D474" s="39" t="inlineStr">
        <is>
          <t>48</t>
        </is>
      </c>
      <c r="E474" s="49" t="inlineStr">
        <is>
          <t>Giữ</t>
        </is>
      </c>
      <c r="F474" s="39" t="n"/>
      <c r="G474" s="39" t="inlineStr">
        <is>
          <t>Thứ tự tầm hợp lý trong nhóm.</t>
        </is>
      </c>
      <c r="H474" s="39" t="n"/>
    </row>
    <row r="475" ht="15" customHeight="1" s="32">
      <c r="A475" s="41" t="inlineStr">
        <is>
          <t>strike_drone</t>
        </is>
      </c>
      <c r="B475" s="41" t="inlineStr">
        <is>
          <t>UAV tấn công</t>
        </is>
      </c>
      <c r="C475" s="41" t="inlineStr">
        <is>
          <t>Giá (CP)</t>
        </is>
      </c>
      <c r="D475" s="43" t="n">
        <v>8</v>
      </c>
      <c r="E475" s="47" t="inlineStr">
        <is>
          <t>Đổi</t>
        </is>
      </c>
      <c r="F475" s="41" t="inlineStr">
        <is>
          <t>9 CP</t>
        </is>
      </c>
      <c r="G475" s="41" t="inlineStr">
        <is>
          <t>Vẫn mạnh gấp rưỡi xe diệt tăng cùng giá khi không có phòng không.</t>
        </is>
      </c>
      <c r="H475" s="47" t="inlineStr">
        <is>
          <t>Cao</t>
        </is>
      </c>
    </row>
    <row r="476" ht="15" customHeight="1" s="32">
      <c r="A476" s="39" t="inlineStr">
        <is>
          <t>strike_drone</t>
        </is>
      </c>
      <c r="B476" s="39" t="inlineStr">
        <is>
          <t>UAV tấn công</t>
        </is>
      </c>
      <c r="C476" s="39" t="inlineStr">
        <is>
          <t>Vũ khí</t>
        </is>
      </c>
      <c r="D476" s="42" t="n">
        <v>2</v>
      </c>
      <c r="E476" s="49" t="inlineStr">
        <is>
          <t>Giữ</t>
        </is>
      </c>
      <c r="F476" s="39" t="n"/>
      <c r="G476" s="39" t="inlineStr">
        <is>
          <t>Bộ vũ khí khớp mẫu thật và vai trò.</t>
        </is>
      </c>
      <c r="H476" s="39" t="n"/>
    </row>
    <row r="477" ht="32.25" customHeight="1" s="32">
      <c r="A477" s="41" t="inlineStr">
        <is>
          <t>strike_drone</t>
        </is>
      </c>
      <c r="B477" s="41" t="inlineStr">
        <is>
          <t>UAV tấn công</t>
        </is>
      </c>
      <c r="C477" s="41" t="inlineStr">
        <is>
          <t>Hành vi</t>
        </is>
      </c>
      <c r="D477" s="41" t="inlineStr">
        <is>
          <t>Bổ nhào xả hỏa lực vào mục tiêu, rồi vòng lại lượt khác; Sau mỗi lượt nó vòng lạ</t>
        </is>
      </c>
      <c r="E477" s="49" t="inlineStr">
        <is>
          <t>Giữ</t>
        </is>
      </c>
      <c r="F477" s="41" t="n"/>
      <c r="G477" s="41" t="inlineStr">
        <is>
          <t>Hợp vai trò.</t>
        </is>
      </c>
      <c r="H477" s="41" t="n"/>
    </row>
    <row r="478" ht="15" customHeight="1" s="32">
      <c r="A478" s="39" t="inlineStr">
        <is>
          <t>strike_drone</t>
        </is>
      </c>
      <c r="B478" s="39" t="inlineStr">
        <is>
          <t>UAV tấn công</t>
        </is>
      </c>
      <c r="C478" s="39" t="inlineStr">
        <is>
          <t>Nổ khi bị phá (bán kính)</t>
        </is>
      </c>
      <c r="D478" s="39" t="inlineStr">
        <is>
          <t>5 m · 100 sát thương</t>
        </is>
      </c>
      <c r="E478" s="49" t="inlineStr">
        <is>
          <t>Giữ</t>
        </is>
      </c>
      <c r="F478" s="39" t="n"/>
      <c r="G478" s="39" t="inlineStr">
        <is>
          <t>Hợp với cỡ xe.</t>
        </is>
      </c>
      <c r="H478" s="39" t="n"/>
    </row>
    <row r="479" ht="32.25" customHeight="1" s="32">
      <c r="A479" s="41" t="inlineStr">
        <is>
          <t>strike_drone</t>
        </is>
      </c>
      <c r="B479" s="41" t="inlineStr">
        <is>
          <t>UAV tấn công</t>
        </is>
      </c>
      <c r="C479" s="41" t="inlineStr">
        <is>
          <t>Tham khảo / model</t>
        </is>
      </c>
      <c r="D479" s="41" t="inlineStr">
        <is>
          <t>MQ-9 Reaper, AGM-114 Hellfire, GBU-39 SDB — Drone tấn công tầm trung, đuôi chữ Y, cánh quạ</t>
        </is>
      </c>
      <c r="E479" s="49" t="inlineStr">
        <is>
          <t>Giữ</t>
        </is>
      </c>
      <c r="F479" s="41" t="n"/>
      <c r="G479" s="41" t="inlineStr">
        <is>
          <t>Khớp vũ khí và vai trò.</t>
        </is>
      </c>
      <c r="H479" s="41" t="n"/>
    </row>
    <row r="480" ht="21.75" customHeight="1" s="32">
      <c r="A480" s="39" t="inlineStr">
        <is>
          <t>swarm_carrier</t>
        </is>
      </c>
      <c r="B480" s="39" t="inlineStr">
        <is>
          <t>Máy bay mẹ thả drone</t>
        </is>
      </c>
      <c r="C480" s="39" t="inlineStr">
        <is>
          <t>Tên</t>
        </is>
      </c>
      <c r="D480" s="39" t="inlineStr">
        <is>
          <t>Máy bay mẹ thả drone</t>
        </is>
      </c>
      <c r="E480" s="49" t="inlineStr">
        <is>
          <t>Giữ</t>
        </is>
      </c>
      <c r="F480" s="39" t="inlineStr">
        <is>
          <t>Máy bay mẹ thả drone · ngắn: Máy bay mẹ · EN: Drone Mothership Aircraft</t>
        </is>
      </c>
      <c r="G480" s="39" t="inlineStr">
        <is>
          <t>Giữ.</t>
        </is>
      </c>
      <c r="H480" s="39" t="n"/>
    </row>
    <row r="481" ht="21.75" customHeight="1" s="32">
      <c r="A481" s="41" t="inlineStr">
        <is>
          <t>swarm_carrier</t>
        </is>
      </c>
      <c r="B481" s="41" t="inlineStr">
        <is>
          <t>Máy bay mẹ thả drone</t>
        </is>
      </c>
      <c r="C481" s="41" t="inlineStr">
        <is>
          <t>Máu</t>
        </is>
      </c>
      <c r="D481" s="43" t="n">
        <v>3080</v>
      </c>
      <c r="E481" s="48" t="inlineStr">
        <is>
          <t>Xem lại</t>
        </is>
      </c>
      <c r="F481" s="41" t="inlineStr">
        <is>
          <t>Máu/CP gấp 3.3 lần trung vị lớp; giữ nếu đó là bản sắc (xe chịu đòn)</t>
        </is>
      </c>
      <c r="G481" s="41" t="inlineStr">
        <is>
          <t>Kiểm tra theo trung vị máu/CP của lớp.</t>
        </is>
      </c>
      <c r="H481" s="41" t="n"/>
    </row>
    <row r="482" ht="15" customHeight="1" s="32">
      <c r="A482" s="39" t="inlineStr">
        <is>
          <t>swarm_carrier</t>
        </is>
      </c>
      <c r="B482" s="39" t="inlineStr">
        <is>
          <t>Máy bay mẹ thả drone</t>
        </is>
      </c>
      <c r="C482" s="39" t="inlineStr">
        <is>
          <t>Giáp (T/H/S/N)</t>
        </is>
      </c>
      <c r="D482" s="39" t="inlineStr">
        <is>
          <t>cấp 1 (Mỏng)</t>
        </is>
      </c>
      <c r="E482" s="49" t="inlineStr">
        <is>
          <t>Giữ</t>
        </is>
      </c>
      <c r="F482" s="39" t="n"/>
      <c r="G482" s="39" t="inlineStr">
        <is>
          <t>Giả tưởng / máy bay; khớp vai trò.</t>
        </is>
      </c>
      <c r="H482" s="39" t="n"/>
    </row>
    <row r="483" ht="15" customHeight="1" s="32">
      <c r="A483" s="41" t="inlineStr">
        <is>
          <t>swarm_carrier</t>
        </is>
      </c>
      <c r="B483" s="41" t="inlineStr">
        <is>
          <t>Máy bay mẹ thả drone</t>
        </is>
      </c>
      <c r="C483" s="41" t="inlineStr">
        <is>
          <t>Tốc độ</t>
        </is>
      </c>
      <c r="D483" s="43" t="n">
        <v>18</v>
      </c>
      <c r="E483" s="49" t="inlineStr">
        <is>
          <t>Giữ</t>
        </is>
      </c>
      <c r="F483" s="41" t="n"/>
      <c r="G483" s="41" t="inlineStr">
        <is>
          <t>Gần tốc độ thật × hệ số nén (24.0).</t>
        </is>
      </c>
      <c r="H483" s="41" t="n"/>
    </row>
    <row r="484" ht="32.25" customHeight="1" s="32">
      <c r="A484" s="39" t="inlineStr">
        <is>
          <t>swarm_carrier</t>
        </is>
      </c>
      <c r="B484" s="39" t="inlineStr">
        <is>
          <t>Máy bay mẹ thả drone</t>
        </is>
      </c>
      <c r="C484" s="39" t="inlineStr">
        <is>
          <t>Kích thước model (dài × rộng × cao)</t>
        </is>
      </c>
      <c r="D484" s="39" t="inlineStr">
        <is>
          <t>16.4 × 18.8 × 6.1</t>
        </is>
      </c>
      <c r="E484" s="47" t="inlineStr">
        <is>
          <t>Đổi</t>
        </is>
      </c>
      <c r="F484" s="39" t="inlineStr">
        <is>
          <t>11.9 × 16.2 × 4.6</t>
        </is>
      </c>
      <c r="G484" s="39" t="inlineStr">
        <is>
          <t>Mẫu thật C-130 Hercules: 29.8 × 40.4 m; theo tỷ lệ chung (trên không 0,4) nên là 11.9 × 16.2 m. Cùng khung C-130 với Pháo hạm bay nhưng đang to hơn nó. Đổi kích thước thì chỉnh vùng va chạm và chạy lại test xe kẹt.</t>
        </is>
      </c>
      <c r="H484" s="48" t="inlineStr">
        <is>
          <t>Trung</t>
        </is>
      </c>
    </row>
    <row r="485" ht="15" customHeight="1" s="32">
      <c r="A485" s="41" t="inlineStr">
        <is>
          <t>swarm_carrier</t>
        </is>
      </c>
      <c r="B485" s="41" t="inlineStr">
        <is>
          <t>Máy bay mẹ thả drone</t>
        </is>
      </c>
      <c r="C485" s="41" t="inlineStr">
        <is>
          <t>Tầm nhìn</t>
        </is>
      </c>
      <c r="D485" s="43" t="n">
        <v>56</v>
      </c>
      <c r="E485" s="49" t="inlineStr">
        <is>
          <t>Giữ</t>
        </is>
      </c>
      <c r="F485" s="41" t="n"/>
      <c r="G485" s="41" t="inlineStr">
        <is>
          <t>Khớp vai trò.</t>
        </is>
      </c>
      <c r="H485" s="41" t="n"/>
    </row>
    <row r="486" ht="32.25" customHeight="1" s="32">
      <c r="A486" s="39" t="inlineStr">
        <is>
          <t>swarm_carrier</t>
        </is>
      </c>
      <c r="B486" s="39" t="inlineStr">
        <is>
          <t>Máy bay mẹ thả drone</t>
        </is>
      </c>
      <c r="C486" s="39" t="inlineStr">
        <is>
          <t>Tầm bắn</t>
        </is>
      </c>
      <c r="D486" s="39" t="inlineStr">
        <is>
          <t>60</t>
        </is>
      </c>
      <c r="E486" s="47" t="inlineStr">
        <is>
          <t>Đổi</t>
        </is>
      </c>
      <c r="F486" s="39" t="inlineStr">
        <is>
          <t>Bỏ SDB; thêm 2 tên lửa hành trình thả từ khoang (410/quả, Nổ mạnh xuyên 3, nổ lan 9 m, tầm 90, tốc độ 20) mỗi lượt, giữ 8 drone</t>
        </is>
      </c>
      <c r="G486" s="39" t="inlineStr">
        <is>
          <t>Máy bay to như vậy mà rẻ là không hợp lý; thêm vũ khí để xứng giá mới. Rapid Dragon là hệ thống thật cho máy bay vận tải thả tên lửa hành trình theo pallet.</t>
        </is>
      </c>
      <c r="H486" s="47" t="inlineStr">
        <is>
          <t>Cao</t>
        </is>
      </c>
    </row>
    <row r="487" ht="21.75" customHeight="1" s="32">
      <c r="A487" s="41" t="inlineStr">
        <is>
          <t>swarm_carrier</t>
        </is>
      </c>
      <c r="B487" s="41" t="inlineStr">
        <is>
          <t>Máy bay mẹ thả drone</t>
        </is>
      </c>
      <c r="C487" s="41" t="inlineStr">
        <is>
          <t>Giá (CP)</t>
        </is>
      </c>
      <c r="D487" s="43" t="n">
        <v>8</v>
      </c>
      <c r="E487" s="47" t="inlineStr">
        <is>
          <t>Đổi</t>
        </is>
      </c>
      <c r="F487" s="41" t="inlineStr">
        <is>
          <t>13 CP</t>
        </is>
      </c>
      <c r="G487" s="41" t="inlineStr">
        <is>
          <t>Ngang tầm máy bay lớn khác sau khi có thêm tên lửa hành trình; C-130 ngoài đời ~70 triệu USD, đắt hơn Apache.</t>
        </is>
      </c>
      <c r="H487" s="47" t="inlineStr">
        <is>
          <t>Cao</t>
        </is>
      </c>
    </row>
    <row r="488" ht="32.25" customHeight="1" s="32">
      <c r="A488" s="39" t="inlineStr">
        <is>
          <t>swarm_carrier</t>
        </is>
      </c>
      <c r="B488" s="39" t="inlineStr">
        <is>
          <t>Máy bay mẹ thả drone</t>
        </is>
      </c>
      <c r="C488" s="39" t="inlineStr">
        <is>
          <t>Vũ khí: thêm Rapid Dragon</t>
        </is>
      </c>
      <c r="D488" s="39" t="inlineStr">
        <is>
          <t>8 drone FPV + bom SDB; khung C-130 to bằng Pháo hạm bay (22 CP) nhưng chỉ 8 CP</t>
        </is>
      </c>
      <c r="E488" s="47" t="inlineStr">
        <is>
          <t>Đổi</t>
        </is>
      </c>
      <c r="F488" s="39" t="inlineStr">
        <is>
          <t>Bỏ SDB; thêm 2 tên lửa hành trình thả từ khoang (410/quả, Nổ mạnh xuyên 3, nổ lan 9 m, tầm 90, tốc độ 20) mỗi lượt, giữ 8 drone</t>
        </is>
      </c>
      <c r="G488" s="39" t="inlineStr">
        <is>
          <t>Máy bay to như vậy mà rẻ là không hợp lý; thêm vũ khí để xứng giá mới. Rapid Dragon là hệ thống thật cho máy bay vận tải thả tên lửa hành trình theo pallet.</t>
        </is>
      </c>
      <c r="H488" s="47" t="inlineStr">
        <is>
          <t>Cao</t>
        </is>
      </c>
    </row>
    <row r="489" ht="32.25" customHeight="1" s="32">
      <c r="A489" s="41" t="inlineStr">
        <is>
          <t>swarm_carrier</t>
        </is>
      </c>
      <c r="B489" s="41" t="inlineStr">
        <is>
          <t>Máy bay mẹ thả drone</t>
        </is>
      </c>
      <c r="C489" s="41" t="inlineStr">
        <is>
          <t>Hành vi</t>
        </is>
      </c>
      <c r="D489" s="41" t="inlineStr">
        <is>
          <t>Bổ nhào xả hỏa lực vào mục tiêu, rồi vòng lại lượt khác; Sau mỗi lượt nó vòng lạ</t>
        </is>
      </c>
      <c r="E489" s="49" t="inlineStr">
        <is>
          <t>Giữ</t>
        </is>
      </c>
      <c r="F489" s="41" t="n"/>
      <c r="G489" s="41" t="inlineStr">
        <is>
          <t>Hợp vai trò.</t>
        </is>
      </c>
      <c r="H489" s="41" t="n"/>
    </row>
    <row r="490" ht="15" customHeight="1" s="32">
      <c r="A490" s="39" t="inlineStr">
        <is>
          <t>swarm_carrier</t>
        </is>
      </c>
      <c r="B490" s="39" t="inlineStr">
        <is>
          <t>Máy bay mẹ thả drone</t>
        </is>
      </c>
      <c r="C490" s="39" t="inlineStr">
        <is>
          <t>Nổ khi bị phá (bán kính)</t>
        </is>
      </c>
      <c r="D490" s="39" t="inlineStr">
        <is>
          <t>9 m · 280 sát thương</t>
        </is>
      </c>
      <c r="E490" s="49" t="inlineStr">
        <is>
          <t>Giữ</t>
        </is>
      </c>
      <c r="F490" s="39" t="n"/>
      <c r="G490" s="39" t="inlineStr">
        <is>
          <t>Hợp với cỡ xe.</t>
        </is>
      </c>
      <c r="H490" s="39" t="n"/>
    </row>
    <row r="491" ht="21.75" customHeight="1" s="32">
      <c r="A491" s="41" t="inlineStr">
        <is>
          <t>swarm_carrier</t>
        </is>
      </c>
      <c r="B491" s="41" t="inlineStr">
        <is>
          <t>Máy bay mẹ thả drone</t>
        </is>
      </c>
      <c r="C491" s="41" t="inlineStr">
        <is>
          <t>Tham khảo / model</t>
        </is>
      </c>
      <c r="D491" s="41" t="inlineStr">
        <is>
          <t>C-130 Hercules, drone FPV — Máy bay vận tải bốn động cơ thả bầy drone FPV</t>
        </is>
      </c>
      <c r="E491" s="49" t="inlineStr">
        <is>
          <t>Giữ</t>
        </is>
      </c>
      <c r="F491" s="41" t="n"/>
      <c r="G491" s="41" t="inlineStr">
        <is>
          <t>Khớp vũ khí và vai trò.</t>
        </is>
      </c>
      <c r="H491" s="41" t="n"/>
    </row>
    <row r="492" ht="21.75" customHeight="1" s="32">
      <c r="A492" s="39" t="inlineStr">
        <is>
          <t>attack_helicopter</t>
        </is>
      </c>
      <c r="B492" s="39" t="inlineStr">
        <is>
          <t>Trực thăng tấn công</t>
        </is>
      </c>
      <c r="C492" s="39" t="inlineStr">
        <is>
          <t>Tên</t>
        </is>
      </c>
      <c r="D492" s="39" t="inlineStr">
        <is>
          <t>Trực thăng tấn công</t>
        </is>
      </c>
      <c r="E492" s="49" t="inlineStr">
        <is>
          <t>Giữ</t>
        </is>
      </c>
      <c r="F492" s="39" t="inlineStr">
        <is>
          <t>Trực thăng tấn công · ngắn: TT tấn công · EN: Attack Helicopter</t>
        </is>
      </c>
      <c r="G492" s="39" t="inlineStr">
        <is>
          <t>Giữ.</t>
        </is>
      </c>
      <c r="H492" s="39" t="n"/>
    </row>
    <row r="493" ht="15" customHeight="1" s="32">
      <c r="A493" s="41" t="inlineStr">
        <is>
          <t>attack_helicopter</t>
        </is>
      </c>
      <c r="B493" s="41" t="inlineStr">
        <is>
          <t>Trực thăng tấn công</t>
        </is>
      </c>
      <c r="C493" s="41" t="inlineStr">
        <is>
          <t>Máu</t>
        </is>
      </c>
      <c r="D493" s="43" t="n">
        <v>1760</v>
      </c>
      <c r="E493" s="49" t="inlineStr">
        <is>
          <t>Giữ</t>
        </is>
      </c>
      <c r="F493" s="41" t="n"/>
      <c r="G493" s="41" t="inlineStr">
        <is>
          <t>Máu/CP 0.78 × trung vị lớp Trực thăng.</t>
        </is>
      </c>
      <c r="H493" s="41" t="n"/>
    </row>
    <row r="494" ht="15" customHeight="1" s="32">
      <c r="A494" s="39" t="inlineStr">
        <is>
          <t>attack_helicopter</t>
        </is>
      </c>
      <c r="B494" s="39" t="inlineStr">
        <is>
          <t>Trực thăng tấn công</t>
        </is>
      </c>
      <c r="C494" s="39" t="inlineStr">
        <is>
          <t>Giáp (T/H/S/N)</t>
        </is>
      </c>
      <c r="D494" s="39" t="inlineStr">
        <is>
          <t>cấp 1 (Mỏng)</t>
        </is>
      </c>
      <c r="E494" s="49" t="inlineStr">
        <is>
          <t>Giữ</t>
        </is>
      </c>
      <c r="F494" s="39" t="n"/>
      <c r="G494" s="39" t="inlineStr">
        <is>
          <t>Giả tưởng / máy bay; khớp vai trò.</t>
        </is>
      </c>
      <c r="H494" s="39" t="n"/>
    </row>
    <row r="495" ht="15" customHeight="1" s="32">
      <c r="A495" s="41" t="inlineStr">
        <is>
          <t>attack_helicopter</t>
        </is>
      </c>
      <c r="B495" s="41" t="inlineStr">
        <is>
          <t>Trực thăng tấn công</t>
        </is>
      </c>
      <c r="C495" s="41" t="inlineStr">
        <is>
          <t>Tốc độ</t>
        </is>
      </c>
      <c r="D495" s="43" t="n">
        <v>13</v>
      </c>
      <c r="E495" s="49" t="inlineStr">
        <is>
          <t>Giữ</t>
        </is>
      </c>
      <c r="F495" s="41" t="n"/>
      <c r="G495" s="41" t="inlineStr">
        <is>
          <t>Gần tốc độ thật × hệ số nén (12.5).</t>
        </is>
      </c>
      <c r="H495" s="41" t="n"/>
    </row>
    <row r="496" ht="21.75" customHeight="1" s="32">
      <c r="A496" s="39" t="inlineStr">
        <is>
          <t>attack_helicopter</t>
        </is>
      </c>
      <c r="B496" s="39" t="inlineStr">
        <is>
          <t>Trực thăng tấn công</t>
        </is>
      </c>
      <c r="C496" s="39" t="inlineStr">
        <is>
          <t>Kích thước model (dài × rộng × cao)</t>
        </is>
      </c>
      <c r="D496" s="39" t="inlineStr">
        <is>
          <t>6.0 × 4.0 × 2.3</t>
        </is>
      </c>
      <c r="E496" s="47" t="inlineStr">
        <is>
          <t>Đổi</t>
        </is>
      </c>
      <c r="F496" s="39" t="inlineStr">
        <is>
          <t>7.1 × 5.8 × 1.8</t>
        </is>
      </c>
      <c r="G496" s="39" t="inlineStr">
        <is>
          <t>Mẫu thật AH-64D Apache: 17.7 × 14.6 m; theo tỷ lệ chung (trên không 0,4) nên là 7.1 × 5.8 m. Đổi kích thước thì chỉnh vùng va chạm và chạy lại test xe kẹt.</t>
        </is>
      </c>
      <c r="H496" s="49" t="inlineStr">
        <is>
          <t>Thấp</t>
        </is>
      </c>
    </row>
    <row r="497" ht="15" customHeight="1" s="32">
      <c r="A497" s="41" t="inlineStr">
        <is>
          <t>attack_helicopter</t>
        </is>
      </c>
      <c r="B497" s="41" t="inlineStr">
        <is>
          <t>Trực thăng tấn công</t>
        </is>
      </c>
      <c r="C497" s="41" t="inlineStr">
        <is>
          <t>Tầm nhìn</t>
        </is>
      </c>
      <c r="D497" s="43" t="n">
        <v>40</v>
      </c>
      <c r="E497" s="49" t="inlineStr">
        <is>
          <t>Giữ</t>
        </is>
      </c>
      <c r="F497" s="41" t="n"/>
      <c r="G497" s="41" t="inlineStr">
        <is>
          <t>Khớp vai trò.</t>
        </is>
      </c>
      <c r="H497" s="41" t="n"/>
    </row>
    <row r="498" ht="15" customHeight="1" s="32">
      <c r="A498" s="39" t="inlineStr">
        <is>
          <t>attack_helicopter</t>
        </is>
      </c>
      <c r="B498" s="39" t="inlineStr">
        <is>
          <t>Trực thăng tấn công</t>
        </is>
      </c>
      <c r="C498" s="39" t="inlineStr">
        <is>
          <t>Tầm bắn</t>
        </is>
      </c>
      <c r="D498" s="39" t="inlineStr">
        <is>
          <t>55</t>
        </is>
      </c>
      <c r="E498" s="49" t="inlineStr">
        <is>
          <t>Giữ</t>
        </is>
      </c>
      <c r="F498" s="39" t="n"/>
      <c r="G498" s="39" t="inlineStr">
        <is>
          <t>Thứ tự tầm hợp lý trong nhóm.</t>
        </is>
      </c>
      <c r="H498" s="39" t="n"/>
    </row>
    <row r="499" ht="15" customHeight="1" s="32">
      <c r="A499" s="41" t="inlineStr">
        <is>
          <t>attack_helicopter</t>
        </is>
      </c>
      <c r="B499" s="41" t="inlineStr">
        <is>
          <t>Trực thăng tấn công</t>
        </is>
      </c>
      <c r="C499" s="41" t="inlineStr">
        <is>
          <t>Giá (CP)</t>
        </is>
      </c>
      <c r="D499" s="43" t="n">
        <v>11</v>
      </c>
      <c r="E499" s="47" t="inlineStr">
        <is>
          <t>Đổi</t>
        </is>
      </c>
      <c r="F499" s="41" t="inlineStr">
        <is>
          <t>9 CP</t>
        </is>
      </c>
      <c r="G499" s="41" t="inlineStr">
        <is>
          <t>Yếu hơn các trực thăng khác tính theo CP.</t>
        </is>
      </c>
      <c r="H499" s="47" t="inlineStr">
        <is>
          <t>Cao</t>
        </is>
      </c>
    </row>
    <row r="500" ht="15" customHeight="1" s="32">
      <c r="A500" s="39" t="inlineStr">
        <is>
          <t>attack_helicopter</t>
        </is>
      </c>
      <c r="B500" s="39" t="inlineStr">
        <is>
          <t>Trực thăng tấn công</t>
        </is>
      </c>
      <c r="C500" s="39" t="inlineStr">
        <is>
          <t>Vũ khí: Hellfire, Stinger ATAS</t>
        </is>
      </c>
      <c r="D500" s="39" t="inlineStr">
        <is>
          <t>Hellfire tốc độ 24 · ATAS tốc độ 24</t>
        </is>
      </c>
      <c r="E500" s="47" t="inlineStr">
        <is>
          <t>Đổi</t>
        </is>
      </c>
      <c r="F500" s="39" t="inlineStr">
        <is>
          <t>Hellfire 26 (bay 2,1 s ở 55 m) · ATAS 42</t>
        </is>
      </c>
      <c r="G500" s="39" t="inlineStr">
        <is>
          <t>Thống nhất Hellfire mọi nơi; ATAS đủ nhanh để bắn trực thăng địch.</t>
        </is>
      </c>
      <c r="H500" s="48" t="inlineStr">
        <is>
          <t>Trung</t>
        </is>
      </c>
    </row>
    <row r="501" ht="32.25" customHeight="1" s="32">
      <c r="A501" s="41" t="inlineStr">
        <is>
          <t>attack_helicopter</t>
        </is>
      </c>
      <c r="B501" s="41" t="inlineStr">
        <is>
          <t>Trực thăng tấn công</t>
        </is>
      </c>
      <c r="C501" s="41" t="inlineStr">
        <is>
          <t>Hành vi</t>
        </is>
      </c>
      <c r="D501" s="41" t="inlineStr">
        <is>
          <t xml:space="preserve">Treo trên không ở rìa tầm bắn và nhả đạn; Ưu tiên xe tăng, tăng hạng nặng, pháo </t>
        </is>
      </c>
      <c r="E501" s="49" t="inlineStr">
        <is>
          <t>Giữ</t>
        </is>
      </c>
      <c r="F501" s="41" t="n"/>
      <c r="G501" s="41" t="inlineStr">
        <is>
          <t>Hợp vai trò.</t>
        </is>
      </c>
      <c r="H501" s="41" t="n"/>
    </row>
    <row r="502" ht="15" customHeight="1" s="32">
      <c r="A502" s="39" t="inlineStr">
        <is>
          <t>attack_helicopter</t>
        </is>
      </c>
      <c r="B502" s="39" t="inlineStr">
        <is>
          <t>Trực thăng tấn công</t>
        </is>
      </c>
      <c r="C502" s="39" t="inlineStr">
        <is>
          <t>Nổ khi bị phá (bán kính)</t>
        </is>
      </c>
      <c r="D502" s="39" t="inlineStr">
        <is>
          <t>6 m · 160 sát thương</t>
        </is>
      </c>
      <c r="E502" s="49" t="inlineStr">
        <is>
          <t>Giữ</t>
        </is>
      </c>
      <c r="F502" s="39" t="n"/>
      <c r="G502" s="39" t="inlineStr">
        <is>
          <t>Hợp với cỡ xe.</t>
        </is>
      </c>
      <c r="H502" s="39" t="n"/>
    </row>
    <row r="503" ht="32.25" customHeight="1" s="32">
      <c r="A503" s="41" t="inlineStr">
        <is>
          <t>attack_helicopter</t>
        </is>
      </c>
      <c r="B503" s="41" t="inlineStr">
        <is>
          <t>Trực thăng tấn công</t>
        </is>
      </c>
      <c r="C503" s="41" t="inlineStr">
        <is>
          <t>Tham khảo / model</t>
        </is>
      </c>
      <c r="D503" s="41" t="inlineStr">
        <is>
          <t xml:space="preserve">AH-64D Apache Longbow, AGM-114L Hellfire Longbow, Ka-52 Alligator (model thay thế) — Trực </t>
        </is>
      </c>
      <c r="E503" s="49" t="inlineStr">
        <is>
          <t>Giữ</t>
        </is>
      </c>
      <c r="F503" s="41" t="n"/>
      <c r="G503" s="41" t="inlineStr">
        <is>
          <t>Khớp vũ khí và vai trò.</t>
        </is>
      </c>
      <c r="H503" s="41" t="n"/>
    </row>
    <row r="504" ht="15" customHeight="1" s="32">
      <c r="A504" s="39" t="inlineStr">
        <is>
          <t>fighter_jet</t>
        </is>
      </c>
      <c r="B504" s="39" t="inlineStr">
        <is>
          <t>Tiêm kích</t>
        </is>
      </c>
      <c r="C504" s="39" t="inlineStr">
        <is>
          <t>Tên</t>
        </is>
      </c>
      <c r="D504" s="39" t="inlineStr">
        <is>
          <t>Tiêm kích</t>
        </is>
      </c>
      <c r="E504" s="49" t="inlineStr">
        <is>
          <t>Giữ</t>
        </is>
      </c>
      <c r="F504" s="39" t="inlineStr">
        <is>
          <t>Tiêm kích · ngắn: Tiêm kích · EN: Fighter</t>
        </is>
      </c>
      <c r="G504" s="39" t="inlineStr">
        <is>
          <t>Giữ.</t>
        </is>
      </c>
      <c r="H504" s="39" t="n"/>
    </row>
    <row r="505" ht="15" customHeight="1" s="32">
      <c r="A505" s="41" t="inlineStr">
        <is>
          <t>fighter_jet</t>
        </is>
      </c>
      <c r="B505" s="41" t="inlineStr">
        <is>
          <t>Tiêm kích</t>
        </is>
      </c>
      <c r="C505" s="41" t="inlineStr">
        <is>
          <t>Máu</t>
        </is>
      </c>
      <c r="D505" s="43" t="n">
        <v>1144</v>
      </c>
      <c r="E505" s="49" t="inlineStr">
        <is>
          <t>Giữ</t>
        </is>
      </c>
      <c r="F505" s="41" t="n"/>
      <c r="G505" s="41" t="inlineStr">
        <is>
          <t>Máu/CP 0.81 × trung vị lớp Máy bay.</t>
        </is>
      </c>
      <c r="H505" s="41" t="n"/>
    </row>
    <row r="506" ht="15" customHeight="1" s="32">
      <c r="A506" s="39" t="inlineStr">
        <is>
          <t>fighter_jet</t>
        </is>
      </c>
      <c r="B506" s="39" t="inlineStr">
        <is>
          <t>Tiêm kích</t>
        </is>
      </c>
      <c r="C506" s="39" t="inlineStr">
        <is>
          <t>Giáp (T/H/S/N)</t>
        </is>
      </c>
      <c r="D506" s="39" t="inlineStr">
        <is>
          <t>cấp 0 (Không giáp)</t>
        </is>
      </c>
      <c r="E506" s="49" t="inlineStr">
        <is>
          <t>Giữ</t>
        </is>
      </c>
      <c r="F506" s="39" t="n"/>
      <c r="G506" s="39" t="inlineStr">
        <is>
          <t>Khớp mẫu thật theo thang 0–4.</t>
        </is>
      </c>
      <c r="H506" s="39" t="n"/>
    </row>
    <row r="507" ht="15" customHeight="1" s="32">
      <c r="A507" s="41" t="inlineStr">
        <is>
          <t>fighter_jet</t>
        </is>
      </c>
      <c r="B507" s="41" t="inlineStr">
        <is>
          <t>Tiêm kích</t>
        </is>
      </c>
      <c r="C507" s="41" t="inlineStr">
        <is>
          <t>Tốc độ</t>
        </is>
      </c>
      <c r="D507" s="43" t="n">
        <v>40</v>
      </c>
      <c r="E507" s="49" t="inlineStr">
        <is>
          <t>Giữ</t>
        </is>
      </c>
      <c r="F507" s="41" t="n"/>
      <c r="G507" s="41" t="inlineStr">
        <is>
          <t>Gần tốc độ thật × hệ số nén (40.0).</t>
        </is>
      </c>
      <c r="H507" s="41" t="n"/>
    </row>
    <row r="508" ht="32.25" customHeight="1" s="32">
      <c r="A508" s="39" t="inlineStr">
        <is>
          <t>fighter_jet</t>
        </is>
      </c>
      <c r="B508" s="39" t="inlineStr">
        <is>
          <t>Tiêm kích</t>
        </is>
      </c>
      <c r="C508" s="39" t="inlineStr">
        <is>
          <t>Kích thước model (dài × rộng × cao)</t>
        </is>
      </c>
      <c r="D508" s="39" t="inlineStr">
        <is>
          <t>6.4 × 4.2 × 1.4</t>
        </is>
      </c>
      <c r="E508" s="47" t="inlineStr">
        <is>
          <t>Đổi</t>
        </is>
      </c>
      <c r="F508" s="39" t="inlineStr">
        <is>
          <t>8.8 × 5.9 × 2.4</t>
        </is>
      </c>
      <c r="G508" s="39" t="inlineStr">
        <is>
          <t>Mẫu thật Su-27: 21.9 × 14.7 m; theo tỷ lệ chung (trên không 0,4) nên là 8.8 × 5.9 m. Su-27 thật dài hơn Su-25 40%, nhưng trong game bằng nhau. Đổi kích thước thì chỉnh vùng va chạm và chạy lại test xe kẹt.</t>
        </is>
      </c>
      <c r="H508" s="49" t="inlineStr">
        <is>
          <t>Thấp</t>
        </is>
      </c>
    </row>
    <row r="509" ht="15" customHeight="1" s="32">
      <c r="A509" s="41" t="inlineStr">
        <is>
          <t>fighter_jet</t>
        </is>
      </c>
      <c r="B509" s="41" t="inlineStr">
        <is>
          <t>Tiêm kích</t>
        </is>
      </c>
      <c r="C509" s="41" t="inlineStr">
        <is>
          <t>Tầm nhìn</t>
        </is>
      </c>
      <c r="D509" s="43" t="n">
        <v>72</v>
      </c>
      <c r="E509" s="49" t="inlineStr">
        <is>
          <t>Giữ</t>
        </is>
      </c>
      <c r="F509" s="41" t="n"/>
      <c r="G509" s="41" t="inlineStr">
        <is>
          <t>Khớp vai trò.</t>
        </is>
      </c>
      <c r="H509" s="41" t="n"/>
    </row>
    <row r="510" ht="15" customHeight="1" s="32">
      <c r="A510" s="39" t="inlineStr">
        <is>
          <t>fighter_jet</t>
        </is>
      </c>
      <c r="B510" s="39" t="inlineStr">
        <is>
          <t>Tiêm kích</t>
        </is>
      </c>
      <c r="C510" s="39" t="inlineStr">
        <is>
          <t>Tầm bắn</t>
        </is>
      </c>
      <c r="D510" s="39" t="inlineStr">
        <is>
          <t>60</t>
        </is>
      </c>
      <c r="E510" s="49" t="inlineStr">
        <is>
          <t>Giữ</t>
        </is>
      </c>
      <c r="F510" s="39" t="n"/>
      <c r="G510" s="39" t="inlineStr">
        <is>
          <t>Thứ tự tầm hợp lý trong nhóm.</t>
        </is>
      </c>
      <c r="H510" s="39" t="n"/>
    </row>
    <row r="511" ht="15" customHeight="1" s="32">
      <c r="A511" s="41" t="inlineStr">
        <is>
          <t>fighter_jet</t>
        </is>
      </c>
      <c r="B511" s="41" t="inlineStr">
        <is>
          <t>Tiêm kích</t>
        </is>
      </c>
      <c r="C511" s="41" t="inlineStr">
        <is>
          <t>Giá (CP)</t>
        </is>
      </c>
      <c r="D511" s="43" t="n">
        <v>12</v>
      </c>
      <c r="E511" s="49" t="inlineStr">
        <is>
          <t>Giữ</t>
        </is>
      </c>
      <c r="F511" s="41" t="n"/>
      <c r="G511" s="41" t="inlineStr">
        <is>
          <t>Hiệu quả trong khoảng ±25% trung vị, thứ tự giá hợp ngoài đời (sheet Giá CP).</t>
        </is>
      </c>
      <c r="H511" s="41" t="n"/>
    </row>
    <row r="512" ht="15" customHeight="1" s="32">
      <c r="A512" s="39" t="inlineStr">
        <is>
          <t>fighter_jet</t>
        </is>
      </c>
      <c r="B512" s="39" t="inlineStr">
        <is>
          <t>Tiêm kích</t>
        </is>
      </c>
      <c r="C512" s="39" t="inlineStr">
        <is>
          <t>Vũ khí: AIM-120, AIM-9X</t>
        </is>
      </c>
      <c r="D512" s="39" t="inlineStr">
        <is>
          <t>tốc độ 24 (chậm hơn tiêm kích 40 m/s)</t>
        </is>
      </c>
      <c r="E512" s="47" t="inlineStr">
        <is>
          <t>Đổi</t>
        </is>
      </c>
      <c r="F512" s="39" t="inlineStr">
        <is>
          <t>AIM-120: 60 (bay 1 s) · AIM-9X: 55</t>
        </is>
      </c>
      <c r="G512" s="39" t="inlineStr">
        <is>
          <t>Tên lửa phải bắt kịp mục tiêu nhanh nhất.</t>
        </is>
      </c>
      <c r="H512" s="47" t="inlineStr">
        <is>
          <t>Cao</t>
        </is>
      </c>
    </row>
    <row r="513" ht="32.25" customHeight="1" s="32">
      <c r="A513" s="41" t="inlineStr">
        <is>
          <t>fighter_jet</t>
        </is>
      </c>
      <c r="B513" s="41" t="inlineStr">
        <is>
          <t>Tiêm kích</t>
        </is>
      </c>
      <c r="C513" s="41" t="inlineStr">
        <is>
          <t>Hành vi</t>
        </is>
      </c>
      <c r="D513" s="41" t="inlineStr">
        <is>
          <t>Săn máy bay địch; Sau mỗi lượt nó vòng lại và vào lượt mới; Ưu tiên máy bay; Hết</t>
        </is>
      </c>
      <c r="E513" s="49" t="inlineStr">
        <is>
          <t>Giữ</t>
        </is>
      </c>
      <c r="F513" s="41" t="n"/>
      <c r="G513" s="41" t="inlineStr">
        <is>
          <t>Hợp vai trò.</t>
        </is>
      </c>
      <c r="H513" s="41" t="n"/>
    </row>
    <row r="514" ht="15" customHeight="1" s="32">
      <c r="A514" s="39" t="inlineStr">
        <is>
          <t>fighter_jet</t>
        </is>
      </c>
      <c r="B514" s="39" t="inlineStr">
        <is>
          <t>Tiêm kích</t>
        </is>
      </c>
      <c r="C514" s="39" t="inlineStr">
        <is>
          <t>Nổ khi bị phá (bán kính)</t>
        </is>
      </c>
      <c r="D514" s="39" t="inlineStr">
        <is>
          <t>7 m · 160 sát thương</t>
        </is>
      </c>
      <c r="E514" s="49" t="inlineStr">
        <is>
          <t>Giữ</t>
        </is>
      </c>
      <c r="F514" s="39" t="n"/>
      <c r="G514" s="39" t="inlineStr">
        <is>
          <t>Hợp với cỡ xe.</t>
        </is>
      </c>
      <c r="H514" s="39" t="n"/>
    </row>
    <row r="515" ht="32.25" customHeight="1" s="32">
      <c r="A515" s="41" t="inlineStr">
        <is>
          <t>fighter_jet</t>
        </is>
      </c>
      <c r="B515" s="41" t="inlineStr">
        <is>
          <t>Tiêm kích</t>
        </is>
      </c>
      <c r="C515" s="41" t="inlineStr">
        <is>
          <t>Tham khảo / model</t>
        </is>
      </c>
      <c r="D515" s="41" t="inlineStr">
        <is>
          <t>Su-27 Flanker, F-15 Eagle, AIM-120 AMRAAM, AIM-9X Sidewinder — Tiêm kích chiếm ưu thế trên</t>
        </is>
      </c>
      <c r="E515" s="49" t="inlineStr">
        <is>
          <t>Giữ</t>
        </is>
      </c>
      <c r="F515" s="41" t="n"/>
      <c r="G515" s="41" t="inlineStr">
        <is>
          <t>Khớp vũ khí và vai trò.</t>
        </is>
      </c>
      <c r="H515" s="41" t="n"/>
    </row>
    <row r="516" ht="21.75" customHeight="1" s="32">
      <c r="A516" s="39" t="inlineStr">
        <is>
          <t>stealth_fighter</t>
        </is>
      </c>
      <c r="B516" s="39" t="inlineStr">
        <is>
          <t>Tiêm kích tàng hình</t>
        </is>
      </c>
      <c r="C516" s="39" t="inlineStr">
        <is>
          <t>Tên</t>
        </is>
      </c>
      <c r="D516" s="39" t="inlineStr">
        <is>
          <t>Tiêm kích tàng hình</t>
        </is>
      </c>
      <c r="E516" s="49" t="inlineStr">
        <is>
          <t>Giữ</t>
        </is>
      </c>
      <c r="F516" s="39" t="inlineStr">
        <is>
          <t>Tiêm kích tàng hình · ngắn: TK tàng hình · EN: Stealth Fighter</t>
        </is>
      </c>
      <c r="G516" s="39" t="inlineStr">
        <is>
          <t>Giữ.</t>
        </is>
      </c>
      <c r="H516" s="39" t="n"/>
    </row>
    <row r="517" ht="15" customHeight="1" s="32">
      <c r="A517" s="41" t="inlineStr">
        <is>
          <t>stealth_fighter</t>
        </is>
      </c>
      <c r="B517" s="41" t="inlineStr">
        <is>
          <t>Tiêm kích tàng hình</t>
        </is>
      </c>
      <c r="C517" s="41" t="inlineStr">
        <is>
          <t>Máu</t>
        </is>
      </c>
      <c r="D517" s="43" t="n">
        <v>1056</v>
      </c>
      <c r="E517" s="49" t="inlineStr">
        <is>
          <t>Giữ</t>
        </is>
      </c>
      <c r="F517" s="41" t="n"/>
      <c r="G517" s="41" t="inlineStr">
        <is>
          <t>Máu/CP 0.64 × trung vị lớp Máy bay.</t>
        </is>
      </c>
      <c r="H517" s="41" t="n"/>
    </row>
    <row r="518" ht="15" customHeight="1" s="32">
      <c r="A518" s="39" t="inlineStr">
        <is>
          <t>stealth_fighter</t>
        </is>
      </c>
      <c r="B518" s="39" t="inlineStr">
        <is>
          <t>Tiêm kích tàng hình</t>
        </is>
      </c>
      <c r="C518" s="39" t="inlineStr">
        <is>
          <t>Giáp (T/H/S/N)</t>
        </is>
      </c>
      <c r="D518" s="39" t="inlineStr">
        <is>
          <t>cấp 0 (Không giáp)</t>
        </is>
      </c>
      <c r="E518" s="49" t="inlineStr">
        <is>
          <t>Giữ</t>
        </is>
      </c>
      <c r="F518" s="39" t="n"/>
      <c r="G518" s="39" t="inlineStr">
        <is>
          <t>Khớp mẫu thật theo thang 0–4.</t>
        </is>
      </c>
      <c r="H518" s="39" t="n"/>
    </row>
    <row r="519" ht="15" customHeight="1" s="32">
      <c r="A519" s="41" t="inlineStr">
        <is>
          <t>stealth_fighter</t>
        </is>
      </c>
      <c r="B519" s="41" t="inlineStr">
        <is>
          <t>Tiêm kích tàng hình</t>
        </is>
      </c>
      <c r="C519" s="41" t="inlineStr">
        <is>
          <t>Tốc độ</t>
        </is>
      </c>
      <c r="D519" s="43" t="n">
        <v>40</v>
      </c>
      <c r="E519" s="47" t="inlineStr">
        <is>
          <t>Đổi</t>
        </is>
      </c>
      <c r="F519" s="41" t="inlineStr">
        <is>
          <t>44 m/s</t>
        </is>
      </c>
      <c r="G519" s="41" t="inlineStr">
        <is>
          <t>F-22/Su-57 bay hành trình siêu âm, nhanh hơn Su-27.</t>
        </is>
      </c>
      <c r="H519" s="48" t="inlineStr">
        <is>
          <t>Trung</t>
        </is>
      </c>
    </row>
    <row r="520" ht="15" customHeight="1" s="32">
      <c r="A520" s="39" t="inlineStr">
        <is>
          <t>stealth_fighter</t>
        </is>
      </c>
      <c r="B520" s="39" t="inlineStr">
        <is>
          <t>Tiêm kích tàng hình</t>
        </is>
      </c>
      <c r="C520" s="39" t="inlineStr">
        <is>
          <t>Kích thước model (dài × rộng × cao)</t>
        </is>
      </c>
      <c r="D520" s="39" t="inlineStr">
        <is>
          <t>6.1 × 4.2 × 1.2</t>
        </is>
      </c>
      <c r="E520" s="49" t="inlineStr">
        <is>
          <t>Giữ</t>
        </is>
      </c>
      <c r="F520" s="39" t="n"/>
      <c r="G520" s="39" t="inlineStr">
        <is>
          <t>Khớp tỷ lệ chung (mẫu thật 18.9 m).</t>
        </is>
      </c>
      <c r="H520" s="39" t="n"/>
    </row>
    <row r="521" ht="15" customHeight="1" s="32">
      <c r="A521" s="41" t="inlineStr">
        <is>
          <t>stealth_fighter</t>
        </is>
      </c>
      <c r="B521" s="41" t="inlineStr">
        <is>
          <t>Tiêm kích tàng hình</t>
        </is>
      </c>
      <c r="C521" s="41" t="inlineStr">
        <is>
          <t>Tầm nhìn</t>
        </is>
      </c>
      <c r="D521" s="43" t="n">
        <v>76</v>
      </c>
      <c r="E521" s="49" t="inlineStr">
        <is>
          <t>Giữ</t>
        </is>
      </c>
      <c r="F521" s="41" t="n"/>
      <c r="G521" s="41" t="inlineStr">
        <is>
          <t>Khớp vai trò.</t>
        </is>
      </c>
      <c r="H521" s="41" t="n"/>
    </row>
    <row r="522" ht="15" customHeight="1" s="32">
      <c r="A522" s="39" t="inlineStr">
        <is>
          <t>stealth_fighter</t>
        </is>
      </c>
      <c r="B522" s="39" t="inlineStr">
        <is>
          <t>Tiêm kích tàng hình</t>
        </is>
      </c>
      <c r="C522" s="39" t="inlineStr">
        <is>
          <t>Tầm bắn</t>
        </is>
      </c>
      <c r="D522" s="39" t="inlineStr">
        <is>
          <t>60</t>
        </is>
      </c>
      <c r="E522" s="49" t="inlineStr">
        <is>
          <t>Giữ</t>
        </is>
      </c>
      <c r="F522" s="39" t="n"/>
      <c r="G522" s="39" t="inlineStr">
        <is>
          <t>Thứ tự tầm hợp lý trong nhóm.</t>
        </is>
      </c>
      <c r="H522" s="39" t="n"/>
    </row>
    <row r="523" ht="15" customHeight="1" s="32">
      <c r="A523" s="41" t="inlineStr">
        <is>
          <t>stealth_fighter</t>
        </is>
      </c>
      <c r="B523" s="41" t="inlineStr">
        <is>
          <t>Tiêm kích tàng hình</t>
        </is>
      </c>
      <c r="C523" s="41" t="inlineStr">
        <is>
          <t>Giá (CP)</t>
        </is>
      </c>
      <c r="D523" s="43" t="n">
        <v>14</v>
      </c>
      <c r="E523" s="47" t="inlineStr">
        <is>
          <t>Đổi</t>
        </is>
      </c>
      <c r="F523" s="41" t="inlineStr">
        <is>
          <t>13 CP</t>
        </is>
      </c>
      <c r="G523" s="41" t="inlineStr">
        <is>
          <t>Xem sheet Giá CP.</t>
        </is>
      </c>
      <c r="H523" s="47" t="inlineStr">
        <is>
          <t>Cao</t>
        </is>
      </c>
    </row>
    <row r="524" ht="21.75" customHeight="1" s="32">
      <c r="A524" s="39" t="inlineStr">
        <is>
          <t>stealth_fighter</t>
        </is>
      </c>
      <c r="B524" s="39" t="inlineStr">
        <is>
          <t>Tiêm kích tàng hình</t>
        </is>
      </c>
      <c r="C524" s="39" t="inlineStr">
        <is>
          <t>Vũ khí và giá</t>
        </is>
      </c>
      <c r="D524" s="39" t="inlineStr">
        <is>
          <t>chống máy bay 219 (kém tiêm kích 351) · 14 CP</t>
        </is>
      </c>
      <c r="E524" s="47" t="inlineStr">
        <is>
          <t>Đổi</t>
        </is>
      </c>
      <c r="F524" s="39" t="inlineStr">
        <is>
          <t>+1 AIM-120 mỗi lần đầy đạn; giá 14→13</t>
        </is>
      </c>
      <c r="G524" s="39" t="inlineStr">
        <is>
          <t>Đắt hơn nhưng kém tiêm kích thường ở vai trò chính.</t>
        </is>
      </c>
      <c r="H524" s="48" t="inlineStr">
        <is>
          <t>Trung</t>
        </is>
      </c>
    </row>
    <row r="525" ht="32.25" customHeight="1" s="32">
      <c r="A525" s="41" t="inlineStr">
        <is>
          <t>stealth_fighter</t>
        </is>
      </c>
      <c r="B525" s="41" t="inlineStr">
        <is>
          <t>Tiêm kích tàng hình</t>
        </is>
      </c>
      <c r="C525" s="41" t="inlineStr">
        <is>
          <t>Hành vi</t>
        </is>
      </c>
      <c r="D525" s="41" t="inlineStr">
        <is>
          <t>Săn máy bay địch; Sau mỗi lượt nó vòng lại và vào lượt mới; Ưu tiên máy bay; Hết</t>
        </is>
      </c>
      <c r="E525" s="49" t="inlineStr">
        <is>
          <t>Giữ</t>
        </is>
      </c>
      <c r="F525" s="41" t="n"/>
      <c r="G525" s="41" t="inlineStr">
        <is>
          <t>Hợp vai trò.</t>
        </is>
      </c>
      <c r="H525" s="41" t="n"/>
    </row>
    <row r="526" ht="15" customHeight="1" s="32">
      <c r="A526" s="39" t="inlineStr">
        <is>
          <t>stealth_fighter</t>
        </is>
      </c>
      <c r="B526" s="39" t="inlineStr">
        <is>
          <t>Tiêm kích tàng hình</t>
        </is>
      </c>
      <c r="C526" s="39" t="inlineStr">
        <is>
          <t>Nổ khi bị phá (bán kính)</t>
        </is>
      </c>
      <c r="D526" s="39" t="inlineStr">
        <is>
          <t>7 m · 160 sát thương</t>
        </is>
      </c>
      <c r="E526" s="47" t="inlineStr">
        <is>
          <t>Đổi</t>
        </is>
      </c>
      <c r="F526" s="39" t="inlineStr">
        <is>
          <t>~5 m</t>
        </is>
      </c>
      <c r="G526" s="39" t="inlineStr">
        <is>
          <t>Bán kính nổ khi bị phá nên theo cỡ xe, cộng thêm nếu xe chở nhiều đạn/nhiên liệu.</t>
        </is>
      </c>
      <c r="H526" s="49" t="inlineStr">
        <is>
          <t>Thấp</t>
        </is>
      </c>
    </row>
    <row r="527" ht="21.75" customHeight="1" s="32">
      <c r="A527" s="41" t="inlineStr">
        <is>
          <t>stealth_fighter</t>
        </is>
      </c>
      <c r="B527" s="41" t="inlineStr">
        <is>
          <t>Tiêm kích tàng hình</t>
        </is>
      </c>
      <c r="C527" s="41" t="inlineStr">
        <is>
          <t>Tham khảo / model</t>
        </is>
      </c>
      <c r="D527" s="41" t="inlineStr">
        <is>
          <t>F-22 Raptor, Su-57, GAU-22/A 25 mm — Tiêm kích tàng hình hai đuôi</t>
        </is>
      </c>
      <c r="E527" s="49" t="inlineStr">
        <is>
          <t>Giữ</t>
        </is>
      </c>
      <c r="F527" s="41" t="n"/>
      <c r="G527" s="41" t="inlineStr">
        <is>
          <t>Khớp vũ khí và vai trò.</t>
        </is>
      </c>
      <c r="H527" s="41" t="n"/>
    </row>
    <row r="528" ht="21.75" customHeight="1" s="32">
      <c r="A528" s="39"/>
      <c r="B528" s="39"/>
      <c r="C528" s="39"/>
      <c r="D528" s="39"/>
      <c r="E528" s="47"/>
      <c r="F528" s="39"/>
      <c r="G528" s="39"/>
      <c r="H528" s="49"/>
    </row>
    <row r="529" ht="21.75" customHeight="1" s="32">
      <c r="A529" s="41"/>
      <c r="B529" s="41"/>
      <c r="C529" s="41"/>
      <c r="D529" s="43"/>
      <c r="E529" s="47"/>
      <c r="F529" s="41"/>
      <c r="G529" s="41"/>
      <c r="H529" s="48"/>
    </row>
    <row r="530" ht="21.75" customHeight="1" s="32">
      <c r="A530" s="39"/>
      <c r="B530" s="39"/>
      <c r="C530" s="39"/>
      <c r="D530" s="39"/>
      <c r="E530" s="47"/>
      <c r="F530" s="39"/>
      <c r="G530" s="39"/>
      <c r="H530" s="48"/>
    </row>
    <row r="531" ht="21.75" customHeight="1" s="32">
      <c r="A531" s="41"/>
      <c r="B531" s="41"/>
      <c r="C531" s="41"/>
      <c r="D531" s="43"/>
      <c r="E531" s="47"/>
      <c r="F531" s="41"/>
      <c r="G531" s="41"/>
      <c r="H531" s="48"/>
    </row>
    <row r="532" ht="15" customHeight="1" s="32">
      <c r="A532" s="39"/>
      <c r="B532" s="39"/>
      <c r="C532" s="39"/>
      <c r="D532" s="39"/>
      <c r="E532" s="49"/>
      <c r="F532" s="39"/>
      <c r="G532" s="39"/>
      <c r="H532" s="39"/>
    </row>
    <row r="533" ht="15" customHeight="1" s="32">
      <c r="A533" s="41"/>
      <c r="B533" s="41"/>
      <c r="C533" s="41"/>
      <c r="D533" s="43"/>
      <c r="E533" s="49"/>
      <c r="F533" s="41"/>
      <c r="G533" s="41"/>
      <c r="H533" s="41"/>
    </row>
    <row r="534" ht="15" customHeight="1" s="32">
      <c r="A534" s="39"/>
      <c r="B534" s="39"/>
      <c r="C534" s="39"/>
      <c r="D534" s="39"/>
      <c r="E534" s="47"/>
      <c r="F534" s="39"/>
      <c r="G534" s="39"/>
      <c r="H534" s="48"/>
    </row>
    <row r="535" ht="15" customHeight="1" s="32">
      <c r="A535" s="41"/>
      <c r="B535" s="41"/>
      <c r="C535" s="41"/>
      <c r="D535" s="43"/>
      <c r="E535" s="49"/>
      <c r="F535" s="41"/>
      <c r="G535" s="41"/>
      <c r="H535" s="41"/>
    </row>
    <row r="536" ht="21.75" customHeight="1" s="32">
      <c r="A536" s="39"/>
      <c r="B536" s="39"/>
      <c r="C536" s="39"/>
      <c r="D536" s="39"/>
      <c r="E536" s="47"/>
      <c r="F536" s="39"/>
      <c r="G536" s="39"/>
      <c r="H536" s="48"/>
    </row>
    <row r="537" ht="32.25" customHeight="1" s="32">
      <c r="A537" s="41"/>
      <c r="B537" s="41"/>
      <c r="C537" s="41"/>
      <c r="D537" s="41"/>
      <c r="E537" s="49"/>
      <c r="F537" s="41"/>
      <c r="G537" s="41"/>
      <c r="H537" s="41"/>
    </row>
    <row r="538" ht="15" customHeight="1" s="32">
      <c r="A538" s="39"/>
      <c r="B538" s="39"/>
      <c r="C538" s="39"/>
      <c r="D538" s="39"/>
      <c r="E538" s="49"/>
      <c r="F538" s="39"/>
      <c r="G538" s="39"/>
      <c r="H538" s="39"/>
    </row>
    <row r="539" ht="32.25" customHeight="1" s="32">
      <c r="A539" s="41"/>
      <c r="B539" s="41"/>
      <c r="C539" s="41"/>
      <c r="D539" s="41"/>
      <c r="E539" s="49"/>
      <c r="F539" s="41"/>
      <c r="G539" s="41"/>
      <c r="H539" s="41"/>
    </row>
    <row r="540" ht="15" customHeight="1" s="32">
      <c r="A540" s="39" t="inlineStr">
        <is>
          <t>attack_jet</t>
        </is>
      </c>
      <c r="B540" s="39" t="inlineStr">
        <is>
          <t>Máy bay cường kích</t>
        </is>
      </c>
      <c r="C540" s="39" t="inlineStr">
        <is>
          <t>Tên</t>
        </is>
      </c>
      <c r="D540" s="39" t="inlineStr">
        <is>
          <t>Máy bay cường kích</t>
        </is>
      </c>
      <c r="E540" s="49" t="inlineStr">
        <is>
          <t>Giữ</t>
        </is>
      </c>
      <c r="F540" s="39" t="inlineStr">
        <is>
          <t>Máy bay cường kích · ngắn: Cường kích · EN: Attack Jet</t>
        </is>
      </c>
      <c r="G540" s="39" t="inlineStr">
        <is>
          <t>Giữ.</t>
        </is>
      </c>
      <c r="H540" s="39" t="n"/>
    </row>
    <row r="541" ht="15" customHeight="1" s="32">
      <c r="A541" s="41" t="inlineStr">
        <is>
          <t>attack_jet</t>
        </is>
      </c>
      <c r="B541" s="41" t="inlineStr">
        <is>
          <t>Máy bay cường kích</t>
        </is>
      </c>
      <c r="C541" s="41" t="inlineStr">
        <is>
          <t>Máu</t>
        </is>
      </c>
      <c r="D541" s="43" t="n">
        <v>1870</v>
      </c>
      <c r="E541" s="49" t="inlineStr">
        <is>
          <t>Giữ</t>
        </is>
      </c>
      <c r="F541" s="41" t="n"/>
      <c r="G541" s="41" t="inlineStr">
        <is>
          <t>Máu/CP 1.00 × trung vị lớp Máy bay.</t>
        </is>
      </c>
      <c r="H541" s="41" t="n"/>
    </row>
    <row r="542" ht="15" customHeight="1" s="32">
      <c r="A542" s="39" t="inlineStr">
        <is>
          <t>attack_jet</t>
        </is>
      </c>
      <c r="B542" s="39" t="inlineStr">
        <is>
          <t>Máy bay cường kích</t>
        </is>
      </c>
      <c r="C542" s="39" t="inlineStr">
        <is>
          <t>Giáp (T/H/S/N)</t>
        </is>
      </c>
      <c r="D542" s="39" t="inlineStr">
        <is>
          <t>cấp 2 (Vừa)</t>
        </is>
      </c>
      <c r="E542" s="49" t="inlineStr">
        <is>
          <t>Giữ</t>
        </is>
      </c>
      <c r="F542" s="39" t="n"/>
      <c r="G542" s="39" t="inlineStr">
        <is>
          <t>Giả tưởng / máy bay; khớp vai trò.</t>
        </is>
      </c>
      <c r="H542" s="39" t="n"/>
    </row>
    <row r="543" ht="15" customHeight="1" s="32">
      <c r="A543" s="41" t="inlineStr">
        <is>
          <t>attack_jet</t>
        </is>
      </c>
      <c r="B543" s="41" t="inlineStr">
        <is>
          <t>Máy bay cường kích</t>
        </is>
      </c>
      <c r="C543" s="41" t="inlineStr">
        <is>
          <t>Tốc độ</t>
        </is>
      </c>
      <c r="D543" s="43" t="n">
        <v>32</v>
      </c>
      <c r="E543" s="49" t="inlineStr">
        <is>
          <t>Giữ</t>
        </is>
      </c>
      <c r="F543" s="41" t="n"/>
      <c r="G543" s="41" t="inlineStr">
        <is>
          <t>Gần tốc độ thật × hệ số nén (33.3).</t>
        </is>
      </c>
      <c r="H543" s="41" t="n"/>
    </row>
    <row r="544" ht="15" customHeight="1" s="32">
      <c r="A544" s="39" t="inlineStr">
        <is>
          <t>attack_jet</t>
        </is>
      </c>
      <c r="B544" s="39" t="inlineStr">
        <is>
          <t>Máy bay cường kích</t>
        </is>
      </c>
      <c r="C544" s="39" t="inlineStr">
        <is>
          <t>Kích thước model (dài × rộng × cao)</t>
        </is>
      </c>
      <c r="D544" s="39" t="inlineStr">
        <is>
          <t>6.4 × 6.0 × 1.5</t>
        </is>
      </c>
      <c r="E544" s="49" t="inlineStr">
        <is>
          <t>Giữ</t>
        </is>
      </c>
      <c r="F544" s="39" t="n"/>
      <c r="G544" s="39" t="inlineStr">
        <is>
          <t>Khớp tỷ lệ chung (mẫu thật 15.5 m).</t>
        </is>
      </c>
      <c r="H544" s="39" t="n"/>
    </row>
    <row r="545" ht="15" customHeight="1" s="32">
      <c r="A545" s="41" t="inlineStr">
        <is>
          <t>attack_jet</t>
        </is>
      </c>
      <c r="B545" s="41" t="inlineStr">
        <is>
          <t>Máy bay cường kích</t>
        </is>
      </c>
      <c r="C545" s="41" t="inlineStr">
        <is>
          <t>Tầm nhìn</t>
        </is>
      </c>
      <c r="D545" s="43" t="n">
        <v>50</v>
      </c>
      <c r="E545" s="49" t="inlineStr">
        <is>
          <t>Giữ</t>
        </is>
      </c>
      <c r="F545" s="41" t="n"/>
      <c r="G545" s="41" t="inlineStr">
        <is>
          <t>Khớp vai trò.</t>
        </is>
      </c>
      <c r="H545" s="41" t="n"/>
    </row>
    <row r="546" ht="15" customHeight="1" s="32">
      <c r="A546" s="39" t="inlineStr">
        <is>
          <t>attack_jet</t>
        </is>
      </c>
      <c r="B546" s="39" t="inlineStr">
        <is>
          <t>Máy bay cường kích</t>
        </is>
      </c>
      <c r="C546" s="39" t="inlineStr">
        <is>
          <t>Tầm bắn</t>
        </is>
      </c>
      <c r="D546" s="39" t="inlineStr">
        <is>
          <t>40</t>
        </is>
      </c>
      <c r="E546" s="49" t="inlineStr">
        <is>
          <t>Giữ</t>
        </is>
      </c>
      <c r="F546" s="39" t="n"/>
      <c r="G546" s="39" t="inlineStr">
        <is>
          <t>Thứ tự tầm hợp lý trong nhóm.</t>
        </is>
      </c>
      <c r="H546" s="39" t="n"/>
    </row>
    <row r="547" ht="15" customHeight="1" s="32">
      <c r="A547" s="41" t="inlineStr">
        <is>
          <t>attack_jet</t>
        </is>
      </c>
      <c r="B547" s="41" t="inlineStr">
        <is>
          <t>Máy bay cường kích</t>
        </is>
      </c>
      <c r="C547" s="41" t="inlineStr">
        <is>
          <t>Giá (CP)</t>
        </is>
      </c>
      <c r="D547" s="43" t="n">
        <v>16</v>
      </c>
      <c r="E547" s="47" t="inlineStr">
        <is>
          <t>Đổi</t>
        </is>
      </c>
      <c r="F547" s="41" t="inlineStr">
        <is>
          <t>18 CP</t>
        </is>
      </c>
      <c r="G547" s="41" t="inlineStr">
        <is>
          <t>Mạnh nhất nhóm máy bay tính theo CP.</t>
        </is>
      </c>
      <c r="H547" s="47" t="inlineStr">
        <is>
          <t>Cao</t>
        </is>
      </c>
    </row>
    <row r="548" ht="15" customHeight="1" s="32">
      <c r="A548" s="39" t="inlineStr">
        <is>
          <t>attack_jet</t>
        </is>
      </c>
      <c r="B548" s="39" t="inlineStr">
        <is>
          <t>Máy bay cường kích</t>
        </is>
      </c>
      <c r="C548" s="39" t="inlineStr">
        <is>
          <t>Vũ khí: FAB-250</t>
        </is>
      </c>
      <c r="D548" s="39" t="inlineStr">
        <is>
          <t>2 quả mỗi lần đầy đạn</t>
        </is>
      </c>
      <c r="E548" s="47" t="inlineStr">
        <is>
          <t>Đổi</t>
        </is>
      </c>
      <c r="F548" s="39" t="inlineStr">
        <is>
          <t>1 quả</t>
        </is>
      </c>
      <c r="G548" s="39" t="inlineStr">
        <is>
          <t>Giá trị lên công sự 1.156 cao nhất nhóm cùng giá.</t>
        </is>
      </c>
      <c r="H548" s="47" t="inlineStr">
        <is>
          <t>Cao</t>
        </is>
      </c>
    </row>
    <row r="549" ht="21.75" customHeight="1" s="32">
      <c r="A549" s="41" t="inlineStr">
        <is>
          <t>attack_jet</t>
        </is>
      </c>
      <c r="B549" s="41" t="inlineStr">
        <is>
          <t>Máy bay cường kích</t>
        </is>
      </c>
      <c r="C549" s="41" t="inlineStr">
        <is>
          <t>Vũ khí: Kh-29L, R-60</t>
        </is>
      </c>
      <c r="D549" s="41" t="inlineStr">
        <is>
          <t>tốc độ 10 (bay 4 s và 2,8 s, chậm như drone)</t>
        </is>
      </c>
      <c r="E549" s="47" t="inlineStr">
        <is>
          <t>Đổi</t>
        </is>
      </c>
      <c r="F549" s="41" t="inlineStr">
        <is>
          <t>Kh-29L: 32 (bay 1,25 s) · R-60: 42</t>
        </is>
      </c>
      <c r="G549" s="41" t="inlineStr">
        <is>
          <t>Tên lửa không đối đất nặng và tên lửa không đối không đang chậm nhất game.</t>
        </is>
      </c>
      <c r="H549" s="47" t="inlineStr">
        <is>
          <t>Cao</t>
        </is>
      </c>
    </row>
    <row r="550" ht="15" customHeight="1" s="32">
      <c r="A550" s="39" t="inlineStr">
        <is>
          <t>attack_jet</t>
        </is>
      </c>
      <c r="B550" s="39" t="inlineStr">
        <is>
          <t>Máy bay cường kích</t>
        </is>
      </c>
      <c r="C550" s="39" t="inlineStr">
        <is>
          <t>Vũ khí: GSh-30-2</t>
        </is>
      </c>
      <c r="D550" s="39" t="inlineStr">
        <is>
          <t>băng 94 viên</t>
        </is>
      </c>
      <c r="E550" s="47" t="inlineStr">
        <is>
          <t>Đổi</t>
        </is>
      </c>
      <c r="F550" s="39" t="inlineStr">
        <is>
          <t>băng 70 viên, nạp 1,5 s</t>
        </is>
      </c>
      <c r="G550" s="39" t="inlineStr">
        <is>
          <t>Lần cân bằng 2: vẫn mạnh sau khi tăng giá và bớt bom.</t>
        </is>
      </c>
      <c r="H550" s="48" t="inlineStr">
        <is>
          <t>Trung</t>
        </is>
      </c>
    </row>
    <row r="551" ht="32.25" customHeight="1" s="32">
      <c r="A551" s="41" t="inlineStr">
        <is>
          <t>attack_jet</t>
        </is>
      </c>
      <c r="B551" s="41" t="inlineStr">
        <is>
          <t>Máy bay cường kích</t>
        </is>
      </c>
      <c r="C551" s="41" t="inlineStr">
        <is>
          <t>Hành vi</t>
        </is>
      </c>
      <c r="D551" s="41" t="inlineStr">
        <is>
          <t>Bổ nhào xả hỏa lực vào mục tiêu, rồi vòng lại lượt khác; Sau mỗi lượt nó vòng lạ</t>
        </is>
      </c>
      <c r="E551" s="49" t="inlineStr">
        <is>
          <t>Giữ</t>
        </is>
      </c>
      <c r="F551" s="41" t="n"/>
      <c r="G551" s="41" t="inlineStr">
        <is>
          <t>Hợp vai trò.</t>
        </is>
      </c>
      <c r="H551" s="41" t="n"/>
    </row>
    <row r="552" ht="15" customHeight="1" s="32">
      <c r="A552" s="39" t="inlineStr">
        <is>
          <t>attack_jet</t>
        </is>
      </c>
      <c r="B552" s="39" t="inlineStr">
        <is>
          <t>Máy bay cường kích</t>
        </is>
      </c>
      <c r="C552" s="39" t="inlineStr">
        <is>
          <t>Nổ khi bị phá (bán kính)</t>
        </is>
      </c>
      <c r="D552" s="39" t="inlineStr">
        <is>
          <t>7 m · 190 sát thương</t>
        </is>
      </c>
      <c r="E552" s="49" t="inlineStr">
        <is>
          <t>Giữ</t>
        </is>
      </c>
      <c r="F552" s="39" t="n"/>
      <c r="G552" s="39" t="inlineStr">
        <is>
          <t>Hợp với cỡ xe.</t>
        </is>
      </c>
      <c r="H552" s="39" t="n"/>
    </row>
    <row r="553" ht="32.25" customHeight="1" s="32">
      <c r="A553" s="41" t="inlineStr">
        <is>
          <t>attack_jet</t>
        </is>
      </c>
      <c r="B553" s="41" t="inlineStr">
        <is>
          <t>Máy bay cường kích</t>
        </is>
      </c>
      <c r="C553" s="41" t="inlineStr">
        <is>
          <t>Tham khảo / model</t>
        </is>
      </c>
      <c r="D553" s="41" t="inlineStr">
        <is>
          <t>Su-25 Frogfoot, A-10 Thunderbolt II (model tank_buster), GSh-30-2 30 mm — Máy bay cường kí</t>
        </is>
      </c>
      <c r="E553" s="49" t="inlineStr">
        <is>
          <t>Giữ</t>
        </is>
      </c>
      <c r="F553" s="41" t="n"/>
      <c r="G553" s="41" t="inlineStr">
        <is>
          <t>Khớp vũ khí và vai trò.</t>
        </is>
      </c>
      <c r="H553" s="41" t="n"/>
    </row>
    <row r="554" ht="21.75" customHeight="1" s="32">
      <c r="A554" s="39" t="inlineStr">
        <is>
          <t>stealth_bomber</t>
        </is>
      </c>
      <c r="B554" s="39" t="inlineStr">
        <is>
          <t>Máy bay ném bom tàng hình</t>
        </is>
      </c>
      <c r="C554" s="39" t="inlineStr">
        <is>
          <t>Tên</t>
        </is>
      </c>
      <c r="D554" s="39" t="inlineStr">
        <is>
          <t>Máy bay ném bom tàng hình</t>
        </is>
      </c>
      <c r="E554" s="47" t="inlineStr">
        <is>
          <t>Đổi</t>
        </is>
      </c>
      <c r="F554" s="39" t="inlineStr">
        <is>
          <t>Oanh tạc cơ tàng hình · ngắn: OTC tàng hình · EN: Stealth Bomber</t>
        </is>
      </c>
      <c r="G554" s="39" t="inlineStr">
        <is>
          <t>Thống nhất gốc "oanh tạc cơ" với Oanh tạc cơ.</t>
        </is>
      </c>
      <c r="H554" s="49" t="inlineStr">
        <is>
          <t>Thấp</t>
        </is>
      </c>
    </row>
    <row r="555" ht="15" customHeight="1" s="32">
      <c r="A555" s="41" t="inlineStr">
        <is>
          <t>stealth_bomber</t>
        </is>
      </c>
      <c r="B555" s="41" t="inlineStr">
        <is>
          <t>Máy bay ném bom tàng hình</t>
        </is>
      </c>
      <c r="C555" s="41" t="inlineStr">
        <is>
          <t>Máu</t>
        </is>
      </c>
      <c r="D555" s="43" t="n">
        <v>1980</v>
      </c>
      <c r="E555" s="49" t="inlineStr">
        <is>
          <t>Giữ</t>
        </is>
      </c>
      <c r="F555" s="41" t="n"/>
      <c r="G555" s="41" t="inlineStr">
        <is>
          <t>Máu/CP 0.94 × trung vị lớp Máy bay.</t>
        </is>
      </c>
      <c r="H555" s="41" t="n"/>
    </row>
    <row r="556" ht="15" customHeight="1" s="32">
      <c r="A556" s="39" t="inlineStr">
        <is>
          <t>stealth_bomber</t>
        </is>
      </c>
      <c r="B556" s="39" t="inlineStr">
        <is>
          <t>Máy bay ném bom tàng hình</t>
        </is>
      </c>
      <c r="C556" s="39" t="inlineStr">
        <is>
          <t>Giáp (T/H/S/N)</t>
        </is>
      </c>
      <c r="D556" s="39" t="inlineStr">
        <is>
          <t>cấp 0 (Không giáp)</t>
        </is>
      </c>
      <c r="E556" s="49" t="inlineStr">
        <is>
          <t>Giữ</t>
        </is>
      </c>
      <c r="F556" s="39" t="n"/>
      <c r="G556" s="39" t="inlineStr">
        <is>
          <t>Khớp mẫu thật theo thang 0–4.</t>
        </is>
      </c>
      <c r="H556" s="39" t="n"/>
    </row>
    <row r="557" ht="15" customHeight="1" s="32">
      <c r="A557" s="41" t="inlineStr">
        <is>
          <t>stealth_bomber</t>
        </is>
      </c>
      <c r="B557" s="41" t="inlineStr">
        <is>
          <t>Máy bay ném bom tàng hình</t>
        </is>
      </c>
      <c r="C557" s="41" t="inlineStr">
        <is>
          <t>Tốc độ</t>
        </is>
      </c>
      <c r="D557" s="43" t="n">
        <v>28</v>
      </c>
      <c r="E557" s="49" t="inlineStr">
        <is>
          <t>Giữ</t>
        </is>
      </c>
      <c r="F557" s="41" t="n"/>
      <c r="G557" s="41" t="inlineStr">
        <is>
          <t>Gần tốc độ thật × hệ số nén (40.0).</t>
        </is>
      </c>
      <c r="H557" s="41" t="n"/>
    </row>
    <row r="558" ht="15" customHeight="1" s="32">
      <c r="A558" s="39" t="inlineStr">
        <is>
          <t>stealth_bomber</t>
        </is>
      </c>
      <c r="B558" s="39" t="inlineStr">
        <is>
          <t>Máy bay ném bom tàng hình</t>
        </is>
      </c>
      <c r="C558" s="39" t="inlineStr">
        <is>
          <t>Kích thước model (dài × rộng × cao)</t>
        </is>
      </c>
      <c r="D558" s="39" t="inlineStr">
        <is>
          <t>7.0 × 17.6 × 2.0</t>
        </is>
      </c>
      <c r="E558" s="49" t="inlineStr">
        <is>
          <t>Giữ</t>
        </is>
      </c>
      <c r="F558" s="39" t="n"/>
      <c r="G558" s="39" t="inlineStr">
        <is>
          <t>Khớp tỷ lệ chung (mẫu thật 21.0 m).</t>
        </is>
      </c>
      <c r="H558" s="39" t="n"/>
    </row>
    <row r="559" ht="15" customHeight="1" s="32">
      <c r="A559" s="41" t="inlineStr">
        <is>
          <t>stealth_bomber</t>
        </is>
      </c>
      <c r="B559" s="41" t="inlineStr">
        <is>
          <t>Máy bay ném bom tàng hình</t>
        </is>
      </c>
      <c r="C559" s="41" t="inlineStr">
        <is>
          <t>Tầm nhìn</t>
        </is>
      </c>
      <c r="D559" s="43" t="n">
        <v>60</v>
      </c>
      <c r="E559" s="49" t="inlineStr">
        <is>
          <t>Giữ</t>
        </is>
      </c>
      <c r="F559" s="41" t="n"/>
      <c r="G559" s="41" t="inlineStr">
        <is>
          <t>Khớp vai trò.</t>
        </is>
      </c>
      <c r="H559" s="41" t="n"/>
    </row>
    <row r="560" ht="15" customHeight="1" s="32">
      <c r="A560" s="39" t="inlineStr">
        <is>
          <t>stealth_bomber</t>
        </is>
      </c>
      <c r="B560" s="39" t="inlineStr">
        <is>
          <t>Máy bay ném bom tàng hình</t>
        </is>
      </c>
      <c r="C560" s="39" t="inlineStr">
        <is>
          <t>Tầm bắn</t>
        </is>
      </c>
      <c r="D560" s="39" t="inlineStr">
        <is>
          <t>90</t>
        </is>
      </c>
      <c r="E560" s="49" t="inlineStr">
        <is>
          <t>Giữ</t>
        </is>
      </c>
      <c r="F560" s="39" t="n"/>
      <c r="G560" s="39" t="inlineStr">
        <is>
          <t>Thứ tự tầm hợp lý trong nhóm.</t>
        </is>
      </c>
      <c r="H560" s="39" t="n"/>
    </row>
    <row r="561" ht="21.75" customHeight="1" s="32">
      <c r="A561" s="41" t="inlineStr">
        <is>
          <t>stealth_bomber</t>
        </is>
      </c>
      <c r="B561" s="41" t="inlineStr">
        <is>
          <t>Máy bay ném bom tàng hình</t>
        </is>
      </c>
      <c r="C561" s="41" t="inlineStr">
        <is>
          <t>Giá (CP)</t>
        </is>
      </c>
      <c r="D561" s="43" t="n">
        <v>18</v>
      </c>
      <c r="E561" s="47" t="inlineStr">
        <is>
          <t>Đổi</t>
        </is>
      </c>
      <c r="F561" s="41" t="inlineStr">
        <is>
          <t>21 CP</t>
        </is>
      </c>
      <c r="G561" s="41" t="inlineStr">
        <is>
          <t>Máy bay ném bom tàng hình đắt nhất thế giới lại rẻ hơn B-52; hiệu quả sau đổi giá vẫn gần trung vị.</t>
        </is>
      </c>
      <c r="H561" s="48" t="inlineStr">
        <is>
          <t>Trung</t>
        </is>
      </c>
    </row>
    <row r="562" ht="15" customHeight="1" s="32">
      <c r="A562" s="39" t="inlineStr">
        <is>
          <t>stealth_bomber</t>
        </is>
      </c>
      <c r="B562" s="39" t="inlineStr">
        <is>
          <t>Máy bay ném bom tàng hình</t>
        </is>
      </c>
      <c r="C562" s="39" t="inlineStr">
        <is>
          <t>Vũ khí: JASSM</t>
        </is>
      </c>
      <c r="D562" s="39" t="inlineStr">
        <is>
          <t>nổ lan 5 m · tốc độ 17</t>
        </is>
      </c>
      <c r="E562" s="47" t="inlineStr">
        <is>
          <t>Đổi</t>
        </is>
      </c>
      <c r="F562" s="39" t="inlineStr">
        <is>
          <t>nổ lan 9 m · tốc độ 20 (bay 4,5 s, đủ để bị đánh chặn)</t>
        </is>
      </c>
      <c r="G562" s="39" t="inlineStr">
        <is>
          <t>Đầu nổ 450 kg đang nổ nhỏ hơn bom 250 kg.</t>
        </is>
      </c>
      <c r="H562" s="48" t="inlineStr">
        <is>
          <t>Trung</t>
        </is>
      </c>
    </row>
    <row r="563" ht="32.25" customHeight="1" s="32">
      <c r="A563" s="41" t="inlineStr">
        <is>
          <t>stealth_bomber</t>
        </is>
      </c>
      <c r="B563" s="41" t="inlineStr">
        <is>
          <t>Máy bay ném bom tàng hình</t>
        </is>
      </c>
      <c r="C563" s="41" t="inlineStr">
        <is>
          <t>Hành vi</t>
        </is>
      </c>
      <c r="D563" s="41" t="inlineStr">
        <is>
          <t>Bay qua mục tiêu và thả bom theo lượt; Sau mỗi lượt nó vòng lại và vào lượt mới;</t>
        </is>
      </c>
      <c r="E563" s="49" t="inlineStr">
        <is>
          <t>Giữ</t>
        </is>
      </c>
      <c r="F563" s="41" t="n"/>
      <c r="G563" s="41" t="inlineStr">
        <is>
          <t>Hợp vai trò.</t>
        </is>
      </c>
      <c r="H563" s="41" t="n"/>
    </row>
    <row r="564" ht="15" customHeight="1" s="32">
      <c r="A564" s="39" t="inlineStr">
        <is>
          <t>stealth_bomber</t>
        </is>
      </c>
      <c r="B564" s="39" t="inlineStr">
        <is>
          <t>Máy bay ném bom tàng hình</t>
        </is>
      </c>
      <c r="C564" s="39" t="inlineStr">
        <is>
          <t>Nổ khi bị phá (bán kính)</t>
        </is>
      </c>
      <c r="D564" s="39" t="inlineStr">
        <is>
          <t>9 m · 300 sát thương</t>
        </is>
      </c>
      <c r="E564" s="49" t="inlineStr">
        <is>
          <t>Giữ</t>
        </is>
      </c>
      <c r="F564" s="39" t="n"/>
      <c r="G564" s="39" t="inlineStr">
        <is>
          <t>Hợp với cỡ xe.</t>
        </is>
      </c>
      <c r="H564" s="39" t="n"/>
    </row>
    <row r="565" ht="32.25" customHeight="1" s="32">
      <c r="A565" s="41" t="inlineStr">
        <is>
          <t>stealth_bomber</t>
        </is>
      </c>
      <c r="B565" s="41" t="inlineStr">
        <is>
          <t>Máy bay ném bom tàng hình</t>
        </is>
      </c>
      <c r="C565" s="41" t="inlineStr">
        <is>
          <t>Tham khảo / model</t>
        </is>
      </c>
      <c r="D565" s="41" t="inlineStr">
        <is>
          <t>B-2 Spirit, GBU-31 JDAM, AGM-158 JASSM — Máy bay ném bom tàng hình cánh bay</t>
        </is>
      </c>
      <c r="E565" s="49" t="inlineStr">
        <is>
          <t>Giữ</t>
        </is>
      </c>
      <c r="F565" s="41" t="n"/>
      <c r="G565" s="41" t="inlineStr">
        <is>
          <t>Khớp vũ khí và vai trò.</t>
        </is>
      </c>
      <c r="H565" s="41" t="n"/>
    </row>
    <row r="566" ht="21.75" customHeight="1" s="32">
      <c r="A566" s="39" t="inlineStr">
        <is>
          <t>heavy_bomber</t>
        </is>
      </c>
      <c r="B566" s="39" t="inlineStr">
        <is>
          <t>Oanh tạc cơ hạng nặng</t>
        </is>
      </c>
      <c r="C566" s="39" t="inlineStr">
        <is>
          <t>Tên</t>
        </is>
      </c>
      <c r="D566" s="39" t="inlineStr">
        <is>
          <t>Oanh tạc cơ hạng nặng</t>
        </is>
      </c>
      <c r="E566" s="47" t="inlineStr">
        <is>
          <t>Đổi</t>
        </is>
      </c>
      <c r="F566" s="39" t="inlineStr">
        <is>
          <t>Oanh tạc cơ chiến lược · ngắn: Oanh tạc cơ · EN: Strategic Bomber</t>
        </is>
      </c>
      <c r="G566" s="39" t="inlineStr">
        <is>
          <t>"Chiến lược" đúng phân loại B-52.</t>
        </is>
      </c>
      <c r="H566" s="49" t="inlineStr">
        <is>
          <t>Thấp</t>
        </is>
      </c>
    </row>
    <row r="567" ht="15" customHeight="1" s="32">
      <c r="A567" s="41" t="inlineStr">
        <is>
          <t>heavy_bomber</t>
        </is>
      </c>
      <c r="B567" s="41" t="inlineStr">
        <is>
          <t>Oanh tạc cơ hạng nặng</t>
        </is>
      </c>
      <c r="C567" s="41" t="inlineStr">
        <is>
          <t>Máu</t>
        </is>
      </c>
      <c r="D567" s="43" t="n">
        <v>3300</v>
      </c>
      <c r="E567" s="49" t="inlineStr">
        <is>
          <t>Giữ</t>
        </is>
      </c>
      <c r="F567" s="41" t="n"/>
      <c r="G567" s="41" t="inlineStr">
        <is>
          <t>Máu/CP 1.28 × trung vị lớp Máy bay.</t>
        </is>
      </c>
      <c r="H567" s="41" t="n"/>
    </row>
    <row r="568" ht="15" customHeight="1" s="32">
      <c r="A568" s="39" t="inlineStr">
        <is>
          <t>heavy_bomber</t>
        </is>
      </c>
      <c r="B568" s="39" t="inlineStr">
        <is>
          <t>Oanh tạc cơ hạng nặng</t>
        </is>
      </c>
      <c r="C568" s="39" t="inlineStr">
        <is>
          <t>Giáp (T/H/S/N)</t>
        </is>
      </c>
      <c r="D568" s="39" t="inlineStr">
        <is>
          <t>cấp 0 (Không giáp)</t>
        </is>
      </c>
      <c r="E568" s="49" t="inlineStr">
        <is>
          <t>Giữ</t>
        </is>
      </c>
      <c r="F568" s="39" t="n"/>
      <c r="G568" s="39" t="inlineStr">
        <is>
          <t>Khớp mẫu thật theo thang 0–4.</t>
        </is>
      </c>
      <c r="H568" s="39" t="n"/>
    </row>
    <row r="569" ht="15" customHeight="1" s="32">
      <c r="A569" s="41" t="inlineStr">
        <is>
          <t>heavy_bomber</t>
        </is>
      </c>
      <c r="B569" s="41" t="inlineStr">
        <is>
          <t>Oanh tạc cơ hạng nặng</t>
        </is>
      </c>
      <c r="C569" s="41" t="inlineStr">
        <is>
          <t>Tốc độ</t>
        </is>
      </c>
      <c r="D569" s="43" t="n">
        <v>22</v>
      </c>
      <c r="E569" s="49" t="inlineStr">
        <is>
          <t>Giữ</t>
        </is>
      </c>
      <c r="F569" s="41" t="n"/>
      <c r="G569" s="41" t="inlineStr">
        <is>
          <t>Oanh tạc cơ thật gần nhanh như tiêm kích, nhưng giữ chậm để phòng không có cơ hội: giữ.</t>
        </is>
      </c>
      <c r="H569" s="41" t="n"/>
    </row>
    <row r="570" ht="15" customHeight="1" s="32">
      <c r="A570" s="39" t="inlineStr">
        <is>
          <t>heavy_bomber</t>
        </is>
      </c>
      <c r="B570" s="39" t="inlineStr">
        <is>
          <t>Oanh tạc cơ hạng nặng</t>
        </is>
      </c>
      <c r="C570" s="39" t="inlineStr">
        <is>
          <t>Kích thước model (dài × rộng × cao)</t>
        </is>
      </c>
      <c r="D570" s="39" t="inlineStr">
        <is>
          <t>17.9 × 18.7 × 6.1</t>
        </is>
      </c>
      <c r="E570" s="49" t="inlineStr">
        <is>
          <t>Giữ</t>
        </is>
      </c>
      <c r="F570" s="39" t="n"/>
      <c r="G570" s="39" t="inlineStr">
        <is>
          <t>Khớp tỷ lệ chung (mẫu thật 48.5 m).</t>
        </is>
      </c>
      <c r="H570" s="39" t="n"/>
    </row>
    <row r="571" ht="15" customHeight="1" s="32">
      <c r="A571" s="41" t="inlineStr">
        <is>
          <t>heavy_bomber</t>
        </is>
      </c>
      <c r="B571" s="41" t="inlineStr">
        <is>
          <t>Oanh tạc cơ hạng nặng</t>
        </is>
      </c>
      <c r="C571" s="41" t="inlineStr">
        <is>
          <t>Tầm nhìn</t>
        </is>
      </c>
      <c r="D571" s="43" t="n">
        <v>50</v>
      </c>
      <c r="E571" s="49" t="inlineStr">
        <is>
          <t>Giữ</t>
        </is>
      </c>
      <c r="F571" s="41" t="n"/>
      <c r="G571" s="41" t="inlineStr">
        <is>
          <t>Khớp vai trò.</t>
        </is>
      </c>
      <c r="H571" s="41" t="n"/>
    </row>
    <row r="572" ht="15" customHeight="1" s="32">
      <c r="A572" s="39" t="inlineStr">
        <is>
          <t>heavy_bomber</t>
        </is>
      </c>
      <c r="B572" s="39" t="inlineStr">
        <is>
          <t>Oanh tạc cơ hạng nặng</t>
        </is>
      </c>
      <c r="C572" s="39" t="inlineStr">
        <is>
          <t>Tầm bắn</t>
        </is>
      </c>
      <c r="D572" s="39" t="inlineStr">
        <is>
          <t>110</t>
        </is>
      </c>
      <c r="E572" s="49" t="inlineStr">
        <is>
          <t>Giữ</t>
        </is>
      </c>
      <c r="F572" s="39" t="n"/>
      <c r="G572" s="39" t="inlineStr">
        <is>
          <t>Thứ tự tầm hợp lý trong nhóm.</t>
        </is>
      </c>
      <c r="H572" s="39" t="n"/>
    </row>
    <row r="573" ht="15" customHeight="1" s="32">
      <c r="A573" s="41" t="inlineStr">
        <is>
          <t>heavy_bomber</t>
        </is>
      </c>
      <c r="B573" s="41" t="inlineStr">
        <is>
          <t>Oanh tạc cơ hạng nặng</t>
        </is>
      </c>
      <c r="C573" s="41" t="inlineStr">
        <is>
          <t>Giá (CP)</t>
        </is>
      </c>
      <c r="D573" s="43" t="n">
        <v>22</v>
      </c>
      <c r="E573" s="49" t="inlineStr">
        <is>
          <t>Giữ</t>
        </is>
      </c>
      <c r="F573" s="41" t="n"/>
      <c r="G573" s="41" t="inlineStr">
        <is>
          <t>Hiệu quả trong khoảng ±25% trung vị, thứ tự giá hợp ngoài đời (sheet Giá CP).</t>
        </is>
      </c>
      <c r="H573" s="41" t="n"/>
    </row>
    <row r="574" ht="15" customHeight="1" s="32">
      <c r="A574" s="39" t="inlineStr">
        <is>
          <t>heavy_bomber</t>
        </is>
      </c>
      <c r="B574" s="39" t="inlineStr">
        <is>
          <t>Oanh tạc cơ hạng nặng</t>
        </is>
      </c>
      <c r="C574" s="39" t="inlineStr">
        <is>
          <t>Vũ khí: Kh-101</t>
        </is>
      </c>
      <c r="D574" s="39" t="inlineStr">
        <is>
          <t>nổ lan 6 m · tốc độ 17</t>
        </is>
      </c>
      <c r="E574" s="47" t="inlineStr">
        <is>
          <t>Đổi</t>
        </is>
      </c>
      <c r="F574" s="39" t="inlineStr">
        <is>
          <t>nổ lan 9 m · tốc độ 22 (bay 5 s)</t>
        </is>
      </c>
      <c r="G574" s="39" t="inlineStr">
        <is>
          <t>Như JASSM.</t>
        </is>
      </c>
      <c r="H574" s="48" t="inlineStr">
        <is>
          <t>Trung</t>
        </is>
      </c>
    </row>
    <row r="575" ht="15" customHeight="1" s="32">
      <c r="A575" s="41" t="inlineStr">
        <is>
          <t>heavy_bomber</t>
        </is>
      </c>
      <c r="B575" s="41" t="inlineStr">
        <is>
          <t>Oanh tạc cơ hạng nặng</t>
        </is>
      </c>
      <c r="C575" s="41" t="inlineStr">
        <is>
          <t>Vũ khí: FAB-500</t>
        </is>
      </c>
      <c r="D575" s="41" t="inlineStr">
        <is>
          <t>9 quả mỗi lượt</t>
        </is>
      </c>
      <c r="E575" s="47" t="inlineStr">
        <is>
          <t>Đổi</t>
        </is>
      </c>
      <c r="F575" s="41" t="inlineStr">
        <is>
          <t>7 quả mỗi lượt</t>
        </is>
      </c>
      <c r="G575" s="41" t="inlineStr">
        <is>
          <t>Lần cân bằng 2: vẫn mạnh hơn trung vị máy bay cả khi đo DPS và giá trị thực chiến.</t>
        </is>
      </c>
      <c r="H575" s="48" t="inlineStr">
        <is>
          <t>Trung</t>
        </is>
      </c>
    </row>
    <row r="576" ht="32.25" customHeight="1" s="32">
      <c r="A576" s="39" t="inlineStr">
        <is>
          <t>heavy_bomber</t>
        </is>
      </c>
      <c r="B576" s="39" t="inlineStr">
        <is>
          <t>Oanh tạc cơ hạng nặng</t>
        </is>
      </c>
      <c r="C576" s="39" t="inlineStr">
        <is>
          <t>Hành vi</t>
        </is>
      </c>
      <c r="D576" s="39" t="inlineStr">
        <is>
          <t>Bay qua mục tiêu và thả bom theo lượt; Sau mỗi lượt nó vòng lại và vào lượt mới;</t>
        </is>
      </c>
      <c r="E576" s="49" t="inlineStr">
        <is>
          <t>Giữ</t>
        </is>
      </c>
      <c r="F576" s="39" t="n"/>
      <c r="G576" s="39" t="inlineStr">
        <is>
          <t>Hợp vai trò.</t>
        </is>
      </c>
      <c r="H576" s="39" t="n"/>
    </row>
    <row r="577" ht="15" customHeight="1" s="32">
      <c r="A577" s="41" t="inlineStr">
        <is>
          <t>heavy_bomber</t>
        </is>
      </c>
      <c r="B577" s="41" t="inlineStr">
        <is>
          <t>Oanh tạc cơ hạng nặng</t>
        </is>
      </c>
      <c r="C577" s="41" t="inlineStr">
        <is>
          <t>Nổ khi bị phá (bán kính)</t>
        </is>
      </c>
      <c r="D577" s="41" t="inlineStr">
        <is>
          <t>10 m · 400 sát thương</t>
        </is>
      </c>
      <c r="E577" s="49" t="inlineStr">
        <is>
          <t>Giữ</t>
        </is>
      </c>
      <c r="F577" s="41" t="n"/>
      <c r="G577" s="41" t="inlineStr">
        <is>
          <t>Hợp với cỡ xe.</t>
        </is>
      </c>
      <c r="H577" s="41" t="n"/>
    </row>
    <row r="578" ht="32.25" customHeight="1" s="32">
      <c r="A578" s="39" t="inlineStr">
        <is>
          <t>heavy_bomber</t>
        </is>
      </c>
      <c r="B578" s="39" t="inlineStr">
        <is>
          <t>Oanh tạc cơ hạng nặng</t>
        </is>
      </c>
      <c r="C578" s="39" t="inlineStr">
        <is>
          <t>Tham khảo / model</t>
        </is>
      </c>
      <c r="D578" s="39" t="inlineStr">
        <is>
          <t>B-52 Stratofortress, FAB-500, Kh-101 — Máy bay ném bom chiến lược tám động cơ</t>
        </is>
      </c>
      <c r="E578" s="49" t="inlineStr">
        <is>
          <t>Giữ</t>
        </is>
      </c>
      <c r="F578" s="39" t="n"/>
      <c r="G578" s="39" t="inlineStr">
        <is>
          <t>Khớp vũ khí và vai trò.</t>
        </is>
      </c>
      <c r="H578" s="39" t="n"/>
    </row>
    <row r="579" ht="15" customHeight="1" s="32">
      <c r="A579" s="41" t="inlineStr">
        <is>
          <t>sky_gunship</t>
        </is>
      </c>
      <c r="B579" s="41" t="inlineStr">
        <is>
          <t>Pháo hạm AC-130</t>
        </is>
      </c>
      <c r="C579" s="41" t="inlineStr">
        <is>
          <t>Tên</t>
        </is>
      </c>
      <c r="D579" s="41" t="inlineStr">
        <is>
          <t>Pháo hạm AC-130</t>
        </is>
      </c>
      <c r="E579" s="47" t="inlineStr">
        <is>
          <t>Đổi</t>
        </is>
      </c>
      <c r="F579" s="41" t="inlineStr">
        <is>
          <t>Pháo hạm bay · ngắn: Pháo hạm · EN: Airborne Gunship</t>
        </is>
      </c>
      <c r="G579" s="41" t="inlineStr">
        <is>
          <t>Bỏ tên thật "AC-130" khỏi tên thẻ (đưa vào dòng phụ).</t>
        </is>
      </c>
      <c r="H579" s="49" t="inlineStr">
        <is>
          <t>Thấp</t>
        </is>
      </c>
    </row>
    <row r="580" ht="21.75" customHeight="1" s="32">
      <c r="A580" s="39" t="inlineStr">
        <is>
          <t>sky_gunship</t>
        </is>
      </c>
      <c r="B580" s="39" t="inlineStr">
        <is>
          <t>Pháo hạm AC-130</t>
        </is>
      </c>
      <c r="C580" s="39" t="inlineStr">
        <is>
          <t>Máu</t>
        </is>
      </c>
      <c r="D580" s="42" t="n">
        <v>4400</v>
      </c>
      <c r="E580" s="48" t="inlineStr">
        <is>
          <t>Xem lại</t>
        </is>
      </c>
      <c r="F580" s="39" t="inlineStr">
        <is>
          <t>Máu/CP gấp 1.7 lần trung vị lớp; giữ nếu đó là bản sắc (xe chịu đòn)</t>
        </is>
      </c>
      <c r="G580" s="39" t="inlineStr">
        <is>
          <t>Kiểm tra theo trung vị máu/CP của lớp.</t>
        </is>
      </c>
      <c r="H580" s="39" t="n"/>
    </row>
    <row r="581" ht="15" customHeight="1" s="32">
      <c r="A581" s="41" t="inlineStr">
        <is>
          <t>sky_gunship</t>
        </is>
      </c>
      <c r="B581" s="41" t="inlineStr">
        <is>
          <t>Pháo hạm AC-130</t>
        </is>
      </c>
      <c r="C581" s="41" t="inlineStr">
        <is>
          <t>Giáp (T/H/S/N)</t>
        </is>
      </c>
      <c r="D581" s="41" t="inlineStr">
        <is>
          <t>cấp 0 (Không giáp)</t>
        </is>
      </c>
      <c r="E581" s="49" t="inlineStr">
        <is>
          <t>Giữ</t>
        </is>
      </c>
      <c r="F581" s="41" t="n"/>
      <c r="G581" s="41" t="inlineStr">
        <is>
          <t>Khớp mẫu thật theo thang 0–4.</t>
        </is>
      </c>
      <c r="H581" s="41" t="n"/>
    </row>
    <row r="582" ht="15" customHeight="1" s="32">
      <c r="A582" s="39" t="inlineStr">
        <is>
          <t>sky_gunship</t>
        </is>
      </c>
      <c r="B582" s="39" t="inlineStr">
        <is>
          <t>Pháo hạm AC-130</t>
        </is>
      </c>
      <c r="C582" s="39" t="inlineStr">
        <is>
          <t>Tốc độ</t>
        </is>
      </c>
      <c r="D582" s="42" t="n">
        <v>16</v>
      </c>
      <c r="E582" s="49" t="inlineStr">
        <is>
          <t>Giữ</t>
        </is>
      </c>
      <c r="F582" s="39" t="n"/>
      <c r="G582" s="39" t="inlineStr">
        <is>
          <t>Gần tốc độ thật × hệ số nén (21.3).</t>
        </is>
      </c>
      <c r="H582" s="39" t="n"/>
    </row>
    <row r="583" ht="15" customHeight="1" s="32">
      <c r="A583" s="41" t="inlineStr">
        <is>
          <t>sky_gunship</t>
        </is>
      </c>
      <c r="B583" s="41" t="inlineStr">
        <is>
          <t>Pháo hạm AC-130</t>
        </is>
      </c>
      <c r="C583" s="41" t="inlineStr">
        <is>
          <t>Kích thước model (dài × rộng × cao)</t>
        </is>
      </c>
      <c r="D583" s="41" t="inlineStr">
        <is>
          <t>12.2 × 15.4 × 5.0</t>
        </is>
      </c>
      <c r="E583" s="49" t="inlineStr">
        <is>
          <t>Giữ</t>
        </is>
      </c>
      <c r="F583" s="41" t="n"/>
      <c r="G583" s="41" t="inlineStr">
        <is>
          <t>Khớp tỷ lệ chung (mẫu thật 29.8 m).</t>
        </is>
      </c>
      <c r="H583" s="41" t="n"/>
    </row>
    <row r="584" ht="15" customHeight="1" s="32">
      <c r="A584" s="39" t="inlineStr">
        <is>
          <t>sky_gunship</t>
        </is>
      </c>
      <c r="B584" s="39" t="inlineStr">
        <is>
          <t>Pháo hạm AC-130</t>
        </is>
      </c>
      <c r="C584" s="39" t="inlineStr">
        <is>
          <t>Tầm nhìn</t>
        </is>
      </c>
      <c r="D584" s="42" t="n">
        <v>64</v>
      </c>
      <c r="E584" s="49" t="inlineStr">
        <is>
          <t>Giữ</t>
        </is>
      </c>
      <c r="F584" s="39" t="n"/>
      <c r="G584" s="39" t="inlineStr">
        <is>
          <t>Khớp vai trò.</t>
        </is>
      </c>
      <c r="H584" s="39" t="n"/>
    </row>
    <row r="585" ht="15" customHeight="1" s="32">
      <c r="A585" s="41" t="inlineStr">
        <is>
          <t>sky_gunship</t>
        </is>
      </c>
      <c r="B585" s="41" t="inlineStr">
        <is>
          <t>Pháo hạm AC-130</t>
        </is>
      </c>
      <c r="C585" s="41" t="inlineStr">
        <is>
          <t>Tầm bắn</t>
        </is>
      </c>
      <c r="D585" s="41" t="inlineStr">
        <is>
          <t>58</t>
        </is>
      </c>
      <c r="E585" s="49" t="inlineStr">
        <is>
          <t>Giữ</t>
        </is>
      </c>
      <c r="F585" s="41" t="n"/>
      <c r="G585" s="41" t="inlineStr">
        <is>
          <t>Thứ tự tầm hợp lý trong nhóm.</t>
        </is>
      </c>
      <c r="H585" s="41" t="n"/>
    </row>
    <row r="586" ht="15" customHeight="1" s="32">
      <c r="A586" s="39" t="inlineStr">
        <is>
          <t>sky_gunship</t>
        </is>
      </c>
      <c r="B586" s="39" t="inlineStr">
        <is>
          <t>Pháo hạm AC-130</t>
        </is>
      </c>
      <c r="C586" s="39" t="inlineStr">
        <is>
          <t>Giá (CP)</t>
        </is>
      </c>
      <c r="D586" s="42" t="n">
        <v>22</v>
      </c>
      <c r="E586" s="49" t="inlineStr">
        <is>
          <t>Giữ</t>
        </is>
      </c>
      <c r="F586" s="39" t="n"/>
      <c r="G586" s="39" t="inlineStr">
        <is>
          <t>Hiệu quả trong khoảng ±25% trung vị, thứ tự giá hợp ngoài đời (sheet Giá CP).</t>
        </is>
      </c>
      <c r="H586" s="39" t="n"/>
    </row>
    <row r="587" ht="15" customHeight="1" s="32">
      <c r="A587" s="41" t="inlineStr">
        <is>
          <t>sky_gunship</t>
        </is>
      </c>
      <c r="B587" s="41" t="inlineStr">
        <is>
          <t>Pháo hạm AC-130</t>
        </is>
      </c>
      <c r="C587" s="41" t="inlineStr">
        <is>
          <t>Vũ khí</t>
        </is>
      </c>
      <c r="D587" s="43" t="n">
        <v>3</v>
      </c>
      <c r="E587" s="49" t="inlineStr">
        <is>
          <t>Giữ</t>
        </is>
      </c>
      <c r="F587" s="41" t="n"/>
      <c r="G587" s="41" t="inlineStr">
        <is>
          <t>Bộ vũ khí khớp mẫu thật và vai trò.</t>
        </is>
      </c>
      <c r="H587" s="41" t="n"/>
    </row>
    <row r="588" ht="32.25" customHeight="1" s="32">
      <c r="A588" s="39" t="inlineStr">
        <is>
          <t>sky_gunship</t>
        </is>
      </c>
      <c r="B588" s="39" t="inlineStr">
        <is>
          <t>Pháo hạm AC-130</t>
        </is>
      </c>
      <c r="C588" s="39" t="inlineStr">
        <is>
          <t>Hành vi</t>
        </is>
      </c>
      <c r="D588" s="39" t="inlineStr">
        <is>
          <t>Bay vòng quanh mục tiêu, bắn từ mạn; Ưu tiên xe bọc thép nhẹ, xe tăng, pháo binh</t>
        </is>
      </c>
      <c r="E588" s="49" t="inlineStr">
        <is>
          <t>Giữ</t>
        </is>
      </c>
      <c r="F588" s="39" t="n"/>
      <c r="G588" s="39" t="inlineStr">
        <is>
          <t>Hợp vai trò.</t>
        </is>
      </c>
      <c r="H588" s="39" t="n"/>
    </row>
    <row r="589" ht="15" customHeight="1" s="32">
      <c r="A589" s="41" t="inlineStr">
        <is>
          <t>sky_gunship</t>
        </is>
      </c>
      <c r="B589" s="41" t="inlineStr">
        <is>
          <t>Pháo hạm AC-130</t>
        </is>
      </c>
      <c r="C589" s="41" t="inlineStr">
        <is>
          <t>Nổ khi bị phá (bán kính)</t>
        </is>
      </c>
      <c r="D589" s="41" t="inlineStr">
        <is>
          <t>11 m · 440 sát thương</t>
        </is>
      </c>
      <c r="E589" s="49" t="inlineStr">
        <is>
          <t>Giữ</t>
        </is>
      </c>
      <c r="F589" s="41" t="n"/>
      <c r="G589" s="41" t="inlineStr">
        <is>
          <t>Hợp với cỡ xe.</t>
        </is>
      </c>
      <c r="H589" s="41" t="n"/>
    </row>
    <row r="590" ht="32.25" customHeight="1" s="32">
      <c r="A590" s="39" t="inlineStr">
        <is>
          <t>sky_gunship</t>
        </is>
      </c>
      <c r="B590" s="39" t="inlineStr">
        <is>
          <t>Pháo hạm AC-130</t>
        </is>
      </c>
      <c r="C590" s="39" t="inlineStr">
        <is>
          <t>Tham khảo / model</t>
        </is>
      </c>
      <c r="D590" s="39" t="inlineStr">
        <is>
          <t>AC-130U Spooky (M102 105 mm, Bofors 40 mm, GAU-12 25 mm) — Pháo hạm bay bắn sang trái, dàn</t>
        </is>
      </c>
      <c r="E590" s="49" t="inlineStr">
        <is>
          <t>Giữ</t>
        </is>
      </c>
      <c r="F590" s="39" t="n"/>
      <c r="G590" s="39" t="inlineStr">
        <is>
          <t>Khớp vũ khí và vai trò.</t>
        </is>
      </c>
      <c r="H590" s="39" t="n"/>
    </row>
    <row r="591" ht="21.75" customHeight="1" s="32">
      <c r="A591" s="41"/>
      <c r="B591" s="41"/>
      <c r="C591" s="41"/>
      <c r="D591" s="41"/>
      <c r="E591" s="47"/>
      <c r="F591" s="41"/>
      <c r="G591" s="41"/>
      <c r="H591" s="49"/>
    </row>
    <row r="592" ht="15" customHeight="1" s="32">
      <c r="A592" s="39"/>
      <c r="B592" s="39"/>
      <c r="C592" s="39"/>
      <c r="D592" s="42"/>
      <c r="E592" s="49"/>
      <c r="F592" s="39"/>
      <c r="G592" s="39"/>
      <c r="H592" s="39"/>
    </row>
    <row r="593" ht="15" customHeight="1" s="32">
      <c r="A593" s="41"/>
      <c r="B593" s="41"/>
      <c r="C593" s="41"/>
      <c r="D593" s="41"/>
      <c r="E593" s="49"/>
      <c r="F593" s="41"/>
      <c r="G593" s="41"/>
      <c r="H593" s="41"/>
    </row>
    <row r="594" ht="15" customHeight="1" s="32">
      <c r="A594" s="39"/>
      <c r="B594" s="39"/>
      <c r="C594" s="39"/>
      <c r="D594" s="42"/>
      <c r="E594" s="49"/>
      <c r="F594" s="39"/>
      <c r="G594" s="39"/>
      <c r="H594" s="39"/>
    </row>
    <row r="595" ht="15" customHeight="1" s="32">
      <c r="A595" s="41"/>
      <c r="B595" s="41"/>
      <c r="C595" s="41"/>
      <c r="D595" s="41"/>
      <c r="E595" s="49"/>
      <c r="F595" s="41"/>
      <c r="G595" s="41"/>
      <c r="H595" s="41"/>
    </row>
    <row r="596" ht="15" customHeight="1" s="32">
      <c r="A596" s="39"/>
      <c r="B596" s="39"/>
      <c r="C596" s="39"/>
      <c r="D596" s="39"/>
      <c r="E596" s="49"/>
      <c r="F596" s="39"/>
      <c r="G596" s="39"/>
      <c r="H596" s="39"/>
    </row>
    <row r="597" ht="15" customHeight="1" s="32">
      <c r="A597" s="41"/>
      <c r="B597" s="41"/>
      <c r="C597" s="41"/>
      <c r="D597" s="43"/>
      <c r="E597" s="49"/>
      <c r="F597" s="41"/>
      <c r="G597" s="41"/>
      <c r="H597" s="41"/>
    </row>
    <row r="598" ht="15" customHeight="1" s="32">
      <c r="A598" s="39"/>
      <c r="B598" s="39"/>
      <c r="C598" s="39"/>
      <c r="D598" s="39"/>
      <c r="E598" s="49"/>
      <c r="F598" s="39"/>
      <c r="G598" s="39"/>
      <c r="H598" s="39"/>
    </row>
    <row r="599" ht="15" customHeight="1" s="32">
      <c r="A599" s="41"/>
      <c r="B599" s="41"/>
      <c r="C599" s="41"/>
      <c r="D599" s="43"/>
      <c r="E599" s="49"/>
      <c r="F599" s="41"/>
      <c r="G599" s="41"/>
      <c r="H599" s="41"/>
    </row>
    <row r="600" ht="15" customHeight="1" s="32">
      <c r="A600" s="39"/>
      <c r="B600" s="39"/>
      <c r="C600" s="39"/>
      <c r="D600" s="42"/>
      <c r="E600" s="49"/>
      <c r="F600" s="39"/>
      <c r="G600" s="39"/>
      <c r="H600" s="39"/>
    </row>
    <row r="601" ht="32.25" customHeight="1" s="32">
      <c r="A601" s="41"/>
      <c r="B601" s="41"/>
      <c r="C601" s="41"/>
      <c r="D601" s="41"/>
      <c r="E601" s="49"/>
      <c r="F601" s="41"/>
      <c r="G601" s="41"/>
      <c r="H601" s="41"/>
    </row>
    <row r="602" ht="15" customHeight="1" s="32">
      <c r="A602" s="39"/>
      <c r="B602" s="39"/>
      <c r="C602" s="39"/>
      <c r="D602" s="39"/>
      <c r="E602" s="49"/>
      <c r="F602" s="39"/>
      <c r="G602" s="39"/>
      <c r="H602" s="39"/>
    </row>
    <row r="603" ht="32.25" customHeight="1" s="32">
      <c r="A603" s="41"/>
      <c r="B603" s="41"/>
      <c r="C603" s="41"/>
      <c r="D603" s="41"/>
      <c r="E603" s="49"/>
      <c r="F603" s="41"/>
      <c r="G603" s="41"/>
      <c r="H603" s="41"/>
    </row>
    <row r="604" ht="15" customHeight="1" s="32">
      <c r="A604" s="39" t="inlineStr">
        <is>
          <t>armored_bulldozer</t>
        </is>
      </c>
      <c r="B604" s="39" t="inlineStr">
        <is>
          <t>Xe ủi bọc thép</t>
        </is>
      </c>
      <c r="C604" s="39" t="inlineStr">
        <is>
          <t>Tên</t>
        </is>
      </c>
      <c r="D604" s="39" t="inlineStr">
        <is>
          <t>Xe ủi bọc thép</t>
        </is>
      </c>
      <c r="E604" s="49" t="inlineStr">
        <is>
          <t>Giữ</t>
        </is>
      </c>
      <c r="F604" s="39" t="inlineStr">
        <is>
          <t>Xe ủi bọc thép · ngắn: Xe ủi · EN: Armored Bulldozer</t>
        </is>
      </c>
      <c r="G604" s="39" t="inlineStr">
        <is>
          <t>Giữ.</t>
        </is>
      </c>
      <c r="H604" s="39" t="n"/>
    </row>
    <row r="605" ht="15" customHeight="1" s="32">
      <c r="A605" s="41" t="inlineStr">
        <is>
          <t>armored_bulldozer</t>
        </is>
      </c>
      <c r="B605" s="41" t="inlineStr">
        <is>
          <t>Xe ủi bọc thép</t>
        </is>
      </c>
      <c r="C605" s="41" t="inlineStr">
        <is>
          <t>Máu</t>
        </is>
      </c>
      <c r="D605" s="43" t="n">
        <v>2860</v>
      </c>
      <c r="E605" s="49" t="inlineStr">
        <is>
          <t>Giữ</t>
        </is>
      </c>
      <c r="F605" s="41" t="n"/>
      <c r="G605" s="41" t="inlineStr">
        <is>
          <t>Máu/CP 1.26 × trung vị lớp Hạng nặng.</t>
        </is>
      </c>
      <c r="H605" s="41" t="n"/>
    </row>
    <row r="606" ht="15" customHeight="1" s="32">
      <c r="A606" s="39" t="inlineStr">
        <is>
          <t>armored_bulldozer</t>
        </is>
      </c>
      <c r="B606" s="39" t="inlineStr">
        <is>
          <t>Xe ủi bọc thép</t>
        </is>
      </c>
      <c r="C606" s="39" t="inlineStr">
        <is>
          <t>Giáp (T/H/S/N)</t>
        </is>
      </c>
      <c r="D606" s="39" t="inlineStr">
        <is>
          <t>3/3/2/2</t>
        </is>
      </c>
      <c r="E606" s="49" t="inlineStr">
        <is>
          <t>Giữ</t>
        </is>
      </c>
      <c r="F606" s="39" t="n"/>
      <c r="G606" s="39" t="inlineStr">
        <is>
          <t>Khớp mẫu thật theo thang 0–4.</t>
        </is>
      </c>
      <c r="H606" s="39" t="n"/>
    </row>
    <row r="607" ht="15" customHeight="1" s="32">
      <c r="A607" s="41" t="inlineStr">
        <is>
          <t>armored_bulldozer</t>
        </is>
      </c>
      <c r="B607" s="41" t="inlineStr">
        <is>
          <t>Xe ủi bọc thép</t>
        </is>
      </c>
      <c r="C607" s="41" t="inlineStr">
        <is>
          <t>Tốc độ</t>
        </is>
      </c>
      <c r="D607" s="43" t="n">
        <v>5</v>
      </c>
      <c r="E607" s="47" t="inlineStr">
        <is>
          <t>Đổi</t>
        </is>
      </c>
      <c r="F607" s="41" t="inlineStr">
        <is>
          <t>4 m/s</t>
        </is>
      </c>
      <c r="G607" s="41" t="inlineStr">
        <is>
          <t>D9R thật chỉ ~15 km/h; giữ nhanh hơn thực tế một chút để không kẹt nhịp.</t>
        </is>
      </c>
      <c r="H607" s="48" t="inlineStr">
        <is>
          <t>Trung</t>
        </is>
      </c>
    </row>
    <row r="608" ht="15" customHeight="1" s="32">
      <c r="A608" s="39" t="inlineStr">
        <is>
          <t>armored_bulldozer</t>
        </is>
      </c>
      <c r="B608" s="39" t="inlineStr">
        <is>
          <t>Xe ủi bọc thép</t>
        </is>
      </c>
      <c r="C608" s="39" t="inlineStr">
        <is>
          <t>Tốc độ xoay thân / tháp</t>
        </is>
      </c>
      <c r="D608" s="39" t="inlineStr">
        <is>
          <t>1 / 3</t>
        </is>
      </c>
      <c r="E608" s="49" t="inlineStr">
        <is>
          <t>Giữ</t>
        </is>
      </c>
      <c r="F608" s="39" t="n"/>
      <c r="G608" s="39" t="inlineStr">
        <is>
          <t>Hợp lý so với loại xe.</t>
        </is>
      </c>
      <c r="H608" s="39" t="n"/>
    </row>
    <row r="609" ht="15" customHeight="1" s="32">
      <c r="A609" s="41" t="inlineStr">
        <is>
          <t>armored_bulldozer</t>
        </is>
      </c>
      <c r="B609" s="41" t="inlineStr">
        <is>
          <t>Xe ủi bọc thép</t>
        </is>
      </c>
      <c r="C609" s="41" t="inlineStr">
        <is>
          <t>Kích thước model (dài × rộng × cao)</t>
        </is>
      </c>
      <c r="D609" s="41" t="inlineStr">
        <is>
          <t>6.7 × 3.7 × 4.8</t>
        </is>
      </c>
      <c r="E609" s="49" t="inlineStr">
        <is>
          <t>Giữ</t>
        </is>
      </c>
      <c r="F609" s="41" t="n"/>
      <c r="G609" s="41" t="inlineStr">
        <is>
          <t>Khớp tỷ lệ chung (mẫu thật 8.1 m).</t>
        </is>
      </c>
      <c r="H609" s="41" t="n"/>
    </row>
    <row r="610" ht="15" customHeight="1" s="32">
      <c r="A610" s="39" t="inlineStr">
        <is>
          <t>armored_bulldozer</t>
        </is>
      </c>
      <c r="B610" s="39" t="inlineStr">
        <is>
          <t>Xe ủi bọc thép</t>
        </is>
      </c>
      <c r="C610" s="39" t="inlineStr">
        <is>
          <t>Tầm nhìn</t>
        </is>
      </c>
      <c r="D610" s="42" t="n">
        <v>30</v>
      </c>
      <c r="E610" s="49" t="inlineStr">
        <is>
          <t>Giữ</t>
        </is>
      </c>
      <c r="F610" s="39" t="n"/>
      <c r="G610" s="39" t="inlineStr">
        <is>
          <t>Khớp vai trò.</t>
        </is>
      </c>
      <c r="H610" s="39" t="n"/>
    </row>
    <row r="611" ht="15" customHeight="1" s="32">
      <c r="A611" s="41" t="inlineStr">
        <is>
          <t>armored_bulldozer</t>
        </is>
      </c>
      <c r="B611" s="41" t="inlineStr">
        <is>
          <t>Xe ủi bọc thép</t>
        </is>
      </c>
      <c r="C611" s="41" t="inlineStr">
        <is>
          <t>Tầm bắn</t>
        </is>
      </c>
      <c r="D611" s="41" t="inlineStr">
        <is>
          <t>30</t>
        </is>
      </c>
      <c r="E611" s="49" t="inlineStr">
        <is>
          <t>Giữ</t>
        </is>
      </c>
      <c r="F611" s="41" t="n"/>
      <c r="G611" s="41" t="inlineStr">
        <is>
          <t>Thứ tự tầm hợp lý trong nhóm.</t>
        </is>
      </c>
      <c r="H611" s="41" t="n"/>
    </row>
    <row r="612" ht="15" customHeight="1" s="32">
      <c r="A612" s="39" t="inlineStr">
        <is>
          <t>armored_bulldozer</t>
        </is>
      </c>
      <c r="B612" s="39" t="inlineStr">
        <is>
          <t>Xe ủi bọc thép</t>
        </is>
      </c>
      <c r="C612" s="39" t="inlineStr">
        <is>
          <t>Giá (CP)</t>
        </is>
      </c>
      <c r="D612" s="42" t="n">
        <v>7</v>
      </c>
      <c r="E612" s="49" t="inlineStr">
        <is>
          <t>Giữ</t>
        </is>
      </c>
      <c r="F612" s="39" t="n"/>
      <c r="G612" s="39" t="inlineStr">
        <is>
          <t>Hiệu quả trong khoảng ±25% trung vị, thứ tự giá hợp ngoài đời (sheet Giá CP).</t>
        </is>
      </c>
      <c r="H612" s="39" t="n"/>
    </row>
    <row r="613" ht="15" customHeight="1" s="32">
      <c r="A613" s="41" t="inlineStr">
        <is>
          <t>armored_bulldozer</t>
        </is>
      </c>
      <c r="B613" s="41" t="inlineStr">
        <is>
          <t>Xe ủi bọc thép</t>
        </is>
      </c>
      <c r="C613" s="41" t="inlineStr">
        <is>
          <t>Vũ khí</t>
        </is>
      </c>
      <c r="D613" s="43" t="n">
        <v>2</v>
      </c>
      <c r="E613" s="49" t="inlineStr">
        <is>
          <t>Giữ</t>
        </is>
      </c>
      <c r="F613" s="41" t="n"/>
      <c r="G613" s="41" t="inlineStr">
        <is>
          <t>Bộ vũ khí khớp mẫu thật và vai trò.</t>
        </is>
      </c>
      <c r="H613" s="41" t="n"/>
    </row>
    <row r="614" ht="15" customHeight="1" s="32">
      <c r="A614" s="39" t="inlineStr">
        <is>
          <t>armored_bulldozer</t>
        </is>
      </c>
      <c r="B614" s="39" t="inlineStr">
        <is>
          <t>Xe ủi bọc thép</t>
        </is>
      </c>
      <c r="C614" s="39" t="inlineStr">
        <is>
          <t>Hành vi</t>
        </is>
      </c>
      <c r="D614" s="39" t="inlineStr">
        <is>
          <t>Vừa chạy vừa bắn; Tăng chủ lực</t>
        </is>
      </c>
      <c r="E614" s="49" t="inlineStr">
        <is>
          <t>Giữ</t>
        </is>
      </c>
      <c r="F614" s="39" t="n"/>
      <c r="G614" s="39" t="inlineStr">
        <is>
          <t>Hợp vai trò.</t>
        </is>
      </c>
      <c r="H614" s="39" t="n"/>
    </row>
    <row r="615" ht="15" customHeight="1" s="32">
      <c r="A615" s="41" t="inlineStr">
        <is>
          <t>armored_bulldozer</t>
        </is>
      </c>
      <c r="B615" s="41" t="inlineStr">
        <is>
          <t>Xe ủi bọc thép</t>
        </is>
      </c>
      <c r="C615" s="41" t="inlineStr">
        <is>
          <t>Nổ khi bị phá (bán kính)</t>
        </is>
      </c>
      <c r="D615" s="41" t="inlineStr">
        <is>
          <t>6 m · 180 sát thương</t>
        </is>
      </c>
      <c r="E615" s="49" t="inlineStr">
        <is>
          <t>Giữ</t>
        </is>
      </c>
      <c r="F615" s="41" t="n"/>
      <c r="G615" s="41" t="inlineStr">
        <is>
          <t>Hợp với cỡ xe.</t>
        </is>
      </c>
      <c r="H615" s="41" t="n"/>
    </row>
    <row r="616" ht="21.75" customHeight="1" s="32">
      <c r="A616" s="39" t="inlineStr">
        <is>
          <t>armored_bulldozer</t>
        </is>
      </c>
      <c r="B616" s="39" t="inlineStr">
        <is>
          <t>Xe ủi bọc thép</t>
        </is>
      </c>
      <c r="C616" s="39" t="inlineStr">
        <is>
          <t>Tham khảo / model</t>
        </is>
      </c>
      <c r="D616" s="39" t="inlineStr">
        <is>
          <t>IDF Caterpillar D9R — Xe ủi bọc thép chiến đấu</t>
        </is>
      </c>
      <c r="E616" s="49" t="inlineStr">
        <is>
          <t>Giữ</t>
        </is>
      </c>
      <c r="F616" s="39" t="n"/>
      <c r="G616" s="39" t="inlineStr">
        <is>
          <t>Khớp vũ khí và vai trò.</t>
        </is>
      </c>
      <c r="H616" s="39" t="n"/>
    </row>
    <row r="617" ht="15" customHeight="1" s="32">
      <c r="A617" s="41" t="inlineStr">
        <is>
          <t>main_battle_tank</t>
        </is>
      </c>
      <c r="B617" s="41" t="inlineStr">
        <is>
          <t>Tăng chủ lực</t>
        </is>
      </c>
      <c r="C617" s="41" t="inlineStr">
        <is>
          <t>Tên</t>
        </is>
      </c>
      <c r="D617" s="41" t="inlineStr">
        <is>
          <t>Tăng chủ lực</t>
        </is>
      </c>
      <c r="E617" s="49" t="inlineStr">
        <is>
          <t>Giữ</t>
        </is>
      </c>
      <c r="F617" s="41" t="inlineStr">
        <is>
          <t>Tăng chủ lực · ngắn: Tăng chủ lực · EN: Main Battle Tank</t>
        </is>
      </c>
      <c r="G617" s="41" t="inlineStr">
        <is>
          <t>Giữ.</t>
        </is>
      </c>
      <c r="H617" s="41" t="n"/>
    </row>
    <row r="618" ht="15" customHeight="1" s="32">
      <c r="A618" s="39" t="inlineStr">
        <is>
          <t>main_battle_tank</t>
        </is>
      </c>
      <c r="B618" s="39" t="inlineStr">
        <is>
          <t>Tăng chủ lực</t>
        </is>
      </c>
      <c r="C618" s="39" t="inlineStr">
        <is>
          <t>Máu</t>
        </is>
      </c>
      <c r="D618" s="42" t="n">
        <v>1980</v>
      </c>
      <c r="E618" s="49" t="inlineStr">
        <is>
          <t>Giữ</t>
        </is>
      </c>
      <c r="F618" s="39" t="n"/>
      <c r="G618" s="39" t="inlineStr">
        <is>
          <t>Máu/CP 0.87 × trung vị lớp Hạng nặng.</t>
        </is>
      </c>
      <c r="H618" s="39" t="n"/>
    </row>
    <row r="619" ht="21.75" customHeight="1" s="32">
      <c r="A619" s="41" t="inlineStr">
        <is>
          <t>main_battle_tank</t>
        </is>
      </c>
      <c r="B619" s="41" t="inlineStr">
        <is>
          <t>Tăng chủ lực</t>
        </is>
      </c>
      <c r="C619" s="41" t="inlineStr">
        <is>
          <t>Giáp (T/H/S/N)</t>
        </is>
      </c>
      <c r="D619" s="41" t="inlineStr">
        <is>
          <t>3/2/1/1</t>
        </is>
      </c>
      <c r="E619" s="47" t="inlineStr">
        <is>
          <t>Đổi</t>
        </is>
      </c>
      <c r="F619" s="41" t="inlineStr">
        <is>
          <t>4/2/1/1</t>
        </is>
      </c>
      <c r="G619" s="41" t="inlineStr">
        <is>
          <t>Giáp trước tăng chủ lực hiện đại chịu được tên lửa chống tăng thường (mặt trước tốt nhất trong nhóm xe thường).</t>
        </is>
      </c>
      <c r="H619" s="48" t="inlineStr">
        <is>
          <t>Trung</t>
        </is>
      </c>
    </row>
    <row r="620" ht="15" customHeight="1" s="32">
      <c r="A620" s="39" t="inlineStr">
        <is>
          <t>main_battle_tank</t>
        </is>
      </c>
      <c r="B620" s="39" t="inlineStr">
        <is>
          <t>Tăng chủ lực</t>
        </is>
      </c>
      <c r="C620" s="39" t="inlineStr">
        <is>
          <t>Tốc độ</t>
        </is>
      </c>
      <c r="D620" s="42" t="n">
        <v>6</v>
      </c>
      <c r="E620" s="47" t="inlineStr">
        <is>
          <t>Đổi</t>
        </is>
      </c>
      <c r="F620" s="39" t="inlineStr">
        <is>
          <t>6,5 m/s</t>
        </is>
      </c>
      <c r="G620" s="39" t="inlineStr">
        <is>
          <t>Như trên: kéo gần tăng và IFV.</t>
        </is>
      </c>
      <c r="H620" s="48" t="inlineStr">
        <is>
          <t>Trung</t>
        </is>
      </c>
    </row>
    <row r="621" ht="21.75" customHeight="1" s="32">
      <c r="A621" s="41" t="inlineStr">
        <is>
          <t>main_battle_tank</t>
        </is>
      </c>
      <c r="B621" s="41" t="inlineStr">
        <is>
          <t>Tăng chủ lực</t>
        </is>
      </c>
      <c r="C621" s="41" t="inlineStr">
        <is>
          <t>Tốc độ xoay thân / tháp</t>
        </is>
      </c>
      <c r="D621" s="41" t="inlineStr">
        <is>
          <t>1 / 1</t>
        </is>
      </c>
      <c r="E621" s="47" t="inlineStr">
        <is>
          <t>Đổi</t>
        </is>
      </c>
      <c r="F621" s="41" t="inlineStr">
        <is>
          <t>1 / 2</t>
        </is>
      </c>
      <c r="G621" s="41" t="inlineStr">
        <is>
          <t>Tháp pháo xe tăng thật xoay nhanh hơn thân (~40°/s); hiện bằng thân. Lưu ý: đơn vị ghi °/s nhưng giá trị 1–6 có vẻ là rad/s, cần kiểm lại nhãn.</t>
        </is>
      </c>
      <c r="H621" s="48" t="inlineStr">
        <is>
          <t>Trung</t>
        </is>
      </c>
    </row>
    <row r="622" ht="15" customHeight="1" s="32">
      <c r="A622" s="39" t="inlineStr">
        <is>
          <t>main_battle_tank</t>
        </is>
      </c>
      <c r="B622" s="39" t="inlineStr">
        <is>
          <t>Tăng chủ lực</t>
        </is>
      </c>
      <c r="C622" s="39" t="inlineStr">
        <is>
          <t>Kích thước model (dài × rộng × cao)</t>
        </is>
      </c>
      <c r="D622" s="39" t="inlineStr">
        <is>
          <t>6.3 × 2.9 × 2.9</t>
        </is>
      </c>
      <c r="E622" s="49" t="inlineStr">
        <is>
          <t>Giữ</t>
        </is>
      </c>
      <c r="F622" s="39" t="n"/>
      <c r="G622" s="39" t="inlineStr">
        <is>
          <t>Khớp tỷ lệ chung (mẫu thật 9.67 m).</t>
        </is>
      </c>
      <c r="H622" s="39" t="n"/>
    </row>
    <row r="623" ht="15" customHeight="1" s="32">
      <c r="A623" s="41" t="inlineStr">
        <is>
          <t>main_battle_tank</t>
        </is>
      </c>
      <c r="B623" s="41" t="inlineStr">
        <is>
          <t>Tăng chủ lực</t>
        </is>
      </c>
      <c r="C623" s="41" t="inlineStr">
        <is>
          <t>Tầm nhìn</t>
        </is>
      </c>
      <c r="D623" s="43" t="n">
        <v>30</v>
      </c>
      <c r="E623" s="49" t="inlineStr">
        <is>
          <t>Giữ</t>
        </is>
      </c>
      <c r="F623" s="41" t="n"/>
      <c r="G623" s="41" t="inlineStr">
        <is>
          <t>Khớp vai trò.</t>
        </is>
      </c>
      <c r="H623" s="41" t="n"/>
    </row>
    <row r="624" ht="15" customHeight="1" s="32">
      <c r="A624" s="39" t="inlineStr">
        <is>
          <t>main_battle_tank</t>
        </is>
      </c>
      <c r="B624" s="39" t="inlineStr">
        <is>
          <t>Tăng chủ lực</t>
        </is>
      </c>
      <c r="C624" s="39" t="inlineStr">
        <is>
          <t>Tầm bắn</t>
        </is>
      </c>
      <c r="D624" s="39" t="inlineStr">
        <is>
          <t>32</t>
        </is>
      </c>
      <c r="E624" s="49" t="inlineStr">
        <is>
          <t>Giữ</t>
        </is>
      </c>
      <c r="F624" s="39" t="n"/>
      <c r="G624" s="39" t="inlineStr">
        <is>
          <t>Thứ tự tầm hợp lý trong nhóm.</t>
        </is>
      </c>
      <c r="H624" s="39" t="n"/>
    </row>
    <row r="625" ht="15" customHeight="1" s="32">
      <c r="A625" s="41" t="inlineStr">
        <is>
          <t>main_battle_tank</t>
        </is>
      </c>
      <c r="B625" s="41" t="inlineStr">
        <is>
          <t>Tăng chủ lực</t>
        </is>
      </c>
      <c r="C625" s="41" t="inlineStr">
        <is>
          <t>Giá (CP)</t>
        </is>
      </c>
      <c r="D625" s="43" t="n">
        <v>7</v>
      </c>
      <c r="E625" s="49" t="inlineStr">
        <is>
          <t>Giữ</t>
        </is>
      </c>
      <c r="F625" s="41" t="n"/>
      <c r="G625" s="41" t="inlineStr">
        <is>
          <t>Hiệu quả trong khoảng ±25% trung vị, thứ tự giá hợp ngoài đời (sheet Giá CP).</t>
        </is>
      </c>
      <c r="H625" s="41" t="n"/>
    </row>
    <row r="626" ht="15" customHeight="1" s="32">
      <c r="A626" s="39" t="inlineStr">
        <is>
          <t>main_battle_tank</t>
        </is>
      </c>
      <c r="B626" s="39" t="inlineStr">
        <is>
          <t>Tăng chủ lực</t>
        </is>
      </c>
      <c r="C626" s="39" t="inlineStr">
        <is>
          <t>Vũ khí</t>
        </is>
      </c>
      <c r="D626" s="42" t="n">
        <v>3</v>
      </c>
      <c r="E626" s="49" t="inlineStr">
        <is>
          <t>Giữ</t>
        </is>
      </c>
      <c r="F626" s="39" t="n"/>
      <c r="G626" s="39" t="inlineStr">
        <is>
          <t>Bộ vũ khí khớp mẫu thật và vai trò.</t>
        </is>
      </c>
      <c r="H626" s="39" t="n"/>
    </row>
    <row r="627" ht="21.75" customHeight="1" s="32">
      <c r="A627" s="41" t="inlineStr">
        <is>
          <t>main_battle_tank</t>
        </is>
      </c>
      <c r="B627" s="41" t="inlineStr">
        <is>
          <t>Tăng chủ lực</t>
        </is>
      </c>
      <c r="C627" s="41" t="inlineStr">
        <is>
          <t>Hành vi</t>
        </is>
      </c>
      <c r="D627" s="41" t="inlineStr">
        <is>
          <t xml:space="preserve">Vừa chạy vừa bắn                                                                </t>
        </is>
      </c>
      <c r="E627" s="49" t="inlineStr">
        <is>
          <t>Giữ</t>
        </is>
      </c>
      <c r="F627" s="41" t="n"/>
      <c r="G627" s="41" t="inlineStr">
        <is>
          <t>Hợp vai trò.</t>
        </is>
      </c>
      <c r="H627" s="41" t="n"/>
    </row>
    <row r="628" ht="15" customHeight="1" s="32">
      <c r="A628" s="39" t="inlineStr">
        <is>
          <t>main_battle_tank</t>
        </is>
      </c>
      <c r="B628" s="39" t="inlineStr">
        <is>
          <t>Tăng chủ lực</t>
        </is>
      </c>
      <c r="C628" s="39" t="inlineStr">
        <is>
          <t>Nổ khi bị phá (bán kính)</t>
        </is>
      </c>
      <c r="D628" s="39" t="inlineStr">
        <is>
          <t>7 m · 300 sát thương</t>
        </is>
      </c>
      <c r="E628" s="49" t="inlineStr">
        <is>
          <t>Giữ</t>
        </is>
      </c>
      <c r="F628" s="39" t="n"/>
      <c r="G628" s="39" t="inlineStr">
        <is>
          <t>Hợp với cỡ xe.</t>
        </is>
      </c>
      <c r="H628" s="39" t="n"/>
    </row>
    <row r="629" ht="32.25" customHeight="1" s="32">
      <c r="A629" s="41" t="inlineStr">
        <is>
          <t>main_battle_tank</t>
        </is>
      </c>
      <c r="B629" s="41" t="inlineStr">
        <is>
          <t>Tăng chủ lực</t>
        </is>
      </c>
      <c r="C629" s="41" t="inlineStr">
        <is>
          <t>Tham khảo / model</t>
        </is>
      </c>
      <c r="D629" s="41" t="inlineStr">
        <is>
          <t xml:space="preserve">Leopard 2A4 (Rh-120 L/44), M1A1 Abrams (M256 120 mm) — Xe tăng chủ lực pháo nòng trơn 120 </t>
        </is>
      </c>
      <c r="E629" s="49" t="inlineStr">
        <is>
          <t>Giữ</t>
        </is>
      </c>
      <c r="F629" s="41" t="n"/>
      <c r="G629" s="41" t="inlineStr">
        <is>
          <t>Khớp vũ khí và vai trò.</t>
        </is>
      </c>
      <c r="H629" s="41" t="n"/>
    </row>
    <row r="630" ht="15" customHeight="1" s="32">
      <c r="A630" s="39" t="inlineStr">
        <is>
          <t>twin_tank</t>
        </is>
      </c>
      <c r="B630" s="39" t="inlineStr">
        <is>
          <t>Tăng hai nòng</t>
        </is>
      </c>
      <c r="C630" s="39" t="inlineStr">
        <is>
          <t>Tên</t>
        </is>
      </c>
      <c r="D630" s="39" t="inlineStr">
        <is>
          <t>Tăng hai nòng</t>
        </is>
      </c>
      <c r="E630" s="49" t="inlineStr">
        <is>
          <t>Giữ</t>
        </is>
      </c>
      <c r="F630" s="39" t="inlineStr">
        <is>
          <t>Tăng hai nòng · ngắn: Hai nòng · EN: Twin-Gun Tank</t>
        </is>
      </c>
      <c r="G630" s="39" t="inlineStr">
        <is>
          <t>Giữ.</t>
        </is>
      </c>
      <c r="H630" s="39" t="n"/>
    </row>
    <row r="631" ht="15" customHeight="1" s="32">
      <c r="A631" s="41" t="inlineStr">
        <is>
          <t>twin_tank</t>
        </is>
      </c>
      <c r="B631" s="41" t="inlineStr">
        <is>
          <t>Tăng hai nòng</t>
        </is>
      </c>
      <c r="C631" s="41" t="inlineStr">
        <is>
          <t>Máu</t>
        </is>
      </c>
      <c r="D631" s="43" t="n">
        <v>2530</v>
      </c>
      <c r="E631" s="49" t="inlineStr">
        <is>
          <t>Giữ</t>
        </is>
      </c>
      <c r="F631" s="41" t="n"/>
      <c r="G631" s="41" t="inlineStr">
        <is>
          <t>Máu/CP 0.86 × trung vị lớp Hạng nặng.</t>
        </is>
      </c>
      <c r="H631" s="41" t="n"/>
    </row>
    <row r="632" ht="15" customHeight="1" s="32">
      <c r="A632" s="39" t="inlineStr">
        <is>
          <t>twin_tank</t>
        </is>
      </c>
      <c r="B632" s="39" t="inlineStr">
        <is>
          <t>Tăng hai nòng</t>
        </is>
      </c>
      <c r="C632" s="39" t="inlineStr">
        <is>
          <t>Giáp (T/H/S/N)</t>
        </is>
      </c>
      <c r="D632" s="39" t="inlineStr">
        <is>
          <t>3/2/1/1</t>
        </is>
      </c>
      <c r="E632" s="49" t="inlineStr">
        <is>
          <t>Giữ</t>
        </is>
      </c>
      <c r="F632" s="39" t="n"/>
      <c r="G632" s="39" t="inlineStr">
        <is>
          <t>Khớp mẫu thật theo thang 0–4.</t>
        </is>
      </c>
      <c r="H632" s="39" t="n"/>
    </row>
    <row r="633" ht="15" customHeight="1" s="32">
      <c r="A633" s="41" t="inlineStr">
        <is>
          <t>twin_tank</t>
        </is>
      </c>
      <c r="B633" s="41" t="inlineStr">
        <is>
          <t>Tăng hai nòng</t>
        </is>
      </c>
      <c r="C633" s="41" t="inlineStr">
        <is>
          <t>Tốc độ</t>
        </is>
      </c>
      <c r="D633" s="43" t="n">
        <v>6</v>
      </c>
      <c r="E633" s="49" t="inlineStr">
        <is>
          <t>Giữ</t>
        </is>
      </c>
      <c r="F633" s="41" t="n"/>
      <c r="G633" s="41" t="inlineStr">
        <is>
          <t>Giả tưởng; so với xe cùng lớp.</t>
        </is>
      </c>
      <c r="H633" s="41" t="n"/>
    </row>
    <row r="634" ht="21.75" customHeight="1" s="32">
      <c r="A634" s="39" t="inlineStr">
        <is>
          <t>twin_tank</t>
        </is>
      </c>
      <c r="B634" s="39" t="inlineStr">
        <is>
          <t>Tăng hai nòng</t>
        </is>
      </c>
      <c r="C634" s="39" t="inlineStr">
        <is>
          <t>Tốc độ xoay thân / tháp</t>
        </is>
      </c>
      <c r="D634" s="39" t="inlineStr">
        <is>
          <t>1 / 1</t>
        </is>
      </c>
      <c r="E634" s="47" t="inlineStr">
        <is>
          <t>Đổi</t>
        </is>
      </c>
      <c r="F634" s="39" t="inlineStr">
        <is>
          <t>1 / 2</t>
        </is>
      </c>
      <c r="G634" s="39" t="inlineStr">
        <is>
          <t>Tháp pháo xe tăng thật xoay nhanh hơn thân (~40°/s); hiện bằng thân. Lưu ý: đơn vị ghi °/s nhưng giá trị 1–6 có vẻ là rad/s, cần kiểm lại nhãn.</t>
        </is>
      </c>
      <c r="H634" s="48" t="inlineStr">
        <is>
          <t>Trung</t>
        </is>
      </c>
    </row>
    <row r="635" ht="15" customHeight="1" s="32">
      <c r="A635" s="41" t="inlineStr">
        <is>
          <t>twin_tank</t>
        </is>
      </c>
      <c r="B635" s="41" t="inlineStr">
        <is>
          <t>Tăng hai nòng</t>
        </is>
      </c>
      <c r="C635" s="41" t="inlineStr">
        <is>
          <t>Kích thước model (dài × rộng × cao)</t>
        </is>
      </c>
      <c r="D635" s="41" t="inlineStr">
        <is>
          <t>6.9 × 3.0 × 2.9</t>
        </is>
      </c>
      <c r="E635" s="47" t="inlineStr">
        <is>
          <t>Đổi</t>
        </is>
      </c>
      <c r="F635" s="41" t="inlineStr">
        <is>
          <t>dài ≥ 7.2 m</t>
        </is>
      </c>
      <c r="G635" s="41" t="inlineStr">
        <is>
          <t>Phải to hơn rõ rệt so với main_battle_tank (6.3 m), khoảng ×1.15.</t>
        </is>
      </c>
      <c r="H635" s="49" t="inlineStr">
        <is>
          <t>Thấp</t>
        </is>
      </c>
    </row>
    <row r="636" ht="15" customHeight="1" s="32">
      <c r="A636" s="39" t="inlineStr">
        <is>
          <t>twin_tank</t>
        </is>
      </c>
      <c r="B636" s="39" t="inlineStr">
        <is>
          <t>Tăng hai nòng</t>
        </is>
      </c>
      <c r="C636" s="39" t="inlineStr">
        <is>
          <t>Tầm nhìn</t>
        </is>
      </c>
      <c r="D636" s="42" t="n">
        <v>32</v>
      </c>
      <c r="E636" s="49" t="inlineStr">
        <is>
          <t>Giữ</t>
        </is>
      </c>
      <c r="F636" s="39" t="n"/>
      <c r="G636" s="39" t="inlineStr">
        <is>
          <t>Khớp vai trò.</t>
        </is>
      </c>
      <c r="H636" s="39" t="n"/>
    </row>
    <row r="637" ht="15" customHeight="1" s="32">
      <c r="A637" s="41" t="inlineStr">
        <is>
          <t>twin_tank</t>
        </is>
      </c>
      <c r="B637" s="41" t="inlineStr">
        <is>
          <t>Tăng hai nòng</t>
        </is>
      </c>
      <c r="C637" s="41" t="inlineStr">
        <is>
          <t>Tầm bắn</t>
        </is>
      </c>
      <c r="D637" s="41" t="inlineStr">
        <is>
          <t>34</t>
        </is>
      </c>
      <c r="E637" s="49" t="inlineStr">
        <is>
          <t>Giữ</t>
        </is>
      </c>
      <c r="F637" s="41" t="n"/>
      <c r="G637" s="41" t="inlineStr">
        <is>
          <t>Thứ tự tầm hợp lý trong nhóm.</t>
        </is>
      </c>
      <c r="H637" s="41" t="n"/>
    </row>
    <row r="638" ht="15" customHeight="1" s="32">
      <c r="A638" s="39" t="inlineStr">
        <is>
          <t>twin_tank</t>
        </is>
      </c>
      <c r="B638" s="39" t="inlineStr">
        <is>
          <t>Tăng hai nòng</t>
        </is>
      </c>
      <c r="C638" s="39" t="inlineStr">
        <is>
          <t>Giá (CP)</t>
        </is>
      </c>
      <c r="D638" s="42" t="n">
        <v>9</v>
      </c>
      <c r="E638" s="49" t="inlineStr">
        <is>
          <t>Giữ</t>
        </is>
      </c>
      <c r="F638" s="39" t="n"/>
      <c r="G638" s="39" t="inlineStr">
        <is>
          <t>Hiệu quả trong khoảng ±25% trung vị, thứ tự giá hợp ngoài đời (sheet Giá CP).</t>
        </is>
      </c>
      <c r="H638" s="39" t="n"/>
    </row>
    <row r="639" ht="15" customHeight="1" s="32">
      <c r="A639" s="41" t="inlineStr">
        <is>
          <t>twin_tank</t>
        </is>
      </c>
      <c r="B639" s="41" t="inlineStr">
        <is>
          <t>Tăng hai nòng</t>
        </is>
      </c>
      <c r="C639" s="41" t="inlineStr">
        <is>
          <t>Vũ khí</t>
        </is>
      </c>
      <c r="D639" s="43" t="n">
        <v>3</v>
      </c>
      <c r="E639" s="49" t="inlineStr">
        <is>
          <t>Giữ</t>
        </is>
      </c>
      <c r="F639" s="41" t="n"/>
      <c r="G639" s="41" t="inlineStr">
        <is>
          <t>Bộ vũ khí khớp mẫu thật và vai trò.</t>
        </is>
      </c>
      <c r="H639" s="41" t="n"/>
    </row>
    <row r="640" ht="21.75" customHeight="1" s="32">
      <c r="A640" s="39" t="inlineStr">
        <is>
          <t>twin_tank</t>
        </is>
      </c>
      <c r="B640" s="39" t="inlineStr">
        <is>
          <t>Tăng hai nòng</t>
        </is>
      </c>
      <c r="C640" s="39" t="inlineStr">
        <is>
          <t>Hành vi</t>
        </is>
      </c>
      <c r="D640" s="39" t="inlineStr">
        <is>
          <t xml:space="preserve">Vừa chạy vừa bắn                                                                </t>
        </is>
      </c>
      <c r="E640" s="49" t="inlineStr">
        <is>
          <t>Giữ</t>
        </is>
      </c>
      <c r="F640" s="39" t="n"/>
      <c r="G640" s="39" t="inlineStr">
        <is>
          <t>Hợp vai trò.</t>
        </is>
      </c>
      <c r="H640" s="39" t="n"/>
    </row>
    <row r="641" ht="15" customHeight="1" s="32">
      <c r="A641" s="41" t="inlineStr">
        <is>
          <t>twin_tank</t>
        </is>
      </c>
      <c r="B641" s="41" t="inlineStr">
        <is>
          <t>Tăng hai nòng</t>
        </is>
      </c>
      <c r="C641" s="41" t="inlineStr">
        <is>
          <t>Nổ khi bị phá (bán kính)</t>
        </is>
      </c>
      <c r="D641" s="41" t="inlineStr">
        <is>
          <t>8 m · 260 sát thương</t>
        </is>
      </c>
      <c r="E641" s="49" t="inlineStr">
        <is>
          <t>Giữ</t>
        </is>
      </c>
      <c r="F641" s="41" t="n"/>
      <c r="G641" s="41" t="inlineStr">
        <is>
          <t>Hợp với cỡ xe.</t>
        </is>
      </c>
      <c r="H641" s="41" t="n"/>
    </row>
    <row r="642" ht="32.25" customHeight="1" s="32">
      <c r="A642" s="39" t="inlineStr">
        <is>
          <t>twin_tank</t>
        </is>
      </c>
      <c r="B642" s="39" t="inlineStr">
        <is>
          <t>Tăng hai nòng</t>
        </is>
      </c>
      <c r="C642" s="39" t="inlineStr">
        <is>
          <t>Tham khảo / model</t>
        </is>
      </c>
      <c r="D642" s="39" t="inlineStr">
        <is>
          <t>Rh-120 L/44 (hai nòng) · Mammoth Tank (Command &amp; Conquer), Apocalypse Tank (Red Alert 2) —</t>
        </is>
      </c>
      <c r="E642" s="49" t="inlineStr">
        <is>
          <t>Giữ</t>
        </is>
      </c>
      <c r="F642" s="39" t="n"/>
      <c r="G642" s="39" t="inlineStr">
        <is>
          <t>Khớp vũ khí và vai trò.</t>
        </is>
      </c>
      <c r="H642" s="39" t="n"/>
    </row>
    <row r="643" ht="15" customHeight="1" s="32">
      <c r="A643" s="41" t="inlineStr">
        <is>
          <t>heavy_tank</t>
        </is>
      </c>
      <c r="B643" s="41" t="inlineStr">
        <is>
          <t>Tăng hạng nặng</t>
        </is>
      </c>
      <c r="C643" s="41" t="inlineStr">
        <is>
          <t>Tên</t>
        </is>
      </c>
      <c r="D643" s="41" t="inlineStr">
        <is>
          <t>Tăng hạng nặng</t>
        </is>
      </c>
      <c r="E643" s="49" t="inlineStr">
        <is>
          <t>Giữ</t>
        </is>
      </c>
      <c r="F643" s="41" t="inlineStr">
        <is>
          <t>Tăng hạng nặng · ngắn: Tăng nặng · EN: Heavy Tank</t>
        </is>
      </c>
      <c r="G643" s="41" t="inlineStr">
        <is>
          <t>Giữ.</t>
        </is>
      </c>
      <c r="H643" s="41" t="n"/>
    </row>
    <row r="644" ht="15" customHeight="1" s="32">
      <c r="A644" s="39" t="inlineStr">
        <is>
          <t>heavy_tank</t>
        </is>
      </c>
      <c r="B644" s="39" t="inlineStr">
        <is>
          <t>Tăng hạng nặng</t>
        </is>
      </c>
      <c r="C644" s="39" t="inlineStr">
        <is>
          <t>Máu</t>
        </is>
      </c>
      <c r="D644" s="42" t="n">
        <v>3520</v>
      </c>
      <c r="E644" s="49" t="inlineStr">
        <is>
          <t>Giữ</t>
        </is>
      </c>
      <c r="F644" s="39" t="n"/>
      <c r="G644" s="39" t="inlineStr">
        <is>
          <t>Máu/CP 0.90 × trung vị lớp Hạng nặng.</t>
        </is>
      </c>
      <c r="H644" s="39" t="n"/>
    </row>
    <row r="645" ht="15" customHeight="1" s="32">
      <c r="A645" s="41" t="inlineStr">
        <is>
          <t>heavy_tank</t>
        </is>
      </c>
      <c r="B645" s="41" t="inlineStr">
        <is>
          <t>Tăng hạng nặng</t>
        </is>
      </c>
      <c r="C645" s="41" t="inlineStr">
        <is>
          <t>Giáp (T/H/S/N)</t>
        </is>
      </c>
      <c r="D645" s="41" t="inlineStr">
        <is>
          <t>4/3/2/2</t>
        </is>
      </c>
      <c r="E645" s="49" t="inlineStr">
        <is>
          <t>Giữ</t>
        </is>
      </c>
      <c r="F645" s="41" t="n"/>
      <c r="G645" s="41" t="inlineStr">
        <is>
          <t>Khớp mẫu thật theo thang 0–4.</t>
        </is>
      </c>
      <c r="H645" s="41" t="n"/>
    </row>
    <row r="646" ht="15" customHeight="1" s="32">
      <c r="A646" s="39" t="inlineStr">
        <is>
          <t>heavy_tank</t>
        </is>
      </c>
      <c r="B646" s="39" t="inlineStr">
        <is>
          <t>Tăng hạng nặng</t>
        </is>
      </c>
      <c r="C646" s="39" t="inlineStr">
        <is>
          <t>Tốc độ</t>
        </is>
      </c>
      <c r="D646" s="42" t="n">
        <v>4.2</v>
      </c>
      <c r="E646" s="49" t="inlineStr">
        <is>
          <t>Giữ</t>
        </is>
      </c>
      <c r="F646" s="39" t="n"/>
      <c r="G646" s="39" t="inlineStr">
        <is>
          <t>Gần tốc độ thật × hệ số nén (5.5).</t>
        </is>
      </c>
      <c r="H646" s="39" t="n"/>
    </row>
    <row r="647" ht="21.75" customHeight="1" s="32">
      <c r="A647" s="41" t="inlineStr">
        <is>
          <t>heavy_tank</t>
        </is>
      </c>
      <c r="B647" s="41" t="inlineStr">
        <is>
          <t>Tăng hạng nặng</t>
        </is>
      </c>
      <c r="C647" s="41" t="inlineStr">
        <is>
          <t>Tốc độ xoay thân / tháp</t>
        </is>
      </c>
      <c r="D647" s="41" t="inlineStr">
        <is>
          <t>1 / 1</t>
        </is>
      </c>
      <c r="E647" s="47" t="inlineStr">
        <is>
          <t>Đổi</t>
        </is>
      </c>
      <c r="F647" s="41" t="inlineStr">
        <is>
          <t>1 / 2</t>
        </is>
      </c>
      <c r="G647" s="41" t="inlineStr">
        <is>
          <t>Tháp pháo xe tăng thật xoay nhanh hơn thân (~40°/s); hiện bằng thân. Lưu ý: đơn vị ghi °/s nhưng giá trị 1–6 có vẻ là rad/s, cần kiểm lại nhãn.</t>
        </is>
      </c>
      <c r="H647" s="48" t="inlineStr">
        <is>
          <t>Trung</t>
        </is>
      </c>
    </row>
    <row r="648" ht="15" customHeight="1" s="32">
      <c r="A648" s="39" t="inlineStr">
        <is>
          <t>heavy_tank</t>
        </is>
      </c>
      <c r="B648" s="39" t="inlineStr">
        <is>
          <t>Tăng hạng nặng</t>
        </is>
      </c>
      <c r="C648" s="39" t="inlineStr">
        <is>
          <t>Kích thước model (dài × rộng × cao)</t>
        </is>
      </c>
      <c r="D648" s="39" t="inlineStr">
        <is>
          <t>8.8 × 3.2 × 3.5</t>
        </is>
      </c>
      <c r="E648" s="49" t="inlineStr">
        <is>
          <t>Giữ</t>
        </is>
      </c>
      <c r="F648" s="39" t="n"/>
      <c r="G648" s="39" t="inlineStr">
        <is>
          <t>Khớp tỷ lệ chung (mẫu thật 10.0 m).</t>
        </is>
      </c>
      <c r="H648" s="39" t="n"/>
    </row>
    <row r="649" ht="15" customHeight="1" s="32">
      <c r="A649" s="41" t="inlineStr">
        <is>
          <t>heavy_tank</t>
        </is>
      </c>
      <c r="B649" s="41" t="inlineStr">
        <is>
          <t>Tăng hạng nặng</t>
        </is>
      </c>
      <c r="C649" s="41" t="inlineStr">
        <is>
          <t>Tầm nhìn</t>
        </is>
      </c>
      <c r="D649" s="43" t="n">
        <v>30</v>
      </c>
      <c r="E649" s="49" t="inlineStr">
        <is>
          <t>Giữ</t>
        </is>
      </c>
      <c r="F649" s="41" t="n"/>
      <c r="G649" s="41" t="inlineStr">
        <is>
          <t>Khớp vai trò.</t>
        </is>
      </c>
      <c r="H649" s="41" t="n"/>
    </row>
    <row r="650" ht="15" customHeight="1" s="32">
      <c r="A650" s="39" t="inlineStr">
        <is>
          <t>heavy_tank</t>
        </is>
      </c>
      <c r="B650" s="39" t="inlineStr">
        <is>
          <t>Tăng hạng nặng</t>
        </is>
      </c>
      <c r="C650" s="39" t="inlineStr">
        <is>
          <t>Tầm bắn</t>
        </is>
      </c>
      <c r="D650" s="39" t="inlineStr">
        <is>
          <t>34</t>
        </is>
      </c>
      <c r="E650" s="49" t="inlineStr">
        <is>
          <t>Giữ</t>
        </is>
      </c>
      <c r="F650" s="39" t="n"/>
      <c r="G650" s="39" t="inlineStr">
        <is>
          <t>Thứ tự tầm hợp lý trong nhóm.</t>
        </is>
      </c>
      <c r="H650" s="39" t="n"/>
    </row>
    <row r="651" ht="15" customHeight="1" s="32">
      <c r="A651" s="41" t="inlineStr">
        <is>
          <t>heavy_tank</t>
        </is>
      </c>
      <c r="B651" s="41" t="inlineStr">
        <is>
          <t>Tăng hạng nặng</t>
        </is>
      </c>
      <c r="C651" s="41" t="inlineStr">
        <is>
          <t>Giá (CP)</t>
        </is>
      </c>
      <c r="D651" s="43" t="n">
        <v>12</v>
      </c>
      <c r="E651" s="47" t="inlineStr">
        <is>
          <t>Đổi</t>
        </is>
      </c>
      <c r="F651" s="41" t="inlineStr">
        <is>
          <t>13 CP</t>
        </is>
      </c>
      <c r="G651" s="41" t="inlineStr">
        <is>
          <t>Xem sheet Giá CP.</t>
        </is>
      </c>
      <c r="H651" s="47" t="inlineStr">
        <is>
          <t>Cao</t>
        </is>
      </c>
    </row>
    <row r="652" ht="15" customHeight="1" s="32">
      <c r="A652" s="39" t="inlineStr">
        <is>
          <t>heavy_tank</t>
        </is>
      </c>
      <c r="B652" s="39" t="inlineStr">
        <is>
          <t>Tăng hạng nặng</t>
        </is>
      </c>
      <c r="C652" s="39" t="inlineStr">
        <is>
          <t>Vũ khí</t>
        </is>
      </c>
      <c r="D652" s="42" t="n">
        <v>3</v>
      </c>
      <c r="E652" s="49" t="inlineStr">
        <is>
          <t>Giữ</t>
        </is>
      </c>
      <c r="F652" s="39" t="n"/>
      <c r="G652" s="39" t="inlineStr">
        <is>
          <t>Bộ vũ khí khớp mẫu thật và vai trò.</t>
        </is>
      </c>
      <c r="H652" s="39" t="n"/>
    </row>
    <row r="653" ht="21.75" customHeight="1" s="32">
      <c r="A653" s="41" t="inlineStr">
        <is>
          <t>heavy_tank</t>
        </is>
      </c>
      <c r="B653" s="41" t="inlineStr">
        <is>
          <t>Tăng hạng nặng</t>
        </is>
      </c>
      <c r="C653" s="41" t="inlineStr">
        <is>
          <t>Hành vi</t>
        </is>
      </c>
      <c r="D653" s="41" t="inlineStr">
        <is>
          <t xml:space="preserve">Vừa chạy vừa bắn                                                                </t>
        </is>
      </c>
      <c r="E653" s="49" t="inlineStr">
        <is>
          <t>Giữ</t>
        </is>
      </c>
      <c r="F653" s="41" t="n"/>
      <c r="G653" s="41" t="inlineStr">
        <is>
          <t>Hợp vai trò.</t>
        </is>
      </c>
      <c r="H653" s="41" t="n"/>
    </row>
    <row r="654" ht="15" customHeight="1" s="32">
      <c r="A654" s="39" t="inlineStr">
        <is>
          <t>heavy_tank</t>
        </is>
      </c>
      <c r="B654" s="39" t="inlineStr">
        <is>
          <t>Tăng hạng nặng</t>
        </is>
      </c>
      <c r="C654" s="39" t="inlineStr">
        <is>
          <t>Nổ khi bị phá (bán kính)</t>
        </is>
      </c>
      <c r="D654" s="39" t="inlineStr">
        <is>
          <t>9 m · 400 sát thương</t>
        </is>
      </c>
      <c r="E654" s="49" t="inlineStr">
        <is>
          <t>Giữ</t>
        </is>
      </c>
      <c r="F654" s="39" t="n"/>
      <c r="G654" s="39" t="inlineStr">
        <is>
          <t>Hợp với cỡ xe.</t>
        </is>
      </c>
      <c r="H654" s="39" t="n"/>
    </row>
    <row r="655" ht="21.75" customHeight="1" s="32">
      <c r="A655" s="41" t="inlineStr">
        <is>
          <t>heavy_tank</t>
        </is>
      </c>
      <c r="B655" s="41" t="inlineStr">
        <is>
          <t>Tăng hạng nặng</t>
        </is>
      </c>
      <c r="C655" s="41" t="inlineStr">
        <is>
          <t>Tham khảo / model</t>
        </is>
      </c>
      <c r="D655" s="41" t="inlineStr">
        <is>
          <t>tham khảo T-14 (danh sách giữ lại) · 12 CP (hiệu quả 1,16)</t>
        </is>
      </c>
      <c r="E655" s="47" t="inlineStr">
        <is>
          <t>Đổi</t>
        </is>
      </c>
      <c r="F655" s="41" t="inlineStr">
        <is>
          <t>bỏ T-14 khỏi tham khảo, giữ Object 195 / T-95 · giá 13 CP</t>
        </is>
      </c>
      <c r="G655" s="41" t="inlineStr">
        <is>
          <t>Tránh vướng danh sách giữ lại; hơi mạnh so với giá.</t>
        </is>
      </c>
      <c r="H655" s="48" t="inlineStr">
        <is>
          <t>Trung</t>
        </is>
      </c>
    </row>
    <row r="656" ht="15" customHeight="1" s="32">
      <c r="A656" s="39" t="inlineStr">
        <is>
          <t>titan_tank</t>
        </is>
      </c>
      <c r="B656" s="39" t="inlineStr">
        <is>
          <t>Siêu tăng Titan</t>
        </is>
      </c>
      <c r="C656" s="39" t="inlineStr">
        <is>
          <t>Tên</t>
        </is>
      </c>
      <c r="D656" s="39" t="inlineStr">
        <is>
          <t>Siêu tăng Titan</t>
        </is>
      </c>
      <c r="E656" s="47" t="inlineStr">
        <is>
          <t>Đổi</t>
        </is>
      </c>
      <c r="F656" s="39" t="inlineStr">
        <is>
          <t>Siêu tăng · ngắn: Siêu tăng · EN: Super-Heavy Tank</t>
        </is>
      </c>
      <c r="G656" s="39" t="inlineStr">
        <is>
          <t>"Titan" trùng biệt danh tướng Thorne ("Titan"); bỏ để tránh nhầm.</t>
        </is>
      </c>
      <c r="H656" s="49" t="inlineStr">
        <is>
          <t>Thấp</t>
        </is>
      </c>
    </row>
    <row r="657" ht="15" customHeight="1" s="32">
      <c r="A657" s="41" t="inlineStr">
        <is>
          <t>titan_tank</t>
        </is>
      </c>
      <c r="B657" s="41" t="inlineStr">
        <is>
          <t>Siêu tăng Titan</t>
        </is>
      </c>
      <c r="C657" s="41" t="inlineStr">
        <is>
          <t>Máu</t>
        </is>
      </c>
      <c r="D657" s="43" t="n">
        <v>5720</v>
      </c>
      <c r="E657" s="49" t="inlineStr">
        <is>
          <t>Giữ</t>
        </is>
      </c>
      <c r="F657" s="41" t="n"/>
      <c r="G657" s="41" t="inlineStr">
        <is>
          <t>Máu/CP 1.10 × trung vị lớp Hạng nặng.</t>
        </is>
      </c>
      <c r="H657" s="41" t="n"/>
    </row>
    <row r="658" ht="15" customHeight="1" s="32">
      <c r="A658" s="39" t="inlineStr">
        <is>
          <t>titan_tank</t>
        </is>
      </c>
      <c r="B658" s="39" t="inlineStr">
        <is>
          <t>Siêu tăng Titan</t>
        </is>
      </c>
      <c r="C658" s="39" t="inlineStr">
        <is>
          <t>Giáp (T/H/S/N)</t>
        </is>
      </c>
      <c r="D658" s="39" t="inlineStr">
        <is>
          <t>4/3/2/2</t>
        </is>
      </c>
      <c r="E658" s="49" t="inlineStr">
        <is>
          <t>Giữ</t>
        </is>
      </c>
      <c r="F658" s="39" t="n"/>
      <c r="G658" s="39" t="inlineStr">
        <is>
          <t>Khớp mẫu thật theo thang 0–4.</t>
        </is>
      </c>
      <c r="H658" s="39" t="n"/>
    </row>
    <row r="659" ht="15" customHeight="1" s="32">
      <c r="A659" s="41" t="inlineStr">
        <is>
          <t>titan_tank</t>
        </is>
      </c>
      <c r="B659" s="41" t="inlineStr">
        <is>
          <t>Siêu tăng Titan</t>
        </is>
      </c>
      <c r="C659" s="41" t="inlineStr">
        <is>
          <t>Tốc độ</t>
        </is>
      </c>
      <c r="D659" s="43" t="n">
        <v>4.6</v>
      </c>
      <c r="E659" s="47" t="inlineStr">
        <is>
          <t>Đổi</t>
        </is>
      </c>
      <c r="F659" s="41" t="inlineStr">
        <is>
          <t>4,0 m/s · 18 CP</t>
        </is>
      </c>
      <c r="G659" s="41" t="inlineStr">
        <is>
          <t>Nặng hơn Tăng hạng nặng mà chạy nhanh hơn; hiệu quả cao nhất nhóm hạng nặng.</t>
        </is>
      </c>
      <c r="H659" s="48" t="inlineStr">
        <is>
          <t>Trung</t>
        </is>
      </c>
    </row>
    <row r="660" ht="21.75" customHeight="1" s="32">
      <c r="A660" s="39" t="inlineStr">
        <is>
          <t>titan_tank</t>
        </is>
      </c>
      <c r="B660" s="39" t="inlineStr">
        <is>
          <t>Siêu tăng Titan</t>
        </is>
      </c>
      <c r="C660" s="39" t="inlineStr">
        <is>
          <t>Tốc độ xoay thân / tháp</t>
        </is>
      </c>
      <c r="D660" s="39" t="inlineStr">
        <is>
          <t>1 / 1</t>
        </is>
      </c>
      <c r="E660" s="47" t="inlineStr">
        <is>
          <t>Đổi</t>
        </is>
      </c>
      <c r="F660" s="39" t="inlineStr">
        <is>
          <t>1 / 2</t>
        </is>
      </c>
      <c r="G660" s="39" t="inlineStr">
        <is>
          <t>Tháp pháo xe tăng thật xoay nhanh hơn thân (~40°/s); hiện bằng thân. Lưu ý: đơn vị ghi °/s nhưng giá trị 1–6 có vẻ là rad/s, cần kiểm lại nhãn.</t>
        </is>
      </c>
      <c r="H660" s="48" t="inlineStr">
        <is>
          <t>Trung</t>
        </is>
      </c>
    </row>
    <row r="661" ht="15" customHeight="1" s="32">
      <c r="A661" s="41" t="inlineStr">
        <is>
          <t>titan_tank</t>
        </is>
      </c>
      <c r="B661" s="41" t="inlineStr">
        <is>
          <t>Siêu tăng Titan</t>
        </is>
      </c>
      <c r="C661" s="41" t="inlineStr">
        <is>
          <t>Kích thước model (dài × rộng × cao)</t>
        </is>
      </c>
      <c r="D661" s="41" t="inlineStr">
        <is>
          <t>10.4 × 3.6 × 3.5</t>
        </is>
      </c>
      <c r="E661" s="47" t="inlineStr">
        <is>
          <t>Đổi</t>
        </is>
      </c>
      <c r="F661" s="41" t="inlineStr">
        <is>
          <t>dài ≥ 10.6 m</t>
        </is>
      </c>
      <c r="G661" s="41" t="inlineStr">
        <is>
          <t>Phải to hơn rõ rệt so với heavy_tank (8.8 m), khoảng ×1.2.</t>
        </is>
      </c>
      <c r="H661" s="49" t="inlineStr">
        <is>
          <t>Thấp</t>
        </is>
      </c>
    </row>
    <row r="662" ht="15" customHeight="1" s="32">
      <c r="A662" s="39" t="inlineStr">
        <is>
          <t>titan_tank</t>
        </is>
      </c>
      <c r="B662" s="39" t="inlineStr">
        <is>
          <t>Siêu tăng Titan</t>
        </is>
      </c>
      <c r="C662" s="39" t="inlineStr">
        <is>
          <t>Tầm nhìn</t>
        </is>
      </c>
      <c r="D662" s="42" t="n">
        <v>34</v>
      </c>
      <c r="E662" s="49" t="inlineStr">
        <is>
          <t>Giữ</t>
        </is>
      </c>
      <c r="F662" s="39" t="n"/>
      <c r="G662" s="39" t="inlineStr">
        <is>
          <t>Khớp vai trò.</t>
        </is>
      </c>
      <c r="H662" s="39" t="n"/>
    </row>
    <row r="663" ht="15" customHeight="1" s="32">
      <c r="A663" s="41" t="inlineStr">
        <is>
          <t>titan_tank</t>
        </is>
      </c>
      <c r="B663" s="41" t="inlineStr">
        <is>
          <t>Siêu tăng Titan</t>
        </is>
      </c>
      <c r="C663" s="41" t="inlineStr">
        <is>
          <t>Tầm bắn</t>
        </is>
      </c>
      <c r="D663" s="41" t="inlineStr">
        <is>
          <t>40</t>
        </is>
      </c>
      <c r="E663" s="49" t="inlineStr">
        <is>
          <t>Giữ</t>
        </is>
      </c>
      <c r="F663" s="41" t="n"/>
      <c r="G663" s="41" t="inlineStr">
        <is>
          <t>Thứ tự tầm hợp lý trong nhóm.</t>
        </is>
      </c>
      <c r="H663" s="41" t="n"/>
    </row>
    <row r="664" ht="15" customHeight="1" s="32">
      <c r="A664" s="39" t="inlineStr">
        <is>
          <t>titan_tank</t>
        </is>
      </c>
      <c r="B664" s="39" t="inlineStr">
        <is>
          <t>Siêu tăng Titan</t>
        </is>
      </c>
      <c r="C664" s="39" t="inlineStr">
        <is>
          <t>Giá (CP)</t>
        </is>
      </c>
      <c r="D664" s="42" t="n">
        <v>16</v>
      </c>
      <c r="E664" s="47" t="inlineStr">
        <is>
          <t>Đổi</t>
        </is>
      </c>
      <c r="F664" s="39" t="inlineStr">
        <is>
          <t>18 CP</t>
        </is>
      </c>
      <c r="G664" s="39" t="inlineStr">
        <is>
          <t>Xem sheet Giá CP.</t>
        </is>
      </c>
      <c r="H664" s="47" t="inlineStr">
        <is>
          <t>Cao</t>
        </is>
      </c>
    </row>
    <row r="665" ht="15" customHeight="1" s="32">
      <c r="A665" s="41" t="inlineStr">
        <is>
          <t>titan_tank</t>
        </is>
      </c>
      <c r="B665" s="41" t="inlineStr">
        <is>
          <t>Siêu tăng Titan</t>
        </is>
      </c>
      <c r="C665" s="41" t="inlineStr">
        <is>
          <t>Vũ khí</t>
        </is>
      </c>
      <c r="D665" s="43" t="n">
        <v>4</v>
      </c>
      <c r="E665" s="49" t="inlineStr">
        <is>
          <t>Giữ</t>
        </is>
      </c>
      <c r="F665" s="41" t="n"/>
      <c r="G665" s="41" t="inlineStr">
        <is>
          <t>Bộ vũ khí khớp mẫu thật và vai trò.</t>
        </is>
      </c>
      <c r="H665" s="41" t="n"/>
    </row>
    <row r="666" ht="21.75" customHeight="1" s="32">
      <c r="A666" s="39" t="inlineStr">
        <is>
          <t>titan_tank</t>
        </is>
      </c>
      <c r="B666" s="39" t="inlineStr">
        <is>
          <t>Siêu tăng Titan</t>
        </is>
      </c>
      <c r="C666" s="39" t="inlineStr">
        <is>
          <t>Hành vi</t>
        </is>
      </c>
      <c r="D666" s="39" t="inlineStr">
        <is>
          <t>Vừa chạy vừa bắn; Diệt tăng (6); Xe phóng drone FPV</t>
        </is>
      </c>
      <c r="E666" s="49" t="inlineStr">
        <is>
          <t>Giữ</t>
        </is>
      </c>
      <c r="F666" s="39" t="n"/>
      <c r="G666" s="39" t="inlineStr">
        <is>
          <t>Hợp vai trò.</t>
        </is>
      </c>
      <c r="H666" s="39" t="n"/>
    </row>
    <row r="667" ht="15" customHeight="1" s="32">
      <c r="A667" s="41" t="inlineStr">
        <is>
          <t>titan_tank</t>
        </is>
      </c>
      <c r="B667" s="41" t="inlineStr">
        <is>
          <t>Siêu tăng Titan</t>
        </is>
      </c>
      <c r="C667" s="41" t="inlineStr">
        <is>
          <t>Nổ khi bị phá (bán kính)</t>
        </is>
      </c>
      <c r="D667" s="41" t="inlineStr">
        <is>
          <t>12 m · 520 sát thương</t>
        </is>
      </c>
      <c r="E667" s="47" t="inlineStr">
        <is>
          <t>Đổi</t>
        </is>
      </c>
      <c r="F667" s="41" t="inlineStr">
        <is>
          <t>~8 m</t>
        </is>
      </c>
      <c r="G667" s="41" t="inlineStr">
        <is>
          <t>Bán kính nổ khi bị phá nên theo cỡ xe, cộng thêm nếu xe chở nhiều đạn/nhiên liệu.</t>
        </is>
      </c>
      <c r="H667" s="49" t="inlineStr">
        <is>
          <t>Thấp</t>
        </is>
      </c>
    </row>
    <row r="668" ht="32.25" customHeight="1" s="32">
      <c r="A668" s="39" t="inlineStr">
        <is>
          <t>titan_tank</t>
        </is>
      </c>
      <c r="B668" s="39" t="inlineStr">
        <is>
          <t>Siêu tăng Titan</t>
        </is>
      </c>
      <c r="C668" s="39" t="inlineStr">
        <is>
          <t>Tham khảo / model</t>
        </is>
      </c>
      <c r="D668" s="39" t="inlineStr">
        <is>
          <t>Rheinmetall NPzK 140 mm, Landkreuzer P. 1000 Ratte · Mammoth Tank (Command &amp; Conquer) — ướ</t>
        </is>
      </c>
      <c r="E668" s="49" t="inlineStr">
        <is>
          <t>Giữ</t>
        </is>
      </c>
      <c r="F668" s="39" t="n"/>
      <c r="G668" s="39" t="inlineStr">
        <is>
          <t>Khớp vũ khí và vai trò.</t>
        </is>
      </c>
      <c r="H668" s="39" t="n"/>
    </row>
    <row r="669" ht="21.75" customHeight="1" s="32">
      <c r="A669" s="41" t="inlineStr">
        <is>
          <t>fpv_carrier</t>
        </is>
      </c>
      <c r="B669" s="41" t="inlineStr">
        <is>
          <t>Xe phóng drone FPV</t>
        </is>
      </c>
      <c r="C669" s="41" t="inlineStr">
        <is>
          <t>Tên</t>
        </is>
      </c>
      <c r="D669" s="41" t="inlineStr">
        <is>
          <t>Xe phóng drone FPV</t>
        </is>
      </c>
      <c r="E669" s="49" t="inlineStr">
        <is>
          <t>Giữ</t>
        </is>
      </c>
      <c r="F669" s="41" t="inlineStr">
        <is>
          <t>Xe phóng drone FPV · ngắn: Drone FPV · EN: FPV Drone Carrier</t>
        </is>
      </c>
      <c r="G669" s="41" t="inlineStr">
        <is>
          <t>Giữ.</t>
        </is>
      </c>
      <c r="H669" s="41" t="n"/>
    </row>
    <row r="670" ht="15" customHeight="1" s="32">
      <c r="A670" s="39" t="inlineStr">
        <is>
          <t>fpv_carrier</t>
        </is>
      </c>
      <c r="B670" s="39" t="inlineStr">
        <is>
          <t>Xe phóng drone FPV</t>
        </is>
      </c>
      <c r="C670" s="39" t="inlineStr">
        <is>
          <t>Máu</t>
        </is>
      </c>
      <c r="D670" s="42" t="n">
        <v>924</v>
      </c>
      <c r="E670" s="49" t="inlineStr">
        <is>
          <t>Giữ</t>
        </is>
      </c>
      <c r="F670" s="39" t="n"/>
      <c r="G670" s="39" t="inlineStr">
        <is>
          <t>Máu/CP 1.00 × trung vị lớp Diệt tăng.</t>
        </is>
      </c>
      <c r="H670" s="39" t="n"/>
    </row>
    <row r="671" ht="15" customHeight="1" s="32">
      <c r="A671" s="41" t="inlineStr">
        <is>
          <t>fpv_carrier</t>
        </is>
      </c>
      <c r="B671" s="41" t="inlineStr">
        <is>
          <t>Xe phóng drone FPV</t>
        </is>
      </c>
      <c r="C671" s="41" t="inlineStr">
        <is>
          <t>Giáp (T/H/S/N)</t>
        </is>
      </c>
      <c r="D671" s="41" t="inlineStr">
        <is>
          <t>1/0/0/0</t>
        </is>
      </c>
      <c r="E671" s="49" t="inlineStr">
        <is>
          <t>Giữ</t>
        </is>
      </c>
      <c r="F671" s="41" t="n"/>
      <c r="G671" s="41" t="inlineStr">
        <is>
          <t>Giả tưởng / máy bay; khớp vai trò.</t>
        </is>
      </c>
      <c r="H671" s="41" t="n"/>
    </row>
    <row r="672" ht="15" customHeight="1" s="32">
      <c r="A672" s="39" t="inlineStr">
        <is>
          <t>fpv_carrier</t>
        </is>
      </c>
      <c r="B672" s="39" t="inlineStr">
        <is>
          <t>Xe phóng drone FPV</t>
        </is>
      </c>
      <c r="C672" s="39" t="inlineStr">
        <is>
          <t>Tốc độ</t>
        </is>
      </c>
      <c r="D672" s="42" t="n">
        <v>9</v>
      </c>
      <c r="E672" s="49" t="inlineStr">
        <is>
          <t>Giữ</t>
        </is>
      </c>
      <c r="F672" s="39" t="n"/>
      <c r="G672" s="39" t="inlineStr">
        <is>
          <t>Gần tốc độ thật × hệ số nén (11.7).</t>
        </is>
      </c>
      <c r="H672" s="39" t="n"/>
    </row>
    <row r="673" ht="15" customHeight="1" s="32">
      <c r="A673" s="41" t="inlineStr">
        <is>
          <t>fpv_carrier</t>
        </is>
      </c>
      <c r="B673" s="41" t="inlineStr">
        <is>
          <t>Xe phóng drone FPV</t>
        </is>
      </c>
      <c r="C673" s="41" t="inlineStr">
        <is>
          <t>Tốc độ xoay thân / tháp</t>
        </is>
      </c>
      <c r="D673" s="41" t="inlineStr">
        <is>
          <t>2 / 2</t>
        </is>
      </c>
      <c r="E673" s="49" t="inlineStr">
        <is>
          <t>Giữ</t>
        </is>
      </c>
      <c r="F673" s="41" t="n"/>
      <c r="G673" s="41" t="inlineStr">
        <is>
          <t>Hợp lý so với loại xe.</t>
        </is>
      </c>
      <c r="H673" s="41" t="n"/>
    </row>
    <row r="674" ht="21.75" customHeight="1" s="32">
      <c r="A674" s="39" t="inlineStr">
        <is>
          <t>fpv_carrier</t>
        </is>
      </c>
      <c r="B674" s="39" t="inlineStr">
        <is>
          <t>Xe phóng drone FPV</t>
        </is>
      </c>
      <c r="C674" s="39" t="inlineStr">
        <is>
          <t>Kích thước model (dài × rộng × cao)</t>
        </is>
      </c>
      <c r="D674" s="39" t="inlineStr">
        <is>
          <t>7.0 × 2.6 × 3.6</t>
        </is>
      </c>
      <c r="E674" s="47" t="inlineStr">
        <is>
          <t>Đổi</t>
        </is>
      </c>
      <c r="F674" s="39" t="inlineStr">
        <is>
          <t>7.2 × 2.0 × 2.6</t>
        </is>
      </c>
      <c r="G674" s="39" t="inlineStr">
        <is>
          <t>Mẫu thật KamAZ Typhoon-K: 9.0 × 2.55 m; theo tỷ lệ chung (mặt đất 0,8) nên là 7.2 × 2.0 m. Đổi kích thước thì chỉnh vùng va chạm và chạy lại test xe kẹt.</t>
        </is>
      </c>
      <c r="H674" s="49" t="inlineStr">
        <is>
          <t>Thấp</t>
        </is>
      </c>
    </row>
    <row r="675" ht="15" customHeight="1" s="32">
      <c r="A675" s="41" t="inlineStr">
        <is>
          <t>fpv_carrier</t>
        </is>
      </c>
      <c r="B675" s="41" t="inlineStr">
        <is>
          <t>Xe phóng drone FPV</t>
        </is>
      </c>
      <c r="C675" s="41" t="inlineStr">
        <is>
          <t>Tầm nhìn</t>
        </is>
      </c>
      <c r="D675" s="43" t="n">
        <v>48</v>
      </c>
      <c r="E675" s="49" t="inlineStr">
        <is>
          <t>Giữ</t>
        </is>
      </c>
      <c r="F675" s="41" t="n"/>
      <c r="G675" s="41" t="inlineStr">
        <is>
          <t>Khớp vai trò.</t>
        </is>
      </c>
      <c r="H675" s="41" t="n"/>
    </row>
    <row r="676" ht="15" customHeight="1" s="32">
      <c r="A676" s="39" t="inlineStr">
        <is>
          <t>fpv_carrier</t>
        </is>
      </c>
      <c r="B676" s="39" t="inlineStr">
        <is>
          <t>Xe phóng drone FPV</t>
        </is>
      </c>
      <c r="C676" s="39" t="inlineStr">
        <is>
          <t>Tầm bắn</t>
        </is>
      </c>
      <c r="D676" s="39" t="inlineStr">
        <is>
          <t>75</t>
        </is>
      </c>
      <c r="E676" s="49" t="inlineStr">
        <is>
          <t>Giữ</t>
        </is>
      </c>
      <c r="F676" s="39" t="n"/>
      <c r="G676" s="39" t="inlineStr">
        <is>
          <t>Thứ tự tầm hợp lý trong nhóm.</t>
        </is>
      </c>
      <c r="H676" s="39" t="n"/>
    </row>
    <row r="677" ht="15" customHeight="1" s="32">
      <c r="A677" s="41" t="inlineStr">
        <is>
          <t>fpv_carrier</t>
        </is>
      </c>
      <c r="B677" s="41" t="inlineStr">
        <is>
          <t>Xe phóng drone FPV</t>
        </is>
      </c>
      <c r="C677" s="41" t="inlineStr">
        <is>
          <t>Giá (CP)</t>
        </is>
      </c>
      <c r="D677" s="43" t="n">
        <v>6</v>
      </c>
      <c r="E677" s="49" t="inlineStr">
        <is>
          <t>Giữ</t>
        </is>
      </c>
      <c r="F677" s="41" t="n"/>
      <c r="G677" s="41" t="inlineStr">
        <is>
          <t>Hiệu quả trong khoảng ±25% trung vị, thứ tự giá hợp ngoài đời (sheet Giá CP).</t>
        </is>
      </c>
      <c r="H677" s="41" t="n"/>
    </row>
    <row r="678" ht="15" customHeight="1" s="32">
      <c r="A678" s="39" t="inlineStr">
        <is>
          <t>fpv_carrier</t>
        </is>
      </c>
      <c r="B678" s="39" t="inlineStr">
        <is>
          <t>Xe phóng drone FPV</t>
        </is>
      </c>
      <c r="C678" s="39" t="inlineStr">
        <is>
          <t>Vũ khí</t>
        </is>
      </c>
      <c r="D678" s="42" t="n">
        <v>2</v>
      </c>
      <c r="E678" s="49" t="inlineStr">
        <is>
          <t>Giữ</t>
        </is>
      </c>
      <c r="F678" s="39" t="n"/>
      <c r="G678" s="39" t="inlineStr">
        <is>
          <t>Bộ vũ khí khớp mẫu thật và vai trò.</t>
        </is>
      </c>
      <c r="H678" s="39" t="n"/>
    </row>
    <row r="679" ht="32.25" customHeight="1" s="32">
      <c r="A679" s="41" t="inlineStr">
        <is>
          <t>fpv_carrier</t>
        </is>
      </c>
      <c r="B679" s="41" t="inlineStr">
        <is>
          <t>Xe phóng drone FPV</t>
        </is>
      </c>
      <c r="C679" s="41" t="inlineStr">
        <is>
          <t>Hành vi</t>
        </is>
      </c>
      <c r="D679" s="41" t="inlineStr">
        <is>
          <t>Dừng lại mới bắn, từ 12-75 m; cần ta nhìn thấy mục tiêu (tự nó hoặc quân bạn); H</t>
        </is>
      </c>
      <c r="E679" s="49" t="inlineStr">
        <is>
          <t>Giữ</t>
        </is>
      </c>
      <c r="F679" s="41" t="n"/>
      <c r="G679" s="41" t="inlineStr">
        <is>
          <t>Hợp vai trò.</t>
        </is>
      </c>
      <c r="H679" s="41" t="n"/>
    </row>
    <row r="680" ht="15" customHeight="1" s="32">
      <c r="A680" s="39" t="inlineStr">
        <is>
          <t>fpv_carrier</t>
        </is>
      </c>
      <c r="B680" s="39" t="inlineStr">
        <is>
          <t>Xe phóng drone FPV</t>
        </is>
      </c>
      <c r="C680" s="39" t="inlineStr">
        <is>
          <t>Nổ khi bị phá (bán kính)</t>
        </is>
      </c>
      <c r="D680" s="39" t="inlineStr">
        <is>
          <t>7 m · 200 sát thương</t>
        </is>
      </c>
      <c r="E680" s="49" t="inlineStr">
        <is>
          <t>Giữ</t>
        </is>
      </c>
      <c r="F680" s="39" t="n"/>
      <c r="G680" s="39" t="inlineStr">
        <is>
          <t>Hợp với cỡ xe.</t>
        </is>
      </c>
      <c r="H680" s="39" t="n"/>
    </row>
    <row r="681" ht="32.25" customHeight="1" s="32">
      <c r="A681" s="41" t="inlineStr">
        <is>
          <t>fpv_carrier</t>
        </is>
      </c>
      <c r="B681" s="41" t="inlineStr">
        <is>
          <t>Xe phóng drone FPV</t>
        </is>
      </c>
      <c r="C681" s="41" t="inlineStr">
        <is>
          <t>Tham khảo / model</t>
        </is>
      </c>
      <c r="D681" s="41" t="inlineStr">
        <is>
          <t>KamAZ Typhoon-K, RG-33 MRAP, drone FPV (chiến sự Ukraine) — Xe MRAP phóng drone cảm tử FPV</t>
        </is>
      </c>
      <c r="E681" s="49" t="inlineStr">
        <is>
          <t>Giữ</t>
        </is>
      </c>
      <c r="F681" s="41" t="n"/>
      <c r="G681" s="41" t="inlineStr">
        <is>
          <t>Khớp vũ khí và vai trò.</t>
        </is>
      </c>
      <c r="H681" s="41" t="n"/>
    </row>
    <row r="682" ht="21.75" customHeight="1" s="32">
      <c r="A682" s="39"/>
      <c r="B682" s="39"/>
      <c r="C682" s="39"/>
      <c r="D682" s="39"/>
      <c r="E682" s="47"/>
      <c r="F682" s="39"/>
      <c r="G682" s="39"/>
      <c r="H682" s="49"/>
    </row>
    <row r="683" ht="15" customHeight="1" s="32">
      <c r="A683" s="41"/>
      <c r="B683" s="41"/>
      <c r="C683" s="41"/>
      <c r="D683" s="43"/>
      <c r="E683" s="49"/>
      <c r="F683" s="41"/>
      <c r="G683" s="41"/>
      <c r="H683" s="41"/>
    </row>
    <row r="684" ht="15" customHeight="1" s="32">
      <c r="A684" s="39"/>
      <c r="B684" s="39"/>
      <c r="C684" s="39"/>
      <c r="D684" s="39"/>
      <c r="E684" s="49"/>
      <c r="F684" s="39"/>
      <c r="G684" s="39"/>
      <c r="H684" s="39"/>
    </row>
    <row r="685" ht="15" customHeight="1" s="32">
      <c r="A685" s="41"/>
      <c r="B685" s="41"/>
      <c r="C685" s="41"/>
      <c r="D685" s="43"/>
      <c r="E685" s="49"/>
      <c r="F685" s="41"/>
      <c r="G685" s="41"/>
      <c r="H685" s="41"/>
    </row>
    <row r="686" ht="15" customHeight="1" s="32">
      <c r="A686" s="39"/>
      <c r="B686" s="39"/>
      <c r="C686" s="39"/>
      <c r="D686" s="39"/>
      <c r="E686" s="49"/>
      <c r="F686" s="39"/>
      <c r="G686" s="39"/>
      <c r="H686" s="39"/>
    </row>
    <row r="687" ht="21.75" customHeight="1" s="32">
      <c r="A687" s="41"/>
      <c r="B687" s="41"/>
      <c r="C687" s="41"/>
      <c r="D687" s="41"/>
      <c r="E687" s="47"/>
      <c r="F687" s="41"/>
      <c r="G687" s="41"/>
      <c r="H687" s="49"/>
    </row>
    <row r="688" ht="15" customHeight="1" s="32">
      <c r="A688" s="39"/>
      <c r="B688" s="39"/>
      <c r="C688" s="39"/>
      <c r="D688" s="42"/>
      <c r="E688" s="49"/>
      <c r="F688" s="39"/>
      <c r="G688" s="39"/>
      <c r="H688" s="39"/>
    </row>
    <row r="689" ht="15" customHeight="1" s="32">
      <c r="A689" s="41"/>
      <c r="B689" s="41"/>
      <c r="C689" s="41"/>
      <c r="D689" s="41"/>
      <c r="E689" s="49"/>
      <c r="F689" s="41"/>
      <c r="G689" s="41"/>
      <c r="H689" s="41"/>
    </row>
    <row r="690" ht="15" customHeight="1" s="32">
      <c r="A690" s="39"/>
      <c r="B690" s="39"/>
      <c r="C690" s="39"/>
      <c r="D690" s="42"/>
      <c r="E690" s="49"/>
      <c r="F690" s="39"/>
      <c r="G690" s="39"/>
      <c r="H690" s="39"/>
    </row>
    <row r="691" ht="15" customHeight="1" s="32">
      <c r="A691" s="41"/>
      <c r="B691" s="41"/>
      <c r="C691" s="41"/>
      <c r="D691" s="43"/>
      <c r="E691" s="49"/>
      <c r="F691" s="41"/>
      <c r="G691" s="41"/>
      <c r="H691" s="41"/>
    </row>
    <row r="692" ht="32.25" customHeight="1" s="32">
      <c r="A692" s="39"/>
      <c r="B692" s="39"/>
      <c r="C692" s="39"/>
      <c r="D692" s="39"/>
      <c r="E692" s="49"/>
      <c r="F692" s="39"/>
      <c r="G692" s="39"/>
      <c r="H692" s="39"/>
    </row>
    <row r="693" ht="21.75" customHeight="1" s="32">
      <c r="A693" s="41"/>
      <c r="B693" s="41"/>
      <c r="C693" s="41"/>
      <c r="D693" s="41"/>
      <c r="E693" s="47"/>
      <c r="F693" s="41"/>
      <c r="G693" s="41"/>
      <c r="H693" s="49"/>
    </row>
    <row r="694" ht="32.25" customHeight="1" s="32">
      <c r="A694" s="39"/>
      <c r="B694" s="39"/>
      <c r="C694" s="39"/>
      <c r="D694" s="39"/>
      <c r="E694" s="49"/>
      <c r="F694" s="39"/>
      <c r="G694" s="39"/>
      <c r="H694" s="39"/>
    </row>
    <row r="695" ht="21.75" customHeight="1" s="32">
      <c r="A695" s="41" t="inlineStr">
        <is>
          <t>wheeled_gun</t>
        </is>
      </c>
      <c r="B695" s="41" t="inlineStr">
        <is>
          <t>Pháo bánh lốp diệt tăng</t>
        </is>
      </c>
      <c r="C695" s="41" t="inlineStr">
        <is>
          <t>Tên</t>
        </is>
      </c>
      <c r="D695" s="41" t="inlineStr">
        <is>
          <t>Pháo bánh lốp diệt tăng</t>
        </is>
      </c>
      <c r="E695" s="47" t="inlineStr">
        <is>
          <t>Đổi</t>
        </is>
      </c>
      <c r="F695" s="41" t="inlineStr">
        <is>
          <t>Pháo xung kích bánh lốp · ngắn: Bánh lốp diệt tăng · EN: Wheeled Tank Destroyer</t>
        </is>
      </c>
      <c r="G695" s="41" t="inlineStr">
        <is>
          <t>Tên hiện dài và lặp "pháo"; "xung kích" nói rõ vai trò đánh nhanh.</t>
        </is>
      </c>
      <c r="H695" s="49" t="inlineStr">
        <is>
          <t>Thấp</t>
        </is>
      </c>
    </row>
    <row r="696" ht="15" customHeight="1" s="32">
      <c r="A696" s="39" t="inlineStr">
        <is>
          <t>wheeled_gun</t>
        </is>
      </c>
      <c r="B696" s="39" t="inlineStr">
        <is>
          <t>Pháo bánh lốp diệt tăng</t>
        </is>
      </c>
      <c r="C696" s="39" t="inlineStr">
        <is>
          <t>Máu</t>
        </is>
      </c>
      <c r="D696" s="42" t="n">
        <v>1914</v>
      </c>
      <c r="E696" s="47" t="inlineStr">
        <is>
          <t>Đổi</t>
        </is>
      </c>
      <c r="F696" s="39" t="inlineStr">
        <is>
          <t>1.500</t>
        </is>
      </c>
      <c r="G696" s="39" t="inlineStr">
        <is>
          <t>Xe bánh lốp giáp nhẹ không thể trâu như tăng.</t>
        </is>
      </c>
      <c r="H696" s="47" t="inlineStr">
        <is>
          <t>Cao</t>
        </is>
      </c>
    </row>
    <row r="697" ht="15" customHeight="1" s="32">
      <c r="A697" s="41" t="inlineStr">
        <is>
          <t>wheeled_gun</t>
        </is>
      </c>
      <c r="B697" s="41" t="inlineStr">
        <is>
          <t>Pháo bánh lốp diệt tăng</t>
        </is>
      </c>
      <c r="C697" s="41" t="inlineStr">
        <is>
          <t>Giáp (T/H/S/N)</t>
        </is>
      </c>
      <c r="D697" s="41" t="inlineStr">
        <is>
          <t>2/1/0/0</t>
        </is>
      </c>
      <c r="E697" s="49" t="inlineStr">
        <is>
          <t>Giữ</t>
        </is>
      </c>
      <c r="F697" s="41" t="n"/>
      <c r="G697" s="41" t="inlineStr">
        <is>
          <t>Khớp mẫu thật theo thang 0–4.</t>
        </is>
      </c>
      <c r="H697" s="41" t="n"/>
    </row>
    <row r="698" ht="15" customHeight="1" s="32">
      <c r="A698" s="39" t="inlineStr">
        <is>
          <t>wheeled_gun</t>
        </is>
      </c>
      <c r="B698" s="39" t="inlineStr">
        <is>
          <t>Pháo bánh lốp diệt tăng</t>
        </is>
      </c>
      <c r="C698" s="39" t="inlineStr">
        <is>
          <t>Tốc độ</t>
        </is>
      </c>
      <c r="D698" s="42" t="n">
        <v>12</v>
      </c>
      <c r="E698" s="49" t="inlineStr">
        <is>
          <t>Giữ</t>
        </is>
      </c>
      <c r="F698" s="39" t="n"/>
      <c r="G698" s="39" t="inlineStr">
        <is>
          <t>Gần tốc độ thật × hệ số nén (11.7).</t>
        </is>
      </c>
      <c r="H698" s="39" t="n"/>
    </row>
    <row r="699" ht="15" customHeight="1" s="32">
      <c r="A699" s="41" t="inlineStr">
        <is>
          <t>wheeled_gun</t>
        </is>
      </c>
      <c r="B699" s="41" t="inlineStr">
        <is>
          <t>Pháo bánh lốp diệt tăng</t>
        </is>
      </c>
      <c r="C699" s="41" t="inlineStr">
        <is>
          <t>Tốc độ xoay thân / tháp</t>
        </is>
      </c>
      <c r="D699" s="41" t="inlineStr">
        <is>
          <t>2 / 2</t>
        </is>
      </c>
      <c r="E699" s="49" t="inlineStr">
        <is>
          <t>Giữ</t>
        </is>
      </c>
      <c r="F699" s="41" t="n"/>
      <c r="G699" s="41" t="inlineStr">
        <is>
          <t>Hợp lý so với loại xe.</t>
        </is>
      </c>
      <c r="H699" s="41" t="n"/>
    </row>
    <row r="700" ht="15" customHeight="1" s="32">
      <c r="A700" s="39" t="inlineStr">
        <is>
          <t>wheeled_gun</t>
        </is>
      </c>
      <c r="B700" s="39" t="inlineStr">
        <is>
          <t>Pháo bánh lốp diệt tăng</t>
        </is>
      </c>
      <c r="C700" s="39" t="inlineStr">
        <is>
          <t>Kích thước model (dài × rộng × cao)</t>
        </is>
      </c>
      <c r="D700" s="39" t="inlineStr">
        <is>
          <t>9.4 × 2.6 × 3.1</t>
        </is>
      </c>
      <c r="E700" s="49" t="inlineStr">
        <is>
          <t>Giữ</t>
        </is>
      </c>
      <c r="F700" s="39" t="n"/>
      <c r="G700" s="39" t="inlineStr">
        <is>
          <t>Khớp tỷ lệ chung (mẫu thật 9.9 m).</t>
        </is>
      </c>
      <c r="H700" s="39" t="n"/>
    </row>
    <row r="701" ht="15" customHeight="1" s="32">
      <c r="A701" s="41" t="inlineStr">
        <is>
          <t>wheeled_gun</t>
        </is>
      </c>
      <c r="B701" s="41" t="inlineStr">
        <is>
          <t>Pháo bánh lốp diệt tăng</t>
        </is>
      </c>
      <c r="C701" s="41" t="inlineStr">
        <is>
          <t>Tầm nhìn</t>
        </is>
      </c>
      <c r="D701" s="43" t="n">
        <v>38</v>
      </c>
      <c r="E701" s="49" t="inlineStr">
        <is>
          <t>Giữ</t>
        </is>
      </c>
      <c r="F701" s="41" t="n"/>
      <c r="G701" s="41" t="inlineStr">
        <is>
          <t>Khớp vai trò.</t>
        </is>
      </c>
      <c r="H701" s="41" t="n"/>
    </row>
    <row r="702" ht="15" customHeight="1" s="32">
      <c r="A702" s="39" t="inlineStr">
        <is>
          <t>wheeled_gun</t>
        </is>
      </c>
      <c r="B702" s="39" t="inlineStr">
        <is>
          <t>Pháo bánh lốp diệt tăng</t>
        </is>
      </c>
      <c r="C702" s="39" t="inlineStr">
        <is>
          <t>Tầm bắn</t>
        </is>
      </c>
      <c r="D702" s="39" t="inlineStr">
        <is>
          <t>38</t>
        </is>
      </c>
      <c r="E702" s="49" t="inlineStr">
        <is>
          <t>Giữ</t>
        </is>
      </c>
      <c r="F702" s="39" t="n"/>
      <c r="G702" s="39" t="inlineStr">
        <is>
          <t>Thứ tự tầm hợp lý trong nhóm.</t>
        </is>
      </c>
      <c r="H702" s="39" t="n"/>
    </row>
    <row r="703" ht="15" customHeight="1" s="32">
      <c r="A703" s="41" t="inlineStr">
        <is>
          <t>wheeled_gun</t>
        </is>
      </c>
      <c r="B703" s="41" t="inlineStr">
        <is>
          <t>Pháo bánh lốp diệt tăng</t>
        </is>
      </c>
      <c r="C703" s="41" t="inlineStr">
        <is>
          <t>Giá (CP)</t>
        </is>
      </c>
      <c r="D703" s="43" t="n">
        <v>6</v>
      </c>
      <c r="E703" s="49" t="inlineStr">
        <is>
          <t>Giữ</t>
        </is>
      </c>
      <c r="F703" s="41" t="n"/>
      <c r="G703" s="41" t="inlineStr">
        <is>
          <t>Hiệu quả trong khoảng ±25% trung vị, thứ tự giá hợp ngoài đời (sheet Giá CP).</t>
        </is>
      </c>
      <c r="H703" s="41" t="n"/>
    </row>
    <row r="704" ht="21.75" customHeight="1" s="32">
      <c r="A704" s="39" t="inlineStr">
        <is>
          <t>wheeled_gun</t>
        </is>
      </c>
      <c r="B704" s="39" t="inlineStr">
        <is>
          <t>Pháo bánh lốp diệt tăng</t>
        </is>
      </c>
      <c r="C704" s="39" t="inlineStr">
        <is>
          <t>Vũ khí: 120 mm</t>
        </is>
      </c>
      <c r="D704" s="39" t="inlineStr">
        <is>
          <t>0,36 phát/s (nạp 2,8 s, nhanh hơn MBT)</t>
        </is>
      </c>
      <c r="E704" s="47" t="inlineStr">
        <is>
          <t>Đổi</t>
        </is>
      </c>
      <c r="F704" s="39" t="inlineStr">
        <is>
          <t>0,27 phát/s (DPS duy trì 94→~70)</t>
        </is>
      </c>
      <c r="G704" s="39" t="inlineStr">
        <is>
          <t>Nạp tay không thể nhanh hơn tăng chủ lực; đang lấn át Pháo chống tăng.</t>
        </is>
      </c>
      <c r="H704" s="47" t="inlineStr">
        <is>
          <t>Cao</t>
        </is>
      </c>
    </row>
    <row r="705" ht="15" customHeight="1" s="32">
      <c r="A705" s="41" t="inlineStr">
        <is>
          <t>wheeled_gun</t>
        </is>
      </c>
      <c r="B705" s="41" t="inlineStr">
        <is>
          <t>Pháo bánh lốp diệt tăng</t>
        </is>
      </c>
      <c r="C705" s="41" t="inlineStr">
        <is>
          <t>Hành vi</t>
        </is>
      </c>
      <c r="D705" s="41" t="inlineStr">
        <is>
          <t>Vừa chạy vừa bắn; Pháo chống tăng</t>
        </is>
      </c>
      <c r="E705" s="49" t="inlineStr">
        <is>
          <t>Giữ</t>
        </is>
      </c>
      <c r="F705" s="41" t="n"/>
      <c r="G705" s="41" t="inlineStr">
        <is>
          <t>Hợp vai trò.</t>
        </is>
      </c>
      <c r="H705" s="41" t="n"/>
    </row>
    <row r="706" ht="15" customHeight="1" s="32">
      <c r="A706" s="39" t="inlineStr">
        <is>
          <t>wheeled_gun</t>
        </is>
      </c>
      <c r="B706" s="39" t="inlineStr">
        <is>
          <t>Pháo bánh lốp diệt tăng</t>
        </is>
      </c>
      <c r="C706" s="39" t="inlineStr">
        <is>
          <t>Nổ khi bị phá (bán kính)</t>
        </is>
      </c>
      <c r="D706" s="39" t="inlineStr">
        <is>
          <t>7 m · 200 sát thương</t>
        </is>
      </c>
      <c r="E706" s="49" t="inlineStr">
        <is>
          <t>Giữ</t>
        </is>
      </c>
      <c r="F706" s="39" t="n"/>
      <c r="G706" s="39" t="inlineStr">
        <is>
          <t>Hợp với cỡ xe.</t>
        </is>
      </c>
      <c r="H706" s="39" t="n"/>
    </row>
    <row r="707" ht="32.25" customHeight="1" s="32">
      <c r="A707" s="41" t="inlineStr">
        <is>
          <t>wheeled_gun</t>
        </is>
      </c>
      <c r="B707" s="41" t="inlineStr">
        <is>
          <t>Pháo bánh lốp diệt tăng</t>
        </is>
      </c>
      <c r="C707" s="41" t="inlineStr">
        <is>
          <t>Tham khảo / model</t>
        </is>
      </c>
      <c r="D707" s="41" t="inlineStr">
        <is>
          <t>Centauro B1 / Centauro II 120 mm, M1128 MGS, Rooikat — Pháo chống tăng bánh lốp 8x8</t>
        </is>
      </c>
      <c r="E707" s="49" t="inlineStr">
        <is>
          <t>Giữ</t>
        </is>
      </c>
      <c r="F707" s="41" t="n"/>
      <c r="G707" s="41" t="inlineStr">
        <is>
          <t>Khớp vũ khí và vai trò.</t>
        </is>
      </c>
      <c r="H707" s="41" t="n"/>
    </row>
    <row r="708" ht="21.75" customHeight="1" s="32">
      <c r="A708" s="39" t="inlineStr">
        <is>
          <t>tank_destroyer</t>
        </is>
      </c>
      <c r="B708" s="39" t="inlineStr">
        <is>
          <t>Pháo chống tăng</t>
        </is>
      </c>
      <c r="C708" s="39" t="inlineStr">
        <is>
          <t>Tên</t>
        </is>
      </c>
      <c r="D708" s="39" t="inlineStr">
        <is>
          <t>Pháo chống tăng</t>
        </is>
      </c>
      <c r="E708" s="47" t="inlineStr">
        <is>
          <t>Đổi</t>
        </is>
      </c>
      <c r="F708" s="39" t="inlineStr">
        <is>
          <t>Pháo chống tăng tự hành · ngắn: Chống tăng · EN: Tank Destroyer</t>
        </is>
      </c>
      <c r="G708" s="39" t="inlineStr">
        <is>
          <t>Giữ nghĩa.</t>
        </is>
      </c>
      <c r="H708" s="49" t="inlineStr">
        <is>
          <t>Thấp</t>
        </is>
      </c>
    </row>
    <row r="709" ht="15" customHeight="1" s="32">
      <c r="A709" s="41" t="inlineStr">
        <is>
          <t>tank_destroyer</t>
        </is>
      </c>
      <c r="B709" s="41" t="inlineStr">
        <is>
          <t>Pháo chống tăng</t>
        </is>
      </c>
      <c r="C709" s="41" t="inlineStr">
        <is>
          <t>Máu</t>
        </is>
      </c>
      <c r="D709" s="43" t="n">
        <v>1364</v>
      </c>
      <c r="E709" s="49" t="inlineStr">
        <is>
          <t>Giữ</t>
        </is>
      </c>
      <c r="F709" s="41" t="n"/>
      <c r="G709" s="41" t="inlineStr">
        <is>
          <t>Máu/CP 1.27 × trung vị lớp Diệt tăng.</t>
        </is>
      </c>
      <c r="H709" s="41" t="n"/>
    </row>
    <row r="710" ht="15" customHeight="1" s="32">
      <c r="A710" s="39" t="inlineStr">
        <is>
          <t>tank_destroyer</t>
        </is>
      </c>
      <c r="B710" s="39" t="inlineStr">
        <is>
          <t>Pháo chống tăng</t>
        </is>
      </c>
      <c r="C710" s="39" t="inlineStr">
        <is>
          <t>Giáp (T/H/S/N)</t>
        </is>
      </c>
      <c r="D710" s="39" t="inlineStr">
        <is>
          <t>3/2/1/1</t>
        </is>
      </c>
      <c r="E710" s="47" t="inlineStr">
        <is>
          <t>Đổi</t>
        </is>
      </c>
      <c r="F710" s="39" t="inlineStr">
        <is>
          <t>trước 2 / hông 1 / sau 1 / nóc 0</t>
        </is>
      </c>
      <c r="G710" s="39" t="inlineStr">
        <is>
          <t>2S25 Sprut-SD là pháo chống tăng thả dù, giáp rất mỏng.</t>
        </is>
      </c>
      <c r="H710" s="48" t="inlineStr">
        <is>
          <t>Trung</t>
        </is>
      </c>
    </row>
    <row r="711" ht="15" customHeight="1" s="32">
      <c r="A711" s="41" t="inlineStr">
        <is>
          <t>tank_destroyer</t>
        </is>
      </c>
      <c r="B711" s="41" t="inlineStr">
        <is>
          <t>Pháo chống tăng</t>
        </is>
      </c>
      <c r="C711" s="41" t="inlineStr">
        <is>
          <t>Tốc độ</t>
        </is>
      </c>
      <c r="D711" s="43" t="n">
        <v>7</v>
      </c>
      <c r="E711" s="49" t="inlineStr">
        <is>
          <t>Giữ</t>
        </is>
      </c>
      <c r="F711" s="41" t="n"/>
      <c r="G711" s="41" t="inlineStr">
        <is>
          <t>Gần tốc độ thật × hệ số nén (6.4).</t>
        </is>
      </c>
      <c r="H711" s="41" t="n"/>
    </row>
    <row r="712" ht="15" customHeight="1" s="32">
      <c r="A712" s="39" t="inlineStr">
        <is>
          <t>tank_destroyer</t>
        </is>
      </c>
      <c r="B712" s="39" t="inlineStr">
        <is>
          <t>Pháo chống tăng</t>
        </is>
      </c>
      <c r="C712" s="39" t="inlineStr">
        <is>
          <t>Tốc độ xoay thân / tháp</t>
        </is>
      </c>
      <c r="D712" s="39" t="inlineStr">
        <is>
          <t>1 / 1</t>
        </is>
      </c>
      <c r="E712" s="49" t="inlineStr">
        <is>
          <t>Giữ</t>
        </is>
      </c>
      <c r="F712" s="39" t="n"/>
      <c r="G712" s="39" t="inlineStr">
        <is>
          <t>Hợp lý so với loại xe.</t>
        </is>
      </c>
      <c r="H712" s="39" t="n"/>
    </row>
    <row r="713" ht="15" customHeight="1" s="32">
      <c r="A713" s="41" t="inlineStr">
        <is>
          <t>tank_destroyer</t>
        </is>
      </c>
      <c r="B713" s="41" t="inlineStr">
        <is>
          <t>Pháo chống tăng</t>
        </is>
      </c>
      <c r="C713" s="41" t="inlineStr">
        <is>
          <t>Kích thước model (dài × rộng × cao)</t>
        </is>
      </c>
      <c r="D713" s="41" t="inlineStr">
        <is>
          <t>9.2 × 2.7 × 2.2</t>
        </is>
      </c>
      <c r="E713" s="49" t="inlineStr">
        <is>
          <t>Giữ</t>
        </is>
      </c>
      <c r="F713" s="41" t="n"/>
      <c r="G713" s="41" t="inlineStr">
        <is>
          <t>Khớp tỷ lệ chung (mẫu thật 9.77 m).</t>
        </is>
      </c>
      <c r="H713" s="41" t="n"/>
    </row>
    <row r="714" ht="15" customHeight="1" s="32">
      <c r="A714" s="39" t="inlineStr">
        <is>
          <t>tank_destroyer</t>
        </is>
      </c>
      <c r="B714" s="39" t="inlineStr">
        <is>
          <t>Pháo chống tăng</t>
        </is>
      </c>
      <c r="C714" s="39" t="inlineStr">
        <is>
          <t>Tầm nhìn</t>
        </is>
      </c>
      <c r="D714" s="42" t="n">
        <v>34</v>
      </c>
      <c r="E714" s="49" t="inlineStr">
        <is>
          <t>Giữ</t>
        </is>
      </c>
      <c r="F714" s="39" t="n"/>
      <c r="G714" s="39" t="inlineStr">
        <is>
          <t>Khớp vai trò.</t>
        </is>
      </c>
      <c r="H714" s="39" t="n"/>
    </row>
    <row r="715" ht="15" customHeight="1" s="32">
      <c r="A715" s="41" t="inlineStr">
        <is>
          <t>tank_destroyer</t>
        </is>
      </c>
      <c r="B715" s="41" t="inlineStr">
        <is>
          <t>Pháo chống tăng</t>
        </is>
      </c>
      <c r="C715" s="41" t="inlineStr">
        <is>
          <t>Tầm bắn</t>
        </is>
      </c>
      <c r="D715" s="41" t="inlineStr">
        <is>
          <t>40</t>
        </is>
      </c>
      <c r="E715" s="47" t="inlineStr">
        <is>
          <t>Đổi</t>
        </is>
      </c>
      <c r="F715" s="41" t="inlineStr">
        <is>
          <t>tầm 46 · 0,30 phát/s · 6 CP</t>
        </is>
      </c>
      <c r="G715" s="41" t="inlineStr">
        <is>
          <t>Bù lại giáp mỏng bằng tầm bắn tỉa; hiện kém các xe diệt tăng khác.</t>
        </is>
      </c>
      <c r="H715" s="48" t="inlineStr">
        <is>
          <t>Trung</t>
        </is>
      </c>
    </row>
    <row r="716" ht="15" customHeight="1" s="32">
      <c r="A716" s="39" t="inlineStr">
        <is>
          <t>tank_destroyer</t>
        </is>
      </c>
      <c r="B716" s="39" t="inlineStr">
        <is>
          <t>Pháo chống tăng</t>
        </is>
      </c>
      <c r="C716" s="39" t="inlineStr">
        <is>
          <t>Giá (CP)</t>
        </is>
      </c>
      <c r="D716" s="42" t="n">
        <v>7</v>
      </c>
      <c r="E716" s="47" t="inlineStr">
        <is>
          <t>Đổi</t>
        </is>
      </c>
      <c r="F716" s="39" t="inlineStr">
        <is>
          <t>6 CP</t>
        </is>
      </c>
      <c r="G716" s="39" t="inlineStr">
        <is>
          <t>2S25 Sprut-SD là pháo chống tăng thả dù, giáp rất mỏng.</t>
        </is>
      </c>
      <c r="H716" s="48" t="inlineStr">
        <is>
          <t>Trung</t>
        </is>
      </c>
    </row>
    <row r="717" ht="15" customHeight="1" s="32">
      <c r="A717" s="41" t="inlineStr">
        <is>
          <t>tank_destroyer</t>
        </is>
      </c>
      <c r="B717" s="41" t="inlineStr">
        <is>
          <t>Pháo chống tăng</t>
        </is>
      </c>
      <c r="C717" s="41" t="inlineStr">
        <is>
          <t>Vũ khí</t>
        </is>
      </c>
      <c r="D717" s="43" t="n">
        <v>2</v>
      </c>
      <c r="E717" s="49" t="inlineStr">
        <is>
          <t>Giữ</t>
        </is>
      </c>
      <c r="F717" s="41" t="n"/>
      <c r="G717" s="41" t="inlineStr">
        <is>
          <t>Bộ vũ khí khớp mẫu thật và vai trò.</t>
        </is>
      </c>
      <c r="H717" s="41" t="n"/>
    </row>
    <row r="718" ht="15" customHeight="1" s="32">
      <c r="A718" s="39" t="inlineStr">
        <is>
          <t>tank_destroyer</t>
        </is>
      </c>
      <c r="B718" s="39" t="inlineStr">
        <is>
          <t>Pháo chống tăng</t>
        </is>
      </c>
      <c r="C718" s="39" t="inlineStr">
        <is>
          <t>Hành vi</t>
        </is>
      </c>
      <c r="D718" s="39" t="inlineStr">
        <is>
          <t>Vừa chạy vừa bắn; Xe súng điện từ</t>
        </is>
      </c>
      <c r="E718" s="49" t="inlineStr">
        <is>
          <t>Giữ</t>
        </is>
      </c>
      <c r="F718" s="39" t="n"/>
      <c r="G718" s="39" t="inlineStr">
        <is>
          <t>Hợp vai trò.</t>
        </is>
      </c>
      <c r="H718" s="39" t="n"/>
    </row>
    <row r="719" ht="15" customHeight="1" s="32">
      <c r="A719" s="41" t="inlineStr">
        <is>
          <t>tank_destroyer</t>
        </is>
      </c>
      <c r="B719" s="41" t="inlineStr">
        <is>
          <t>Pháo chống tăng</t>
        </is>
      </c>
      <c r="C719" s="41" t="inlineStr">
        <is>
          <t>Nổ khi bị phá (bán kính)</t>
        </is>
      </c>
      <c r="D719" s="41" t="inlineStr">
        <is>
          <t>6 m · 140 sát thương</t>
        </is>
      </c>
      <c r="E719" s="49" t="inlineStr">
        <is>
          <t>Giữ</t>
        </is>
      </c>
      <c r="F719" s="41" t="n"/>
      <c r="G719" s="41" t="inlineStr">
        <is>
          <t>Hợp với cỡ xe.</t>
        </is>
      </c>
      <c r="H719" s="41" t="n"/>
    </row>
    <row r="720" ht="32.25" customHeight="1" s="32">
      <c r="A720" s="39" t="inlineStr">
        <is>
          <t>tank_destroyer</t>
        </is>
      </c>
      <c r="B720" s="39" t="inlineStr">
        <is>
          <t>Pháo chống tăng</t>
        </is>
      </c>
      <c r="C720" s="39" t="inlineStr">
        <is>
          <t>Tham khảo / model</t>
        </is>
      </c>
      <c r="D720" s="39" t="inlineStr">
        <is>
          <t>2S25 Sprut-SD (2A75 125 mm) — Pháo chống tăng thân thấp, tháp hở, nòng rất dài</t>
        </is>
      </c>
      <c r="E720" s="49" t="inlineStr">
        <is>
          <t>Giữ</t>
        </is>
      </c>
      <c r="F720" s="39" t="n"/>
      <c r="G720" s="39" t="inlineStr">
        <is>
          <t>Khớp vũ khí và vai trò.</t>
        </is>
      </c>
      <c r="H720" s="39" t="n"/>
    </row>
    <row r="721" ht="15" customHeight="1" s="32">
      <c r="A721" s="41" t="inlineStr">
        <is>
          <t>railgun_truck</t>
        </is>
      </c>
      <c r="B721" s="41" t="inlineStr">
        <is>
          <t>Xe súng điện từ</t>
        </is>
      </c>
      <c r="C721" s="41" t="inlineStr">
        <is>
          <t>Tên</t>
        </is>
      </c>
      <c r="D721" s="41" t="inlineStr">
        <is>
          <t>Xe súng điện từ</t>
        </is>
      </c>
      <c r="E721" s="47" t="inlineStr">
        <is>
          <t>Đổi</t>
        </is>
      </c>
      <c r="F721" s="41" t="inlineStr">
        <is>
          <t>Xe pháo điện từ · ngắn: Pháo điện từ · EN: Railgun Truck</t>
        </is>
      </c>
      <c r="G721" s="41" t="inlineStr">
        <is>
          <t>Thẻ ghi "Xe súng điện từ", bảng DPS ghi "Pháo điện từ": thống nhất.</t>
        </is>
      </c>
      <c r="H721" s="49" t="inlineStr">
        <is>
          <t>Thấp</t>
        </is>
      </c>
    </row>
    <row r="722" ht="15" customHeight="1" s="32">
      <c r="A722" s="39" t="inlineStr">
        <is>
          <t>railgun_truck</t>
        </is>
      </c>
      <c r="B722" s="39" t="inlineStr">
        <is>
          <t>Xe súng điện từ</t>
        </is>
      </c>
      <c r="C722" s="39" t="inlineStr">
        <is>
          <t>Máu</t>
        </is>
      </c>
      <c r="D722" s="42" t="n">
        <v>924</v>
      </c>
      <c r="E722" s="49" t="inlineStr">
        <is>
          <t>Giữ</t>
        </is>
      </c>
      <c r="F722" s="39" t="n"/>
      <c r="G722" s="39" t="inlineStr">
        <is>
          <t>Máu/CP 0.67 × trung vị lớp Diệt tăng.</t>
        </is>
      </c>
      <c r="H722" s="39" t="n"/>
    </row>
    <row r="723" ht="15" customHeight="1" s="32">
      <c r="A723" s="41" t="inlineStr">
        <is>
          <t>railgun_truck</t>
        </is>
      </c>
      <c r="B723" s="41" t="inlineStr">
        <is>
          <t>Xe súng điện từ</t>
        </is>
      </c>
      <c r="C723" s="41" t="inlineStr">
        <is>
          <t>Giáp (T/H/S/N)</t>
        </is>
      </c>
      <c r="D723" s="41" t="inlineStr">
        <is>
          <t>1/0/0/0</t>
        </is>
      </c>
      <c r="E723" s="49" t="inlineStr">
        <is>
          <t>Giữ</t>
        </is>
      </c>
      <c r="F723" s="41" t="n"/>
      <c r="G723" s="41" t="inlineStr">
        <is>
          <t>Giả tưởng / máy bay; khớp vai trò.</t>
        </is>
      </c>
      <c r="H723" s="41" t="n"/>
    </row>
    <row r="724" ht="15" customHeight="1" s="32">
      <c r="A724" s="39" t="inlineStr">
        <is>
          <t>railgun_truck</t>
        </is>
      </c>
      <c r="B724" s="39" t="inlineStr">
        <is>
          <t>Xe súng điện từ</t>
        </is>
      </c>
      <c r="C724" s="39" t="inlineStr">
        <is>
          <t>Tốc độ</t>
        </is>
      </c>
      <c r="D724" s="42" t="n">
        <v>6.5</v>
      </c>
      <c r="E724" s="49" t="inlineStr">
        <is>
          <t>Giữ</t>
        </is>
      </c>
      <c r="F724" s="39" t="n"/>
      <c r="G724" s="39" t="inlineStr">
        <is>
          <t>Giả tưởng; so với xe cùng lớp.</t>
        </is>
      </c>
      <c r="H724" s="39" t="n"/>
    </row>
    <row r="725" ht="15" customHeight="1" s="32">
      <c r="A725" s="41" t="inlineStr">
        <is>
          <t>railgun_truck</t>
        </is>
      </c>
      <c r="B725" s="41" t="inlineStr">
        <is>
          <t>Xe súng điện từ</t>
        </is>
      </c>
      <c r="C725" s="41" t="inlineStr">
        <is>
          <t>Tốc độ xoay thân / tháp</t>
        </is>
      </c>
      <c r="D725" s="41" t="inlineStr">
        <is>
          <t>1 / 1</t>
        </is>
      </c>
      <c r="E725" s="49" t="inlineStr">
        <is>
          <t>Giữ</t>
        </is>
      </c>
      <c r="F725" s="41" t="n"/>
      <c r="G725" s="41" t="inlineStr">
        <is>
          <t>Hợp lý so với loại xe.</t>
        </is>
      </c>
      <c r="H725" s="41" t="n"/>
    </row>
    <row r="726" ht="15" customHeight="1" s="32">
      <c r="A726" s="39" t="inlineStr">
        <is>
          <t>railgun_truck</t>
        </is>
      </c>
      <c r="B726" s="39" t="inlineStr">
        <is>
          <t>Xe súng điện từ</t>
        </is>
      </c>
      <c r="C726" s="39" t="inlineStr">
        <is>
          <t>Kích thước model (dài × rộng × cao)</t>
        </is>
      </c>
      <c r="D726" s="39" t="inlineStr">
        <is>
          <t>9.7 × 2.9 × 3.7</t>
        </is>
      </c>
      <c r="E726" s="49" t="inlineStr">
        <is>
          <t>Giữ</t>
        </is>
      </c>
      <c r="F726" s="39" t="n"/>
      <c r="G726" s="39" t="inlineStr">
        <is>
          <t>Giả tưởng; so với xe cùng lớp.</t>
        </is>
      </c>
      <c r="H726" s="39" t="n"/>
    </row>
    <row r="727" ht="15" customHeight="1" s="32">
      <c r="A727" s="41" t="inlineStr">
        <is>
          <t>railgun_truck</t>
        </is>
      </c>
      <c r="B727" s="41" t="inlineStr">
        <is>
          <t>Xe súng điện từ</t>
        </is>
      </c>
      <c r="C727" s="41" t="inlineStr">
        <is>
          <t>Tầm nhìn</t>
        </is>
      </c>
      <c r="D727" s="43" t="n">
        <v>40</v>
      </c>
      <c r="E727" s="49" t="inlineStr">
        <is>
          <t>Giữ</t>
        </is>
      </c>
      <c r="F727" s="41" t="n"/>
      <c r="G727" s="41" t="inlineStr">
        <is>
          <t>Khớp vai trò.</t>
        </is>
      </c>
      <c r="H727" s="41" t="n"/>
    </row>
    <row r="728" ht="15" customHeight="1" s="32">
      <c r="A728" s="39" t="inlineStr">
        <is>
          <t>railgun_truck</t>
        </is>
      </c>
      <c r="B728" s="39" t="inlineStr">
        <is>
          <t>Xe súng điện từ</t>
        </is>
      </c>
      <c r="C728" s="39" t="inlineStr">
        <is>
          <t>Tầm bắn</t>
        </is>
      </c>
      <c r="D728" s="39" t="inlineStr">
        <is>
          <t>90</t>
        </is>
      </c>
      <c r="E728" s="49" t="inlineStr">
        <is>
          <t>Giữ</t>
        </is>
      </c>
      <c r="F728" s="39" t="n"/>
      <c r="G728" s="39" t="inlineStr">
        <is>
          <t>Thứ tự tầm hợp lý trong nhóm.</t>
        </is>
      </c>
      <c r="H728" s="39" t="n"/>
    </row>
    <row r="729" ht="15" customHeight="1" s="32">
      <c r="A729" s="41" t="inlineStr">
        <is>
          <t>railgun_truck</t>
        </is>
      </c>
      <c r="B729" s="41" t="inlineStr">
        <is>
          <t>Xe súng điện từ</t>
        </is>
      </c>
      <c r="C729" s="41" t="inlineStr">
        <is>
          <t>Giá (CP)</t>
        </is>
      </c>
      <c r="D729" s="43" t="n">
        <v>9</v>
      </c>
      <c r="E729" s="47" t="inlineStr">
        <is>
          <t>Đổi</t>
        </is>
      </c>
      <c r="F729" s="41" t="inlineStr">
        <is>
          <t>10 CP</t>
        </is>
      </c>
      <c r="G729" s="41" t="inlineStr">
        <is>
          <t>Mạnh nhất nhóm diệt tăng.</t>
        </is>
      </c>
      <c r="H729" s="49" t="inlineStr">
        <is>
          <t>Thấp</t>
        </is>
      </c>
    </row>
    <row r="730" ht="15" customHeight="1" s="32">
      <c r="A730" s="39" t="inlineStr">
        <is>
          <t>railgun_truck</t>
        </is>
      </c>
      <c r="B730" s="39" t="inlineStr">
        <is>
          <t>Xe súng điện từ</t>
        </is>
      </c>
      <c r="C730" s="39" t="inlineStr">
        <is>
          <t>Vũ khí</t>
        </is>
      </c>
      <c r="D730" s="42" t="n">
        <v>1</v>
      </c>
      <c r="E730" s="49" t="inlineStr">
        <is>
          <t>Giữ</t>
        </is>
      </c>
      <c r="F730" s="39" t="n"/>
      <c r="G730" s="39" t="inlineStr">
        <is>
          <t>Bộ vũ khí khớp mẫu thật và vai trò.</t>
        </is>
      </c>
      <c r="H730" s="39" t="n"/>
    </row>
    <row r="731" ht="15" customHeight="1" s="32">
      <c r="A731" s="41" t="inlineStr">
        <is>
          <t>railgun_truck</t>
        </is>
      </c>
      <c r="B731" s="41" t="inlineStr">
        <is>
          <t>Xe súng điện từ</t>
        </is>
      </c>
      <c r="C731" s="41" t="inlineStr">
        <is>
          <t>Hành vi</t>
        </is>
      </c>
      <c r="D731" s="41" t="inlineStr">
        <is>
          <t>Dừng lại mới bắn; Xe la-de tập trung</t>
        </is>
      </c>
      <c r="E731" s="49" t="inlineStr">
        <is>
          <t>Giữ</t>
        </is>
      </c>
      <c r="F731" s="41" t="n"/>
      <c r="G731" s="41" t="inlineStr">
        <is>
          <t>Hợp vai trò.</t>
        </is>
      </c>
      <c r="H731" s="41" t="n"/>
    </row>
    <row r="732" ht="15" customHeight="1" s="32">
      <c r="A732" s="39" t="inlineStr">
        <is>
          <t>railgun_truck</t>
        </is>
      </c>
      <c r="B732" s="39" t="inlineStr">
        <is>
          <t>Xe súng điện từ</t>
        </is>
      </c>
      <c r="C732" s="39" t="inlineStr">
        <is>
          <t>Nổ khi bị phá (bán kính)</t>
        </is>
      </c>
      <c r="D732" s="39" t="inlineStr">
        <is>
          <t>7 m · 240 sát thương</t>
        </is>
      </c>
      <c r="E732" s="49" t="inlineStr">
        <is>
          <t>Giữ</t>
        </is>
      </c>
      <c r="F732" s="39" t="n"/>
      <c r="G732" s="39" t="inlineStr">
        <is>
          <t>Hợp với cỡ xe.</t>
        </is>
      </c>
      <c r="H732" s="39" t="n"/>
    </row>
    <row r="733" ht="32.25" customHeight="1" s="32">
      <c r="A733" s="41" t="inlineStr">
        <is>
          <t>railgun_truck</t>
        </is>
      </c>
      <c r="B733" s="41" t="inlineStr">
        <is>
          <t>Xe súng điện từ</t>
        </is>
      </c>
      <c r="C733" s="41" t="inlineStr">
        <is>
          <t>Tham khảo / model</t>
        </is>
      </c>
      <c r="D733" s="41" t="inlineStr">
        <is>
          <t>ATLA railgun (Nhật Bản), US Navy EMRG — Xe tải 8x8 mang pháo điện từ ray kép</t>
        </is>
      </c>
      <c r="E733" s="49" t="inlineStr">
        <is>
          <t>Giữ</t>
        </is>
      </c>
      <c r="F733" s="41" t="n"/>
      <c r="G733" s="41" t="inlineStr">
        <is>
          <t>Khớp vũ khí và vai trò.</t>
        </is>
      </c>
      <c r="H733" s="41" t="n"/>
    </row>
    <row r="734" ht="21.75" customHeight="1" s="32">
      <c r="A734" s="39" t="inlineStr">
        <is>
          <t>laser_tank</t>
        </is>
      </c>
      <c r="B734" s="39" t="inlineStr">
        <is>
          <t>Xe la-de tập trung</t>
        </is>
      </c>
      <c r="C734" s="39" t="inlineStr">
        <is>
          <t>Tên</t>
        </is>
      </c>
      <c r="D734" s="39" t="inlineStr">
        <is>
          <t>Xe la-de tập trung</t>
        </is>
      </c>
      <c r="E734" s="47" t="inlineStr">
        <is>
          <t>Đổi</t>
        </is>
      </c>
      <c r="F734" s="39" t="inlineStr">
        <is>
          <t>Xe la-de diệt tăng · ngắn: La-de diệt tăng · EN: Laser Tank Destroyer</t>
        </is>
      </c>
      <c r="G734" s="39" t="inlineStr">
        <is>
          <t>"Tập trung" không nói lên vai trò.</t>
        </is>
      </c>
      <c r="H734" s="49" t="inlineStr">
        <is>
          <t>Thấp</t>
        </is>
      </c>
    </row>
    <row r="735" ht="15" customHeight="1" s="32">
      <c r="A735" s="41" t="inlineStr">
        <is>
          <t>laser_tank</t>
        </is>
      </c>
      <c r="B735" s="41" t="inlineStr">
        <is>
          <t>Xe la-de tập trung</t>
        </is>
      </c>
      <c r="C735" s="41" t="inlineStr">
        <is>
          <t>Máu</t>
        </is>
      </c>
      <c r="D735" s="43" t="n">
        <v>1540</v>
      </c>
      <c r="E735" s="49" t="inlineStr">
        <is>
          <t>Giữ</t>
        </is>
      </c>
      <c r="F735" s="41" t="n"/>
      <c r="G735" s="41" t="inlineStr">
        <is>
          <t>Máu/CP 1.00 × trung vị lớp Diệt tăng.</t>
        </is>
      </c>
      <c r="H735" s="41" t="n"/>
    </row>
    <row r="736" ht="15" customHeight="1" s="32">
      <c r="A736" s="39" t="inlineStr">
        <is>
          <t>laser_tank</t>
        </is>
      </c>
      <c r="B736" s="39" t="inlineStr">
        <is>
          <t>Xe la-de tập trung</t>
        </is>
      </c>
      <c r="C736" s="39" t="inlineStr">
        <is>
          <t>Giáp (T/H/S/N)</t>
        </is>
      </c>
      <c r="D736" s="39" t="inlineStr">
        <is>
          <t>3/2/1/1</t>
        </is>
      </c>
      <c r="E736" s="47" t="inlineStr">
        <is>
          <t>Đổi</t>
        </is>
      </c>
      <c r="F736" s="39" t="inlineStr">
        <is>
          <t>2/1/1/1</t>
        </is>
      </c>
      <c r="G736" s="39" t="inlineStr">
        <is>
          <t>Xe mang laser không phải xe tăng hạng nặng.</t>
        </is>
      </c>
      <c r="H736" s="48" t="inlineStr">
        <is>
          <t>Trung</t>
        </is>
      </c>
    </row>
    <row r="737" ht="15" customHeight="1" s="32">
      <c r="A737" s="41" t="inlineStr">
        <is>
          <t>laser_tank</t>
        </is>
      </c>
      <c r="B737" s="41" t="inlineStr">
        <is>
          <t>Xe la-de tập trung</t>
        </is>
      </c>
      <c r="C737" s="41" t="inlineStr">
        <is>
          <t>Tốc độ</t>
        </is>
      </c>
      <c r="D737" s="43" t="n">
        <v>6.5</v>
      </c>
      <c r="E737" s="49" t="inlineStr">
        <is>
          <t>Giữ</t>
        </is>
      </c>
      <c r="F737" s="41" t="n"/>
      <c r="G737" s="41" t="inlineStr">
        <is>
          <t>Giả tưởng; so với xe cùng lớp.</t>
        </is>
      </c>
      <c r="H737" s="41" t="n"/>
    </row>
    <row r="738" ht="15" customHeight="1" s="32">
      <c r="A738" s="39" t="inlineStr">
        <is>
          <t>laser_tank</t>
        </is>
      </c>
      <c r="B738" s="39" t="inlineStr">
        <is>
          <t>Xe la-de tập trung</t>
        </is>
      </c>
      <c r="C738" s="39" t="inlineStr">
        <is>
          <t>Tốc độ xoay thân / tháp</t>
        </is>
      </c>
      <c r="D738" s="39" t="inlineStr">
        <is>
          <t>1 / 1</t>
        </is>
      </c>
      <c r="E738" s="49" t="inlineStr">
        <is>
          <t>Giữ</t>
        </is>
      </c>
      <c r="F738" s="39" t="n"/>
      <c r="G738" s="39" t="inlineStr">
        <is>
          <t>Hợp lý so với loại xe.</t>
        </is>
      </c>
      <c r="H738" s="39" t="n"/>
    </row>
    <row r="739" ht="15" customHeight="1" s="32">
      <c r="A739" s="41" t="inlineStr">
        <is>
          <t>laser_tank</t>
        </is>
      </c>
      <c r="B739" s="41" t="inlineStr">
        <is>
          <t>Xe la-de tập trung</t>
        </is>
      </c>
      <c r="C739" s="41" t="inlineStr">
        <is>
          <t>Kích thước model (dài × rộng × cao)</t>
        </is>
      </c>
      <c r="D739" s="41" t="inlineStr">
        <is>
          <t>6.3 × 2.7 × 2.6</t>
        </is>
      </c>
      <c r="E739" s="49" t="inlineStr">
        <is>
          <t>Giữ</t>
        </is>
      </c>
      <c r="F739" s="41" t="n"/>
      <c r="G739" s="41" t="inlineStr">
        <is>
          <t>Giả tưởng; so với xe cùng lớp.</t>
        </is>
      </c>
      <c r="H739" s="41" t="n"/>
    </row>
    <row r="740" ht="15" customHeight="1" s="32">
      <c r="A740" s="39" t="inlineStr">
        <is>
          <t>laser_tank</t>
        </is>
      </c>
      <c r="B740" s="39" t="inlineStr">
        <is>
          <t>Xe la-de tập trung</t>
        </is>
      </c>
      <c r="C740" s="39" t="inlineStr">
        <is>
          <t>Tầm nhìn</t>
        </is>
      </c>
      <c r="D740" s="42" t="n">
        <v>38</v>
      </c>
      <c r="E740" s="49" t="inlineStr">
        <is>
          <t>Giữ</t>
        </is>
      </c>
      <c r="F740" s="39" t="n"/>
      <c r="G740" s="39" t="inlineStr">
        <is>
          <t>Khớp vai trò.</t>
        </is>
      </c>
      <c r="H740" s="39" t="n"/>
    </row>
    <row r="741" ht="15" customHeight="1" s="32">
      <c r="A741" s="41" t="inlineStr">
        <is>
          <t>laser_tank</t>
        </is>
      </c>
      <c r="B741" s="41" t="inlineStr">
        <is>
          <t>Xe la-de tập trung</t>
        </is>
      </c>
      <c r="C741" s="41" t="inlineStr">
        <is>
          <t>Tầm bắn</t>
        </is>
      </c>
      <c r="D741" s="41" t="inlineStr">
        <is>
          <t>40</t>
        </is>
      </c>
      <c r="E741" s="49" t="inlineStr">
        <is>
          <t>Giữ</t>
        </is>
      </c>
      <c r="F741" s="41" t="n"/>
      <c r="G741" s="41" t="inlineStr">
        <is>
          <t>Thứ tự tầm hợp lý trong nhóm.</t>
        </is>
      </c>
      <c r="H741" s="41" t="n"/>
    </row>
    <row r="742" ht="15" customHeight="1" s="32">
      <c r="A742" s="39" t="inlineStr">
        <is>
          <t>laser_tank</t>
        </is>
      </c>
      <c r="B742" s="39" t="inlineStr">
        <is>
          <t>Xe la-de tập trung</t>
        </is>
      </c>
      <c r="C742" s="39" t="inlineStr">
        <is>
          <t>Giá (CP)</t>
        </is>
      </c>
      <c r="D742" s="42" t="n">
        <v>10</v>
      </c>
      <c r="E742" s="47" t="inlineStr">
        <is>
          <t>Đổi</t>
        </is>
      </c>
      <c r="F742" s="39" t="inlineStr">
        <is>
          <t>9 CP</t>
        </is>
      </c>
      <c r="G742" s="39" t="inlineStr">
        <is>
          <t>Kém Pháo điện từ rẻ hơn ở chính vai trò diệt tăng.</t>
        </is>
      </c>
      <c r="H742" s="48" t="inlineStr">
        <is>
          <t>Trung</t>
        </is>
      </c>
    </row>
    <row r="743" ht="15" customHeight="1" s="32">
      <c r="A743" s="41" t="inlineStr">
        <is>
          <t>laser_tank</t>
        </is>
      </c>
      <c r="B743" s="41" t="inlineStr">
        <is>
          <t>Xe la-de tập trung</t>
        </is>
      </c>
      <c r="C743" s="41" t="inlineStr">
        <is>
          <t>Vũ khí</t>
        </is>
      </c>
      <c r="D743" s="43" t="n">
        <v>1</v>
      </c>
      <c r="E743" s="49" t="inlineStr">
        <is>
          <t>Giữ</t>
        </is>
      </c>
      <c r="F743" s="41" t="n"/>
      <c r="G743" s="41" t="inlineStr">
        <is>
          <t>Bộ vũ khí khớp mẫu thật và vai trò.</t>
        </is>
      </c>
      <c r="H743" s="41" t="n"/>
    </row>
    <row r="744" ht="32.25" customHeight="1" s="32">
      <c r="A744" s="39" t="inlineStr">
        <is>
          <t>laser_tank</t>
        </is>
      </c>
      <c r="B744" s="39" t="inlineStr">
        <is>
          <t>Xe la-de tập trung</t>
        </is>
      </c>
      <c r="C744" s="39" t="inlineStr">
        <is>
          <t>Hành vi</t>
        </is>
      </c>
      <c r="D744" s="39" t="inlineStr">
        <is>
          <t>Vừa chạy vừa bắn; Bắn hết 80 viên thì thay băng; Ưu tiên tăng hạng nặng, xe tăng</t>
        </is>
      </c>
      <c r="E744" s="49" t="inlineStr">
        <is>
          <t>Giữ</t>
        </is>
      </c>
      <c r="F744" s="39" t="n"/>
      <c r="G744" s="39" t="inlineStr">
        <is>
          <t>Hợp vai trò.</t>
        </is>
      </c>
      <c r="H744" s="39" t="n"/>
    </row>
    <row r="745" ht="15" customHeight="1" s="32">
      <c r="A745" s="41" t="inlineStr">
        <is>
          <t>laser_tank</t>
        </is>
      </c>
      <c r="B745" s="41" t="inlineStr">
        <is>
          <t>Xe la-de tập trung</t>
        </is>
      </c>
      <c r="C745" s="41" t="inlineStr">
        <is>
          <t>Nổ khi bị phá (bán kính)</t>
        </is>
      </c>
      <c r="D745" s="41" t="inlineStr">
        <is>
          <t>7 m · 220 sát thương</t>
        </is>
      </c>
      <c r="E745" s="49" t="inlineStr">
        <is>
          <t>Giữ</t>
        </is>
      </c>
      <c r="F745" s="41" t="n"/>
      <c r="G745" s="41" t="inlineStr">
        <is>
          <t>Hợp với cỡ xe.</t>
        </is>
      </c>
      <c r="H745" s="41" t="n"/>
    </row>
    <row r="746" ht="32.25" customHeight="1" s="32">
      <c r="A746" s="39" t="inlineStr">
        <is>
          <t>laser_tank</t>
        </is>
      </c>
      <c r="B746" s="39" t="inlineStr">
        <is>
          <t>Xe la-de tập trung</t>
        </is>
      </c>
      <c r="C746" s="39" t="inlineStr">
        <is>
          <t>Tham khảo / model</t>
        </is>
      </c>
      <c r="D746" s="39" t="inlineStr">
        <is>
          <t>Rheinmetall HEL, DE M-SHORAD (laser trên Stryker) — Pháo chống tăng laser: đầu phát tia tr</t>
        </is>
      </c>
      <c r="E746" s="49" t="inlineStr">
        <is>
          <t>Giữ</t>
        </is>
      </c>
      <c r="F746" s="39" t="n"/>
      <c r="G746" s="39" t="inlineStr">
        <is>
          <t>Khớp vũ khí và vai trò.</t>
        </is>
      </c>
      <c r="H746" s="39" t="n"/>
    </row>
    <row r="747" ht="15" customHeight="1" s="32">
      <c r="A747" s="41" t="inlineStr">
        <is>
          <t>aa_turret</t>
        </is>
      </c>
      <c r="B747" s="41" t="inlineStr">
        <is>
          <t>Tháp phòng không</t>
        </is>
      </c>
      <c r="C747" s="41" t="inlineStr">
        <is>
          <t>Tên</t>
        </is>
      </c>
      <c r="D747" s="41" t="inlineStr">
        <is>
          <t>Tháp phòng không</t>
        </is>
      </c>
      <c r="E747" s="49" t="inlineStr">
        <is>
          <t>Giữ</t>
        </is>
      </c>
      <c r="F747" s="41" t="n"/>
      <c r="G747" s="41" t="inlineStr">
        <is>
          <t>Tên rõ vai trò.</t>
        </is>
      </c>
      <c r="H747" s="41" t="n"/>
    </row>
    <row r="748" ht="15" customHeight="1" s="32">
      <c r="A748" s="39" t="inlineStr">
        <is>
          <t>aa_turret</t>
        </is>
      </c>
      <c r="B748" s="39" t="inlineStr">
        <is>
          <t>Tháp phòng không</t>
        </is>
      </c>
      <c r="C748" s="39" t="inlineStr">
        <is>
          <t>Ô</t>
        </is>
      </c>
      <c r="D748" s="39" t="inlineStr">
        <is>
          <t>Nhỏ</t>
        </is>
      </c>
      <c r="E748" s="49" t="inlineStr">
        <is>
          <t>Giữ</t>
        </is>
      </c>
      <c r="F748" s="39" t="n"/>
      <c r="G748" s="39" t="n"/>
      <c r="H748" s="39" t="n"/>
    </row>
    <row r="749" ht="15" customHeight="1" s="32">
      <c r="A749" s="41" t="inlineStr">
        <is>
          <t>aa_turret</t>
        </is>
      </c>
      <c r="B749" s="41" t="inlineStr">
        <is>
          <t>Tháp phòng không</t>
        </is>
      </c>
      <c r="C749" s="41" t="inlineStr">
        <is>
          <t>Máu</t>
        </is>
      </c>
      <c r="D749" s="43" t="n">
        <v>2420</v>
      </c>
      <c r="E749" s="49" t="inlineStr">
        <is>
          <t>Giữ</t>
        </is>
      </c>
      <c r="F749" s="41" t="n"/>
      <c r="G749" s="41" t="inlineStr">
        <is>
          <t>1.38 × trung vị máu tháp ô nhỏ.</t>
        </is>
      </c>
      <c r="H749" s="41" t="n"/>
    </row>
    <row r="750" ht="15" customHeight="1" s="32">
      <c r="A750" s="39" t="inlineStr">
        <is>
          <t>aa_turret</t>
        </is>
      </c>
      <c r="B750" s="39" t="inlineStr">
        <is>
          <t>Tháp phòng không</t>
        </is>
      </c>
      <c r="C750" s="39" t="inlineStr">
        <is>
          <t>Giáp</t>
        </is>
      </c>
      <c r="D750" s="39" t="inlineStr">
        <is>
          <t>cấp 2 (Vừa) · công trình</t>
        </is>
      </c>
      <c r="E750" s="49" t="inlineStr">
        <is>
          <t>Giữ</t>
        </is>
      </c>
      <c r="F750" s="39" t="n"/>
      <c r="G750" s="39" t="inlineStr">
        <is>
          <t>Công trình; hợp vai trò.</t>
        </is>
      </c>
      <c r="H750" s="39" t="n"/>
    </row>
    <row r="751" ht="15" customHeight="1" s="32">
      <c r="A751" s="41" t="inlineStr">
        <is>
          <t>aa_turret</t>
        </is>
      </c>
      <c r="B751" s="41" t="inlineStr">
        <is>
          <t>Tháp phòng không</t>
        </is>
      </c>
      <c r="C751" s="41" t="inlineStr">
        <is>
          <t>Kích thước</t>
        </is>
      </c>
      <c r="D751" s="41" t="inlineStr">
        <is>
          <t>5.4 × 4.5 × 3.2</t>
        </is>
      </c>
      <c r="E751" s="49" t="inlineStr">
        <is>
          <t>Giữ</t>
        </is>
      </c>
      <c r="F751" s="41" t="n"/>
      <c r="G751" s="41" t="inlineStr">
        <is>
          <t>Vừa cỡ ô.</t>
        </is>
      </c>
      <c r="H751" s="41" t="n"/>
    </row>
    <row r="752" ht="32.25" customHeight="1" s="32">
      <c r="A752" s="39" t="inlineStr">
        <is>
          <t>aa_turret</t>
        </is>
      </c>
      <c r="B752" s="39" t="inlineStr">
        <is>
          <t>Tháp phòng không</t>
        </is>
      </c>
      <c r="C752" s="39" t="inlineStr">
        <is>
          <t>Vũ khí và tham khảo</t>
        </is>
      </c>
      <c r="D752" s="39" t="inlineStr">
        <is>
          <t>tham khảo Oerlikon GDF 35 mm nhưng vũ khí 2A38 30 mm · chống máy bay 300</t>
        </is>
      </c>
      <c r="E752" s="47" t="inlineStr">
        <is>
          <t>Đổi</t>
        </is>
      </c>
      <c r="F752" s="39" t="inlineStr">
        <is>
          <t>chọn một: đổi vũ khí thành Oerlikon 35 mm hoặc đổi tham khảo sang 2A38; chống máy bay 300→240</t>
        </is>
      </c>
      <c r="G752" s="39" t="inlineStr">
        <is>
          <t>Tham khảo lệch vũ khí; tháp ô nhỏ đang mạnh hơn Patriot ô lớn.</t>
        </is>
      </c>
      <c r="H752" s="47" t="inlineStr">
        <is>
          <t>Cao</t>
        </is>
      </c>
    </row>
    <row r="753" ht="15" customHeight="1" s="32">
      <c r="A753" s="41" t="inlineStr">
        <is>
          <t>aa_turret</t>
        </is>
      </c>
      <c r="B753" s="41" t="inlineStr">
        <is>
          <t>Tháp phòng không</t>
        </is>
      </c>
      <c r="C753" s="41" t="inlineStr">
        <is>
          <t>Nổ khi bị phá</t>
        </is>
      </c>
      <c r="D753" s="41" t="inlineStr">
        <is>
          <t>7 m</t>
        </is>
      </c>
      <c r="E753" s="49" t="inlineStr">
        <is>
          <t>Giữ</t>
        </is>
      </c>
      <c r="F753" s="41" t="n"/>
      <c r="G753" s="41" t="inlineStr">
        <is>
          <t>Hợp cỡ.</t>
        </is>
      </c>
      <c r="H753" s="41" t="n"/>
    </row>
    <row r="754" ht="21.75" customHeight="1" s="32">
      <c r="A754" s="39" t="inlineStr">
        <is>
          <t>aa_turret.flak</t>
        </is>
      </c>
      <c r="B754" s="39" t="inlineStr">
        <is>
          <t>Tháp phòng không · nhánh Tháp cao xạ</t>
        </is>
      </c>
      <c r="C754" s="39" t="inlineStr">
        <is>
          <t>Tên</t>
        </is>
      </c>
      <c r="D754" s="39" t="inlineStr">
        <is>
          <t>Tháp phòng không · nhánh Tháp cao xạ</t>
        </is>
      </c>
      <c r="E754" s="49" t="inlineStr">
        <is>
          <t>Giữ</t>
        </is>
      </c>
      <c r="F754" s="39" t="n"/>
      <c r="G754" s="39" t="inlineStr">
        <is>
          <t>Tên rõ vai trò.</t>
        </is>
      </c>
      <c r="H754" s="39" t="n"/>
    </row>
    <row r="755" ht="21.75" customHeight="1" s="32">
      <c r="A755" s="41" t="inlineStr">
        <is>
          <t>aa_turret.flak</t>
        </is>
      </c>
      <c r="B755" s="41" t="inlineStr">
        <is>
          <t>Tháp phòng không · nhánh Tháp cao xạ</t>
        </is>
      </c>
      <c r="C755" s="41" t="inlineStr">
        <is>
          <t>Ô</t>
        </is>
      </c>
      <c r="D755" s="41" t="inlineStr">
        <is>
          <t>Nhỏ</t>
        </is>
      </c>
      <c r="E755" s="49" t="inlineStr">
        <is>
          <t>Giữ</t>
        </is>
      </c>
      <c r="F755" s="41" t="n"/>
      <c r="G755" s="41" t="n"/>
      <c r="H755" s="41" t="n"/>
    </row>
    <row r="756" ht="21.75" customHeight="1" s="32">
      <c r="A756" s="39" t="inlineStr">
        <is>
          <t>aa_turret.flak</t>
        </is>
      </c>
      <c r="B756" s="39" t="inlineStr">
        <is>
          <t>Tháp phòng không · nhánh Tháp cao xạ</t>
        </is>
      </c>
      <c r="C756" s="39" t="inlineStr">
        <is>
          <t>Máu</t>
        </is>
      </c>
      <c r="D756" s="42" t="n">
        <v>2420</v>
      </c>
      <c r="E756" s="49" t="inlineStr">
        <is>
          <t>Giữ</t>
        </is>
      </c>
      <c r="F756" s="39" t="n"/>
      <c r="G756" s="39" t="inlineStr">
        <is>
          <t>1.38 × trung vị máu tháp ô nhỏ.</t>
        </is>
      </c>
      <c r="H756" s="39" t="n"/>
    </row>
    <row r="757" ht="21.75" customHeight="1" s="32">
      <c r="A757" s="41" t="inlineStr">
        <is>
          <t>aa_turret.flak</t>
        </is>
      </c>
      <c r="B757" s="41" t="inlineStr">
        <is>
          <t>Tháp phòng không · nhánh Tháp cao xạ</t>
        </is>
      </c>
      <c r="C757" s="41" t="inlineStr">
        <is>
          <t>Giáp</t>
        </is>
      </c>
      <c r="D757" s="41" t="inlineStr">
        <is>
          <t>cấp 2 (Vừa) · công trình</t>
        </is>
      </c>
      <c r="E757" s="49" t="inlineStr">
        <is>
          <t>Giữ</t>
        </is>
      </c>
      <c r="F757" s="41" t="n"/>
      <c r="G757" s="41" t="inlineStr">
        <is>
          <t>Công trình; hợp vai trò.</t>
        </is>
      </c>
      <c r="H757" s="41" t="n"/>
    </row>
    <row r="758" ht="21.75" customHeight="1" s="32">
      <c r="A758" s="39" t="inlineStr">
        <is>
          <t>aa_turret.flak</t>
        </is>
      </c>
      <c r="B758" s="39" t="inlineStr">
        <is>
          <t>Tháp phòng không · nhánh Tháp cao xạ</t>
        </is>
      </c>
      <c r="C758" s="39" t="inlineStr">
        <is>
          <t>Kích thước</t>
        </is>
      </c>
      <c r="D758" s="39" t="inlineStr">
        <is>
          <t>5.4 × 4.5 × 3.2</t>
        </is>
      </c>
      <c r="E758" s="49" t="inlineStr">
        <is>
          <t>Giữ</t>
        </is>
      </c>
      <c r="F758" s="39" t="n"/>
      <c r="G758" s="39" t="inlineStr">
        <is>
          <t>Vừa cỡ ô.</t>
        </is>
      </c>
      <c r="H758" s="39" t="n"/>
    </row>
    <row r="759" ht="21.75" customHeight="1" s="32">
      <c r="A759" s="41" t="inlineStr">
        <is>
          <t>aa_turret.flak</t>
        </is>
      </c>
      <c r="B759" s="41" t="inlineStr">
        <is>
          <t>Tháp phòng không · nhánh Tháp cao xạ</t>
        </is>
      </c>
      <c r="C759" s="41" t="inlineStr">
        <is>
          <t>Vũ khí / DPS</t>
        </is>
      </c>
      <c r="D759" s="41" t="inlineStr">
        <is>
          <t>100/29/305</t>
        </is>
      </c>
      <c r="E759" s="49" t="inlineStr">
        <is>
          <t>Giữ</t>
        </is>
      </c>
      <c r="F759" s="41" t="n"/>
      <c r="G759" s="41" t="inlineStr">
        <is>
          <t>Trong khoảng mục tiêu của cỡ ô.</t>
        </is>
      </c>
      <c r="H759" s="41" t="n"/>
    </row>
    <row r="760" ht="21.75" customHeight="1" s="32">
      <c r="A760" s="39" t="inlineStr">
        <is>
          <t>aa_turret.flak</t>
        </is>
      </c>
      <c r="B760" s="39" t="inlineStr">
        <is>
          <t>Tháp phòng không · nhánh Tháp cao xạ</t>
        </is>
      </c>
      <c r="C760" s="39" t="inlineStr">
        <is>
          <t>Nổ khi bị phá</t>
        </is>
      </c>
      <c r="D760" s="39" t="inlineStr">
        <is>
          <t>7 m</t>
        </is>
      </c>
      <c r="E760" s="49" t="inlineStr">
        <is>
          <t>Giữ</t>
        </is>
      </c>
      <c r="F760" s="39" t="n"/>
      <c r="G760" s="39" t="inlineStr">
        <is>
          <t>Hợp cỡ.</t>
        </is>
      </c>
      <c r="H760" s="39" t="n"/>
    </row>
    <row r="761" ht="21.75" customHeight="1" s="32">
      <c r="A761" s="41" t="inlineStr">
        <is>
          <t>aa_turret.sam</t>
        </is>
      </c>
      <c r="B761" s="41" t="inlineStr">
        <is>
          <t>Tháp phòng không · nhánh Trạm tên lửa</t>
        </is>
      </c>
      <c r="C761" s="41" t="inlineStr">
        <is>
          <t>Tên</t>
        </is>
      </c>
      <c r="D761" s="41" t="inlineStr">
        <is>
          <t>Tháp phòng không · nhánh Trạm tên lửa</t>
        </is>
      </c>
      <c r="E761" s="49" t="inlineStr">
        <is>
          <t>Giữ</t>
        </is>
      </c>
      <c r="F761" s="41" t="n"/>
      <c r="G761" s="41" t="inlineStr">
        <is>
          <t>Tên rõ vai trò.</t>
        </is>
      </c>
      <c r="H761" s="41" t="n"/>
    </row>
    <row r="762" ht="21.75" customHeight="1" s="32">
      <c r="A762" s="39" t="inlineStr">
        <is>
          <t>aa_turret.sam</t>
        </is>
      </c>
      <c r="B762" s="39" t="inlineStr">
        <is>
          <t>Tháp phòng không · nhánh Trạm tên lửa</t>
        </is>
      </c>
      <c r="C762" s="39" t="inlineStr">
        <is>
          <t>Ô</t>
        </is>
      </c>
      <c r="D762" s="39" t="inlineStr">
        <is>
          <t>Nhỏ</t>
        </is>
      </c>
      <c r="E762" s="49" t="inlineStr">
        <is>
          <t>Giữ</t>
        </is>
      </c>
      <c r="F762" s="39" t="n"/>
      <c r="G762" s="39" t="n"/>
      <c r="H762" s="39" t="n"/>
    </row>
    <row r="763" ht="21.75" customHeight="1" s="32">
      <c r="A763" s="41" t="inlineStr">
        <is>
          <t>aa_turret.sam</t>
        </is>
      </c>
      <c r="B763" s="41" t="inlineStr">
        <is>
          <t>Tháp phòng không · nhánh Trạm tên lửa</t>
        </is>
      </c>
      <c r="C763" s="41" t="inlineStr">
        <is>
          <t>Máu</t>
        </is>
      </c>
      <c r="D763" s="43" t="n">
        <v>2420</v>
      </c>
      <c r="E763" s="49" t="inlineStr">
        <is>
          <t>Giữ</t>
        </is>
      </c>
      <c r="F763" s="41" t="n"/>
      <c r="G763" s="41" t="inlineStr">
        <is>
          <t>1.38 × trung vị máu tháp ô nhỏ.</t>
        </is>
      </c>
      <c r="H763" s="41" t="n"/>
    </row>
    <row r="764" ht="21.75" customHeight="1" s="32">
      <c r="A764" s="39" t="inlineStr">
        <is>
          <t>aa_turret.sam</t>
        </is>
      </c>
      <c r="B764" s="39" t="inlineStr">
        <is>
          <t>Tháp phòng không · nhánh Trạm tên lửa</t>
        </is>
      </c>
      <c r="C764" s="39" t="inlineStr">
        <is>
          <t>Giáp</t>
        </is>
      </c>
      <c r="D764" s="39" t="inlineStr">
        <is>
          <t>cấp 2 (Vừa) · công trình</t>
        </is>
      </c>
      <c r="E764" s="49" t="inlineStr">
        <is>
          <t>Giữ</t>
        </is>
      </c>
      <c r="F764" s="39" t="n"/>
      <c r="G764" s="39" t="inlineStr">
        <is>
          <t>Công trình; hợp vai trò.</t>
        </is>
      </c>
      <c r="H764" s="39" t="n"/>
    </row>
    <row r="765" ht="21.75" customHeight="1" s="32">
      <c r="A765" s="41" t="inlineStr">
        <is>
          <t>aa_turret.sam</t>
        </is>
      </c>
      <c r="B765" s="41" t="inlineStr">
        <is>
          <t>Tháp phòng không · nhánh Trạm tên lửa</t>
        </is>
      </c>
      <c r="C765" s="41" t="inlineStr">
        <is>
          <t>Kích thước</t>
        </is>
      </c>
      <c r="D765" s="41" t="inlineStr">
        <is>
          <t>5.4 × 4.5 × 3.2</t>
        </is>
      </c>
      <c r="E765" s="49" t="inlineStr">
        <is>
          <t>Giữ</t>
        </is>
      </c>
      <c r="F765" s="41" t="n"/>
      <c r="G765" s="41" t="inlineStr">
        <is>
          <t>Vừa cỡ ô.</t>
        </is>
      </c>
      <c r="H765" s="41" t="n"/>
    </row>
    <row r="766" ht="21.75" customHeight="1" s="32">
      <c r="A766" s="39" t="inlineStr">
        <is>
          <t>aa_turret.sam</t>
        </is>
      </c>
      <c r="B766" s="39" t="inlineStr">
        <is>
          <t>Tháp phòng không · nhánh Trạm tên lửa</t>
        </is>
      </c>
      <c r="C766" s="39" t="inlineStr">
        <is>
          <t>Tham khảo</t>
        </is>
      </c>
      <c r="D766" s="39" t="inlineStr">
        <is>
          <t>9K37 Buk (hệ thống lớn)</t>
        </is>
      </c>
      <c r="E766" s="47" t="inlineStr">
        <is>
          <t>Đổi</t>
        </is>
      </c>
      <c r="F766" s="39" t="inlineStr">
        <is>
          <t>Mistral / RBS-70 / Starstreak LML (bệ nhỏ)</t>
        </is>
      </c>
      <c r="G766" s="39" t="inlineStr">
        <is>
          <t>Buk là hệ thống cỡ tiểu đoàn, không hợp tháp ô nhỏ.</t>
        </is>
      </c>
      <c r="H766" s="48" t="inlineStr">
        <is>
          <t>Trung</t>
        </is>
      </c>
    </row>
    <row r="767" ht="21.75" customHeight="1" s="32">
      <c r="A767" s="41" t="inlineStr">
        <is>
          <t>aa_turret.sam</t>
        </is>
      </c>
      <c r="B767" s="41" t="inlineStr">
        <is>
          <t>Tháp phòng không · nhánh Trạm tên lửa</t>
        </is>
      </c>
      <c r="C767" s="41" t="inlineStr">
        <is>
          <t>Nổ khi bị phá</t>
        </is>
      </c>
      <c r="D767" s="41" t="inlineStr">
        <is>
          <t>7 m</t>
        </is>
      </c>
      <c r="E767" s="49" t="inlineStr">
        <is>
          <t>Giữ</t>
        </is>
      </c>
      <c r="F767" s="41" t="n"/>
      <c r="G767" s="41" t="inlineStr">
        <is>
          <t>Hợp cỡ.</t>
        </is>
      </c>
      <c r="H767" s="41" t="n"/>
    </row>
    <row r="768" ht="15" customHeight="1" s="32">
      <c r="A768" s="39" t="inlineStr">
        <is>
          <t>cp_relay</t>
        </is>
      </c>
      <c r="B768" s="39" t="inlineStr">
        <is>
          <t>Trạm tiếp tế CP</t>
        </is>
      </c>
      <c r="C768" s="39" t="inlineStr">
        <is>
          <t>Tên</t>
        </is>
      </c>
      <c r="D768" s="39" t="inlineStr">
        <is>
          <t>Trạm tiếp tế CP</t>
        </is>
      </c>
      <c r="E768" s="49" t="inlineStr">
        <is>
          <t>Giữ</t>
        </is>
      </c>
      <c r="F768" s="39" t="n"/>
      <c r="G768" s="39" t="inlineStr">
        <is>
          <t>Tên rõ vai trò.</t>
        </is>
      </c>
      <c r="H768" s="39" t="n"/>
    </row>
    <row r="769" ht="15" customHeight="1" s="32">
      <c r="A769" s="41" t="inlineStr">
        <is>
          <t>cp_relay</t>
        </is>
      </c>
      <c r="B769" s="41" t="inlineStr">
        <is>
          <t>Trạm tiếp tế CP</t>
        </is>
      </c>
      <c r="C769" s="41" t="inlineStr">
        <is>
          <t>Ô</t>
        </is>
      </c>
      <c r="D769" s="41" t="inlineStr">
        <is>
          <t>Nhỏ</t>
        </is>
      </c>
      <c r="E769" s="49" t="inlineStr">
        <is>
          <t>Giữ</t>
        </is>
      </c>
      <c r="F769" s="41" t="n"/>
      <c r="G769" s="41" t="n"/>
      <c r="H769" s="41" t="n"/>
    </row>
    <row r="770" ht="15" customHeight="1" s="32">
      <c r="A770" s="39" t="inlineStr">
        <is>
          <t>cp_relay</t>
        </is>
      </c>
      <c r="B770" s="39" t="inlineStr">
        <is>
          <t>Trạm tiếp tế CP</t>
        </is>
      </c>
      <c r="C770" s="39" t="inlineStr">
        <is>
          <t>Máu</t>
        </is>
      </c>
      <c r="D770" s="42" t="n">
        <v>1320</v>
      </c>
      <c r="E770" s="49" t="inlineStr">
        <is>
          <t>Giữ</t>
        </is>
      </c>
      <c r="F770" s="39" t="n"/>
      <c r="G770" s="39" t="inlineStr">
        <is>
          <t>0.75 × trung vị máu tháp ô nhỏ.</t>
        </is>
      </c>
      <c r="H770" s="39" t="n"/>
    </row>
    <row r="771" ht="15" customHeight="1" s="32">
      <c r="A771" s="41" t="inlineStr">
        <is>
          <t>cp_relay</t>
        </is>
      </c>
      <c r="B771" s="41" t="inlineStr">
        <is>
          <t>Trạm tiếp tế CP</t>
        </is>
      </c>
      <c r="C771" s="41" t="inlineStr">
        <is>
          <t>Giáp</t>
        </is>
      </c>
      <c r="D771" s="41" t="inlineStr">
        <is>
          <t>cấp 1 (Mỏng) · công trình</t>
        </is>
      </c>
      <c r="E771" s="49" t="inlineStr">
        <is>
          <t>Giữ</t>
        </is>
      </c>
      <c r="F771" s="41" t="n"/>
      <c r="G771" s="41" t="inlineStr">
        <is>
          <t>Công trình; hợp vai trò.</t>
        </is>
      </c>
      <c r="H771" s="41" t="n"/>
    </row>
    <row r="772" ht="15" customHeight="1" s="32">
      <c r="A772" s="39" t="inlineStr">
        <is>
          <t>cp_relay</t>
        </is>
      </c>
      <c r="B772" s="39" t="inlineStr">
        <is>
          <t>Trạm tiếp tế CP</t>
        </is>
      </c>
      <c r="C772" s="39" t="inlineStr">
        <is>
          <t>Kích thước</t>
        </is>
      </c>
      <c r="D772" s="39" t="inlineStr">
        <is>
          <t>4.0 × 4.0 × 7.8</t>
        </is>
      </c>
      <c r="E772" s="49" t="inlineStr">
        <is>
          <t>Giữ</t>
        </is>
      </c>
      <c r="F772" s="39" t="n"/>
      <c r="G772" s="39" t="inlineStr">
        <is>
          <t>Vừa cỡ ô.</t>
        </is>
      </c>
      <c r="H772" s="39" t="n"/>
    </row>
    <row r="773" ht="15" customHeight="1" s="32">
      <c r="A773" s="41" t="inlineStr">
        <is>
          <t>cp_relay</t>
        </is>
      </c>
      <c r="B773" s="41" t="inlineStr">
        <is>
          <t>Trạm tiếp tế CP</t>
        </is>
      </c>
      <c r="C773" s="41" t="inlineStr">
        <is>
          <t>Vũ khí / DPS</t>
        </is>
      </c>
      <c r="D773" s="41" t="inlineStr">
        <is>
          <t>0/0/0</t>
        </is>
      </c>
      <c r="E773" s="49" t="inlineStr">
        <is>
          <t>Giữ</t>
        </is>
      </c>
      <c r="F773" s="41" t="n"/>
      <c r="G773" s="41" t="inlineStr">
        <is>
          <t>Trong khoảng mục tiêu của cỡ ô.</t>
        </is>
      </c>
      <c r="H773" s="41" t="n"/>
    </row>
    <row r="774" ht="15" customHeight="1" s="32">
      <c r="A774" s="39" t="inlineStr">
        <is>
          <t>cp_relay</t>
        </is>
      </c>
      <c r="B774" s="39" t="inlineStr">
        <is>
          <t>Trạm tiếp tế CP</t>
        </is>
      </c>
      <c r="C774" s="39" t="inlineStr">
        <is>
          <t>Nổ khi bị phá</t>
        </is>
      </c>
      <c r="D774" s="39" t="inlineStr">
        <is>
          <t>5 m</t>
        </is>
      </c>
      <c r="E774" s="49" t="inlineStr">
        <is>
          <t>Giữ</t>
        </is>
      </c>
      <c r="F774" s="39" t="n"/>
      <c r="G774" s="39" t="inlineStr">
        <is>
          <t>Hợp cỡ.</t>
        </is>
      </c>
      <c r="H774" s="39" t="n"/>
    </row>
    <row r="775" ht="15" customHeight="1" s="32">
      <c r="A775" s="41" t="inlineStr">
        <is>
          <t>cp_relay.hardened</t>
        </is>
      </c>
      <c r="B775" s="41" t="inlineStr">
        <is>
          <t>Trạm tiếp tế CP · nhánh Trạm tiếp tế</t>
        </is>
      </c>
      <c r="C775" s="41" t="inlineStr">
        <is>
          <t>Tên</t>
        </is>
      </c>
      <c r="D775" s="41" t="inlineStr">
        <is>
          <t>Trạm tiếp tế CP · nhánh Trạm tiếp tế</t>
        </is>
      </c>
      <c r="E775" s="49" t="inlineStr">
        <is>
          <t>Giữ</t>
        </is>
      </c>
      <c r="F775" s="41" t="n"/>
      <c r="G775" s="41" t="inlineStr">
        <is>
          <t>Tên rõ vai trò.</t>
        </is>
      </c>
      <c r="H775" s="41" t="n"/>
    </row>
    <row r="776" ht="15" customHeight="1" s="32">
      <c r="A776" s="39" t="inlineStr">
        <is>
          <t>cp_relay.hardened</t>
        </is>
      </c>
      <c r="B776" s="39" t="inlineStr">
        <is>
          <t>Trạm tiếp tế CP · nhánh Trạm tiếp tế</t>
        </is>
      </c>
      <c r="C776" s="39" t="inlineStr">
        <is>
          <t>Ô</t>
        </is>
      </c>
      <c r="D776" s="39" t="inlineStr">
        <is>
          <t>Nhỏ</t>
        </is>
      </c>
      <c r="E776" s="49" t="inlineStr">
        <is>
          <t>Giữ</t>
        </is>
      </c>
      <c r="F776" s="39" t="n"/>
      <c r="G776" s="39" t="n"/>
      <c r="H776" s="39" t="n"/>
    </row>
    <row r="777" ht="15" customHeight="1" s="32">
      <c r="A777" s="41" t="inlineStr">
        <is>
          <t>cp_relay.hardened</t>
        </is>
      </c>
      <c r="B777" s="41" t="inlineStr">
        <is>
          <t>Trạm tiếp tế CP · nhánh Trạm tiếp tế</t>
        </is>
      </c>
      <c r="C777" s="41" t="inlineStr">
        <is>
          <t>Máu</t>
        </is>
      </c>
      <c r="D777" s="43" t="n">
        <v>2420</v>
      </c>
      <c r="E777" s="49" t="inlineStr">
        <is>
          <t>Giữ</t>
        </is>
      </c>
      <c r="F777" s="41" t="n"/>
      <c r="G777" s="41" t="inlineStr">
        <is>
          <t>1.38 × trung vị máu tháp ô nhỏ.</t>
        </is>
      </c>
      <c r="H777" s="41" t="n"/>
    </row>
    <row r="778" ht="15" customHeight="1" s="32">
      <c r="A778" s="39" t="inlineStr">
        <is>
          <t>cp_relay.hardened</t>
        </is>
      </c>
      <c r="B778" s="39" t="inlineStr">
        <is>
          <t>Trạm tiếp tế CP · nhánh Trạm tiếp tế</t>
        </is>
      </c>
      <c r="C778" s="39" t="inlineStr">
        <is>
          <t>Giáp</t>
        </is>
      </c>
      <c r="D778" s="39" t="inlineStr">
        <is>
          <t>cấp 2 (Vừa) · công trình</t>
        </is>
      </c>
      <c r="E778" s="49" t="inlineStr">
        <is>
          <t>Giữ</t>
        </is>
      </c>
      <c r="F778" s="39" t="n"/>
      <c r="G778" s="39" t="inlineStr">
        <is>
          <t>Công trình; hợp vai trò.</t>
        </is>
      </c>
      <c r="H778" s="39" t="n"/>
    </row>
    <row r="779" ht="15" customHeight="1" s="32">
      <c r="A779" s="41" t="inlineStr">
        <is>
          <t>cp_relay.hardened</t>
        </is>
      </c>
      <c r="B779" s="41" t="inlineStr">
        <is>
          <t>Trạm tiếp tế CP · nhánh Trạm tiếp tế</t>
        </is>
      </c>
      <c r="C779" s="41" t="inlineStr">
        <is>
          <t>Kích thước</t>
        </is>
      </c>
      <c r="D779" s="41" t="inlineStr">
        <is>
          <t>4.0 × 4.0 × 7.8</t>
        </is>
      </c>
      <c r="E779" s="49" t="inlineStr">
        <is>
          <t>Giữ</t>
        </is>
      </c>
      <c r="F779" s="41" t="n"/>
      <c r="G779" s="41" t="inlineStr">
        <is>
          <t>Vừa cỡ ô.</t>
        </is>
      </c>
      <c r="H779" s="41" t="n"/>
    </row>
    <row r="780" ht="15" customHeight="1" s="32">
      <c r="A780" s="39" t="inlineStr">
        <is>
          <t>cp_relay.hardened</t>
        </is>
      </c>
      <c r="B780" s="39" t="inlineStr">
        <is>
          <t>Trạm tiếp tế CP · nhánh Trạm tiếp tế</t>
        </is>
      </c>
      <c r="C780" s="39" t="inlineStr">
        <is>
          <t>Vũ khí / DPS</t>
        </is>
      </c>
      <c r="D780" s="39" t="inlineStr">
        <is>
          <t>0/0/0</t>
        </is>
      </c>
      <c r="E780" s="49" t="inlineStr">
        <is>
          <t>Giữ</t>
        </is>
      </c>
      <c r="F780" s="39" t="n"/>
      <c r="G780" s="39" t="inlineStr">
        <is>
          <t>Trong khoảng mục tiêu của cỡ ô.</t>
        </is>
      </c>
      <c r="H780" s="39" t="n"/>
    </row>
    <row r="781" ht="15" customHeight="1" s="32">
      <c r="A781" s="41" t="inlineStr">
        <is>
          <t>cp_relay.hardened</t>
        </is>
      </c>
      <c r="B781" s="41" t="inlineStr">
        <is>
          <t>Trạm tiếp tế CP · nhánh Trạm tiếp tế</t>
        </is>
      </c>
      <c r="C781" s="41" t="inlineStr">
        <is>
          <t>Nổ khi bị phá</t>
        </is>
      </c>
      <c r="D781" s="41" t="inlineStr">
        <is>
          <t>5 m</t>
        </is>
      </c>
      <c r="E781" s="49" t="inlineStr">
        <is>
          <t>Giữ</t>
        </is>
      </c>
      <c r="F781" s="41" t="n"/>
      <c r="G781" s="41" t="inlineStr">
        <is>
          <t>Hợp cỡ.</t>
        </is>
      </c>
      <c r="H781" s="41" t="n"/>
    </row>
    <row r="782" ht="21.75" customHeight="1" s="32">
      <c r="A782" s="39" t="inlineStr">
        <is>
          <t>cp_relay.loot</t>
        </is>
      </c>
      <c r="B782" s="39" t="inlineStr">
        <is>
          <t>Trạm tiếp tế CP · nhánh Kho chiến lợi phẩm</t>
        </is>
      </c>
      <c r="C782" s="39" t="inlineStr">
        <is>
          <t>Tên</t>
        </is>
      </c>
      <c r="D782" s="39" t="inlineStr">
        <is>
          <t>Trạm tiếp tế CP · nhánh Kho chiến lợi phẩm</t>
        </is>
      </c>
      <c r="E782" s="49" t="inlineStr">
        <is>
          <t>Giữ</t>
        </is>
      </c>
      <c r="F782" s="39" t="n"/>
      <c r="G782" s="39" t="inlineStr">
        <is>
          <t>Tên rõ vai trò.</t>
        </is>
      </c>
      <c r="H782" s="39" t="n"/>
    </row>
    <row r="783" ht="21.75" customHeight="1" s="32">
      <c r="A783" s="41" t="inlineStr">
        <is>
          <t>cp_relay.loot</t>
        </is>
      </c>
      <c r="B783" s="41" t="inlineStr">
        <is>
          <t>Trạm tiếp tế CP · nhánh Kho chiến lợi phẩm</t>
        </is>
      </c>
      <c r="C783" s="41" t="inlineStr">
        <is>
          <t>Ô</t>
        </is>
      </c>
      <c r="D783" s="41" t="inlineStr">
        <is>
          <t>Nhỏ</t>
        </is>
      </c>
      <c r="E783" s="49" t="inlineStr">
        <is>
          <t>Giữ</t>
        </is>
      </c>
      <c r="F783" s="41" t="n"/>
      <c r="G783" s="41" t="n"/>
      <c r="H783" s="41" t="n"/>
    </row>
    <row r="784" ht="21.75" customHeight="1" s="32">
      <c r="A784" s="39" t="inlineStr">
        <is>
          <t>cp_relay.loot</t>
        </is>
      </c>
      <c r="B784" s="39" t="inlineStr">
        <is>
          <t>Trạm tiếp tế CP · nhánh Kho chiến lợi phẩm</t>
        </is>
      </c>
      <c r="C784" s="39" t="inlineStr">
        <is>
          <t>Máu</t>
        </is>
      </c>
      <c r="D784" s="42" t="n">
        <v>1320</v>
      </c>
      <c r="E784" s="49" t="inlineStr">
        <is>
          <t>Giữ</t>
        </is>
      </c>
      <c r="F784" s="39" t="n"/>
      <c r="G784" s="39" t="inlineStr">
        <is>
          <t>0.75 × trung vị máu tháp ô nhỏ.</t>
        </is>
      </c>
      <c r="H784" s="39" t="n"/>
    </row>
    <row r="785" ht="21.75" customHeight="1" s="32">
      <c r="A785" s="41" t="inlineStr">
        <is>
          <t>cp_relay.loot</t>
        </is>
      </c>
      <c r="B785" s="41" t="inlineStr">
        <is>
          <t>Trạm tiếp tế CP · nhánh Kho chiến lợi phẩm</t>
        </is>
      </c>
      <c r="C785" s="41" t="inlineStr">
        <is>
          <t>Giáp</t>
        </is>
      </c>
      <c r="D785" s="41" t="inlineStr">
        <is>
          <t>cấp 1 (Mỏng) · công trình</t>
        </is>
      </c>
      <c r="E785" s="49" t="inlineStr">
        <is>
          <t>Giữ</t>
        </is>
      </c>
      <c r="F785" s="41" t="n"/>
      <c r="G785" s="41" t="inlineStr">
        <is>
          <t>Công trình; hợp vai trò.</t>
        </is>
      </c>
      <c r="H785" s="41" t="n"/>
    </row>
    <row r="786" ht="21.75" customHeight="1" s="32">
      <c r="A786" s="39" t="inlineStr">
        <is>
          <t>cp_relay.loot</t>
        </is>
      </c>
      <c r="B786" s="39" t="inlineStr">
        <is>
          <t>Trạm tiếp tế CP · nhánh Kho chiến lợi phẩm</t>
        </is>
      </c>
      <c r="C786" s="39" t="inlineStr">
        <is>
          <t>Kích thước</t>
        </is>
      </c>
      <c r="D786" s="39" t="inlineStr">
        <is>
          <t>4.0 × 4.0 × 7.8</t>
        </is>
      </c>
      <c r="E786" s="49" t="inlineStr">
        <is>
          <t>Giữ</t>
        </is>
      </c>
      <c r="F786" s="39" t="n"/>
      <c r="G786" s="39" t="inlineStr">
        <is>
          <t>Vừa cỡ ô.</t>
        </is>
      </c>
      <c r="H786" s="39" t="n"/>
    </row>
    <row r="787" ht="21.75" customHeight="1" s="32">
      <c r="A787" s="41" t="inlineStr">
        <is>
          <t>cp_relay.loot</t>
        </is>
      </c>
      <c r="B787" s="41" t="inlineStr">
        <is>
          <t>Trạm tiếp tế CP · nhánh Kho chiến lợi phẩm</t>
        </is>
      </c>
      <c r="C787" s="41" t="inlineStr">
        <is>
          <t>Vũ khí / DPS</t>
        </is>
      </c>
      <c r="D787" s="41" t="inlineStr">
        <is>
          <t>0/0/0</t>
        </is>
      </c>
      <c r="E787" s="49" t="inlineStr">
        <is>
          <t>Giữ</t>
        </is>
      </c>
      <c r="F787" s="41" t="n"/>
      <c r="G787" s="41" t="inlineStr">
        <is>
          <t>Trong khoảng mục tiêu của cỡ ô.</t>
        </is>
      </c>
      <c r="H787" s="41" t="n"/>
    </row>
    <row r="788" ht="21.75" customHeight="1" s="32">
      <c r="A788" s="39" t="inlineStr">
        <is>
          <t>cp_relay.loot</t>
        </is>
      </c>
      <c r="B788" s="39" t="inlineStr">
        <is>
          <t>Trạm tiếp tế CP · nhánh Kho chiến lợi phẩm</t>
        </is>
      </c>
      <c r="C788" s="39" t="inlineStr">
        <is>
          <t>Nổ khi bị phá</t>
        </is>
      </c>
      <c r="D788" s="39" t="inlineStr">
        <is>
          <t>5 m</t>
        </is>
      </c>
      <c r="E788" s="49" t="inlineStr">
        <is>
          <t>Giữ</t>
        </is>
      </c>
      <c r="F788" s="39" t="n"/>
      <c r="G788" s="39" t="inlineStr">
        <is>
          <t>Hợp cỡ.</t>
        </is>
      </c>
      <c r="H788" s="39" t="n"/>
    </row>
    <row r="789" ht="15" customHeight="1" s="32">
      <c r="A789" s="41"/>
      <c r="B789" s="41"/>
      <c r="C789" s="41"/>
      <c r="D789" s="41"/>
      <c r="E789" s="49"/>
      <c r="F789" s="41"/>
      <c r="G789" s="41"/>
      <c r="H789" s="41"/>
    </row>
    <row r="790" ht="15" customHeight="1" s="32">
      <c r="A790" s="39"/>
      <c r="B790" s="39"/>
      <c r="C790" s="39"/>
      <c r="D790" s="39"/>
      <c r="E790" s="49"/>
      <c r="F790" s="39"/>
      <c r="G790" s="39"/>
      <c r="H790" s="39"/>
    </row>
    <row r="791" ht="15" customHeight="1" s="32">
      <c r="A791" s="41"/>
      <c r="B791" s="41"/>
      <c r="C791" s="41"/>
      <c r="D791" s="43"/>
      <c r="E791" s="49"/>
      <c r="F791" s="41"/>
      <c r="G791" s="41"/>
      <c r="H791" s="41"/>
    </row>
    <row r="792" ht="15" customHeight="1" s="32">
      <c r="A792" s="39"/>
      <c r="B792" s="39"/>
      <c r="C792" s="39"/>
      <c r="D792" s="39"/>
      <c r="E792" s="49"/>
      <c r="F792" s="39"/>
      <c r="G792" s="39"/>
      <c r="H792" s="39"/>
    </row>
    <row r="793" ht="15" customHeight="1" s="32">
      <c r="A793" s="41"/>
      <c r="B793" s="41"/>
      <c r="C793" s="41"/>
      <c r="D793" s="41"/>
      <c r="E793" s="49"/>
      <c r="F793" s="41"/>
      <c r="G793" s="41"/>
      <c r="H793" s="41"/>
    </row>
    <row r="794" ht="15" customHeight="1" s="32">
      <c r="A794" s="39"/>
      <c r="B794" s="39"/>
      <c r="C794" s="39"/>
      <c r="D794" s="39"/>
      <c r="E794" s="49"/>
      <c r="F794" s="39"/>
      <c r="G794" s="39"/>
      <c r="H794" s="39"/>
    </row>
    <row r="795" ht="15" customHeight="1" s="32">
      <c r="A795" s="41"/>
      <c r="B795" s="41"/>
      <c r="C795" s="41"/>
      <c r="D795" s="41"/>
      <c r="E795" s="49"/>
      <c r="F795" s="41"/>
      <c r="G795" s="41"/>
      <c r="H795" s="41"/>
    </row>
    <row r="796" ht="15" customHeight="1" s="32">
      <c r="A796" s="39"/>
      <c r="B796" s="39"/>
      <c r="C796" s="39"/>
      <c r="D796" s="39"/>
      <c r="E796" s="49"/>
      <c r="F796" s="39"/>
      <c r="G796" s="39"/>
      <c r="H796" s="39"/>
    </row>
    <row r="797" ht="15" customHeight="1" s="32">
      <c r="A797" s="41"/>
      <c r="B797" s="41"/>
      <c r="C797" s="41"/>
      <c r="D797" s="43"/>
      <c r="E797" s="49"/>
      <c r="F797" s="41"/>
      <c r="G797" s="41"/>
      <c r="H797" s="41"/>
    </row>
    <row r="798" ht="15" customHeight="1" s="32">
      <c r="A798" s="39"/>
      <c r="B798" s="39"/>
      <c r="C798" s="39"/>
      <c r="D798" s="39"/>
      <c r="E798" s="49"/>
      <c r="F798" s="39"/>
      <c r="G798" s="39"/>
      <c r="H798" s="39"/>
    </row>
    <row r="799" ht="15" customHeight="1" s="32">
      <c r="A799" s="41"/>
      <c r="B799" s="41"/>
      <c r="C799" s="41"/>
      <c r="D799" s="41"/>
      <c r="E799" s="49"/>
      <c r="F799" s="41"/>
      <c r="G799" s="41"/>
      <c r="H799" s="41"/>
    </row>
    <row r="800" ht="15" customHeight="1" s="32">
      <c r="A800" s="39"/>
      <c r="B800" s="39"/>
      <c r="C800" s="39"/>
      <c r="D800" s="39"/>
      <c r="E800" s="49"/>
      <c r="F800" s="39"/>
      <c r="G800" s="39"/>
      <c r="H800" s="39"/>
    </row>
    <row r="801" ht="15" customHeight="1" s="32">
      <c r="A801" s="41"/>
      <c r="B801" s="41"/>
      <c r="C801" s="41"/>
      <c r="D801" s="41"/>
      <c r="E801" s="49"/>
      <c r="F801" s="41"/>
      <c r="G801" s="41"/>
      <c r="H801" s="41"/>
    </row>
    <row r="802" ht="15" customHeight="1" s="32">
      <c r="A802" s="39"/>
      <c r="B802" s="39"/>
      <c r="C802" s="39"/>
      <c r="D802" s="39"/>
      <c r="E802" s="49"/>
      <c r="F802" s="39"/>
      <c r="G802" s="39"/>
      <c r="H802" s="39"/>
    </row>
    <row r="803" ht="15" customHeight="1" s="32">
      <c r="A803" s="41"/>
      <c r="B803" s="41"/>
      <c r="C803" s="41"/>
      <c r="D803" s="43"/>
      <c r="E803" s="49"/>
      <c r="F803" s="41"/>
      <c r="G803" s="41"/>
      <c r="H803" s="41"/>
    </row>
    <row r="804" ht="15" customHeight="1" s="32">
      <c r="A804" s="39"/>
      <c r="B804" s="39"/>
      <c r="C804" s="39"/>
      <c r="D804" s="39"/>
      <c r="E804" s="49"/>
      <c r="F804" s="39"/>
      <c r="G804" s="39"/>
      <c r="H804" s="39"/>
    </row>
    <row r="805" ht="15" customHeight="1" s="32">
      <c r="A805" s="41"/>
      <c r="B805" s="41"/>
      <c r="C805" s="41"/>
      <c r="D805" s="41"/>
      <c r="E805" s="49"/>
      <c r="F805" s="41"/>
      <c r="G805" s="41"/>
      <c r="H805" s="41"/>
    </row>
    <row r="806" ht="15" customHeight="1" s="32">
      <c r="A806" s="39"/>
      <c r="B806" s="39"/>
      <c r="C806" s="39"/>
      <c r="D806" s="39"/>
      <c r="E806" s="49"/>
      <c r="F806" s="39"/>
      <c r="G806" s="39"/>
      <c r="H806" s="39"/>
    </row>
    <row r="807" ht="15" customHeight="1" s="32">
      <c r="A807" s="41" t="inlineStr">
        <is>
          <t>ew_tower</t>
        </is>
      </c>
      <c r="B807" s="41" t="inlineStr">
        <is>
          <t>Tháp gây nhiễu EW</t>
        </is>
      </c>
      <c r="C807" s="41" t="inlineStr">
        <is>
          <t>Tên</t>
        </is>
      </c>
      <c r="D807" s="41" t="inlineStr">
        <is>
          <t>Tháp gây nhiễu EW</t>
        </is>
      </c>
      <c r="E807" s="49" t="inlineStr">
        <is>
          <t>Giữ</t>
        </is>
      </c>
      <c r="F807" s="41" t="n"/>
      <c r="G807" s="41" t="inlineStr">
        <is>
          <t>Tên rõ vai trò.</t>
        </is>
      </c>
      <c r="H807" s="41" t="n"/>
    </row>
    <row r="808" ht="15" customHeight="1" s="32">
      <c r="A808" s="39" t="inlineStr">
        <is>
          <t>ew_tower</t>
        </is>
      </c>
      <c r="B808" s="39" t="inlineStr">
        <is>
          <t>Tháp gây nhiễu EW</t>
        </is>
      </c>
      <c r="C808" s="39" t="inlineStr">
        <is>
          <t>Ô</t>
        </is>
      </c>
      <c r="D808" s="39" t="inlineStr">
        <is>
          <t>Nhỏ</t>
        </is>
      </c>
      <c r="E808" s="49" t="inlineStr">
        <is>
          <t>Giữ</t>
        </is>
      </c>
      <c r="F808" s="39" t="n"/>
      <c r="G808" s="39" t="n"/>
      <c r="H808" s="39" t="n"/>
    </row>
    <row r="809" ht="15" customHeight="1" s="32">
      <c r="A809" s="41" t="inlineStr">
        <is>
          <t>ew_tower</t>
        </is>
      </c>
      <c r="B809" s="41" t="inlineStr">
        <is>
          <t>Tháp gây nhiễu EW</t>
        </is>
      </c>
      <c r="C809" s="41" t="inlineStr">
        <is>
          <t>Máu</t>
        </is>
      </c>
      <c r="D809" s="43" t="n">
        <v>1760</v>
      </c>
      <c r="E809" s="49" t="inlineStr">
        <is>
          <t>Giữ</t>
        </is>
      </c>
      <c r="F809" s="41" t="n"/>
      <c r="G809" s="41" t="inlineStr">
        <is>
          <t>1.00 × trung vị máu tháp ô nhỏ.</t>
        </is>
      </c>
      <c r="H809" s="41" t="n"/>
    </row>
    <row r="810" ht="15" customHeight="1" s="32">
      <c r="A810" s="39" t="inlineStr">
        <is>
          <t>ew_tower</t>
        </is>
      </c>
      <c r="B810" s="39" t="inlineStr">
        <is>
          <t>Tháp gây nhiễu EW</t>
        </is>
      </c>
      <c r="C810" s="39" t="inlineStr">
        <is>
          <t>Giáp</t>
        </is>
      </c>
      <c r="D810" s="39" t="inlineStr">
        <is>
          <t>cấp 1 (Mỏng) · công trình</t>
        </is>
      </c>
      <c r="E810" s="49" t="inlineStr">
        <is>
          <t>Giữ</t>
        </is>
      </c>
      <c r="F810" s="39" t="n"/>
      <c r="G810" s="39" t="inlineStr">
        <is>
          <t>Công trình; hợp vai trò.</t>
        </is>
      </c>
      <c r="H810" s="39" t="n"/>
    </row>
    <row r="811" ht="15" customHeight="1" s="32">
      <c r="A811" s="41" t="inlineStr">
        <is>
          <t>ew_tower</t>
        </is>
      </c>
      <c r="B811" s="41" t="inlineStr">
        <is>
          <t>Tháp gây nhiễu EW</t>
        </is>
      </c>
      <c r="C811" s="41" t="inlineStr">
        <is>
          <t>Kích thước</t>
        </is>
      </c>
      <c r="D811" s="41" t="inlineStr">
        <is>
          <t>4.0 × 4.0 × 10.1</t>
        </is>
      </c>
      <c r="E811" s="49" t="inlineStr">
        <is>
          <t>Giữ</t>
        </is>
      </c>
      <c r="F811" s="41" t="n"/>
      <c r="G811" s="41" t="inlineStr">
        <is>
          <t>Vừa cỡ ô.</t>
        </is>
      </c>
      <c r="H811" s="41" t="n"/>
    </row>
    <row r="812" ht="15" customHeight="1" s="32">
      <c r="A812" s="39" t="inlineStr">
        <is>
          <t>ew_tower</t>
        </is>
      </c>
      <c r="B812" s="39" t="inlineStr">
        <is>
          <t>Tháp gây nhiễu EW</t>
        </is>
      </c>
      <c r="C812" s="39" t="inlineStr">
        <is>
          <t>Vũ khí / DPS</t>
        </is>
      </c>
      <c r="D812" s="39" t="inlineStr">
        <is>
          <t>0/0/0</t>
        </is>
      </c>
      <c r="E812" s="49" t="inlineStr">
        <is>
          <t>Giữ</t>
        </is>
      </c>
      <c r="F812" s="39" t="n"/>
      <c r="G812" s="39" t="inlineStr">
        <is>
          <t>Trong khoảng mục tiêu của cỡ ô.</t>
        </is>
      </c>
      <c r="H812" s="39" t="n"/>
    </row>
    <row r="813" ht="15" customHeight="1" s="32">
      <c r="A813" s="41" t="inlineStr">
        <is>
          <t>ew_tower</t>
        </is>
      </c>
      <c r="B813" s="41" t="inlineStr">
        <is>
          <t>Tháp gây nhiễu EW</t>
        </is>
      </c>
      <c r="C813" s="41" t="inlineStr">
        <is>
          <t>Nổ khi bị phá</t>
        </is>
      </c>
      <c r="D813" s="41" t="inlineStr">
        <is>
          <t>5 m</t>
        </is>
      </c>
      <c r="E813" s="49" t="inlineStr">
        <is>
          <t>Giữ</t>
        </is>
      </c>
      <c r="F813" s="41" t="n"/>
      <c r="G813" s="41" t="inlineStr">
        <is>
          <t>Hợp cỡ.</t>
        </is>
      </c>
      <c r="H813" s="41" t="n"/>
    </row>
    <row r="814" ht="21.75" customHeight="1" s="32">
      <c r="A814" s="39" t="inlineStr">
        <is>
          <t>ew_tower.drone</t>
        </is>
      </c>
      <c r="B814" s="39" t="inlineStr">
        <is>
          <t>Tháp gây nhiễu EW · nhánh Máy gây nhiễu drone</t>
        </is>
      </c>
      <c r="C814" s="39" t="inlineStr">
        <is>
          <t>Tên</t>
        </is>
      </c>
      <c r="D814" s="39" t="inlineStr">
        <is>
          <t>Tháp gây nhiễu EW · nhánh Máy gây nhiễu drone</t>
        </is>
      </c>
      <c r="E814" s="49" t="inlineStr">
        <is>
          <t>Giữ</t>
        </is>
      </c>
      <c r="F814" s="39" t="n"/>
      <c r="G814" s="39" t="inlineStr">
        <is>
          <t>Tên rõ vai trò.</t>
        </is>
      </c>
      <c r="H814" s="39" t="n"/>
    </row>
    <row r="815" ht="21.75" customHeight="1" s="32">
      <c r="A815" s="41" t="inlineStr">
        <is>
          <t>ew_tower.drone</t>
        </is>
      </c>
      <c r="B815" s="41" t="inlineStr">
        <is>
          <t>Tháp gây nhiễu EW · nhánh Máy gây nhiễu drone</t>
        </is>
      </c>
      <c r="C815" s="41" t="inlineStr">
        <is>
          <t>Ô</t>
        </is>
      </c>
      <c r="D815" s="41" t="inlineStr">
        <is>
          <t>Nhỏ</t>
        </is>
      </c>
      <c r="E815" s="49" t="inlineStr">
        <is>
          <t>Giữ</t>
        </is>
      </c>
      <c r="F815" s="41" t="n"/>
      <c r="G815" s="41" t="n"/>
      <c r="H815" s="41" t="n"/>
    </row>
    <row r="816" ht="21.75" customHeight="1" s="32">
      <c r="A816" s="39" t="inlineStr">
        <is>
          <t>ew_tower.drone</t>
        </is>
      </c>
      <c r="B816" s="39" t="inlineStr">
        <is>
          <t>Tháp gây nhiễu EW · nhánh Máy gây nhiễu drone</t>
        </is>
      </c>
      <c r="C816" s="39" t="inlineStr">
        <is>
          <t>Máu</t>
        </is>
      </c>
      <c r="D816" s="42" t="n">
        <v>1760</v>
      </c>
      <c r="E816" s="49" t="inlineStr">
        <is>
          <t>Giữ</t>
        </is>
      </c>
      <c r="F816" s="39" t="n"/>
      <c r="G816" s="39" t="inlineStr">
        <is>
          <t>1.00 × trung vị máu tháp ô nhỏ.</t>
        </is>
      </c>
      <c r="H816" s="39" t="n"/>
    </row>
    <row r="817" ht="21.75" customHeight="1" s="32">
      <c r="A817" s="41" t="inlineStr">
        <is>
          <t>ew_tower.drone</t>
        </is>
      </c>
      <c r="B817" s="41" t="inlineStr">
        <is>
          <t>Tháp gây nhiễu EW · nhánh Máy gây nhiễu drone</t>
        </is>
      </c>
      <c r="C817" s="41" t="inlineStr">
        <is>
          <t>Giáp</t>
        </is>
      </c>
      <c r="D817" s="41" t="inlineStr">
        <is>
          <t>cấp 1 (Mỏng) · công trình</t>
        </is>
      </c>
      <c r="E817" s="49" t="inlineStr">
        <is>
          <t>Giữ</t>
        </is>
      </c>
      <c r="F817" s="41" t="n"/>
      <c r="G817" s="41" t="inlineStr">
        <is>
          <t>Công trình; hợp vai trò.</t>
        </is>
      </c>
      <c r="H817" s="41" t="n"/>
    </row>
    <row r="818" ht="21.75" customHeight="1" s="32">
      <c r="A818" s="39" t="inlineStr">
        <is>
          <t>ew_tower.drone</t>
        </is>
      </c>
      <c r="B818" s="39" t="inlineStr">
        <is>
          <t>Tháp gây nhiễu EW · nhánh Máy gây nhiễu drone</t>
        </is>
      </c>
      <c r="C818" s="39" t="inlineStr">
        <is>
          <t>Kích thước</t>
        </is>
      </c>
      <c r="D818" s="39" t="inlineStr">
        <is>
          <t>4.0 × 4.0 × 10.1</t>
        </is>
      </c>
      <c r="E818" s="49" t="inlineStr">
        <is>
          <t>Giữ</t>
        </is>
      </c>
      <c r="F818" s="39" t="n"/>
      <c r="G818" s="39" t="inlineStr">
        <is>
          <t>Vừa cỡ ô.</t>
        </is>
      </c>
      <c r="H818" s="39" t="n"/>
    </row>
    <row r="819" ht="21.75" customHeight="1" s="32">
      <c r="A819" s="41" t="inlineStr">
        <is>
          <t>ew_tower.drone</t>
        </is>
      </c>
      <c r="B819" s="41" t="inlineStr">
        <is>
          <t>Tháp gây nhiễu EW · nhánh Máy gây nhiễu drone</t>
        </is>
      </c>
      <c r="C819" s="41" t="inlineStr">
        <is>
          <t>Vũ khí / DPS</t>
        </is>
      </c>
      <c r="D819" s="41" t="inlineStr">
        <is>
          <t>0/0/0</t>
        </is>
      </c>
      <c r="E819" s="49" t="inlineStr">
        <is>
          <t>Giữ</t>
        </is>
      </c>
      <c r="F819" s="41" t="n"/>
      <c r="G819" s="41" t="inlineStr">
        <is>
          <t>Trong khoảng mục tiêu của cỡ ô.</t>
        </is>
      </c>
      <c r="H819" s="41" t="n"/>
    </row>
    <row r="820" ht="21.75" customHeight="1" s="32">
      <c r="A820" s="39" t="inlineStr">
        <is>
          <t>ew_tower.drone</t>
        </is>
      </c>
      <c r="B820" s="39" t="inlineStr">
        <is>
          <t>Tháp gây nhiễu EW · nhánh Máy gây nhiễu drone</t>
        </is>
      </c>
      <c r="C820" s="39" t="inlineStr">
        <is>
          <t>Nổ khi bị phá</t>
        </is>
      </c>
      <c r="D820" s="39" t="inlineStr">
        <is>
          <t>5 m</t>
        </is>
      </c>
      <c r="E820" s="49" t="inlineStr">
        <is>
          <t>Giữ</t>
        </is>
      </c>
      <c r="F820" s="39" t="n"/>
      <c r="G820" s="39" t="inlineStr">
        <is>
          <t>Hợp cỡ.</t>
        </is>
      </c>
      <c r="H820" s="39" t="n"/>
    </row>
    <row r="821" ht="21.75" customHeight="1" s="32">
      <c r="A821" s="41" t="inlineStr">
        <is>
          <t>ew_tower.spoof</t>
        </is>
      </c>
      <c r="B821" s="41" t="inlineStr">
        <is>
          <t>Tháp gây nhiễu EW · nhánh Máy đánh lừa radar</t>
        </is>
      </c>
      <c r="C821" s="41" t="inlineStr">
        <is>
          <t>Tên</t>
        </is>
      </c>
      <c r="D821" s="41" t="inlineStr">
        <is>
          <t>Tháp gây nhiễu EW · nhánh Máy đánh lừa radar</t>
        </is>
      </c>
      <c r="E821" s="49" t="inlineStr">
        <is>
          <t>Giữ</t>
        </is>
      </c>
      <c r="F821" s="41" t="n"/>
      <c r="G821" s="41" t="inlineStr">
        <is>
          <t>Tên rõ vai trò.</t>
        </is>
      </c>
      <c r="H821" s="41" t="n"/>
    </row>
    <row r="822" ht="21.75" customHeight="1" s="32">
      <c r="A822" s="39" t="inlineStr">
        <is>
          <t>ew_tower.spoof</t>
        </is>
      </c>
      <c r="B822" s="39" t="inlineStr">
        <is>
          <t>Tháp gây nhiễu EW · nhánh Máy đánh lừa radar</t>
        </is>
      </c>
      <c r="C822" s="39" t="inlineStr">
        <is>
          <t>Ô</t>
        </is>
      </c>
      <c r="D822" s="39" t="inlineStr">
        <is>
          <t>Nhỏ</t>
        </is>
      </c>
      <c r="E822" s="49" t="inlineStr">
        <is>
          <t>Giữ</t>
        </is>
      </c>
      <c r="F822" s="39" t="n"/>
      <c r="G822" s="39" t="n"/>
      <c r="H822" s="39" t="n"/>
    </row>
    <row r="823" ht="21.75" customHeight="1" s="32">
      <c r="A823" s="41" t="inlineStr">
        <is>
          <t>ew_tower.spoof</t>
        </is>
      </c>
      <c r="B823" s="41" t="inlineStr">
        <is>
          <t>Tháp gây nhiễu EW · nhánh Máy đánh lừa radar</t>
        </is>
      </c>
      <c r="C823" s="41" t="inlineStr">
        <is>
          <t>Máu</t>
        </is>
      </c>
      <c r="D823" s="43" t="n">
        <v>1760</v>
      </c>
      <c r="E823" s="49" t="inlineStr">
        <is>
          <t>Giữ</t>
        </is>
      </c>
      <c r="F823" s="41" t="n"/>
      <c r="G823" s="41" t="inlineStr">
        <is>
          <t>1.00 × trung vị máu tháp ô nhỏ.</t>
        </is>
      </c>
      <c r="H823" s="41" t="n"/>
    </row>
    <row r="824" ht="21.75" customHeight="1" s="32">
      <c r="A824" s="39" t="inlineStr">
        <is>
          <t>ew_tower.spoof</t>
        </is>
      </c>
      <c r="B824" s="39" t="inlineStr">
        <is>
          <t>Tháp gây nhiễu EW · nhánh Máy đánh lừa radar</t>
        </is>
      </c>
      <c r="C824" s="39" t="inlineStr">
        <is>
          <t>Giáp</t>
        </is>
      </c>
      <c r="D824" s="39" t="inlineStr">
        <is>
          <t>cấp 1 (Mỏng) · công trình</t>
        </is>
      </c>
      <c r="E824" s="49" t="inlineStr">
        <is>
          <t>Giữ</t>
        </is>
      </c>
      <c r="F824" s="39" t="n"/>
      <c r="G824" s="39" t="inlineStr">
        <is>
          <t>Công trình; hợp vai trò.</t>
        </is>
      </c>
      <c r="H824" s="39" t="n"/>
    </row>
    <row r="825" ht="21.75" customHeight="1" s="32">
      <c r="A825" s="41" t="inlineStr">
        <is>
          <t>ew_tower.spoof</t>
        </is>
      </c>
      <c r="B825" s="41" t="inlineStr">
        <is>
          <t>Tháp gây nhiễu EW · nhánh Máy đánh lừa radar</t>
        </is>
      </c>
      <c r="C825" s="41" t="inlineStr">
        <is>
          <t>Kích thước</t>
        </is>
      </c>
      <c r="D825" s="41" t="inlineStr">
        <is>
          <t>4.0 × 4.0 × 10.1</t>
        </is>
      </c>
      <c r="E825" s="49" t="inlineStr">
        <is>
          <t>Giữ</t>
        </is>
      </c>
      <c r="F825" s="41" t="n"/>
      <c r="G825" s="41" t="inlineStr">
        <is>
          <t>Vừa cỡ ô.</t>
        </is>
      </c>
      <c r="H825" s="41" t="n"/>
    </row>
    <row r="826" ht="21.75" customHeight="1" s="32">
      <c r="A826" s="39" t="inlineStr">
        <is>
          <t>ew_tower.spoof</t>
        </is>
      </c>
      <c r="B826" s="39" t="inlineStr">
        <is>
          <t>Tháp gây nhiễu EW · nhánh Máy đánh lừa radar</t>
        </is>
      </c>
      <c r="C826" s="39" t="inlineStr">
        <is>
          <t>Vũ khí / DPS</t>
        </is>
      </c>
      <c r="D826" s="39" t="inlineStr">
        <is>
          <t>0/0/0</t>
        </is>
      </c>
      <c r="E826" s="49" t="inlineStr">
        <is>
          <t>Giữ</t>
        </is>
      </c>
      <c r="F826" s="39" t="n"/>
      <c r="G826" s="39" t="inlineStr">
        <is>
          <t>Trong khoảng mục tiêu của cỡ ô.</t>
        </is>
      </c>
      <c r="H826" s="39" t="n"/>
    </row>
    <row r="827" ht="21.75" customHeight="1" s="32">
      <c r="A827" s="41" t="inlineStr">
        <is>
          <t>ew_tower.spoof</t>
        </is>
      </c>
      <c r="B827" s="41" t="inlineStr">
        <is>
          <t>Tháp gây nhiễu EW · nhánh Máy đánh lừa radar</t>
        </is>
      </c>
      <c r="C827" s="41" t="inlineStr">
        <is>
          <t>Nổ khi bị phá</t>
        </is>
      </c>
      <c r="D827" s="41" t="inlineStr">
        <is>
          <t>5 m</t>
        </is>
      </c>
      <c r="E827" s="49" t="inlineStr">
        <is>
          <t>Giữ</t>
        </is>
      </c>
      <c r="F827" s="41" t="n"/>
      <c r="G827" s="41" t="inlineStr">
        <is>
          <t>Hợp cỡ.</t>
        </is>
      </c>
      <c r="H827" s="41" t="n"/>
    </row>
    <row r="828" ht="15" customHeight="1" s="32">
      <c r="A828" s="39" t="inlineStr">
        <is>
          <t>guard_tower</t>
        </is>
      </c>
      <c r="B828" s="39" t="inlineStr">
        <is>
          <t>Tháp canh</t>
        </is>
      </c>
      <c r="C828" s="39" t="inlineStr">
        <is>
          <t>Tên</t>
        </is>
      </c>
      <c r="D828" s="39" t="inlineStr">
        <is>
          <t>Tháp canh</t>
        </is>
      </c>
      <c r="E828" s="49" t="inlineStr">
        <is>
          <t>Giữ</t>
        </is>
      </c>
      <c r="F828" s="39" t="n"/>
      <c r="G828" s="39" t="inlineStr">
        <is>
          <t>Tên rõ vai trò.</t>
        </is>
      </c>
      <c r="H828" s="39" t="n"/>
    </row>
    <row r="829" ht="15" customHeight="1" s="32">
      <c r="A829" s="41" t="inlineStr">
        <is>
          <t>guard_tower</t>
        </is>
      </c>
      <c r="B829" s="41" t="inlineStr">
        <is>
          <t>Tháp canh</t>
        </is>
      </c>
      <c r="C829" s="41" t="inlineStr">
        <is>
          <t>Ô</t>
        </is>
      </c>
      <c r="D829" s="41" t="inlineStr">
        <is>
          <t>Nhỏ</t>
        </is>
      </c>
      <c r="E829" s="49" t="inlineStr">
        <is>
          <t>Giữ</t>
        </is>
      </c>
      <c r="F829" s="41" t="n"/>
      <c r="G829" s="41" t="n"/>
      <c r="H829" s="41" t="n"/>
    </row>
    <row r="830" ht="15" customHeight="1" s="32">
      <c r="A830" s="39" t="inlineStr">
        <is>
          <t>guard_tower</t>
        </is>
      </c>
      <c r="B830" s="39" t="inlineStr">
        <is>
          <t>Tháp canh</t>
        </is>
      </c>
      <c r="C830" s="39" t="inlineStr">
        <is>
          <t>Máu</t>
        </is>
      </c>
      <c r="D830" s="42" t="n">
        <v>1540</v>
      </c>
      <c r="E830" s="49" t="inlineStr">
        <is>
          <t>Giữ</t>
        </is>
      </c>
      <c r="F830" s="39" t="n"/>
      <c r="G830" s="39" t="inlineStr">
        <is>
          <t>0.88 × trung vị máu tháp ô nhỏ.</t>
        </is>
      </c>
      <c r="H830" s="39" t="n"/>
    </row>
    <row r="831" ht="15" customHeight="1" s="32">
      <c r="A831" s="41" t="inlineStr">
        <is>
          <t>guard_tower</t>
        </is>
      </c>
      <c r="B831" s="41" t="inlineStr">
        <is>
          <t>Tháp canh</t>
        </is>
      </c>
      <c r="C831" s="41" t="inlineStr">
        <is>
          <t>Giáp</t>
        </is>
      </c>
      <c r="D831" s="41" t="inlineStr">
        <is>
          <t>cấp 1 (Mỏng) · công trình</t>
        </is>
      </c>
      <c r="E831" s="49" t="inlineStr">
        <is>
          <t>Giữ</t>
        </is>
      </c>
      <c r="F831" s="41" t="n"/>
      <c r="G831" s="41" t="inlineStr">
        <is>
          <t>Công trình; hợp vai trò.</t>
        </is>
      </c>
      <c r="H831" s="41" t="n"/>
    </row>
    <row r="832" ht="15" customHeight="1" s="32">
      <c r="A832" s="39" t="inlineStr">
        <is>
          <t>guard_tower</t>
        </is>
      </c>
      <c r="B832" s="39" t="inlineStr">
        <is>
          <t>Tháp canh</t>
        </is>
      </c>
      <c r="C832" s="39" t="inlineStr">
        <is>
          <t>Kích thước</t>
        </is>
      </c>
      <c r="D832" s="39" t="inlineStr">
        <is>
          <t>3.5 × 3.8 × 11.6</t>
        </is>
      </c>
      <c r="E832" s="49" t="inlineStr">
        <is>
          <t>Giữ</t>
        </is>
      </c>
      <c r="F832" s="39" t="n"/>
      <c r="G832" s="39" t="inlineStr">
        <is>
          <t>Vừa cỡ ô.</t>
        </is>
      </c>
      <c r="H832" s="39" t="n"/>
    </row>
    <row r="833" ht="15" customHeight="1" s="32">
      <c r="A833" s="41" t="inlineStr">
        <is>
          <t>guard_tower</t>
        </is>
      </c>
      <c r="B833" s="41" t="inlineStr">
        <is>
          <t>Tháp canh</t>
        </is>
      </c>
      <c r="C833" s="41" t="inlineStr">
        <is>
          <t>Vũ khí / DPS</t>
        </is>
      </c>
      <c r="D833" s="41" t="inlineStr">
        <is>
          <t>75/22/27</t>
        </is>
      </c>
      <c r="E833" s="49" t="inlineStr">
        <is>
          <t>Giữ</t>
        </is>
      </c>
      <c r="F833" s="41" t="n"/>
      <c r="G833" s="41" t="inlineStr">
        <is>
          <t>Trong khoảng mục tiêu của cỡ ô.</t>
        </is>
      </c>
      <c r="H833" s="41" t="n"/>
    </row>
    <row r="834" ht="15" customHeight="1" s="32">
      <c r="A834" s="39" t="inlineStr">
        <is>
          <t>guard_tower</t>
        </is>
      </c>
      <c r="B834" s="39" t="inlineStr">
        <is>
          <t>Tháp canh</t>
        </is>
      </c>
      <c r="C834" s="39" t="inlineStr">
        <is>
          <t>Nổ khi bị phá</t>
        </is>
      </c>
      <c r="D834" s="39" t="inlineStr">
        <is>
          <t>5 m</t>
        </is>
      </c>
      <c r="E834" s="49" t="inlineStr">
        <is>
          <t>Giữ</t>
        </is>
      </c>
      <c r="F834" s="39" t="n"/>
      <c r="G834" s="39" t="inlineStr">
        <is>
          <t>Hợp cỡ.</t>
        </is>
      </c>
      <c r="H834" s="39" t="n"/>
    </row>
    <row r="835" ht="15" customHeight="1" s="32">
      <c r="A835" s="41" t="inlineStr">
        <is>
          <t>guard_tower.watch</t>
        </is>
      </c>
      <c r="B835" s="41" t="inlineStr">
        <is>
          <t>Tháp canh · nhánh Tháp quan sát</t>
        </is>
      </c>
      <c r="C835" s="41" t="inlineStr">
        <is>
          <t>Tên</t>
        </is>
      </c>
      <c r="D835" s="41" t="inlineStr">
        <is>
          <t>Tháp canh · nhánh Tháp quan sát</t>
        </is>
      </c>
      <c r="E835" s="49" t="inlineStr">
        <is>
          <t>Giữ</t>
        </is>
      </c>
      <c r="F835" s="41" t="n"/>
      <c r="G835" s="41" t="inlineStr">
        <is>
          <t>Tên rõ vai trò.</t>
        </is>
      </c>
      <c r="H835" s="41" t="n"/>
    </row>
    <row r="836" ht="15" customHeight="1" s="32">
      <c r="A836" s="39" t="inlineStr">
        <is>
          <t>guard_tower.watch</t>
        </is>
      </c>
      <c r="B836" s="39" t="inlineStr">
        <is>
          <t>Tháp canh · nhánh Tháp quan sát</t>
        </is>
      </c>
      <c r="C836" s="39" t="inlineStr">
        <is>
          <t>Ô</t>
        </is>
      </c>
      <c r="D836" s="39" t="inlineStr">
        <is>
          <t>Nhỏ</t>
        </is>
      </c>
      <c r="E836" s="49" t="inlineStr">
        <is>
          <t>Giữ</t>
        </is>
      </c>
      <c r="F836" s="39" t="n"/>
      <c r="G836" s="39" t="n"/>
      <c r="H836" s="39" t="n"/>
    </row>
    <row r="837" ht="15" customHeight="1" s="32">
      <c r="A837" s="41" t="inlineStr">
        <is>
          <t>guard_tower.watch</t>
        </is>
      </c>
      <c r="B837" s="41" t="inlineStr">
        <is>
          <t>Tháp canh · nhánh Tháp quan sát</t>
        </is>
      </c>
      <c r="C837" s="41" t="inlineStr">
        <is>
          <t>Máu</t>
        </is>
      </c>
      <c r="D837" s="43" t="n">
        <v>1540</v>
      </c>
      <c r="E837" s="49" t="inlineStr">
        <is>
          <t>Giữ</t>
        </is>
      </c>
      <c r="F837" s="41" t="n"/>
      <c r="G837" s="41" t="inlineStr">
        <is>
          <t>0.88 × trung vị máu tháp ô nhỏ.</t>
        </is>
      </c>
      <c r="H837" s="41" t="n"/>
    </row>
    <row r="838" ht="15" customHeight="1" s="32">
      <c r="A838" s="39" t="inlineStr">
        <is>
          <t>guard_tower.watch</t>
        </is>
      </c>
      <c r="B838" s="39" t="inlineStr">
        <is>
          <t>Tháp canh · nhánh Tháp quan sát</t>
        </is>
      </c>
      <c r="C838" s="39" t="inlineStr">
        <is>
          <t>Giáp</t>
        </is>
      </c>
      <c r="D838" s="39" t="inlineStr">
        <is>
          <t>cấp 1 (Mỏng) · công trình</t>
        </is>
      </c>
      <c r="E838" s="49" t="inlineStr">
        <is>
          <t>Giữ</t>
        </is>
      </c>
      <c r="F838" s="39" t="n"/>
      <c r="G838" s="39" t="inlineStr">
        <is>
          <t>Công trình; hợp vai trò.</t>
        </is>
      </c>
      <c r="H838" s="39" t="n"/>
    </row>
    <row r="839" ht="15" customHeight="1" s="32">
      <c r="A839" s="41" t="inlineStr">
        <is>
          <t>guard_tower.watch</t>
        </is>
      </c>
      <c r="B839" s="41" t="inlineStr">
        <is>
          <t>Tháp canh · nhánh Tháp quan sát</t>
        </is>
      </c>
      <c r="C839" s="41" t="inlineStr">
        <is>
          <t>Kích thước</t>
        </is>
      </c>
      <c r="D839" s="41" t="inlineStr">
        <is>
          <t>3.5 × 3.8 × 11.6</t>
        </is>
      </c>
      <c r="E839" s="49" t="inlineStr">
        <is>
          <t>Giữ</t>
        </is>
      </c>
      <c r="F839" s="41" t="n"/>
      <c r="G839" s="41" t="inlineStr">
        <is>
          <t>Vừa cỡ ô.</t>
        </is>
      </c>
      <c r="H839" s="41" t="n"/>
    </row>
    <row r="840" ht="15" customHeight="1" s="32">
      <c r="A840" s="39" t="inlineStr">
        <is>
          <t>guard_tower.watch</t>
        </is>
      </c>
      <c r="B840" s="39" t="inlineStr">
        <is>
          <t>Tháp canh · nhánh Tháp quan sát</t>
        </is>
      </c>
      <c r="C840" s="39" t="inlineStr">
        <is>
          <t>Vũ khí / DPS</t>
        </is>
      </c>
      <c r="D840" s="39" t="inlineStr">
        <is>
          <t>75/22/27</t>
        </is>
      </c>
      <c r="E840" s="49" t="inlineStr">
        <is>
          <t>Giữ</t>
        </is>
      </c>
      <c r="F840" s="39" t="n"/>
      <c r="G840" s="39" t="inlineStr">
        <is>
          <t>Trong khoảng mục tiêu của cỡ ô.</t>
        </is>
      </c>
      <c r="H840" s="39" t="n"/>
    </row>
    <row r="841" ht="15" customHeight="1" s="32">
      <c r="A841" s="41" t="inlineStr">
        <is>
          <t>guard_tower.watch</t>
        </is>
      </c>
      <c r="B841" s="41" t="inlineStr">
        <is>
          <t>Tháp canh · nhánh Tháp quan sát</t>
        </is>
      </c>
      <c r="C841" s="41" t="inlineStr">
        <is>
          <t>Nổ khi bị phá</t>
        </is>
      </c>
      <c r="D841" s="41" t="inlineStr">
        <is>
          <t>5 m</t>
        </is>
      </c>
      <c r="E841" s="49" t="inlineStr">
        <is>
          <t>Giữ</t>
        </is>
      </c>
      <c r="F841" s="41" t="n"/>
      <c r="G841" s="41" t="inlineStr">
        <is>
          <t>Hợp cỡ.</t>
        </is>
      </c>
      <c r="H841" s="41" t="n"/>
    </row>
    <row r="842" ht="15" customHeight="1" s="32">
      <c r="A842" s="39" t="inlineStr">
        <is>
          <t>guard_tower.nest</t>
        </is>
      </c>
      <c r="B842" s="39" t="inlineStr">
        <is>
          <t>Tháp canh · nhánh Ổ súng</t>
        </is>
      </c>
      <c r="C842" s="39" t="inlineStr">
        <is>
          <t>Tên</t>
        </is>
      </c>
      <c r="D842" s="39" t="inlineStr">
        <is>
          <t>Tháp canh · nhánh Ổ súng</t>
        </is>
      </c>
      <c r="E842" s="49" t="inlineStr">
        <is>
          <t>Giữ</t>
        </is>
      </c>
      <c r="F842" s="39" t="n"/>
      <c r="G842" s="39" t="inlineStr">
        <is>
          <t>Tên rõ vai trò.</t>
        </is>
      </c>
      <c r="H842" s="39" t="n"/>
    </row>
    <row r="843" ht="15" customHeight="1" s="32">
      <c r="A843" s="41" t="inlineStr">
        <is>
          <t>guard_tower.nest</t>
        </is>
      </c>
      <c r="B843" s="41" t="inlineStr">
        <is>
          <t>Tháp canh · nhánh Ổ súng</t>
        </is>
      </c>
      <c r="C843" s="41" t="inlineStr">
        <is>
          <t>Ô</t>
        </is>
      </c>
      <c r="D843" s="41" t="inlineStr">
        <is>
          <t>Nhỏ</t>
        </is>
      </c>
      <c r="E843" s="49" t="inlineStr">
        <is>
          <t>Giữ</t>
        </is>
      </c>
      <c r="F843" s="41" t="n"/>
      <c r="G843" s="41" t="n"/>
      <c r="H843" s="41" t="n"/>
    </row>
    <row r="844" ht="15" customHeight="1" s="32">
      <c r="A844" s="39" t="inlineStr">
        <is>
          <t>guard_tower.nest</t>
        </is>
      </c>
      <c r="B844" s="39" t="inlineStr">
        <is>
          <t>Tháp canh · nhánh Ổ súng</t>
        </is>
      </c>
      <c r="C844" s="39" t="inlineStr">
        <is>
          <t>Máu</t>
        </is>
      </c>
      <c r="D844" s="42" t="n">
        <v>1540</v>
      </c>
      <c r="E844" s="49" t="inlineStr">
        <is>
          <t>Giữ</t>
        </is>
      </c>
      <c r="F844" s="39" t="n"/>
      <c r="G844" s="39" t="inlineStr">
        <is>
          <t>0.88 × trung vị máu tháp ô nhỏ.</t>
        </is>
      </c>
      <c r="H844" s="39" t="n"/>
    </row>
    <row r="845" ht="15" customHeight="1" s="32">
      <c r="A845" s="41" t="inlineStr">
        <is>
          <t>guard_tower.nest</t>
        </is>
      </c>
      <c r="B845" s="41" t="inlineStr">
        <is>
          <t>Tháp canh · nhánh Ổ súng</t>
        </is>
      </c>
      <c r="C845" s="41" t="inlineStr">
        <is>
          <t>Giáp</t>
        </is>
      </c>
      <c r="D845" s="41" t="inlineStr">
        <is>
          <t>cấp 1 (Mỏng) · công trình</t>
        </is>
      </c>
      <c r="E845" s="49" t="inlineStr">
        <is>
          <t>Giữ</t>
        </is>
      </c>
      <c r="F845" s="41" t="n"/>
      <c r="G845" s="41" t="inlineStr">
        <is>
          <t>Công trình; hợp vai trò.</t>
        </is>
      </c>
      <c r="H845" s="41" t="n"/>
    </row>
    <row r="846" ht="15" customHeight="1" s="32">
      <c r="A846" s="39" t="inlineStr">
        <is>
          <t>guard_tower.nest</t>
        </is>
      </c>
      <c r="B846" s="39" t="inlineStr">
        <is>
          <t>Tháp canh · nhánh Ổ súng</t>
        </is>
      </c>
      <c r="C846" s="39" t="inlineStr">
        <is>
          <t>Kích thước</t>
        </is>
      </c>
      <c r="D846" s="39" t="inlineStr">
        <is>
          <t>3.5 × 3.8 × 11.6</t>
        </is>
      </c>
      <c r="E846" s="49" t="inlineStr">
        <is>
          <t>Giữ</t>
        </is>
      </c>
      <c r="F846" s="39" t="n"/>
      <c r="G846" s="39" t="inlineStr">
        <is>
          <t>Vừa cỡ ô.</t>
        </is>
      </c>
      <c r="H846" s="39" t="n"/>
    </row>
    <row r="847" ht="15" customHeight="1" s="32">
      <c r="A847" s="41" t="inlineStr">
        <is>
          <t>guard_tower.nest</t>
        </is>
      </c>
      <c r="B847" s="41" t="inlineStr">
        <is>
          <t>Tháp canh · nhánh Ổ súng</t>
        </is>
      </c>
      <c r="C847" s="41" t="inlineStr">
        <is>
          <t>Vũ khí / DPS</t>
        </is>
      </c>
      <c r="D847" s="41" t="inlineStr">
        <is>
          <t>69/34/0</t>
        </is>
      </c>
      <c r="E847" s="49" t="inlineStr">
        <is>
          <t>Giữ</t>
        </is>
      </c>
      <c r="F847" s="41" t="n"/>
      <c r="G847" s="41" t="inlineStr">
        <is>
          <t>Trong khoảng mục tiêu của cỡ ô.</t>
        </is>
      </c>
      <c r="H847" s="41" t="n"/>
    </row>
    <row r="848" ht="15" customHeight="1" s="32">
      <c r="A848" s="39" t="inlineStr">
        <is>
          <t>guard_tower.nest</t>
        </is>
      </c>
      <c r="B848" s="39" t="inlineStr">
        <is>
          <t>Tháp canh · nhánh Ổ súng</t>
        </is>
      </c>
      <c r="C848" s="39" t="inlineStr">
        <is>
          <t>Nổ khi bị phá</t>
        </is>
      </c>
      <c r="D848" s="39" t="inlineStr">
        <is>
          <t>5 m</t>
        </is>
      </c>
      <c r="E848" s="49" t="inlineStr">
        <is>
          <t>Giữ</t>
        </is>
      </c>
      <c r="F848" s="39" t="n"/>
      <c r="G848" s="39" t="inlineStr">
        <is>
          <t>Hợp cỡ.</t>
        </is>
      </c>
      <c r="H848" s="39" t="n"/>
    </row>
    <row r="849" ht="15" customHeight="1" s="32">
      <c r="A849" s="41" t="inlineStr">
        <is>
          <t>headquarters</t>
        </is>
      </c>
      <c r="B849" s="41" t="inlineStr">
        <is>
          <t>Sở chỉ huy</t>
        </is>
      </c>
      <c r="C849" s="41" t="inlineStr">
        <is>
          <t>Tên</t>
        </is>
      </c>
      <c r="D849" s="41" t="inlineStr">
        <is>
          <t>Sở chỉ huy</t>
        </is>
      </c>
      <c r="E849" s="49" t="inlineStr">
        <is>
          <t>Giữ</t>
        </is>
      </c>
      <c r="F849" s="41" t="n"/>
      <c r="G849" s="41" t="inlineStr">
        <is>
          <t>Tên rõ vai trò.</t>
        </is>
      </c>
      <c r="H849" s="41" t="n"/>
    </row>
    <row r="850" ht="15" customHeight="1" s="32">
      <c r="A850" s="39" t="inlineStr">
        <is>
          <t>headquarters</t>
        </is>
      </c>
      <c r="B850" s="39" t="inlineStr">
        <is>
          <t>Sở chỉ huy</t>
        </is>
      </c>
      <c r="C850" s="39" t="inlineStr">
        <is>
          <t>Ô</t>
        </is>
      </c>
      <c r="D850" s="39" t="inlineStr">
        <is>
          <t>Khác</t>
        </is>
      </c>
      <c r="E850" s="49" t="inlineStr">
        <is>
          <t>Giữ</t>
        </is>
      </c>
      <c r="F850" s="39" t="n"/>
      <c r="G850" s="39" t="n"/>
      <c r="H850" s="39" t="n"/>
    </row>
    <row r="851" ht="15" customHeight="1" s="32">
      <c r="A851" s="41" t="inlineStr">
        <is>
          <t>headquarters</t>
        </is>
      </c>
      <c r="B851" s="41" t="inlineStr">
        <is>
          <t>Sở chỉ huy</t>
        </is>
      </c>
      <c r="C851" s="41" t="inlineStr">
        <is>
          <t>Máu</t>
        </is>
      </c>
      <c r="D851" s="43" t="n">
        <v>19800</v>
      </c>
      <c r="E851" s="49" t="inlineStr">
        <is>
          <t>Giữ</t>
        </is>
      </c>
      <c r="F851" s="41" t="n"/>
      <c r="G851" s="41" t="inlineStr">
        <is>
          <t>Chướng ngại, sở chỉ huy hoặc công trình nhiệm vụ: máu theo vai trò riêng.</t>
        </is>
      </c>
      <c r="H851" s="41" t="n"/>
    </row>
    <row r="852" ht="15" customHeight="1" s="32">
      <c r="A852" s="39" t="inlineStr">
        <is>
          <t>headquarters</t>
        </is>
      </c>
      <c r="B852" s="39" t="inlineStr">
        <is>
          <t>Sở chỉ huy</t>
        </is>
      </c>
      <c r="C852" s="39" t="inlineStr">
        <is>
          <t>Giáp</t>
        </is>
      </c>
      <c r="D852" s="39" t="inlineStr">
        <is>
          <t>cấp 4 (Rất dày) · công trình</t>
        </is>
      </c>
      <c r="E852" s="49" t="inlineStr">
        <is>
          <t>Giữ</t>
        </is>
      </c>
      <c r="F852" s="39" t="n"/>
      <c r="G852" s="39" t="inlineStr">
        <is>
          <t>Công trình; hợp vai trò.</t>
        </is>
      </c>
      <c r="H852" s="39" t="n"/>
    </row>
    <row r="853" ht="15" customHeight="1" s="32">
      <c r="A853" s="41" t="inlineStr">
        <is>
          <t>headquarters</t>
        </is>
      </c>
      <c r="B853" s="41" t="inlineStr">
        <is>
          <t>Sở chỉ huy</t>
        </is>
      </c>
      <c r="C853" s="41" t="inlineStr">
        <is>
          <t>Kích thước</t>
        </is>
      </c>
      <c r="D853" s="41" t="inlineStr">
        <is>
          <t>12.7 × 14.1 × 9.4</t>
        </is>
      </c>
      <c r="E853" s="49" t="inlineStr">
        <is>
          <t>Giữ</t>
        </is>
      </c>
      <c r="F853" s="41" t="n"/>
      <c r="G853" s="41" t="inlineStr">
        <is>
          <t>Vừa cỡ ô.</t>
        </is>
      </c>
      <c r="H853" s="41" t="n"/>
    </row>
    <row r="854" ht="15" customHeight="1" s="32">
      <c r="A854" s="39" t="inlineStr">
        <is>
          <t>headquarters</t>
        </is>
      </c>
      <c r="B854" s="39" t="inlineStr">
        <is>
          <t>Sở chỉ huy</t>
        </is>
      </c>
      <c r="C854" s="39" t="inlineStr">
        <is>
          <t>Vũ khí / DPS</t>
        </is>
      </c>
      <c r="D854" s="39" t="inlineStr">
        <is>
          <t>327/206/419</t>
        </is>
      </c>
      <c r="E854" s="49" t="inlineStr">
        <is>
          <t>Giữ</t>
        </is>
      </c>
      <c r="F854" s="39" t="n"/>
      <c r="G854" s="39" t="inlineStr">
        <is>
          <t>Trong khoảng mục tiêu của cỡ ô.</t>
        </is>
      </c>
      <c r="H854" s="39" t="n"/>
    </row>
    <row r="855" ht="15" customHeight="1" s="32">
      <c r="A855" s="41" t="inlineStr">
        <is>
          <t>headquarters</t>
        </is>
      </c>
      <c r="B855" s="41" t="inlineStr">
        <is>
          <t>Sở chỉ huy</t>
        </is>
      </c>
      <c r="C855" s="41" t="inlineStr">
        <is>
          <t>Nổ khi bị phá</t>
        </is>
      </c>
      <c r="D855" s="41" t="inlineStr">
        <is>
          <t>14 m</t>
        </is>
      </c>
      <c r="E855" s="49" t="inlineStr">
        <is>
          <t>Giữ</t>
        </is>
      </c>
      <c r="F855" s="41" t="n"/>
      <c r="G855" s="41" t="inlineStr">
        <is>
          <t>Hợp cỡ.</t>
        </is>
      </c>
      <c r="H855" s="41" t="n"/>
    </row>
    <row r="856" ht="15" customHeight="1" s="32">
      <c r="A856" s="39" t="inlineStr">
        <is>
          <t>mg_bunker</t>
        </is>
      </c>
      <c r="B856" s="39" t="inlineStr">
        <is>
          <t>Lô cốt súng máy</t>
        </is>
      </c>
      <c r="C856" s="39" t="inlineStr">
        <is>
          <t>Tên</t>
        </is>
      </c>
      <c r="D856" s="39" t="inlineStr">
        <is>
          <t>Lô cốt súng máy</t>
        </is>
      </c>
      <c r="E856" s="49" t="inlineStr">
        <is>
          <t>Giữ</t>
        </is>
      </c>
      <c r="F856" s="39" t="n"/>
      <c r="G856" s="39" t="inlineStr">
        <is>
          <t>Tên rõ vai trò.</t>
        </is>
      </c>
      <c r="H856" s="39" t="n"/>
    </row>
    <row r="857" ht="15" customHeight="1" s="32">
      <c r="A857" s="41" t="inlineStr">
        <is>
          <t>mg_bunker</t>
        </is>
      </c>
      <c r="B857" s="41" t="inlineStr">
        <is>
          <t>Lô cốt súng máy</t>
        </is>
      </c>
      <c r="C857" s="41" t="inlineStr">
        <is>
          <t>Ô</t>
        </is>
      </c>
      <c r="D857" s="41" t="inlineStr">
        <is>
          <t>Nhỏ</t>
        </is>
      </c>
      <c r="E857" s="49" t="inlineStr">
        <is>
          <t>Giữ</t>
        </is>
      </c>
      <c r="F857" s="41" t="n"/>
      <c r="G857" s="41" t="n"/>
      <c r="H857" s="41" t="n"/>
    </row>
    <row r="858" ht="15" customHeight="1" s="32">
      <c r="A858" s="39" t="inlineStr">
        <is>
          <t>mg_bunker</t>
        </is>
      </c>
      <c r="B858" s="39" t="inlineStr">
        <is>
          <t>Lô cốt súng máy</t>
        </is>
      </c>
      <c r="C858" s="39" t="inlineStr">
        <is>
          <t>Máu</t>
        </is>
      </c>
      <c r="D858" s="42" t="n">
        <v>3300</v>
      </c>
      <c r="E858" s="49" t="inlineStr">
        <is>
          <t>Giữ</t>
        </is>
      </c>
      <c r="F858" s="39" t="n"/>
      <c r="G858" s="39" t="inlineStr">
        <is>
          <t>1.88 × trung vị máu tháp ô nhỏ.</t>
        </is>
      </c>
      <c r="H858" s="39" t="n"/>
    </row>
    <row r="859" ht="15" customHeight="1" s="32">
      <c r="A859" s="41" t="inlineStr">
        <is>
          <t>mg_bunker</t>
        </is>
      </c>
      <c r="B859" s="41" t="inlineStr">
        <is>
          <t>Lô cốt súng máy</t>
        </is>
      </c>
      <c r="C859" s="41" t="inlineStr">
        <is>
          <t>Giáp</t>
        </is>
      </c>
      <c r="D859" s="41" t="inlineStr">
        <is>
          <t>3/2/2/2</t>
        </is>
      </c>
      <c r="E859" s="49" t="inlineStr">
        <is>
          <t>Giữ</t>
        </is>
      </c>
      <c r="F859" s="41" t="n"/>
      <c r="G859" s="41" t="inlineStr">
        <is>
          <t>Công trình; hợp vai trò.</t>
        </is>
      </c>
      <c r="H859" s="41" t="n"/>
    </row>
    <row r="860" ht="15" customHeight="1" s="32">
      <c r="A860" s="39" t="inlineStr">
        <is>
          <t>mg_bunker</t>
        </is>
      </c>
      <c r="B860" s="39" t="inlineStr">
        <is>
          <t>Lô cốt súng máy</t>
        </is>
      </c>
      <c r="C860" s="39" t="inlineStr">
        <is>
          <t>Kích thước</t>
        </is>
      </c>
      <c r="D860" s="39" t="inlineStr">
        <is>
          <t>4.4 × 4.4 × 3.3</t>
        </is>
      </c>
      <c r="E860" s="49" t="inlineStr">
        <is>
          <t>Giữ</t>
        </is>
      </c>
      <c r="F860" s="39" t="n"/>
      <c r="G860" s="39" t="inlineStr">
        <is>
          <t>Vừa cỡ ô.</t>
        </is>
      </c>
      <c r="H860" s="39" t="n"/>
    </row>
    <row r="861" ht="15" customHeight="1" s="32">
      <c r="A861" s="41" t="inlineStr">
        <is>
          <t>mg_bunker</t>
        </is>
      </c>
      <c r="B861" s="41" t="inlineStr">
        <is>
          <t>Lô cốt súng máy</t>
        </is>
      </c>
      <c r="C861" s="41" t="inlineStr">
        <is>
          <t>Vũ khí / DPS</t>
        </is>
      </c>
      <c r="D861" s="41" t="inlineStr">
        <is>
          <t>102/30/36</t>
        </is>
      </c>
      <c r="E861" s="49" t="inlineStr">
        <is>
          <t>Giữ</t>
        </is>
      </c>
      <c r="F861" s="41" t="n"/>
      <c r="G861" s="41" t="inlineStr">
        <is>
          <t>Trong khoảng mục tiêu của cỡ ô.</t>
        </is>
      </c>
      <c r="H861" s="41" t="n"/>
    </row>
    <row r="862" ht="15" customHeight="1" s="32">
      <c r="A862" s="39" t="inlineStr">
        <is>
          <t>mg_bunker</t>
        </is>
      </c>
      <c r="B862" s="39" t="inlineStr">
        <is>
          <t>Lô cốt súng máy</t>
        </is>
      </c>
      <c r="C862" s="39" t="inlineStr">
        <is>
          <t>Nổ khi bị phá</t>
        </is>
      </c>
      <c r="D862" s="39" t="inlineStr">
        <is>
          <t>6 m</t>
        </is>
      </c>
      <c r="E862" s="49" t="inlineStr">
        <is>
          <t>Giữ</t>
        </is>
      </c>
      <c r="F862" s="39" t="n"/>
      <c r="G862" s="39" t="inlineStr">
        <is>
          <t>Hợp cỡ.</t>
        </is>
      </c>
      <c r="H862" s="39" t="n"/>
    </row>
    <row r="863" ht="15" customHeight="1" s="32">
      <c r="A863" s="41" t="inlineStr">
        <is>
          <t>mg_bunker.twin</t>
        </is>
      </c>
      <c r="B863" s="41" t="inlineStr">
        <is>
          <t>Lô cốt súng máy · nhánh Súng máy đôi</t>
        </is>
      </c>
      <c r="C863" s="41" t="inlineStr">
        <is>
          <t>Tên</t>
        </is>
      </c>
      <c r="D863" s="41" t="inlineStr">
        <is>
          <t>Lô cốt súng máy · nhánh Súng máy đôi</t>
        </is>
      </c>
      <c r="E863" s="49" t="inlineStr">
        <is>
          <t>Giữ</t>
        </is>
      </c>
      <c r="F863" s="41" t="n"/>
      <c r="G863" s="41" t="inlineStr">
        <is>
          <t>Tên rõ vai trò.</t>
        </is>
      </c>
      <c r="H863" s="41" t="n"/>
    </row>
    <row r="864" ht="15" customHeight="1" s="32">
      <c r="A864" s="39" t="inlineStr">
        <is>
          <t>mg_bunker.twin</t>
        </is>
      </c>
      <c r="B864" s="39" t="inlineStr">
        <is>
          <t>Lô cốt súng máy · nhánh Súng máy đôi</t>
        </is>
      </c>
      <c r="C864" s="39" t="inlineStr">
        <is>
          <t>Ô</t>
        </is>
      </c>
      <c r="D864" s="39" t="inlineStr">
        <is>
          <t>Nhỏ</t>
        </is>
      </c>
      <c r="E864" s="49" t="inlineStr">
        <is>
          <t>Giữ</t>
        </is>
      </c>
      <c r="F864" s="39" t="n"/>
      <c r="G864" s="39" t="n"/>
      <c r="H864" s="39" t="n"/>
    </row>
    <row r="865" ht="15" customHeight="1" s="32">
      <c r="A865" s="41" t="inlineStr">
        <is>
          <t>mg_bunker.twin</t>
        </is>
      </c>
      <c r="B865" s="41" t="inlineStr">
        <is>
          <t>Lô cốt súng máy · nhánh Súng máy đôi</t>
        </is>
      </c>
      <c r="C865" s="41" t="inlineStr">
        <is>
          <t>Máu</t>
        </is>
      </c>
      <c r="D865" s="43" t="n">
        <v>3300</v>
      </c>
      <c r="E865" s="49" t="inlineStr">
        <is>
          <t>Giữ</t>
        </is>
      </c>
      <c r="F865" s="41" t="n"/>
      <c r="G865" s="41" t="inlineStr">
        <is>
          <t>1.88 × trung vị máu tháp ô nhỏ.</t>
        </is>
      </c>
      <c r="H865" s="41" t="n"/>
    </row>
    <row r="866" ht="15" customHeight="1" s="32">
      <c r="A866" s="39" t="inlineStr">
        <is>
          <t>mg_bunker.twin</t>
        </is>
      </c>
      <c r="B866" s="39" t="inlineStr">
        <is>
          <t>Lô cốt súng máy · nhánh Súng máy đôi</t>
        </is>
      </c>
      <c r="C866" s="39" t="inlineStr">
        <is>
          <t>Giáp</t>
        </is>
      </c>
      <c r="D866" s="39" t="inlineStr">
        <is>
          <t>3/2/2/2</t>
        </is>
      </c>
      <c r="E866" s="49" t="inlineStr">
        <is>
          <t>Giữ</t>
        </is>
      </c>
      <c r="F866" s="39" t="n"/>
      <c r="G866" s="39" t="inlineStr">
        <is>
          <t>Công trình; hợp vai trò.</t>
        </is>
      </c>
      <c r="H866" s="39" t="n"/>
    </row>
    <row r="867" ht="15" customHeight="1" s="32">
      <c r="A867" s="41" t="inlineStr">
        <is>
          <t>mg_bunker.twin</t>
        </is>
      </c>
      <c r="B867" s="41" t="inlineStr">
        <is>
          <t>Lô cốt súng máy · nhánh Súng máy đôi</t>
        </is>
      </c>
      <c r="C867" s="41" t="inlineStr">
        <is>
          <t>Kích thước</t>
        </is>
      </c>
      <c r="D867" s="41" t="inlineStr">
        <is>
          <t>4.4 × 4.4 × 3.3</t>
        </is>
      </c>
      <c r="E867" s="49" t="inlineStr">
        <is>
          <t>Giữ</t>
        </is>
      </c>
      <c r="F867" s="41" t="n"/>
      <c r="G867" s="41" t="inlineStr">
        <is>
          <t>Vừa cỡ ô.</t>
        </is>
      </c>
      <c r="H867" s="41" t="n"/>
    </row>
    <row r="868" ht="15" customHeight="1" s="32">
      <c r="A868" s="39" t="inlineStr">
        <is>
          <t>mg_bunker.twin</t>
        </is>
      </c>
      <c r="B868" s="39" t="inlineStr">
        <is>
          <t>Lô cốt súng máy · nhánh Súng máy đôi</t>
        </is>
      </c>
      <c r="C868" s="39" t="inlineStr">
        <is>
          <t>Vũ khí / DPS</t>
        </is>
      </c>
      <c r="D868" s="39" t="inlineStr">
        <is>
          <t>122/36/43</t>
        </is>
      </c>
      <c r="E868" s="49" t="inlineStr">
        <is>
          <t>Giữ</t>
        </is>
      </c>
      <c r="F868" s="39" t="n"/>
      <c r="G868" s="39" t="inlineStr">
        <is>
          <t>Trong khoảng mục tiêu của cỡ ô.</t>
        </is>
      </c>
      <c r="H868" s="39" t="n"/>
    </row>
    <row r="869" ht="15" customHeight="1" s="32">
      <c r="A869" s="41" t="inlineStr">
        <is>
          <t>mg_bunker.twin</t>
        </is>
      </c>
      <c r="B869" s="41" t="inlineStr">
        <is>
          <t>Lô cốt súng máy · nhánh Súng máy đôi</t>
        </is>
      </c>
      <c r="C869" s="41" t="inlineStr">
        <is>
          <t>Nổ khi bị phá</t>
        </is>
      </c>
      <c r="D869" s="41" t="inlineStr">
        <is>
          <t>6 m</t>
        </is>
      </c>
      <c r="E869" s="49" t="inlineStr">
        <is>
          <t>Giữ</t>
        </is>
      </c>
      <c r="F869" s="41" t="n"/>
      <c r="G869" s="41" t="inlineStr">
        <is>
          <t>Hợp cỡ.</t>
        </is>
      </c>
      <c r="H869" s="41" t="n"/>
    </row>
    <row r="870" ht="21.75" customHeight="1" s="32">
      <c r="A870" s="39" t="inlineStr">
        <is>
          <t>mg_bunker.flame</t>
        </is>
      </c>
      <c r="B870" s="39" t="inlineStr">
        <is>
          <t>Lô cốt súng máy · nhánh Lô cốt phun lửa</t>
        </is>
      </c>
      <c r="C870" s="39" t="inlineStr">
        <is>
          <t>Tên</t>
        </is>
      </c>
      <c r="D870" s="39" t="inlineStr">
        <is>
          <t>Lô cốt súng máy · nhánh Lô cốt phun lửa</t>
        </is>
      </c>
      <c r="E870" s="49" t="inlineStr">
        <is>
          <t>Giữ</t>
        </is>
      </c>
      <c r="F870" s="39" t="n"/>
      <c r="G870" s="39" t="inlineStr">
        <is>
          <t>Tên rõ vai trò.</t>
        </is>
      </c>
      <c r="H870" s="39" t="n"/>
    </row>
    <row r="871" ht="21.75" customHeight="1" s="32">
      <c r="A871" s="41" t="inlineStr">
        <is>
          <t>mg_bunker.flame</t>
        </is>
      </c>
      <c r="B871" s="41" t="inlineStr">
        <is>
          <t>Lô cốt súng máy · nhánh Lô cốt phun lửa</t>
        </is>
      </c>
      <c r="C871" s="41" t="inlineStr">
        <is>
          <t>Ô</t>
        </is>
      </c>
      <c r="D871" s="41" t="inlineStr">
        <is>
          <t>Nhỏ</t>
        </is>
      </c>
      <c r="E871" s="49" t="inlineStr">
        <is>
          <t>Giữ</t>
        </is>
      </c>
      <c r="F871" s="41" t="n"/>
      <c r="G871" s="41" t="n"/>
      <c r="H871" s="41" t="n"/>
    </row>
    <row r="872" ht="21.75" customHeight="1" s="32">
      <c r="A872" s="39" t="inlineStr">
        <is>
          <t>mg_bunker.flame</t>
        </is>
      </c>
      <c r="B872" s="39" t="inlineStr">
        <is>
          <t>Lô cốt súng máy · nhánh Lô cốt phun lửa</t>
        </is>
      </c>
      <c r="C872" s="39" t="inlineStr">
        <is>
          <t>Máu</t>
        </is>
      </c>
      <c r="D872" s="42" t="n">
        <v>3300</v>
      </c>
      <c r="E872" s="49" t="inlineStr">
        <is>
          <t>Giữ</t>
        </is>
      </c>
      <c r="F872" s="39" t="n"/>
      <c r="G872" s="39" t="inlineStr">
        <is>
          <t>1.88 × trung vị máu tháp ô nhỏ.</t>
        </is>
      </c>
      <c r="H872" s="39" t="n"/>
    </row>
    <row r="873" ht="21.75" customHeight="1" s="32">
      <c r="A873" s="41" t="inlineStr">
        <is>
          <t>mg_bunker.flame</t>
        </is>
      </c>
      <c r="B873" s="41" t="inlineStr">
        <is>
          <t>Lô cốt súng máy · nhánh Lô cốt phun lửa</t>
        </is>
      </c>
      <c r="C873" s="41" t="inlineStr">
        <is>
          <t>Giáp</t>
        </is>
      </c>
      <c r="D873" s="41" t="inlineStr">
        <is>
          <t>3/2/2/2</t>
        </is>
      </c>
      <c r="E873" s="49" t="inlineStr">
        <is>
          <t>Giữ</t>
        </is>
      </c>
      <c r="F873" s="41" t="n"/>
      <c r="G873" s="41" t="inlineStr">
        <is>
          <t>Công trình; hợp vai trò.</t>
        </is>
      </c>
      <c r="H873" s="41" t="n"/>
    </row>
    <row r="874" ht="21.75" customHeight="1" s="32">
      <c r="A874" s="39" t="inlineStr">
        <is>
          <t>mg_bunker.flame</t>
        </is>
      </c>
      <c r="B874" s="39" t="inlineStr">
        <is>
          <t>Lô cốt súng máy · nhánh Lô cốt phun lửa</t>
        </is>
      </c>
      <c r="C874" s="39" t="inlineStr">
        <is>
          <t>Kích thước</t>
        </is>
      </c>
      <c r="D874" s="39" t="inlineStr">
        <is>
          <t>4.4 × 4.4 × 3.3</t>
        </is>
      </c>
      <c r="E874" s="49" t="inlineStr">
        <is>
          <t>Giữ</t>
        </is>
      </c>
      <c r="F874" s="39" t="n"/>
      <c r="G874" s="39" t="inlineStr">
        <is>
          <t>Vừa cỡ ô.</t>
        </is>
      </c>
      <c r="H874" s="39" t="n"/>
    </row>
    <row r="875" ht="21.75" customHeight="1" s="32">
      <c r="A875" s="41" t="inlineStr">
        <is>
          <t>mg_bunker.flame</t>
        </is>
      </c>
      <c r="B875" s="41" t="inlineStr">
        <is>
          <t>Lô cốt súng máy · nhánh Lô cốt phun lửa</t>
        </is>
      </c>
      <c r="C875" s="41" t="inlineStr">
        <is>
          <t>Vũ khí / DPS</t>
        </is>
      </c>
      <c r="D875" s="41" t="inlineStr">
        <is>
          <t>170/50/0</t>
        </is>
      </c>
      <c r="E875" s="49" t="inlineStr">
        <is>
          <t>Giữ</t>
        </is>
      </c>
      <c r="F875" s="41" t="n"/>
      <c r="G875" s="41" t="inlineStr">
        <is>
          <t>Trong khoảng mục tiêu của cỡ ô.</t>
        </is>
      </c>
      <c r="H875" s="41" t="n"/>
    </row>
    <row r="876" ht="21.75" customHeight="1" s="32">
      <c r="A876" s="39" t="inlineStr">
        <is>
          <t>mg_bunker.flame</t>
        </is>
      </c>
      <c r="B876" s="39" t="inlineStr">
        <is>
          <t>Lô cốt súng máy · nhánh Lô cốt phun lửa</t>
        </is>
      </c>
      <c r="C876" s="39" t="inlineStr">
        <is>
          <t>Nổ khi bị phá</t>
        </is>
      </c>
      <c r="D876" s="39" t="inlineStr">
        <is>
          <t>6 m</t>
        </is>
      </c>
      <c r="E876" s="49" t="inlineStr">
        <is>
          <t>Giữ</t>
        </is>
      </c>
      <c r="F876" s="39" t="n"/>
      <c r="G876" s="39" t="inlineStr">
        <is>
          <t>Hợp cỡ.</t>
        </is>
      </c>
      <c r="H876" s="39" t="n"/>
    </row>
    <row r="877" ht="15" customHeight="1" s="32">
      <c r="A877" s="41"/>
      <c r="B877" s="41"/>
      <c r="C877" s="41"/>
      <c r="D877" s="41"/>
      <c r="E877" s="49"/>
      <c r="F877" s="41"/>
      <c r="G877" s="41"/>
      <c r="H877" s="41"/>
    </row>
    <row r="878" ht="15" customHeight="1" s="32">
      <c r="A878" s="39"/>
      <c r="B878" s="39"/>
      <c r="C878" s="39"/>
      <c r="D878" s="39"/>
      <c r="E878" s="49"/>
      <c r="F878" s="39"/>
      <c r="G878" s="39"/>
      <c r="H878" s="39"/>
    </row>
    <row r="879" ht="15" customHeight="1" s="32">
      <c r="A879" s="41"/>
      <c r="B879" s="41"/>
      <c r="C879" s="41"/>
      <c r="D879" s="43"/>
      <c r="E879" s="49"/>
      <c r="F879" s="41"/>
      <c r="G879" s="41"/>
      <c r="H879" s="41"/>
    </row>
    <row r="880" ht="15" customHeight="1" s="32">
      <c r="A880" s="39"/>
      <c r="B880" s="39"/>
      <c r="C880" s="39"/>
      <c r="D880" s="39"/>
      <c r="E880" s="49"/>
      <c r="F880" s="39"/>
      <c r="G880" s="39"/>
      <c r="H880" s="39"/>
    </row>
    <row r="881" ht="15" customHeight="1" s="32">
      <c r="A881" s="41"/>
      <c r="B881" s="41"/>
      <c r="C881" s="41"/>
      <c r="D881" s="41"/>
      <c r="E881" s="49"/>
      <c r="F881" s="41"/>
      <c r="G881" s="41"/>
      <c r="H881" s="41"/>
    </row>
    <row r="882" ht="15" customHeight="1" s="32">
      <c r="A882" s="39"/>
      <c r="B882" s="39"/>
      <c r="C882" s="39"/>
      <c r="D882" s="39"/>
      <c r="E882" s="49"/>
      <c r="F882" s="39"/>
      <c r="G882" s="39"/>
      <c r="H882" s="39"/>
    </row>
    <row r="883" ht="15" customHeight="1" s="32">
      <c r="A883" s="41" t="inlineStr">
        <is>
          <t>minefield.at</t>
        </is>
      </c>
      <c r="B883" s="41" t="inlineStr">
        <is>
          <t>Bãi mìn · nhánh Bãi mìn chống tăng</t>
        </is>
      </c>
      <c r="C883" s="41" t="inlineStr">
        <is>
          <t>Tên</t>
        </is>
      </c>
      <c r="D883" s="41" t="inlineStr">
        <is>
          <t>Bãi mìn · nhánh Bãi mìn chống tăng</t>
        </is>
      </c>
      <c r="E883" s="49" t="inlineStr">
        <is>
          <t>Giữ</t>
        </is>
      </c>
      <c r="F883" s="41" t="n"/>
      <c r="G883" s="41" t="inlineStr">
        <is>
          <t>Tên rõ vai trò.</t>
        </is>
      </c>
      <c r="H883" s="41" t="n"/>
    </row>
    <row r="884" ht="15" customHeight="1" s="32">
      <c r="A884" s="39" t="inlineStr">
        <is>
          <t>minefield.at</t>
        </is>
      </c>
      <c r="B884" s="39" t="inlineStr">
        <is>
          <t>Bãi mìn · nhánh Bãi mìn chống tăng</t>
        </is>
      </c>
      <c r="C884" s="39" t="inlineStr">
        <is>
          <t>Ô</t>
        </is>
      </c>
      <c r="D884" s="39" t="inlineStr">
        <is>
          <t>Nhỏ</t>
        </is>
      </c>
      <c r="E884" s="49" t="inlineStr">
        <is>
          <t>Giữ</t>
        </is>
      </c>
      <c r="F884" s="39" t="n"/>
      <c r="G884" s="39" t="n"/>
      <c r="H884" s="39" t="n"/>
    </row>
    <row r="885" ht="15" customHeight="1" s="32">
      <c r="A885" s="41" t="inlineStr">
        <is>
          <t>minefield.at</t>
        </is>
      </c>
      <c r="B885" s="41" t="inlineStr">
        <is>
          <t>Bãi mìn · nhánh Bãi mìn chống tăng</t>
        </is>
      </c>
      <c r="C885" s="41" t="inlineStr">
        <is>
          <t>Máu</t>
        </is>
      </c>
      <c r="D885" s="43" t="n">
        <v>880</v>
      </c>
      <c r="E885" s="49" t="inlineStr">
        <is>
          <t>Giữ</t>
        </is>
      </c>
      <c r="F885" s="41" t="n"/>
      <c r="G885" s="41" t="inlineStr">
        <is>
          <t>Chướng ngại, sở chỉ huy hoặc công trình nhiệm vụ: máu theo vai trò riêng.</t>
        </is>
      </c>
      <c r="H885" s="41" t="n"/>
    </row>
    <row r="886" ht="15" customHeight="1" s="32">
      <c r="A886" s="39" t="inlineStr">
        <is>
          <t>minefield.at</t>
        </is>
      </c>
      <c r="B886" s="39" t="inlineStr">
        <is>
          <t>Bãi mìn · nhánh Bãi mìn chống tăng</t>
        </is>
      </c>
      <c r="C886" s="39" t="inlineStr">
        <is>
          <t>Giáp</t>
        </is>
      </c>
      <c r="D886" s="39" t="inlineStr">
        <is>
          <t>cấp 0 (Không giáp) · công trình</t>
        </is>
      </c>
      <c r="E886" s="49" t="inlineStr">
        <is>
          <t>Giữ</t>
        </is>
      </c>
      <c r="F886" s="39" t="n"/>
      <c r="G886" s="39" t="inlineStr">
        <is>
          <t>Công trình; hợp vai trò.</t>
        </is>
      </c>
      <c r="H886" s="39" t="n"/>
    </row>
    <row r="887" ht="15" customHeight="1" s="32">
      <c r="A887" s="41" t="inlineStr">
        <is>
          <t>minefield.at</t>
        </is>
      </c>
      <c r="B887" s="41" t="inlineStr">
        <is>
          <t>Bãi mìn · nhánh Bãi mìn chống tăng</t>
        </is>
      </c>
      <c r="C887" s="41" t="inlineStr">
        <is>
          <t>Kích thước</t>
        </is>
      </c>
      <c r="D887" s="41" t="inlineStr">
        <is>
          <t>4.9 × 4.9 × 1.1</t>
        </is>
      </c>
      <c r="E887" s="49" t="inlineStr">
        <is>
          <t>Giữ</t>
        </is>
      </c>
      <c r="F887" s="41" t="n"/>
      <c r="G887" s="41" t="inlineStr">
        <is>
          <t>Vừa cỡ ô.</t>
        </is>
      </c>
      <c r="H887" s="41" t="n"/>
    </row>
    <row r="888" ht="15" customHeight="1" s="32">
      <c r="A888" s="39" t="inlineStr">
        <is>
          <t>minefield.at</t>
        </is>
      </c>
      <c r="B888" s="39" t="inlineStr">
        <is>
          <t>Bãi mìn · nhánh Bãi mìn chống tăng</t>
        </is>
      </c>
      <c r="C888" s="39" t="inlineStr">
        <is>
          <t>Vũ khí / DPS</t>
        </is>
      </c>
      <c r="D888" s="39" t="inlineStr">
        <is>
          <t>0/0/0</t>
        </is>
      </c>
      <c r="E888" s="49" t="inlineStr">
        <is>
          <t>Giữ</t>
        </is>
      </c>
      <c r="F888" s="39" t="n"/>
      <c r="G888" s="39" t="inlineStr">
        <is>
          <t>Trong khoảng mục tiêu của cỡ ô.</t>
        </is>
      </c>
      <c r="H888" s="39" t="n"/>
    </row>
    <row r="889" ht="15" customHeight="1" s="32">
      <c r="A889" s="41" t="inlineStr">
        <is>
          <t>minefield.scatter</t>
        </is>
      </c>
      <c r="B889" s="41" t="inlineStr">
        <is>
          <t>Bãi mìn · nhánh Bãi mìn rải</t>
        </is>
      </c>
      <c r="C889" s="41" t="inlineStr">
        <is>
          <t>Tên</t>
        </is>
      </c>
      <c r="D889" s="41" t="inlineStr">
        <is>
          <t>Bãi mìn · nhánh Bãi mìn rải</t>
        </is>
      </c>
      <c r="E889" s="49" t="inlineStr">
        <is>
          <t>Giữ</t>
        </is>
      </c>
      <c r="F889" s="41" t="n"/>
      <c r="G889" s="41" t="inlineStr">
        <is>
          <t>Tên rõ vai trò.</t>
        </is>
      </c>
      <c r="H889" s="41" t="n"/>
    </row>
    <row r="890" ht="15" customHeight="1" s="32">
      <c r="A890" s="39" t="inlineStr">
        <is>
          <t>minefield.scatter</t>
        </is>
      </c>
      <c r="B890" s="39" t="inlineStr">
        <is>
          <t>Bãi mìn · nhánh Bãi mìn rải</t>
        </is>
      </c>
      <c r="C890" s="39" t="inlineStr">
        <is>
          <t>Ô</t>
        </is>
      </c>
      <c r="D890" s="39" t="inlineStr">
        <is>
          <t>Nhỏ</t>
        </is>
      </c>
      <c r="E890" s="49" t="inlineStr">
        <is>
          <t>Giữ</t>
        </is>
      </c>
      <c r="F890" s="39" t="n"/>
      <c r="G890" s="39" t="n"/>
      <c r="H890" s="39" t="n"/>
    </row>
    <row r="891" ht="15" customHeight="1" s="32">
      <c r="A891" s="41" t="inlineStr">
        <is>
          <t>minefield.scatter</t>
        </is>
      </c>
      <c r="B891" s="41" t="inlineStr">
        <is>
          <t>Bãi mìn · nhánh Bãi mìn rải</t>
        </is>
      </c>
      <c r="C891" s="41" t="inlineStr">
        <is>
          <t>Máu</t>
        </is>
      </c>
      <c r="D891" s="43" t="n">
        <v>880</v>
      </c>
      <c r="E891" s="49" t="inlineStr">
        <is>
          <t>Giữ</t>
        </is>
      </c>
      <c r="F891" s="41" t="n"/>
      <c r="G891" s="41" t="inlineStr">
        <is>
          <t>Chướng ngại, sở chỉ huy hoặc công trình nhiệm vụ: máu theo vai trò riêng.</t>
        </is>
      </c>
      <c r="H891" s="41" t="n"/>
    </row>
    <row r="892" ht="15" customHeight="1" s="32">
      <c r="A892" s="39" t="inlineStr">
        <is>
          <t>minefield.scatter</t>
        </is>
      </c>
      <c r="B892" s="39" t="inlineStr">
        <is>
          <t>Bãi mìn · nhánh Bãi mìn rải</t>
        </is>
      </c>
      <c r="C892" s="39" t="inlineStr">
        <is>
          <t>Giáp</t>
        </is>
      </c>
      <c r="D892" s="39" t="inlineStr">
        <is>
          <t>cấp 0 (Không giáp) · công trình</t>
        </is>
      </c>
      <c r="E892" s="49" t="inlineStr">
        <is>
          <t>Giữ</t>
        </is>
      </c>
      <c r="F892" s="39" t="n"/>
      <c r="G892" s="39" t="inlineStr">
        <is>
          <t>Công trình; hợp vai trò.</t>
        </is>
      </c>
      <c r="H892" s="39" t="n"/>
    </row>
    <row r="893" ht="15" customHeight="1" s="32">
      <c r="A893" s="41" t="inlineStr">
        <is>
          <t>minefield.scatter</t>
        </is>
      </c>
      <c r="B893" s="41" t="inlineStr">
        <is>
          <t>Bãi mìn · nhánh Bãi mìn rải</t>
        </is>
      </c>
      <c r="C893" s="41" t="inlineStr">
        <is>
          <t>Kích thước</t>
        </is>
      </c>
      <c r="D893" s="41" t="inlineStr">
        <is>
          <t>4.9 × 4.9 × 1.1</t>
        </is>
      </c>
      <c r="E893" s="49" t="inlineStr">
        <is>
          <t>Giữ</t>
        </is>
      </c>
      <c r="F893" s="41" t="n"/>
      <c r="G893" s="41" t="inlineStr">
        <is>
          <t>Vừa cỡ ô.</t>
        </is>
      </c>
      <c r="H893" s="41" t="n"/>
    </row>
    <row r="894" ht="15" customHeight="1" s="32">
      <c r="A894" s="39" t="inlineStr">
        <is>
          <t>minefield.scatter</t>
        </is>
      </c>
      <c r="B894" s="39" t="inlineStr">
        <is>
          <t>Bãi mìn · nhánh Bãi mìn rải</t>
        </is>
      </c>
      <c r="C894" s="39" t="inlineStr">
        <is>
          <t>Vũ khí / DPS</t>
        </is>
      </c>
      <c r="D894" s="39" t="inlineStr">
        <is>
          <t>0/0/0</t>
        </is>
      </c>
      <c r="E894" s="49" t="inlineStr">
        <is>
          <t>Giữ</t>
        </is>
      </c>
      <c r="F894" s="39" t="n"/>
      <c r="G894" s="39" t="inlineStr">
        <is>
          <t>Trong khoảng mục tiêu của cỡ ô.</t>
        </is>
      </c>
      <c r="H894" s="39" t="n"/>
    </row>
    <row r="895" ht="15" customHeight="1" s="32">
      <c r="A895" s="41" t="inlineStr">
        <is>
          <t>airfield</t>
        </is>
      </c>
      <c r="B895" s="41" t="inlineStr">
        <is>
          <t>Sân bay dã chiến</t>
        </is>
      </c>
      <c r="C895" s="41" t="inlineStr">
        <is>
          <t>Tên</t>
        </is>
      </c>
      <c r="D895" s="41" t="inlineStr">
        <is>
          <t>Sân bay dã chiến</t>
        </is>
      </c>
      <c r="E895" s="49" t="inlineStr">
        <is>
          <t>Giữ</t>
        </is>
      </c>
      <c r="F895" s="41" t="n"/>
      <c r="G895" s="41" t="inlineStr">
        <is>
          <t>Tên rõ vai trò.</t>
        </is>
      </c>
      <c r="H895" s="41" t="n"/>
    </row>
    <row r="896" ht="15" customHeight="1" s="32">
      <c r="A896" s="39" t="inlineStr">
        <is>
          <t>airfield</t>
        </is>
      </c>
      <c r="B896" s="39" t="inlineStr">
        <is>
          <t>Sân bay dã chiến</t>
        </is>
      </c>
      <c r="C896" s="39" t="inlineStr">
        <is>
          <t>Ô</t>
        </is>
      </c>
      <c r="D896" s="39" t="inlineStr">
        <is>
          <t>Khác</t>
        </is>
      </c>
      <c r="E896" s="49" t="inlineStr">
        <is>
          <t>Giữ</t>
        </is>
      </c>
      <c r="F896" s="39" t="n"/>
      <c r="G896" s="39" t="n"/>
      <c r="H896" s="39" t="n"/>
    </row>
    <row r="897" ht="15" customHeight="1" s="32">
      <c r="A897" s="41" t="inlineStr">
        <is>
          <t>airfield</t>
        </is>
      </c>
      <c r="B897" s="41" t="inlineStr">
        <is>
          <t>Sân bay dã chiến</t>
        </is>
      </c>
      <c r="C897" s="41" t="inlineStr">
        <is>
          <t>Máu</t>
        </is>
      </c>
      <c r="D897" s="43" t="n">
        <v>3520</v>
      </c>
      <c r="E897" s="49" t="inlineStr">
        <is>
          <t>Giữ</t>
        </is>
      </c>
      <c r="F897" s="41" t="n"/>
      <c r="G897" s="41" t="inlineStr">
        <is>
          <t>1.00 × trung vị máu tháp ô khác.</t>
        </is>
      </c>
      <c r="H897" s="41" t="n"/>
    </row>
    <row r="898" ht="15" customHeight="1" s="32">
      <c r="A898" s="39" t="inlineStr">
        <is>
          <t>airfield</t>
        </is>
      </c>
      <c r="B898" s="39" t="inlineStr">
        <is>
          <t>Sân bay dã chiến</t>
        </is>
      </c>
      <c r="C898" s="39" t="inlineStr">
        <is>
          <t>Giáp</t>
        </is>
      </c>
      <c r="D898" s="39" t="inlineStr">
        <is>
          <t>cấp 1 (Mỏng) · công trình</t>
        </is>
      </c>
      <c r="E898" s="49" t="inlineStr">
        <is>
          <t>Giữ</t>
        </is>
      </c>
      <c r="F898" s="39" t="n"/>
      <c r="G898" s="39" t="inlineStr">
        <is>
          <t>Công trình; hợp vai trò.</t>
        </is>
      </c>
      <c r="H898" s="39" t="n"/>
    </row>
    <row r="899" ht="15" customHeight="1" s="32">
      <c r="A899" s="41" t="inlineStr">
        <is>
          <t>airfield</t>
        </is>
      </c>
      <c r="B899" s="41" t="inlineStr">
        <is>
          <t>Sân bay dã chiến</t>
        </is>
      </c>
      <c r="C899" s="41" t="inlineStr">
        <is>
          <t>Kích thước</t>
        </is>
      </c>
      <c r="D899" s="41" t="inlineStr">
        <is>
          <t>10.0 × 10.0 × 0.1</t>
        </is>
      </c>
      <c r="E899" s="49" t="inlineStr">
        <is>
          <t>Giữ</t>
        </is>
      </c>
      <c r="F899" s="41" t="n"/>
      <c r="G899" s="41" t="inlineStr">
        <is>
          <t>Vừa cỡ ô.</t>
        </is>
      </c>
      <c r="H899" s="41" t="n"/>
    </row>
    <row r="900" ht="15" customHeight="1" s="32">
      <c r="A900" s="39" t="inlineStr">
        <is>
          <t>airfield</t>
        </is>
      </c>
      <c r="B900" s="39" t="inlineStr">
        <is>
          <t>Sân bay dã chiến</t>
        </is>
      </c>
      <c r="C900" s="39" t="inlineStr">
        <is>
          <t>Vũ khí / DPS</t>
        </is>
      </c>
      <c r="D900" s="39" t="inlineStr">
        <is>
          <t>0/0/0</t>
        </is>
      </c>
      <c r="E900" s="49" t="inlineStr">
        <is>
          <t>Giữ</t>
        </is>
      </c>
      <c r="F900" s="39" t="n"/>
      <c r="G900" s="39" t="inlineStr">
        <is>
          <t>Trong khoảng mục tiêu của cỡ ô.</t>
        </is>
      </c>
      <c r="H900" s="39" t="n"/>
    </row>
    <row r="901" ht="15" customHeight="1" s="32">
      <c r="A901" s="41" t="inlineStr">
        <is>
          <t>airfield.hangar</t>
        </is>
      </c>
      <c r="B901" s="41" t="inlineStr">
        <is>
          <t>Sân bay dã chiến · Nhà chứa máy bay</t>
        </is>
      </c>
      <c r="C901" s="41" t="inlineStr">
        <is>
          <t>Tên</t>
        </is>
      </c>
      <c r="D901" s="41" t="inlineStr">
        <is>
          <t>Sân bay dã chiến · Nhà chứa máy bay</t>
        </is>
      </c>
      <c r="E901" s="49" t="inlineStr">
        <is>
          <t>Giữ</t>
        </is>
      </c>
      <c r="F901" s="41" t="n"/>
      <c r="G901" s="41" t="inlineStr">
        <is>
          <t>Tên rõ vai trò.</t>
        </is>
      </c>
      <c r="H901" s="41" t="n"/>
    </row>
    <row r="902" ht="15" customHeight="1" s="32">
      <c r="A902" s="39" t="inlineStr">
        <is>
          <t>airfield.hangar</t>
        </is>
      </c>
      <c r="B902" s="39" t="inlineStr">
        <is>
          <t>Sân bay dã chiến · Nhà chứa máy bay</t>
        </is>
      </c>
      <c r="C902" s="39" t="inlineStr">
        <is>
          <t>Ô</t>
        </is>
      </c>
      <c r="D902" s="39" t="inlineStr">
        <is>
          <t>Khác</t>
        </is>
      </c>
      <c r="E902" s="49" t="inlineStr">
        <is>
          <t>Giữ</t>
        </is>
      </c>
      <c r="F902" s="39" t="n"/>
      <c r="G902" s="39" t="n"/>
      <c r="H902" s="39" t="n"/>
    </row>
    <row r="903" ht="15" customHeight="1" s="32">
      <c r="A903" s="41" t="inlineStr">
        <is>
          <t>airfield.hangar</t>
        </is>
      </c>
      <c r="B903" s="41" t="inlineStr">
        <is>
          <t>Sân bay dã chiến · Nhà chứa máy bay</t>
        </is>
      </c>
      <c r="C903" s="41" t="inlineStr">
        <is>
          <t>Máu</t>
        </is>
      </c>
      <c r="D903" s="43" t="n">
        <v>3960</v>
      </c>
      <c r="E903" s="49" t="inlineStr">
        <is>
          <t>Giữ</t>
        </is>
      </c>
      <c r="F903" s="41" t="n"/>
      <c r="G903" s="41" t="inlineStr">
        <is>
          <t>1.12 × trung vị máu tháp ô khác.</t>
        </is>
      </c>
      <c r="H903" s="41" t="n"/>
    </row>
    <row r="904" ht="15" customHeight="1" s="32">
      <c r="A904" s="39" t="inlineStr">
        <is>
          <t>airfield.hangar</t>
        </is>
      </c>
      <c r="B904" s="39" t="inlineStr">
        <is>
          <t>Sân bay dã chiến · Nhà chứa máy bay</t>
        </is>
      </c>
      <c r="C904" s="39" t="inlineStr">
        <is>
          <t>Giáp</t>
        </is>
      </c>
      <c r="D904" s="39" t="inlineStr">
        <is>
          <t>cấp 2 (Vừa) · công trình</t>
        </is>
      </c>
      <c r="E904" s="49" t="inlineStr">
        <is>
          <t>Giữ</t>
        </is>
      </c>
      <c r="F904" s="39" t="n"/>
      <c r="G904" s="39" t="inlineStr">
        <is>
          <t>Công trình; hợp vai trò.</t>
        </is>
      </c>
      <c r="H904" s="39" t="n"/>
    </row>
    <row r="905" ht="15" customHeight="1" s="32">
      <c r="A905" s="41" t="inlineStr">
        <is>
          <t>airfield.hangar</t>
        </is>
      </c>
      <c r="B905" s="41" t="inlineStr">
        <is>
          <t>Sân bay dã chiến · Nhà chứa máy bay</t>
        </is>
      </c>
      <c r="C905" s="41" t="inlineStr">
        <is>
          <t>Kích thước</t>
        </is>
      </c>
      <c r="D905" s="41" t="inlineStr">
        <is>
          <t>10.0 × 10.0 × 0.1</t>
        </is>
      </c>
      <c r="E905" s="49" t="inlineStr">
        <is>
          <t>Giữ</t>
        </is>
      </c>
      <c r="F905" s="41" t="n"/>
      <c r="G905" s="41" t="inlineStr">
        <is>
          <t>Vừa cỡ ô.</t>
        </is>
      </c>
      <c r="H905" s="41" t="n"/>
    </row>
    <row r="906" ht="15" customHeight="1" s="32">
      <c r="A906" s="39" t="inlineStr">
        <is>
          <t>airfield.hangar</t>
        </is>
      </c>
      <c r="B906" s="39" t="inlineStr">
        <is>
          <t>Sân bay dã chiến · Nhà chứa máy bay</t>
        </is>
      </c>
      <c r="C906" s="39" t="inlineStr">
        <is>
          <t>Vũ khí / DPS</t>
        </is>
      </c>
      <c r="D906" s="39" t="inlineStr">
        <is>
          <t>0/0/0</t>
        </is>
      </c>
      <c r="E906" s="49" t="inlineStr">
        <is>
          <t>Giữ</t>
        </is>
      </c>
      <c r="F906" s="39" t="n"/>
      <c r="G906" s="39" t="inlineStr">
        <is>
          <t>Trong khoảng mục tiêu của cỡ ô.</t>
        </is>
      </c>
      <c r="H906" s="39" t="n"/>
    </row>
    <row r="907" ht="15" customHeight="1" s="32">
      <c r="A907" s="41" t="inlineStr">
        <is>
          <t>airfield.service</t>
        </is>
      </c>
      <c r="B907" s="41" t="inlineStr">
        <is>
          <t>Sân bay dã chiến · Phục vụ nhanh</t>
        </is>
      </c>
      <c r="C907" s="41" t="inlineStr">
        <is>
          <t>Tên</t>
        </is>
      </c>
      <c r="D907" s="41" t="inlineStr">
        <is>
          <t>Sân bay dã chiến · Phục vụ nhanh</t>
        </is>
      </c>
      <c r="E907" s="49" t="inlineStr">
        <is>
          <t>Giữ</t>
        </is>
      </c>
      <c r="F907" s="41" t="n"/>
      <c r="G907" s="41" t="inlineStr">
        <is>
          <t>Tên rõ vai trò.</t>
        </is>
      </c>
      <c r="H907" s="41" t="n"/>
    </row>
    <row r="908" ht="15" customHeight="1" s="32">
      <c r="A908" s="39" t="inlineStr">
        <is>
          <t>airfield.service</t>
        </is>
      </c>
      <c r="B908" s="39" t="inlineStr">
        <is>
          <t>Sân bay dã chiến · Phục vụ nhanh</t>
        </is>
      </c>
      <c r="C908" s="39" t="inlineStr">
        <is>
          <t>Ô</t>
        </is>
      </c>
      <c r="D908" s="39" t="inlineStr">
        <is>
          <t>Khác</t>
        </is>
      </c>
      <c r="E908" s="49" t="inlineStr">
        <is>
          <t>Giữ</t>
        </is>
      </c>
      <c r="F908" s="39" t="n"/>
      <c r="G908" s="39" t="n"/>
      <c r="H908" s="39" t="n"/>
    </row>
    <row r="909" ht="15" customHeight="1" s="32">
      <c r="A909" s="41" t="inlineStr">
        <is>
          <t>airfield.service</t>
        </is>
      </c>
      <c r="B909" s="41" t="inlineStr">
        <is>
          <t>Sân bay dã chiến · Phục vụ nhanh</t>
        </is>
      </c>
      <c r="C909" s="41" t="inlineStr">
        <is>
          <t>Máu</t>
        </is>
      </c>
      <c r="D909" s="43" t="n">
        <v>3520</v>
      </c>
      <c r="E909" s="49" t="inlineStr">
        <is>
          <t>Giữ</t>
        </is>
      </c>
      <c r="F909" s="41" t="n"/>
      <c r="G909" s="41" t="inlineStr">
        <is>
          <t>1.00 × trung vị máu tháp ô khác.</t>
        </is>
      </c>
      <c r="H909" s="41" t="n"/>
    </row>
    <row r="910" ht="15" customHeight="1" s="32">
      <c r="A910" s="39" t="inlineStr">
        <is>
          <t>airfield.service</t>
        </is>
      </c>
      <c r="B910" s="39" t="inlineStr">
        <is>
          <t>Sân bay dã chiến · Phục vụ nhanh</t>
        </is>
      </c>
      <c r="C910" s="39" t="inlineStr">
        <is>
          <t>Giáp</t>
        </is>
      </c>
      <c r="D910" s="39" t="inlineStr">
        <is>
          <t>cấp 1 (Mỏng) · công trình</t>
        </is>
      </c>
      <c r="E910" s="49" t="inlineStr">
        <is>
          <t>Giữ</t>
        </is>
      </c>
      <c r="F910" s="39" t="n"/>
      <c r="G910" s="39" t="inlineStr">
        <is>
          <t>Công trình; hợp vai trò.</t>
        </is>
      </c>
      <c r="H910" s="39" t="n"/>
    </row>
    <row r="911" ht="15" customHeight="1" s="32">
      <c r="A911" s="41" t="inlineStr">
        <is>
          <t>airfield.service</t>
        </is>
      </c>
      <c r="B911" s="41" t="inlineStr">
        <is>
          <t>Sân bay dã chiến · Phục vụ nhanh</t>
        </is>
      </c>
      <c r="C911" s="41" t="inlineStr">
        <is>
          <t>Kích thước</t>
        </is>
      </c>
      <c r="D911" s="41" t="inlineStr">
        <is>
          <t>10.0 × 10.0 × 0.1</t>
        </is>
      </c>
      <c r="E911" s="49" t="inlineStr">
        <is>
          <t>Giữ</t>
        </is>
      </c>
      <c r="F911" s="41" t="n"/>
      <c r="G911" s="41" t="inlineStr">
        <is>
          <t>Vừa cỡ ô.</t>
        </is>
      </c>
      <c r="H911" s="41" t="n"/>
    </row>
    <row r="912" ht="15" customHeight="1" s="32">
      <c r="A912" s="39" t="inlineStr">
        <is>
          <t>airfield.service</t>
        </is>
      </c>
      <c r="B912" s="39" t="inlineStr">
        <is>
          <t>Sân bay dã chiến · Phục vụ nhanh</t>
        </is>
      </c>
      <c r="C912" s="39" t="inlineStr">
        <is>
          <t>Vũ khí / DPS</t>
        </is>
      </c>
      <c r="D912" s="39" t="inlineStr">
        <is>
          <t>0/0/0</t>
        </is>
      </c>
      <c r="E912" s="49" t="inlineStr">
        <is>
          <t>Giữ</t>
        </is>
      </c>
      <c r="F912" s="39" t="n"/>
      <c r="G912" s="39" t="inlineStr">
        <is>
          <t>Trong khoảng mục tiêu của cỡ ô.</t>
        </is>
      </c>
      <c r="H912" s="39" t="n"/>
    </row>
    <row r="913" ht="15" customHeight="1" s="32">
      <c r="A913" s="41"/>
      <c r="B913" s="41"/>
      <c r="C913" s="41"/>
      <c r="D913" s="41"/>
      <c r="E913" s="49"/>
      <c r="F913" s="41"/>
      <c r="G913" s="41"/>
      <c r="H913" s="41"/>
    </row>
    <row r="914" ht="15" customHeight="1" s="32">
      <c r="A914" s="39"/>
      <c r="B914" s="39"/>
      <c r="C914" s="39"/>
      <c r="D914" s="39"/>
      <c r="E914" s="49"/>
      <c r="F914" s="39"/>
      <c r="G914" s="39"/>
      <c r="H914" s="39"/>
    </row>
    <row r="915" ht="15" customHeight="1" s="32">
      <c r="A915" s="41"/>
      <c r="B915" s="41"/>
      <c r="C915" s="41"/>
      <c r="D915" s="43"/>
      <c r="E915" s="49"/>
      <c r="F915" s="41"/>
      <c r="G915" s="41"/>
      <c r="H915" s="41"/>
    </row>
    <row r="916" ht="15" customHeight="1" s="32">
      <c r="A916" s="39"/>
      <c r="B916" s="39"/>
      <c r="C916" s="39"/>
      <c r="D916" s="39"/>
      <c r="E916" s="49"/>
      <c r="F916" s="39"/>
      <c r="G916" s="39"/>
      <c r="H916" s="39"/>
    </row>
    <row r="917" ht="15" customHeight="1" s="32">
      <c r="A917" s="41"/>
      <c r="B917" s="41"/>
      <c r="C917" s="41"/>
      <c r="D917" s="41"/>
      <c r="E917" s="49"/>
      <c r="F917" s="41"/>
      <c r="G917" s="41"/>
      <c r="H917" s="41"/>
    </row>
    <row r="918" ht="15" customHeight="1" s="32">
      <c r="A918" s="39"/>
      <c r="B918" s="39"/>
      <c r="C918" s="39"/>
      <c r="D918" s="39"/>
      <c r="E918" s="49"/>
      <c r="F918" s="39"/>
      <c r="G918" s="39"/>
      <c r="H918" s="39"/>
    </row>
    <row r="919" ht="15" customHeight="1" s="32">
      <c r="A919" s="41"/>
      <c r="B919" s="41"/>
      <c r="C919" s="41"/>
      <c r="D919" s="41"/>
      <c r="E919" s="47"/>
      <c r="F919" s="41"/>
      <c r="G919" s="41"/>
      <c r="H919" s="49"/>
    </row>
    <row r="920" ht="15" customHeight="1" s="32">
      <c r="A920" s="39" t="inlineStr">
        <is>
          <t>atgm_tower</t>
        </is>
      </c>
      <c r="B920" s="39" t="inlineStr">
        <is>
          <t>Tháp tên lửa chống tăng</t>
        </is>
      </c>
      <c r="C920" s="39" t="inlineStr">
        <is>
          <t>Tên</t>
        </is>
      </c>
      <c r="D920" s="39" t="inlineStr">
        <is>
          <t>Tháp tên lửa chống tăng</t>
        </is>
      </c>
      <c r="E920" s="49" t="inlineStr">
        <is>
          <t>Giữ</t>
        </is>
      </c>
      <c r="F920" s="39" t="n"/>
      <c r="G920" s="39" t="inlineStr">
        <is>
          <t>Tên rõ vai trò.</t>
        </is>
      </c>
      <c r="H920" s="39" t="n"/>
    </row>
    <row r="921" ht="15" customHeight="1" s="32">
      <c r="A921" s="41" t="inlineStr">
        <is>
          <t>atgm_tower</t>
        </is>
      </c>
      <c r="B921" s="41" t="inlineStr">
        <is>
          <t>Tháp tên lửa chống tăng</t>
        </is>
      </c>
      <c r="C921" s="41" t="inlineStr">
        <is>
          <t>Ô</t>
        </is>
      </c>
      <c r="D921" s="41" t="inlineStr">
        <is>
          <t>Vừa</t>
        </is>
      </c>
      <c r="E921" s="49" t="inlineStr">
        <is>
          <t>Giữ</t>
        </is>
      </c>
      <c r="F921" s="41" t="n"/>
      <c r="G921" s="41" t="n"/>
      <c r="H921" s="41" t="n"/>
    </row>
    <row r="922" ht="15" customHeight="1" s="32">
      <c r="A922" s="39" t="inlineStr">
        <is>
          <t>atgm_tower</t>
        </is>
      </c>
      <c r="B922" s="39" t="inlineStr">
        <is>
          <t>Tháp tên lửa chống tăng</t>
        </is>
      </c>
      <c r="C922" s="39" t="inlineStr">
        <is>
          <t>Máu</t>
        </is>
      </c>
      <c r="D922" s="42" t="n">
        <v>1980</v>
      </c>
      <c r="E922" s="49" t="inlineStr">
        <is>
          <t>Giữ</t>
        </is>
      </c>
      <c r="F922" s="39" t="n"/>
      <c r="G922" s="39" t="inlineStr">
        <is>
          <t>0.75 × trung vị máu tháp ô vừa.</t>
        </is>
      </c>
      <c r="H922" s="39" t="n"/>
    </row>
    <row r="923" ht="15" customHeight="1" s="32">
      <c r="A923" s="41" t="inlineStr">
        <is>
          <t>atgm_tower</t>
        </is>
      </c>
      <c r="B923" s="41" t="inlineStr">
        <is>
          <t>Tháp tên lửa chống tăng</t>
        </is>
      </c>
      <c r="C923" s="41" t="inlineStr">
        <is>
          <t>Giáp</t>
        </is>
      </c>
      <c r="D923" s="41" t="inlineStr">
        <is>
          <t>cấp 2 (Vừa) · công trình</t>
        </is>
      </c>
      <c r="E923" s="49" t="inlineStr">
        <is>
          <t>Giữ</t>
        </is>
      </c>
      <c r="F923" s="41" t="n"/>
      <c r="G923" s="41" t="inlineStr">
        <is>
          <t>Công trình; hợp vai trò.</t>
        </is>
      </c>
      <c r="H923" s="41" t="n"/>
    </row>
    <row r="924" ht="15" customHeight="1" s="32">
      <c r="A924" s="39" t="inlineStr">
        <is>
          <t>atgm_tower</t>
        </is>
      </c>
      <c r="B924" s="39" t="inlineStr">
        <is>
          <t>Tháp tên lửa chống tăng</t>
        </is>
      </c>
      <c r="C924" s="39" t="inlineStr">
        <is>
          <t>Kích thước</t>
        </is>
      </c>
      <c r="D924" s="39" t="inlineStr">
        <is>
          <t>5.2 × 5.2 × 5.0</t>
        </is>
      </c>
      <c r="E924" s="49" t="inlineStr">
        <is>
          <t>Giữ</t>
        </is>
      </c>
      <c r="F924" s="39" t="n"/>
      <c r="G924" s="39" t="inlineStr">
        <is>
          <t>Vừa cỡ ô.</t>
        </is>
      </c>
      <c r="H924" s="39" t="n"/>
    </row>
    <row r="925" ht="15" customHeight="1" s="32">
      <c r="A925" s="41" t="inlineStr">
        <is>
          <t>atgm_tower</t>
        </is>
      </c>
      <c r="B925" s="41" t="inlineStr">
        <is>
          <t>Tháp tên lửa chống tăng</t>
        </is>
      </c>
      <c r="C925" s="41" t="inlineStr">
        <is>
          <t>Vũ khí / DPS</t>
        </is>
      </c>
      <c r="D925" s="41" t="inlineStr">
        <is>
          <t>45/93/0</t>
        </is>
      </c>
      <c r="E925" s="49" t="inlineStr">
        <is>
          <t>Giữ</t>
        </is>
      </c>
      <c r="F925" s="41" t="n"/>
      <c r="G925" s="41" t="inlineStr">
        <is>
          <t>Trong khoảng mục tiêu của cỡ ô.</t>
        </is>
      </c>
      <c r="H925" s="41" t="n"/>
    </row>
    <row r="926" ht="15" customHeight="1" s="32">
      <c r="A926" s="39" t="inlineStr">
        <is>
          <t>atgm_tower</t>
        </is>
      </c>
      <c r="B926" s="39" t="inlineStr">
        <is>
          <t>Tháp tên lửa chống tăng</t>
        </is>
      </c>
      <c r="C926" s="39" t="inlineStr">
        <is>
          <t>Nổ khi bị phá</t>
        </is>
      </c>
      <c r="D926" s="39" t="inlineStr">
        <is>
          <t>6 m</t>
        </is>
      </c>
      <c r="E926" s="49" t="inlineStr">
        <is>
          <t>Giữ</t>
        </is>
      </c>
      <c r="F926" s="39" t="n"/>
      <c r="G926" s="39" t="inlineStr">
        <is>
          <t>Hợp cỡ.</t>
        </is>
      </c>
      <c r="H926" s="39" t="n"/>
    </row>
    <row r="927" ht="21.75" customHeight="1" s="32">
      <c r="A927" s="41" t="inlineStr">
        <is>
          <t>atgm_tower.top</t>
        </is>
      </c>
      <c r="B927" s="41" t="inlineStr">
        <is>
          <t>Tháp tên lửa chống tăng · nhánh Tấn công từ trên</t>
        </is>
      </c>
      <c r="C927" s="41" t="inlineStr">
        <is>
          <t>Tên</t>
        </is>
      </c>
      <c r="D927" s="41" t="inlineStr">
        <is>
          <t>Tháp tên lửa chống tăng · nhánh Tấn công từ trên</t>
        </is>
      </c>
      <c r="E927" s="49" t="inlineStr">
        <is>
          <t>Giữ</t>
        </is>
      </c>
      <c r="F927" s="41" t="n"/>
      <c r="G927" s="41" t="inlineStr">
        <is>
          <t>Tên rõ vai trò.</t>
        </is>
      </c>
      <c r="H927" s="41" t="n"/>
    </row>
    <row r="928" ht="21.75" customHeight="1" s="32">
      <c r="A928" s="39" t="inlineStr">
        <is>
          <t>atgm_tower.top</t>
        </is>
      </c>
      <c r="B928" s="39" t="inlineStr">
        <is>
          <t>Tháp tên lửa chống tăng · nhánh Tấn công từ trên</t>
        </is>
      </c>
      <c r="C928" s="39" t="inlineStr">
        <is>
          <t>Ô</t>
        </is>
      </c>
      <c r="D928" s="39" t="inlineStr">
        <is>
          <t>Vừa</t>
        </is>
      </c>
      <c r="E928" s="49" t="inlineStr">
        <is>
          <t>Giữ</t>
        </is>
      </c>
      <c r="F928" s="39" t="n"/>
      <c r="G928" s="39" t="n"/>
      <c r="H928" s="39" t="n"/>
    </row>
    <row r="929" ht="21.75" customHeight="1" s="32">
      <c r="A929" s="41" t="inlineStr">
        <is>
          <t>atgm_tower.top</t>
        </is>
      </c>
      <c r="B929" s="41" t="inlineStr">
        <is>
          <t>Tháp tên lửa chống tăng · nhánh Tấn công từ trên</t>
        </is>
      </c>
      <c r="C929" s="41" t="inlineStr">
        <is>
          <t>Máu</t>
        </is>
      </c>
      <c r="D929" s="43" t="n">
        <v>1980</v>
      </c>
      <c r="E929" s="49" t="inlineStr">
        <is>
          <t>Giữ</t>
        </is>
      </c>
      <c r="F929" s="41" t="n"/>
      <c r="G929" s="41" t="inlineStr">
        <is>
          <t>0.75 × trung vị máu tháp ô vừa.</t>
        </is>
      </c>
      <c r="H929" s="41" t="n"/>
    </row>
    <row r="930" ht="21.75" customHeight="1" s="32">
      <c r="A930" s="39" t="inlineStr">
        <is>
          <t>atgm_tower.top</t>
        </is>
      </c>
      <c r="B930" s="39" t="inlineStr">
        <is>
          <t>Tháp tên lửa chống tăng · nhánh Tấn công từ trên</t>
        </is>
      </c>
      <c r="C930" s="39" t="inlineStr">
        <is>
          <t>Giáp</t>
        </is>
      </c>
      <c r="D930" s="39" t="inlineStr">
        <is>
          <t>cấp 2 (Vừa) · công trình</t>
        </is>
      </c>
      <c r="E930" s="49" t="inlineStr">
        <is>
          <t>Giữ</t>
        </is>
      </c>
      <c r="F930" s="39" t="n"/>
      <c r="G930" s="39" t="inlineStr">
        <is>
          <t>Công trình; hợp vai trò.</t>
        </is>
      </c>
      <c r="H930" s="39" t="n"/>
    </row>
    <row r="931" ht="21.75" customHeight="1" s="32">
      <c r="A931" s="41" t="inlineStr">
        <is>
          <t>atgm_tower.top</t>
        </is>
      </c>
      <c r="B931" s="41" t="inlineStr">
        <is>
          <t>Tháp tên lửa chống tăng · nhánh Tấn công từ trên</t>
        </is>
      </c>
      <c r="C931" s="41" t="inlineStr">
        <is>
          <t>Kích thước</t>
        </is>
      </c>
      <c r="D931" s="41" t="inlineStr">
        <is>
          <t>5.2 × 5.2 × 5.0</t>
        </is>
      </c>
      <c r="E931" s="49" t="inlineStr">
        <is>
          <t>Giữ</t>
        </is>
      </c>
      <c r="F931" s="41" t="n"/>
      <c r="G931" s="41" t="inlineStr">
        <is>
          <t>Vừa cỡ ô.</t>
        </is>
      </c>
      <c r="H931" s="41" t="n"/>
    </row>
    <row r="932" ht="21.75" customHeight="1" s="32">
      <c r="A932" s="39" t="inlineStr">
        <is>
          <t>atgm_tower.top</t>
        </is>
      </c>
      <c r="B932" s="39" t="inlineStr">
        <is>
          <t>Tháp tên lửa chống tăng · nhánh Tấn công từ trên</t>
        </is>
      </c>
      <c r="C932" s="39" t="inlineStr">
        <is>
          <t>Vũ khí / DPS</t>
        </is>
      </c>
      <c r="D932" s="39" t="inlineStr">
        <is>
          <t>40/100/0</t>
        </is>
      </c>
      <c r="E932" s="49" t="inlineStr">
        <is>
          <t>Giữ</t>
        </is>
      </c>
      <c r="F932" s="39" t="n"/>
      <c r="G932" s="39" t="inlineStr">
        <is>
          <t>Trong khoảng mục tiêu của cỡ ô.</t>
        </is>
      </c>
      <c r="H932" s="39" t="n"/>
    </row>
    <row r="933" ht="21.75" customHeight="1" s="32">
      <c r="A933" s="41" t="inlineStr">
        <is>
          <t>atgm_tower.top</t>
        </is>
      </c>
      <c r="B933" s="41" t="inlineStr">
        <is>
          <t>Tháp tên lửa chống tăng · nhánh Tấn công từ trên</t>
        </is>
      </c>
      <c r="C933" s="41" t="inlineStr">
        <is>
          <t>Nổ khi bị phá</t>
        </is>
      </c>
      <c r="D933" s="41" t="inlineStr">
        <is>
          <t>6 m</t>
        </is>
      </c>
      <c r="E933" s="49" t="inlineStr">
        <is>
          <t>Giữ</t>
        </is>
      </c>
      <c r="F933" s="41" t="n"/>
      <c r="G933" s="41" t="inlineStr">
        <is>
          <t>Hợp cỡ.</t>
        </is>
      </c>
      <c r="H933" s="41" t="n"/>
    </row>
    <row r="934" ht="21.75" customHeight="1" s="32">
      <c r="A934" s="39" t="inlineStr">
        <is>
          <t>atgm_tower.multi</t>
        </is>
      </c>
      <c r="B934" s="39" t="inlineStr">
        <is>
          <t>Tháp tên lửa chống tăng · nhánh Đa năng</t>
        </is>
      </c>
      <c r="C934" s="39" t="inlineStr">
        <is>
          <t>Tên</t>
        </is>
      </c>
      <c r="D934" s="39" t="inlineStr">
        <is>
          <t>Tháp tên lửa chống tăng · nhánh Đa năng</t>
        </is>
      </c>
      <c r="E934" s="49" t="inlineStr">
        <is>
          <t>Giữ</t>
        </is>
      </c>
      <c r="F934" s="39" t="n"/>
      <c r="G934" s="39" t="inlineStr">
        <is>
          <t>Tên rõ vai trò.</t>
        </is>
      </c>
      <c r="H934" s="39" t="n"/>
    </row>
    <row r="935" ht="21.75" customHeight="1" s="32">
      <c r="A935" s="41" t="inlineStr">
        <is>
          <t>atgm_tower.multi</t>
        </is>
      </c>
      <c r="B935" s="41" t="inlineStr">
        <is>
          <t>Tháp tên lửa chống tăng · nhánh Đa năng</t>
        </is>
      </c>
      <c r="C935" s="41" t="inlineStr">
        <is>
          <t>Ô</t>
        </is>
      </c>
      <c r="D935" s="41" t="inlineStr">
        <is>
          <t>Vừa</t>
        </is>
      </c>
      <c r="E935" s="49" t="inlineStr">
        <is>
          <t>Giữ</t>
        </is>
      </c>
      <c r="F935" s="41" t="n"/>
      <c r="G935" s="41" t="n"/>
      <c r="H935" s="41" t="n"/>
    </row>
    <row r="936" ht="21.75" customHeight="1" s="32">
      <c r="A936" s="39" t="inlineStr">
        <is>
          <t>atgm_tower.multi</t>
        </is>
      </c>
      <c r="B936" s="39" t="inlineStr">
        <is>
          <t>Tháp tên lửa chống tăng · nhánh Đa năng</t>
        </is>
      </c>
      <c r="C936" s="39" t="inlineStr">
        <is>
          <t>Máu</t>
        </is>
      </c>
      <c r="D936" s="42" t="n">
        <v>1980</v>
      </c>
      <c r="E936" s="49" t="inlineStr">
        <is>
          <t>Giữ</t>
        </is>
      </c>
      <c r="F936" s="39" t="n"/>
      <c r="G936" s="39" t="inlineStr">
        <is>
          <t>0.75 × trung vị máu tháp ô vừa.</t>
        </is>
      </c>
      <c r="H936" s="39" t="n"/>
    </row>
    <row r="937" ht="21.75" customHeight="1" s="32">
      <c r="A937" s="41" t="inlineStr">
        <is>
          <t>atgm_tower.multi</t>
        </is>
      </c>
      <c r="B937" s="41" t="inlineStr">
        <is>
          <t>Tháp tên lửa chống tăng · nhánh Đa năng</t>
        </is>
      </c>
      <c r="C937" s="41" t="inlineStr">
        <is>
          <t>Giáp</t>
        </is>
      </c>
      <c r="D937" s="41" t="inlineStr">
        <is>
          <t>cấp 2 (Vừa) · công trình</t>
        </is>
      </c>
      <c r="E937" s="49" t="inlineStr">
        <is>
          <t>Giữ</t>
        </is>
      </c>
      <c r="F937" s="41" t="n"/>
      <c r="G937" s="41" t="inlineStr">
        <is>
          <t>Công trình; hợp vai trò.</t>
        </is>
      </c>
      <c r="H937" s="41" t="n"/>
    </row>
    <row r="938" ht="21.75" customHeight="1" s="32">
      <c r="A938" s="39" t="inlineStr">
        <is>
          <t>atgm_tower.multi</t>
        </is>
      </c>
      <c r="B938" s="39" t="inlineStr">
        <is>
          <t>Tháp tên lửa chống tăng · nhánh Đa năng</t>
        </is>
      </c>
      <c r="C938" s="39" t="inlineStr">
        <is>
          <t>Kích thước</t>
        </is>
      </c>
      <c r="D938" s="39" t="inlineStr">
        <is>
          <t>5.2 × 5.2 × 5.0</t>
        </is>
      </c>
      <c r="E938" s="49" t="inlineStr">
        <is>
          <t>Giữ</t>
        </is>
      </c>
      <c r="F938" s="39" t="n"/>
      <c r="G938" s="39" t="inlineStr">
        <is>
          <t>Vừa cỡ ô.</t>
        </is>
      </c>
      <c r="H938" s="39" t="n"/>
    </row>
    <row r="939" ht="21.75" customHeight="1" s="32">
      <c r="A939" s="41" t="inlineStr">
        <is>
          <t>atgm_tower.multi</t>
        </is>
      </c>
      <c r="B939" s="41" t="inlineStr">
        <is>
          <t>Tháp tên lửa chống tăng · nhánh Đa năng</t>
        </is>
      </c>
      <c r="C939" s="41" t="inlineStr">
        <is>
          <t>Vũ khí / DPS</t>
        </is>
      </c>
      <c r="D939" s="41" t="inlineStr">
        <is>
          <t>67/79/28</t>
        </is>
      </c>
      <c r="E939" s="49" t="inlineStr">
        <is>
          <t>Giữ</t>
        </is>
      </c>
      <c r="F939" s="41" t="n"/>
      <c r="G939" s="41" t="inlineStr">
        <is>
          <t>Trong khoảng mục tiêu của cỡ ô.</t>
        </is>
      </c>
      <c r="H939" s="41" t="n"/>
    </row>
    <row r="940" ht="21.75" customHeight="1" s="32">
      <c r="A940" s="39" t="inlineStr">
        <is>
          <t>atgm_tower.multi</t>
        </is>
      </c>
      <c r="B940" s="39" t="inlineStr">
        <is>
          <t>Tháp tên lửa chống tăng · nhánh Đa năng</t>
        </is>
      </c>
      <c r="C940" s="39" t="inlineStr">
        <is>
          <t>Nổ khi bị phá</t>
        </is>
      </c>
      <c r="D940" s="39" t="inlineStr">
        <is>
          <t>6 m</t>
        </is>
      </c>
      <c r="E940" s="49" t="inlineStr">
        <is>
          <t>Giữ</t>
        </is>
      </c>
      <c r="F940" s="39" t="n"/>
      <c r="G940" s="39" t="inlineStr">
        <is>
          <t>Hợp cỡ.</t>
        </is>
      </c>
      <c r="H940" s="39" t="n"/>
    </row>
    <row r="941" ht="21.75" customHeight="1" s="32">
      <c r="A941" s="41" t="inlineStr">
        <is>
          <t>c_ram</t>
        </is>
      </c>
      <c r="B941" s="41" t="inlineStr">
        <is>
          <t>Trạm C-RAM</t>
        </is>
      </c>
      <c r="C941" s="41" t="inlineStr">
        <is>
          <t>Tên</t>
        </is>
      </c>
      <c r="D941" s="41" t="inlineStr">
        <is>
          <t>Trạm C-RAM</t>
        </is>
      </c>
      <c r="E941" s="47" t="inlineStr">
        <is>
          <t>Đổi</t>
        </is>
      </c>
      <c r="F941" s="41" t="inlineStr">
        <is>
          <t>Trạm đánh chặn C-RAM · ngắn: C-RAM · EN: C-RAM Interceptor</t>
        </is>
      </c>
      <c r="G941" s="41" t="inlineStr">
        <is>
          <t>Giữ nghĩa.</t>
        </is>
      </c>
      <c r="H941" s="49" t="inlineStr">
        <is>
          <t>Thấp</t>
        </is>
      </c>
    </row>
    <row r="942" ht="15" customHeight="1" s="32">
      <c r="A942" s="39" t="inlineStr">
        <is>
          <t>c_ram</t>
        </is>
      </c>
      <c r="B942" s="39" t="inlineStr">
        <is>
          <t>Trạm C-RAM</t>
        </is>
      </c>
      <c r="C942" s="39" t="inlineStr">
        <is>
          <t>Ô</t>
        </is>
      </c>
      <c r="D942" s="39" t="inlineStr">
        <is>
          <t>Vừa</t>
        </is>
      </c>
      <c r="E942" s="49" t="inlineStr">
        <is>
          <t>Giữ</t>
        </is>
      </c>
      <c r="F942" s="39" t="n"/>
      <c r="G942" s="39" t="n"/>
      <c r="H942" s="39" t="n"/>
    </row>
    <row r="943" ht="15" customHeight="1" s="32">
      <c r="A943" s="41" t="inlineStr">
        <is>
          <t>c_ram</t>
        </is>
      </c>
      <c r="B943" s="41" t="inlineStr">
        <is>
          <t>Trạm C-RAM</t>
        </is>
      </c>
      <c r="C943" s="41" t="inlineStr">
        <is>
          <t>Máu</t>
        </is>
      </c>
      <c r="D943" s="43" t="n">
        <v>2860</v>
      </c>
      <c r="E943" s="49" t="inlineStr">
        <is>
          <t>Giữ</t>
        </is>
      </c>
      <c r="F943" s="41" t="n"/>
      <c r="G943" s="41" t="inlineStr">
        <is>
          <t>1.08 × trung vị máu tháp ô vừa.</t>
        </is>
      </c>
      <c r="H943" s="41" t="n"/>
    </row>
    <row r="944" ht="15" customHeight="1" s="32">
      <c r="A944" s="39" t="inlineStr">
        <is>
          <t>c_ram</t>
        </is>
      </c>
      <c r="B944" s="39" t="inlineStr">
        <is>
          <t>Trạm C-RAM</t>
        </is>
      </c>
      <c r="C944" s="39" t="inlineStr">
        <is>
          <t>Giáp</t>
        </is>
      </c>
      <c r="D944" s="39" t="inlineStr">
        <is>
          <t>cấp 1 (Mỏng) · công trình</t>
        </is>
      </c>
      <c r="E944" s="49" t="inlineStr">
        <is>
          <t>Giữ</t>
        </is>
      </c>
      <c r="F944" s="39" t="n"/>
      <c r="G944" s="39" t="inlineStr">
        <is>
          <t>Công trình; hợp vai trò.</t>
        </is>
      </c>
      <c r="H944" s="39" t="n"/>
    </row>
    <row r="945" ht="15" customHeight="1" s="32">
      <c r="A945" s="41" t="inlineStr">
        <is>
          <t>c_ram</t>
        </is>
      </c>
      <c r="B945" s="41" t="inlineStr">
        <is>
          <t>Trạm C-RAM</t>
        </is>
      </c>
      <c r="C945" s="41" t="inlineStr">
        <is>
          <t>Kích thước</t>
        </is>
      </c>
      <c r="D945" s="41" t="inlineStr">
        <is>
          <t>5.6 × 5.6 × 5.4</t>
        </is>
      </c>
      <c r="E945" s="49" t="inlineStr">
        <is>
          <t>Giữ</t>
        </is>
      </c>
      <c r="F945" s="41" t="n"/>
      <c r="G945" s="41" t="inlineStr">
        <is>
          <t>Vừa cỡ ô.</t>
        </is>
      </c>
      <c r="H945" s="41" t="n"/>
    </row>
    <row r="946" ht="15" customHeight="1" s="32">
      <c r="A946" s="39" t="inlineStr">
        <is>
          <t>c_ram</t>
        </is>
      </c>
      <c r="B946" s="39" t="inlineStr">
        <is>
          <t>Trạm C-RAM</t>
        </is>
      </c>
      <c r="C946" s="39" t="inlineStr">
        <is>
          <t>Vũ khí: Phalanx 20 mm</t>
        </is>
      </c>
      <c r="D946" s="39" t="inlineStr">
        <is>
          <t>13/phát · 8,2 viên/s · băng 23</t>
        </is>
      </c>
      <c r="E946" s="47" t="inlineStr">
        <is>
          <t>Đổi</t>
        </is>
      </c>
      <c r="F946" s="39" t="inlineStr">
        <is>
          <t>2/phát · 50 viên/s · băng 200 (giữ khả năng đánh chặn)</t>
        </is>
      </c>
      <c r="G946" s="39" t="inlineStr">
        <is>
          <t>Không có cảm giác luồng đạn CIWS.</t>
        </is>
      </c>
      <c r="H946" s="48" t="inlineStr">
        <is>
          <t>Trung</t>
        </is>
      </c>
    </row>
    <row r="947" ht="15" customHeight="1" s="32">
      <c r="A947" s="41" t="inlineStr">
        <is>
          <t>c_ram</t>
        </is>
      </c>
      <c r="B947" s="41" t="inlineStr">
        <is>
          <t>Trạm C-RAM</t>
        </is>
      </c>
      <c r="C947" s="41" t="inlineStr">
        <is>
          <t>Nổ khi bị phá</t>
        </is>
      </c>
      <c r="D947" s="41" t="inlineStr">
        <is>
          <t>7 m</t>
        </is>
      </c>
      <c r="E947" s="49" t="inlineStr">
        <is>
          <t>Giữ</t>
        </is>
      </c>
      <c r="F947" s="41" t="n"/>
      <c r="G947" s="41" t="inlineStr">
        <is>
          <t>Hợp cỡ.</t>
        </is>
      </c>
      <c r="H947" s="41" t="n"/>
    </row>
    <row r="948" ht="15" customHeight="1" s="32">
      <c r="A948" s="39" t="inlineStr">
        <is>
          <t>c_ram.centurion</t>
        </is>
      </c>
      <c r="B948" s="39" t="inlineStr">
        <is>
          <t>Trạm C-RAM · nhánh Centurion</t>
        </is>
      </c>
      <c r="C948" s="39" t="inlineStr">
        <is>
          <t>Tên</t>
        </is>
      </c>
      <c r="D948" s="39" t="inlineStr">
        <is>
          <t>Trạm C-RAM · nhánh Centurion</t>
        </is>
      </c>
      <c r="E948" s="49" t="inlineStr">
        <is>
          <t>Giữ</t>
        </is>
      </c>
      <c r="F948" s="39" t="n"/>
      <c r="G948" s="39" t="inlineStr">
        <is>
          <t>Tên rõ vai trò.</t>
        </is>
      </c>
      <c r="H948" s="39" t="n"/>
    </row>
    <row r="949" ht="15" customHeight="1" s="32">
      <c r="A949" s="41" t="inlineStr">
        <is>
          <t>c_ram.centurion</t>
        </is>
      </c>
      <c r="B949" s="41" t="inlineStr">
        <is>
          <t>Trạm C-RAM · nhánh Centurion</t>
        </is>
      </c>
      <c r="C949" s="41" t="inlineStr">
        <is>
          <t>Ô</t>
        </is>
      </c>
      <c r="D949" s="41" t="inlineStr">
        <is>
          <t>Vừa</t>
        </is>
      </c>
      <c r="E949" s="49" t="inlineStr">
        <is>
          <t>Giữ</t>
        </is>
      </c>
      <c r="F949" s="41" t="n"/>
      <c r="G949" s="41" t="n"/>
      <c r="H949" s="41" t="n"/>
    </row>
    <row r="950" ht="15" customHeight="1" s="32">
      <c r="A950" s="39" t="inlineStr">
        <is>
          <t>c_ram.centurion</t>
        </is>
      </c>
      <c r="B950" s="39" t="inlineStr">
        <is>
          <t>Trạm C-RAM · nhánh Centurion</t>
        </is>
      </c>
      <c r="C950" s="39" t="inlineStr">
        <is>
          <t>Máu</t>
        </is>
      </c>
      <c r="D950" s="42" t="n">
        <v>2860</v>
      </c>
      <c r="E950" s="49" t="inlineStr">
        <is>
          <t>Giữ</t>
        </is>
      </c>
      <c r="F950" s="39" t="n"/>
      <c r="G950" s="39" t="inlineStr">
        <is>
          <t>1.08 × trung vị máu tháp ô vừa.</t>
        </is>
      </c>
      <c r="H950" s="39" t="n"/>
    </row>
    <row r="951" ht="15" customHeight="1" s="32">
      <c r="A951" s="41" t="inlineStr">
        <is>
          <t>c_ram.centurion</t>
        </is>
      </c>
      <c r="B951" s="41" t="inlineStr">
        <is>
          <t>Trạm C-RAM · nhánh Centurion</t>
        </is>
      </c>
      <c r="C951" s="41" t="inlineStr">
        <is>
          <t>Giáp</t>
        </is>
      </c>
      <c r="D951" s="41" t="inlineStr">
        <is>
          <t>cấp 1 (Mỏng) · công trình</t>
        </is>
      </c>
      <c r="E951" s="49" t="inlineStr">
        <is>
          <t>Giữ</t>
        </is>
      </c>
      <c r="F951" s="41" t="n"/>
      <c r="G951" s="41" t="inlineStr">
        <is>
          <t>Công trình; hợp vai trò.</t>
        </is>
      </c>
      <c r="H951" s="41" t="n"/>
    </row>
    <row r="952" ht="15" customHeight="1" s="32">
      <c r="A952" s="39" t="inlineStr">
        <is>
          <t>c_ram.centurion</t>
        </is>
      </c>
      <c r="B952" s="39" t="inlineStr">
        <is>
          <t>Trạm C-RAM · nhánh Centurion</t>
        </is>
      </c>
      <c r="C952" s="39" t="inlineStr">
        <is>
          <t>Kích thước</t>
        </is>
      </c>
      <c r="D952" s="39" t="inlineStr">
        <is>
          <t>5.6 × 5.6 × 5.4</t>
        </is>
      </c>
      <c r="E952" s="49" t="inlineStr">
        <is>
          <t>Giữ</t>
        </is>
      </c>
      <c r="F952" s="39" t="n"/>
      <c r="G952" s="39" t="inlineStr">
        <is>
          <t>Vừa cỡ ô.</t>
        </is>
      </c>
      <c r="H952" s="39" t="n"/>
    </row>
    <row r="953" ht="15" customHeight="1" s="32">
      <c r="A953" s="41" t="inlineStr">
        <is>
          <t>c_ram.centurion</t>
        </is>
      </c>
      <c r="B953" s="41" t="inlineStr">
        <is>
          <t>Trạm C-RAM · nhánh Centurion</t>
        </is>
      </c>
      <c r="C953" s="41" t="inlineStr">
        <is>
          <t>Vũ khí / DPS</t>
        </is>
      </c>
      <c r="D953" s="41" t="inlineStr">
        <is>
          <t>0/0/0</t>
        </is>
      </c>
      <c r="E953" s="49" t="inlineStr">
        <is>
          <t>Giữ</t>
        </is>
      </c>
      <c r="F953" s="41" t="n"/>
      <c r="G953" s="41" t="inlineStr">
        <is>
          <t>Trong khoảng mục tiêu của cỡ ô.</t>
        </is>
      </c>
      <c r="H953" s="41" t="n"/>
    </row>
    <row r="954" ht="15" customHeight="1" s="32">
      <c r="A954" s="39" t="inlineStr">
        <is>
          <t>c_ram.centurion</t>
        </is>
      </c>
      <c r="B954" s="39" t="inlineStr">
        <is>
          <t>Trạm C-RAM · nhánh Centurion</t>
        </is>
      </c>
      <c r="C954" s="39" t="inlineStr">
        <is>
          <t>Nổ khi bị phá</t>
        </is>
      </c>
      <c r="D954" s="39" t="inlineStr">
        <is>
          <t>7 m</t>
        </is>
      </c>
      <c r="E954" s="49" t="inlineStr">
        <is>
          <t>Giữ</t>
        </is>
      </c>
      <c r="F954" s="39" t="n"/>
      <c r="G954" s="39" t="inlineStr">
        <is>
          <t>Hợp cỡ.</t>
        </is>
      </c>
      <c r="H954" s="39" t="n"/>
    </row>
    <row r="955" ht="15" customHeight="1" s="32">
      <c r="A955" s="41" t="inlineStr">
        <is>
          <t>c_ram.dome</t>
        </is>
      </c>
      <c r="B955" s="41" t="inlineStr">
        <is>
          <t>Trạm C-RAM · nhánh Vòm Sắt</t>
        </is>
      </c>
      <c r="C955" s="41" t="inlineStr">
        <is>
          <t>Tên</t>
        </is>
      </c>
      <c r="D955" s="41" t="inlineStr">
        <is>
          <t>Trạm C-RAM · nhánh Vòm Sắt</t>
        </is>
      </c>
      <c r="E955" s="49" t="inlineStr">
        <is>
          <t>Giữ</t>
        </is>
      </c>
      <c r="F955" s="41" t="n"/>
      <c r="G955" s="41" t="inlineStr">
        <is>
          <t>Tên rõ vai trò.</t>
        </is>
      </c>
      <c r="H955" s="41" t="n"/>
    </row>
    <row r="956" ht="15" customHeight="1" s="32">
      <c r="A956" s="39" t="inlineStr">
        <is>
          <t>c_ram.dome</t>
        </is>
      </c>
      <c r="B956" s="39" t="inlineStr">
        <is>
          <t>Trạm C-RAM · nhánh Vòm Sắt</t>
        </is>
      </c>
      <c r="C956" s="39" t="inlineStr">
        <is>
          <t>Ô</t>
        </is>
      </c>
      <c r="D956" s="39" t="inlineStr">
        <is>
          <t>Vừa</t>
        </is>
      </c>
      <c r="E956" s="49" t="inlineStr">
        <is>
          <t>Giữ</t>
        </is>
      </c>
      <c r="F956" s="39" t="n"/>
      <c r="G956" s="39" t="n"/>
      <c r="H956" s="39" t="n"/>
    </row>
    <row r="957" ht="15" customHeight="1" s="32">
      <c r="A957" s="41" t="inlineStr">
        <is>
          <t>c_ram.dome</t>
        </is>
      </c>
      <c r="B957" s="41" t="inlineStr">
        <is>
          <t>Trạm C-RAM · nhánh Vòm Sắt</t>
        </is>
      </c>
      <c r="C957" s="41" t="inlineStr">
        <is>
          <t>Máu</t>
        </is>
      </c>
      <c r="D957" s="43" t="n">
        <v>2860</v>
      </c>
      <c r="E957" s="49" t="inlineStr">
        <is>
          <t>Giữ</t>
        </is>
      </c>
      <c r="F957" s="41" t="n"/>
      <c r="G957" s="41" t="inlineStr">
        <is>
          <t>1.08 × trung vị máu tháp ô vừa.</t>
        </is>
      </c>
      <c r="H957" s="41" t="n"/>
    </row>
    <row r="958" ht="15" customHeight="1" s="32">
      <c r="A958" s="39" t="inlineStr">
        <is>
          <t>c_ram.dome</t>
        </is>
      </c>
      <c r="B958" s="39" t="inlineStr">
        <is>
          <t>Trạm C-RAM · nhánh Vòm Sắt</t>
        </is>
      </c>
      <c r="C958" s="39" t="inlineStr">
        <is>
          <t>Giáp</t>
        </is>
      </c>
      <c r="D958" s="39" t="inlineStr">
        <is>
          <t>cấp 1 (Mỏng) · công trình</t>
        </is>
      </c>
      <c r="E958" s="49" t="inlineStr">
        <is>
          <t>Giữ</t>
        </is>
      </c>
      <c r="F958" s="39" t="n"/>
      <c r="G958" s="39" t="inlineStr">
        <is>
          <t>Công trình; hợp vai trò.</t>
        </is>
      </c>
      <c r="H958" s="39" t="n"/>
    </row>
    <row r="959" ht="15" customHeight="1" s="32">
      <c r="A959" s="41" t="inlineStr">
        <is>
          <t>c_ram.dome</t>
        </is>
      </c>
      <c r="B959" s="41" t="inlineStr">
        <is>
          <t>Trạm C-RAM · nhánh Vòm Sắt</t>
        </is>
      </c>
      <c r="C959" s="41" t="inlineStr">
        <is>
          <t>Kích thước</t>
        </is>
      </c>
      <c r="D959" s="41" t="inlineStr">
        <is>
          <t>5.6 × 5.6 × 5.4</t>
        </is>
      </c>
      <c r="E959" s="49" t="inlineStr">
        <is>
          <t>Giữ</t>
        </is>
      </c>
      <c r="F959" s="41" t="n"/>
      <c r="G959" s="41" t="inlineStr">
        <is>
          <t>Vừa cỡ ô.</t>
        </is>
      </c>
      <c r="H959" s="41" t="n"/>
    </row>
    <row r="960" ht="15" customHeight="1" s="32">
      <c r="A960" s="39" t="inlineStr">
        <is>
          <t>c_ram.dome</t>
        </is>
      </c>
      <c r="B960" s="39" t="inlineStr">
        <is>
          <t>Trạm C-RAM · nhánh Vòm Sắt</t>
        </is>
      </c>
      <c r="C960" s="39" t="inlineStr">
        <is>
          <t>Vũ khí / DPS</t>
        </is>
      </c>
      <c r="D960" s="39" t="inlineStr">
        <is>
          <t>0/0/21</t>
        </is>
      </c>
      <c r="E960" s="49" t="inlineStr">
        <is>
          <t>Giữ</t>
        </is>
      </c>
      <c r="F960" s="39" t="n"/>
      <c r="G960" s="39" t="inlineStr">
        <is>
          <t>Trong khoảng mục tiêu của cỡ ô.</t>
        </is>
      </c>
      <c r="H960" s="39" t="n"/>
    </row>
    <row r="961" ht="15" customHeight="1" s="32">
      <c r="A961" s="41" t="inlineStr">
        <is>
          <t>c_ram.dome</t>
        </is>
      </c>
      <c r="B961" s="41" t="inlineStr">
        <is>
          <t>Trạm C-RAM · nhánh Vòm Sắt</t>
        </is>
      </c>
      <c r="C961" s="41" t="inlineStr">
        <is>
          <t>Nổ khi bị phá</t>
        </is>
      </c>
      <c r="D961" s="41" t="inlineStr">
        <is>
          <t>7 m</t>
        </is>
      </c>
      <c r="E961" s="49" t="inlineStr">
        <is>
          <t>Giữ</t>
        </is>
      </c>
      <c r="F961" s="41" t="n"/>
      <c r="G961" s="41" t="inlineStr">
        <is>
          <t>Hợp cỡ.</t>
        </is>
      </c>
      <c r="H961" s="41" t="n"/>
    </row>
    <row r="962" ht="15" customHeight="1" s="32">
      <c r="A962" s="39" t="inlineStr">
        <is>
          <t>gun_turret</t>
        </is>
      </c>
      <c r="B962" s="39" t="inlineStr">
        <is>
          <t>Tháp pháo</t>
        </is>
      </c>
      <c r="C962" s="39" t="inlineStr">
        <is>
          <t>Tên</t>
        </is>
      </c>
      <c r="D962" s="39" t="inlineStr">
        <is>
          <t>Tháp pháo</t>
        </is>
      </c>
      <c r="E962" s="49" t="inlineStr">
        <is>
          <t>Giữ</t>
        </is>
      </c>
      <c r="F962" s="39" t="n"/>
      <c r="G962" s="39" t="inlineStr">
        <is>
          <t>Tên rõ vai trò.</t>
        </is>
      </c>
      <c r="H962" s="39" t="n"/>
    </row>
    <row r="963" ht="15" customHeight="1" s="32">
      <c r="A963" s="41" t="inlineStr">
        <is>
          <t>gun_turret</t>
        </is>
      </c>
      <c r="B963" s="41" t="inlineStr">
        <is>
          <t>Tháp pháo</t>
        </is>
      </c>
      <c r="C963" s="41" t="inlineStr">
        <is>
          <t>Ô</t>
        </is>
      </c>
      <c r="D963" s="41" t="inlineStr">
        <is>
          <t>Vừa</t>
        </is>
      </c>
      <c r="E963" s="49" t="inlineStr">
        <is>
          <t>Giữ</t>
        </is>
      </c>
      <c r="F963" s="41" t="n"/>
      <c r="G963" s="41" t="n"/>
      <c r="H963" s="41" t="n"/>
    </row>
    <row r="964" ht="15" customHeight="1" s="32">
      <c r="A964" s="39" t="inlineStr">
        <is>
          <t>gun_turret</t>
        </is>
      </c>
      <c r="B964" s="39" t="inlineStr">
        <is>
          <t>Tháp pháo</t>
        </is>
      </c>
      <c r="C964" s="39" t="inlineStr">
        <is>
          <t>Máu</t>
        </is>
      </c>
      <c r="D964" s="42" t="n">
        <v>3960</v>
      </c>
      <c r="E964" s="49" t="inlineStr">
        <is>
          <t>Giữ</t>
        </is>
      </c>
      <c r="F964" s="39" t="n"/>
      <c r="G964" s="39" t="inlineStr">
        <is>
          <t>1.50 × trung vị máu tháp ô vừa.</t>
        </is>
      </c>
      <c r="H964" s="39" t="n"/>
    </row>
    <row r="965" ht="15" customHeight="1" s="32">
      <c r="A965" s="41" t="inlineStr">
        <is>
          <t>gun_turret</t>
        </is>
      </c>
      <c r="B965" s="41" t="inlineStr">
        <is>
          <t>Tháp pháo</t>
        </is>
      </c>
      <c r="C965" s="41" t="inlineStr">
        <is>
          <t>Giáp</t>
        </is>
      </c>
      <c r="D965" s="41" t="inlineStr">
        <is>
          <t>cấp 3 (Dày) · công trình</t>
        </is>
      </c>
      <c r="E965" s="49" t="inlineStr">
        <is>
          <t>Giữ</t>
        </is>
      </c>
      <c r="F965" s="41" t="n"/>
      <c r="G965" s="41" t="inlineStr">
        <is>
          <t>Công trình; hợp vai trò.</t>
        </is>
      </c>
      <c r="H965" s="41" t="n"/>
    </row>
    <row r="966" ht="15" customHeight="1" s="32">
      <c r="A966" s="39" t="inlineStr">
        <is>
          <t>gun_turret</t>
        </is>
      </c>
      <c r="B966" s="39" t="inlineStr">
        <is>
          <t>Tháp pháo</t>
        </is>
      </c>
      <c r="C966" s="39" t="inlineStr">
        <is>
          <t>Kích thước</t>
        </is>
      </c>
      <c r="D966" s="39" t="inlineStr">
        <is>
          <t>8.9 × 5.0 × 4.0</t>
        </is>
      </c>
      <c r="E966" s="49" t="inlineStr">
        <is>
          <t>Giữ</t>
        </is>
      </c>
      <c r="F966" s="39" t="n"/>
      <c r="G966" s="39" t="inlineStr">
        <is>
          <t>Vừa cỡ ô.</t>
        </is>
      </c>
      <c r="H966" s="39" t="n"/>
    </row>
    <row r="967" ht="15" customHeight="1" s="32">
      <c r="A967" s="41" t="inlineStr">
        <is>
          <t>gun_turret</t>
        </is>
      </c>
      <c r="B967" s="41" t="inlineStr">
        <is>
          <t>Tháp pháo</t>
        </is>
      </c>
      <c r="C967" s="41" t="inlineStr">
        <is>
          <t>Vũ khí / DPS</t>
        </is>
      </c>
      <c r="D967" s="41" t="inlineStr">
        <is>
          <t>65/83/0</t>
        </is>
      </c>
      <c r="E967" s="49" t="inlineStr">
        <is>
          <t>Giữ</t>
        </is>
      </c>
      <c r="F967" s="41" t="n"/>
      <c r="G967" s="41" t="inlineStr">
        <is>
          <t>Trong khoảng mục tiêu của cỡ ô.</t>
        </is>
      </c>
      <c r="H967" s="41" t="n"/>
    </row>
    <row r="968" ht="15" customHeight="1" s="32">
      <c r="A968" s="39" t="inlineStr">
        <is>
          <t>gun_turret</t>
        </is>
      </c>
      <c r="B968" s="39" t="inlineStr">
        <is>
          <t>Tháp pháo</t>
        </is>
      </c>
      <c r="C968" s="39" t="inlineStr">
        <is>
          <t>Nổ khi bị phá</t>
        </is>
      </c>
      <c r="D968" s="39" t="inlineStr">
        <is>
          <t>8 m</t>
        </is>
      </c>
      <c r="E968" s="49" t="inlineStr">
        <is>
          <t>Giữ</t>
        </is>
      </c>
      <c r="F968" s="39" t="n"/>
      <c r="G968" s="39" t="inlineStr">
        <is>
          <t>Hợp cỡ.</t>
        </is>
      </c>
      <c r="H968" s="39" t="n"/>
    </row>
    <row r="969" ht="15" customHeight="1" s="32">
      <c r="A969" s="41" t="inlineStr">
        <is>
          <t>gun_turret.long</t>
        </is>
      </c>
      <c r="B969" s="41" t="inlineStr">
        <is>
          <t>Tháp pháo · nhánh Pháo bắn tỉa</t>
        </is>
      </c>
      <c r="C969" s="41" t="inlineStr">
        <is>
          <t>Tên</t>
        </is>
      </c>
      <c r="D969" s="41" t="inlineStr">
        <is>
          <t>Tháp pháo · nhánh Pháo bắn tỉa</t>
        </is>
      </c>
      <c r="E969" s="49" t="inlineStr">
        <is>
          <t>Giữ</t>
        </is>
      </c>
      <c r="F969" s="41" t="n"/>
      <c r="G969" s="41" t="inlineStr">
        <is>
          <t>Tên rõ vai trò.</t>
        </is>
      </c>
      <c r="H969" s="41" t="n"/>
    </row>
    <row r="970" ht="15" customHeight="1" s="32">
      <c r="A970" s="39" t="inlineStr">
        <is>
          <t>gun_turret.long</t>
        </is>
      </c>
      <c r="B970" s="39" t="inlineStr">
        <is>
          <t>Tháp pháo · nhánh Pháo bắn tỉa</t>
        </is>
      </c>
      <c r="C970" s="39" t="inlineStr">
        <is>
          <t>Ô</t>
        </is>
      </c>
      <c r="D970" s="39" t="inlineStr">
        <is>
          <t>Vừa</t>
        </is>
      </c>
      <c r="E970" s="49" t="inlineStr">
        <is>
          <t>Giữ</t>
        </is>
      </c>
      <c r="F970" s="39" t="n"/>
      <c r="G970" s="39" t="n"/>
      <c r="H970" s="39" t="n"/>
    </row>
    <row r="971" ht="15" customHeight="1" s="32">
      <c r="A971" s="41" t="inlineStr">
        <is>
          <t>gun_turret.long</t>
        </is>
      </c>
      <c r="B971" s="41" t="inlineStr">
        <is>
          <t>Tháp pháo · nhánh Pháo bắn tỉa</t>
        </is>
      </c>
      <c r="C971" s="41" t="inlineStr">
        <is>
          <t>Máu</t>
        </is>
      </c>
      <c r="D971" s="43" t="n">
        <v>3960</v>
      </c>
      <c r="E971" s="49" t="inlineStr">
        <is>
          <t>Giữ</t>
        </is>
      </c>
      <c r="F971" s="41" t="n"/>
      <c r="G971" s="41" t="inlineStr">
        <is>
          <t>1.50 × trung vị máu tháp ô vừa.</t>
        </is>
      </c>
      <c r="H971" s="41" t="n"/>
    </row>
    <row r="972" ht="15" customHeight="1" s="32">
      <c r="A972" s="39" t="inlineStr">
        <is>
          <t>gun_turret.long</t>
        </is>
      </c>
      <c r="B972" s="39" t="inlineStr">
        <is>
          <t>Tháp pháo · nhánh Pháo bắn tỉa</t>
        </is>
      </c>
      <c r="C972" s="39" t="inlineStr">
        <is>
          <t>Giáp</t>
        </is>
      </c>
      <c r="D972" s="39" t="inlineStr">
        <is>
          <t>cấp 3 (Dày) · công trình</t>
        </is>
      </c>
      <c r="E972" s="49" t="inlineStr">
        <is>
          <t>Giữ</t>
        </is>
      </c>
      <c r="F972" s="39" t="n"/>
      <c r="G972" s="39" t="inlineStr">
        <is>
          <t>Công trình; hợp vai trò.</t>
        </is>
      </c>
      <c r="H972" s="39" t="n"/>
    </row>
    <row r="973" ht="15" customHeight="1" s="32">
      <c r="A973" s="41" t="inlineStr">
        <is>
          <t>gun_turret.long</t>
        </is>
      </c>
      <c r="B973" s="41" t="inlineStr">
        <is>
          <t>Tháp pháo · nhánh Pháo bắn tỉa</t>
        </is>
      </c>
      <c r="C973" s="41" t="inlineStr">
        <is>
          <t>Kích thước</t>
        </is>
      </c>
      <c r="D973" s="41" t="inlineStr">
        <is>
          <t>8.9 × 5.0 × 4.0</t>
        </is>
      </c>
      <c r="E973" s="49" t="inlineStr">
        <is>
          <t>Giữ</t>
        </is>
      </c>
      <c r="F973" s="41" t="n"/>
      <c r="G973" s="41" t="inlineStr">
        <is>
          <t>Vừa cỡ ô.</t>
        </is>
      </c>
      <c r="H973" s="41" t="n"/>
    </row>
    <row r="974" ht="21.75" customHeight="1" s="32">
      <c r="A974" s="39" t="inlineStr">
        <is>
          <t>gun_turret.long</t>
        </is>
      </c>
      <c r="B974" s="39" t="inlineStr">
        <is>
          <t>Tháp pháo · nhánh Pháo bắn tỉa</t>
        </is>
      </c>
      <c r="C974" s="39" t="inlineStr">
        <is>
          <t>Vũ khí: 120 mm L/55</t>
        </is>
      </c>
      <c r="D974" s="39" t="inlineStr">
        <is>
          <t>DPS 48/62 (thấp hơn bản gốc 65/83)</t>
        </is>
      </c>
      <c r="E974" s="47" t="inlineStr">
        <is>
          <t>Đổi</t>
        </is>
      </c>
      <c r="F974" s="39" t="inlineStr">
        <is>
          <t>phát đầu tiên vào mục tiêu mới +50% sát thương, hoặc xuyên +1 cấp</t>
        </is>
      </c>
      <c r="G974" s="39" t="inlineStr">
        <is>
          <t>Nhánh bắn tỉa cần một ưu thế rõ ngoài tầm.</t>
        </is>
      </c>
      <c r="H974" s="48" t="inlineStr">
        <is>
          <t>Trung</t>
        </is>
      </c>
    </row>
    <row r="975" ht="15" customHeight="1" s="32">
      <c r="A975" s="41" t="inlineStr">
        <is>
          <t>gun_turret.long</t>
        </is>
      </c>
      <c r="B975" s="41" t="inlineStr">
        <is>
          <t>Tháp pháo · nhánh Pháo bắn tỉa</t>
        </is>
      </c>
      <c r="C975" s="41" t="inlineStr">
        <is>
          <t>Nổ khi bị phá</t>
        </is>
      </c>
      <c r="D975" s="41" t="inlineStr">
        <is>
          <t>8 m</t>
        </is>
      </c>
      <c r="E975" s="49" t="inlineStr">
        <is>
          <t>Giữ</t>
        </is>
      </c>
      <c r="F975" s="41" t="n"/>
      <c r="G975" s="41" t="inlineStr">
        <is>
          <t>Hợp cỡ.</t>
        </is>
      </c>
      <c r="H975" s="41" t="n"/>
    </row>
    <row r="976" ht="21.75" customHeight="1" s="32">
      <c r="A976" s="39" t="inlineStr">
        <is>
          <t>gun_turret.auto</t>
        </is>
      </c>
      <c r="B976" s="39" t="inlineStr">
        <is>
          <t>Tháp pháo · nhánh Pháo tự động 57 mm</t>
        </is>
      </c>
      <c r="C976" s="39" t="inlineStr">
        <is>
          <t>Tên</t>
        </is>
      </c>
      <c r="D976" s="39" t="inlineStr">
        <is>
          <t>Tháp pháo · nhánh Pháo tự động 57 mm</t>
        </is>
      </c>
      <c r="E976" s="49" t="inlineStr">
        <is>
          <t>Giữ</t>
        </is>
      </c>
      <c r="F976" s="39" t="n"/>
      <c r="G976" s="39" t="inlineStr">
        <is>
          <t>Tên rõ vai trò.</t>
        </is>
      </c>
      <c r="H976" s="39" t="n"/>
    </row>
    <row r="977" ht="21.75" customHeight="1" s="32">
      <c r="A977" s="41" t="inlineStr">
        <is>
          <t>gun_turret.auto</t>
        </is>
      </c>
      <c r="B977" s="41" t="inlineStr">
        <is>
          <t>Tháp pháo · nhánh Pháo tự động 57 mm</t>
        </is>
      </c>
      <c r="C977" s="41" t="inlineStr">
        <is>
          <t>Ô</t>
        </is>
      </c>
      <c r="D977" s="41" t="inlineStr">
        <is>
          <t>Vừa</t>
        </is>
      </c>
      <c r="E977" s="49" t="inlineStr">
        <is>
          <t>Giữ</t>
        </is>
      </c>
      <c r="F977" s="41" t="n"/>
      <c r="G977" s="41" t="n"/>
      <c r="H977" s="41" t="n"/>
    </row>
    <row r="978" ht="21.75" customHeight="1" s="32">
      <c r="A978" s="39" t="inlineStr">
        <is>
          <t>gun_turret.auto</t>
        </is>
      </c>
      <c r="B978" s="39" t="inlineStr">
        <is>
          <t>Tháp pháo · nhánh Pháo tự động 57 mm</t>
        </is>
      </c>
      <c r="C978" s="39" t="inlineStr">
        <is>
          <t>Máu</t>
        </is>
      </c>
      <c r="D978" s="42" t="n">
        <v>3960</v>
      </c>
      <c r="E978" s="49" t="inlineStr">
        <is>
          <t>Giữ</t>
        </is>
      </c>
      <c r="F978" s="39" t="n"/>
      <c r="G978" s="39" t="inlineStr">
        <is>
          <t>1.50 × trung vị máu tháp ô vừa.</t>
        </is>
      </c>
      <c r="H978" s="39" t="n"/>
    </row>
    <row r="979" ht="21.75" customHeight="1" s="32">
      <c r="A979" s="41" t="inlineStr">
        <is>
          <t>gun_turret.auto</t>
        </is>
      </c>
      <c r="B979" s="41" t="inlineStr">
        <is>
          <t>Tháp pháo · nhánh Pháo tự động 57 mm</t>
        </is>
      </c>
      <c r="C979" s="41" t="inlineStr">
        <is>
          <t>Giáp</t>
        </is>
      </c>
      <c r="D979" s="41" t="inlineStr">
        <is>
          <t>cấp 3 (Dày) · công trình</t>
        </is>
      </c>
      <c r="E979" s="49" t="inlineStr">
        <is>
          <t>Giữ</t>
        </is>
      </c>
      <c r="F979" s="41" t="n"/>
      <c r="G979" s="41" t="inlineStr">
        <is>
          <t>Công trình; hợp vai trò.</t>
        </is>
      </c>
      <c r="H979" s="41" t="n"/>
    </row>
    <row r="980" ht="21.75" customHeight="1" s="32">
      <c r="A980" s="39" t="inlineStr">
        <is>
          <t>gun_turret.auto</t>
        </is>
      </c>
      <c r="B980" s="39" t="inlineStr">
        <is>
          <t>Tháp pháo · nhánh Pháo tự động 57 mm</t>
        </is>
      </c>
      <c r="C980" s="39" t="inlineStr">
        <is>
          <t>Kích thước</t>
        </is>
      </c>
      <c r="D980" s="39" t="inlineStr">
        <is>
          <t>8.9 × 5.0 × 4.0</t>
        </is>
      </c>
      <c r="E980" s="49" t="inlineStr">
        <is>
          <t>Giữ</t>
        </is>
      </c>
      <c r="F980" s="39" t="n"/>
      <c r="G980" s="39" t="inlineStr">
        <is>
          <t>Vừa cỡ ô.</t>
        </is>
      </c>
      <c r="H980" s="39" t="n"/>
    </row>
    <row r="981" ht="21.75" customHeight="1" s="32">
      <c r="A981" s="41" t="inlineStr">
        <is>
          <t>gun_turret.auto</t>
        </is>
      </c>
      <c r="B981" s="41" t="inlineStr">
        <is>
          <t>Tháp pháo · nhánh Pháo tự động 57 mm</t>
        </is>
      </c>
      <c r="C981" s="41" t="inlineStr">
        <is>
          <t>Vũ khí / DPS</t>
        </is>
      </c>
      <c r="D981" s="41" t="inlineStr">
        <is>
          <t>86/43/111</t>
        </is>
      </c>
      <c r="E981" s="49" t="inlineStr">
        <is>
          <t>Giữ</t>
        </is>
      </c>
      <c r="F981" s="41" t="n"/>
      <c r="G981" s="41" t="inlineStr">
        <is>
          <t>Trong khoảng mục tiêu của cỡ ô.</t>
        </is>
      </c>
      <c r="H981" s="41" t="n"/>
    </row>
    <row r="982" ht="21.75" customHeight="1" s="32">
      <c r="A982" s="39" t="inlineStr">
        <is>
          <t>gun_turret.auto</t>
        </is>
      </c>
      <c r="B982" s="39" t="inlineStr">
        <is>
          <t>Tháp pháo · nhánh Pháo tự động 57 mm</t>
        </is>
      </c>
      <c r="C982" s="39" t="inlineStr">
        <is>
          <t>Nổ khi bị phá</t>
        </is>
      </c>
      <c r="D982" s="39" t="inlineStr">
        <is>
          <t>8 m</t>
        </is>
      </c>
      <c r="E982" s="49" t="inlineStr">
        <is>
          <t>Giữ</t>
        </is>
      </c>
      <c r="F982" s="39" t="n"/>
      <c r="G982" s="39" t="inlineStr">
        <is>
          <t>Hợp cỡ.</t>
        </is>
      </c>
      <c r="H982" s="39" t="n"/>
    </row>
    <row r="983" ht="15" customHeight="1" s="32">
      <c r="A983" s="41" t="inlineStr">
        <is>
          <t>logistics_station</t>
        </is>
      </c>
      <c r="B983" s="41" t="inlineStr">
        <is>
          <t>Trạm hậu cần</t>
        </is>
      </c>
      <c r="C983" s="41" t="inlineStr">
        <is>
          <t>Tên</t>
        </is>
      </c>
      <c r="D983" s="41" t="inlineStr">
        <is>
          <t>Trạm hậu cần</t>
        </is>
      </c>
      <c r="E983" s="49" t="inlineStr">
        <is>
          <t>Giữ</t>
        </is>
      </c>
      <c r="F983" s="41" t="n"/>
      <c r="G983" s="41" t="inlineStr">
        <is>
          <t>Tên rõ vai trò.</t>
        </is>
      </c>
      <c r="H983" s="41" t="n"/>
    </row>
    <row r="984" ht="15" customHeight="1" s="32">
      <c r="A984" s="39" t="inlineStr">
        <is>
          <t>logistics_station</t>
        </is>
      </c>
      <c r="B984" s="39" t="inlineStr">
        <is>
          <t>Trạm hậu cần</t>
        </is>
      </c>
      <c r="C984" s="39" t="inlineStr">
        <is>
          <t>Ô</t>
        </is>
      </c>
      <c r="D984" s="39" t="inlineStr">
        <is>
          <t>Khác</t>
        </is>
      </c>
      <c r="E984" s="49" t="inlineStr">
        <is>
          <t>Giữ</t>
        </is>
      </c>
      <c r="F984" s="39" t="n"/>
      <c r="G984" s="39" t="n"/>
      <c r="H984" s="39" t="n"/>
    </row>
    <row r="985" ht="15" customHeight="1" s="32">
      <c r="A985" s="41" t="inlineStr">
        <is>
          <t>logistics_station</t>
        </is>
      </c>
      <c r="B985" s="41" t="inlineStr">
        <is>
          <t>Trạm hậu cần</t>
        </is>
      </c>
      <c r="C985" s="41" t="inlineStr">
        <is>
          <t>Máu</t>
        </is>
      </c>
      <c r="D985" s="43" t="n">
        <v>3080</v>
      </c>
      <c r="E985" s="49" t="inlineStr">
        <is>
          <t>Giữ</t>
        </is>
      </c>
      <c r="F985" s="41" t="n"/>
      <c r="G985" s="41" t="inlineStr">
        <is>
          <t>0.88 × trung vị máu tháp ô khác.</t>
        </is>
      </c>
      <c r="H985" s="41" t="n"/>
    </row>
    <row r="986" ht="15" customHeight="1" s="32">
      <c r="A986" s="39" t="inlineStr">
        <is>
          <t>logistics_station</t>
        </is>
      </c>
      <c r="B986" s="39" t="inlineStr">
        <is>
          <t>Trạm hậu cần</t>
        </is>
      </c>
      <c r="C986" s="39" t="inlineStr">
        <is>
          <t>Giáp</t>
        </is>
      </c>
      <c r="D986" s="39" t="inlineStr">
        <is>
          <t>cấp 1 (Mỏng) · công trình</t>
        </is>
      </c>
      <c r="E986" s="49" t="inlineStr">
        <is>
          <t>Giữ</t>
        </is>
      </c>
      <c r="F986" s="39" t="n"/>
      <c r="G986" s="39" t="inlineStr">
        <is>
          <t>Công trình; hợp vai trò.</t>
        </is>
      </c>
      <c r="H986" s="39" t="n"/>
    </row>
    <row r="987" ht="15" customHeight="1" s="32">
      <c r="A987" s="41" t="inlineStr">
        <is>
          <t>logistics_station</t>
        </is>
      </c>
      <c r="B987" s="41" t="inlineStr">
        <is>
          <t>Trạm hậu cần</t>
        </is>
      </c>
      <c r="C987" s="41" t="inlineStr">
        <is>
          <t>Kích thước</t>
        </is>
      </c>
      <c r="D987" s="41" t="inlineStr">
        <is>
          <t>8.0 × 10.0 × 3.8</t>
        </is>
      </c>
      <c r="E987" s="49" t="inlineStr">
        <is>
          <t>Giữ</t>
        </is>
      </c>
      <c r="F987" s="41" t="n"/>
      <c r="G987" s="41" t="inlineStr">
        <is>
          <t>Vừa cỡ ô.</t>
        </is>
      </c>
      <c r="H987" s="41" t="n"/>
    </row>
    <row r="988" ht="15" customHeight="1" s="32">
      <c r="A988" s="39" t="inlineStr">
        <is>
          <t>logistics_station</t>
        </is>
      </c>
      <c r="B988" s="39" t="inlineStr">
        <is>
          <t>Trạm hậu cần</t>
        </is>
      </c>
      <c r="C988" s="39" t="inlineStr">
        <is>
          <t>Vũ khí / DPS</t>
        </is>
      </c>
      <c r="D988" s="39" t="inlineStr">
        <is>
          <t>0/0/0</t>
        </is>
      </c>
      <c r="E988" s="49" t="inlineStr">
        <is>
          <t>Giữ</t>
        </is>
      </c>
      <c r="F988" s="39" t="n"/>
      <c r="G988" s="39" t="inlineStr">
        <is>
          <t>Trong khoảng mục tiêu của cỡ ô.</t>
        </is>
      </c>
      <c r="H988" s="39" t="n"/>
    </row>
    <row r="989" ht="15" customHeight="1" s="32">
      <c r="A989" s="41" t="inlineStr">
        <is>
          <t>logistics_station</t>
        </is>
      </c>
      <c r="B989" s="41" t="inlineStr">
        <is>
          <t>Trạm hậu cần</t>
        </is>
      </c>
      <c r="C989" s="41" t="inlineStr">
        <is>
          <t>Nổ khi bị phá</t>
        </is>
      </c>
      <c r="D989" s="41" t="inlineStr">
        <is>
          <t>9 m</t>
        </is>
      </c>
      <c r="E989" s="49" t="inlineStr">
        <is>
          <t>Giữ</t>
        </is>
      </c>
      <c r="F989" s="41" t="n"/>
      <c r="G989" s="41" t="inlineStr">
        <is>
          <t>Hợp cỡ.</t>
        </is>
      </c>
      <c r="H989" s="41" t="n"/>
    </row>
    <row r="990" ht="15" customHeight="1" s="32">
      <c r="A990" s="39"/>
      <c r="B990" s="39"/>
      <c r="C990" s="39"/>
      <c r="D990" s="39"/>
      <c r="E990" s="49"/>
      <c r="F990" s="39"/>
      <c r="G990" s="39"/>
      <c r="H990" s="39"/>
    </row>
    <row r="991" ht="15" customHeight="1" s="32">
      <c r="A991" s="41"/>
      <c r="B991" s="41"/>
      <c r="C991" s="41"/>
      <c r="D991" s="41"/>
      <c r="E991" s="49"/>
      <c r="F991" s="41"/>
      <c r="G991" s="41"/>
      <c r="H991" s="41"/>
    </row>
    <row r="992" ht="15" customHeight="1" s="32">
      <c r="A992" s="39"/>
      <c r="B992" s="39"/>
      <c r="C992" s="39"/>
      <c r="D992" s="42"/>
      <c r="E992" s="49"/>
      <c r="F992" s="39"/>
      <c r="G992" s="39"/>
      <c r="H992" s="39"/>
    </row>
    <row r="993" ht="15" customHeight="1" s="32">
      <c r="A993" s="41"/>
      <c r="B993" s="41"/>
      <c r="C993" s="41"/>
      <c r="D993" s="41"/>
      <c r="E993" s="49"/>
      <c r="F993" s="41"/>
      <c r="G993" s="41"/>
      <c r="H993" s="41"/>
    </row>
    <row r="994" ht="15" customHeight="1" s="32">
      <c r="A994" s="39"/>
      <c r="B994" s="39"/>
      <c r="C994" s="39"/>
      <c r="D994" s="39"/>
      <c r="E994" s="49"/>
      <c r="F994" s="39"/>
      <c r="G994" s="39"/>
      <c r="H994" s="39"/>
    </row>
    <row r="995" ht="15" customHeight="1" s="32">
      <c r="A995" s="41"/>
      <c r="B995" s="41"/>
      <c r="C995" s="41"/>
      <c r="D995" s="41"/>
      <c r="E995" s="49"/>
      <c r="F995" s="41"/>
      <c r="G995" s="41"/>
      <c r="H995" s="41"/>
    </row>
    <row r="996" ht="15" customHeight="1" s="32">
      <c r="A996" s="39" t="inlineStr">
        <is>
          <t>repair_bay</t>
        </is>
      </c>
      <c r="B996" s="39" t="inlineStr">
        <is>
          <t>Xưởng sửa chữa</t>
        </is>
      </c>
      <c r="C996" s="39" t="inlineStr">
        <is>
          <t>Tên</t>
        </is>
      </c>
      <c r="D996" s="39" t="inlineStr">
        <is>
          <t>Xưởng sửa chữa</t>
        </is>
      </c>
      <c r="E996" s="49" t="inlineStr">
        <is>
          <t>Giữ</t>
        </is>
      </c>
      <c r="F996" s="39" t="n"/>
      <c r="G996" s="39" t="inlineStr">
        <is>
          <t>Tên rõ vai trò.</t>
        </is>
      </c>
      <c r="H996" s="39" t="n"/>
    </row>
    <row r="997" ht="15" customHeight="1" s="32">
      <c r="A997" s="41" t="inlineStr">
        <is>
          <t>repair_bay</t>
        </is>
      </c>
      <c r="B997" s="41" t="inlineStr">
        <is>
          <t>Xưởng sửa chữa</t>
        </is>
      </c>
      <c r="C997" s="41" t="inlineStr">
        <is>
          <t>Ô</t>
        </is>
      </c>
      <c r="D997" s="41" t="inlineStr">
        <is>
          <t>Khác</t>
        </is>
      </c>
      <c r="E997" s="49" t="inlineStr">
        <is>
          <t>Giữ</t>
        </is>
      </c>
      <c r="F997" s="41" t="n"/>
      <c r="G997" s="41" t="n"/>
      <c r="H997" s="41" t="n"/>
    </row>
    <row r="998" ht="15" customHeight="1" s="32">
      <c r="A998" s="39" t="inlineStr">
        <is>
          <t>repair_bay</t>
        </is>
      </c>
      <c r="B998" s="39" t="inlineStr">
        <is>
          <t>Xưởng sửa chữa</t>
        </is>
      </c>
      <c r="C998" s="39" t="inlineStr">
        <is>
          <t>Máu</t>
        </is>
      </c>
      <c r="D998" s="42" t="n">
        <v>3520</v>
      </c>
      <c r="E998" s="49" t="inlineStr">
        <is>
          <t>Giữ</t>
        </is>
      </c>
      <c r="F998" s="39" t="n"/>
      <c r="G998" s="39" t="inlineStr">
        <is>
          <t>1.00 × trung vị máu tháp ô khác.</t>
        </is>
      </c>
      <c r="H998" s="39" t="n"/>
    </row>
    <row r="999" ht="15" customHeight="1" s="32">
      <c r="A999" s="41" t="inlineStr">
        <is>
          <t>repair_bay</t>
        </is>
      </c>
      <c r="B999" s="41" t="inlineStr">
        <is>
          <t>Xưởng sửa chữa</t>
        </is>
      </c>
      <c r="C999" s="41" t="inlineStr">
        <is>
          <t>Giáp</t>
        </is>
      </c>
      <c r="D999" s="41" t="inlineStr">
        <is>
          <t>cấp 2 (Vừa) · công trình</t>
        </is>
      </c>
      <c r="E999" s="49" t="inlineStr">
        <is>
          <t>Giữ</t>
        </is>
      </c>
      <c r="F999" s="41" t="n"/>
      <c r="G999" s="41" t="inlineStr">
        <is>
          <t>Công trình; hợp vai trò.</t>
        </is>
      </c>
      <c r="H999" s="41" t="n"/>
    </row>
    <row r="1000" ht="15" customHeight="1" s="32">
      <c r="A1000" s="39" t="inlineStr">
        <is>
          <t>repair_bay</t>
        </is>
      </c>
      <c r="B1000" s="39" t="inlineStr">
        <is>
          <t>Xưởng sửa chữa</t>
        </is>
      </c>
      <c r="C1000" s="39" t="inlineStr">
        <is>
          <t>Kích thước</t>
        </is>
      </c>
      <c r="D1000" s="39" t="inlineStr">
        <is>
          <t>10.1 × 14.2 × 6.4</t>
        </is>
      </c>
      <c r="E1000" s="49" t="inlineStr">
        <is>
          <t>Giữ</t>
        </is>
      </c>
      <c r="F1000" s="39" t="n"/>
      <c r="G1000" s="39" t="inlineStr">
        <is>
          <t>Vừa cỡ ô.</t>
        </is>
      </c>
      <c r="H1000" s="39" t="n"/>
    </row>
    <row r="1001" ht="15" customHeight="1" s="32">
      <c r="A1001" s="41" t="inlineStr">
        <is>
          <t>repair_bay</t>
        </is>
      </c>
      <c r="B1001" s="41" t="inlineStr">
        <is>
          <t>Xưởng sửa chữa</t>
        </is>
      </c>
      <c r="C1001" s="41" t="inlineStr">
        <is>
          <t>Vũ khí / DPS</t>
        </is>
      </c>
      <c r="D1001" s="41" t="inlineStr">
        <is>
          <t>0/0/0</t>
        </is>
      </c>
      <c r="E1001" s="49" t="inlineStr">
        <is>
          <t>Giữ</t>
        </is>
      </c>
      <c r="F1001" s="41" t="n"/>
      <c r="G1001" s="41" t="inlineStr">
        <is>
          <t>Trong khoảng mục tiêu của cỡ ô.</t>
        </is>
      </c>
      <c r="H1001" s="41" t="n"/>
    </row>
    <row r="1002" ht="15" customHeight="1" s="32">
      <c r="A1002" s="39" t="inlineStr">
        <is>
          <t>rocket_turret</t>
        </is>
      </c>
      <c r="B1002" s="39" t="inlineStr">
        <is>
          <t>Dàn rốc-két</t>
        </is>
      </c>
      <c r="C1002" s="39" t="inlineStr">
        <is>
          <t>Tên</t>
        </is>
      </c>
      <c r="D1002" s="39" t="inlineStr">
        <is>
          <t>Dàn rốc-két</t>
        </is>
      </c>
      <c r="E1002" s="49" t="inlineStr">
        <is>
          <t>Giữ</t>
        </is>
      </c>
      <c r="F1002" s="39" t="n"/>
      <c r="G1002" s="39" t="inlineStr">
        <is>
          <t>Tên rõ vai trò.</t>
        </is>
      </c>
      <c r="H1002" s="39" t="n"/>
    </row>
    <row r="1003" ht="15" customHeight="1" s="32">
      <c r="A1003" s="41" t="inlineStr">
        <is>
          <t>rocket_turret</t>
        </is>
      </c>
      <c r="B1003" s="41" t="inlineStr">
        <is>
          <t>Dàn rốc-két</t>
        </is>
      </c>
      <c r="C1003" s="41" t="inlineStr">
        <is>
          <t>Ô</t>
        </is>
      </c>
      <c r="D1003" s="41" t="inlineStr">
        <is>
          <t>Vừa</t>
        </is>
      </c>
      <c r="E1003" s="49" t="inlineStr">
        <is>
          <t>Giữ</t>
        </is>
      </c>
      <c r="F1003" s="41" t="n"/>
      <c r="G1003" s="41" t="n"/>
      <c r="H1003" s="41" t="n"/>
    </row>
    <row r="1004" ht="15" customHeight="1" s="32">
      <c r="A1004" s="39" t="inlineStr">
        <is>
          <t>rocket_turret</t>
        </is>
      </c>
      <c r="B1004" s="39" t="inlineStr">
        <is>
          <t>Dàn rốc-két</t>
        </is>
      </c>
      <c r="C1004" s="39" t="inlineStr">
        <is>
          <t>Máu</t>
        </is>
      </c>
      <c r="D1004" s="42" t="n">
        <v>2420</v>
      </c>
      <c r="E1004" s="49" t="inlineStr">
        <is>
          <t>Giữ</t>
        </is>
      </c>
      <c r="F1004" s="39" t="n"/>
      <c r="G1004" s="39" t="inlineStr">
        <is>
          <t>0.92 × trung vị máu tháp ô vừa.</t>
        </is>
      </c>
      <c r="H1004" s="39" t="n"/>
    </row>
    <row r="1005" ht="15" customHeight="1" s="32">
      <c r="A1005" s="41" t="inlineStr">
        <is>
          <t>rocket_turret</t>
        </is>
      </c>
      <c r="B1005" s="41" t="inlineStr">
        <is>
          <t>Dàn rốc-két</t>
        </is>
      </c>
      <c r="C1005" s="41" t="inlineStr">
        <is>
          <t>Giáp</t>
        </is>
      </c>
      <c r="D1005" s="41" t="inlineStr">
        <is>
          <t>cấp 1 (Mỏng) · công trình</t>
        </is>
      </c>
      <c r="E1005" s="49" t="inlineStr">
        <is>
          <t>Giữ</t>
        </is>
      </c>
      <c r="F1005" s="41" t="n"/>
      <c r="G1005" s="41" t="inlineStr">
        <is>
          <t>Công trình; hợp vai trò.</t>
        </is>
      </c>
      <c r="H1005" s="41" t="n"/>
    </row>
    <row r="1006" ht="15" customHeight="1" s="32">
      <c r="A1006" s="39" t="inlineStr">
        <is>
          <t>rocket_turret</t>
        </is>
      </c>
      <c r="B1006" s="39" t="inlineStr">
        <is>
          <t>Dàn rốc-két</t>
        </is>
      </c>
      <c r="C1006" s="39" t="inlineStr">
        <is>
          <t>Kích thước</t>
        </is>
      </c>
      <c r="D1006" s="39" t="inlineStr">
        <is>
          <t>4.7 × 4.7 × 3.4</t>
        </is>
      </c>
      <c r="E1006" s="49" t="inlineStr">
        <is>
          <t>Giữ</t>
        </is>
      </c>
      <c r="F1006" s="39" t="n"/>
      <c r="G1006" s="39" t="inlineStr">
        <is>
          <t>Vừa cỡ ô.</t>
        </is>
      </c>
      <c r="H1006" s="39" t="n"/>
    </row>
    <row r="1007" ht="15" customHeight="1" s="32">
      <c r="A1007" s="41" t="inlineStr">
        <is>
          <t>rocket_turret</t>
        </is>
      </c>
      <c r="B1007" s="41" t="inlineStr">
        <is>
          <t>Dàn rốc-két</t>
        </is>
      </c>
      <c r="C1007" s="41" t="inlineStr">
        <is>
          <t>Vũ khí: Grad</t>
        </is>
      </c>
      <c r="D1007" s="41" t="inlineStr">
        <is>
          <t>87/40</t>
        </is>
      </c>
      <c r="E1007" s="47" t="inlineStr">
        <is>
          <t>Đổi</t>
        </is>
      </c>
      <c r="F1007" s="41" t="inlineStr">
        <is>
          <t>+15% sát thương hoặc nạp 3,35→2,9 s</t>
        </is>
      </c>
      <c r="G1007" s="41" t="inlineStr">
        <is>
          <t>Hơi dưới mục tiêu 110/45.</t>
        </is>
      </c>
      <c r="H1007" s="49" t="inlineStr">
        <is>
          <t>Thấp</t>
        </is>
      </c>
    </row>
    <row r="1008" ht="15" customHeight="1" s="32">
      <c r="A1008" s="39" t="inlineStr">
        <is>
          <t>rocket_turret</t>
        </is>
      </c>
      <c r="B1008" s="39" t="inlineStr">
        <is>
          <t>Dàn rốc-két</t>
        </is>
      </c>
      <c r="C1008" s="39" t="inlineStr">
        <is>
          <t>Nổ khi bị phá</t>
        </is>
      </c>
      <c r="D1008" s="39" t="inlineStr">
        <is>
          <t>9 m</t>
        </is>
      </c>
      <c r="E1008" s="49" t="inlineStr">
        <is>
          <t>Giữ</t>
        </is>
      </c>
      <c r="F1008" s="39" t="n"/>
      <c r="G1008" s="39" t="inlineStr">
        <is>
          <t>Hợp cỡ.</t>
        </is>
      </c>
      <c r="H1008" s="39" t="n"/>
    </row>
    <row r="1009" ht="15" customHeight="1" s="32">
      <c r="A1009" s="41" t="inlineStr">
        <is>
          <t>rocket_turret.cluster</t>
        </is>
      </c>
      <c r="B1009" s="41" t="inlineStr">
        <is>
          <t>Dàn rốc-két · nhánh Rốc-két chùm</t>
        </is>
      </c>
      <c r="C1009" s="41" t="inlineStr">
        <is>
          <t>Tên</t>
        </is>
      </c>
      <c r="D1009" s="41" t="inlineStr">
        <is>
          <t>Dàn rốc-két · nhánh Rốc-két chùm</t>
        </is>
      </c>
      <c r="E1009" s="49" t="inlineStr">
        <is>
          <t>Giữ</t>
        </is>
      </c>
      <c r="F1009" s="41" t="n"/>
      <c r="G1009" s="41" t="inlineStr">
        <is>
          <t>Tên rõ vai trò.</t>
        </is>
      </c>
      <c r="H1009" s="41" t="n"/>
    </row>
    <row r="1010" ht="15" customHeight="1" s="32">
      <c r="A1010" s="39" t="inlineStr">
        <is>
          <t>rocket_turret.cluster</t>
        </is>
      </c>
      <c r="B1010" s="39" t="inlineStr">
        <is>
          <t>Dàn rốc-két · nhánh Rốc-két chùm</t>
        </is>
      </c>
      <c r="C1010" s="39" t="inlineStr">
        <is>
          <t>Ô</t>
        </is>
      </c>
      <c r="D1010" s="39" t="inlineStr">
        <is>
          <t>Vừa</t>
        </is>
      </c>
      <c r="E1010" s="49" t="inlineStr">
        <is>
          <t>Giữ</t>
        </is>
      </c>
      <c r="F1010" s="39" t="n"/>
      <c r="G1010" s="39" t="n"/>
      <c r="H1010" s="39" t="n"/>
    </row>
    <row r="1011" ht="15" customHeight="1" s="32">
      <c r="A1011" s="41" t="inlineStr">
        <is>
          <t>rocket_turret.cluster</t>
        </is>
      </c>
      <c r="B1011" s="41" t="inlineStr">
        <is>
          <t>Dàn rốc-két · nhánh Rốc-két chùm</t>
        </is>
      </c>
      <c r="C1011" s="41" t="inlineStr">
        <is>
          <t>Máu</t>
        </is>
      </c>
      <c r="D1011" s="43" t="n">
        <v>2420</v>
      </c>
      <c r="E1011" s="49" t="inlineStr">
        <is>
          <t>Giữ</t>
        </is>
      </c>
      <c r="F1011" s="41" t="n"/>
      <c r="G1011" s="41" t="inlineStr">
        <is>
          <t>0.92 × trung vị máu tháp ô vừa.</t>
        </is>
      </c>
      <c r="H1011" s="41" t="n"/>
    </row>
    <row r="1012" ht="15" customHeight="1" s="32">
      <c r="A1012" s="39" t="inlineStr">
        <is>
          <t>rocket_turret.cluster</t>
        </is>
      </c>
      <c r="B1012" s="39" t="inlineStr">
        <is>
          <t>Dàn rốc-két · nhánh Rốc-két chùm</t>
        </is>
      </c>
      <c r="C1012" s="39" t="inlineStr">
        <is>
          <t>Giáp</t>
        </is>
      </c>
      <c r="D1012" s="39" t="inlineStr">
        <is>
          <t>cấp 1 (Mỏng) · công trình</t>
        </is>
      </c>
      <c r="E1012" s="49" t="inlineStr">
        <is>
          <t>Giữ</t>
        </is>
      </c>
      <c r="F1012" s="39" t="n"/>
      <c r="G1012" s="39" t="inlineStr">
        <is>
          <t>Công trình; hợp vai trò.</t>
        </is>
      </c>
      <c r="H1012" s="39" t="n"/>
    </row>
    <row r="1013" ht="15" customHeight="1" s="32">
      <c r="A1013" s="41" t="inlineStr">
        <is>
          <t>rocket_turret.cluster</t>
        </is>
      </c>
      <c r="B1013" s="41" t="inlineStr">
        <is>
          <t>Dàn rốc-két · nhánh Rốc-két chùm</t>
        </is>
      </c>
      <c r="C1013" s="41" t="inlineStr">
        <is>
          <t>Kích thước</t>
        </is>
      </c>
      <c r="D1013" s="41" t="inlineStr">
        <is>
          <t>4.7 × 4.7 × 3.4</t>
        </is>
      </c>
      <c r="E1013" s="49" t="inlineStr">
        <is>
          <t>Giữ</t>
        </is>
      </c>
      <c r="F1013" s="41" t="n"/>
      <c r="G1013" s="41" t="inlineStr">
        <is>
          <t>Vừa cỡ ô.</t>
        </is>
      </c>
      <c r="H1013" s="41" t="n"/>
    </row>
    <row r="1014" ht="15" customHeight="1" s="32">
      <c r="A1014" s="39" t="inlineStr">
        <is>
          <t>rocket_turret.cluster</t>
        </is>
      </c>
      <c r="B1014" s="39" t="inlineStr">
        <is>
          <t>Dàn rốc-két · nhánh Rốc-két chùm</t>
        </is>
      </c>
      <c r="C1014" s="39" t="inlineStr">
        <is>
          <t>Vũ khí / DPS</t>
        </is>
      </c>
      <c r="D1014" s="39" t="inlineStr">
        <is>
          <t>90/41/0</t>
        </is>
      </c>
      <c r="E1014" s="49" t="inlineStr">
        <is>
          <t>Giữ</t>
        </is>
      </c>
      <c r="F1014" s="39" t="n"/>
      <c r="G1014" s="39" t="inlineStr">
        <is>
          <t>Trong khoảng mục tiêu của cỡ ô.</t>
        </is>
      </c>
      <c r="H1014" s="39" t="n"/>
    </row>
    <row r="1015" ht="15" customHeight="1" s="32">
      <c r="A1015" s="41" t="inlineStr">
        <is>
          <t>rocket_turret.cluster</t>
        </is>
      </c>
      <c r="B1015" s="41" t="inlineStr">
        <is>
          <t>Dàn rốc-két · nhánh Rốc-két chùm</t>
        </is>
      </c>
      <c r="C1015" s="41" t="inlineStr">
        <is>
          <t>Nổ khi bị phá</t>
        </is>
      </c>
      <c r="D1015" s="41" t="inlineStr">
        <is>
          <t>9 m</t>
        </is>
      </c>
      <c r="E1015" s="49" t="inlineStr">
        <is>
          <t>Giữ</t>
        </is>
      </c>
      <c r="F1015" s="41" t="n"/>
      <c r="G1015" s="41" t="inlineStr">
        <is>
          <t>Hợp cỡ.</t>
        </is>
      </c>
      <c r="H1015" s="41" t="n"/>
    </row>
    <row r="1016" ht="21.75" customHeight="1" s="32">
      <c r="A1016" s="39" t="inlineStr">
        <is>
          <t>rocket_turret.guided</t>
        </is>
      </c>
      <c r="B1016" s="39" t="inlineStr">
        <is>
          <t>Dàn rốc-két · nhánh Rốc-két dẫn đường</t>
        </is>
      </c>
      <c r="C1016" s="39" t="inlineStr">
        <is>
          <t>Tên</t>
        </is>
      </c>
      <c r="D1016" s="39" t="inlineStr">
        <is>
          <t>Dàn rốc-két · nhánh Rốc-két dẫn đường</t>
        </is>
      </c>
      <c r="E1016" s="49" t="inlineStr">
        <is>
          <t>Giữ</t>
        </is>
      </c>
      <c r="F1016" s="39" t="n"/>
      <c r="G1016" s="39" t="inlineStr">
        <is>
          <t>Tên rõ vai trò.</t>
        </is>
      </c>
      <c r="H1016" s="39" t="n"/>
    </row>
    <row r="1017" ht="21.75" customHeight="1" s="32">
      <c r="A1017" s="41" t="inlineStr">
        <is>
          <t>rocket_turret.guided</t>
        </is>
      </c>
      <c r="B1017" s="41" t="inlineStr">
        <is>
          <t>Dàn rốc-két · nhánh Rốc-két dẫn đường</t>
        </is>
      </c>
      <c r="C1017" s="41" t="inlineStr">
        <is>
          <t>Ô</t>
        </is>
      </c>
      <c r="D1017" s="41" t="inlineStr">
        <is>
          <t>Vừa</t>
        </is>
      </c>
      <c r="E1017" s="49" t="inlineStr">
        <is>
          <t>Giữ</t>
        </is>
      </c>
      <c r="F1017" s="41" t="n"/>
      <c r="G1017" s="41" t="n"/>
      <c r="H1017" s="41" t="n"/>
    </row>
    <row r="1018" ht="21.75" customHeight="1" s="32">
      <c r="A1018" s="39" t="inlineStr">
        <is>
          <t>rocket_turret.guided</t>
        </is>
      </c>
      <c r="B1018" s="39" t="inlineStr">
        <is>
          <t>Dàn rốc-két · nhánh Rốc-két dẫn đường</t>
        </is>
      </c>
      <c r="C1018" s="39" t="inlineStr">
        <is>
          <t>Máu</t>
        </is>
      </c>
      <c r="D1018" s="42" t="n">
        <v>2420</v>
      </c>
      <c r="E1018" s="49" t="inlineStr">
        <is>
          <t>Giữ</t>
        </is>
      </c>
      <c r="F1018" s="39" t="n"/>
      <c r="G1018" s="39" t="inlineStr">
        <is>
          <t>0.92 × trung vị máu tháp ô vừa.</t>
        </is>
      </c>
      <c r="H1018" s="39" t="n"/>
    </row>
    <row r="1019" ht="21.75" customHeight="1" s="32">
      <c r="A1019" s="41" t="inlineStr">
        <is>
          <t>rocket_turret.guided</t>
        </is>
      </c>
      <c r="B1019" s="41" t="inlineStr">
        <is>
          <t>Dàn rốc-két · nhánh Rốc-két dẫn đường</t>
        </is>
      </c>
      <c r="C1019" s="41" t="inlineStr">
        <is>
          <t>Giáp</t>
        </is>
      </c>
      <c r="D1019" s="41" t="inlineStr">
        <is>
          <t>cấp 1 (Mỏng) · công trình</t>
        </is>
      </c>
      <c r="E1019" s="49" t="inlineStr">
        <is>
          <t>Giữ</t>
        </is>
      </c>
      <c r="F1019" s="41" t="n"/>
      <c r="G1019" s="41" t="inlineStr">
        <is>
          <t>Công trình; hợp vai trò.</t>
        </is>
      </c>
      <c r="H1019" s="41" t="n"/>
    </row>
    <row r="1020" ht="21.75" customHeight="1" s="32">
      <c r="A1020" s="39" t="inlineStr">
        <is>
          <t>rocket_turret.guided</t>
        </is>
      </c>
      <c r="B1020" s="39" t="inlineStr">
        <is>
          <t>Dàn rốc-két · nhánh Rốc-két dẫn đường</t>
        </is>
      </c>
      <c r="C1020" s="39" t="inlineStr">
        <is>
          <t>Kích thước</t>
        </is>
      </c>
      <c r="D1020" s="39" t="inlineStr">
        <is>
          <t>4.7 × 4.7 × 3.4</t>
        </is>
      </c>
      <c r="E1020" s="49" t="inlineStr">
        <is>
          <t>Giữ</t>
        </is>
      </c>
      <c r="F1020" s="39" t="n"/>
      <c r="G1020" s="39" t="inlineStr">
        <is>
          <t>Vừa cỡ ô.</t>
        </is>
      </c>
      <c r="H1020" s="39" t="n"/>
    </row>
    <row r="1021" ht="21.75" customHeight="1" s="32">
      <c r="A1021" s="41" t="inlineStr">
        <is>
          <t>rocket_turret.guided</t>
        </is>
      </c>
      <c r="B1021" s="41" t="inlineStr">
        <is>
          <t>Dàn rốc-két · nhánh Rốc-két dẫn đường</t>
        </is>
      </c>
      <c r="C1021" s="41" t="inlineStr">
        <is>
          <t>Vũ khí: GMLRS dẫn đường</t>
        </is>
      </c>
      <c r="D1021" s="41" t="inlineStr">
        <is>
          <t>100/phát · nổ lan 3 m · tốc độ 24 · DPS 27/27</t>
        </is>
      </c>
      <c r="E1021" s="47" t="inlineStr">
        <is>
          <t>Đổi</t>
        </is>
      </c>
      <c r="F1021" s="41" t="inlineStr">
        <is>
          <t>160/phát · nổ lan 4,5 m · tốc độ 50 · mục tiêu ~60/60</t>
        </is>
      </c>
      <c r="G1021" s="41" t="inlineStr">
        <is>
          <t>Nhánh gần như vô dụng; GMLRS thật chính xác và mạnh với công trình.</t>
        </is>
      </c>
      <c r="H1021" s="47" t="inlineStr">
        <is>
          <t>Cao</t>
        </is>
      </c>
    </row>
    <row r="1022" ht="21.75" customHeight="1" s="32">
      <c r="A1022" s="39" t="inlineStr">
        <is>
          <t>rocket_turret.guided</t>
        </is>
      </c>
      <c r="B1022" s="39" t="inlineStr">
        <is>
          <t>Dàn rốc-két · nhánh Rốc-két dẫn đường</t>
        </is>
      </c>
      <c r="C1022" s="39" t="inlineStr">
        <is>
          <t>Nổ khi bị phá</t>
        </is>
      </c>
      <c r="D1022" s="39" t="inlineStr">
        <is>
          <t>9 m</t>
        </is>
      </c>
      <c r="E1022" s="49" t="inlineStr">
        <is>
          <t>Giữ</t>
        </is>
      </c>
      <c r="F1022" s="39" t="n"/>
      <c r="G1022" s="39" t="inlineStr">
        <is>
          <t>Hợp cỡ.</t>
        </is>
      </c>
      <c r="H1022" s="39" t="n"/>
    </row>
    <row r="1023" ht="15" customHeight="1" s="32">
      <c r="A1023" s="41"/>
      <c r="B1023" s="41"/>
      <c r="C1023" s="41"/>
      <c r="D1023" s="41"/>
      <c r="E1023" s="49"/>
      <c r="F1023" s="41"/>
      <c r="G1023" s="41"/>
      <c r="H1023" s="41"/>
    </row>
    <row r="1024" ht="15" customHeight="1" s="32">
      <c r="A1024" s="39"/>
      <c r="B1024" s="39"/>
      <c r="C1024" s="39"/>
      <c r="D1024" s="39"/>
      <c r="E1024" s="49"/>
      <c r="F1024" s="39"/>
      <c r="G1024" s="39"/>
      <c r="H1024" s="39"/>
    </row>
    <row r="1025" ht="15" customHeight="1" s="32">
      <c r="A1025" s="41"/>
      <c r="B1025" s="41"/>
      <c r="C1025" s="41"/>
      <c r="D1025" s="43"/>
      <c r="E1025" s="49"/>
      <c r="F1025" s="41"/>
      <c r="G1025" s="41"/>
      <c r="H1025" s="41"/>
    </row>
    <row r="1026" ht="15" customHeight="1" s="32">
      <c r="A1026" s="39"/>
      <c r="B1026" s="39"/>
      <c r="C1026" s="39"/>
      <c r="D1026" s="39"/>
      <c r="E1026" s="49"/>
      <c r="F1026" s="39"/>
      <c r="G1026" s="39"/>
      <c r="H1026" s="39"/>
    </row>
    <row r="1027" ht="15" customHeight="1" s="32">
      <c r="A1027" s="41"/>
      <c r="B1027" s="41"/>
      <c r="C1027" s="41"/>
      <c r="D1027" s="41"/>
      <c r="E1027" s="49"/>
      <c r="F1027" s="41"/>
      <c r="G1027" s="41"/>
      <c r="H1027" s="41"/>
    </row>
    <row r="1028" ht="15" customHeight="1" s="32">
      <c r="A1028" s="39"/>
      <c r="B1028" s="39"/>
      <c r="C1028" s="39"/>
      <c r="D1028" s="39"/>
      <c r="E1028" s="49"/>
      <c r="F1028" s="39"/>
      <c r="G1028" s="39"/>
      <c r="H1028" s="39"/>
    </row>
    <row r="1029" ht="15" customHeight="1" s="32">
      <c r="A1029" s="41"/>
      <c r="B1029" s="41"/>
      <c r="C1029" s="41"/>
      <c r="D1029" s="41"/>
      <c r="E1029" s="49"/>
      <c r="F1029" s="41"/>
      <c r="G1029" s="41"/>
      <c r="H1029" s="41"/>
    </row>
    <row r="1030" ht="15" customHeight="1" s="32">
      <c r="A1030" s="39"/>
      <c r="B1030" s="39"/>
      <c r="C1030" s="39"/>
      <c r="D1030" s="39"/>
      <c r="E1030" s="49"/>
      <c r="F1030" s="39"/>
      <c r="G1030" s="39"/>
      <c r="H1030" s="39"/>
    </row>
    <row r="1031" ht="15" customHeight="1" s="32">
      <c r="A1031" s="41"/>
      <c r="B1031" s="41"/>
      <c r="C1031" s="41"/>
      <c r="D1031" s="41"/>
      <c r="E1031" s="49"/>
      <c r="F1031" s="41"/>
      <c r="G1031" s="41"/>
      <c r="H1031" s="41"/>
    </row>
    <row r="1032" ht="15" customHeight="1" s="32">
      <c r="A1032" s="39"/>
      <c r="B1032" s="39"/>
      <c r="C1032" s="39"/>
      <c r="D1032" s="42"/>
      <c r="E1032" s="49"/>
      <c r="F1032" s="39"/>
      <c r="G1032" s="39"/>
      <c r="H1032" s="39"/>
    </row>
    <row r="1033" ht="15" customHeight="1" s="32">
      <c r="A1033" s="41"/>
      <c r="B1033" s="41"/>
      <c r="C1033" s="41"/>
      <c r="D1033" s="41"/>
      <c r="E1033" s="49"/>
      <c r="F1033" s="41"/>
      <c r="G1033" s="41"/>
      <c r="H1033" s="41"/>
    </row>
    <row r="1034" ht="15" customHeight="1" s="32">
      <c r="A1034" s="39"/>
      <c r="B1034" s="39"/>
      <c r="C1034" s="39"/>
      <c r="D1034" s="39"/>
      <c r="E1034" s="49"/>
      <c r="F1034" s="39"/>
      <c r="G1034" s="39"/>
      <c r="H1034" s="39"/>
    </row>
    <row r="1035" ht="15" customHeight="1" s="32">
      <c r="A1035" s="41"/>
      <c r="B1035" s="41"/>
      <c r="C1035" s="41"/>
      <c r="D1035" s="41"/>
      <c r="E1035" s="49"/>
      <c r="F1035" s="41"/>
      <c r="G1035" s="41"/>
      <c r="H1035" s="41"/>
    </row>
    <row r="1036" ht="15" customHeight="1" s="32">
      <c r="A1036" s="39"/>
      <c r="B1036" s="39"/>
      <c r="C1036" s="39"/>
      <c r="D1036" s="39"/>
      <c r="E1036" s="49"/>
      <c r="F1036" s="39"/>
      <c r="G1036" s="39"/>
      <c r="H1036" s="39"/>
    </row>
    <row r="1037" ht="21.75" customHeight="1" s="32">
      <c r="A1037" s="41"/>
      <c r="B1037" s="41"/>
      <c r="C1037" s="41"/>
      <c r="D1037" s="41"/>
      <c r="E1037" s="49"/>
      <c r="F1037" s="41"/>
      <c r="G1037" s="41"/>
      <c r="H1037" s="41"/>
    </row>
    <row r="1038" ht="21.75" customHeight="1" s="32">
      <c r="A1038" s="39"/>
      <c r="B1038" s="39"/>
      <c r="C1038" s="39"/>
      <c r="D1038" s="39"/>
      <c r="E1038" s="49"/>
      <c r="F1038" s="39"/>
      <c r="G1038" s="39"/>
      <c r="H1038" s="39"/>
    </row>
    <row r="1039" ht="21.75" customHeight="1" s="32">
      <c r="A1039" s="41"/>
      <c r="B1039" s="41"/>
      <c r="C1039" s="41"/>
      <c r="D1039" s="43"/>
      <c r="E1039" s="49"/>
      <c r="F1039" s="41"/>
      <c r="G1039" s="41"/>
      <c r="H1039" s="41"/>
    </row>
    <row r="1040" ht="21.75" customHeight="1" s="32">
      <c r="A1040" s="39"/>
      <c r="B1040" s="39"/>
      <c r="C1040" s="39"/>
      <c r="D1040" s="39"/>
      <c r="E1040" s="49"/>
      <c r="F1040" s="39"/>
      <c r="G1040" s="39"/>
      <c r="H1040" s="39"/>
    </row>
    <row r="1041" ht="21.75" customHeight="1" s="32">
      <c r="A1041" s="41"/>
      <c r="B1041" s="41"/>
      <c r="C1041" s="41"/>
      <c r="D1041" s="41"/>
      <c r="E1041" s="49"/>
      <c r="F1041" s="41"/>
      <c r="G1041" s="41"/>
      <c r="H1041" s="41"/>
    </row>
    <row r="1042" ht="21.75" customHeight="1" s="32">
      <c r="A1042" s="39"/>
      <c r="B1042" s="39"/>
      <c r="C1042" s="39"/>
      <c r="D1042" s="39"/>
      <c r="E1042" s="47"/>
      <c r="F1042" s="39"/>
      <c r="G1042" s="39"/>
      <c r="H1042" s="48"/>
    </row>
    <row r="1043" ht="21.75" customHeight="1" s="32">
      <c r="A1043" s="41"/>
      <c r="B1043" s="41"/>
      <c r="C1043" s="41"/>
      <c r="D1043" s="41"/>
      <c r="E1043" s="49"/>
      <c r="F1043" s="41"/>
      <c r="G1043" s="41"/>
      <c r="H1043" s="41"/>
    </row>
    <row r="1044" ht="21.75" customHeight="1" s="32">
      <c r="A1044" s="39" t="inlineStr">
        <is>
          <t>drone_hangar</t>
        </is>
      </c>
      <c r="B1044" s="39" t="inlineStr">
        <is>
          <t>Nhà chứa drone</t>
        </is>
      </c>
      <c r="C1044" s="39" t="inlineStr">
        <is>
          <t>Tên</t>
        </is>
      </c>
      <c r="D1044" s="39" t="inlineStr">
        <is>
          <t>Nhà chứa drone</t>
        </is>
      </c>
      <c r="E1044" s="47" t="inlineStr">
        <is>
          <t>Đổi</t>
        </is>
      </c>
      <c r="F1044" s="39" t="inlineStr">
        <is>
          <t>Nhà chứa drone · ngắn: Nhà chứa drone · EN: Drone Hangar</t>
        </is>
      </c>
      <c r="G1044" s="39" t="inlineStr">
        <is>
          <t>Giữ.</t>
        </is>
      </c>
      <c r="H1044" s="49" t="inlineStr">
        <is>
          <t>Thấp</t>
        </is>
      </c>
    </row>
    <row r="1045" ht="15" customHeight="1" s="32">
      <c r="A1045" s="41" t="inlineStr">
        <is>
          <t>drone_hangar</t>
        </is>
      </c>
      <c r="B1045" s="41" t="inlineStr">
        <is>
          <t>Nhà chứa drone</t>
        </is>
      </c>
      <c r="C1045" s="41" t="inlineStr">
        <is>
          <t>Ô</t>
        </is>
      </c>
      <c r="D1045" s="41" t="inlineStr">
        <is>
          <t>Lớn</t>
        </is>
      </c>
      <c r="E1045" s="49" t="inlineStr">
        <is>
          <t>Giữ</t>
        </is>
      </c>
      <c r="F1045" s="41" t="n"/>
      <c r="G1045" s="41" t="n"/>
      <c r="H1045" s="41" t="n"/>
    </row>
    <row r="1046" ht="15" customHeight="1" s="32">
      <c r="A1046" s="39" t="inlineStr">
        <is>
          <t>drone_hangar</t>
        </is>
      </c>
      <c r="B1046" s="39" t="inlineStr">
        <is>
          <t>Nhà chứa drone</t>
        </is>
      </c>
      <c r="C1046" s="39" t="inlineStr">
        <is>
          <t>Máu</t>
        </is>
      </c>
      <c r="D1046" s="42" t="n">
        <v>4840</v>
      </c>
      <c r="E1046" s="49" t="inlineStr">
        <is>
          <t>Giữ</t>
        </is>
      </c>
      <c r="F1046" s="39" t="n"/>
      <c r="G1046" s="39" t="inlineStr">
        <is>
          <t>1.10 × trung vị máu tháp ô lớn.</t>
        </is>
      </c>
      <c r="H1046" s="39" t="n"/>
    </row>
    <row r="1047" ht="15" customHeight="1" s="32">
      <c r="A1047" s="41" t="inlineStr">
        <is>
          <t>drone_hangar</t>
        </is>
      </c>
      <c r="B1047" s="41" t="inlineStr">
        <is>
          <t>Nhà chứa drone</t>
        </is>
      </c>
      <c r="C1047" s="41" t="inlineStr">
        <is>
          <t>Giáp</t>
        </is>
      </c>
      <c r="D1047" s="41" t="inlineStr">
        <is>
          <t>cấp 2 (Vừa) · công trình</t>
        </is>
      </c>
      <c r="E1047" s="49" t="inlineStr">
        <is>
          <t>Giữ</t>
        </is>
      </c>
      <c r="F1047" s="41" t="n"/>
      <c r="G1047" s="41" t="inlineStr">
        <is>
          <t>Công trình; hợp vai trò.</t>
        </is>
      </c>
      <c r="H1047" s="41" t="n"/>
    </row>
    <row r="1048" ht="15" customHeight="1" s="32">
      <c r="A1048" s="39" t="inlineStr">
        <is>
          <t>drone_hangar</t>
        </is>
      </c>
      <c r="B1048" s="39" t="inlineStr">
        <is>
          <t>Nhà chứa drone</t>
        </is>
      </c>
      <c r="C1048" s="39" t="inlineStr">
        <is>
          <t>Kích thước</t>
        </is>
      </c>
      <c r="D1048" s="39" t="inlineStr">
        <is>
          <t>8.0 × 8.0 × 5.0</t>
        </is>
      </c>
      <c r="E1048" s="49" t="inlineStr">
        <is>
          <t>Giữ</t>
        </is>
      </c>
      <c r="F1048" s="39" t="n"/>
      <c r="G1048" s="39" t="inlineStr">
        <is>
          <t>Vừa cỡ ô.</t>
        </is>
      </c>
      <c r="H1048" s="39" t="n"/>
    </row>
    <row r="1049" ht="15" customHeight="1" s="32">
      <c r="A1049" s="41" t="inlineStr">
        <is>
          <t>drone_hangar</t>
        </is>
      </c>
      <c r="B1049" s="41" t="inlineStr">
        <is>
          <t>Nhà chứa drone</t>
        </is>
      </c>
      <c r="C1049" s="41" t="inlineStr">
        <is>
          <t>Vũ khí / DPS</t>
        </is>
      </c>
      <c r="D1049" s="41" t="inlineStr">
        <is>
          <t>59/59/0</t>
        </is>
      </c>
      <c r="E1049" s="49" t="inlineStr">
        <is>
          <t>Giữ</t>
        </is>
      </c>
      <c r="F1049" s="41" t="n"/>
      <c r="G1049" s="41" t="inlineStr">
        <is>
          <t>Trong khoảng mục tiêu của cỡ ô.</t>
        </is>
      </c>
      <c r="H1049" s="41" t="n"/>
    </row>
    <row r="1050" ht="15" customHeight="1" s="32">
      <c r="A1050" s="39" t="inlineStr">
        <is>
          <t>drone_hangar</t>
        </is>
      </c>
      <c r="B1050" s="39" t="inlineStr">
        <is>
          <t>Nhà chứa drone</t>
        </is>
      </c>
      <c r="C1050" s="39" t="inlineStr">
        <is>
          <t>Nổ khi bị phá</t>
        </is>
      </c>
      <c r="D1050" s="39" t="inlineStr">
        <is>
          <t>10 m</t>
        </is>
      </c>
      <c r="E1050" s="49" t="inlineStr">
        <is>
          <t>Giữ</t>
        </is>
      </c>
      <c r="F1050" s="39" t="n"/>
      <c r="G1050" s="39" t="inlineStr">
        <is>
          <t>Hợp cỡ.</t>
        </is>
      </c>
      <c r="H1050" s="39" t="n"/>
    </row>
    <row r="1051" ht="21.75" customHeight="1" s="32">
      <c r="A1051" s="41" t="inlineStr">
        <is>
          <t>drone_hangar.lancet</t>
        </is>
      </c>
      <c r="B1051" s="41" t="inlineStr">
        <is>
          <t>Nhà chứa drone · nhánh Nhà chứa Lancet</t>
        </is>
      </c>
      <c r="C1051" s="41" t="inlineStr">
        <is>
          <t>Tên</t>
        </is>
      </c>
      <c r="D1051" s="41" t="inlineStr">
        <is>
          <t>Nhà chứa drone · nhánh Nhà chứa Lancet</t>
        </is>
      </c>
      <c r="E1051" s="49" t="inlineStr">
        <is>
          <t>Giữ</t>
        </is>
      </c>
      <c r="F1051" s="41" t="n"/>
      <c r="G1051" s="41" t="inlineStr">
        <is>
          <t>Tên rõ vai trò.</t>
        </is>
      </c>
      <c r="H1051" s="41" t="n"/>
    </row>
    <row r="1052" ht="21.75" customHeight="1" s="32">
      <c r="A1052" s="39" t="inlineStr">
        <is>
          <t>drone_hangar.lancet</t>
        </is>
      </c>
      <c r="B1052" s="39" t="inlineStr">
        <is>
          <t>Nhà chứa drone · nhánh Nhà chứa Lancet</t>
        </is>
      </c>
      <c r="C1052" s="39" t="inlineStr">
        <is>
          <t>Ô</t>
        </is>
      </c>
      <c r="D1052" s="39" t="inlineStr">
        <is>
          <t>Lớn</t>
        </is>
      </c>
      <c r="E1052" s="49" t="inlineStr">
        <is>
          <t>Giữ</t>
        </is>
      </c>
      <c r="F1052" s="39" t="n"/>
      <c r="G1052" s="39" t="n"/>
      <c r="H1052" s="39" t="n"/>
    </row>
    <row r="1053" ht="21.75" customHeight="1" s="32">
      <c r="A1053" s="41" t="inlineStr">
        <is>
          <t>drone_hangar.lancet</t>
        </is>
      </c>
      <c r="B1053" s="41" t="inlineStr">
        <is>
          <t>Nhà chứa drone · nhánh Nhà chứa Lancet</t>
        </is>
      </c>
      <c r="C1053" s="41" t="inlineStr">
        <is>
          <t>Máu</t>
        </is>
      </c>
      <c r="D1053" s="43" t="n">
        <v>4840</v>
      </c>
      <c r="E1053" s="49" t="inlineStr">
        <is>
          <t>Giữ</t>
        </is>
      </c>
      <c r="F1053" s="41" t="n"/>
      <c r="G1053" s="41" t="inlineStr">
        <is>
          <t>1.10 × trung vị máu tháp ô lớn.</t>
        </is>
      </c>
      <c r="H1053" s="41" t="n"/>
    </row>
    <row r="1054" ht="21.75" customHeight="1" s="32">
      <c r="A1054" s="39" t="inlineStr">
        <is>
          <t>drone_hangar.lancet</t>
        </is>
      </c>
      <c r="B1054" s="39" t="inlineStr">
        <is>
          <t>Nhà chứa drone · nhánh Nhà chứa Lancet</t>
        </is>
      </c>
      <c r="C1054" s="39" t="inlineStr">
        <is>
          <t>Giáp</t>
        </is>
      </c>
      <c r="D1054" s="39" t="inlineStr">
        <is>
          <t>cấp 2 (Vừa) · công trình</t>
        </is>
      </c>
      <c r="E1054" s="49" t="inlineStr">
        <is>
          <t>Giữ</t>
        </is>
      </c>
      <c r="F1054" s="39" t="n"/>
      <c r="G1054" s="39" t="inlineStr">
        <is>
          <t>Công trình; hợp vai trò.</t>
        </is>
      </c>
      <c r="H1054" s="39" t="n"/>
    </row>
    <row r="1055" ht="21.75" customHeight="1" s="32">
      <c r="A1055" s="41" t="inlineStr">
        <is>
          <t>drone_hangar.lancet</t>
        </is>
      </c>
      <c r="B1055" s="41" t="inlineStr">
        <is>
          <t>Nhà chứa drone · nhánh Nhà chứa Lancet</t>
        </is>
      </c>
      <c r="C1055" s="41" t="inlineStr">
        <is>
          <t>Kích thước</t>
        </is>
      </c>
      <c r="D1055" s="41" t="inlineStr">
        <is>
          <t>8.0 × 8.0 × 5.0</t>
        </is>
      </c>
      <c r="E1055" s="49" t="inlineStr">
        <is>
          <t>Giữ</t>
        </is>
      </c>
      <c r="F1055" s="41" t="n"/>
      <c r="G1055" s="41" t="inlineStr">
        <is>
          <t>Vừa cỡ ô.</t>
        </is>
      </c>
      <c r="H1055" s="41" t="n"/>
    </row>
    <row r="1056" ht="21.75" customHeight="1" s="32">
      <c r="A1056" s="39" t="inlineStr">
        <is>
          <t>drone_hangar.lancet</t>
        </is>
      </c>
      <c r="B1056" s="39" t="inlineStr">
        <is>
          <t>Nhà chứa drone · nhánh Nhà chứa Lancet</t>
        </is>
      </c>
      <c r="C1056" s="39" t="inlineStr">
        <is>
          <t>Vũ khí / DPS</t>
        </is>
      </c>
      <c r="D1056" s="39" t="inlineStr">
        <is>
          <t>67/67/0</t>
        </is>
      </c>
      <c r="E1056" s="49" t="inlineStr">
        <is>
          <t>Giữ</t>
        </is>
      </c>
      <c r="F1056" s="39" t="n"/>
      <c r="G1056" s="39" t="inlineStr">
        <is>
          <t>Trong khoảng mục tiêu của cỡ ô.</t>
        </is>
      </c>
      <c r="H1056" s="39" t="n"/>
    </row>
    <row r="1057" ht="21.75" customHeight="1" s="32">
      <c r="A1057" s="41" t="inlineStr">
        <is>
          <t>drone_hangar.lancet</t>
        </is>
      </c>
      <c r="B1057" s="41" t="inlineStr">
        <is>
          <t>Nhà chứa drone · nhánh Nhà chứa Lancet</t>
        </is>
      </c>
      <c r="C1057" s="41" t="inlineStr">
        <is>
          <t>Nổ khi bị phá</t>
        </is>
      </c>
      <c r="D1057" s="41" t="inlineStr">
        <is>
          <t>10 m</t>
        </is>
      </c>
      <c r="E1057" s="49" t="inlineStr">
        <is>
          <t>Giữ</t>
        </is>
      </c>
      <c r="F1057" s="41" t="n"/>
      <c r="G1057" s="41" t="inlineStr">
        <is>
          <t>Hợp cỡ.</t>
        </is>
      </c>
      <c r="H1057" s="41" t="n"/>
    </row>
    <row r="1058" ht="15" customHeight="1" s="32">
      <c r="A1058" s="39" t="inlineStr">
        <is>
          <t>drone_hangar.swarm</t>
        </is>
      </c>
      <c r="B1058" s="39" t="inlineStr">
        <is>
          <t>Nhà chứa drone · nhánh Bầy đàn</t>
        </is>
      </c>
      <c r="C1058" s="39" t="inlineStr">
        <is>
          <t>Tên</t>
        </is>
      </c>
      <c r="D1058" s="39" t="inlineStr">
        <is>
          <t>Nhà chứa drone · nhánh Bầy đàn</t>
        </is>
      </c>
      <c r="E1058" s="49" t="inlineStr">
        <is>
          <t>Giữ</t>
        </is>
      </c>
      <c r="F1058" s="39" t="n"/>
      <c r="G1058" s="39" t="inlineStr">
        <is>
          <t>Tên rõ vai trò.</t>
        </is>
      </c>
      <c r="H1058" s="39" t="n"/>
    </row>
    <row r="1059" ht="15" customHeight="1" s="32">
      <c r="A1059" s="41" t="inlineStr">
        <is>
          <t>drone_hangar.swarm</t>
        </is>
      </c>
      <c r="B1059" s="41" t="inlineStr">
        <is>
          <t>Nhà chứa drone · nhánh Bầy đàn</t>
        </is>
      </c>
      <c r="C1059" s="41" t="inlineStr">
        <is>
          <t>Ô</t>
        </is>
      </c>
      <c r="D1059" s="41" t="inlineStr">
        <is>
          <t>Lớn</t>
        </is>
      </c>
      <c r="E1059" s="49" t="inlineStr">
        <is>
          <t>Giữ</t>
        </is>
      </c>
      <c r="F1059" s="41" t="n"/>
      <c r="G1059" s="41" t="n"/>
      <c r="H1059" s="41" t="n"/>
    </row>
    <row r="1060" ht="15" customHeight="1" s="32">
      <c r="A1060" s="39" t="inlineStr">
        <is>
          <t>drone_hangar.swarm</t>
        </is>
      </c>
      <c r="B1060" s="39" t="inlineStr">
        <is>
          <t>Nhà chứa drone · nhánh Bầy đàn</t>
        </is>
      </c>
      <c r="C1060" s="39" t="inlineStr">
        <is>
          <t>Máu</t>
        </is>
      </c>
      <c r="D1060" s="42" t="n">
        <v>4840</v>
      </c>
      <c r="E1060" s="49" t="inlineStr">
        <is>
          <t>Giữ</t>
        </is>
      </c>
      <c r="F1060" s="39" t="n"/>
      <c r="G1060" s="39" t="inlineStr">
        <is>
          <t>1.10 × trung vị máu tháp ô lớn.</t>
        </is>
      </c>
      <c r="H1060" s="39" t="n"/>
    </row>
    <row r="1061" ht="15" customHeight="1" s="32">
      <c r="A1061" s="41" t="inlineStr">
        <is>
          <t>drone_hangar.swarm</t>
        </is>
      </c>
      <c r="B1061" s="41" t="inlineStr">
        <is>
          <t>Nhà chứa drone · nhánh Bầy đàn</t>
        </is>
      </c>
      <c r="C1061" s="41" t="inlineStr">
        <is>
          <t>Giáp</t>
        </is>
      </c>
      <c r="D1061" s="41" t="inlineStr">
        <is>
          <t>cấp 2 (Vừa) · công trình</t>
        </is>
      </c>
      <c r="E1061" s="49" t="inlineStr">
        <is>
          <t>Giữ</t>
        </is>
      </c>
      <c r="F1061" s="41" t="n"/>
      <c r="G1061" s="41" t="inlineStr">
        <is>
          <t>Công trình; hợp vai trò.</t>
        </is>
      </c>
      <c r="H1061" s="41" t="n"/>
    </row>
    <row r="1062" ht="15" customHeight="1" s="32">
      <c r="A1062" s="39" t="inlineStr">
        <is>
          <t>drone_hangar.swarm</t>
        </is>
      </c>
      <c r="B1062" s="39" t="inlineStr">
        <is>
          <t>Nhà chứa drone · nhánh Bầy đàn</t>
        </is>
      </c>
      <c r="C1062" s="39" t="inlineStr">
        <is>
          <t>Kích thước</t>
        </is>
      </c>
      <c r="D1062" s="39" t="inlineStr">
        <is>
          <t>8.0 × 8.0 × 5.0</t>
        </is>
      </c>
      <c r="E1062" s="49" t="inlineStr">
        <is>
          <t>Giữ</t>
        </is>
      </c>
      <c r="F1062" s="39" t="n"/>
      <c r="G1062" s="39" t="inlineStr">
        <is>
          <t>Vừa cỡ ô.</t>
        </is>
      </c>
      <c r="H1062" s="39" t="n"/>
    </row>
    <row r="1063" ht="15" customHeight="1" s="32">
      <c r="A1063" s="41" t="inlineStr">
        <is>
          <t>drone_hangar.swarm</t>
        </is>
      </c>
      <c r="B1063" s="41" t="inlineStr">
        <is>
          <t>Nhà chứa drone · nhánh Bầy đàn</t>
        </is>
      </c>
      <c r="C1063" s="41" t="inlineStr">
        <is>
          <t>Vũ khí / DPS</t>
        </is>
      </c>
      <c r="D1063" s="41" t="inlineStr">
        <is>
          <t>77/77/0</t>
        </is>
      </c>
      <c r="E1063" s="49" t="inlineStr">
        <is>
          <t>Giữ</t>
        </is>
      </c>
      <c r="F1063" s="41" t="n"/>
      <c r="G1063" s="41" t="inlineStr">
        <is>
          <t>Trong khoảng mục tiêu của cỡ ô.</t>
        </is>
      </c>
      <c r="H1063" s="41" t="n"/>
    </row>
    <row r="1064" ht="15" customHeight="1" s="32">
      <c r="A1064" s="39" t="inlineStr">
        <is>
          <t>drone_hangar.swarm</t>
        </is>
      </c>
      <c r="B1064" s="39" t="inlineStr">
        <is>
          <t>Nhà chứa drone · nhánh Bầy đàn</t>
        </is>
      </c>
      <c r="C1064" s="39" t="inlineStr">
        <is>
          <t>Nổ khi bị phá</t>
        </is>
      </c>
      <c r="D1064" s="39" t="inlineStr">
        <is>
          <t>10 m</t>
        </is>
      </c>
      <c r="E1064" s="49" t="inlineStr">
        <is>
          <t>Giữ</t>
        </is>
      </c>
      <c r="F1064" s="39" t="n"/>
      <c r="G1064" s="39" t="inlineStr">
        <is>
          <t>Hợp cỡ.</t>
        </is>
      </c>
      <c r="H1064" s="39" t="n"/>
    </row>
    <row r="1065" ht="21.75" customHeight="1" s="32">
      <c r="A1065" s="41" t="inlineStr">
        <is>
          <t>heavy_turret</t>
        </is>
      </c>
      <c r="B1065" s="41" t="inlineStr">
        <is>
          <t>Pháo đài hạng nặng</t>
        </is>
      </c>
      <c r="C1065" s="41" t="inlineStr">
        <is>
          <t>Tên</t>
        </is>
      </c>
      <c r="D1065" s="41" t="inlineStr">
        <is>
          <t>Pháo đài hạng nặng</t>
        </is>
      </c>
      <c r="E1065" s="47" t="inlineStr">
        <is>
          <t>Đổi</t>
        </is>
      </c>
      <c r="F1065" s="41" t="inlineStr">
        <is>
          <t>Tháp pháo hạng nặng · ngắn: Pháo hạng nặng · EN: Heavy Gun Turret</t>
        </is>
      </c>
      <c r="G1065" s="41" t="inlineStr">
        <is>
          <t>"Pháo đài" dễ nhầm với boss Bastion và pháo đài trong Công thành.</t>
        </is>
      </c>
      <c r="H1065" s="49" t="inlineStr">
        <is>
          <t>Thấp</t>
        </is>
      </c>
    </row>
    <row r="1066" ht="15" customHeight="1" s="32">
      <c r="A1066" s="39" t="inlineStr">
        <is>
          <t>heavy_turret</t>
        </is>
      </c>
      <c r="B1066" s="39" t="inlineStr">
        <is>
          <t>Pháo đài hạng nặng</t>
        </is>
      </c>
      <c r="C1066" s="39" t="inlineStr">
        <is>
          <t>Ô</t>
        </is>
      </c>
      <c r="D1066" s="39" t="inlineStr">
        <is>
          <t>Lớn</t>
        </is>
      </c>
      <c r="E1066" s="49" t="inlineStr">
        <is>
          <t>Giữ</t>
        </is>
      </c>
      <c r="F1066" s="39" t="n"/>
      <c r="G1066" s="39" t="n"/>
      <c r="H1066" s="39" t="n"/>
    </row>
    <row r="1067" ht="15" customHeight="1" s="32">
      <c r="A1067" s="41" t="inlineStr">
        <is>
          <t>heavy_turret</t>
        </is>
      </c>
      <c r="B1067" s="41" t="inlineStr">
        <is>
          <t>Pháo đài hạng nặng</t>
        </is>
      </c>
      <c r="C1067" s="41" t="inlineStr">
        <is>
          <t>Máu</t>
        </is>
      </c>
      <c r="D1067" s="43" t="n">
        <v>6160</v>
      </c>
      <c r="E1067" s="49" t="inlineStr">
        <is>
          <t>Giữ</t>
        </is>
      </c>
      <c r="F1067" s="41" t="n"/>
      <c r="G1067" s="41" t="inlineStr">
        <is>
          <t>1.40 × trung vị máu tháp ô lớn.</t>
        </is>
      </c>
      <c r="H1067" s="41" t="n"/>
    </row>
    <row r="1068" ht="15" customHeight="1" s="32">
      <c r="A1068" s="39" t="inlineStr">
        <is>
          <t>heavy_turret</t>
        </is>
      </c>
      <c r="B1068" s="39" t="inlineStr">
        <is>
          <t>Pháo đài hạng nặng</t>
        </is>
      </c>
      <c r="C1068" s="39" t="inlineStr">
        <is>
          <t>Giáp</t>
        </is>
      </c>
      <c r="D1068" s="39" t="inlineStr">
        <is>
          <t>4/3/3/3</t>
        </is>
      </c>
      <c r="E1068" s="49" t="inlineStr">
        <is>
          <t>Giữ</t>
        </is>
      </c>
      <c r="F1068" s="39" t="n"/>
      <c r="G1068" s="39" t="inlineStr">
        <is>
          <t>Công trình; hợp vai trò.</t>
        </is>
      </c>
      <c r="H1068" s="39" t="n"/>
    </row>
    <row r="1069" ht="15" customHeight="1" s="32">
      <c r="A1069" s="41" t="inlineStr">
        <is>
          <t>heavy_turret</t>
        </is>
      </c>
      <c r="B1069" s="41" t="inlineStr">
        <is>
          <t>Pháo đài hạng nặng</t>
        </is>
      </c>
      <c r="C1069" s="41" t="inlineStr">
        <is>
          <t>Kích thước</t>
        </is>
      </c>
      <c r="D1069" s="41" t="inlineStr">
        <is>
          <t>10.3 × 8.0 × 6.1</t>
        </is>
      </c>
      <c r="E1069" s="49" t="inlineStr">
        <is>
          <t>Giữ</t>
        </is>
      </c>
      <c r="F1069" s="41" t="n"/>
      <c r="G1069" s="41" t="inlineStr">
        <is>
          <t>Vừa cỡ ô.</t>
        </is>
      </c>
      <c r="H1069" s="41" t="n"/>
    </row>
    <row r="1070" ht="21.75" customHeight="1" s="32">
      <c r="A1070" s="39" t="inlineStr">
        <is>
          <t>heavy_turret</t>
        </is>
      </c>
      <c r="B1070" s="39" t="inlineStr">
        <is>
          <t>Pháo đài hạng nặng</t>
        </is>
      </c>
      <c r="C1070" s="39" t="inlineStr">
        <is>
          <t>Vũ khí: 155 mm đôi</t>
        </is>
      </c>
      <c r="D1070" s="39" t="inlineStr">
        <is>
          <t>138/98 · chỉ đạn nổ mạnh (xuyên 3)</t>
        </is>
      </c>
      <c r="E1070" s="47" t="inlineStr">
        <is>
          <t>Đổi</t>
        </is>
      </c>
      <c r="F1070" s="39" t="inlineStr">
        <is>
          <t>thêm đạn xuyên 155 mm (xuyên 4, ~300/phát), tự đổi như Tăng hạng nặng; nổ lan 4,5→7 m</t>
        </is>
      </c>
      <c r="G1070" s="39" t="inlineStr">
        <is>
          <t>Chống xe nặng dưới mục tiêu 140; bán kính nổ lệch các khẩu 155 khác.</t>
        </is>
      </c>
      <c r="H1070" s="48" t="inlineStr">
        <is>
          <t>Trung</t>
        </is>
      </c>
    </row>
    <row r="1071" ht="15" customHeight="1" s="32">
      <c r="A1071" s="41" t="inlineStr">
        <is>
          <t>heavy_turret</t>
        </is>
      </c>
      <c r="B1071" s="41" t="inlineStr">
        <is>
          <t>Pháo đài hạng nặng</t>
        </is>
      </c>
      <c r="C1071" s="41" t="inlineStr">
        <is>
          <t>Nổ khi bị phá</t>
        </is>
      </c>
      <c r="D1071" s="41" t="inlineStr">
        <is>
          <t>12 m</t>
        </is>
      </c>
      <c r="E1071" s="49" t="inlineStr">
        <is>
          <t>Giữ</t>
        </is>
      </c>
      <c r="F1071" s="41" t="n"/>
      <c r="G1071" s="41" t="inlineStr">
        <is>
          <t>Hợp cỡ.</t>
        </is>
      </c>
      <c r="H1071" s="41" t="n"/>
    </row>
    <row r="1072" ht="21.75" customHeight="1" s="32">
      <c r="A1072" s="39" t="inlineStr">
        <is>
          <t>heavy_turret.coastal</t>
        </is>
      </c>
      <c r="B1072" s="39" t="inlineStr">
        <is>
          <t>Pháo đài hạng nặng · nhánh Pháo bờ biển tầm xa</t>
        </is>
      </c>
      <c r="C1072" s="39" t="inlineStr">
        <is>
          <t>Tên</t>
        </is>
      </c>
      <c r="D1072" s="39" t="inlineStr">
        <is>
          <t>Pháo đài hạng nặng · nhánh Pháo bờ biển tầm xa</t>
        </is>
      </c>
      <c r="E1072" s="49" t="inlineStr">
        <is>
          <t>Giữ</t>
        </is>
      </c>
      <c r="F1072" s="39" t="n"/>
      <c r="G1072" s="39" t="inlineStr">
        <is>
          <t>Tên rõ vai trò.</t>
        </is>
      </c>
      <c r="H1072" s="39" t="n"/>
    </row>
    <row r="1073" ht="21.75" customHeight="1" s="32">
      <c r="A1073" s="41" t="inlineStr">
        <is>
          <t>heavy_turret.coastal</t>
        </is>
      </c>
      <c r="B1073" s="41" t="inlineStr">
        <is>
          <t>Pháo đài hạng nặng · nhánh Pháo bờ biển tầm xa</t>
        </is>
      </c>
      <c r="C1073" s="41" t="inlineStr">
        <is>
          <t>Ô</t>
        </is>
      </c>
      <c r="D1073" s="41" t="inlineStr">
        <is>
          <t>Lớn</t>
        </is>
      </c>
      <c r="E1073" s="49" t="inlineStr">
        <is>
          <t>Giữ</t>
        </is>
      </c>
      <c r="F1073" s="41" t="n"/>
      <c r="G1073" s="41" t="n"/>
      <c r="H1073" s="41" t="n"/>
    </row>
    <row r="1074" ht="21.75" customHeight="1" s="32">
      <c r="A1074" s="39" t="inlineStr">
        <is>
          <t>heavy_turret.coastal</t>
        </is>
      </c>
      <c r="B1074" s="39" t="inlineStr">
        <is>
          <t>Pháo đài hạng nặng · nhánh Pháo bờ biển tầm xa</t>
        </is>
      </c>
      <c r="C1074" s="39" t="inlineStr">
        <is>
          <t>Máu</t>
        </is>
      </c>
      <c r="D1074" s="42" t="n">
        <v>6160</v>
      </c>
      <c r="E1074" s="49" t="inlineStr">
        <is>
          <t>Giữ</t>
        </is>
      </c>
      <c r="F1074" s="39" t="n"/>
      <c r="G1074" s="39" t="inlineStr">
        <is>
          <t>1.40 × trung vị máu tháp ô lớn.</t>
        </is>
      </c>
      <c r="H1074" s="39" t="n"/>
    </row>
    <row r="1075" ht="21.75" customHeight="1" s="32">
      <c r="A1075" s="41" t="inlineStr">
        <is>
          <t>heavy_turret.coastal</t>
        </is>
      </c>
      <c r="B1075" s="41" t="inlineStr">
        <is>
          <t>Pháo đài hạng nặng · nhánh Pháo bờ biển tầm xa</t>
        </is>
      </c>
      <c r="C1075" s="41" t="inlineStr">
        <is>
          <t>Giáp</t>
        </is>
      </c>
      <c r="D1075" s="41" t="inlineStr">
        <is>
          <t>4/3/3/3</t>
        </is>
      </c>
      <c r="E1075" s="49" t="inlineStr">
        <is>
          <t>Giữ</t>
        </is>
      </c>
      <c r="F1075" s="41" t="n"/>
      <c r="G1075" s="41" t="inlineStr">
        <is>
          <t>Công trình; hợp vai trò.</t>
        </is>
      </c>
      <c r="H1075" s="41" t="n"/>
    </row>
    <row r="1076" ht="21.75" customHeight="1" s="32">
      <c r="A1076" s="39" t="inlineStr">
        <is>
          <t>heavy_turret.coastal</t>
        </is>
      </c>
      <c r="B1076" s="39" t="inlineStr">
        <is>
          <t>Pháo đài hạng nặng · nhánh Pháo bờ biển tầm xa</t>
        </is>
      </c>
      <c r="C1076" s="39" t="inlineStr">
        <is>
          <t>Kích thước</t>
        </is>
      </c>
      <c r="D1076" s="39" t="inlineStr">
        <is>
          <t>10.3 × 8.0 × 6.1</t>
        </is>
      </c>
      <c r="E1076" s="49" t="inlineStr">
        <is>
          <t>Giữ</t>
        </is>
      </c>
      <c r="F1076" s="39" t="n"/>
      <c r="G1076" s="39" t="inlineStr">
        <is>
          <t>Vừa cỡ ô.</t>
        </is>
      </c>
      <c r="H1076" s="39" t="n"/>
    </row>
    <row r="1077" ht="21.75" customHeight="1" s="32">
      <c r="A1077" s="41" t="inlineStr">
        <is>
          <t>heavy_turret.coastal</t>
        </is>
      </c>
      <c r="B1077" s="41" t="inlineStr">
        <is>
          <t>Pháo đài hạng nặng · nhánh Pháo bờ biển tầm xa</t>
        </is>
      </c>
      <c r="C1077" s="41" t="inlineStr">
        <is>
          <t>Vũ khí / DPS</t>
        </is>
      </c>
      <c r="D1077" s="41" t="inlineStr">
        <is>
          <t>138/98/0</t>
        </is>
      </c>
      <c r="E1077" s="49" t="inlineStr">
        <is>
          <t>Giữ</t>
        </is>
      </c>
      <c r="F1077" s="41" t="n"/>
      <c r="G1077" s="41" t="inlineStr">
        <is>
          <t>Trong khoảng mục tiêu của cỡ ô.</t>
        </is>
      </c>
      <c r="H1077" s="41" t="n"/>
    </row>
    <row r="1078" ht="21.75" customHeight="1" s="32">
      <c r="A1078" s="39" t="inlineStr">
        <is>
          <t>heavy_turret.coastal</t>
        </is>
      </c>
      <c r="B1078" s="39" t="inlineStr">
        <is>
          <t>Pháo đài hạng nặng · nhánh Pháo bờ biển tầm xa</t>
        </is>
      </c>
      <c r="C1078" s="39" t="inlineStr">
        <is>
          <t>Nổ khi bị phá</t>
        </is>
      </c>
      <c r="D1078" s="39" t="inlineStr">
        <is>
          <t>12 m</t>
        </is>
      </c>
      <c r="E1078" s="49" t="inlineStr">
        <is>
          <t>Giữ</t>
        </is>
      </c>
      <c r="F1078" s="39" t="n"/>
      <c r="G1078" s="39" t="inlineStr">
        <is>
          <t>Hợp cỡ.</t>
        </is>
      </c>
      <c r="H1078" s="39" t="n"/>
    </row>
    <row r="1079" ht="21.75" customHeight="1" s="32">
      <c r="A1079" s="41" t="inlineStr">
        <is>
          <t>heavy_turret.bastion</t>
        </is>
      </c>
      <c r="B1079" s="41" t="inlineStr">
        <is>
          <t>Pháo đài hạng nặng · nhánh Pháo đài thép</t>
        </is>
      </c>
      <c r="C1079" s="41" t="inlineStr">
        <is>
          <t>Tên</t>
        </is>
      </c>
      <c r="D1079" s="41" t="inlineStr">
        <is>
          <t>Pháo đài hạng nặng · nhánh Pháo đài thép</t>
        </is>
      </c>
      <c r="E1079" s="49" t="inlineStr">
        <is>
          <t>Giữ</t>
        </is>
      </c>
      <c r="F1079" s="41" t="n"/>
      <c r="G1079" s="41" t="inlineStr">
        <is>
          <t>Tên rõ vai trò.</t>
        </is>
      </c>
      <c r="H1079" s="41" t="n"/>
    </row>
    <row r="1080" ht="21.75" customHeight="1" s="32">
      <c r="A1080" s="39" t="inlineStr">
        <is>
          <t>heavy_turret.bastion</t>
        </is>
      </c>
      <c r="B1080" s="39" t="inlineStr">
        <is>
          <t>Pháo đài hạng nặng · nhánh Pháo đài thép</t>
        </is>
      </c>
      <c r="C1080" s="39" t="inlineStr">
        <is>
          <t>Ô</t>
        </is>
      </c>
      <c r="D1080" s="39" t="inlineStr">
        <is>
          <t>Lớn</t>
        </is>
      </c>
      <c r="E1080" s="49" t="inlineStr">
        <is>
          <t>Giữ</t>
        </is>
      </c>
      <c r="F1080" s="39" t="n"/>
      <c r="G1080" s="39" t="n"/>
      <c r="H1080" s="39" t="n"/>
    </row>
    <row r="1081" ht="21.75" customHeight="1" s="32">
      <c r="A1081" s="41" t="inlineStr">
        <is>
          <t>heavy_turret.bastion</t>
        </is>
      </c>
      <c r="B1081" s="41" t="inlineStr">
        <is>
          <t>Pháo đài hạng nặng · nhánh Pháo đài thép</t>
        </is>
      </c>
      <c r="C1081" s="41" t="inlineStr">
        <is>
          <t>Máu</t>
        </is>
      </c>
      <c r="D1081" s="43" t="n">
        <v>9548</v>
      </c>
      <c r="E1081" s="49" t="inlineStr">
        <is>
          <t>Giữ</t>
        </is>
      </c>
      <c r="F1081" s="41" t="n"/>
      <c r="G1081" s="41" t="inlineStr">
        <is>
          <t>2.17 × trung vị máu tháp ô lớn.</t>
        </is>
      </c>
      <c r="H1081" s="41" t="n"/>
    </row>
    <row r="1082" ht="21.75" customHeight="1" s="32">
      <c r="A1082" s="39" t="inlineStr">
        <is>
          <t>heavy_turret.bastion</t>
        </is>
      </c>
      <c r="B1082" s="39" t="inlineStr">
        <is>
          <t>Pháo đài hạng nặng · nhánh Pháo đài thép</t>
        </is>
      </c>
      <c r="C1082" s="39" t="inlineStr">
        <is>
          <t>Giáp</t>
        </is>
      </c>
      <c r="D1082" s="39" t="inlineStr">
        <is>
          <t>4/3/3/3</t>
        </is>
      </c>
      <c r="E1082" s="49" t="inlineStr">
        <is>
          <t>Giữ</t>
        </is>
      </c>
      <c r="F1082" s="39" t="n"/>
      <c r="G1082" s="39" t="inlineStr">
        <is>
          <t>Công trình; hợp vai trò.</t>
        </is>
      </c>
      <c r="H1082" s="39" t="n"/>
    </row>
    <row r="1083" ht="21.75" customHeight="1" s="32">
      <c r="A1083" s="41" t="inlineStr">
        <is>
          <t>heavy_turret.bastion</t>
        </is>
      </c>
      <c r="B1083" s="41" t="inlineStr">
        <is>
          <t>Pháo đài hạng nặng · nhánh Pháo đài thép</t>
        </is>
      </c>
      <c r="C1083" s="41" t="inlineStr">
        <is>
          <t>Kích thước</t>
        </is>
      </c>
      <c r="D1083" s="41" t="inlineStr">
        <is>
          <t>10.3 × 8.0 × 6.1</t>
        </is>
      </c>
      <c r="E1083" s="49" t="inlineStr">
        <is>
          <t>Giữ</t>
        </is>
      </c>
      <c r="F1083" s="41" t="n"/>
      <c r="G1083" s="41" t="inlineStr">
        <is>
          <t>Vừa cỡ ô.</t>
        </is>
      </c>
      <c r="H1083" s="41" t="n"/>
    </row>
    <row r="1084" ht="21.75" customHeight="1" s="32">
      <c r="A1084" s="39" t="inlineStr">
        <is>
          <t>heavy_turret.bastion</t>
        </is>
      </c>
      <c r="B1084" s="39" t="inlineStr">
        <is>
          <t>Pháo đài hạng nặng · nhánh Pháo đài thép</t>
        </is>
      </c>
      <c r="C1084" s="39" t="inlineStr">
        <is>
          <t>Vũ khí / DPS</t>
        </is>
      </c>
      <c r="D1084" s="39" t="inlineStr">
        <is>
          <t>229/125/32</t>
        </is>
      </c>
      <c r="E1084" s="49" t="inlineStr">
        <is>
          <t>Giữ</t>
        </is>
      </c>
      <c r="F1084" s="39" t="n"/>
      <c r="G1084" s="39" t="inlineStr">
        <is>
          <t>Trong khoảng mục tiêu của cỡ ô.</t>
        </is>
      </c>
      <c r="H1084" s="39" t="n"/>
    </row>
    <row r="1085" ht="21.75" customHeight="1" s="32">
      <c r="A1085" s="41" t="inlineStr">
        <is>
          <t>heavy_turret.bastion</t>
        </is>
      </c>
      <c r="B1085" s="41" t="inlineStr">
        <is>
          <t>Pháo đài hạng nặng · nhánh Pháo đài thép</t>
        </is>
      </c>
      <c r="C1085" s="41" t="inlineStr">
        <is>
          <t>Nổ khi bị phá</t>
        </is>
      </c>
      <c r="D1085" s="41" t="inlineStr">
        <is>
          <t>12 m</t>
        </is>
      </c>
      <c r="E1085" s="49" t="inlineStr">
        <is>
          <t>Giữ</t>
        </is>
      </c>
      <c r="F1085" s="41" t="n"/>
      <c r="G1085" s="41" t="inlineStr">
        <is>
          <t>Hợp cỡ.</t>
        </is>
      </c>
      <c r="H1085" s="41" t="n"/>
    </row>
    <row r="1086" ht="21.75" customHeight="1" s="32">
      <c r="A1086" s="39" t="inlineStr">
        <is>
          <t>missile_battery</t>
        </is>
      </c>
      <c r="B1086" s="39" t="inlineStr">
        <is>
          <t>Tên lửa Patriot tầm xa</t>
        </is>
      </c>
      <c r="C1086" s="39" t="inlineStr">
        <is>
          <t>Tên</t>
        </is>
      </c>
      <c r="D1086" s="39" t="inlineStr">
        <is>
          <t>Tên lửa Patriot tầm xa</t>
        </is>
      </c>
      <c r="E1086" s="47" t="inlineStr">
        <is>
          <t>Đổi</t>
        </is>
      </c>
      <c r="F1086" s="39" t="inlineStr">
        <is>
          <t>Trạm tên lửa phòng không tầm xa · ngắn: PK tầm xa · EN: Long-range SAM Site</t>
        </is>
      </c>
      <c r="G1086" s="39" t="inlineStr">
        <is>
          <t>Bỏ tên thật "Patriot" khỏi tên thẻ.</t>
        </is>
      </c>
      <c r="H1086" s="49" t="inlineStr">
        <is>
          <t>Thấp</t>
        </is>
      </c>
    </row>
    <row r="1087" ht="15" customHeight="1" s="32">
      <c r="A1087" s="41" t="inlineStr">
        <is>
          <t>missile_battery</t>
        </is>
      </c>
      <c r="B1087" s="41" t="inlineStr">
        <is>
          <t>Tên lửa Patriot tầm xa</t>
        </is>
      </c>
      <c r="C1087" s="41" t="inlineStr">
        <is>
          <t>Ô</t>
        </is>
      </c>
      <c r="D1087" s="41" t="inlineStr">
        <is>
          <t>Lớn</t>
        </is>
      </c>
      <c r="E1087" s="49" t="inlineStr">
        <is>
          <t>Giữ</t>
        </is>
      </c>
      <c r="F1087" s="41" t="n"/>
      <c r="G1087" s="41" t="n"/>
      <c r="H1087" s="41" t="n"/>
    </row>
    <row r="1088" ht="15" customHeight="1" s="32">
      <c r="A1088" s="39" t="inlineStr">
        <is>
          <t>missile_battery</t>
        </is>
      </c>
      <c r="B1088" s="39" t="inlineStr">
        <is>
          <t>Tên lửa Patriot tầm xa</t>
        </is>
      </c>
      <c r="C1088" s="39" t="inlineStr">
        <is>
          <t>Máu</t>
        </is>
      </c>
      <c r="D1088" s="42" t="n">
        <v>4180</v>
      </c>
      <c r="E1088" s="49" t="inlineStr">
        <is>
          <t>Giữ</t>
        </is>
      </c>
      <c r="F1088" s="39" t="n"/>
      <c r="G1088" s="39" t="inlineStr">
        <is>
          <t>0.95 × trung vị máu tháp ô lớn.</t>
        </is>
      </c>
      <c r="H1088" s="39" t="n"/>
    </row>
    <row r="1089" ht="15" customHeight="1" s="32">
      <c r="A1089" s="41" t="inlineStr">
        <is>
          <t>missile_battery</t>
        </is>
      </c>
      <c r="B1089" s="41" t="inlineStr">
        <is>
          <t>Tên lửa Patriot tầm xa</t>
        </is>
      </c>
      <c r="C1089" s="41" t="inlineStr">
        <is>
          <t>Giáp</t>
        </is>
      </c>
      <c r="D1089" s="41" t="inlineStr">
        <is>
          <t>cấp 1 (Mỏng) · công trình</t>
        </is>
      </c>
      <c r="E1089" s="49" t="inlineStr">
        <is>
          <t>Giữ</t>
        </is>
      </c>
      <c r="F1089" s="41" t="n"/>
      <c r="G1089" s="41" t="inlineStr">
        <is>
          <t>Công trình; hợp vai trò.</t>
        </is>
      </c>
      <c r="H1089" s="41" t="n"/>
    </row>
    <row r="1090" ht="15" customHeight="1" s="32">
      <c r="A1090" s="39" t="inlineStr">
        <is>
          <t>missile_battery</t>
        </is>
      </c>
      <c r="B1090" s="39" t="inlineStr">
        <is>
          <t>Tên lửa Patriot tầm xa</t>
        </is>
      </c>
      <c r="C1090" s="39" t="inlineStr">
        <is>
          <t>Kích thước</t>
        </is>
      </c>
      <c r="D1090" s="39" t="inlineStr">
        <is>
          <t>7.0 × 9.1 × 7.3</t>
        </is>
      </c>
      <c r="E1090" s="49" t="inlineStr">
        <is>
          <t>Giữ</t>
        </is>
      </c>
      <c r="F1090" s="39" t="n"/>
      <c r="G1090" s="39" t="inlineStr">
        <is>
          <t>Vừa cỡ ô.</t>
        </is>
      </c>
      <c r="H1090" s="39" t="n"/>
    </row>
    <row r="1091" ht="21.75" customHeight="1" s="32">
      <c r="A1091" s="41" t="inlineStr">
        <is>
          <t>missile_battery</t>
        </is>
      </c>
      <c r="B1091" s="41" t="inlineStr">
        <is>
          <t>Tên lửa Patriot tầm xa</t>
        </is>
      </c>
      <c r="C1091" s="41" t="inlineStr">
        <is>
          <t>Vũ khí: Patriot PAC-2</t>
        </is>
      </c>
      <c r="D1091" s="41" t="inlineStr">
        <is>
          <t>chống máy bay 188 · tốc độ 24 (bay 3,75 s)</t>
        </is>
      </c>
      <c r="E1091" s="47" t="inlineStr">
        <is>
          <t>Đổi</t>
        </is>
      </c>
      <c r="F1091" s="41" t="inlineStr">
        <is>
          <t>chống máy bay 300 · tốc độ 60 (bay 1,5 s)</t>
        </is>
      </c>
      <c r="G1091" s="41" t="inlineStr">
        <is>
          <t>Tháp ô lớn phải mạnh hơn tháp ô nhỏ; tên lửa phải bắt kịp máy bay.</t>
        </is>
      </c>
      <c r="H1091" s="47" t="inlineStr">
        <is>
          <t>Cao</t>
        </is>
      </c>
    </row>
    <row r="1092" ht="15" customHeight="1" s="32">
      <c r="A1092" s="39" t="inlineStr">
        <is>
          <t>missile_battery</t>
        </is>
      </c>
      <c r="B1092" s="39" t="inlineStr">
        <is>
          <t>Tên lửa Patriot tầm xa</t>
        </is>
      </c>
      <c r="C1092" s="39" t="inlineStr">
        <is>
          <t>Nổ khi bị phá</t>
        </is>
      </c>
      <c r="D1092" s="39" t="inlineStr">
        <is>
          <t>12 m</t>
        </is>
      </c>
      <c r="E1092" s="49" t="inlineStr">
        <is>
          <t>Giữ</t>
        </is>
      </c>
      <c r="F1092" s="39" t="n"/>
      <c r="G1092" s="39" t="inlineStr">
        <is>
          <t>Hợp cỡ.</t>
        </is>
      </c>
      <c r="H1092" s="39" t="n"/>
    </row>
    <row r="1093" ht="21.75" customHeight="1" s="32">
      <c r="A1093" s="41" t="inlineStr">
        <is>
          <t>missile_battery.pac3</t>
        </is>
      </c>
      <c r="B1093" s="41" t="inlineStr">
        <is>
          <t>Tên lửa Patriot tầm xa · nhánh PAC-3 đánh chặn</t>
        </is>
      </c>
      <c r="C1093" s="41" t="inlineStr">
        <is>
          <t>Tên</t>
        </is>
      </c>
      <c r="D1093" s="41" t="inlineStr">
        <is>
          <t>Tên lửa Patriot tầm xa · nhánh PAC-3 đánh chặn</t>
        </is>
      </c>
      <c r="E1093" s="49" t="inlineStr">
        <is>
          <t>Giữ</t>
        </is>
      </c>
      <c r="F1093" s="41" t="n"/>
      <c r="G1093" s="41" t="inlineStr">
        <is>
          <t>Tên rõ vai trò.</t>
        </is>
      </c>
      <c r="H1093" s="41" t="n"/>
    </row>
    <row r="1094" ht="21.75" customHeight="1" s="32">
      <c r="A1094" s="39" t="inlineStr">
        <is>
          <t>missile_battery.pac3</t>
        </is>
      </c>
      <c r="B1094" s="39" t="inlineStr">
        <is>
          <t>Tên lửa Patriot tầm xa · nhánh PAC-3 đánh chặn</t>
        </is>
      </c>
      <c r="C1094" s="39" t="inlineStr">
        <is>
          <t>Ô</t>
        </is>
      </c>
      <c r="D1094" s="39" t="inlineStr">
        <is>
          <t>Lớn</t>
        </is>
      </c>
      <c r="E1094" s="49" t="inlineStr">
        <is>
          <t>Giữ</t>
        </is>
      </c>
      <c r="F1094" s="39" t="n"/>
      <c r="G1094" s="39" t="n"/>
      <c r="H1094" s="39" t="n"/>
    </row>
    <row r="1095" ht="21.75" customHeight="1" s="32">
      <c r="A1095" s="41" t="inlineStr">
        <is>
          <t>missile_battery.pac3</t>
        </is>
      </c>
      <c r="B1095" s="41" t="inlineStr">
        <is>
          <t>Tên lửa Patriot tầm xa · nhánh PAC-3 đánh chặn</t>
        </is>
      </c>
      <c r="C1095" s="41" t="inlineStr">
        <is>
          <t>Máu</t>
        </is>
      </c>
      <c r="D1095" s="43" t="n">
        <v>4180</v>
      </c>
      <c r="E1095" s="49" t="inlineStr">
        <is>
          <t>Giữ</t>
        </is>
      </c>
      <c r="F1095" s="41" t="n"/>
      <c r="G1095" s="41" t="inlineStr">
        <is>
          <t>0.95 × trung vị máu tháp ô lớn.</t>
        </is>
      </c>
      <c r="H1095" s="41" t="n"/>
    </row>
    <row r="1096" ht="21.75" customHeight="1" s="32">
      <c r="A1096" s="39" t="inlineStr">
        <is>
          <t>missile_battery.pac3</t>
        </is>
      </c>
      <c r="B1096" s="39" t="inlineStr">
        <is>
          <t>Tên lửa Patriot tầm xa · nhánh PAC-3 đánh chặn</t>
        </is>
      </c>
      <c r="C1096" s="39" t="inlineStr">
        <is>
          <t>Giáp</t>
        </is>
      </c>
      <c r="D1096" s="39" t="inlineStr">
        <is>
          <t>cấp 1 (Mỏng) · công trình</t>
        </is>
      </c>
      <c r="E1096" s="49" t="inlineStr">
        <is>
          <t>Giữ</t>
        </is>
      </c>
      <c r="F1096" s="39" t="n"/>
      <c r="G1096" s="39" t="inlineStr">
        <is>
          <t>Công trình; hợp vai trò.</t>
        </is>
      </c>
      <c r="H1096" s="39" t="n"/>
    </row>
    <row r="1097" ht="21.75" customHeight="1" s="32">
      <c r="A1097" s="41" t="inlineStr">
        <is>
          <t>missile_battery.pac3</t>
        </is>
      </c>
      <c r="B1097" s="41" t="inlineStr">
        <is>
          <t>Tên lửa Patriot tầm xa · nhánh PAC-3 đánh chặn</t>
        </is>
      </c>
      <c r="C1097" s="41" t="inlineStr">
        <is>
          <t>Kích thước</t>
        </is>
      </c>
      <c r="D1097" s="41" t="inlineStr">
        <is>
          <t>7.0 × 9.1 × 7.3</t>
        </is>
      </c>
      <c r="E1097" s="49" t="inlineStr">
        <is>
          <t>Giữ</t>
        </is>
      </c>
      <c r="F1097" s="41" t="n"/>
      <c r="G1097" s="41" t="inlineStr">
        <is>
          <t>Vừa cỡ ô.</t>
        </is>
      </c>
      <c r="H1097" s="41" t="n"/>
    </row>
    <row r="1098" ht="21.75" customHeight="1" s="32">
      <c r="A1098" s="39" t="inlineStr">
        <is>
          <t>missile_battery.pac3</t>
        </is>
      </c>
      <c r="B1098" s="39" t="inlineStr">
        <is>
          <t>Tên lửa Patriot tầm xa · nhánh PAC-3 đánh chặn</t>
        </is>
      </c>
      <c r="C1098" s="39" t="inlineStr">
        <is>
          <t>Vũ khí: PAC-3</t>
        </is>
      </c>
      <c r="D1098" s="39" t="inlineStr">
        <is>
          <t>tốc độ 24</t>
        </is>
      </c>
      <c r="E1098" s="47" t="inlineStr">
        <is>
          <t>Đổi</t>
        </is>
      </c>
      <c r="F1098" s="39" t="inlineStr">
        <is>
          <t>tốc độ 65; đo số tên lửa đòn lớn boss bắn hạ được</t>
        </is>
      </c>
      <c r="G1098" s="39" t="inlineStr">
        <is>
          <t>Tên lửa đánh chặn phải nhanh hơn tên lửa hành trình và đạn đạo.</t>
        </is>
      </c>
      <c r="H1098" s="48" t="inlineStr">
        <is>
          <t>Trung</t>
        </is>
      </c>
    </row>
    <row r="1099" ht="21.75" customHeight="1" s="32">
      <c r="A1099" s="41" t="inlineStr">
        <is>
          <t>missile_battery.pac3</t>
        </is>
      </c>
      <c r="B1099" s="41" t="inlineStr">
        <is>
          <t>Tên lửa Patriot tầm xa · nhánh PAC-3 đánh chặn</t>
        </is>
      </c>
      <c r="C1099" s="41" t="inlineStr">
        <is>
          <t>Nổ khi bị phá</t>
        </is>
      </c>
      <c r="D1099" s="41" t="inlineStr">
        <is>
          <t>12 m</t>
        </is>
      </c>
      <c r="E1099" s="49" t="inlineStr">
        <is>
          <t>Giữ</t>
        </is>
      </c>
      <c r="F1099" s="41" t="n"/>
      <c r="G1099" s="41" t="inlineStr">
        <is>
          <t>Hợp cỡ.</t>
        </is>
      </c>
      <c r="H1099" s="41" t="n"/>
    </row>
    <row r="1100" ht="21.75" customHeight="1" s="32">
      <c r="A1100" s="39" t="inlineStr">
        <is>
          <t>missile_battery.lrr</t>
        </is>
      </c>
      <c r="B1100" s="39" t="inlineStr">
        <is>
          <t>Tên lửa Patriot tầm xa · nhánh Radar tầm xa</t>
        </is>
      </c>
      <c r="C1100" s="39" t="inlineStr">
        <is>
          <t>Tên</t>
        </is>
      </c>
      <c r="D1100" s="39" t="inlineStr">
        <is>
          <t>Tên lửa Patriot tầm xa · nhánh Radar tầm xa</t>
        </is>
      </c>
      <c r="E1100" s="49" t="inlineStr">
        <is>
          <t>Giữ</t>
        </is>
      </c>
      <c r="F1100" s="39" t="n"/>
      <c r="G1100" s="39" t="inlineStr">
        <is>
          <t>Tên rõ vai trò.</t>
        </is>
      </c>
      <c r="H1100" s="39" t="n"/>
    </row>
    <row r="1101" ht="21.75" customHeight="1" s="32">
      <c r="A1101" s="41" t="inlineStr">
        <is>
          <t>missile_battery.lrr</t>
        </is>
      </c>
      <c r="B1101" s="41" t="inlineStr">
        <is>
          <t>Tên lửa Patriot tầm xa · nhánh Radar tầm xa</t>
        </is>
      </c>
      <c r="C1101" s="41" t="inlineStr">
        <is>
          <t>Ô</t>
        </is>
      </c>
      <c r="D1101" s="41" t="inlineStr">
        <is>
          <t>Lớn</t>
        </is>
      </c>
      <c r="E1101" s="49" t="inlineStr">
        <is>
          <t>Giữ</t>
        </is>
      </c>
      <c r="F1101" s="41" t="n"/>
      <c r="G1101" s="41" t="n"/>
      <c r="H1101" s="41" t="n"/>
    </row>
    <row r="1102" ht="21.75" customHeight="1" s="32">
      <c r="A1102" s="39" t="inlineStr">
        <is>
          <t>missile_battery.lrr</t>
        </is>
      </c>
      <c r="B1102" s="39" t="inlineStr">
        <is>
          <t>Tên lửa Patriot tầm xa · nhánh Radar tầm xa</t>
        </is>
      </c>
      <c r="C1102" s="39" t="inlineStr">
        <is>
          <t>Máu</t>
        </is>
      </c>
      <c r="D1102" s="42" t="n">
        <v>4180</v>
      </c>
      <c r="E1102" s="49" t="inlineStr">
        <is>
          <t>Giữ</t>
        </is>
      </c>
      <c r="F1102" s="39" t="n"/>
      <c r="G1102" s="39" t="inlineStr">
        <is>
          <t>0.95 × trung vị máu tháp ô lớn.</t>
        </is>
      </c>
      <c r="H1102" s="39" t="n"/>
    </row>
    <row r="1103" ht="21.75" customHeight="1" s="32">
      <c r="A1103" s="41" t="inlineStr">
        <is>
          <t>missile_battery.lrr</t>
        </is>
      </c>
      <c r="B1103" s="41" t="inlineStr">
        <is>
          <t>Tên lửa Patriot tầm xa · nhánh Radar tầm xa</t>
        </is>
      </c>
      <c r="C1103" s="41" t="inlineStr">
        <is>
          <t>Giáp</t>
        </is>
      </c>
      <c r="D1103" s="41" t="inlineStr">
        <is>
          <t>cấp 1 (Mỏng) · công trình</t>
        </is>
      </c>
      <c r="E1103" s="49" t="inlineStr">
        <is>
          <t>Giữ</t>
        </is>
      </c>
      <c r="F1103" s="41" t="n"/>
      <c r="G1103" s="41" t="inlineStr">
        <is>
          <t>Công trình; hợp vai trò.</t>
        </is>
      </c>
      <c r="H1103" s="41" t="n"/>
    </row>
    <row r="1104" ht="21.75" customHeight="1" s="32">
      <c r="A1104" s="39" t="inlineStr">
        <is>
          <t>missile_battery.lrr</t>
        </is>
      </c>
      <c r="B1104" s="39" t="inlineStr">
        <is>
          <t>Tên lửa Patriot tầm xa · nhánh Radar tầm xa</t>
        </is>
      </c>
      <c r="C1104" s="39" t="inlineStr">
        <is>
          <t>Kích thước</t>
        </is>
      </c>
      <c r="D1104" s="39" t="inlineStr">
        <is>
          <t>7.0 × 9.1 × 7.3</t>
        </is>
      </c>
      <c r="E1104" s="49" t="inlineStr">
        <is>
          <t>Giữ</t>
        </is>
      </c>
      <c r="F1104" s="39" t="n"/>
      <c r="G1104" s="39" t="inlineStr">
        <is>
          <t>Vừa cỡ ô.</t>
        </is>
      </c>
      <c r="H1104" s="39" t="n"/>
    </row>
    <row r="1105" ht="21.75" customHeight="1" s="32">
      <c r="A1105" s="41" t="inlineStr">
        <is>
          <t>missile_battery.lrr</t>
        </is>
      </c>
      <c r="B1105" s="41" t="inlineStr">
        <is>
          <t>Tên lửa Patriot tầm xa · nhánh Radar tầm xa</t>
        </is>
      </c>
      <c r="C1105" s="41" t="inlineStr">
        <is>
          <t>Vũ khí</t>
        </is>
      </c>
      <c r="D1105" s="41" t="inlineStr">
        <is>
          <t>chống máy bay 186 · tầm 100</t>
        </is>
      </c>
      <c r="E1105" s="47" t="inlineStr">
        <is>
          <t>Đổi</t>
        </is>
      </c>
      <c r="F1105" s="41" t="inlineStr">
        <is>
          <t>chống máy bay 260</t>
        </is>
      </c>
      <c r="G1105" s="41" t="inlineStr">
        <is>
          <t>Nhánh chống máy bay phải mạnh hơn nhánh đánh chặn ở vai trò chống máy bay.</t>
        </is>
      </c>
      <c r="H1105" s="48" t="inlineStr">
        <is>
          <t>Trung</t>
        </is>
      </c>
    </row>
    <row r="1106" ht="21.75" customHeight="1" s="32">
      <c r="A1106" s="39" t="inlineStr">
        <is>
          <t>missile_battery.lrr</t>
        </is>
      </c>
      <c r="B1106" s="39" t="inlineStr">
        <is>
          <t>Tên lửa Patriot tầm xa · nhánh Radar tầm xa</t>
        </is>
      </c>
      <c r="C1106" s="39" t="inlineStr">
        <is>
          <t>Nổ khi bị phá</t>
        </is>
      </c>
      <c r="D1106" s="39" t="inlineStr">
        <is>
          <t>12 m</t>
        </is>
      </c>
      <c r="E1106" s="49" t="inlineStr">
        <is>
          <t>Giữ</t>
        </is>
      </c>
      <c r="F1106" s="39" t="n"/>
      <c r="G1106" s="39" t="inlineStr">
        <is>
          <t>Hợp cỡ.</t>
        </is>
      </c>
      <c r="H1106" s="39" t="n"/>
    </row>
    <row r="1107" ht="15" customHeight="1" s="32">
      <c r="A1107" s="41" t="inlineStr">
        <is>
          <t>shield_tower</t>
        </is>
      </c>
      <c r="B1107" s="41" t="inlineStr">
        <is>
          <t>Máy phát khiên</t>
        </is>
      </c>
      <c r="C1107" s="41" t="inlineStr">
        <is>
          <t>Tên</t>
        </is>
      </c>
      <c r="D1107" s="41" t="inlineStr">
        <is>
          <t>Máy phát khiên</t>
        </is>
      </c>
      <c r="E1107" s="49" t="inlineStr">
        <is>
          <t>Giữ</t>
        </is>
      </c>
      <c r="F1107" s="41" t="n"/>
      <c r="G1107" s="41" t="inlineStr">
        <is>
          <t>Tên rõ vai trò.</t>
        </is>
      </c>
      <c r="H1107" s="41" t="n"/>
    </row>
    <row r="1108" ht="15" customHeight="1" s="32">
      <c r="A1108" s="39" t="inlineStr">
        <is>
          <t>shield_tower</t>
        </is>
      </c>
      <c r="B1108" s="39" t="inlineStr">
        <is>
          <t>Máy phát khiên</t>
        </is>
      </c>
      <c r="C1108" s="39" t="inlineStr">
        <is>
          <t>Ô</t>
        </is>
      </c>
      <c r="D1108" s="39" t="inlineStr">
        <is>
          <t>Lớn</t>
        </is>
      </c>
      <c r="E1108" s="49" t="inlineStr">
        <is>
          <t>Giữ</t>
        </is>
      </c>
      <c r="F1108" s="39" t="n"/>
      <c r="G1108" s="39" t="n"/>
      <c r="H1108" s="39" t="n"/>
    </row>
    <row r="1109" ht="15" customHeight="1" s="32">
      <c r="A1109" s="41" t="inlineStr">
        <is>
          <t>shield_tower</t>
        </is>
      </c>
      <c r="B1109" s="41" t="inlineStr">
        <is>
          <t>Máy phát khiên</t>
        </is>
      </c>
      <c r="C1109" s="41" t="inlineStr">
        <is>
          <t>Máu</t>
        </is>
      </c>
      <c r="D1109" s="43" t="n">
        <v>4400</v>
      </c>
      <c r="E1109" s="49" t="inlineStr">
        <is>
          <t>Giữ</t>
        </is>
      </c>
      <c r="F1109" s="41" t="n"/>
      <c r="G1109" s="41" t="inlineStr">
        <is>
          <t>1.00 × trung vị máu tháp ô lớn.</t>
        </is>
      </c>
      <c r="H1109" s="41" t="n"/>
    </row>
    <row r="1110" ht="15" customHeight="1" s="32">
      <c r="A1110" s="39" t="inlineStr">
        <is>
          <t>shield_tower</t>
        </is>
      </c>
      <c r="B1110" s="39" t="inlineStr">
        <is>
          <t>Máy phát khiên</t>
        </is>
      </c>
      <c r="C1110" s="39" t="inlineStr">
        <is>
          <t>Giáp</t>
        </is>
      </c>
      <c r="D1110" s="39" t="inlineStr">
        <is>
          <t>cấp 2 (Vừa) · công trình</t>
        </is>
      </c>
      <c r="E1110" s="49" t="inlineStr">
        <is>
          <t>Giữ</t>
        </is>
      </c>
      <c r="F1110" s="39" t="n"/>
      <c r="G1110" s="39" t="inlineStr">
        <is>
          <t>Công trình; hợp vai trò.</t>
        </is>
      </c>
      <c r="H1110" s="39" t="n"/>
    </row>
    <row r="1111" ht="15" customHeight="1" s="32">
      <c r="A1111" s="41" t="inlineStr">
        <is>
          <t>shield_tower</t>
        </is>
      </c>
      <c r="B1111" s="41" t="inlineStr">
        <is>
          <t>Máy phát khiên</t>
        </is>
      </c>
      <c r="C1111" s="41" t="inlineStr">
        <is>
          <t>Kích thước</t>
        </is>
      </c>
      <c r="D1111" s="41" t="inlineStr">
        <is>
          <t>7.2 × 7.2 × 9.2</t>
        </is>
      </c>
      <c r="E1111" s="49" t="inlineStr">
        <is>
          <t>Giữ</t>
        </is>
      </c>
      <c r="F1111" s="41" t="n"/>
      <c r="G1111" s="41" t="inlineStr">
        <is>
          <t>Vừa cỡ ô.</t>
        </is>
      </c>
      <c r="H1111" s="41" t="n"/>
    </row>
    <row r="1112" ht="15" customHeight="1" s="32">
      <c r="A1112" s="39" t="inlineStr">
        <is>
          <t>shield_tower</t>
        </is>
      </c>
      <c r="B1112" s="39" t="inlineStr">
        <is>
          <t>Máy phát khiên</t>
        </is>
      </c>
      <c r="C1112" s="39" t="inlineStr">
        <is>
          <t>Vũ khí / DPS</t>
        </is>
      </c>
      <c r="D1112" s="39" t="inlineStr">
        <is>
          <t>0/0/0</t>
        </is>
      </c>
      <c r="E1112" s="49" t="inlineStr">
        <is>
          <t>Giữ</t>
        </is>
      </c>
      <c r="F1112" s="39" t="n"/>
      <c r="G1112" s="39" t="inlineStr">
        <is>
          <t>Trong khoảng mục tiêu của cỡ ô.</t>
        </is>
      </c>
      <c r="H1112" s="39" t="n"/>
    </row>
    <row r="1113" ht="15" customHeight="1" s="32">
      <c r="A1113" s="41" t="inlineStr">
        <is>
          <t>shield_tower</t>
        </is>
      </c>
      <c r="B1113" s="41" t="inlineStr">
        <is>
          <t>Máy phát khiên</t>
        </is>
      </c>
      <c r="C1113" s="41" t="inlineStr">
        <is>
          <t>Nổ khi bị phá</t>
        </is>
      </c>
      <c r="D1113" s="41" t="inlineStr">
        <is>
          <t>9 m</t>
        </is>
      </c>
      <c r="E1113" s="49" t="inlineStr">
        <is>
          <t>Giữ</t>
        </is>
      </c>
      <c r="F1113" s="41" t="n"/>
      <c r="G1113" s="41" t="inlineStr">
        <is>
          <t>Hợp cỡ.</t>
        </is>
      </c>
      <c r="H1113" s="41" t="n"/>
    </row>
    <row r="1114" ht="15" customHeight="1" s="32">
      <c r="A1114" s="39" t="inlineStr">
        <is>
          <t>shield_tower.bulwark</t>
        </is>
      </c>
      <c r="B1114" s="39" t="inlineStr">
        <is>
          <t>Máy phát khiên · nhánh Vòm khiên</t>
        </is>
      </c>
      <c r="C1114" s="39" t="inlineStr">
        <is>
          <t>Tên</t>
        </is>
      </c>
      <c r="D1114" s="39" t="inlineStr">
        <is>
          <t>Máy phát khiên · nhánh Vòm khiên</t>
        </is>
      </c>
      <c r="E1114" s="49" t="inlineStr">
        <is>
          <t>Giữ</t>
        </is>
      </c>
      <c r="F1114" s="39" t="n"/>
      <c r="G1114" s="39" t="inlineStr">
        <is>
          <t>Tên rõ vai trò.</t>
        </is>
      </c>
      <c r="H1114" s="39" t="n"/>
    </row>
    <row r="1115" ht="15" customHeight="1" s="32">
      <c r="A1115" s="41" t="inlineStr">
        <is>
          <t>shield_tower.bulwark</t>
        </is>
      </c>
      <c r="B1115" s="41" t="inlineStr">
        <is>
          <t>Máy phát khiên · nhánh Vòm khiên</t>
        </is>
      </c>
      <c r="C1115" s="41" t="inlineStr">
        <is>
          <t>Ô</t>
        </is>
      </c>
      <c r="D1115" s="41" t="inlineStr">
        <is>
          <t>Lớn</t>
        </is>
      </c>
      <c r="E1115" s="49" t="inlineStr">
        <is>
          <t>Giữ</t>
        </is>
      </c>
      <c r="F1115" s="41" t="n"/>
      <c r="G1115" s="41" t="n"/>
      <c r="H1115" s="41" t="n"/>
    </row>
    <row r="1116" ht="15" customHeight="1" s="32">
      <c r="A1116" s="39" t="inlineStr">
        <is>
          <t>shield_tower.bulwark</t>
        </is>
      </c>
      <c r="B1116" s="39" t="inlineStr">
        <is>
          <t>Máy phát khiên · nhánh Vòm khiên</t>
        </is>
      </c>
      <c r="C1116" s="39" t="inlineStr">
        <is>
          <t>Máu</t>
        </is>
      </c>
      <c r="D1116" s="42" t="n">
        <v>4400</v>
      </c>
      <c r="E1116" s="49" t="inlineStr">
        <is>
          <t>Giữ</t>
        </is>
      </c>
      <c r="F1116" s="39" t="n"/>
      <c r="G1116" s="39" t="inlineStr">
        <is>
          <t>1.00 × trung vị máu tháp ô lớn.</t>
        </is>
      </c>
      <c r="H1116" s="39" t="n"/>
    </row>
    <row r="1117" ht="15" customHeight="1" s="32">
      <c r="A1117" s="41" t="inlineStr">
        <is>
          <t>shield_tower.bulwark</t>
        </is>
      </c>
      <c r="B1117" s="41" t="inlineStr">
        <is>
          <t>Máy phát khiên · nhánh Vòm khiên</t>
        </is>
      </c>
      <c r="C1117" s="41" t="inlineStr">
        <is>
          <t>Giáp</t>
        </is>
      </c>
      <c r="D1117" s="41" t="inlineStr">
        <is>
          <t>cấp 2 (Vừa) · công trình</t>
        </is>
      </c>
      <c r="E1117" s="49" t="inlineStr">
        <is>
          <t>Giữ</t>
        </is>
      </c>
      <c r="F1117" s="41" t="n"/>
      <c r="G1117" s="41" t="inlineStr">
        <is>
          <t>Công trình; hợp vai trò.</t>
        </is>
      </c>
      <c r="H1117" s="41" t="n"/>
    </row>
    <row r="1118" ht="15" customHeight="1" s="32">
      <c r="A1118" s="39" t="inlineStr">
        <is>
          <t>shield_tower.bulwark</t>
        </is>
      </c>
      <c r="B1118" s="39" t="inlineStr">
        <is>
          <t>Máy phát khiên · nhánh Vòm khiên</t>
        </is>
      </c>
      <c r="C1118" s="39" t="inlineStr">
        <is>
          <t>Kích thước</t>
        </is>
      </c>
      <c r="D1118" s="39" t="inlineStr">
        <is>
          <t>7.2 × 7.2 × 9.2</t>
        </is>
      </c>
      <c r="E1118" s="49" t="inlineStr">
        <is>
          <t>Giữ</t>
        </is>
      </c>
      <c r="F1118" s="39" t="n"/>
      <c r="G1118" s="39" t="inlineStr">
        <is>
          <t>Vừa cỡ ô.</t>
        </is>
      </c>
      <c r="H1118" s="39" t="n"/>
    </row>
    <row r="1119" ht="15" customHeight="1" s="32">
      <c r="A1119" s="41" t="inlineStr">
        <is>
          <t>shield_tower.bulwark</t>
        </is>
      </c>
      <c r="B1119" s="41" t="inlineStr">
        <is>
          <t>Máy phát khiên · nhánh Vòm khiên</t>
        </is>
      </c>
      <c r="C1119" s="41" t="inlineStr">
        <is>
          <t>Vũ khí / DPS</t>
        </is>
      </c>
      <c r="D1119" s="41" t="inlineStr">
        <is>
          <t>0/0/0</t>
        </is>
      </c>
      <c r="E1119" s="49" t="inlineStr">
        <is>
          <t>Giữ</t>
        </is>
      </c>
      <c r="F1119" s="41" t="n"/>
      <c r="G1119" s="41" t="inlineStr">
        <is>
          <t>Trong khoảng mục tiêu của cỡ ô.</t>
        </is>
      </c>
      <c r="H1119" s="41" t="n"/>
    </row>
    <row r="1120" ht="15" customHeight="1" s="32">
      <c r="A1120" s="39" t="inlineStr">
        <is>
          <t>shield_tower.bulwark</t>
        </is>
      </c>
      <c r="B1120" s="39" t="inlineStr">
        <is>
          <t>Máy phát khiên · nhánh Vòm khiên</t>
        </is>
      </c>
      <c r="C1120" s="39" t="inlineStr">
        <is>
          <t>Nổ khi bị phá</t>
        </is>
      </c>
      <c r="D1120" s="39" t="inlineStr">
        <is>
          <t>9 m</t>
        </is>
      </c>
      <c r="E1120" s="49" t="inlineStr">
        <is>
          <t>Giữ</t>
        </is>
      </c>
      <c r="F1120" s="39" t="n"/>
      <c r="G1120" s="39" t="inlineStr">
        <is>
          <t>Hợp cỡ.</t>
        </is>
      </c>
      <c r="H1120" s="39" t="n"/>
    </row>
    <row r="1121" ht="15" customHeight="1" s="32">
      <c r="A1121" s="41" t="inlineStr">
        <is>
          <t>shield_tower.ward</t>
        </is>
      </c>
      <c r="B1121" s="41" t="inlineStr">
        <is>
          <t>Máy phát khiên · nhánh Lá chắn tháp</t>
        </is>
      </c>
      <c r="C1121" s="41" t="inlineStr">
        <is>
          <t>Tên</t>
        </is>
      </c>
      <c r="D1121" s="41" t="inlineStr">
        <is>
          <t>Máy phát khiên · nhánh Lá chắn tháp</t>
        </is>
      </c>
      <c r="E1121" s="49" t="inlineStr">
        <is>
          <t>Giữ</t>
        </is>
      </c>
      <c r="F1121" s="41" t="n"/>
      <c r="G1121" s="41" t="inlineStr">
        <is>
          <t>Tên rõ vai trò.</t>
        </is>
      </c>
      <c r="H1121" s="41" t="n"/>
    </row>
    <row r="1122" ht="15" customHeight="1" s="32">
      <c r="A1122" s="39" t="inlineStr">
        <is>
          <t>shield_tower.ward</t>
        </is>
      </c>
      <c r="B1122" s="39" t="inlineStr">
        <is>
          <t>Máy phát khiên · nhánh Lá chắn tháp</t>
        </is>
      </c>
      <c r="C1122" s="39" t="inlineStr">
        <is>
          <t>Ô</t>
        </is>
      </c>
      <c r="D1122" s="39" t="inlineStr">
        <is>
          <t>Lớn</t>
        </is>
      </c>
      <c r="E1122" s="49" t="inlineStr">
        <is>
          <t>Giữ</t>
        </is>
      </c>
      <c r="F1122" s="39" t="n"/>
      <c r="G1122" s="39" t="n"/>
      <c r="H1122" s="39" t="n"/>
    </row>
    <row r="1123" ht="15" customHeight="1" s="32">
      <c r="A1123" s="41" t="inlineStr">
        <is>
          <t>shield_tower.ward</t>
        </is>
      </c>
      <c r="B1123" s="41" t="inlineStr">
        <is>
          <t>Máy phát khiên · nhánh Lá chắn tháp</t>
        </is>
      </c>
      <c r="C1123" s="41" t="inlineStr">
        <is>
          <t>Máu</t>
        </is>
      </c>
      <c r="D1123" s="43" t="n">
        <v>4400</v>
      </c>
      <c r="E1123" s="49" t="inlineStr">
        <is>
          <t>Giữ</t>
        </is>
      </c>
      <c r="F1123" s="41" t="n"/>
      <c r="G1123" s="41" t="inlineStr">
        <is>
          <t>1.00 × trung vị máu tháp ô lớn.</t>
        </is>
      </c>
      <c r="H1123" s="41" t="n"/>
    </row>
    <row r="1124" ht="15" customHeight="1" s="32">
      <c r="A1124" s="39" t="inlineStr">
        <is>
          <t>shield_tower.ward</t>
        </is>
      </c>
      <c r="B1124" s="39" t="inlineStr">
        <is>
          <t>Máy phát khiên · nhánh Lá chắn tháp</t>
        </is>
      </c>
      <c r="C1124" s="39" t="inlineStr">
        <is>
          <t>Giáp</t>
        </is>
      </c>
      <c r="D1124" s="39" t="inlineStr">
        <is>
          <t>cấp 2 (Vừa) · công trình</t>
        </is>
      </c>
      <c r="E1124" s="49" t="inlineStr">
        <is>
          <t>Giữ</t>
        </is>
      </c>
      <c r="F1124" s="39" t="n"/>
      <c r="G1124" s="39" t="inlineStr">
        <is>
          <t>Công trình; hợp vai trò.</t>
        </is>
      </c>
      <c r="H1124" s="39" t="n"/>
    </row>
    <row r="1125" ht="15" customHeight="1" s="32">
      <c r="A1125" s="41" t="inlineStr">
        <is>
          <t>shield_tower.ward</t>
        </is>
      </c>
      <c r="B1125" s="41" t="inlineStr">
        <is>
          <t>Máy phát khiên · nhánh Lá chắn tháp</t>
        </is>
      </c>
      <c r="C1125" s="41" t="inlineStr">
        <is>
          <t>Kích thước</t>
        </is>
      </c>
      <c r="D1125" s="41" t="inlineStr">
        <is>
          <t>7.2 × 7.2 × 9.2</t>
        </is>
      </c>
      <c r="E1125" s="49" t="inlineStr">
        <is>
          <t>Giữ</t>
        </is>
      </c>
      <c r="F1125" s="41" t="n"/>
      <c r="G1125" s="41" t="inlineStr">
        <is>
          <t>Vừa cỡ ô.</t>
        </is>
      </c>
      <c r="H1125" s="41" t="n"/>
    </row>
    <row r="1126" ht="15" customHeight="1" s="32">
      <c r="A1126" s="39" t="inlineStr">
        <is>
          <t>shield_tower.ward</t>
        </is>
      </c>
      <c r="B1126" s="39" t="inlineStr">
        <is>
          <t>Máy phát khiên · nhánh Lá chắn tháp</t>
        </is>
      </c>
      <c r="C1126" s="39" t="inlineStr">
        <is>
          <t>Vũ khí / DPS</t>
        </is>
      </c>
      <c r="D1126" s="39" t="inlineStr">
        <is>
          <t>0/0/0</t>
        </is>
      </c>
      <c r="E1126" s="49" t="inlineStr">
        <is>
          <t>Giữ</t>
        </is>
      </c>
      <c r="F1126" s="39" t="n"/>
      <c r="G1126" s="39" t="inlineStr">
        <is>
          <t>Trong khoảng mục tiêu của cỡ ô.</t>
        </is>
      </c>
      <c r="H1126" s="39" t="n"/>
    </row>
    <row r="1127" ht="15" customHeight="1" s="32">
      <c r="A1127" s="41" t="inlineStr">
        <is>
          <t>shield_tower.ward</t>
        </is>
      </c>
      <c r="B1127" s="41" t="inlineStr">
        <is>
          <t>Máy phát khiên · nhánh Lá chắn tháp</t>
        </is>
      </c>
      <c r="C1127" s="41" t="inlineStr">
        <is>
          <t>Nổ khi bị phá</t>
        </is>
      </c>
      <c r="D1127" s="41" t="inlineStr">
        <is>
          <t>9 m</t>
        </is>
      </c>
      <c r="E1127" s="49" t="inlineStr">
        <is>
          <t>Giữ</t>
        </is>
      </c>
      <c r="F1127" s="41" t="n"/>
      <c r="G1127" s="41" t="inlineStr">
        <is>
          <t>Hợp cỡ.</t>
        </is>
      </c>
      <c r="H1127" s="41" t="n"/>
    </row>
    <row r="1128" ht="15" customHeight="1" s="32">
      <c r="A1128" s="39" t="inlineStr">
        <is>
          <t>bulwark_post</t>
        </is>
      </c>
      <c r="B1128" s="39" t="inlineStr">
        <is>
          <t>Ụ súng tạm</t>
        </is>
      </c>
      <c r="C1128" s="39" t="inlineStr">
        <is>
          <t>Tên</t>
        </is>
      </c>
      <c r="D1128" s="39" t="inlineStr">
        <is>
          <t>Ụ súng tạm</t>
        </is>
      </c>
      <c r="E1128" s="47" t="inlineStr">
        <is>
          <t>Đổi</t>
        </is>
      </c>
      <c r="F1128" s="39" t="inlineStr">
        <is>
          <t>Ụ súng dã chiến · ngắn: Ụ súng · EN: Field Gun Post</t>
        </is>
      </c>
      <c r="G1128" s="39" t="inlineStr">
        <is>
          <t>"Tạm" nghe như lỗi.</t>
        </is>
      </c>
      <c r="H1128" s="49" t="inlineStr">
        <is>
          <t>Thấp</t>
        </is>
      </c>
    </row>
    <row r="1129" ht="15" customHeight="1" s="32">
      <c r="A1129" s="41" t="inlineStr">
        <is>
          <t>bulwark_post</t>
        </is>
      </c>
      <c r="B1129" s="41" t="inlineStr">
        <is>
          <t>Ụ súng tạm</t>
        </is>
      </c>
      <c r="C1129" s="41" t="inlineStr">
        <is>
          <t>Ô</t>
        </is>
      </c>
      <c r="D1129" s="41" t="inlineStr">
        <is>
          <t>Khác</t>
        </is>
      </c>
      <c r="E1129" s="49" t="inlineStr">
        <is>
          <t>Giữ</t>
        </is>
      </c>
      <c r="F1129" s="41" t="n"/>
      <c r="G1129" s="41" t="n"/>
      <c r="H1129" s="41" t="n"/>
    </row>
    <row r="1130" ht="15" customHeight="1" s="32">
      <c r="A1130" s="39" t="inlineStr">
        <is>
          <t>bulwark_post</t>
        </is>
      </c>
      <c r="B1130" s="39" t="inlineStr">
        <is>
          <t>Ụ súng tạm</t>
        </is>
      </c>
      <c r="C1130" s="39" t="inlineStr">
        <is>
          <t>Máu</t>
        </is>
      </c>
      <c r="D1130" s="42" t="n">
        <v>1100</v>
      </c>
      <c r="E1130" s="49" t="inlineStr">
        <is>
          <t>Giữ</t>
        </is>
      </c>
      <c r="F1130" s="39" t="n"/>
      <c r="G1130" s="39" t="inlineStr">
        <is>
          <t>Chướng ngại, sở chỉ huy hoặc công trình nhiệm vụ: máu theo vai trò riêng.</t>
        </is>
      </c>
      <c r="H1130" s="39" t="n"/>
    </row>
    <row r="1131" ht="15" customHeight="1" s="32">
      <c r="A1131" s="41" t="inlineStr">
        <is>
          <t>bulwark_post</t>
        </is>
      </c>
      <c r="B1131" s="41" t="inlineStr">
        <is>
          <t>Ụ súng tạm</t>
        </is>
      </c>
      <c r="C1131" s="41" t="inlineStr">
        <is>
          <t>Giáp</t>
        </is>
      </c>
      <c r="D1131" s="41" t="inlineStr">
        <is>
          <t>cấp 1 (Mỏng) · công trình</t>
        </is>
      </c>
      <c r="E1131" s="49" t="inlineStr">
        <is>
          <t>Giữ</t>
        </is>
      </c>
      <c r="F1131" s="41" t="n"/>
      <c r="G1131" s="41" t="inlineStr">
        <is>
          <t>Công trình; hợp vai trò.</t>
        </is>
      </c>
      <c r="H1131" s="41" t="n"/>
    </row>
    <row r="1132" ht="15" customHeight="1" s="32">
      <c r="A1132" s="39" t="inlineStr">
        <is>
          <t>bulwark_post</t>
        </is>
      </c>
      <c r="B1132" s="39" t="inlineStr">
        <is>
          <t>Ụ súng tạm</t>
        </is>
      </c>
      <c r="C1132" s="39" t="inlineStr">
        <is>
          <t>Kích thước</t>
        </is>
      </c>
      <c r="D1132" s="39" t="inlineStr">
        <is>
          <t>3.5 × 3.5 × 2.7</t>
        </is>
      </c>
      <c r="E1132" s="49" t="inlineStr">
        <is>
          <t>Giữ</t>
        </is>
      </c>
      <c r="F1132" s="39" t="n"/>
      <c r="G1132" s="39" t="inlineStr">
        <is>
          <t>Vừa cỡ ô.</t>
        </is>
      </c>
      <c r="H1132" s="39" t="n"/>
    </row>
    <row r="1133" ht="15" customHeight="1" s="32">
      <c r="A1133" s="41" t="inlineStr">
        <is>
          <t>bulwark_post</t>
        </is>
      </c>
      <c r="B1133" s="41" t="inlineStr">
        <is>
          <t>Ụ súng tạm</t>
        </is>
      </c>
      <c r="C1133" s="41" t="inlineStr">
        <is>
          <t>Vũ khí / DPS</t>
        </is>
      </c>
      <c r="D1133" s="41" t="inlineStr">
        <is>
          <t>102/30/36</t>
        </is>
      </c>
      <c r="E1133" s="49" t="inlineStr">
        <is>
          <t>Giữ</t>
        </is>
      </c>
      <c r="F1133" s="41" t="n"/>
      <c r="G1133" s="41" t="inlineStr">
        <is>
          <t>Trong khoảng mục tiêu của cỡ ô.</t>
        </is>
      </c>
      <c r="H1133" s="41" t="n"/>
    </row>
    <row r="1134" ht="15" customHeight="1" s="32">
      <c r="A1134" s="39" t="inlineStr">
        <is>
          <t>bulwark_post</t>
        </is>
      </c>
      <c r="B1134" s="39" t="inlineStr">
        <is>
          <t>Ụ súng tạm</t>
        </is>
      </c>
      <c r="C1134" s="39" t="inlineStr">
        <is>
          <t>Nổ khi bị phá</t>
        </is>
      </c>
      <c r="D1134" s="39" t="inlineStr">
        <is>
          <t>4 m</t>
        </is>
      </c>
      <c r="E1134" s="49" t="inlineStr">
        <is>
          <t>Giữ</t>
        </is>
      </c>
      <c r="F1134" s="39" t="n"/>
      <c r="G1134" s="39" t="inlineStr">
        <is>
          <t>Hợp cỡ.</t>
        </is>
      </c>
      <c r="H1134" s="39" t="n"/>
    </row>
    <row r="1135" ht="15" customHeight="1" s="32">
      <c r="A1135" s="41" t="inlineStr">
        <is>
          <t>coastal_battery</t>
        </is>
      </c>
      <c r="B1135" s="41" t="inlineStr">
        <is>
          <t>Trận địa pháo bờ biển</t>
        </is>
      </c>
      <c r="C1135" s="41" t="inlineStr">
        <is>
          <t>Tên</t>
        </is>
      </c>
      <c r="D1135" s="41" t="inlineStr">
        <is>
          <t>Trận địa pháo bờ biển</t>
        </is>
      </c>
      <c r="E1135" s="49" t="inlineStr">
        <is>
          <t>Giữ</t>
        </is>
      </c>
      <c r="F1135" s="41" t="n"/>
      <c r="G1135" s="41" t="inlineStr">
        <is>
          <t>Tên rõ vai trò.</t>
        </is>
      </c>
      <c r="H1135" s="41" t="n"/>
    </row>
    <row r="1136" ht="15" customHeight="1" s="32">
      <c r="A1136" s="39" t="inlineStr">
        <is>
          <t>coastal_battery</t>
        </is>
      </c>
      <c r="B1136" s="39" t="inlineStr">
        <is>
          <t>Trận địa pháo bờ biển</t>
        </is>
      </c>
      <c r="C1136" s="39" t="inlineStr">
        <is>
          <t>Ô</t>
        </is>
      </c>
      <c r="D1136" s="39" t="inlineStr">
        <is>
          <t>Khác</t>
        </is>
      </c>
      <c r="E1136" s="49" t="inlineStr">
        <is>
          <t>Giữ</t>
        </is>
      </c>
      <c r="F1136" s="39" t="n"/>
      <c r="G1136" s="39" t="n"/>
      <c r="H1136" s="39" t="n"/>
    </row>
    <row r="1137" ht="15" customHeight="1" s="32">
      <c r="A1137" s="41" t="inlineStr">
        <is>
          <t>coastal_battery</t>
        </is>
      </c>
      <c r="B1137" s="41" t="inlineStr">
        <is>
          <t>Trận địa pháo bờ biển</t>
        </is>
      </c>
      <c r="C1137" s="41" t="inlineStr">
        <is>
          <t>Máu</t>
        </is>
      </c>
      <c r="D1137" s="43" t="n">
        <v>6600</v>
      </c>
      <c r="E1137" s="49" t="inlineStr">
        <is>
          <t>Giữ</t>
        </is>
      </c>
      <c r="F1137" s="41" t="n"/>
      <c r="G1137" s="41" t="inlineStr">
        <is>
          <t>1.88 × trung vị máu tháp ô khác.</t>
        </is>
      </c>
      <c r="H1137" s="41" t="n"/>
    </row>
    <row r="1138" ht="15" customHeight="1" s="32">
      <c r="A1138" s="39" t="inlineStr">
        <is>
          <t>coastal_battery</t>
        </is>
      </c>
      <c r="B1138" s="39" t="inlineStr">
        <is>
          <t>Trận địa pháo bờ biển</t>
        </is>
      </c>
      <c r="C1138" s="39" t="inlineStr">
        <is>
          <t>Giáp</t>
        </is>
      </c>
      <c r="D1138" s="39" t="inlineStr">
        <is>
          <t>4/3/3/3</t>
        </is>
      </c>
      <c r="E1138" s="49" t="inlineStr">
        <is>
          <t>Giữ</t>
        </is>
      </c>
      <c r="F1138" s="39" t="n"/>
      <c r="G1138" s="39" t="inlineStr">
        <is>
          <t>Công trình; hợp vai trò.</t>
        </is>
      </c>
      <c r="H1138" s="39" t="n"/>
    </row>
    <row r="1139" ht="15" customHeight="1" s="32">
      <c r="A1139" s="41" t="inlineStr">
        <is>
          <t>coastal_battery</t>
        </is>
      </c>
      <c r="B1139" s="41" t="inlineStr">
        <is>
          <t>Trận địa pháo bờ biển</t>
        </is>
      </c>
      <c r="C1139" s="41" t="inlineStr">
        <is>
          <t>Kích thước</t>
        </is>
      </c>
      <c r="D1139" s="41" t="inlineStr">
        <is>
          <t>10.3 × 8.0 × 6.1</t>
        </is>
      </c>
      <c r="E1139" s="49" t="inlineStr">
        <is>
          <t>Giữ</t>
        </is>
      </c>
      <c r="F1139" s="41" t="n"/>
      <c r="G1139" s="41" t="inlineStr">
        <is>
          <t>Vừa cỡ ô.</t>
        </is>
      </c>
      <c r="H1139" s="41" t="n"/>
    </row>
    <row r="1140" ht="15" customHeight="1" s="32">
      <c r="A1140" s="39" t="inlineStr">
        <is>
          <t>coastal_battery</t>
        </is>
      </c>
      <c r="B1140" s="39" t="inlineStr">
        <is>
          <t>Trận địa pháo bờ biển</t>
        </is>
      </c>
      <c r="C1140" s="39" t="inlineStr">
        <is>
          <t>Vũ khí / DPS</t>
        </is>
      </c>
      <c r="D1140" s="39" t="inlineStr">
        <is>
          <t>87/62/0</t>
        </is>
      </c>
      <c r="E1140" s="49" t="inlineStr">
        <is>
          <t>Giữ</t>
        </is>
      </c>
      <c r="F1140" s="39" t="n"/>
      <c r="G1140" s="39" t="inlineStr">
        <is>
          <t>Trong khoảng mục tiêu của cỡ ô.</t>
        </is>
      </c>
      <c r="H1140" s="39" t="n"/>
    </row>
    <row r="1141" ht="15" customHeight="1" s="32">
      <c r="A1141" s="41" t="inlineStr">
        <is>
          <t>coastal_battery</t>
        </is>
      </c>
      <c r="B1141" s="41" t="inlineStr">
        <is>
          <t>Trận địa pháo bờ biển</t>
        </is>
      </c>
      <c r="C1141" s="41" t="inlineStr">
        <is>
          <t>Nổ khi bị phá</t>
        </is>
      </c>
      <c r="D1141" s="41" t="inlineStr">
        <is>
          <t>12 m</t>
        </is>
      </c>
      <c r="E1141" s="49" t="inlineStr">
        <is>
          <t>Giữ</t>
        </is>
      </c>
      <c r="F1141" s="41" t="n"/>
      <c r="G1141" s="41" t="inlineStr">
        <is>
          <t>Hợp cỡ.</t>
        </is>
      </c>
      <c r="H1141" s="41" t="n"/>
    </row>
    <row r="1142" ht="15" customHeight="1" s="32">
      <c r="A1142" s="39" t="inlineStr">
        <is>
          <t>spawn_bastion</t>
        </is>
      </c>
      <c r="B1142" s="39" t="inlineStr">
        <is>
          <t>Tháp căn cứ</t>
        </is>
      </c>
      <c r="C1142" s="39" t="inlineStr">
        <is>
          <t>Tên</t>
        </is>
      </c>
      <c r="D1142" s="39" t="inlineStr">
        <is>
          <t>Tháp căn cứ</t>
        </is>
      </c>
      <c r="E1142" s="47" t="inlineStr">
        <is>
          <t>Đổi</t>
        </is>
      </c>
      <c r="F1142" s="39" t="inlineStr">
        <is>
          <t>(kiểm tra còn dùng không) · ngắn: — · EN: —</t>
        </is>
      </c>
      <c r="G1142" s="39" t="inlineStr">
        <is>
          <t>Tên của hệ căn cứ cũ.</t>
        </is>
      </c>
      <c r="H1142" s="49" t="inlineStr">
        <is>
          <t>Thấp</t>
        </is>
      </c>
    </row>
    <row r="1143" ht="15" customHeight="1" s="32">
      <c r="A1143" s="41" t="inlineStr">
        <is>
          <t>spawn_bastion</t>
        </is>
      </c>
      <c r="B1143" s="41" t="inlineStr">
        <is>
          <t>Tháp căn cứ</t>
        </is>
      </c>
      <c r="C1143" s="41" t="inlineStr">
        <is>
          <t>Ô</t>
        </is>
      </c>
      <c r="D1143" s="41" t="inlineStr">
        <is>
          <t>Khác</t>
        </is>
      </c>
      <c r="E1143" s="49" t="inlineStr">
        <is>
          <t>Giữ</t>
        </is>
      </c>
      <c r="F1143" s="41" t="n"/>
      <c r="G1143" s="41" t="n"/>
      <c r="H1143" s="41" t="n"/>
    </row>
    <row r="1144" ht="15" customHeight="1" s="32">
      <c r="A1144" s="39" t="inlineStr">
        <is>
          <t>spawn_bastion</t>
        </is>
      </c>
      <c r="B1144" s="39" t="inlineStr">
        <is>
          <t>Tháp căn cứ</t>
        </is>
      </c>
      <c r="C1144" s="39" t="inlineStr">
        <is>
          <t>Máu</t>
        </is>
      </c>
      <c r="D1144" s="42" t="n">
        <v>11000</v>
      </c>
      <c r="E1144" s="49" t="inlineStr">
        <is>
          <t>Giữ</t>
        </is>
      </c>
      <c r="F1144" s="39" t="n"/>
      <c r="G1144" s="39" t="inlineStr">
        <is>
          <t>Chướng ngại, sở chỉ huy hoặc công trình nhiệm vụ: máu theo vai trò riêng.</t>
        </is>
      </c>
      <c r="H1144" s="39" t="n"/>
    </row>
    <row r="1145" ht="15" customHeight="1" s="32">
      <c r="A1145" s="41" t="inlineStr">
        <is>
          <t>spawn_bastion</t>
        </is>
      </c>
      <c r="B1145" s="41" t="inlineStr">
        <is>
          <t>Tháp căn cứ</t>
        </is>
      </c>
      <c r="C1145" s="41" t="inlineStr">
        <is>
          <t>Giáp</t>
        </is>
      </c>
      <c r="D1145" s="41" t="inlineStr">
        <is>
          <t>4/3/3/3</t>
        </is>
      </c>
      <c r="E1145" s="49" t="inlineStr">
        <is>
          <t>Giữ</t>
        </is>
      </c>
      <c r="F1145" s="41" t="n"/>
      <c r="G1145" s="41" t="inlineStr">
        <is>
          <t>Công trình; hợp vai trò.</t>
        </is>
      </c>
      <c r="H1145" s="41" t="n"/>
    </row>
    <row r="1146" ht="15" customHeight="1" s="32">
      <c r="A1146" s="39" t="inlineStr">
        <is>
          <t>spawn_bastion</t>
        </is>
      </c>
      <c r="B1146" s="39" t="inlineStr">
        <is>
          <t>Tháp căn cứ</t>
        </is>
      </c>
      <c r="C1146" s="39" t="inlineStr">
        <is>
          <t>Kích thước</t>
        </is>
      </c>
      <c r="D1146" s="39" t="inlineStr">
        <is>
          <t>10.3 × 8.0 × 6.1</t>
        </is>
      </c>
      <c r="E1146" s="49" t="inlineStr">
        <is>
          <t>Giữ</t>
        </is>
      </c>
      <c r="F1146" s="39" t="n"/>
      <c r="G1146" s="39" t="inlineStr">
        <is>
          <t>Vừa cỡ ô.</t>
        </is>
      </c>
      <c r="H1146" s="39" t="n"/>
    </row>
    <row r="1147" ht="15" customHeight="1" s="32">
      <c r="A1147" s="41" t="inlineStr">
        <is>
          <t>spawn_bastion</t>
        </is>
      </c>
      <c r="B1147" s="41" t="inlineStr">
        <is>
          <t>Tháp căn cứ</t>
        </is>
      </c>
      <c r="C1147" s="41" t="inlineStr">
        <is>
          <t>Vũ khí / DPS</t>
        </is>
      </c>
      <c r="D1147" s="41" t="inlineStr">
        <is>
          <t>147/123/0</t>
        </is>
      </c>
      <c r="E1147" s="49" t="inlineStr">
        <is>
          <t>Giữ</t>
        </is>
      </c>
      <c r="F1147" s="41" t="n"/>
      <c r="G1147" s="41" t="inlineStr">
        <is>
          <t>Trong khoảng mục tiêu của cỡ ô.</t>
        </is>
      </c>
      <c r="H1147" s="41" t="n"/>
    </row>
    <row r="1148" ht="15" customHeight="1" s="32">
      <c r="A1148" s="39" t="inlineStr">
        <is>
          <t>super_gun</t>
        </is>
      </c>
      <c r="B1148" s="39" t="inlineStr">
        <is>
          <t>Siêu pháo</t>
        </is>
      </c>
      <c r="C1148" s="39" t="inlineStr">
        <is>
          <t>Tên</t>
        </is>
      </c>
      <c r="D1148" s="39" t="inlineStr">
        <is>
          <t>Siêu pháo</t>
        </is>
      </c>
      <c r="E1148" s="49" t="inlineStr">
        <is>
          <t>Giữ</t>
        </is>
      </c>
      <c r="F1148" s="39" t="n"/>
      <c r="G1148" s="39" t="inlineStr">
        <is>
          <t>Tên rõ vai trò.</t>
        </is>
      </c>
      <c r="H1148" s="39" t="n"/>
    </row>
    <row r="1149" ht="15" customHeight="1" s="32">
      <c r="A1149" s="41" t="inlineStr">
        <is>
          <t>super_gun</t>
        </is>
      </c>
      <c r="B1149" s="41" t="inlineStr">
        <is>
          <t>Siêu pháo</t>
        </is>
      </c>
      <c r="C1149" s="41" t="inlineStr">
        <is>
          <t>Ô</t>
        </is>
      </c>
      <c r="D1149" s="41" t="inlineStr">
        <is>
          <t>Khác</t>
        </is>
      </c>
      <c r="E1149" s="49" t="inlineStr">
        <is>
          <t>Giữ</t>
        </is>
      </c>
      <c r="F1149" s="41" t="n"/>
      <c r="G1149" s="41" t="n"/>
      <c r="H1149" s="41" t="n"/>
    </row>
    <row r="1150" ht="15" customHeight="1" s="32">
      <c r="A1150" s="39" t="inlineStr">
        <is>
          <t>super_gun</t>
        </is>
      </c>
      <c r="B1150" s="39" t="inlineStr">
        <is>
          <t>Siêu pháo</t>
        </is>
      </c>
      <c r="C1150" s="39" t="inlineStr">
        <is>
          <t>Máu</t>
        </is>
      </c>
      <c r="D1150" s="42" t="n">
        <v>11440</v>
      </c>
      <c r="E1150" s="49" t="inlineStr">
        <is>
          <t>Giữ</t>
        </is>
      </c>
      <c r="F1150" s="39" t="n"/>
      <c r="G1150" s="39" t="inlineStr">
        <is>
          <t>Chướng ngại, sở chỉ huy hoặc công trình nhiệm vụ: máu theo vai trò riêng.</t>
        </is>
      </c>
      <c r="H1150" s="39" t="n"/>
    </row>
    <row r="1151" ht="15" customHeight="1" s="32">
      <c r="A1151" s="41" t="inlineStr">
        <is>
          <t>super_gun</t>
        </is>
      </c>
      <c r="B1151" s="41" t="inlineStr">
        <is>
          <t>Siêu pháo</t>
        </is>
      </c>
      <c r="C1151" s="41" t="inlineStr">
        <is>
          <t>Giáp</t>
        </is>
      </c>
      <c r="D1151" s="41" t="inlineStr">
        <is>
          <t>cấp 3 (Dày) · công trình</t>
        </is>
      </c>
      <c r="E1151" s="49" t="inlineStr">
        <is>
          <t>Giữ</t>
        </is>
      </c>
      <c r="F1151" s="41" t="n"/>
      <c r="G1151" s="41" t="inlineStr">
        <is>
          <t>Công trình; hợp vai trò.</t>
        </is>
      </c>
      <c r="H1151" s="41" t="n"/>
    </row>
    <row r="1152" ht="15" customHeight="1" s="32">
      <c r="A1152" s="39" t="inlineStr">
        <is>
          <t>super_gun</t>
        </is>
      </c>
      <c r="B1152" s="39" t="inlineStr">
        <is>
          <t>Siêu pháo</t>
        </is>
      </c>
      <c r="C1152" s="39" t="inlineStr">
        <is>
          <t>Kích thước</t>
        </is>
      </c>
      <c r="D1152" s="39" t="inlineStr">
        <is>
          <t>18.5 × 14.4 × 11.0</t>
        </is>
      </c>
      <c r="E1152" s="49" t="inlineStr">
        <is>
          <t>Giữ</t>
        </is>
      </c>
      <c r="F1152" s="39" t="n"/>
      <c r="G1152" s="39" t="inlineStr">
        <is>
          <t>Vừa cỡ ô.</t>
        </is>
      </c>
      <c r="H1152" s="39" t="n"/>
    </row>
    <row r="1153" ht="15" customHeight="1" s="32">
      <c r="A1153" s="41" t="inlineStr">
        <is>
          <t>super_gun</t>
        </is>
      </c>
      <c r="B1153" s="41" t="inlineStr">
        <is>
          <t>Siêu pháo</t>
        </is>
      </c>
      <c r="C1153" s="41" t="inlineStr">
        <is>
          <t>Vũ khí / DPS</t>
        </is>
      </c>
      <c r="D1153" s="41" t="inlineStr">
        <is>
          <t>0/0/0</t>
        </is>
      </c>
      <c r="E1153" s="49" t="inlineStr">
        <is>
          <t>Giữ</t>
        </is>
      </c>
      <c r="F1153" s="41" t="n"/>
      <c r="G1153" s="41" t="inlineStr">
        <is>
          <t>Trong khoảng mục tiêu của cỡ ô.</t>
        </is>
      </c>
      <c r="H1153" s="41" t="n"/>
    </row>
    <row r="1154" ht="15" customHeight="1" s="32">
      <c r="A1154" s="39" t="inlineStr">
        <is>
          <t>super_gun</t>
        </is>
      </c>
      <c r="B1154" s="39" t="inlineStr">
        <is>
          <t>Siêu pháo</t>
        </is>
      </c>
      <c r="C1154" s="39" t="inlineStr">
        <is>
          <t>Nổ khi bị phá</t>
        </is>
      </c>
      <c r="D1154" s="39" t="inlineStr">
        <is>
          <t>18 m</t>
        </is>
      </c>
      <c r="E1154" s="49" t="inlineStr">
        <is>
          <t>Giữ</t>
        </is>
      </c>
      <c r="F1154" s="39" t="n"/>
      <c r="G1154" s="39" t="inlineStr">
        <is>
          <t>Hợp cỡ.</t>
        </is>
      </c>
      <c r="H1154" s="39" t="n"/>
    </row>
    <row r="1155" ht="15" customHeight="1" s="32">
      <c r="A1155" s="41" t="inlineStr">
        <is>
          <t>targeting_station</t>
        </is>
      </c>
      <c r="B1155" s="41" t="inlineStr">
        <is>
          <t>Trạm chỉ thị mục tiêu</t>
        </is>
      </c>
      <c r="C1155" s="41" t="inlineStr">
        <is>
          <t>Tên</t>
        </is>
      </c>
      <c r="D1155" s="41" t="inlineStr">
        <is>
          <t>Trạm chỉ thị mục tiêu</t>
        </is>
      </c>
      <c r="E1155" s="49" t="inlineStr">
        <is>
          <t>Giữ</t>
        </is>
      </c>
      <c r="F1155" s="41" t="n"/>
      <c r="G1155" s="41" t="inlineStr">
        <is>
          <t>Tên rõ vai trò.</t>
        </is>
      </c>
      <c r="H1155" s="41" t="n"/>
    </row>
    <row r="1156" ht="15" customHeight="1" s="32">
      <c r="A1156" s="39" t="inlineStr">
        <is>
          <t>targeting_station</t>
        </is>
      </c>
      <c r="B1156" s="39" t="inlineStr">
        <is>
          <t>Trạm chỉ thị mục tiêu</t>
        </is>
      </c>
      <c r="C1156" s="39" t="inlineStr">
        <is>
          <t>Ô</t>
        </is>
      </c>
      <c r="D1156" s="39" t="inlineStr">
        <is>
          <t>Khác</t>
        </is>
      </c>
      <c r="E1156" s="49" t="inlineStr">
        <is>
          <t>Giữ</t>
        </is>
      </c>
      <c r="F1156" s="39" t="n"/>
      <c r="G1156" s="39" t="n"/>
      <c r="H1156" s="39" t="n"/>
    </row>
    <row r="1157" ht="15" customHeight="1" s="32">
      <c r="A1157" s="41" t="inlineStr">
        <is>
          <t>targeting_station</t>
        </is>
      </c>
      <c r="B1157" s="41" t="inlineStr">
        <is>
          <t>Trạm chỉ thị mục tiêu</t>
        </is>
      </c>
      <c r="C1157" s="41" t="inlineStr">
        <is>
          <t>Máu</t>
        </is>
      </c>
      <c r="D1157" s="43" t="n">
        <v>1540</v>
      </c>
      <c r="E1157" s="49" t="inlineStr">
        <is>
          <t>Giữ</t>
        </is>
      </c>
      <c r="F1157" s="41" t="n"/>
      <c r="G1157" s="41" t="inlineStr">
        <is>
          <t>Chướng ngại, sở chỉ huy hoặc công trình nhiệm vụ: máu theo vai trò riêng.</t>
        </is>
      </c>
      <c r="H1157" s="41" t="n"/>
    </row>
    <row r="1158" ht="15" customHeight="1" s="32">
      <c r="A1158" s="39" t="inlineStr">
        <is>
          <t>targeting_station</t>
        </is>
      </c>
      <c r="B1158" s="39" t="inlineStr">
        <is>
          <t>Trạm chỉ thị mục tiêu</t>
        </is>
      </c>
      <c r="C1158" s="39" t="inlineStr">
        <is>
          <t>Giáp</t>
        </is>
      </c>
      <c r="D1158" s="39" t="inlineStr">
        <is>
          <t>cấp 1 (Mỏng) · công trình</t>
        </is>
      </c>
      <c r="E1158" s="49" t="inlineStr">
        <is>
          <t>Giữ</t>
        </is>
      </c>
      <c r="F1158" s="39" t="n"/>
      <c r="G1158" s="39" t="inlineStr">
        <is>
          <t>Công trình; hợp vai trò.</t>
        </is>
      </c>
      <c r="H1158" s="39" t="n"/>
    </row>
    <row r="1159" ht="15" customHeight="1" s="32">
      <c r="A1159" s="41" t="inlineStr">
        <is>
          <t>targeting_station</t>
        </is>
      </c>
      <c r="B1159" s="41" t="inlineStr">
        <is>
          <t>Trạm chỉ thị mục tiêu</t>
        </is>
      </c>
      <c r="C1159" s="41" t="inlineStr">
        <is>
          <t>Kích thước</t>
        </is>
      </c>
      <c r="D1159" s="41" t="inlineStr">
        <is>
          <t>6.5 × 8.2 × 11.0</t>
        </is>
      </c>
      <c r="E1159" s="49" t="inlineStr">
        <is>
          <t>Giữ</t>
        </is>
      </c>
      <c r="F1159" s="41" t="n"/>
      <c r="G1159" s="41" t="inlineStr">
        <is>
          <t>Vừa cỡ ô.</t>
        </is>
      </c>
      <c r="H1159" s="41" t="n"/>
    </row>
    <row r="1160" ht="15" customHeight="1" s="32">
      <c r="A1160" s="39" t="inlineStr">
        <is>
          <t>targeting_station</t>
        </is>
      </c>
      <c r="B1160" s="39" t="inlineStr">
        <is>
          <t>Trạm chỉ thị mục tiêu</t>
        </is>
      </c>
      <c r="C1160" s="39" t="inlineStr">
        <is>
          <t>Vũ khí / DPS</t>
        </is>
      </c>
      <c r="D1160" s="39" t="inlineStr">
        <is>
          <t>0/0/0</t>
        </is>
      </c>
      <c r="E1160" s="49" t="inlineStr">
        <is>
          <t>Giữ</t>
        </is>
      </c>
      <c r="F1160" s="39" t="n"/>
      <c r="G1160" s="39" t="inlineStr">
        <is>
          <t>Trong khoảng mục tiêu của cỡ ô.</t>
        </is>
      </c>
      <c r="H1160" s="39" t="n"/>
    </row>
    <row r="1161" ht="15" customHeight="1" s="32">
      <c r="A1161" s="41" t="inlineStr">
        <is>
          <t>targeting_station</t>
        </is>
      </c>
      <c r="B1161" s="41" t="inlineStr">
        <is>
          <t>Trạm chỉ thị mục tiêu</t>
        </is>
      </c>
      <c r="C1161" s="41" t="inlineStr">
        <is>
          <t>Nổ khi bị phá</t>
        </is>
      </c>
      <c r="D1161" s="41" t="inlineStr">
        <is>
          <t>6 m</t>
        </is>
      </c>
      <c r="E1161" s="49" t="inlineStr">
        <is>
          <t>Giữ</t>
        </is>
      </c>
      <c r="F1161" s="41" t="n"/>
      <c r="G1161" s="41" t="inlineStr">
        <is>
          <t>Hợp cỡ.</t>
        </is>
      </c>
      <c r="H1161" s="41" t="n"/>
    </row>
    <row r="1162" ht="21.75" customHeight="1" s="32">
      <c r="A1162" s="39"/>
      <c r="B1162" s="39"/>
      <c r="C1162" s="39"/>
      <c r="D1162" s="42"/>
      <c r="E1162" s="47"/>
      <c r="F1162" s="39"/>
      <c r="G1162" s="39"/>
      <c r="H1162" s="48"/>
    </row>
    <row r="1163" ht="15" customHeight="1" s="32">
      <c r="A1163" s="41"/>
      <c r="B1163" s="41"/>
      <c r="C1163" s="41"/>
      <c r="D1163" s="41"/>
      <c r="E1163" s="49"/>
      <c r="F1163" s="41"/>
      <c r="G1163" s="41"/>
      <c r="H1163" s="41"/>
    </row>
    <row r="1164" ht="15" customHeight="1" s="32">
      <c r="A1164" s="39"/>
      <c r="B1164" s="39"/>
      <c r="C1164" s="39"/>
      <c r="D1164" s="39"/>
      <c r="E1164" s="49"/>
      <c r="F1164" s="39"/>
      <c r="G1164" s="39"/>
      <c r="H1164" s="39"/>
    </row>
    <row r="1165" ht="21.75" customHeight="1" s="32">
      <c r="A1165" s="41"/>
      <c r="B1165" s="41"/>
      <c r="C1165" s="41"/>
      <c r="D1165" s="41"/>
      <c r="E1165" s="47"/>
      <c r="F1165" s="41"/>
      <c r="G1165" s="41"/>
      <c r="H1165" s="48"/>
    </row>
    <row r="1166" ht="21.75" customHeight="1" s="32">
      <c r="A1166" s="39" t="inlineStr">
        <is>
          <t>behemoth_mk0</t>
        </is>
      </c>
      <c r="B1166" s="39" t="inlineStr">
        <is>
          <t>Behemoth Mk.0 · Behemoth nguyên mẫu</t>
        </is>
      </c>
      <c r="C1166" s="39" t="inlineStr">
        <is>
          <t>Giáp</t>
        </is>
      </c>
      <c r="D1166" s="39" t="inlineStr">
        <is>
          <t>3/3/2/1</t>
        </is>
      </c>
      <c r="E1166" s="49" t="inlineStr">
        <is>
          <t>Giữ</t>
        </is>
      </c>
      <c r="F1166" s="39" t="n"/>
      <c r="G1166" s="39" t="n"/>
      <c r="H1166" s="39" t="n"/>
    </row>
    <row r="1167" ht="21.75" customHeight="1" s="32">
      <c r="A1167" s="41" t="inlineStr">
        <is>
          <t>behemoth_mk0</t>
        </is>
      </c>
      <c r="B1167" s="41" t="inlineStr">
        <is>
          <t>Behemoth Mk.0 · Behemoth nguyên mẫu</t>
        </is>
      </c>
      <c r="C1167" s="41" t="inlineStr">
        <is>
          <t>Kích thước</t>
        </is>
      </c>
      <c r="D1167" s="41" t="inlineStr">
        <is>
          <t>15.6 × 9.3 ×</t>
        </is>
      </c>
      <c r="E1167" s="49" t="inlineStr">
        <is>
          <t>Giữ</t>
        </is>
      </c>
      <c r="F1167" s="41" t="n"/>
      <c r="G1167" s="41" t="inlineStr">
        <is>
          <t>Hợp cấp boss.</t>
        </is>
      </c>
      <c r="H1167" s="41" t="n"/>
    </row>
    <row r="1168" ht="21.75" customHeight="1" s="32">
      <c r="A1168" s="39" t="inlineStr">
        <is>
          <t>behemoth_mk0</t>
        </is>
      </c>
      <c r="B1168" s="39" t="inlineStr">
        <is>
          <t>Behemoth Mk.0 · Behemoth nguyên mẫu</t>
        </is>
      </c>
      <c r="C1168" s="39" t="inlineStr">
        <is>
          <t>Vũ khí</t>
        </is>
      </c>
      <c r="D1168" s="42" t="n">
        <v>4</v>
      </c>
      <c r="E1168" s="49" t="inlineStr">
        <is>
          <t>Giữ</t>
        </is>
      </c>
      <c r="F1168" s="39" t="n"/>
      <c r="G1168" s="39" t="inlineStr">
        <is>
          <t>Khớp thiết kế.</t>
        </is>
      </c>
      <c r="H1168" s="39" t="n"/>
    </row>
    <row r="1169" ht="21.75" customHeight="1" s="32">
      <c r="A1169" s="41" t="inlineStr">
        <is>
          <t>armored_train</t>
        </is>
      </c>
      <c r="B1169" s="41" t="inlineStr">
        <is>
          <t>Juggernaut · Đoàn tàu bọc thép</t>
        </is>
      </c>
      <c r="C1169" s="41" t="inlineStr">
        <is>
          <t>Máu</t>
        </is>
      </c>
      <c r="D1169" s="43" t="n">
        <v>5820</v>
      </c>
      <c r="E1169" s="47" t="inlineStr">
        <is>
          <t>Đổi</t>
        </is>
      </c>
      <c r="F1169" s="41" t="inlineStr">
        <is>
          <t>7650–10200</t>
        </is>
      </c>
      <c r="G1169" s="41" t="inlineStr">
        <is>
          <t>Theo thang máu boss mới (Tổng quan): mini boss bằng 45–60% boss chủ lực chương 4. Máu gốc trước scale chiến dịch.</t>
        </is>
      </c>
      <c r="H1169" s="48" t="inlineStr">
        <is>
          <t>Trung</t>
        </is>
      </c>
    </row>
    <row r="1170" ht="15" customHeight="1" s="32">
      <c r="A1170" s="39" t="inlineStr">
        <is>
          <t>armored_train</t>
        </is>
      </c>
      <c r="B1170" s="39" t="inlineStr">
        <is>
          <t>Juggernaut · Đoàn tàu bọc thép</t>
        </is>
      </c>
      <c r="C1170" s="39" t="inlineStr">
        <is>
          <t>Giáp</t>
        </is>
      </c>
      <c r="D1170" s="39" t="inlineStr">
        <is>
          <t>5/3/3/2</t>
        </is>
      </c>
      <c r="E1170" s="47" t="inlineStr">
        <is>
          <t>Đổi</t>
        </is>
      </c>
      <c r="F1170" s="39" t="inlineStr">
        <is>
          <t>4/3/3/2</t>
        </is>
      </c>
      <c r="G1170" s="39" t="inlineStr">
        <is>
          <t>Mini boss không có giáp trước 5 (chỉ boss chủ lực).</t>
        </is>
      </c>
      <c r="H1170" s="49" t="inlineStr">
        <is>
          <t>Thấp</t>
        </is>
      </c>
    </row>
    <row r="1171" ht="15" customHeight="1" s="32">
      <c r="A1171" s="41" t="inlineStr">
        <is>
          <t>armored_train</t>
        </is>
      </c>
      <c r="B1171" s="41" t="inlineStr">
        <is>
          <t>Juggernaut · Đoàn tàu bọc thép</t>
        </is>
      </c>
      <c r="C1171" s="41" t="inlineStr">
        <is>
          <t>Kích thước</t>
        </is>
      </c>
      <c r="D1171" s="41" t="inlineStr">
        <is>
          <t>24.5 × 3.3 × 4.8</t>
        </is>
      </c>
      <c r="E1171" s="49" t="inlineStr">
        <is>
          <t>Giữ</t>
        </is>
      </c>
      <c r="F1171" s="41" t="n"/>
      <c r="G1171" s="41" t="inlineStr">
        <is>
          <t>Hợp cấp boss.</t>
        </is>
      </c>
      <c r="H1171" s="41" t="n"/>
    </row>
    <row r="1172" ht="15" customHeight="1" s="32">
      <c r="A1172" s="39" t="inlineStr">
        <is>
          <t>armored_train</t>
        </is>
      </c>
      <c r="B1172" s="39" t="inlineStr">
        <is>
          <t>Juggernaut · Đoàn tàu bọc thép</t>
        </is>
      </c>
      <c r="C1172" s="39" t="inlineStr">
        <is>
          <t>Giáp</t>
        </is>
      </c>
      <c r="D1172" s="39" t="inlineStr">
        <is>
          <t>trước 5</t>
        </is>
      </c>
      <c r="E1172" s="47" t="inlineStr">
        <is>
          <t>Đổi</t>
        </is>
      </c>
      <c r="F1172" s="39" t="inlineStr">
        <is>
          <t>trước 4</t>
        </is>
      </c>
      <c r="G1172" s="39" t="inlineStr">
        <is>
          <t>Mini boss giáp ngang boss chủ lực.</t>
        </is>
      </c>
      <c r="H1172" s="49" t="inlineStr">
        <is>
          <t>Thấp</t>
        </is>
      </c>
    </row>
    <row r="1173" ht="21.75" customHeight="1" s="32">
      <c r="A1173" s="41" t="inlineStr">
        <is>
          <t>behemoth_tempest</t>
        </is>
      </c>
      <c r="B1173" s="41" t="inlineStr">
        <is>
          <t>Tempest · Behemoth pháo điện từ</t>
        </is>
      </c>
      <c r="C1173" s="41" t="inlineStr">
        <is>
          <t>Máu</t>
        </is>
      </c>
      <c r="D1173" s="43" t="n">
        <v>5820</v>
      </c>
      <c r="E1173" s="47" t="inlineStr">
        <is>
          <t>Đổi</t>
        </is>
      </c>
      <c r="F1173" s="41" t="inlineStr">
        <is>
          <t>7650–10200</t>
        </is>
      </c>
      <c r="G1173" s="41" t="inlineStr">
        <is>
          <t>Theo thang máu boss mới (Tổng quan): mini boss bằng 45–60% boss chủ lực chương 4. Máu gốc trước scale chiến dịch.</t>
        </is>
      </c>
      <c r="H1173" s="48" t="inlineStr">
        <is>
          <t>Trung</t>
        </is>
      </c>
    </row>
    <row r="1174" ht="15" customHeight="1" s="32">
      <c r="A1174" s="39" t="inlineStr">
        <is>
          <t>behemoth_tempest</t>
        </is>
      </c>
      <c r="B1174" s="39" t="inlineStr">
        <is>
          <t>Tempest · Behemoth pháo điện từ</t>
        </is>
      </c>
      <c r="C1174" s="39" t="inlineStr">
        <is>
          <t>Giáp</t>
        </is>
      </c>
      <c r="D1174" s="39" t="inlineStr">
        <is>
          <t>5/3/2/2</t>
        </is>
      </c>
      <c r="E1174" s="47" t="inlineStr">
        <is>
          <t>Đổi</t>
        </is>
      </c>
      <c r="F1174" s="39" t="inlineStr">
        <is>
          <t>4/3/2/2</t>
        </is>
      </c>
      <c r="G1174" s="39" t="inlineStr">
        <is>
          <t>Mini boss không có giáp trước 5 (chỉ boss chủ lực).</t>
        </is>
      </c>
      <c r="H1174" s="49" t="inlineStr">
        <is>
          <t>Thấp</t>
        </is>
      </c>
    </row>
    <row r="1175" ht="15" customHeight="1" s="32">
      <c r="A1175" s="41" t="inlineStr">
        <is>
          <t>behemoth_tempest</t>
        </is>
      </c>
      <c r="B1175" s="41" t="inlineStr">
        <is>
          <t>Tempest · Behemoth pháo điện từ</t>
        </is>
      </c>
      <c r="C1175" s="41" t="inlineStr">
        <is>
          <t>Kích thước</t>
        </is>
      </c>
      <c r="D1175" s="41" t="inlineStr">
        <is>
          <t>16.2 × 6.6 × 6.4</t>
        </is>
      </c>
      <c r="E1175" s="49" t="inlineStr">
        <is>
          <t>Giữ</t>
        </is>
      </c>
      <c r="F1175" s="41" t="n"/>
      <c r="G1175" s="41" t="inlineStr">
        <is>
          <t>Hợp cấp boss.</t>
        </is>
      </c>
      <c r="H1175" s="41" t="n"/>
    </row>
    <row r="1176" ht="15" customHeight="1" s="32">
      <c r="A1176" s="39" t="inlineStr">
        <is>
          <t>behemoth_tempest</t>
        </is>
      </c>
      <c r="B1176" s="39" t="inlineStr">
        <is>
          <t>Tempest · Behemoth pháo điện từ</t>
        </is>
      </c>
      <c r="C1176" s="39" t="inlineStr">
        <is>
          <t>Vũ khí</t>
        </is>
      </c>
      <c r="D1176" s="42" t="n">
        <v>3</v>
      </c>
      <c r="E1176" s="49" t="inlineStr">
        <is>
          <t>Giữ</t>
        </is>
      </c>
      <c r="F1176" s="39" t="n"/>
      <c r="G1176" s="39" t="inlineStr">
        <is>
          <t>Khớp thiết kế.</t>
        </is>
      </c>
      <c r="H1176" s="39" t="n"/>
    </row>
    <row r="1177" ht="21.75" customHeight="1" s="32">
      <c r="A1177" s="41" t="inlineStr">
        <is>
          <t>locust</t>
        </is>
      </c>
      <c r="B1177" s="41" t="inlineStr">
        <is>
          <t>Locust · Tàu con drone</t>
        </is>
      </c>
      <c r="C1177" s="41" t="inlineStr">
        <is>
          <t>Máu</t>
        </is>
      </c>
      <c r="D1177" s="43" t="n">
        <v>6311</v>
      </c>
      <c r="E1177" s="47" t="inlineStr">
        <is>
          <t>Đổi</t>
        </is>
      </c>
      <c r="F1177" s="41" t="inlineStr">
        <is>
          <t>8100–10800</t>
        </is>
      </c>
      <c r="G1177" s="41" t="inlineStr">
        <is>
          <t>Theo thang máu boss mới (Tổng quan): mini boss bằng 45–60% boss chủ lực chương 5. Máu gốc trước scale chiến dịch.</t>
        </is>
      </c>
      <c r="H1177" s="48" t="inlineStr">
        <is>
          <t>Trung</t>
        </is>
      </c>
    </row>
    <row r="1178" ht="15" customHeight="1" s="32">
      <c r="A1178" s="39" t="inlineStr">
        <is>
          <t>locust</t>
        </is>
      </c>
      <c r="B1178" s="39" t="inlineStr">
        <is>
          <t>Locust · Tàu con drone</t>
        </is>
      </c>
      <c r="C1178" s="39" t="inlineStr">
        <is>
          <t>Giáp</t>
        </is>
      </c>
      <c r="D1178" s="39" t="inlineStr">
        <is>
          <t>cấp 1 (Mỏng)</t>
        </is>
      </c>
      <c r="E1178" s="49" t="inlineStr">
        <is>
          <t>Giữ</t>
        </is>
      </c>
      <c r="F1178" s="39" t="n"/>
      <c r="G1178" s="39" t="n"/>
      <c r="H1178" s="39" t="n"/>
    </row>
    <row r="1179" ht="15" customHeight="1" s="32">
      <c r="A1179" s="41" t="inlineStr">
        <is>
          <t>locust</t>
        </is>
      </c>
      <c r="B1179" s="41" t="inlineStr">
        <is>
          <t>Locust · Tàu con drone</t>
        </is>
      </c>
      <c r="C1179" s="41" t="inlineStr">
        <is>
          <t>Kích thước</t>
        </is>
      </c>
      <c r="D1179" s="41" t="inlineStr">
        <is>
          <t>25.4 × 12.6 × 10.6</t>
        </is>
      </c>
      <c r="E1179" s="49" t="inlineStr">
        <is>
          <t>Giữ</t>
        </is>
      </c>
      <c r="F1179" s="41" t="n"/>
      <c r="G1179" s="41" t="inlineStr">
        <is>
          <t>Hợp cấp boss.</t>
        </is>
      </c>
      <c r="H1179" s="41" t="n"/>
    </row>
    <row r="1180" ht="15" customHeight="1" s="32">
      <c r="A1180" s="39" t="inlineStr">
        <is>
          <t>locust</t>
        </is>
      </c>
      <c r="B1180" s="39" t="inlineStr">
        <is>
          <t>Locust · Tàu con drone</t>
        </is>
      </c>
      <c r="C1180" s="39" t="inlineStr">
        <is>
          <t>Vũ khí</t>
        </is>
      </c>
      <c r="D1180" s="42" t="n">
        <v>2</v>
      </c>
      <c r="E1180" s="49" t="inlineStr">
        <is>
          <t>Giữ</t>
        </is>
      </c>
      <c r="F1180" s="39" t="n"/>
      <c r="G1180" s="39" t="inlineStr">
        <is>
          <t>Khớp thiết kế.</t>
        </is>
      </c>
      <c r="H1180" s="39" t="n"/>
    </row>
    <row r="1181" ht="15" customHeight="1" s="32">
      <c r="A1181" s="41"/>
      <c r="B1181" s="41"/>
      <c r="C1181" s="41"/>
      <c r="D1181" s="41"/>
      <c r="E1181" s="49"/>
      <c r="F1181" s="41"/>
      <c r="G1181" s="41"/>
      <c r="H1181" s="41"/>
    </row>
    <row r="1182" ht="15" customHeight="1" s="32">
      <c r="A1182" s="39"/>
      <c r="B1182" s="39"/>
      <c r="C1182" s="39"/>
      <c r="D1182" s="39"/>
      <c r="E1182" s="49"/>
      <c r="F1182" s="39"/>
      <c r="G1182" s="39"/>
      <c r="H1182" s="39"/>
    </row>
    <row r="1183" ht="21.75" customHeight="1" s="32">
      <c r="A1183" s="41"/>
      <c r="B1183" s="41"/>
      <c r="C1183" s="41"/>
      <c r="D1183" s="41"/>
      <c r="E1183" s="47"/>
      <c r="F1183" s="41"/>
      <c r="G1183" s="41"/>
      <c r="H1183" s="49"/>
    </row>
    <row r="1184" ht="21.75" customHeight="1" s="32">
      <c r="A1184" s="39" t="inlineStr">
        <is>
          <t>behemoth_mk2</t>
        </is>
      </c>
      <c r="B1184" s="39" t="inlineStr">
        <is>
          <t>Behemoth Mk.II · Behemoth nâng cấp</t>
        </is>
      </c>
      <c r="C1184" s="39" t="inlineStr">
        <is>
          <t>Máu</t>
        </is>
      </c>
      <c r="D1184" s="42" t="n">
        <v>6942</v>
      </c>
      <c r="E1184" s="47" t="inlineStr">
        <is>
          <t>Đổi</t>
        </is>
      </c>
      <c r="F1184" s="39" t="inlineStr">
        <is>
          <t>8550–11400</t>
        </is>
      </c>
      <c r="G1184" s="39" t="inlineStr">
        <is>
          <t>Theo thang máu boss mới (Tổng quan): mini boss bằng 45–60% boss chủ lực chương 6. Máu gốc trước scale chiến dịch.</t>
        </is>
      </c>
      <c r="H1184" s="48" t="inlineStr">
        <is>
          <t>Trung</t>
        </is>
      </c>
    </row>
    <row r="1185" ht="15" customHeight="1" s="32">
      <c r="A1185" s="41" t="inlineStr">
        <is>
          <t>behemoth_mk2</t>
        </is>
      </c>
      <c r="B1185" s="41" t="inlineStr">
        <is>
          <t>Behemoth Mk.II · Behemoth nâng cấp</t>
        </is>
      </c>
      <c r="C1185" s="41" t="inlineStr">
        <is>
          <t>Giáp</t>
        </is>
      </c>
      <c r="D1185" s="41" t="inlineStr">
        <is>
          <t>5/3/2/2</t>
        </is>
      </c>
      <c r="E1185" s="47" t="inlineStr">
        <is>
          <t>Đổi</t>
        </is>
      </c>
      <c r="F1185" s="41" t="inlineStr">
        <is>
          <t>4/3/2/2</t>
        </is>
      </c>
      <c r="G1185" s="41" t="inlineStr">
        <is>
          <t>Mini boss không có giáp trước 5 (chỉ boss chủ lực).</t>
        </is>
      </c>
      <c r="H1185" s="49" t="inlineStr">
        <is>
          <t>Thấp</t>
        </is>
      </c>
    </row>
    <row r="1186" ht="15" customHeight="1" s="32">
      <c r="A1186" s="39" t="inlineStr">
        <is>
          <t>behemoth_mk2</t>
        </is>
      </c>
      <c r="B1186" s="39" t="inlineStr">
        <is>
          <t>Behemoth Mk.II · Behemoth nâng cấp</t>
        </is>
      </c>
      <c r="C1186" s="39" t="inlineStr">
        <is>
          <t>Kích thước</t>
        </is>
      </c>
      <c r="D1186" s="39" t="inlineStr">
        <is>
          <t>16.1 × 9.6 ×</t>
        </is>
      </c>
      <c r="E1186" s="49" t="inlineStr">
        <is>
          <t>Giữ</t>
        </is>
      </c>
      <c r="F1186" s="39" t="n"/>
      <c r="G1186" s="39" t="inlineStr">
        <is>
          <t>Hợp cấp boss.</t>
        </is>
      </c>
      <c r="H1186" s="39" t="n"/>
    </row>
    <row r="1187" ht="15" customHeight="1" s="32">
      <c r="A1187" s="41" t="inlineStr">
        <is>
          <t>behemoth_mk2</t>
        </is>
      </c>
      <c r="B1187" s="41" t="inlineStr">
        <is>
          <t>Behemoth Mk.II · Behemoth nâng cấp</t>
        </is>
      </c>
      <c r="C1187" s="41" t="inlineStr">
        <is>
          <t>Vũ khí</t>
        </is>
      </c>
      <c r="D1187" s="43" t="n">
        <v>3</v>
      </c>
      <c r="E1187" s="49" t="inlineStr">
        <is>
          <t>Giữ</t>
        </is>
      </c>
      <c r="F1187" s="41" t="n"/>
      <c r="G1187" s="41" t="inlineStr">
        <is>
          <t>Khớp thiết kế.</t>
        </is>
      </c>
      <c r="H1187" s="41" t="n"/>
    </row>
    <row r="1188" ht="21.75" customHeight="1" s="32">
      <c r="A1188" s="39" t="inlineStr">
        <is>
          <t>landing_hovercraft</t>
        </is>
      </c>
      <c r="B1188" s="39" t="inlineStr">
        <is>
          <t>Charybdis · Tàu đệm khí đổ bộ</t>
        </is>
      </c>
      <c r="C1188" s="39" t="inlineStr">
        <is>
          <t>Máu</t>
        </is>
      </c>
      <c r="D1188" s="42" t="n">
        <v>7293</v>
      </c>
      <c r="E1188" s="47" t="inlineStr">
        <is>
          <t>Đổi</t>
        </is>
      </c>
      <c r="F1188" s="39" t="inlineStr">
        <is>
          <t>8550–11400</t>
        </is>
      </c>
      <c r="G1188" s="39" t="inlineStr">
        <is>
          <t>Theo thang máu boss mới (Tổng quan): mini boss bằng 45–60% boss chủ lực chương 6. Máu gốc trước scale chiến dịch.</t>
        </is>
      </c>
      <c r="H1188" s="48" t="inlineStr">
        <is>
          <t>Trung</t>
        </is>
      </c>
    </row>
    <row r="1189" ht="15" customHeight="1" s="32">
      <c r="A1189" s="41" t="inlineStr">
        <is>
          <t>landing_hovercraft</t>
        </is>
      </c>
      <c r="B1189" s="41" t="inlineStr">
        <is>
          <t>Charybdis · Tàu đệm khí đổ bộ</t>
        </is>
      </c>
      <c r="C1189" s="41" t="inlineStr">
        <is>
          <t>Giáp</t>
        </is>
      </c>
      <c r="D1189" s="41" t="inlineStr">
        <is>
          <t>3/2/1/1</t>
        </is>
      </c>
      <c r="E1189" s="49" t="inlineStr">
        <is>
          <t>Giữ</t>
        </is>
      </c>
      <c r="F1189" s="41" t="n"/>
      <c r="G1189" s="41" t="n"/>
      <c r="H1189" s="41" t="n"/>
    </row>
    <row r="1190" ht="15" customHeight="1" s="32">
      <c r="A1190" s="39" t="inlineStr">
        <is>
          <t>landing_hovercraft</t>
        </is>
      </c>
      <c r="B1190" s="39" t="inlineStr">
        <is>
          <t>Charybdis · Tàu đệm khí đổ bộ</t>
        </is>
      </c>
      <c r="C1190" s="39" t="inlineStr">
        <is>
          <t>Kích thước</t>
        </is>
      </c>
      <c r="D1190" s="39" t="inlineStr">
        <is>
          <t>24.9 × 13.5 × 7.7</t>
        </is>
      </c>
      <c r="E1190" s="49" t="inlineStr">
        <is>
          <t>Giữ</t>
        </is>
      </c>
      <c r="F1190" s="39" t="n"/>
      <c r="G1190" s="39" t="inlineStr">
        <is>
          <t>Hợp cấp boss.</t>
        </is>
      </c>
      <c r="H1190" s="39" t="n"/>
    </row>
    <row r="1191" ht="15" customHeight="1" s="32">
      <c r="A1191" s="41" t="inlineStr">
        <is>
          <t>landing_hovercraft</t>
        </is>
      </c>
      <c r="B1191" s="41" t="inlineStr">
        <is>
          <t>Charybdis · Tàu đệm khí đổ bộ</t>
        </is>
      </c>
      <c r="C1191" s="41" t="inlineStr">
        <is>
          <t>Vũ khí</t>
        </is>
      </c>
      <c r="D1191" s="43" t="n">
        <v>5</v>
      </c>
      <c r="E1191" s="49" t="inlineStr">
        <is>
          <t>Giữ</t>
        </is>
      </c>
      <c r="F1191" s="41" t="n"/>
      <c r="G1191" s="41" t="inlineStr">
        <is>
          <t>Khớp thiết kế.</t>
        </is>
      </c>
      <c r="H1191" s="41" t="n"/>
    </row>
    <row r="1192" ht="21.75" customHeight="1" s="32">
      <c r="A1192" s="39" t="inlineStr">
        <is>
          <t>argus</t>
        </is>
      </c>
      <c r="B1192" s="39" t="inlineStr">
        <is>
          <t>Argus · Khí cầu trinh sát</t>
        </is>
      </c>
      <c r="C1192" s="39" t="inlineStr">
        <is>
          <t>Máu</t>
        </is>
      </c>
      <c r="D1192" s="42" t="n">
        <v>7410</v>
      </c>
      <c r="E1192" s="47" t="inlineStr">
        <is>
          <t>Đổi</t>
        </is>
      </c>
      <c r="F1192" s="39" t="inlineStr">
        <is>
          <t>10350–13800</t>
        </is>
      </c>
      <c r="G1192" s="39" t="inlineStr">
        <is>
          <t>Theo thang máu boss mới (Tổng quan): mini boss bằng 45–60% boss chủ lực chương 10. Máu gốc trước scale chiến dịch.</t>
        </is>
      </c>
      <c r="H1192" s="48" t="inlineStr">
        <is>
          <t>Trung</t>
        </is>
      </c>
    </row>
    <row r="1193" ht="15" customHeight="1" s="32">
      <c r="A1193" s="41" t="inlineStr">
        <is>
          <t>argus</t>
        </is>
      </c>
      <c r="B1193" s="41" t="inlineStr">
        <is>
          <t>Argus · Khí cầu trinh sát</t>
        </is>
      </c>
      <c r="C1193" s="41" t="inlineStr">
        <is>
          <t>Giáp</t>
        </is>
      </c>
      <c r="D1193" s="41" t="inlineStr">
        <is>
          <t>cấp 2 (Vừa)</t>
        </is>
      </c>
      <c r="E1193" s="49" t="inlineStr">
        <is>
          <t>Giữ</t>
        </is>
      </c>
      <c r="F1193" s="41" t="n"/>
      <c r="G1193" s="41" t="n"/>
      <c r="H1193" s="41" t="n"/>
    </row>
    <row r="1194" ht="15" customHeight="1" s="32">
      <c r="A1194" s="39" t="inlineStr">
        <is>
          <t>argus</t>
        </is>
      </c>
      <c r="B1194" s="39" t="inlineStr">
        <is>
          <t>Argus · Khí cầu trinh sát</t>
        </is>
      </c>
      <c r="C1194" s="39" t="inlineStr">
        <is>
          <t>Kích thước</t>
        </is>
      </c>
      <c r="D1194" s="39" t="inlineStr">
        <is>
          <t>29.6 × 20.5 × 10.5</t>
        </is>
      </c>
      <c r="E1194" s="49" t="inlineStr">
        <is>
          <t>Giữ</t>
        </is>
      </c>
      <c r="F1194" s="39" t="n"/>
      <c r="G1194" s="39" t="inlineStr">
        <is>
          <t>Hợp cấp boss.</t>
        </is>
      </c>
      <c r="H1194" s="39" t="n"/>
    </row>
    <row r="1195" ht="15" customHeight="1" s="32">
      <c r="A1195" s="41" t="inlineStr">
        <is>
          <t>argus</t>
        </is>
      </c>
      <c r="B1195" s="41" t="inlineStr">
        <is>
          <t>Argus · Khí cầu trinh sát</t>
        </is>
      </c>
      <c r="C1195" s="41" t="inlineStr">
        <is>
          <t>Vũ khí</t>
        </is>
      </c>
      <c r="D1195" s="43" t="n">
        <v>2</v>
      </c>
      <c r="E1195" s="49" t="inlineStr">
        <is>
          <t>Giữ</t>
        </is>
      </c>
      <c r="F1195" s="41" t="n"/>
      <c r="G1195" s="41" t="inlineStr">
        <is>
          <t>Khớp thiết kế.</t>
        </is>
      </c>
      <c r="H1195" s="41" t="n"/>
    </row>
    <row r="1196" ht="21.75" customHeight="1" s="32">
      <c r="A1196" s="39" t="inlineStr">
        <is>
          <t>ixion</t>
        </is>
      </c>
      <c r="B1196" s="39" t="inlineStr">
        <is>
          <t>Ixion · Xe bánh khổng lồ</t>
        </is>
      </c>
      <c r="C1196" s="39" t="inlineStr">
        <is>
          <t>Máu</t>
        </is>
      </c>
      <c r="D1196" s="42" t="n">
        <v>7574</v>
      </c>
      <c r="E1196" s="47" t="inlineStr">
        <is>
          <t>Đổi</t>
        </is>
      </c>
      <c r="F1196" s="39" t="inlineStr">
        <is>
          <t>9450–12600</t>
        </is>
      </c>
      <c r="G1196" s="39" t="inlineStr">
        <is>
          <t>Theo thang máu boss mới (Tổng quan): mini boss bằng 45–60% boss chủ lực chương 8. Máu gốc trước scale chiến dịch.</t>
        </is>
      </c>
      <c r="H1196" s="48" t="inlineStr">
        <is>
          <t>Trung</t>
        </is>
      </c>
    </row>
    <row r="1197" ht="15" customHeight="1" s="32">
      <c r="A1197" s="41" t="inlineStr">
        <is>
          <t>ixion</t>
        </is>
      </c>
      <c r="B1197" s="41" t="inlineStr">
        <is>
          <t>Ixion · Xe bánh khổng lồ</t>
        </is>
      </c>
      <c r="C1197" s="41" t="inlineStr">
        <is>
          <t>Giáp</t>
        </is>
      </c>
      <c r="D1197" s="41" t="inlineStr">
        <is>
          <t>3/2/1/1</t>
        </is>
      </c>
      <c r="E1197" s="49" t="inlineStr">
        <is>
          <t>Giữ</t>
        </is>
      </c>
      <c r="F1197" s="41" t="n"/>
      <c r="G1197" s="41" t="n"/>
      <c r="H1197" s="41" t="n"/>
    </row>
    <row r="1198" ht="15" customHeight="1" s="32">
      <c r="A1198" s="39" t="inlineStr">
        <is>
          <t>ixion</t>
        </is>
      </c>
      <c r="B1198" s="39" t="inlineStr">
        <is>
          <t>Ixion · Xe bánh khổng lồ</t>
        </is>
      </c>
      <c r="C1198" s="39" t="inlineStr">
        <is>
          <t>Kích thước</t>
        </is>
      </c>
      <c r="D1198" s="39" t="inlineStr">
        <is>
          <t>21.7 × 19.0 × 11.9</t>
        </is>
      </c>
      <c r="E1198" s="49" t="inlineStr">
        <is>
          <t>Giữ</t>
        </is>
      </c>
      <c r="F1198" s="39" t="n"/>
      <c r="G1198" s="39" t="inlineStr">
        <is>
          <t>Hợp cấp boss.</t>
        </is>
      </c>
      <c r="H1198" s="39" t="n"/>
    </row>
    <row r="1199" ht="15" customHeight="1" s="32">
      <c r="A1199" s="41" t="inlineStr">
        <is>
          <t>ixion</t>
        </is>
      </c>
      <c r="B1199" s="41" t="inlineStr">
        <is>
          <t>Ixion · Xe bánh khổng lồ</t>
        </is>
      </c>
      <c r="C1199" s="41" t="inlineStr">
        <is>
          <t>Vũ khí</t>
        </is>
      </c>
      <c r="D1199" s="43" t="n">
        <v>1</v>
      </c>
      <c r="E1199" s="49" t="inlineStr">
        <is>
          <t>Giữ</t>
        </is>
      </c>
      <c r="F1199" s="41" t="n"/>
      <c r="G1199" s="41" t="inlineStr">
        <is>
          <t>Khớp thiết kế.</t>
        </is>
      </c>
      <c r="H1199" s="41" t="n"/>
    </row>
    <row r="1200" ht="21.75" customHeight="1" s="32">
      <c r="A1200" s="39"/>
      <c r="B1200" s="39"/>
      <c r="C1200" s="39"/>
      <c r="D1200" s="42"/>
      <c r="E1200" s="47"/>
      <c r="F1200" s="39"/>
      <c r="G1200" s="39"/>
      <c r="H1200" s="48"/>
    </row>
    <row r="1201" ht="15" customHeight="1" s="32">
      <c r="A1201" s="41"/>
      <c r="B1201" s="41"/>
      <c r="C1201" s="41"/>
      <c r="D1201" s="41"/>
      <c r="E1201" s="49"/>
      <c r="F1201" s="41"/>
      <c r="G1201" s="41"/>
      <c r="H1201" s="41"/>
    </row>
    <row r="1202" ht="15" customHeight="1" s="32">
      <c r="A1202" s="39"/>
      <c r="B1202" s="39"/>
      <c r="C1202" s="39"/>
      <c r="D1202" s="39"/>
      <c r="E1202" s="49"/>
      <c r="F1202" s="39"/>
      <c r="G1202" s="39"/>
      <c r="H1202" s="39"/>
    </row>
    <row r="1203" ht="15" customHeight="1" s="32">
      <c r="A1203" s="41"/>
      <c r="B1203" s="41"/>
      <c r="C1203" s="41"/>
      <c r="D1203" s="43"/>
      <c r="E1203" s="49"/>
      <c r="F1203" s="41"/>
      <c r="G1203" s="41"/>
      <c r="H1203" s="41"/>
    </row>
    <row r="1204" ht="21.75" customHeight="1" s="32">
      <c r="A1204" s="39"/>
      <c r="B1204" s="39"/>
      <c r="C1204" s="39"/>
      <c r="D1204" s="42"/>
      <c r="E1204" s="47"/>
      <c r="F1204" s="39"/>
      <c r="G1204" s="39"/>
      <c r="H1204" s="48"/>
    </row>
    <row r="1205" ht="15" customHeight="1" s="32">
      <c r="A1205" s="41"/>
      <c r="B1205" s="41"/>
      <c r="C1205" s="41"/>
      <c r="D1205" s="41"/>
      <c r="E1205" s="49"/>
      <c r="F1205" s="41"/>
      <c r="G1205" s="41"/>
      <c r="H1205" s="41"/>
    </row>
    <row r="1206" ht="15" customHeight="1" s="32">
      <c r="A1206" s="39"/>
      <c r="B1206" s="39"/>
      <c r="C1206" s="39"/>
      <c r="D1206" s="39"/>
      <c r="E1206" s="49"/>
      <c r="F1206" s="39"/>
      <c r="G1206" s="39"/>
      <c r="H1206" s="39"/>
    </row>
    <row r="1207" ht="21.75" customHeight="1" s="32">
      <c r="A1207" s="41"/>
      <c r="B1207" s="41"/>
      <c r="C1207" s="41"/>
      <c r="D1207" s="41"/>
      <c r="E1207" s="47"/>
      <c r="F1207" s="41"/>
      <c r="G1207" s="41"/>
      <c r="H1207" s="47"/>
    </row>
    <row r="1208" ht="21.75" customHeight="1" s="32">
      <c r="A1208" s="39"/>
      <c r="B1208" s="39"/>
      <c r="C1208" s="39"/>
      <c r="D1208" s="42"/>
      <c r="E1208" s="47"/>
      <c r="F1208" s="39"/>
      <c r="G1208" s="39"/>
      <c r="H1208" s="48"/>
    </row>
    <row r="1209" ht="15" customHeight="1" s="32">
      <c r="A1209" s="41"/>
      <c r="B1209" s="41"/>
      <c r="C1209" s="41"/>
      <c r="D1209" s="41"/>
      <c r="E1209" s="47"/>
      <c r="F1209" s="41"/>
      <c r="G1209" s="41"/>
      <c r="H1209" s="49"/>
    </row>
    <row r="1210" ht="15" customHeight="1" s="32">
      <c r="A1210" s="39"/>
      <c r="B1210" s="39"/>
      <c r="C1210" s="39"/>
      <c r="D1210" s="39"/>
      <c r="E1210" s="49"/>
      <c r="F1210" s="39"/>
      <c r="G1210" s="39"/>
      <c r="H1210" s="39"/>
    </row>
    <row r="1211" ht="15" customHeight="1" s="32">
      <c r="A1211" s="41"/>
      <c r="B1211" s="41"/>
      <c r="C1211" s="41"/>
      <c r="D1211" s="43"/>
      <c r="E1211" s="49"/>
      <c r="F1211" s="41"/>
      <c r="G1211" s="41"/>
      <c r="H1211" s="41"/>
    </row>
    <row r="1212" ht="21.75" customHeight="1" s="32">
      <c r="A1212" s="39"/>
      <c r="B1212" s="39"/>
      <c r="C1212" s="39"/>
      <c r="D1212" s="42"/>
      <c r="E1212" s="47"/>
      <c r="F1212" s="39"/>
      <c r="G1212" s="39"/>
      <c r="H1212" s="48"/>
    </row>
    <row r="1213" ht="15" customHeight="1" s="32">
      <c r="A1213" s="41"/>
      <c r="B1213" s="41"/>
      <c r="C1213" s="41"/>
      <c r="D1213" s="41"/>
      <c r="E1213" s="49"/>
      <c r="F1213" s="41"/>
      <c r="G1213" s="41"/>
      <c r="H1213" s="41"/>
    </row>
    <row r="1214" ht="15" customHeight="1" s="32">
      <c r="A1214" s="39"/>
      <c r="B1214" s="39"/>
      <c r="C1214" s="39"/>
      <c r="D1214" s="39"/>
      <c r="E1214" s="49"/>
      <c r="F1214" s="39"/>
      <c r="G1214" s="39"/>
      <c r="H1214" s="39"/>
    </row>
    <row r="1215" ht="15" customHeight="1" s="32">
      <c r="A1215" s="41"/>
      <c r="B1215" s="41"/>
      <c r="C1215" s="41"/>
      <c r="D1215" s="43"/>
      <c r="E1215" s="49"/>
      <c r="F1215" s="41"/>
      <c r="G1215" s="41"/>
      <c r="H1215" s="41"/>
    </row>
    <row r="1216" ht="21.75" customHeight="1" s="32">
      <c r="A1216" s="39" t="inlineStr">
        <is>
          <t>icarus_mk0</t>
        </is>
      </c>
      <c r="B1216" s="39" t="inlineStr">
        <is>
          <t>Icarus Mk.0 · Phi thuyền nguyên mẫu</t>
        </is>
      </c>
      <c r="C1216" s="39" t="inlineStr">
        <is>
          <t>Máu</t>
        </is>
      </c>
      <c r="D1216" s="42" t="n">
        <v>8696</v>
      </c>
      <c r="E1216" s="47" t="inlineStr">
        <is>
          <t>Đổi</t>
        </is>
      </c>
      <c r="F1216" s="39" t="inlineStr">
        <is>
          <t>10350–13800</t>
        </is>
      </c>
      <c r="G1216" s="39" t="inlineStr">
        <is>
          <t>Theo thang máu boss mới (Tổng quan): mini boss bằng 45–60% boss chủ lực chương 10. Máu gốc trước scale chiến dịch.</t>
        </is>
      </c>
      <c r="H1216" s="48" t="inlineStr">
        <is>
          <t>Trung</t>
        </is>
      </c>
    </row>
    <row r="1217" ht="15" customHeight="1" s="32">
      <c r="A1217" s="41" t="inlineStr">
        <is>
          <t>icarus_mk0</t>
        </is>
      </c>
      <c r="B1217" s="41" t="inlineStr">
        <is>
          <t>Icarus Mk.0 · Phi thuyền nguyên mẫu</t>
        </is>
      </c>
      <c r="C1217" s="41" t="inlineStr">
        <is>
          <t>Giáp</t>
        </is>
      </c>
      <c r="D1217" s="41" t="inlineStr">
        <is>
          <t>cấp 4 (Rất dày)</t>
        </is>
      </c>
      <c r="E1217" s="49" t="inlineStr">
        <is>
          <t>Giữ</t>
        </is>
      </c>
      <c r="F1217" s="41" t="n"/>
      <c r="G1217" s="41" t="n"/>
      <c r="H1217" s="41" t="n"/>
    </row>
    <row r="1218" ht="15" customHeight="1" s="32">
      <c r="A1218" s="39" t="inlineStr">
        <is>
          <t>icarus_mk0</t>
        </is>
      </c>
      <c r="B1218" s="39" t="inlineStr">
        <is>
          <t>Icarus Mk.0 · Phi thuyền nguyên mẫu</t>
        </is>
      </c>
      <c r="C1218" s="39" t="inlineStr">
        <is>
          <t>Kích thước</t>
        </is>
      </c>
      <c r="D1218" s="39" t="inlineStr">
        <is>
          <t>24.1 × 16.2 × 5.8</t>
        </is>
      </c>
      <c r="E1218" s="49" t="inlineStr">
        <is>
          <t>Giữ</t>
        </is>
      </c>
      <c r="F1218" s="39" t="n"/>
      <c r="G1218" s="39" t="inlineStr">
        <is>
          <t>Hợp cấp boss.</t>
        </is>
      </c>
      <c r="H1218" s="39" t="n"/>
    </row>
    <row r="1219" ht="15" customHeight="1" s="32">
      <c r="A1219" s="41" t="inlineStr">
        <is>
          <t>icarus_mk0</t>
        </is>
      </c>
      <c r="B1219" s="41" t="inlineStr">
        <is>
          <t>Icarus Mk.0 · Phi thuyền nguyên mẫu</t>
        </is>
      </c>
      <c r="C1219" s="41" t="inlineStr">
        <is>
          <t>Vũ khí</t>
        </is>
      </c>
      <c r="D1219" s="43" t="n">
        <v>1</v>
      </c>
      <c r="E1219" s="49" t="inlineStr">
        <is>
          <t>Giữ</t>
        </is>
      </c>
      <c r="F1219" s="41" t="n"/>
      <c r="G1219" s="41" t="inlineStr">
        <is>
          <t>Khớp thiết kế.</t>
        </is>
      </c>
      <c r="H1219" s="41" t="n"/>
    </row>
    <row r="1220" ht="21.75" customHeight="1" s="32">
      <c r="A1220" s="39" t="inlineStr">
        <is>
          <t>behemoth_inferno</t>
        </is>
      </c>
      <c r="B1220" s="39" t="inlineStr">
        <is>
          <t>Inferno · Behemoth phun lửa</t>
        </is>
      </c>
      <c r="C1220" s="39" t="inlineStr">
        <is>
          <t>Máu</t>
        </is>
      </c>
      <c r="D1220" s="42" t="n">
        <v>8836</v>
      </c>
      <c r="E1220" s="49" t="inlineStr">
        <is>
          <t>Giữ</t>
        </is>
      </c>
      <c r="F1220" s="39" t="n"/>
      <c r="G1220" s="39" t="inlineStr">
        <is>
          <t>Theo thang máu boss mới (Tổng quan): mini boss bằng 45–60% boss chủ lực chương 2. Máu gốc trước scale chiến dịch.</t>
        </is>
      </c>
      <c r="H1220" s="39" t="n"/>
    </row>
    <row r="1221" ht="15" customHeight="1" s="32">
      <c r="A1221" s="41" t="inlineStr">
        <is>
          <t>behemoth_inferno</t>
        </is>
      </c>
      <c r="B1221" s="41" t="inlineStr">
        <is>
          <t>Inferno · Behemoth phun lửa</t>
        </is>
      </c>
      <c r="C1221" s="41" t="inlineStr">
        <is>
          <t>Giáp</t>
        </is>
      </c>
      <c r="D1221" s="41" t="inlineStr">
        <is>
          <t>5/3/2/2</t>
        </is>
      </c>
      <c r="E1221" s="47" t="inlineStr">
        <is>
          <t>Đổi</t>
        </is>
      </c>
      <c r="F1221" s="41" t="inlineStr">
        <is>
          <t>4/3/2/2</t>
        </is>
      </c>
      <c r="G1221" s="41" t="inlineStr">
        <is>
          <t>Mini boss không có giáp trước 5 (chỉ boss chủ lực).</t>
        </is>
      </c>
      <c r="H1221" s="49" t="inlineStr">
        <is>
          <t>Thấp</t>
        </is>
      </c>
    </row>
    <row r="1222" ht="15" customHeight="1" s="32">
      <c r="A1222" s="39" t="inlineStr">
        <is>
          <t>behemoth_inferno</t>
        </is>
      </c>
      <c r="B1222" s="39" t="inlineStr">
        <is>
          <t>Inferno · Behemoth phun lửa</t>
        </is>
      </c>
      <c r="C1222" s="39" t="inlineStr">
        <is>
          <t>Kích thước</t>
        </is>
      </c>
      <c r="D1222" s="39" t="inlineStr">
        <is>
          <t>12.8 × 6.6 × 5.6</t>
        </is>
      </c>
      <c r="E1222" s="49" t="inlineStr">
        <is>
          <t>Giữ</t>
        </is>
      </c>
      <c r="F1222" s="39" t="n"/>
      <c r="G1222" s="39" t="inlineStr">
        <is>
          <t>Hợp cấp boss.</t>
        </is>
      </c>
      <c r="H1222" s="39" t="n"/>
    </row>
    <row r="1223" ht="15" customHeight="1" s="32">
      <c r="A1223" s="41" t="inlineStr">
        <is>
          <t>behemoth_inferno</t>
        </is>
      </c>
      <c r="B1223" s="41" t="inlineStr">
        <is>
          <t>Inferno · Behemoth phun lửa</t>
        </is>
      </c>
      <c r="C1223" s="41" t="inlineStr">
        <is>
          <t>Vũ khí</t>
        </is>
      </c>
      <c r="D1223" s="43" t="n">
        <v>3</v>
      </c>
      <c r="E1223" s="49" t="inlineStr">
        <is>
          <t>Giữ</t>
        </is>
      </c>
      <c r="F1223" s="41" t="n"/>
      <c r="G1223" s="41" t="inlineStr">
        <is>
          <t>Khớp thiết kế.</t>
        </is>
      </c>
      <c r="H1223" s="41" t="n"/>
    </row>
    <row r="1224" ht="21.75" customHeight="1" s="32">
      <c r="A1224" s="39" t="inlineStr">
        <is>
          <t>fenrir</t>
        </is>
      </c>
      <c r="B1224" s="39" t="inlineStr">
        <is>
          <t>Fenrir · Xe tiên phong</t>
        </is>
      </c>
      <c r="C1224" s="39" t="inlineStr">
        <is>
          <t>Máu</t>
        </is>
      </c>
      <c r="D1224" s="42" t="n">
        <v>9163</v>
      </c>
      <c r="E1224" s="49" t="inlineStr">
        <is>
          <t>Giữ</t>
        </is>
      </c>
      <c r="F1224" s="39" t="n"/>
      <c r="G1224" s="39" t="inlineStr">
        <is>
          <t>Theo thang máu boss mới (Tổng quan): mini boss bằng 45–60% boss chủ lực chương 3. Máu gốc trước scale chiến dịch.</t>
        </is>
      </c>
      <c r="H1224" s="39" t="n"/>
    </row>
    <row r="1225" ht="15" customHeight="1" s="32">
      <c r="A1225" s="41" t="inlineStr">
        <is>
          <t>fenrir</t>
        </is>
      </c>
      <c r="B1225" s="41" t="inlineStr">
        <is>
          <t>Fenrir · Xe tiên phong</t>
        </is>
      </c>
      <c r="C1225" s="41" t="inlineStr">
        <is>
          <t>Giáp</t>
        </is>
      </c>
      <c r="D1225" s="41" t="inlineStr">
        <is>
          <t>5/4/3/2</t>
        </is>
      </c>
      <c r="E1225" s="47" t="inlineStr">
        <is>
          <t>Đổi</t>
        </is>
      </c>
      <c r="F1225" s="41" t="inlineStr">
        <is>
          <t>4/4/3/2</t>
        </is>
      </c>
      <c r="G1225" s="41" t="inlineStr">
        <is>
          <t>Mini boss không có giáp trước 5 (chỉ boss chủ lực).</t>
        </is>
      </c>
      <c r="H1225" s="49" t="inlineStr">
        <is>
          <t>Thấp</t>
        </is>
      </c>
    </row>
    <row r="1226" ht="15" customHeight="1" s="32">
      <c r="A1226" s="39" t="inlineStr">
        <is>
          <t>fenrir</t>
        </is>
      </c>
      <c r="B1226" s="39" t="inlineStr">
        <is>
          <t>Fenrir · Xe tiên phong</t>
        </is>
      </c>
      <c r="C1226" s="39" t="inlineStr">
        <is>
          <t>Kích thước</t>
        </is>
      </c>
      <c r="D1226" s="39" t="inlineStr">
        <is>
          <t>16.2 × 9.1 × 8.3</t>
        </is>
      </c>
      <c r="E1226" s="49" t="inlineStr">
        <is>
          <t>Giữ</t>
        </is>
      </c>
      <c r="F1226" s="39" t="n"/>
      <c r="G1226" s="39" t="inlineStr">
        <is>
          <t>Hợp cấp boss.</t>
        </is>
      </c>
      <c r="H1226" s="39" t="n"/>
    </row>
    <row r="1227" ht="15" customHeight="1" s="32">
      <c r="A1227" s="41" t="inlineStr">
        <is>
          <t>fenrir</t>
        </is>
      </c>
      <c r="B1227" s="41" t="inlineStr">
        <is>
          <t>Fenrir · Xe tiên phong</t>
        </is>
      </c>
      <c r="C1227" s="41" t="inlineStr">
        <is>
          <t>Giáp</t>
        </is>
      </c>
      <c r="D1227" s="41" t="inlineStr">
        <is>
          <t>trước 5</t>
        </is>
      </c>
      <c r="E1227" s="47" t="inlineStr">
        <is>
          <t>Đổi</t>
        </is>
      </c>
      <c r="F1227" s="41" t="inlineStr">
        <is>
          <t>trước 4</t>
        </is>
      </c>
      <c r="G1227" s="41" t="inlineStr">
        <is>
          <t>Như trên.</t>
        </is>
      </c>
      <c r="H1227" s="49" t="inlineStr">
        <is>
          <t>Thấp</t>
        </is>
      </c>
    </row>
    <row r="1228" ht="21.75" customHeight="1" s="32">
      <c r="A1228" s="39" t="inlineStr">
        <is>
          <t>daedalus</t>
        </is>
      </c>
      <c r="B1228" s="39" t="inlineStr">
        <is>
          <t>Daedalus · Tàu đổ bộ quỹ đạo</t>
        </is>
      </c>
      <c r="C1228" s="39" t="inlineStr">
        <is>
          <t>Máu</t>
        </is>
      </c>
      <c r="D1228" s="42" t="n">
        <v>9435</v>
      </c>
      <c r="E1228" s="47" t="inlineStr">
        <is>
          <t>Đổi</t>
        </is>
      </c>
      <c r="F1228" s="39" t="inlineStr">
        <is>
          <t>~24.000 · thêm 2 tháp laser phòng thủ điểm và 2 pháo 57 mm dưới bụng</t>
        </is>
      </c>
      <c r="G1228" s="39" t="inlineStr">
        <is>
          <t>Boss chủ lực chương 11 yếu hơn nhiều mini boss.</t>
        </is>
      </c>
      <c r="H1228" s="47" t="inlineStr">
        <is>
          <t>Cao</t>
        </is>
      </c>
    </row>
    <row r="1229" ht="15" customHeight="1" s="32">
      <c r="A1229" s="41" t="inlineStr">
        <is>
          <t>daedalus</t>
        </is>
      </c>
      <c r="B1229" s="41" t="inlineStr">
        <is>
          <t>Daedalus · Tàu đổ bộ quỹ đạo</t>
        </is>
      </c>
      <c r="C1229" s="41" t="inlineStr">
        <is>
          <t>Giáp</t>
        </is>
      </c>
      <c r="D1229" s="41" t="inlineStr">
        <is>
          <t>cấp 3 (Dày)</t>
        </is>
      </c>
      <c r="E1229" s="49" t="inlineStr">
        <is>
          <t>Giữ</t>
        </is>
      </c>
      <c r="F1229" s="41" t="n"/>
      <c r="G1229" s="41" t="n"/>
      <c r="H1229" s="41" t="n"/>
    </row>
    <row r="1230" ht="15" customHeight="1" s="32">
      <c r="A1230" s="39" t="inlineStr">
        <is>
          <t>daedalus</t>
        </is>
      </c>
      <c r="B1230" s="39" t="inlineStr">
        <is>
          <t>Daedalus · Tàu đổ bộ quỹ đạo</t>
        </is>
      </c>
      <c r="C1230" s="39" t="inlineStr">
        <is>
          <t>Kích thước</t>
        </is>
      </c>
      <c r="D1230" s="39" t="inlineStr">
        <is>
          <t>36.4 × 20.4 × 11.8</t>
        </is>
      </c>
      <c r="E1230" s="47" t="inlineStr">
        <is>
          <t>Đổi</t>
        </is>
      </c>
      <c r="F1230" s="39" t="inlineStr">
        <is>
          <t>~45 × 26 m</t>
        </is>
      </c>
      <c r="G1230" s="39" t="inlineStr">
        <is>
          <t>Boss chủ lực chương 11 nhỏ hơn mini boss Caspian.</t>
        </is>
      </c>
      <c r="H1230" s="48" t="inlineStr">
        <is>
          <t>Trung</t>
        </is>
      </c>
    </row>
    <row r="1231" ht="15" customHeight="1" s="32">
      <c r="A1231" s="41" t="inlineStr">
        <is>
          <t>daedalus</t>
        </is>
      </c>
      <c r="B1231" s="41" t="inlineStr">
        <is>
          <t>Daedalus · Tàu đổ bộ quỹ đạo</t>
        </is>
      </c>
      <c r="C1231" s="41" t="inlineStr">
        <is>
          <t>Vũ khí</t>
        </is>
      </c>
      <c r="D1231" s="43" t="n">
        <v>2</v>
      </c>
      <c r="E1231" s="49" t="inlineStr">
        <is>
          <t>Giữ</t>
        </is>
      </c>
      <c r="F1231" s="41" t="n"/>
      <c r="G1231" s="41" t="inlineStr">
        <is>
          <t>Khớp thiết kế.</t>
        </is>
      </c>
      <c r="H1231" s="41" t="n"/>
    </row>
    <row r="1232" ht="21.75" customHeight="1" s="32">
      <c r="A1232" s="39" t="inlineStr">
        <is>
          <t>mega_gunship</t>
        </is>
      </c>
      <c r="B1232" s="39" t="inlineStr">
        <is>
          <t>Harpy · Trực thăng khổng lồ</t>
        </is>
      </c>
      <c r="C1232" s="39" t="inlineStr">
        <is>
          <t>Máu</t>
        </is>
      </c>
      <c r="D1232" s="42" t="n">
        <v>9677</v>
      </c>
      <c r="E1232" s="49" t="inlineStr">
        <is>
          <t>Giữ</t>
        </is>
      </c>
      <c r="F1232" s="39" t="n"/>
      <c r="G1232" s="39" t="inlineStr">
        <is>
          <t>Theo thang máu boss mới (Tổng quan): mini boss bằng 45–60% boss chủ lực chương 3. Máu gốc trước scale chiến dịch.</t>
        </is>
      </c>
      <c r="H1232" s="39" t="n"/>
    </row>
    <row r="1233" ht="15" customHeight="1" s="32">
      <c r="A1233" s="41" t="inlineStr">
        <is>
          <t>mega_gunship</t>
        </is>
      </c>
      <c r="B1233" s="41" t="inlineStr">
        <is>
          <t>Harpy · Trực thăng khổng lồ</t>
        </is>
      </c>
      <c r="C1233" s="41" t="inlineStr">
        <is>
          <t>Giáp</t>
        </is>
      </c>
      <c r="D1233" s="41" t="inlineStr">
        <is>
          <t>cấp 2 (Vừa)</t>
        </is>
      </c>
      <c r="E1233" s="49" t="inlineStr">
        <is>
          <t>Giữ</t>
        </is>
      </c>
      <c r="F1233" s="41" t="n"/>
      <c r="G1233" s="41" t="n"/>
      <c r="H1233" s="41" t="n"/>
    </row>
    <row r="1234" ht="15" customHeight="1" s="32">
      <c r="A1234" s="39" t="inlineStr">
        <is>
          <t>mega_gunship</t>
        </is>
      </c>
      <c r="B1234" s="39" t="inlineStr">
        <is>
          <t>Harpy · Trực thăng khổng lồ</t>
        </is>
      </c>
      <c r="C1234" s="39" t="inlineStr">
        <is>
          <t>Kích thước</t>
        </is>
      </c>
      <c r="D1234" s="39" t="inlineStr">
        <is>
          <t>23.6 × 15.3 × 7.0</t>
        </is>
      </c>
      <c r="E1234" s="49" t="inlineStr">
        <is>
          <t>Giữ</t>
        </is>
      </c>
      <c r="F1234" s="39" t="n"/>
      <c r="G1234" s="39" t="inlineStr">
        <is>
          <t>Hợp cấp boss.</t>
        </is>
      </c>
      <c r="H1234" s="39" t="n"/>
    </row>
    <row r="1235" ht="15" customHeight="1" s="32">
      <c r="A1235" s="41" t="inlineStr">
        <is>
          <t>mega_gunship</t>
        </is>
      </c>
      <c r="B1235" s="41" t="inlineStr">
        <is>
          <t>Harpy · Trực thăng khổng lồ</t>
        </is>
      </c>
      <c r="C1235" s="41" t="inlineStr">
        <is>
          <t>Vũ khí</t>
        </is>
      </c>
      <c r="D1235" s="43" t="n">
        <v>5</v>
      </c>
      <c r="E1235" s="49" t="inlineStr">
        <is>
          <t>Giữ</t>
        </is>
      </c>
      <c r="F1235" s="41" t="n"/>
      <c r="G1235" s="41" t="inlineStr">
        <is>
          <t>Khớp thiết kế.</t>
        </is>
      </c>
      <c r="H1235" s="41" t="n"/>
    </row>
    <row r="1236" ht="15" customHeight="1" s="32">
      <c r="A1236" s="39" t="inlineStr">
        <is>
          <t>behemoth</t>
        </is>
      </c>
      <c r="B1236" s="39" t="inlineStr">
        <is>
          <t>Behemoth · Quái vật thép</t>
        </is>
      </c>
      <c r="C1236" s="39" t="inlineStr">
        <is>
          <t>Máu</t>
        </is>
      </c>
      <c r="D1236" s="42" t="n">
        <v>10115</v>
      </c>
      <c r="E1236" s="47" t="inlineStr">
        <is>
          <t>Đổi</t>
        </is>
      </c>
      <c r="F1236" s="39" t="inlineStr">
        <is>
          <t>~13.000</t>
        </is>
      </c>
      <c r="G1236" s="39" t="inlineStr">
        <is>
          <t>Boss chủ lực chương 2 ít máu hơn mini boss chương 1.</t>
        </is>
      </c>
      <c r="H1236" s="48" t="inlineStr">
        <is>
          <t>Trung</t>
        </is>
      </c>
    </row>
    <row r="1237" ht="15" customHeight="1" s="32">
      <c r="A1237" s="41" t="inlineStr">
        <is>
          <t>behemoth</t>
        </is>
      </c>
      <c r="B1237" s="41" t="inlineStr">
        <is>
          <t>Behemoth · Quái vật thép</t>
        </is>
      </c>
      <c r="C1237" s="41" t="inlineStr">
        <is>
          <t>Giáp</t>
        </is>
      </c>
      <c r="D1237" s="41" t="inlineStr">
        <is>
          <t>5/4/3/2</t>
        </is>
      </c>
      <c r="E1237" s="49" t="inlineStr">
        <is>
          <t>Giữ</t>
        </is>
      </c>
      <c r="F1237" s="41" t="n"/>
      <c r="G1237" s="41" t="n"/>
      <c r="H1237" s="41" t="n"/>
    </row>
    <row r="1238" ht="15" customHeight="1" s="32">
      <c r="A1238" s="39" t="inlineStr">
        <is>
          <t>behemoth</t>
        </is>
      </c>
      <c r="B1238" s="39" t="inlineStr">
        <is>
          <t>Behemoth · Quái vật thép</t>
        </is>
      </c>
      <c r="C1238" s="39" t="inlineStr">
        <is>
          <t>Kích thước</t>
        </is>
      </c>
      <c r="D1238" s="39" t="inlineStr">
        <is>
          <t>22.3 × 13.3 × 9.6</t>
        </is>
      </c>
      <c r="E1238" s="49" t="inlineStr">
        <is>
          <t>Giữ</t>
        </is>
      </c>
      <c r="F1238" s="39" t="n"/>
      <c r="G1238" s="39" t="inlineStr">
        <is>
          <t>Hợp cấp boss.</t>
        </is>
      </c>
      <c r="H1238" s="39" t="n"/>
    </row>
    <row r="1239" ht="15" customHeight="1" s="32">
      <c r="A1239" s="41" t="inlineStr">
        <is>
          <t>behemoth</t>
        </is>
      </c>
      <c r="B1239" s="41" t="inlineStr">
        <is>
          <t>Behemoth · Quái vật thép</t>
        </is>
      </c>
      <c r="C1239" s="41" t="inlineStr">
        <is>
          <t>Vũ khí</t>
        </is>
      </c>
      <c r="D1239" s="43" t="n">
        <v>9</v>
      </c>
      <c r="E1239" s="49" t="inlineStr">
        <is>
          <t>Giữ</t>
        </is>
      </c>
      <c r="F1239" s="41" t="n"/>
      <c r="G1239" s="41" t="inlineStr">
        <is>
          <t>Khớp thiết kế.</t>
        </is>
      </c>
      <c r="H1239" s="41" t="n"/>
    </row>
    <row r="1240" ht="15" customHeight="1" s="32">
      <c r="A1240" s="39" t="inlineStr">
        <is>
          <t>earth_borer</t>
        </is>
      </c>
      <c r="B1240" s="39" t="inlineStr">
        <is>
          <t>Tartarus · Máy khoan</t>
        </is>
      </c>
      <c r="C1240" s="39" t="inlineStr">
        <is>
          <t>Máu</t>
        </is>
      </c>
      <c r="D1240" s="42" t="n">
        <v>11430</v>
      </c>
      <c r="E1240" s="47" t="inlineStr">
        <is>
          <t>Đổi</t>
        </is>
      </c>
      <c r="F1240" s="39" t="inlineStr">
        <is>
          <t>~10.000 (mini chương 8)</t>
        </is>
      </c>
      <c r="G1240" s="39" t="inlineStr">
        <is>
          <t>Mini boss nhiều máu hơn boss chủ lực chương 2 và 11.</t>
        </is>
      </c>
      <c r="H1240" s="49" t="inlineStr">
        <is>
          <t>Thấp</t>
        </is>
      </c>
    </row>
    <row r="1241" ht="15" customHeight="1" s="32">
      <c r="A1241" s="41" t="inlineStr">
        <is>
          <t>earth_borer</t>
        </is>
      </c>
      <c r="B1241" s="41" t="inlineStr">
        <is>
          <t>Tartarus · Máy khoan</t>
        </is>
      </c>
      <c r="C1241" s="41" t="inlineStr">
        <is>
          <t>Giáp</t>
        </is>
      </c>
      <c r="D1241" s="41" t="inlineStr">
        <is>
          <t>4/3/2/2</t>
        </is>
      </c>
      <c r="E1241" s="49" t="inlineStr">
        <is>
          <t>Giữ</t>
        </is>
      </c>
      <c r="F1241" s="41" t="n"/>
      <c r="G1241" s="41" t="n"/>
      <c r="H1241" s="41" t="n"/>
    </row>
    <row r="1242" ht="15" customHeight="1" s="32">
      <c r="A1242" s="39" t="inlineStr">
        <is>
          <t>earth_borer</t>
        </is>
      </c>
      <c r="B1242" s="39" t="inlineStr">
        <is>
          <t>Tartarus · Máy khoan</t>
        </is>
      </c>
      <c r="C1242" s="39" t="inlineStr">
        <is>
          <t>Kích thước</t>
        </is>
      </c>
      <c r="D1242" s="39" t="inlineStr">
        <is>
          <t>19.9 × 4.9 × 5.9</t>
        </is>
      </c>
      <c r="E1242" s="49" t="inlineStr">
        <is>
          <t>Giữ</t>
        </is>
      </c>
      <c r="F1242" s="39" t="n"/>
      <c r="G1242" s="39" t="inlineStr">
        <is>
          <t>Hợp cấp boss.</t>
        </is>
      </c>
      <c r="H1242" s="39" t="n"/>
    </row>
    <row r="1243" ht="15" customHeight="1" s="32">
      <c r="A1243" s="41" t="inlineStr">
        <is>
          <t>earth_borer</t>
        </is>
      </c>
      <c r="B1243" s="41" t="inlineStr">
        <is>
          <t>Tartarus · Máy khoan</t>
        </is>
      </c>
      <c r="C1243" s="41" t="inlineStr">
        <is>
          <t>Vũ khí</t>
        </is>
      </c>
      <c r="D1243" s="43" t="n">
        <v>3</v>
      </c>
      <c r="E1243" s="49" t="inlineStr">
        <is>
          <t>Giữ</t>
        </is>
      </c>
      <c r="F1243" s="41" t="n"/>
      <c r="G1243" s="41" t="inlineStr">
        <is>
          <t>Khớp thiết kế.</t>
        </is>
      </c>
      <c r="H1243" s="41" t="n"/>
    </row>
    <row r="1244" ht="15" customHeight="1" s="32">
      <c r="A1244" s="39" t="inlineStr">
        <is>
          <t>bastion_mk0</t>
        </is>
      </c>
      <c r="B1244" s="39" t="inlineStr">
        <is>
          <t>Bastion Mk.0 · Pháo đài nguyên mẫu</t>
        </is>
      </c>
      <c r="C1244" s="39" t="inlineStr">
        <is>
          <t>Máu</t>
        </is>
      </c>
      <c r="D1244" s="42" t="n">
        <v>12576</v>
      </c>
      <c r="E1244" s="47" t="inlineStr">
        <is>
          <t>Đổi</t>
        </is>
      </c>
      <c r="F1244" s="39" t="inlineStr">
        <is>
          <t>~6.000 · trước 5→4</t>
        </is>
      </c>
      <c r="G1244" s="39" t="inlineStr">
        <is>
          <t>Mini boss chương 1 nhiều máu hơn boss chủ lực chương 2.</t>
        </is>
      </c>
      <c r="H1244" s="48" t="inlineStr">
        <is>
          <t>Trung</t>
        </is>
      </c>
    </row>
    <row r="1245" ht="15" customHeight="1" s="32">
      <c r="A1245" s="41" t="inlineStr">
        <is>
          <t>bastion_mk0</t>
        </is>
      </c>
      <c r="B1245" s="41" t="inlineStr">
        <is>
          <t>Bastion Mk.0 · Pháo đài nguyên mẫu</t>
        </is>
      </c>
      <c r="C1245" s="41" t="inlineStr">
        <is>
          <t>Giáp</t>
        </is>
      </c>
      <c r="D1245" s="41" t="inlineStr">
        <is>
          <t>5/4/4/3</t>
        </is>
      </c>
      <c r="E1245" s="47" t="inlineStr">
        <is>
          <t>Đổi</t>
        </is>
      </c>
      <c r="F1245" s="41" t="inlineStr">
        <is>
          <t>4/4/4/3</t>
        </is>
      </c>
      <c r="G1245" s="41" t="inlineStr">
        <is>
          <t>Mini boss không có giáp trước 5 (chỉ boss chủ lực).</t>
        </is>
      </c>
      <c r="H1245" s="49" t="inlineStr">
        <is>
          <t>Thấp</t>
        </is>
      </c>
    </row>
    <row r="1246" ht="15" customHeight="1" s="32">
      <c r="A1246" s="39" t="inlineStr">
        <is>
          <t>bastion_mk0</t>
        </is>
      </c>
      <c r="B1246" s="39" t="inlineStr">
        <is>
          <t>Bastion Mk.0 · Pháo đài nguyên mẫu</t>
        </is>
      </c>
      <c r="C1246" s="39" t="inlineStr">
        <is>
          <t>Kích thước</t>
        </is>
      </c>
      <c r="D1246" s="39" t="inlineStr">
        <is>
          <t>25.0 × 10.3 × 10.1</t>
        </is>
      </c>
      <c r="E1246" s="49" t="inlineStr">
        <is>
          <t>Giữ</t>
        </is>
      </c>
      <c r="F1246" s="39" t="n"/>
      <c r="G1246" s="39" t="inlineStr">
        <is>
          <t>Hợp cấp boss.</t>
        </is>
      </c>
      <c r="H1246" s="39" t="n"/>
    </row>
    <row r="1247" ht="15" customHeight="1" s="32">
      <c r="A1247" s="41" t="inlineStr">
        <is>
          <t>bastion_mk0</t>
        </is>
      </c>
      <c r="B1247" s="41" t="inlineStr">
        <is>
          <t>Bastion Mk.0 · Pháo đài nguyên mẫu</t>
        </is>
      </c>
      <c r="C1247" s="41" t="inlineStr">
        <is>
          <t>Vũ khí</t>
        </is>
      </c>
      <c r="D1247" s="43" t="n">
        <v>3</v>
      </c>
      <c r="E1247" s="49" t="inlineStr">
        <is>
          <t>Giữ</t>
        </is>
      </c>
      <c r="F1247" s="41" t="n"/>
      <c r="G1247" s="41" t="inlineStr">
        <is>
          <t>Khớp thiết kế.</t>
        </is>
      </c>
      <c r="H1247" s="41" t="n"/>
    </row>
    <row r="1248" ht="21.75" customHeight="1" s="32">
      <c r="A1248" s="39" t="inlineStr">
        <is>
          <t>nuke_train</t>
        </is>
      </c>
      <c r="B1248" s="39" t="inlineStr">
        <is>
          <t>Nemesis · Đoàn tàu tên lửa</t>
        </is>
      </c>
      <c r="C1248" s="39" t="inlineStr">
        <is>
          <t>Máu</t>
        </is>
      </c>
      <c r="D1248" s="42" t="n">
        <v>13260</v>
      </c>
      <c r="E1248" s="47" t="inlineStr">
        <is>
          <t>Đổi</t>
        </is>
      </c>
      <c r="F1248" s="39" t="inlineStr">
        <is>
          <t>18000–22000</t>
        </is>
      </c>
      <c r="G1248" s="39" t="inlineStr">
        <is>
          <t>Theo thang máu boss mới (Tổng quan): boss chủ lực chương 7. Máu gốc trước scale chiến dịch.</t>
        </is>
      </c>
      <c r="H1248" s="48" t="inlineStr">
        <is>
          <t>Trung</t>
        </is>
      </c>
    </row>
    <row r="1249" ht="15" customHeight="1" s="32">
      <c r="A1249" s="41" t="inlineStr">
        <is>
          <t>nuke_train</t>
        </is>
      </c>
      <c r="B1249" s="41" t="inlineStr">
        <is>
          <t>Nemesis · Đoàn tàu tên lửa</t>
        </is>
      </c>
      <c r="C1249" s="41" t="inlineStr">
        <is>
          <t>Giáp</t>
        </is>
      </c>
      <c r="D1249" s="41" t="inlineStr">
        <is>
          <t>5/4/3/2</t>
        </is>
      </c>
      <c r="E1249" s="49" t="inlineStr">
        <is>
          <t>Giữ</t>
        </is>
      </c>
      <c r="F1249" s="41" t="n"/>
      <c r="G1249" s="41" t="n"/>
      <c r="H1249" s="41" t="n"/>
    </row>
    <row r="1250" ht="15" customHeight="1" s="32">
      <c r="A1250" s="39" t="inlineStr">
        <is>
          <t>nuke_train</t>
        </is>
      </c>
      <c r="B1250" s="39" t="inlineStr">
        <is>
          <t>Nemesis · Đoàn tàu tên lửa</t>
        </is>
      </c>
      <c r="C1250" s="39" t="inlineStr">
        <is>
          <t>Kích thước</t>
        </is>
      </c>
      <c r="D1250" s="39" t="inlineStr">
        <is>
          <t>61.6 × 5.1 × 7.4</t>
        </is>
      </c>
      <c r="E1250" s="49" t="inlineStr">
        <is>
          <t>Giữ</t>
        </is>
      </c>
      <c r="F1250" s="39" t="n"/>
      <c r="G1250" s="39" t="inlineStr">
        <is>
          <t>Hợp cấp boss.</t>
        </is>
      </c>
      <c r="H1250" s="39" t="n"/>
    </row>
    <row r="1251" ht="15" customHeight="1" s="32">
      <c r="A1251" s="41" t="inlineStr">
        <is>
          <t>nuke_train</t>
        </is>
      </c>
      <c r="B1251" s="41" t="inlineStr">
        <is>
          <t>Nemesis · Đoàn tàu tên lửa</t>
        </is>
      </c>
      <c r="C1251" s="41" t="inlineStr">
        <is>
          <t>Vũ khí</t>
        </is>
      </c>
      <c r="D1251" s="43" t="n">
        <v>4</v>
      </c>
      <c r="E1251" s="49" t="inlineStr">
        <is>
          <t>Giữ</t>
        </is>
      </c>
      <c r="F1251" s="41" t="n"/>
      <c r="G1251" s="41" t="inlineStr">
        <is>
          <t>Khớp thiết kế.</t>
        </is>
      </c>
      <c r="H1251" s="41" t="n"/>
    </row>
    <row r="1252" ht="21.75" customHeight="1" s="32">
      <c r="A1252" s="39" t="inlineStr">
        <is>
          <t>scylla</t>
        </is>
      </c>
      <c r="B1252" s="39" t="inlineStr">
        <is>
          <t>Scylla · Tàu khu trục</t>
        </is>
      </c>
      <c r="C1252" s="39" t="inlineStr">
        <is>
          <t>Máu</t>
        </is>
      </c>
      <c r="D1252" s="42" t="n">
        <v>13370</v>
      </c>
      <c r="E1252" s="47" t="inlineStr">
        <is>
          <t>Đổi</t>
        </is>
      </c>
      <c r="F1252" s="39" t="inlineStr">
        <is>
          <t>pháo 130 mm AK-130 đôi + bệ tên lửa chống hạm + CIWS · ~9.000 máu</t>
        </is>
      </c>
      <c r="G1252" s="39" t="inlineStr">
        <is>
          <t>Tàu khu trục mini boss mang pháo thiết giáp hạm, máu cao hơn boss chủ lực.</t>
        </is>
      </c>
      <c r="H1252" s="47" t="inlineStr">
        <is>
          <t>Cao</t>
        </is>
      </c>
    </row>
    <row r="1253" ht="15" customHeight="1" s="32">
      <c r="A1253" s="41" t="inlineStr">
        <is>
          <t>scylla</t>
        </is>
      </c>
      <c r="B1253" s="41" t="inlineStr">
        <is>
          <t>Scylla · Tàu khu trục</t>
        </is>
      </c>
      <c r="C1253" s="41" t="inlineStr">
        <is>
          <t>Giáp</t>
        </is>
      </c>
      <c r="D1253" s="41" t="inlineStr">
        <is>
          <t>5/4/3/2</t>
        </is>
      </c>
      <c r="E1253" s="47" t="inlineStr">
        <is>
          <t>Đổi</t>
        </is>
      </c>
      <c r="F1253" s="41" t="inlineStr">
        <is>
          <t>4/4/3/2</t>
        </is>
      </c>
      <c r="G1253" s="41" t="inlineStr">
        <is>
          <t>Mini boss không có giáp trước 5 (chỉ boss chủ lực).</t>
        </is>
      </c>
      <c r="H1253" s="49" t="inlineStr">
        <is>
          <t>Thấp</t>
        </is>
      </c>
    </row>
    <row r="1254" ht="15" customHeight="1" s="32">
      <c r="A1254" s="39" t="inlineStr">
        <is>
          <t>scylla</t>
        </is>
      </c>
      <c r="B1254" s="39" t="inlineStr">
        <is>
          <t>Scylla · Tàu khu trục</t>
        </is>
      </c>
      <c r="C1254" s="39" t="inlineStr">
        <is>
          <t>Kích thước</t>
        </is>
      </c>
      <c r="D1254" s="39" t="inlineStr">
        <is>
          <t>48.8 × 9.2 × 14.2</t>
        </is>
      </c>
      <c r="E1254" s="49" t="inlineStr">
        <is>
          <t>Giữ</t>
        </is>
      </c>
      <c r="F1254" s="39" t="n"/>
      <c r="G1254" s="39" t="inlineStr">
        <is>
          <t>Hợp cấp boss.</t>
        </is>
      </c>
      <c r="H1254" s="39" t="n"/>
    </row>
    <row r="1255" ht="21.75" customHeight="1" s="32">
      <c r="A1255" s="41" t="inlineStr">
        <is>
          <t>scylla</t>
        </is>
      </c>
      <c r="B1255" s="41" t="inlineStr">
        <is>
          <t>Scylla · Tàu khu trục</t>
        </is>
      </c>
      <c r="C1255" s="41" t="inlineStr">
        <is>
          <t>Vũ khí, máu</t>
        </is>
      </c>
      <c r="D1255" s="41" t="inlineStr">
        <is>
          <t>pháo 460 mm (của Yamato) · 13.370 máu</t>
        </is>
      </c>
      <c r="E1255" s="47" t="inlineStr">
        <is>
          <t>Đổi</t>
        </is>
      </c>
      <c r="F1255" s="41" t="inlineStr">
        <is>
          <t>pháo 130 mm AK-130 đôi + bệ tên lửa chống hạm + CIWS · ~9.000 máu</t>
        </is>
      </c>
      <c r="G1255" s="41" t="inlineStr">
        <is>
          <t>Tàu khu trục mini boss mang pháo thiết giáp hạm, máu cao hơn boss chủ lực.</t>
        </is>
      </c>
      <c r="H1255" s="47" t="inlineStr">
        <is>
          <t>Cao</t>
        </is>
      </c>
    </row>
    <row r="1256" ht="15" customHeight="1" s="32">
      <c r="A1256" s="39" t="inlineStr">
        <is>
          <t>silver_bug</t>
        </is>
      </c>
      <c r="B1256" s="39" t="inlineStr">
        <is>
          <t>Icarus · Phi thuyền quỹ đạo</t>
        </is>
      </c>
      <c r="C1256" s="39" t="inlineStr">
        <is>
          <t>Máu</t>
        </is>
      </c>
      <c r="D1256" s="42" t="n">
        <v>13388</v>
      </c>
      <c r="E1256" s="47" t="inlineStr">
        <is>
          <t>Đổi</t>
        </is>
      </c>
      <c r="F1256" s="39" t="inlineStr">
        <is>
          <t>~26.000 (cao nhất game)</t>
        </is>
      </c>
      <c r="G1256" s="39" t="inlineStr">
        <is>
          <t>Trùm cuối phải có nhiều máu nhất.</t>
        </is>
      </c>
      <c r="H1256" s="47" t="inlineStr">
        <is>
          <t>Cao</t>
        </is>
      </c>
    </row>
    <row r="1257" ht="15" customHeight="1" s="32">
      <c r="A1257" s="41" t="inlineStr">
        <is>
          <t>silver_bug</t>
        </is>
      </c>
      <c r="B1257" s="41" t="inlineStr">
        <is>
          <t>Icarus · Phi thuyền quỹ đạo</t>
        </is>
      </c>
      <c r="C1257" s="41" t="inlineStr">
        <is>
          <t>Giáp</t>
        </is>
      </c>
      <c r="D1257" s="41" t="inlineStr">
        <is>
          <t>cấp 4 (Rất dày)</t>
        </is>
      </c>
      <c r="E1257" s="49" t="inlineStr">
        <is>
          <t>Giữ</t>
        </is>
      </c>
      <c r="F1257" s="41" t="n"/>
      <c r="G1257" s="41" t="n"/>
      <c r="H1257" s="41" t="n"/>
    </row>
    <row r="1258" ht="21.75" customHeight="1" s="32">
      <c r="A1258" s="39" t="inlineStr">
        <is>
          <t>silver_bug</t>
        </is>
      </c>
      <c r="B1258" s="39" t="inlineStr">
        <is>
          <t>Icarus · Phi thuyền quỹ đạo</t>
        </is>
      </c>
      <c r="C1258" s="39" t="inlineStr">
        <is>
          <t>Kích thước</t>
        </is>
      </c>
      <c r="D1258" s="39" t="inlineStr">
        <is>
          <t>37.0 × 25.0 × 8.9</t>
        </is>
      </c>
      <c r="E1258" s="47" t="inlineStr">
        <is>
          <t>Đổi</t>
        </is>
      </c>
      <c r="F1258" s="39" t="inlineStr">
        <is>
          <t>~60 × 40 m</t>
        </is>
      </c>
      <c r="G1258" s="39" t="inlineStr">
        <is>
          <t>Trùm cuối nhỏ hơn Roc, Typhon, Nemesis, Kronos và cả mini boss Caspian; phi thuyền quỹ đạo nên là vật thể lớn nhất trên trời.</t>
        </is>
      </c>
      <c r="H1258" s="48" t="inlineStr">
        <is>
          <t>Trung</t>
        </is>
      </c>
    </row>
    <row r="1259" ht="21.75" customHeight="1" s="32">
      <c r="A1259" s="41" t="inlineStr">
        <is>
          <t>silver_bug</t>
        </is>
      </c>
      <c r="B1259" s="41" t="inlineStr">
        <is>
          <t>Icarus · Phi thuyền quỹ đạo</t>
        </is>
      </c>
      <c r="C1259" s="41" t="inlineStr">
        <is>
          <t>Vũ khí</t>
        </is>
      </c>
      <c r="D1259" s="41" t="inlineStr">
        <is>
          <t>2 pháo Rh-120 xe tăng, 2 Oerlikon 35, 2 Bofors 40</t>
        </is>
      </c>
      <c r="E1259" s="47" t="inlineStr">
        <is>
          <t>Đổi</t>
        </is>
      </c>
      <c r="F1259" s="41" t="inlineStr">
        <is>
          <t>thay bằng 2 coilgun và 2 tháp laser phòng thủ điểm; pháo thông thường chỉ ở tháp phụ pha 3 (xác rơi)</t>
        </is>
      </c>
      <c r="G1259" s="41" t="inlineStr">
        <is>
          <t>Phi thuyền quỹ đạo mang pháo xe tăng là vô lý.</t>
        </is>
      </c>
      <c r="H1259" s="47" t="inlineStr">
        <is>
          <t>Cao</t>
        </is>
      </c>
    </row>
    <row r="1260" ht="21.75" customHeight="1" s="32">
      <c r="A1260" s="39" t="inlineStr">
        <is>
          <t>mobile_fortress</t>
        </is>
      </c>
      <c r="B1260" s="39" t="inlineStr">
        <is>
          <t>Jötunn · Pháo đài di động</t>
        </is>
      </c>
      <c r="C1260" s="39" t="inlineStr">
        <is>
          <t>Máu</t>
        </is>
      </c>
      <c r="D1260" s="42" t="n">
        <v>15470</v>
      </c>
      <c r="E1260" s="49" t="inlineStr">
        <is>
          <t>Giữ</t>
        </is>
      </c>
      <c r="F1260" s="39" t="n"/>
      <c r="G1260" s="39" t="inlineStr">
        <is>
          <t>Theo thang máu boss mới (Tổng quan): boss chủ lực chương 3. Máu gốc trước scale chiến dịch.</t>
        </is>
      </c>
      <c r="H1260" s="39" t="n"/>
    </row>
    <row r="1261" ht="15" customHeight="1" s="32">
      <c r="A1261" s="41" t="inlineStr">
        <is>
          <t>mobile_fortress</t>
        </is>
      </c>
      <c r="B1261" s="41" t="inlineStr">
        <is>
          <t>Jötunn · Pháo đài di động</t>
        </is>
      </c>
      <c r="C1261" s="41" t="inlineStr">
        <is>
          <t>Giáp</t>
        </is>
      </c>
      <c r="D1261" s="41" t="inlineStr">
        <is>
          <t>5/4/3/2</t>
        </is>
      </c>
      <c r="E1261" s="49" t="inlineStr">
        <is>
          <t>Giữ</t>
        </is>
      </c>
      <c r="F1261" s="41" t="n"/>
      <c r="G1261" s="41" t="n"/>
      <c r="H1261" s="41" t="n"/>
    </row>
    <row r="1262" ht="15" customHeight="1" s="32">
      <c r="A1262" s="39" t="inlineStr">
        <is>
          <t>mobile_fortress</t>
        </is>
      </c>
      <c r="B1262" s="39" t="inlineStr">
        <is>
          <t>Jötunn · Pháo đài di động</t>
        </is>
      </c>
      <c r="C1262" s="39" t="inlineStr">
        <is>
          <t>Kích thước</t>
        </is>
      </c>
      <c r="D1262" s="39" t="inlineStr">
        <is>
          <t>26.1 × 14.7 × 13.5</t>
        </is>
      </c>
      <c r="E1262" s="49" t="inlineStr">
        <is>
          <t>Giữ</t>
        </is>
      </c>
      <c r="F1262" s="39" t="n"/>
      <c r="G1262" s="39" t="inlineStr">
        <is>
          <t>Hợp cấp boss.</t>
        </is>
      </c>
      <c r="H1262" s="39" t="n"/>
    </row>
    <row r="1263" ht="15" customHeight="1" s="32">
      <c r="A1263" s="41" t="inlineStr">
        <is>
          <t>mobile_fortress</t>
        </is>
      </c>
      <c r="B1263" s="41" t="inlineStr">
        <is>
          <t>Jötunn · Pháo đài di động</t>
        </is>
      </c>
      <c r="C1263" s="41" t="inlineStr">
        <is>
          <t>Vũ khí</t>
        </is>
      </c>
      <c r="D1263" s="43" t="n">
        <v>8</v>
      </c>
      <c r="E1263" s="49" t="inlineStr">
        <is>
          <t>Giữ</t>
        </is>
      </c>
      <c r="F1263" s="41" t="n"/>
      <c r="G1263" s="41" t="inlineStr">
        <is>
          <t>Khớp thiết kế.</t>
        </is>
      </c>
      <c r="H1263" s="41" t="n"/>
    </row>
    <row r="1264" ht="21.75" customHeight="1" s="32">
      <c r="A1264" s="39" t="inlineStr">
        <is>
          <t>command_airship</t>
        </is>
      </c>
      <c r="B1264" s="39" t="inlineStr">
        <is>
          <t>Roc · Khí cầu chỉ huy</t>
        </is>
      </c>
      <c r="C1264" s="39" t="inlineStr">
        <is>
          <t>Máu</t>
        </is>
      </c>
      <c r="D1264" s="42" t="n">
        <v>16575</v>
      </c>
      <c r="E1264" s="47" t="inlineStr">
        <is>
          <t>Đổi</t>
        </is>
      </c>
      <c r="F1264" s="39" t="inlineStr">
        <is>
          <t>20700–25300</t>
        </is>
      </c>
      <c r="G1264" s="39" t="inlineStr">
        <is>
          <t>Theo thang máu boss mới (Tổng quan): boss chủ lực chương 10. Máu gốc trước scale chiến dịch.</t>
        </is>
      </c>
      <c r="H1264" s="48" t="inlineStr">
        <is>
          <t>Trung</t>
        </is>
      </c>
    </row>
    <row r="1265" ht="15" customHeight="1" s="32">
      <c r="A1265" s="41" t="inlineStr">
        <is>
          <t>command_airship</t>
        </is>
      </c>
      <c r="B1265" s="41" t="inlineStr">
        <is>
          <t>Roc · Khí cầu chỉ huy</t>
        </is>
      </c>
      <c r="C1265" s="41" t="inlineStr">
        <is>
          <t>Giáp</t>
        </is>
      </c>
      <c r="D1265" s="41" t="inlineStr">
        <is>
          <t>cấp 2 (Vừa)</t>
        </is>
      </c>
      <c r="E1265" s="49" t="inlineStr">
        <is>
          <t>Giữ</t>
        </is>
      </c>
      <c r="F1265" s="41" t="n"/>
      <c r="G1265" s="41" t="n"/>
      <c r="H1265" s="41" t="n"/>
    </row>
    <row r="1266" ht="15" customHeight="1" s="32">
      <c r="A1266" s="39" t="inlineStr">
        <is>
          <t>command_airship</t>
        </is>
      </c>
      <c r="B1266" s="39" t="inlineStr">
        <is>
          <t>Roc · Khí cầu chỉ huy</t>
        </is>
      </c>
      <c r="C1266" s="39" t="inlineStr">
        <is>
          <t>Kích thước</t>
        </is>
      </c>
      <c r="D1266" s="39" t="inlineStr">
        <is>
          <t>59.2 × 41.0 × 20.9</t>
        </is>
      </c>
      <c r="E1266" s="49" t="inlineStr">
        <is>
          <t>Giữ</t>
        </is>
      </c>
      <c r="F1266" s="39" t="n"/>
      <c r="G1266" s="39" t="inlineStr">
        <is>
          <t>Hợp cấp boss.</t>
        </is>
      </c>
      <c r="H1266" s="39" t="n"/>
    </row>
    <row r="1267" ht="15" customHeight="1" s="32">
      <c r="A1267" s="41" t="inlineStr">
        <is>
          <t>command_airship</t>
        </is>
      </c>
      <c r="B1267" s="41" t="inlineStr">
        <is>
          <t>Roc · Khí cầu chỉ huy</t>
        </is>
      </c>
      <c r="C1267" s="41" t="inlineStr">
        <is>
          <t>Vũ khí</t>
        </is>
      </c>
      <c r="D1267" s="43" t="n">
        <v>6</v>
      </c>
      <c r="E1267" s="49" t="inlineStr">
        <is>
          <t>Giữ</t>
        </is>
      </c>
      <c r="F1267" s="41" t="n"/>
      <c r="G1267" s="41" t="inlineStr">
        <is>
          <t>Khớp thiết kế.</t>
        </is>
      </c>
      <c r="H1267" s="41" t="n"/>
    </row>
    <row r="1268" ht="21.75" customHeight="1" s="32">
      <c r="A1268" s="39" t="inlineStr">
        <is>
          <t>moloch</t>
        </is>
      </c>
      <c r="B1268" s="39" t="inlineStr">
        <is>
          <t>Moloch · Nhà máy di động</t>
        </is>
      </c>
      <c r="C1268" s="39" t="inlineStr">
        <is>
          <t>Máu</t>
        </is>
      </c>
      <c r="D1268" s="42" t="n">
        <v>17212</v>
      </c>
      <c r="E1268" s="49" t="inlineStr">
        <is>
          <t>Giữ</t>
        </is>
      </c>
      <c r="F1268" s="39" t="n"/>
      <c r="G1268" s="39" t="inlineStr">
        <is>
          <t>Theo thang máu boss mới (Tổng quan): boss chủ lực chương 6. Máu gốc trước scale chiến dịch.</t>
        </is>
      </c>
      <c r="H1268" s="39" t="n"/>
    </row>
    <row r="1269" ht="15" customHeight="1" s="32">
      <c r="A1269" s="41" t="inlineStr">
        <is>
          <t>moloch</t>
        </is>
      </c>
      <c r="B1269" s="41" t="inlineStr">
        <is>
          <t>Moloch · Nhà máy di động</t>
        </is>
      </c>
      <c r="C1269" s="41" t="inlineStr">
        <is>
          <t>Giáp</t>
        </is>
      </c>
      <c r="D1269" s="41" t="inlineStr">
        <is>
          <t>5/4/3/2</t>
        </is>
      </c>
      <c r="E1269" s="49" t="inlineStr">
        <is>
          <t>Giữ</t>
        </is>
      </c>
      <c r="F1269" s="41" t="n"/>
      <c r="G1269" s="41" t="n"/>
      <c r="H1269" s="41" t="n"/>
    </row>
    <row r="1270" ht="15" customHeight="1" s="32">
      <c r="A1270" s="39" t="inlineStr">
        <is>
          <t>moloch</t>
        </is>
      </c>
      <c r="B1270" s="39" t="inlineStr">
        <is>
          <t>Moloch · Nhà máy di động</t>
        </is>
      </c>
      <c r="C1270" s="39" t="inlineStr">
        <is>
          <t>Kích thước</t>
        </is>
      </c>
      <c r="D1270" s="39" t="inlineStr">
        <is>
          <t>26.5 × 14.4 × 12.0</t>
        </is>
      </c>
      <c r="E1270" s="49" t="inlineStr">
        <is>
          <t>Giữ</t>
        </is>
      </c>
      <c r="F1270" s="39" t="n"/>
      <c r="G1270" s="39" t="inlineStr">
        <is>
          <t>Hợp cấp boss.</t>
        </is>
      </c>
      <c r="H1270" s="39" t="n"/>
    </row>
    <row r="1271" ht="15" customHeight="1" s="32">
      <c r="A1271" s="41" t="inlineStr">
        <is>
          <t>moloch</t>
        </is>
      </c>
      <c r="B1271" s="41" t="inlineStr">
        <is>
          <t>Moloch · Nhà máy di động</t>
        </is>
      </c>
      <c r="C1271" s="41" t="inlineStr">
        <is>
          <t>Vũ khí</t>
        </is>
      </c>
      <c r="D1271" s="43" t="n">
        <v>5</v>
      </c>
      <c r="E1271" s="49" t="inlineStr">
        <is>
          <t>Giữ</t>
        </is>
      </c>
      <c r="F1271" s="41" t="n"/>
      <c r="G1271" s="41" t="inlineStr">
        <is>
          <t>Khớp thiết kế.</t>
        </is>
      </c>
      <c r="H1271" s="41" t="n"/>
    </row>
    <row r="1272" ht="15" customHeight="1" s="32">
      <c r="A1272" s="39" t="inlineStr">
        <is>
          <t>fortress_bastion</t>
        </is>
      </c>
      <c r="B1272" s="39" t="inlineStr">
        <is>
          <t>Bastion · Pháo đài</t>
        </is>
      </c>
      <c r="C1272" s="39" t="inlineStr">
        <is>
          <t>Máu</t>
        </is>
      </c>
      <c r="D1272" s="42" t="n">
        <v>17935</v>
      </c>
      <c r="E1272" s="47" t="inlineStr">
        <is>
          <t>Đổi</t>
        </is>
      </c>
      <c r="F1272" s="39" t="inlineStr">
        <is>
          <t>~12.000</t>
        </is>
      </c>
      <c r="G1272" s="39" t="inlineStr">
        <is>
          <t>Boss chương 1 gần bằng boss chương 9–12.</t>
        </is>
      </c>
      <c r="H1272" s="48" t="inlineStr">
        <is>
          <t>Trung</t>
        </is>
      </c>
    </row>
    <row r="1273" ht="15" customHeight="1" s="32">
      <c r="A1273" s="41" t="inlineStr">
        <is>
          <t>fortress_bastion</t>
        </is>
      </c>
      <c r="B1273" s="41" t="inlineStr">
        <is>
          <t>Bastion · Pháo đài</t>
        </is>
      </c>
      <c r="C1273" s="41" t="inlineStr">
        <is>
          <t>Giáp</t>
        </is>
      </c>
      <c r="D1273" s="41" t="inlineStr">
        <is>
          <t>5/4/4/3</t>
        </is>
      </c>
      <c r="E1273" s="49" t="inlineStr">
        <is>
          <t>Giữ</t>
        </is>
      </c>
      <c r="F1273" s="41" t="n"/>
      <c r="G1273" s="41" t="n"/>
      <c r="H1273" s="41" t="n"/>
    </row>
    <row r="1274" ht="15" customHeight="1" s="32">
      <c r="A1274" s="39" t="inlineStr">
        <is>
          <t>fortress_bastion</t>
        </is>
      </c>
      <c r="B1274" s="39" t="inlineStr">
        <is>
          <t>Bastion · Pháo đài</t>
        </is>
      </c>
      <c r="C1274" s="39" t="inlineStr">
        <is>
          <t>Kích thước</t>
        </is>
      </c>
      <c r="D1274" s="39" t="inlineStr">
        <is>
          <t>35.8 × 14.7 × 14.4</t>
        </is>
      </c>
      <c r="E1274" s="49" t="inlineStr">
        <is>
          <t>Giữ</t>
        </is>
      </c>
      <c r="F1274" s="39" t="n"/>
      <c r="G1274" s="39" t="inlineStr">
        <is>
          <t>Hợp cấp boss.</t>
        </is>
      </c>
      <c r="H1274" s="39" t="n"/>
    </row>
    <row r="1275" ht="15" customHeight="1" s="32">
      <c r="A1275" s="41" t="inlineStr">
        <is>
          <t>fortress_bastion</t>
        </is>
      </c>
      <c r="B1275" s="41" t="inlineStr">
        <is>
          <t>Bastion · Pháo đài</t>
        </is>
      </c>
      <c r="C1275" s="41" t="inlineStr">
        <is>
          <t>Vũ khí</t>
        </is>
      </c>
      <c r="D1275" s="43" t="n">
        <v>9</v>
      </c>
      <c r="E1275" s="49" t="inlineStr">
        <is>
          <t>Giữ</t>
        </is>
      </c>
      <c r="F1275" s="41" t="n"/>
      <c r="G1275" s="41" t="inlineStr">
        <is>
          <t>Khớp thiết kế.</t>
        </is>
      </c>
      <c r="H1275" s="41" t="n"/>
    </row>
    <row r="1276" ht="21.75" customHeight="1" s="32">
      <c r="A1276" s="39" t="inlineStr">
        <is>
          <t>typhon</t>
        </is>
      </c>
      <c r="B1276" s="39" t="inlineStr">
        <is>
          <t>Typhon · Tàu ngầm tên lửa</t>
        </is>
      </c>
      <c r="C1276" s="39" t="inlineStr">
        <is>
          <t>Máu</t>
        </is>
      </c>
      <c r="D1276" s="42" t="n">
        <v>17935</v>
      </c>
      <c r="E1276" s="47" t="inlineStr">
        <is>
          <t>Đổi</t>
        </is>
      </c>
      <c r="F1276" s="39" t="inlineStr">
        <is>
          <t>19800–24200</t>
        </is>
      </c>
      <c r="G1276" s="39" t="inlineStr">
        <is>
          <t>Theo thang máu boss mới (Tổng quan): boss chủ lực chương 9. Máu gốc trước scale chiến dịch.</t>
        </is>
      </c>
      <c r="H1276" s="48" t="inlineStr">
        <is>
          <t>Trung</t>
        </is>
      </c>
    </row>
    <row r="1277" ht="15" customHeight="1" s="32">
      <c r="A1277" s="41" t="inlineStr">
        <is>
          <t>typhon</t>
        </is>
      </c>
      <c r="B1277" s="41" t="inlineStr">
        <is>
          <t>Typhon · Tàu ngầm tên lửa</t>
        </is>
      </c>
      <c r="C1277" s="41" t="inlineStr">
        <is>
          <t>Giáp</t>
        </is>
      </c>
      <c r="D1277" s="41" t="inlineStr">
        <is>
          <t>5/4/4/2</t>
        </is>
      </c>
      <c r="E1277" s="49" t="inlineStr">
        <is>
          <t>Giữ</t>
        </is>
      </c>
      <c r="F1277" s="41" t="n"/>
      <c r="G1277" s="41" t="n"/>
      <c r="H1277" s="41" t="n"/>
    </row>
    <row r="1278" ht="15" customHeight="1" s="32">
      <c r="A1278" s="39" t="inlineStr">
        <is>
          <t>typhon</t>
        </is>
      </c>
      <c r="B1278" s="39" t="inlineStr">
        <is>
          <t>Typhon · Tàu ngầm tên lửa</t>
        </is>
      </c>
      <c r="C1278" s="39" t="inlineStr">
        <is>
          <t>Kích thước</t>
        </is>
      </c>
      <c r="D1278" s="39" t="inlineStr">
        <is>
          <t>59.0 × 12.2 × 14.1</t>
        </is>
      </c>
      <c r="E1278" s="49" t="inlineStr">
        <is>
          <t>Giữ</t>
        </is>
      </c>
      <c r="F1278" s="39" t="n"/>
      <c r="G1278" s="39" t="inlineStr">
        <is>
          <t>Hợp cấp boss.</t>
        </is>
      </c>
      <c r="H1278" s="39" t="n"/>
    </row>
    <row r="1279" ht="15" customHeight="1" s="32">
      <c r="A1279" s="41" t="inlineStr">
        <is>
          <t>typhon</t>
        </is>
      </c>
      <c r="B1279" s="41" t="inlineStr">
        <is>
          <t>Typhon · Tàu ngầm tên lửa</t>
        </is>
      </c>
      <c r="C1279" s="41" t="inlineStr">
        <is>
          <t>Vũ khí</t>
        </is>
      </c>
      <c r="D1279" s="41" t="inlineStr">
        <is>
          <t>Buk + AK-100</t>
        </is>
      </c>
      <c r="E1279" s="47" t="inlineStr">
        <is>
          <t>Đổi</t>
        </is>
      </c>
      <c r="F1279" s="41" t="inlineStr">
        <is>
          <t>thêm tên lửa hành trình tầm ngắn bắn thường</t>
        </is>
      </c>
      <c r="G1279" s="41" t="inlineStr">
        <is>
          <t>Thiết kế có nhưng dữ liệu chưa có.</t>
        </is>
      </c>
      <c r="H1279" s="48" t="inlineStr">
        <is>
          <t>Trung</t>
        </is>
      </c>
    </row>
    <row r="1280" ht="21.75" customHeight="1" s="32">
      <c r="A1280" s="39"/>
      <c r="B1280" s="39"/>
      <c r="C1280" s="39"/>
      <c r="D1280" s="42"/>
      <c r="E1280" s="47"/>
      <c r="F1280" s="39"/>
      <c r="G1280" s="39"/>
      <c r="H1280" s="48"/>
    </row>
    <row r="1281" ht="15" customHeight="1" s="32">
      <c r="A1281" s="41"/>
      <c r="B1281" s="41"/>
      <c r="C1281" s="41"/>
      <c r="D1281" s="41"/>
      <c r="E1281" s="49"/>
      <c r="F1281" s="41"/>
      <c r="G1281" s="41"/>
      <c r="H1281" s="41"/>
    </row>
    <row r="1282" ht="15" customHeight="1" s="32">
      <c r="A1282" s="39"/>
      <c r="B1282" s="39"/>
      <c r="C1282" s="39"/>
      <c r="D1282" s="39"/>
      <c r="E1282" s="49"/>
      <c r="F1282" s="39"/>
      <c r="G1282" s="39"/>
      <c r="H1282" s="39"/>
    </row>
    <row r="1283" ht="21.75" customHeight="1" s="32">
      <c r="A1283" s="41"/>
      <c r="B1283" s="41"/>
      <c r="C1283" s="41"/>
      <c r="D1283" s="41"/>
      <c r="E1283" s="47"/>
      <c r="F1283" s="41"/>
      <c r="G1283" s="41"/>
      <c r="H1283" s="49"/>
    </row>
    <row r="1284" ht="21.75" customHeight="1" s="32">
      <c r="A1284" s="39" t="inlineStr">
        <is>
          <t>leviathan</t>
        </is>
      </c>
      <c r="B1284" s="39" t="inlineStr">
        <is>
          <t>Leviathan · Thiết giáp hạm</t>
        </is>
      </c>
      <c r="C1284" s="39" t="inlineStr">
        <is>
          <t>Máu</t>
        </is>
      </c>
      <c r="D1284" s="42" t="n">
        <v>18700</v>
      </c>
      <c r="E1284" s="49" t="inlineStr">
        <is>
          <t>Giữ</t>
        </is>
      </c>
      <c r="F1284" s="39" t="n"/>
      <c r="G1284" s="39" t="inlineStr">
        <is>
          <t>Theo thang máu boss mới (Tổng quan): boss chủ lực chương 4. Máu gốc trước scale chiến dịch.</t>
        </is>
      </c>
      <c r="H1284" s="39" t="n"/>
    </row>
    <row r="1285" ht="15" customHeight="1" s="32">
      <c r="A1285" s="41" t="inlineStr">
        <is>
          <t>leviathan</t>
        </is>
      </c>
      <c r="B1285" s="41" t="inlineStr">
        <is>
          <t>Leviathan · Thiết giáp hạm</t>
        </is>
      </c>
      <c r="C1285" s="41" t="inlineStr">
        <is>
          <t>Giáp</t>
        </is>
      </c>
      <c r="D1285" s="41" t="inlineStr">
        <is>
          <t>5/4/3/2</t>
        </is>
      </c>
      <c r="E1285" s="49" t="inlineStr">
        <is>
          <t>Giữ</t>
        </is>
      </c>
      <c r="F1285" s="41" t="n"/>
      <c r="G1285" s="41" t="n"/>
      <c r="H1285" s="41" t="n"/>
    </row>
    <row r="1286" ht="15" customHeight="1" s="32">
      <c r="A1286" s="39" t="inlineStr">
        <is>
          <t>leviathan</t>
        </is>
      </c>
      <c r="B1286" s="39" t="inlineStr">
        <is>
          <t>Leviathan · Thiết giáp hạm</t>
        </is>
      </c>
      <c r="C1286" s="39" t="inlineStr">
        <is>
          <t>Kích thước</t>
        </is>
      </c>
      <c r="D1286" s="39" t="inlineStr">
        <is>
          <t>97.6 × 18.5 × 28.5</t>
        </is>
      </c>
      <c r="E1286" s="49" t="inlineStr">
        <is>
          <t>Giữ</t>
        </is>
      </c>
      <c r="F1286" s="39" t="n"/>
      <c r="G1286" s="39" t="inlineStr">
        <is>
          <t>Hợp cấp boss.</t>
        </is>
      </c>
      <c r="H1286" s="39" t="n"/>
    </row>
    <row r="1287" ht="15" customHeight="1" s="32">
      <c r="A1287" s="41" t="inlineStr">
        <is>
          <t>leviathan</t>
        </is>
      </c>
      <c r="B1287" s="41" t="inlineStr">
        <is>
          <t>Leviathan · Thiết giáp hạm</t>
        </is>
      </c>
      <c r="C1287" s="41" t="inlineStr">
        <is>
          <t>Vũ khí: 460 mm</t>
        </is>
      </c>
      <c r="D1287" s="41" t="inlineStr">
        <is>
          <t>nổ lan 7 m</t>
        </is>
      </c>
      <c r="E1287" s="47" t="inlineStr">
        <is>
          <t>Đổi</t>
        </is>
      </c>
      <c r="F1287" s="41" t="inlineStr">
        <is>
          <t>nổ lan 13 m</t>
        </is>
      </c>
      <c r="G1287" s="41" t="inlineStr">
        <is>
          <t>Đạn 1,46 tấn đang nổ nhỏ hơn cối 240 mm.</t>
        </is>
      </c>
      <c r="H1287" s="48" t="inlineStr">
        <is>
          <t>Trung</t>
        </is>
      </c>
    </row>
    <row r="1288" ht="21.75" customHeight="1" s="32">
      <c r="A1288" s="39" t="inlineStr">
        <is>
          <t>drone_mothership</t>
        </is>
      </c>
      <c r="B1288" s="39" t="inlineStr">
        <is>
          <t>Matriarch · Tàu mẹ drone</t>
        </is>
      </c>
      <c r="C1288" s="39" t="inlineStr">
        <is>
          <t>Máu</t>
        </is>
      </c>
      <c r="D1288" s="42" t="n">
        <v>18828</v>
      </c>
      <c r="E1288" s="49" t="inlineStr">
        <is>
          <t>Giữ</t>
        </is>
      </c>
      <c r="F1288" s="39" t="n"/>
      <c r="G1288" s="39" t="inlineStr">
        <is>
          <t>Theo thang máu boss mới (Tổng quan): boss chủ lực chương 5. Máu gốc trước scale chiến dịch.</t>
        </is>
      </c>
      <c r="H1288" s="39" t="n"/>
    </row>
    <row r="1289" ht="15" customHeight="1" s="32">
      <c r="A1289" s="41" t="inlineStr">
        <is>
          <t>drone_mothership</t>
        </is>
      </c>
      <c r="B1289" s="41" t="inlineStr">
        <is>
          <t>Matriarch · Tàu mẹ drone</t>
        </is>
      </c>
      <c r="C1289" s="41" t="inlineStr">
        <is>
          <t>Giáp</t>
        </is>
      </c>
      <c r="D1289" s="41" t="inlineStr">
        <is>
          <t>cấp 2 (Vừa)</t>
        </is>
      </c>
      <c r="E1289" s="49" t="inlineStr">
        <is>
          <t>Giữ</t>
        </is>
      </c>
      <c r="F1289" s="41" t="n"/>
      <c r="G1289" s="41" t="n"/>
      <c r="H1289" s="41" t="n"/>
    </row>
    <row r="1290" ht="15" customHeight="1" s="32">
      <c r="A1290" s="39" t="inlineStr">
        <is>
          <t>drone_mothership</t>
        </is>
      </c>
      <c r="B1290" s="39" t="inlineStr">
        <is>
          <t>Matriarch · Tàu mẹ drone</t>
        </is>
      </c>
      <c r="C1290" s="39" t="inlineStr">
        <is>
          <t>Kích thước</t>
        </is>
      </c>
      <c r="D1290" s="39" t="inlineStr">
        <is>
          <t>42.3 × 21.0 × 17.7</t>
        </is>
      </c>
      <c r="E1290" s="49" t="inlineStr">
        <is>
          <t>Giữ</t>
        </is>
      </c>
      <c r="F1290" s="39" t="n"/>
      <c r="G1290" s="39" t="inlineStr">
        <is>
          <t>Hợp cấp boss.</t>
        </is>
      </c>
      <c r="H1290" s="39" t="n"/>
    </row>
    <row r="1291" ht="15" customHeight="1" s="32">
      <c r="A1291" s="41" t="inlineStr">
        <is>
          <t>drone_mothership</t>
        </is>
      </c>
      <c r="B1291" s="41" t="inlineStr">
        <is>
          <t>Matriarch · Tàu mẹ drone</t>
        </is>
      </c>
      <c r="C1291" s="41" t="inlineStr">
        <is>
          <t>Vũ khí</t>
        </is>
      </c>
      <c r="D1291" s="43" t="n">
        <v>8</v>
      </c>
      <c r="E1291" s="49" t="inlineStr">
        <is>
          <t>Giữ</t>
        </is>
      </c>
      <c r="F1291" s="41" t="n"/>
      <c r="G1291" s="41" t="inlineStr">
        <is>
          <t>Khớp thiết kế.</t>
        </is>
      </c>
      <c r="H1291" s="41" t="n"/>
    </row>
  </sheetData>
  <autoFilter ref="A1:H129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5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11" customWidth="1" style="31" min="3" max="3"/>
    <col width="8" customWidth="1" style="31" min="4" max="4"/>
    <col width="9" customWidth="1" style="31" min="5" max="5"/>
    <col width="11" customWidth="1" style="31" min="6" max="7"/>
    <col width="12" customWidth="1" style="31" min="8" max="8"/>
    <col width="11" customWidth="1" style="31" min="9" max="9"/>
    <col width="10" customWidth="1" style="31" min="10" max="10"/>
    <col width="70" customWidth="1" style="31" min="11" max="11"/>
  </cols>
  <sheetData>
    <row r="1" ht="42" customHeight="1" s="32">
      <c r="A1" s="37" t="inlineStr">
        <is>
          <t>id</t>
        </is>
      </c>
      <c r="B1" s="37" t="inlineStr">
        <is>
          <t>Đơn vị</t>
        </is>
      </c>
      <c r="C1" s="37" t="inlineStr">
        <is>
          <t>Nhóm (9b)</t>
        </is>
      </c>
      <c r="D1" s="44" t="inlineStr">
        <is>
          <t>CP hiện</t>
        </is>
      </c>
      <c r="E1" s="45" t="inlineStr">
        <is>
          <t>CP sau đợt 1</t>
        </is>
      </c>
      <c r="F1" s="45" t="inlineStr">
        <is>
          <t>DPS lý thuyết đề xuất / CP</t>
        </is>
      </c>
      <c r="G1" s="37" t="inlineStr">
        <is>
          <t>Hệ số so trung vị nhóm (DPS)</t>
        </is>
      </c>
      <c r="H1" s="37" t="inlineStr">
        <is>
          <t>Giá trị thực chiến / CP (sau đổi giá)</t>
        </is>
      </c>
      <c r="I1" s="37" t="inlineStr">
        <is>
          <t>Hệ số so trung vị nhóm (thực chiến)</t>
        </is>
      </c>
      <c r="J1" s="46" t="inlineStr">
        <is>
          <t>Kết luận</t>
        </is>
      </c>
      <c r="K1" s="45" t="inlineStr">
        <is>
          <t>Đề xuất đợt 2</t>
        </is>
      </c>
    </row>
    <row r="2" ht="15" customHeight="1" s="32">
      <c r="A2" s="39" t="inlineStr">
        <is>
          <t>armored_car</t>
        </is>
      </c>
      <c r="B2" s="39" t="inlineStr">
        <is>
          <t>Xe bọc thép</t>
        </is>
      </c>
      <c r="C2" s="39" t="inlineStr">
        <is>
          <t>Light</t>
        </is>
      </c>
      <c r="D2" s="42" t="n">
        <v>3</v>
      </c>
      <c r="E2" s="42" t="n">
        <v>3</v>
      </c>
      <c r="F2" s="42" t="n">
        <v>17.4</v>
      </c>
      <c r="G2" s="42" t="n">
        <v>1.05</v>
      </c>
      <c r="H2" s="42" t="n">
        <v>138</v>
      </c>
      <c r="I2" s="42" t="n">
        <v>0.88</v>
      </c>
      <c r="J2" s="49" t="inlineStr">
        <is>
          <t>Ổn</t>
        </is>
      </c>
      <c r="K2" s="39" t="inlineStr">
        <is>
          <t>Trong khoảng mục tiêu.</t>
        </is>
      </c>
    </row>
    <row r="3" ht="15" customHeight="1" s="32">
      <c r="A3" s="41" t="inlineStr">
        <is>
          <t>ifv</t>
        </is>
      </c>
      <c r="B3" s="41" t="inlineStr">
        <is>
          <t>Xe chiến đấu bộ binh</t>
        </is>
      </c>
      <c r="C3" s="41" t="inlineStr">
        <is>
          <t>Light</t>
        </is>
      </c>
      <c r="D3" s="43" t="n">
        <v>6</v>
      </c>
      <c r="E3" s="43" t="n">
        <v>6</v>
      </c>
      <c r="F3" s="43" t="n">
        <v>15.6</v>
      </c>
      <c r="G3" s="43" t="n">
        <v>0.95</v>
      </c>
      <c r="H3" s="43" t="n">
        <v>174</v>
      </c>
      <c r="I3" s="43" t="n">
        <v>1.12</v>
      </c>
      <c r="J3" s="49" t="inlineStr">
        <is>
          <t>Ổn</t>
        </is>
      </c>
      <c r="K3" s="41" t="inlineStr">
        <is>
          <t>Trong khoảng mục tiêu.</t>
        </is>
      </c>
    </row>
    <row r="4" ht="15" customHeight="1" s="32">
      <c r="A4" s="39" t="inlineStr">
        <is>
          <t>engineer_vehicle</t>
        </is>
      </c>
      <c r="B4" s="39" t="inlineStr">
        <is>
          <t>Xe công binh</t>
        </is>
      </c>
      <c r="C4" s="39" t="inlineStr">
        <is>
          <t>Support</t>
        </is>
      </c>
      <c r="D4" s="42" t="n">
        <v>3</v>
      </c>
      <c r="E4" s="42" t="n">
        <v>3</v>
      </c>
      <c r="F4" s="42" t="n">
        <v>16.7</v>
      </c>
      <c r="G4" s="42" t="n">
        <v>1.67</v>
      </c>
      <c r="H4" s="42" t="n">
        <v>0</v>
      </c>
      <c r="I4" s="42" t="n">
        <v>0</v>
      </c>
      <c r="J4" s="49" t="inlineStr">
        <is>
          <t>Ổn</t>
        </is>
      </c>
      <c r="K4" s="39" t="inlineStr">
        <is>
          <t>Xe hỗ trợ: giá trị chiến đấu thấp là đúng.</t>
        </is>
      </c>
    </row>
    <row r="5" ht="15" customHeight="1" s="32">
      <c r="A5" s="41"/>
      <c r="B5" s="41"/>
      <c r="C5" s="41"/>
      <c r="D5" s="43"/>
      <c r="E5" s="43"/>
      <c r="F5" s="43"/>
      <c r="G5" s="43"/>
      <c r="H5" s="43"/>
      <c r="I5" s="43"/>
      <c r="J5" s="49"/>
      <c r="K5" s="41"/>
    </row>
    <row r="6" ht="15" customHeight="1" s="32">
      <c r="A6" s="39" t="inlineStr">
        <is>
          <t>ammo_carrier</t>
        </is>
      </c>
      <c r="B6" s="39" t="inlineStr">
        <is>
          <t>Xe tiếp đạn</t>
        </is>
      </c>
      <c r="C6" s="39" t="inlineStr">
        <is>
          <t>Support</t>
        </is>
      </c>
      <c r="D6" s="42" t="n">
        <v>4</v>
      </c>
      <c r="E6" s="42" t="n">
        <v>4</v>
      </c>
      <c r="F6" s="42" t="n">
        <v>12.5</v>
      </c>
      <c r="G6" s="42" t="n">
        <v>1.25</v>
      </c>
      <c r="H6" s="42" t="n">
        <v>0</v>
      </c>
      <c r="I6" s="42" t="n">
        <v>0</v>
      </c>
      <c r="J6" s="49" t="inlineStr">
        <is>
          <t>Ổn</t>
        </is>
      </c>
      <c r="K6" s="39" t="inlineStr">
        <is>
          <t>Xe hỗ trợ: giá trị chiến đấu thấp là đúng.</t>
        </is>
      </c>
    </row>
    <row r="7" ht="15" customHeight="1" s="32">
      <c r="A7" s="41"/>
      <c r="B7" s="41"/>
      <c r="C7" s="41"/>
      <c r="D7" s="43"/>
      <c r="E7" s="43"/>
      <c r="F7" s="43"/>
      <c r="G7" s="43"/>
      <c r="H7" s="43"/>
      <c r="I7" s="43"/>
      <c r="J7" s="49"/>
      <c r="K7" s="41"/>
    </row>
    <row r="8" ht="15" customHeight="1" s="32">
      <c r="A8" s="39" t="inlineStr">
        <is>
          <t>ew_jammer</t>
        </is>
      </c>
      <c r="B8" s="39" t="inlineStr">
        <is>
          <t>Xe tác chiến điện tử</t>
        </is>
      </c>
      <c r="C8" s="39" t="inlineStr">
        <is>
          <t>Support</t>
        </is>
      </c>
      <c r="D8" s="42" t="n">
        <v>5</v>
      </c>
      <c r="E8" s="42" t="n">
        <v>5</v>
      </c>
      <c r="F8" s="42" t="n">
        <v>10</v>
      </c>
      <c r="G8" s="42" t="n">
        <v>1</v>
      </c>
      <c r="H8" s="42" t="n">
        <v>0</v>
      </c>
      <c r="I8" s="42" t="n">
        <v>0</v>
      </c>
      <c r="J8" s="49" t="inlineStr">
        <is>
          <t>Ổn</t>
        </is>
      </c>
      <c r="K8" s="39" t="inlineStr">
        <is>
          <t>Xe hỗ trợ: giá trị chiến đấu thấp là đúng.</t>
        </is>
      </c>
    </row>
    <row r="9" ht="15" customHeight="1" s="32">
      <c r="A9" s="41" t="inlineStr">
        <is>
          <t>mine_layer</t>
        </is>
      </c>
      <c r="B9" s="41" t="inlineStr">
        <is>
          <t>Xe rải mìn</t>
        </is>
      </c>
      <c r="C9" s="41" t="inlineStr">
        <is>
          <t>Support</t>
        </is>
      </c>
      <c r="D9" s="43" t="n">
        <v>5</v>
      </c>
      <c r="E9" s="43" t="n">
        <v>5</v>
      </c>
      <c r="F9" s="43" t="n">
        <v>10</v>
      </c>
      <c r="G9" s="43" t="n">
        <v>1</v>
      </c>
      <c r="H9" s="43" t="n">
        <v>102</v>
      </c>
      <c r="I9" s="43" t="n">
        <v>0.62</v>
      </c>
      <c r="J9" s="49" t="inlineStr">
        <is>
          <t>Ổn</t>
        </is>
      </c>
      <c r="K9" s="41" t="inlineStr">
        <is>
          <t>Xe hỗ trợ: giá trị chiến đấu thấp là đúng.</t>
        </is>
      </c>
    </row>
    <row r="10" ht="15" customHeight="1" s="32">
      <c r="A10" s="39" t="inlineStr">
        <is>
          <t>command_vehicle</t>
        </is>
      </c>
      <c r="B10" s="39" t="inlineStr">
        <is>
          <t>Xe chỉ huy</t>
        </is>
      </c>
      <c r="C10" s="39" t="inlineStr">
        <is>
          <t>Support</t>
        </is>
      </c>
      <c r="D10" s="42" t="n">
        <v>6</v>
      </c>
      <c r="E10" s="42" t="n">
        <v>6</v>
      </c>
      <c r="F10" s="42" t="n">
        <v>8.4</v>
      </c>
      <c r="G10" s="42" t="n">
        <v>0.83</v>
      </c>
      <c r="H10" s="42" t="n">
        <v>0</v>
      </c>
      <c r="I10" s="42" t="n">
        <v>0</v>
      </c>
      <c r="J10" s="49" t="inlineStr">
        <is>
          <t>Ổn</t>
        </is>
      </c>
      <c r="K10" s="39" t="inlineStr">
        <is>
          <t>Xe hỗ trợ: giá trị chiến đấu thấp là đúng.</t>
        </is>
      </c>
    </row>
    <row r="11" ht="15" customHeight="1" s="32">
      <c r="A11" s="41" t="inlineStr">
        <is>
          <t>shield_carrier</t>
        </is>
      </c>
      <c r="B11" s="41" t="inlineStr">
        <is>
          <t>Xe phát khiên</t>
        </is>
      </c>
      <c r="C11" s="41" t="inlineStr">
        <is>
          <t>Support</t>
        </is>
      </c>
      <c r="D11" s="43" t="n">
        <v>7</v>
      </c>
      <c r="E11" s="43" t="n">
        <v>7</v>
      </c>
      <c r="F11" s="43" t="n">
        <v>7.2</v>
      </c>
      <c r="G11" s="43" t="n">
        <v>0.71</v>
      </c>
      <c r="H11" s="43" t="n">
        <v>0</v>
      </c>
      <c r="I11" s="43" t="n">
        <v>0</v>
      </c>
      <c r="J11" s="49" t="inlineStr">
        <is>
          <t>Ổn</t>
        </is>
      </c>
      <c r="K11" s="41" t="inlineStr">
        <is>
          <t>Xe hỗ trợ: giá trị chiến đấu thấp là đúng.</t>
        </is>
      </c>
    </row>
    <row r="12" ht="15" customHeight="1" s="32">
      <c r="A12" s="39" t="inlineStr">
        <is>
          <t>scout_jeep</t>
        </is>
      </c>
      <c r="B12" s="39" t="inlineStr">
        <is>
          <t>Xe trinh sát</t>
        </is>
      </c>
      <c r="C12" s="39" t="inlineStr">
        <is>
          <t>Scout</t>
        </is>
      </c>
      <c r="D12" s="42" t="n">
        <v>2</v>
      </c>
      <c r="E12" s="42" t="n">
        <v>2</v>
      </c>
      <c r="F12" s="42" t="n">
        <v>25.1</v>
      </c>
      <c r="G12" s="42" t="n">
        <v>0.15</v>
      </c>
      <c r="H12" s="42" t="n">
        <v>84</v>
      </c>
      <c r="I12" s="42" t="n">
        <v>1.04</v>
      </c>
      <c r="J12" s="49" t="inlineStr">
        <is>
          <t>Ổn</t>
        </is>
      </c>
      <c r="K12" s="39" t="inlineStr">
        <is>
          <t>Trinh sát: đo bằng tầm nhìn và thời gian sống, không phải DPS.</t>
        </is>
      </c>
    </row>
    <row r="13" ht="15" customHeight="1" s="32">
      <c r="A13" s="41" t="inlineStr">
        <is>
          <t>vbied</t>
        </is>
      </c>
      <c r="B13" s="41" t="inlineStr">
        <is>
          <t>Xe bom tự sát bọc thép</t>
        </is>
      </c>
      <c r="C13" s="41" t="inlineStr">
        <is>
          <t>Scout</t>
        </is>
      </c>
      <c r="D13" s="43" t="n">
        <v>3</v>
      </c>
      <c r="E13" s="43" t="n">
        <v>3</v>
      </c>
      <c r="F13" s="43" t="n">
        <v>308</v>
      </c>
      <c r="G13" s="43" t="n">
        <v>1.85</v>
      </c>
      <c r="H13" s="43" t="n">
        <v>78</v>
      </c>
      <c r="I13" s="43" t="n">
        <v>0.96</v>
      </c>
      <c r="J13" s="49" t="inlineStr">
        <is>
          <t>Ổn</t>
        </is>
      </c>
      <c r="K13" s="41" t="inlineStr">
        <is>
          <t>Trinh sát: đo bằng tầm nhìn và thời gian sống, không phải DPS.</t>
        </is>
      </c>
    </row>
    <row r="14" ht="15" customHeight="1" s="32">
      <c r="A14" s="39" t="inlineStr">
        <is>
          <t>light_tank</t>
        </is>
      </c>
      <c r="B14" s="39" t="inlineStr">
        <is>
          <t>Tăng hạng nhẹ</t>
        </is>
      </c>
      <c r="C14" s="39" t="inlineStr">
        <is>
          <t>Tank</t>
        </is>
      </c>
      <c r="D14" s="42" t="n">
        <v>3</v>
      </c>
      <c r="E14" s="42" t="n">
        <v>3</v>
      </c>
      <c r="F14" s="42" t="n">
        <v>13</v>
      </c>
      <c r="G14" s="42" t="n">
        <v>1</v>
      </c>
      <c r="H14" s="42" t="n">
        <v>222</v>
      </c>
      <c r="I14" s="42" t="n">
        <v>0.48</v>
      </c>
      <c r="J14" s="49" t="inlineStr">
        <is>
          <t>Ổn</t>
        </is>
      </c>
      <c r="K14" s="39" t="inlineStr">
        <is>
          <t>Trong khoảng mục tiêu.</t>
        </is>
      </c>
    </row>
    <row r="15" ht="15" customHeight="1" s="32">
      <c r="A15" s="41" t="inlineStr">
        <is>
          <t>flame_tank</t>
        </is>
      </c>
      <c r="B15" s="41" t="inlineStr">
        <is>
          <t>Tăng phun lửa</t>
        </is>
      </c>
      <c r="C15" s="41" t="inlineStr">
        <is>
          <t>Heavy</t>
        </is>
      </c>
      <c r="D15" s="43" t="n">
        <v>5</v>
      </c>
      <c r="E15" s="43" t="n">
        <v>5</v>
      </c>
      <c r="F15" s="43" t="n">
        <v>14.3</v>
      </c>
      <c r="G15" s="43" t="n">
        <v>1.18</v>
      </c>
      <c r="H15" s="43" t="n">
        <v>258</v>
      </c>
      <c r="I15" s="43" t="n">
        <v>0.66</v>
      </c>
      <c r="J15" s="49" t="inlineStr">
        <is>
          <t>Ổn</t>
        </is>
      </c>
      <c r="K15" s="41" t="inlineStr">
        <is>
          <t>Trong khoảng mục tiêu.</t>
        </is>
      </c>
    </row>
    <row r="16" ht="15" customHeight="1" s="32">
      <c r="A16" s="39"/>
      <c r="B16" s="39"/>
      <c r="C16" s="39"/>
      <c r="D16" s="42"/>
      <c r="E16" s="42"/>
      <c r="F16" s="42"/>
      <c r="G16" s="42"/>
      <c r="H16" s="42"/>
      <c r="I16" s="42"/>
      <c r="J16" s="49"/>
      <c r="K16" s="39"/>
    </row>
    <row r="17" ht="15" customHeight="1" s="32">
      <c r="A17" s="41"/>
      <c r="B17" s="41"/>
      <c r="C17" s="41"/>
      <c r="D17" s="43"/>
      <c r="E17" s="43"/>
      <c r="F17" s="43"/>
      <c r="G17" s="43"/>
      <c r="H17" s="43"/>
      <c r="I17" s="43"/>
      <c r="J17" s="49"/>
      <c r="K17" s="41"/>
    </row>
    <row r="18" ht="22.35" customHeight="1" s="32">
      <c r="A18" s="39" t="inlineStr">
        <is>
          <t>rocket_technical</t>
        </is>
      </c>
      <c r="B18" s="39" t="inlineStr">
        <is>
          <t>Bán tải rốc-két</t>
        </is>
      </c>
      <c r="C18" s="39" t="inlineStr">
        <is>
          <t>Artillery</t>
        </is>
      </c>
      <c r="D18" s="42" t="n">
        <v>3</v>
      </c>
      <c r="E18" s="42" t="n">
        <v>3</v>
      </c>
      <c r="F18" s="42" t="n">
        <v>15</v>
      </c>
      <c r="G18" s="42" t="n">
        <v>1.6</v>
      </c>
      <c r="H18" s="42" t="n">
        <v>253</v>
      </c>
      <c r="I18" s="42" t="n">
        <v>0.59</v>
      </c>
      <c r="J18" s="48" t="inlineStr">
        <is>
          <t>Theo dõi</t>
        </is>
      </c>
      <c r="K18" s="39" t="inlineStr">
        <is>
          <t>Hai phép đo lệch nhau (DPS lý thuyết khác giá trị thực chiến): nguyên nhân thường là thời gian sống, thời gian bắn hoặc tầm; chạy mô phỏng trước khi đổi.</t>
        </is>
      </c>
    </row>
    <row r="19" ht="15" customHeight="1" s="32">
      <c r="A19" s="41" t="inlineStr">
        <is>
          <t>mortar_carrier</t>
        </is>
      </c>
      <c r="B19" s="41" t="inlineStr">
        <is>
          <t>Xe súng cối</t>
        </is>
      </c>
      <c r="C19" s="41" t="inlineStr">
        <is>
          <t>Artillery</t>
        </is>
      </c>
      <c r="D19" s="43" t="n">
        <v>4</v>
      </c>
      <c r="E19" s="43" t="n">
        <v>4</v>
      </c>
      <c r="F19" s="43" t="n">
        <v>10.7</v>
      </c>
      <c r="G19" s="43" t="n">
        <v>1.14</v>
      </c>
      <c r="H19" s="43" t="n">
        <v>324</v>
      </c>
      <c r="I19" s="43" t="n">
        <v>0.75</v>
      </c>
      <c r="J19" s="49" t="inlineStr">
        <is>
          <t>Ổn</t>
        </is>
      </c>
      <c r="K19" s="41" t="inlineStr">
        <is>
          <t>Trong khoảng mục tiêu.</t>
        </is>
      </c>
    </row>
    <row r="20" ht="15" customHeight="1" s="32">
      <c r="A20" s="39" t="inlineStr">
        <is>
          <t>artillery</t>
        </is>
      </c>
      <c r="B20" s="39" t="inlineStr">
        <is>
          <t>Pháo tự hành</t>
        </is>
      </c>
      <c r="C20" s="39" t="inlineStr">
        <is>
          <t>Artillery</t>
        </is>
      </c>
      <c r="D20" s="42" t="n">
        <v>6</v>
      </c>
      <c r="E20" s="42" t="n">
        <v>6</v>
      </c>
      <c r="F20" s="42" t="n">
        <v>11.5</v>
      </c>
      <c r="G20" s="42" t="n">
        <v>1.22</v>
      </c>
      <c r="H20" s="42" t="n">
        <v>331</v>
      </c>
      <c r="I20" s="42" t="n">
        <v>0.77</v>
      </c>
      <c r="J20" s="49" t="inlineStr">
        <is>
          <t>Ổn</t>
        </is>
      </c>
      <c r="K20" s="39" t="inlineStr">
        <is>
          <t>Trong khoảng mục tiêu.</t>
        </is>
      </c>
    </row>
    <row r="21" ht="15" customHeight="1" s="32">
      <c r="A21" s="41" t="inlineStr">
        <is>
          <t>mlrs</t>
        </is>
      </c>
      <c r="B21" s="41" t="inlineStr">
        <is>
          <t>Pháo phản lực</t>
        </is>
      </c>
      <c r="C21" s="41" t="inlineStr">
        <is>
          <t>Artillery</t>
        </is>
      </c>
      <c r="D21" s="43" t="n">
        <v>6</v>
      </c>
      <c r="E21" s="43" t="n">
        <v>7</v>
      </c>
      <c r="F21" s="43" t="n">
        <v>7.3</v>
      </c>
      <c r="G21" s="43" t="n">
        <v>0.78</v>
      </c>
      <c r="H21" s="43" t="n">
        <v>437</v>
      </c>
      <c r="I21" s="43" t="n">
        <v>1.01</v>
      </c>
      <c r="J21" s="49" t="inlineStr">
        <is>
          <t>Ổn</t>
        </is>
      </c>
      <c r="K21" s="41" t="inlineStr">
        <is>
          <t>Trong khoảng mục tiêu.</t>
        </is>
      </c>
    </row>
    <row r="22" ht="15" customHeight="1" s="32">
      <c r="A22" s="39" t="inlineStr">
        <is>
          <t>shahed_truck</t>
        </is>
      </c>
      <c r="B22" s="39" t="inlineStr">
        <is>
          <t>Xe phóng Shahed</t>
        </is>
      </c>
      <c r="C22" s="39" t="inlineStr">
        <is>
          <t>Artillery</t>
        </is>
      </c>
      <c r="D22" s="42" t="n">
        <v>8</v>
      </c>
      <c r="E22" s="42" t="n">
        <v>8</v>
      </c>
      <c r="F22" s="42" t="n">
        <v>8.1</v>
      </c>
      <c r="G22" s="42" t="n">
        <v>0.86</v>
      </c>
      <c r="H22" s="42" t="n">
        <v>472</v>
      </c>
      <c r="I22" s="42" t="n">
        <v>1.09</v>
      </c>
      <c r="J22" s="49" t="inlineStr">
        <is>
          <t>Ổn</t>
        </is>
      </c>
      <c r="K22" s="39" t="inlineStr">
        <is>
          <t>Trong khoảng mục tiêu.</t>
        </is>
      </c>
    </row>
    <row r="23" ht="15" customHeight="1" s="32">
      <c r="A23" s="41" t="inlineStr">
        <is>
          <t>thermobaric_launcher</t>
        </is>
      </c>
      <c r="B23" s="41" t="inlineStr">
        <is>
          <t>Pháo phản lực nhiệt áp</t>
        </is>
      </c>
      <c r="C23" s="41" t="inlineStr">
        <is>
          <t>Artillery</t>
        </is>
      </c>
      <c r="D23" s="43" t="n">
        <v>8</v>
      </c>
      <c r="E23" s="43" t="n">
        <v>9</v>
      </c>
      <c r="F23" s="43" t="n">
        <v>10.4</v>
      </c>
      <c r="G23" s="43" t="n">
        <v>1.1</v>
      </c>
      <c r="H23" s="43" t="n">
        <v>464</v>
      </c>
      <c r="I23" s="43" t="n">
        <v>1.07</v>
      </c>
      <c r="J23" s="49" t="inlineStr">
        <is>
          <t>Ổn</t>
        </is>
      </c>
      <c r="K23" s="41" t="inlineStr">
        <is>
          <t>Trong khoảng mục tiêu.</t>
        </is>
      </c>
    </row>
    <row r="24" ht="15" customHeight="1" s="32">
      <c r="A24" s="39" t="inlineStr">
        <is>
          <t>ballistic_launcher</t>
        </is>
      </c>
      <c r="B24" s="39" t="inlineStr">
        <is>
          <t>Xe phóng tên lửa đạn đạo</t>
        </is>
      </c>
      <c r="C24" s="39" t="inlineStr">
        <is>
          <t>Artillery</t>
        </is>
      </c>
      <c r="D24" s="42" t="n">
        <v>11</v>
      </c>
      <c r="E24" s="42" t="n">
        <v>11</v>
      </c>
      <c r="F24" s="42" t="n">
        <v>6.6</v>
      </c>
      <c r="G24" s="42" t="n">
        <v>0.7</v>
      </c>
      <c r="H24" s="42" t="n">
        <v>427</v>
      </c>
      <c r="I24" s="42" t="n">
        <v>0.99</v>
      </c>
      <c r="J24" s="49" t="inlineStr">
        <is>
          <t>Ổn</t>
        </is>
      </c>
      <c r="K24" s="39" t="inlineStr">
        <is>
          <t>Trong khoảng mục tiêu.</t>
        </is>
      </c>
    </row>
    <row r="25" ht="15" customHeight="1" s="32">
      <c r="A25" s="41" t="inlineStr">
        <is>
          <t>heavy_rocket_artillery</t>
        </is>
      </c>
      <c r="B25" s="41" t="inlineStr">
        <is>
          <t>Pháo phản lực hạng nặng</t>
        </is>
      </c>
      <c r="C25" s="41" t="inlineStr">
        <is>
          <t>Artillery</t>
        </is>
      </c>
      <c r="D25" s="43" t="n">
        <v>11</v>
      </c>
      <c r="E25" s="43" t="n">
        <v>12</v>
      </c>
      <c r="F25" s="43" t="n">
        <v>8.4</v>
      </c>
      <c r="G25" s="43" t="n">
        <v>0.9</v>
      </c>
      <c r="H25" s="43" t="n">
        <v>478</v>
      </c>
      <c r="I25" s="43" t="n">
        <v>1.11</v>
      </c>
      <c r="J25" s="49" t="inlineStr">
        <is>
          <t>Ổn</t>
        </is>
      </c>
      <c r="K25" s="41" t="inlineStr">
        <is>
          <t>Trong khoảng mục tiêu.</t>
        </is>
      </c>
    </row>
    <row r="26" ht="15" customHeight="1" s="32">
      <c r="A26" s="39" t="inlineStr">
        <is>
          <t>siege_tank</t>
        </is>
      </c>
      <c r="B26" s="39" t="inlineStr">
        <is>
          <t>Tăng công thành</t>
        </is>
      </c>
      <c r="C26" s="39" t="inlineStr">
        <is>
          <t>Heavy</t>
        </is>
      </c>
      <c r="D26" s="42" t="n">
        <v>12</v>
      </c>
      <c r="E26" s="42" t="n">
        <v>12</v>
      </c>
      <c r="F26" s="42" t="n">
        <v>12.2</v>
      </c>
      <c r="G26" s="42" t="n">
        <v>1</v>
      </c>
      <c r="H26" s="42" t="n">
        <v>414</v>
      </c>
      <c r="I26" s="42" t="n">
        <v>1.05</v>
      </c>
      <c r="J26" s="49" t="inlineStr">
        <is>
          <t>Ổn</t>
        </is>
      </c>
      <c r="K26" s="39" t="inlineStr">
        <is>
          <t>Trong khoảng mục tiêu.</t>
        </is>
      </c>
    </row>
    <row r="27" ht="15" customHeight="1" s="32">
      <c r="A27" s="41" t="inlineStr">
        <is>
          <t>zu23_technical</t>
        </is>
      </c>
      <c r="B27" s="41" t="inlineStr">
        <is>
          <t>Bán tải ZU-23</t>
        </is>
      </c>
      <c r="C27" s="41" t="inlineStr">
        <is>
          <t>AntiAir</t>
        </is>
      </c>
      <c r="D27" s="43" t="n">
        <v>3</v>
      </c>
      <c r="E27" s="43" t="n">
        <v>3</v>
      </c>
      <c r="F27" s="43" t="n">
        <v>30.3</v>
      </c>
      <c r="G27" s="43" t="n">
        <v>0.8100000000000001</v>
      </c>
      <c r="H27" s="43" t="n">
        <v>62</v>
      </c>
      <c r="I27" s="43" t="n">
        <v>0.26</v>
      </c>
      <c r="J27" s="49" t="inlineStr">
        <is>
          <t>Ổn</t>
        </is>
      </c>
      <c r="K27" s="41" t="inlineStr">
        <is>
          <t>Trong khoảng mục tiêu.</t>
        </is>
      </c>
    </row>
    <row r="28" ht="15" customHeight="1" s="32">
      <c r="A28" s="39" t="inlineStr">
        <is>
          <t>aa_vehicle</t>
        </is>
      </c>
      <c r="B28" s="39" t="inlineStr">
        <is>
          <t>Xe phòng không</t>
        </is>
      </c>
      <c r="C28" s="39" t="inlineStr">
        <is>
          <t>AntiAir</t>
        </is>
      </c>
      <c r="D28" s="42" t="n">
        <v>4</v>
      </c>
      <c r="E28" s="42" t="n">
        <v>4</v>
      </c>
      <c r="F28" s="42" t="n">
        <v>40.8</v>
      </c>
      <c r="G28" s="42" t="n">
        <v>1.09</v>
      </c>
      <c r="H28" s="42" t="n">
        <v>226</v>
      </c>
      <c r="I28" s="42" t="n">
        <v>0.9399999999999999</v>
      </c>
      <c r="J28" s="49" t="inlineStr">
        <is>
          <t>Ổn</t>
        </is>
      </c>
      <c r="K28" s="39" t="inlineStr">
        <is>
          <t>Trong khoảng mục tiêu.</t>
        </is>
      </c>
    </row>
    <row r="29" ht="15" customHeight="1" s="32">
      <c r="A29" s="41" t="inlineStr">
        <is>
          <t>sam_launcher</t>
        </is>
      </c>
      <c r="B29" s="41" t="inlineStr">
        <is>
          <t>Tên lửa phòng không</t>
        </is>
      </c>
      <c r="C29" s="41" t="inlineStr">
        <is>
          <t>AntiAir</t>
        </is>
      </c>
      <c r="D29" s="43" t="n">
        <v>5</v>
      </c>
      <c r="E29" s="43" t="n">
        <v>7</v>
      </c>
      <c r="F29" s="43" t="n">
        <v>36</v>
      </c>
      <c r="G29" s="43" t="n">
        <v>0.96</v>
      </c>
      <c r="H29" s="43" t="n">
        <v>302</v>
      </c>
      <c r="I29" s="43" t="n">
        <v>1.25</v>
      </c>
      <c r="J29" s="49" t="inlineStr">
        <is>
          <t>Ổn</t>
        </is>
      </c>
      <c r="K29" s="41" t="inlineStr">
        <is>
          <t>Trong khoảng mục tiêu.</t>
        </is>
      </c>
    </row>
    <row r="30" ht="15" customHeight="1" s="32">
      <c r="A30" s="39" t="inlineStr">
        <is>
          <t>heavy_aa</t>
        </is>
      </c>
      <c r="B30" s="39" t="inlineStr">
        <is>
          <t>Pháo tên lửa phòng không</t>
        </is>
      </c>
      <c r="C30" s="39" t="inlineStr">
        <is>
          <t>AntiAir</t>
        </is>
      </c>
      <c r="D30" s="42" t="n">
        <v>6</v>
      </c>
      <c r="E30" s="42" t="n">
        <v>7</v>
      </c>
      <c r="F30" s="42" t="n">
        <v>38.8</v>
      </c>
      <c r="G30" s="42" t="n">
        <v>1.04</v>
      </c>
      <c r="H30" s="42" t="n">
        <v>257</v>
      </c>
      <c r="I30" s="42" t="n">
        <v>1.06</v>
      </c>
      <c r="J30" s="49" t="inlineStr">
        <is>
          <t>Ổn</t>
        </is>
      </c>
      <c r="K30" s="39" t="inlineStr">
        <is>
          <t>Trong khoảng mục tiêu.</t>
        </is>
      </c>
    </row>
    <row r="31" ht="15" customHeight="1" s="32">
      <c r="A31" s="41" t="inlineStr">
        <is>
          <t>iron_beam</t>
        </is>
      </c>
      <c r="B31" s="41" t="inlineStr">
        <is>
          <t>La-de phòng không</t>
        </is>
      </c>
      <c r="C31" s="41" t="inlineStr">
        <is>
          <t>AntiAir</t>
        </is>
      </c>
      <c r="D31" s="43" t="n">
        <v>7</v>
      </c>
      <c r="E31" s="43" t="n">
        <v>6</v>
      </c>
      <c r="F31" s="43" t="n">
        <v>47.6</v>
      </c>
      <c r="G31" s="43" t="n">
        <v>1.27</v>
      </c>
      <c r="H31" s="43" t="n">
        <v>102</v>
      </c>
      <c r="I31" s="43" t="n">
        <v>0.42</v>
      </c>
      <c r="J31" s="49" t="inlineStr">
        <is>
          <t>Ổn</t>
        </is>
      </c>
      <c r="K31" s="41" t="inlineStr">
        <is>
          <t>Trong khoảng mục tiêu.</t>
        </is>
      </c>
    </row>
    <row r="32" ht="22.35" customHeight="1" s="32">
      <c r="A32" s="39" t="inlineStr">
        <is>
          <t>long_sam</t>
        </is>
      </c>
      <c r="B32" s="39" t="inlineStr">
        <is>
          <t>Tên lửa phòng không tầm xa</t>
        </is>
      </c>
      <c r="C32" s="39" t="inlineStr">
        <is>
          <t>AntiAir</t>
        </is>
      </c>
      <c r="D32" s="42" t="n">
        <v>11</v>
      </c>
      <c r="E32" s="42" t="n">
        <v>14</v>
      </c>
      <c r="F32" s="42" t="n">
        <v>8.199999999999999</v>
      </c>
      <c r="G32" s="42" t="n">
        <v>0.22</v>
      </c>
      <c r="H32" s="42" t="n">
        <v>472</v>
      </c>
      <c r="I32" s="42" t="n">
        <v>1.95</v>
      </c>
      <c r="J32" s="48" t="inlineStr">
        <is>
          <t>Theo dõi</t>
        </is>
      </c>
      <c r="K32" s="39" t="inlineStr">
        <is>
          <t>Hai phép đo lệch nhau (DPS lý thuyết khác giá trị thực chiến): nguyên nhân thường là thời gian sống, thời gian bắn hoặc tầm; chạy mô phỏng trước khi đổi.</t>
        </is>
      </c>
    </row>
    <row r="33" ht="15" customHeight="1" s="32">
      <c r="A33" s="41" t="inlineStr">
        <is>
          <t>scout_heli</t>
        </is>
      </c>
      <c r="B33" s="41" t="inlineStr">
        <is>
          <t>Trực thăng trinh sát</t>
        </is>
      </c>
      <c r="C33" s="41" t="inlineStr">
        <is>
          <t>Helicopter</t>
        </is>
      </c>
      <c r="D33" s="43" t="n">
        <v>4</v>
      </c>
      <c r="E33" s="43" t="n">
        <v>5</v>
      </c>
      <c r="F33" s="43" t="n">
        <v>14.5</v>
      </c>
      <c r="G33" s="43" t="n">
        <v>1</v>
      </c>
      <c r="H33" s="43" t="n">
        <v>407</v>
      </c>
      <c r="I33" s="43" t="n">
        <v>0.99</v>
      </c>
      <c r="J33" s="49" t="inlineStr">
        <is>
          <t>Ổn</t>
        </is>
      </c>
      <c r="K33" s="41" t="inlineStr">
        <is>
          <t>Trong khoảng mục tiêu.</t>
        </is>
      </c>
    </row>
    <row r="34" ht="15" customHeight="1" s="32">
      <c r="A34" s="39" t="inlineStr">
        <is>
          <t>recon_drone</t>
        </is>
      </c>
      <c r="B34" s="39" t="inlineStr">
        <is>
          <t>UAV trinh sát</t>
        </is>
      </c>
      <c r="C34" s="39" t="inlineStr">
        <is>
          <t>Plane</t>
        </is>
      </c>
      <c r="D34" s="42" t="n">
        <v>6</v>
      </c>
      <c r="E34" s="42" t="n">
        <v>6</v>
      </c>
      <c r="F34" s="42" t="n">
        <v>2.4</v>
      </c>
      <c r="G34" s="42" t="n">
        <v>0.24</v>
      </c>
      <c r="H34" s="42" t="n">
        <v>111</v>
      </c>
      <c r="I34" s="42" t="n">
        <v>0.22</v>
      </c>
      <c r="J34" s="49" t="inlineStr">
        <is>
          <t>Ổn</t>
        </is>
      </c>
      <c r="K34" s="39" t="inlineStr">
        <is>
          <t>UAV trinh sát: đo bằng tầm nhìn 90 m và thời gian sống, không phải DPS.</t>
        </is>
      </c>
    </row>
    <row r="35" ht="15" customHeight="1" s="32">
      <c r="A35" s="41"/>
      <c r="B35" s="41"/>
      <c r="C35" s="41"/>
      <c r="D35" s="43"/>
      <c r="E35" s="43"/>
      <c r="F35" s="43"/>
      <c r="G35" s="43"/>
      <c r="H35" s="43"/>
      <c r="I35" s="43"/>
      <c r="J35" s="49"/>
      <c r="K35" s="41"/>
    </row>
    <row r="36" ht="15" customHeight="1" s="32">
      <c r="A36" s="39" t="inlineStr">
        <is>
          <t>strike_drone</t>
        </is>
      </c>
      <c r="B36" s="39" t="inlineStr">
        <is>
          <t>UAV tấn công</t>
        </is>
      </c>
      <c r="C36" s="39" t="inlineStr">
        <is>
          <t>Plane</t>
        </is>
      </c>
      <c r="D36" s="42" t="n">
        <v>8</v>
      </c>
      <c r="E36" s="42" t="n">
        <v>9</v>
      </c>
      <c r="F36" s="42" t="n">
        <v>12</v>
      </c>
      <c r="G36" s="42" t="n">
        <v>1.2</v>
      </c>
      <c r="H36" s="42" t="n">
        <v>555</v>
      </c>
      <c r="I36" s="42" t="n">
        <v>1.11</v>
      </c>
      <c r="J36" s="49" t="inlineStr">
        <is>
          <t>Ổn</t>
        </is>
      </c>
      <c r="K36" s="39" t="inlineStr">
        <is>
          <t>Trong khoảng mục tiêu.</t>
        </is>
      </c>
    </row>
    <row r="37" ht="15" customHeight="1" s="32">
      <c r="A37" s="41" t="inlineStr">
        <is>
          <t>swarm_carrier</t>
        </is>
      </c>
      <c r="B37" s="41" t="inlineStr">
        <is>
          <t>Máy bay mẹ thả drone</t>
        </is>
      </c>
      <c r="C37" s="41" t="inlineStr">
        <is>
          <t>Plane</t>
        </is>
      </c>
      <c r="D37" s="43" t="n">
        <v>8</v>
      </c>
      <c r="E37" s="43" t="n">
        <v>13</v>
      </c>
      <c r="F37" s="43" t="n">
        <v>10</v>
      </c>
      <c r="G37" s="43" t="n">
        <v>1</v>
      </c>
      <c r="H37" s="43" t="n">
        <v>272</v>
      </c>
      <c r="I37" s="43" t="n">
        <v>0.55</v>
      </c>
      <c r="J37" s="49" t="inlineStr">
        <is>
          <t>Ổn</t>
        </is>
      </c>
      <c r="K37" s="41" t="inlineStr">
        <is>
          <t>Trong khoảng mục tiêu.</t>
        </is>
      </c>
    </row>
    <row r="38" ht="15" customHeight="1" s="32">
      <c r="A38" s="39" t="inlineStr">
        <is>
          <t>attack_helicopter</t>
        </is>
      </c>
      <c r="B38" s="39" t="inlineStr">
        <is>
          <t>Trực thăng tấn công</t>
        </is>
      </c>
      <c r="C38" s="39" t="inlineStr">
        <is>
          <t>Helicopter</t>
        </is>
      </c>
      <c r="D38" s="42" t="n">
        <v>11</v>
      </c>
      <c r="E38" s="42" t="n">
        <v>9</v>
      </c>
      <c r="F38" s="42" t="n">
        <v>18.3</v>
      </c>
      <c r="G38" s="42" t="n">
        <v>1.26</v>
      </c>
      <c r="H38" s="42" t="n">
        <v>414</v>
      </c>
      <c r="I38" s="42" t="n">
        <v>1</v>
      </c>
      <c r="J38" s="49" t="inlineStr">
        <is>
          <t>Ổn</t>
        </is>
      </c>
      <c r="K38" s="39" t="inlineStr">
        <is>
          <t>Trong khoảng mục tiêu.</t>
        </is>
      </c>
    </row>
    <row r="39" ht="15" customHeight="1" s="32">
      <c r="A39" s="41" t="inlineStr">
        <is>
          <t>fighter_jet</t>
        </is>
      </c>
      <c r="B39" s="41" t="inlineStr">
        <is>
          <t>Tiêm kích</t>
        </is>
      </c>
      <c r="C39" s="41" t="inlineStr">
        <is>
          <t>Plane</t>
        </is>
      </c>
      <c r="D39" s="43" t="n">
        <v>12</v>
      </c>
      <c r="E39" s="43" t="n">
        <v>12</v>
      </c>
      <c r="F39" s="43" t="n">
        <v>7.9</v>
      </c>
      <c r="G39" s="43" t="n">
        <v>0.79</v>
      </c>
      <c r="H39" s="43" t="n">
        <v>0</v>
      </c>
      <c r="I39" s="43" t="n">
        <v>0</v>
      </c>
      <c r="J39" s="49" t="inlineStr">
        <is>
          <t>Ổn</t>
        </is>
      </c>
      <c r="K39" s="41" t="inlineStr">
        <is>
          <t>Trong khoảng mục tiêu.</t>
        </is>
      </c>
    </row>
    <row r="40" ht="15" customHeight="1" s="32">
      <c r="A40" s="39" t="inlineStr">
        <is>
          <t>stealth_fighter</t>
        </is>
      </c>
      <c r="B40" s="39" t="inlineStr">
        <is>
          <t>Tiêm kích tàng hình</t>
        </is>
      </c>
      <c r="C40" s="39" t="inlineStr">
        <is>
          <t>Plane</t>
        </is>
      </c>
      <c r="D40" s="42" t="n">
        <v>14</v>
      </c>
      <c r="E40" s="42" t="n">
        <v>13</v>
      </c>
      <c r="F40" s="42" t="n">
        <v>7.9</v>
      </c>
      <c r="G40" s="42" t="n">
        <v>0.79</v>
      </c>
      <c r="H40" s="42" t="n">
        <v>205</v>
      </c>
      <c r="I40" s="42" t="n">
        <v>0.41</v>
      </c>
      <c r="J40" s="49" t="inlineStr">
        <is>
          <t>Ổn</t>
        </is>
      </c>
      <c r="K40" s="39" t="inlineStr">
        <is>
          <t>Trong khoảng mục tiêu.</t>
        </is>
      </c>
    </row>
    <row r="41" ht="15" customHeight="1" s="32">
      <c r="A41" s="41"/>
      <c r="B41" s="41"/>
      <c r="C41" s="41"/>
      <c r="D41" s="43"/>
      <c r="E41" s="43"/>
      <c r="F41" s="43"/>
      <c r="G41" s="43"/>
      <c r="H41" s="43"/>
      <c r="I41" s="43"/>
      <c r="J41" s="49"/>
      <c r="K41" s="41"/>
    </row>
    <row r="42" ht="22.35" customHeight="1" s="32">
      <c r="A42" s="39" t="inlineStr">
        <is>
          <t>attack_jet</t>
        </is>
      </c>
      <c r="B42" s="39" t="inlineStr">
        <is>
          <t>Máy bay cường kích</t>
        </is>
      </c>
      <c r="C42" s="39" t="inlineStr">
        <is>
          <t>Plane</t>
        </is>
      </c>
      <c r="D42" s="42" t="n">
        <v>16</v>
      </c>
      <c r="E42" s="42" t="n">
        <v>18</v>
      </c>
      <c r="F42" s="42" t="n">
        <v>20.5</v>
      </c>
      <c r="G42" s="42" t="n">
        <v>2.05</v>
      </c>
      <c r="H42" s="42" t="n">
        <v>658</v>
      </c>
      <c r="I42" s="42" t="n">
        <v>1.32</v>
      </c>
      <c r="J42" s="48" t="inlineStr">
        <is>
          <t>Đã giảm ở đợt 2</t>
        </is>
      </c>
      <c r="K42" s="39" t="inlineStr">
        <is>
          <t>Đã giảm thêm ở đợt 2 (xem Thay đổi chi tiết). Cột giá trị thực chiến là số đo mô phỏng cũ, cần chạy lại mô phỏng để xác nhận.</t>
        </is>
      </c>
    </row>
    <row r="43" ht="15" customHeight="1" s="32">
      <c r="A43" s="41" t="inlineStr">
        <is>
          <t>stealth_bomber</t>
        </is>
      </c>
      <c r="B43" s="41" t="inlineStr">
        <is>
          <t>Máy bay ném bom tàng hình</t>
        </is>
      </c>
      <c r="C43" s="41" t="inlineStr">
        <is>
          <t>Plane</t>
        </is>
      </c>
      <c r="D43" s="43" t="n">
        <v>18</v>
      </c>
      <c r="E43" s="43" t="n">
        <v>21</v>
      </c>
      <c r="F43" s="43" t="n">
        <v>12.2</v>
      </c>
      <c r="G43" s="43" t="n">
        <v>1.22</v>
      </c>
      <c r="H43" s="43" t="n">
        <v>498</v>
      </c>
      <c r="I43" s="43" t="n">
        <v>1</v>
      </c>
      <c r="J43" s="49" t="inlineStr">
        <is>
          <t>Ổn</t>
        </is>
      </c>
      <c r="K43" s="41" t="inlineStr">
        <is>
          <t>Trong khoảng mục tiêu.</t>
        </is>
      </c>
    </row>
    <row r="44" ht="22.35" customHeight="1" s="32">
      <c r="A44" s="39" t="inlineStr">
        <is>
          <t>heavy_bomber</t>
        </is>
      </c>
      <c r="B44" s="39" t="inlineStr">
        <is>
          <t>Oanh tạc cơ hạng nặng</t>
        </is>
      </c>
      <c r="C44" s="39" t="inlineStr">
        <is>
          <t>Plane</t>
        </is>
      </c>
      <c r="D44" s="42" t="n">
        <v>22</v>
      </c>
      <c r="E44" s="42" t="n">
        <v>22</v>
      </c>
      <c r="F44" s="42" t="n">
        <v>16.2</v>
      </c>
      <c r="G44" s="42" t="n">
        <v>1.62</v>
      </c>
      <c r="H44" s="42" t="n">
        <v>657</v>
      </c>
      <c r="I44" s="42" t="n">
        <v>1.32</v>
      </c>
      <c r="J44" s="48" t="inlineStr">
        <is>
          <t>Đã giảm ở đợt 2</t>
        </is>
      </c>
      <c r="K44" s="39" t="inlineStr">
        <is>
          <t>Đã giảm thêm ở đợt 2 (xem Thay đổi chi tiết). Cột giá trị thực chiến là số đo mô phỏng cũ, cần chạy lại mô phỏng để xác nhận.</t>
        </is>
      </c>
    </row>
    <row r="45" ht="15" customHeight="1" s="32">
      <c r="A45" s="41"/>
      <c r="B45" s="41"/>
      <c r="C45" s="41"/>
      <c r="D45" s="43"/>
      <c r="E45" s="43"/>
      <c r="F45" s="43"/>
      <c r="G45" s="43"/>
      <c r="H45" s="43"/>
      <c r="I45" s="43"/>
      <c r="J45" s="49"/>
      <c r="K45" s="41"/>
    </row>
    <row r="46" ht="15" customHeight="1" s="32">
      <c r="A46" s="39" t="inlineStr">
        <is>
          <t>armored_bulldozer</t>
        </is>
      </c>
      <c r="B46" s="39" t="inlineStr">
        <is>
          <t>Xe ủi bọc thép</t>
        </is>
      </c>
      <c r="C46" s="39" t="inlineStr">
        <is>
          <t>Heavy</t>
        </is>
      </c>
      <c r="D46" s="42" t="n">
        <v>7</v>
      </c>
      <c r="E46" s="42" t="n">
        <v>7</v>
      </c>
      <c r="F46" s="42" t="n">
        <v>12.6</v>
      </c>
      <c r="G46" s="42" t="n">
        <v>1.04</v>
      </c>
      <c r="H46" s="42" t="n">
        <v>376</v>
      </c>
      <c r="I46" s="42" t="n">
        <v>0.96</v>
      </c>
      <c r="J46" s="49" t="inlineStr">
        <is>
          <t>Ổn</t>
        </is>
      </c>
      <c r="K46" s="39" t="inlineStr">
        <is>
          <t>Trong khoảng mục tiêu.</t>
        </is>
      </c>
    </row>
    <row r="47" ht="15" customHeight="1" s="32">
      <c r="A47" s="41" t="inlineStr">
        <is>
          <t>main_battle_tank</t>
        </is>
      </c>
      <c r="B47" s="41" t="inlineStr">
        <is>
          <t>Tăng chủ lực</t>
        </is>
      </c>
      <c r="C47" s="41" t="inlineStr">
        <is>
          <t>Heavy</t>
        </is>
      </c>
      <c r="D47" s="43" t="n">
        <v>7</v>
      </c>
      <c r="E47" s="43" t="n">
        <v>7</v>
      </c>
      <c r="F47" s="43" t="n">
        <v>12.1</v>
      </c>
      <c r="G47" s="43" t="n">
        <v>1</v>
      </c>
      <c r="H47" s="43" t="n">
        <v>332</v>
      </c>
      <c r="I47" s="43" t="n">
        <v>0.84</v>
      </c>
      <c r="J47" s="49" t="inlineStr">
        <is>
          <t>Ổn</t>
        </is>
      </c>
      <c r="K47" s="41" t="inlineStr">
        <is>
          <t>Trong khoảng mục tiêu.</t>
        </is>
      </c>
    </row>
    <row r="48" ht="15" customHeight="1" s="32">
      <c r="A48" s="39" t="inlineStr">
        <is>
          <t>twin_tank</t>
        </is>
      </c>
      <c r="B48" s="39" t="inlineStr">
        <is>
          <t>Tăng hai nòng</t>
        </is>
      </c>
      <c r="C48" s="39" t="inlineStr">
        <is>
          <t>Heavy</t>
        </is>
      </c>
      <c r="D48" s="42" t="n">
        <v>9</v>
      </c>
      <c r="E48" s="42" t="n">
        <v>9</v>
      </c>
      <c r="F48" s="42" t="n">
        <v>14.3</v>
      </c>
      <c r="G48" s="42" t="n">
        <v>1.18</v>
      </c>
      <c r="H48" s="42" t="n">
        <v>410</v>
      </c>
      <c r="I48" s="42" t="n">
        <v>1.04</v>
      </c>
      <c r="J48" s="49" t="inlineStr">
        <is>
          <t>Ổn</t>
        </is>
      </c>
      <c r="K48" s="39" t="inlineStr">
        <is>
          <t>Trong khoảng mục tiêu.</t>
        </is>
      </c>
    </row>
    <row r="49" ht="15" customHeight="1" s="32">
      <c r="A49" s="41" t="inlineStr">
        <is>
          <t>heavy_tank</t>
        </is>
      </c>
      <c r="B49" s="41" t="inlineStr">
        <is>
          <t>Tăng hạng nặng</t>
        </is>
      </c>
      <c r="C49" s="41" t="inlineStr">
        <is>
          <t>Heavy</t>
        </is>
      </c>
      <c r="D49" s="43" t="n">
        <v>12</v>
      </c>
      <c r="E49" s="43" t="n">
        <v>13</v>
      </c>
      <c r="F49" s="43" t="n">
        <v>10.7</v>
      </c>
      <c r="G49" s="43" t="n">
        <v>0.88</v>
      </c>
      <c r="H49" s="43" t="n">
        <v>420</v>
      </c>
      <c r="I49" s="43" t="n">
        <v>1.07</v>
      </c>
      <c r="J49" s="49" t="inlineStr">
        <is>
          <t>Ổn</t>
        </is>
      </c>
      <c r="K49" s="41" t="inlineStr">
        <is>
          <t>Trong khoảng mục tiêu.</t>
        </is>
      </c>
    </row>
    <row r="50" ht="15" customHeight="1" s="32">
      <c r="A50" s="39" t="inlineStr">
        <is>
          <t>titan_tank</t>
        </is>
      </c>
      <c r="B50" s="39" t="inlineStr">
        <is>
          <t>Siêu tăng Titan</t>
        </is>
      </c>
      <c r="C50" s="39" t="inlineStr">
        <is>
          <t>Heavy</t>
        </is>
      </c>
      <c r="D50" s="42" t="n">
        <v>16</v>
      </c>
      <c r="E50" s="42" t="n">
        <v>18</v>
      </c>
      <c r="F50" s="42" t="n">
        <v>9.800000000000001</v>
      </c>
      <c r="G50" s="42" t="n">
        <v>0.8100000000000001</v>
      </c>
      <c r="H50" s="42" t="n">
        <v>475</v>
      </c>
      <c r="I50" s="42" t="n">
        <v>1.21</v>
      </c>
      <c r="J50" s="49" t="inlineStr">
        <is>
          <t>Ổn</t>
        </is>
      </c>
      <c r="K50" s="39" t="inlineStr">
        <is>
          <t>Trong khoảng mục tiêu.</t>
        </is>
      </c>
    </row>
    <row r="51" ht="15" customHeight="1" s="32">
      <c r="A51" s="41" t="inlineStr">
        <is>
          <t>fpv_carrier</t>
        </is>
      </c>
      <c r="B51" s="41" t="inlineStr">
        <is>
          <t>Xe phóng drone FPV</t>
        </is>
      </c>
      <c r="C51" s="41" t="inlineStr">
        <is>
          <t>TankHunter</t>
        </is>
      </c>
      <c r="D51" s="43" t="n">
        <v>6</v>
      </c>
      <c r="E51" s="43" t="n">
        <v>6</v>
      </c>
      <c r="F51" s="43" t="n">
        <v>9.6</v>
      </c>
      <c r="G51" s="43" t="n">
        <v>0.9</v>
      </c>
      <c r="H51" s="43" t="n">
        <v>500</v>
      </c>
      <c r="I51" s="43" t="n">
        <v>1.07</v>
      </c>
      <c r="J51" s="49" t="inlineStr">
        <is>
          <t>Ổn</t>
        </is>
      </c>
      <c r="K51" s="41" t="inlineStr">
        <is>
          <t>Trong khoảng mục tiêu.</t>
        </is>
      </c>
    </row>
    <row r="52" ht="15" customHeight="1" s="32">
      <c r="A52" s="39"/>
      <c r="B52" s="39"/>
      <c r="C52" s="39"/>
      <c r="D52" s="42"/>
      <c r="E52" s="42"/>
      <c r="F52" s="42"/>
      <c r="G52" s="42"/>
      <c r="H52" s="42"/>
      <c r="I52" s="42"/>
      <c r="J52" s="49"/>
      <c r="K52" s="39"/>
    </row>
    <row r="53" ht="15" customHeight="1" s="32">
      <c r="A53" s="41" t="inlineStr">
        <is>
          <t>wheeled_gun</t>
        </is>
      </c>
      <c r="B53" s="41" t="inlineStr">
        <is>
          <t>Pháo bánh lốp diệt tăng</t>
        </is>
      </c>
      <c r="C53" s="41" t="inlineStr">
        <is>
          <t>TankHunter</t>
        </is>
      </c>
      <c r="D53" s="43" t="n">
        <v>6</v>
      </c>
      <c r="E53" s="43" t="n">
        <v>6</v>
      </c>
      <c r="F53" s="43" t="n">
        <v>14.8</v>
      </c>
      <c r="G53" s="43" t="n">
        <v>1.39</v>
      </c>
      <c r="H53" s="43" t="n">
        <v>469</v>
      </c>
      <c r="I53" s="43" t="n">
        <v>1.01</v>
      </c>
      <c r="J53" s="49" t="inlineStr">
        <is>
          <t>Ổn</t>
        </is>
      </c>
      <c r="K53" s="41" t="inlineStr">
        <is>
          <t>Trong khoảng mục tiêu.</t>
        </is>
      </c>
    </row>
    <row r="54" ht="15" customHeight="1" s="32">
      <c r="A54" s="39" t="inlineStr">
        <is>
          <t>tank_destroyer</t>
        </is>
      </c>
      <c r="B54" s="39" t="inlineStr">
        <is>
          <t>Pháo chống tăng</t>
        </is>
      </c>
      <c r="C54" s="39" t="inlineStr">
        <is>
          <t>TankHunter</t>
        </is>
      </c>
      <c r="D54" s="42" t="n">
        <v>7</v>
      </c>
      <c r="E54" s="42" t="n">
        <v>6</v>
      </c>
      <c r="F54" s="42" t="n">
        <v>15.5</v>
      </c>
      <c r="G54" s="42" t="n">
        <v>1.45</v>
      </c>
      <c r="H54" s="42" t="n">
        <v>427</v>
      </c>
      <c r="I54" s="42" t="n">
        <v>0.92</v>
      </c>
      <c r="J54" s="49" t="inlineStr">
        <is>
          <t>Ổn</t>
        </is>
      </c>
      <c r="K54" s="39" t="inlineStr">
        <is>
          <t>Trong khoảng mục tiêu.</t>
        </is>
      </c>
    </row>
    <row r="55" ht="15" customHeight="1" s="32">
      <c r="A55" s="41" t="inlineStr">
        <is>
          <t>railgun_truck</t>
        </is>
      </c>
      <c r="B55" s="41" t="inlineStr">
        <is>
          <t>Xe súng điện từ</t>
        </is>
      </c>
      <c r="C55" s="41" t="inlineStr">
        <is>
          <t>TankHunter</t>
        </is>
      </c>
      <c r="D55" s="43" t="n">
        <v>9</v>
      </c>
      <c r="E55" s="43" t="n">
        <v>10</v>
      </c>
      <c r="F55" s="43" t="n">
        <v>7.3</v>
      </c>
      <c r="G55" s="43" t="n">
        <v>0.68</v>
      </c>
      <c r="H55" s="43" t="n">
        <v>513</v>
      </c>
      <c r="I55" s="43" t="n">
        <v>1.1</v>
      </c>
      <c r="J55" s="49" t="inlineStr">
        <is>
          <t>Ổn</t>
        </is>
      </c>
      <c r="K55" s="41" t="inlineStr">
        <is>
          <t>Trong khoảng mục tiêu.</t>
        </is>
      </c>
    </row>
    <row r="56" ht="15" customHeight="1" s="32">
      <c r="A56" s="39" t="inlineStr">
        <is>
          <t>laser_tank</t>
        </is>
      </c>
      <c r="B56" s="39" t="inlineStr">
        <is>
          <t>Xe la-de tập trung</t>
        </is>
      </c>
      <c r="C56" s="39" t="inlineStr">
        <is>
          <t>TankHunter</t>
        </is>
      </c>
      <c r="D56" s="42" t="n">
        <v>10</v>
      </c>
      <c r="E56" s="42" t="n">
        <v>9</v>
      </c>
      <c r="F56" s="42" t="n">
        <v>11.7</v>
      </c>
      <c r="G56" s="42" t="n">
        <v>1.1</v>
      </c>
      <c r="H56" s="42" t="n">
        <v>372</v>
      </c>
      <c r="I56" s="42" t="n">
        <v>0.8</v>
      </c>
      <c r="J56" s="49" t="inlineStr">
        <is>
          <t>Ổn</t>
        </is>
      </c>
      <c r="K56" s="39" t="inlineStr">
        <is>
          <t>Trong khoảng mục tiêu.</t>
        </is>
      </c>
    </row>
    <row r="57" ht="53.7" customHeight="1" s="32">
      <c r="A57" s="41" t="inlineStr">
        <is>
          <t>Ngoài đời · kiểm tra lại</t>
        </is>
      </c>
      <c r="B57" s="41" t="inlineStr">
        <is>
          <t>—</t>
        </is>
      </c>
      <c r="C57" s="41" t="inlineStr">
        <is>
          <t>—</t>
        </is>
      </c>
      <c r="D57" s="41" t="n"/>
      <c r="E57" s="41" t="n"/>
      <c r="F57" s="41" t="n"/>
      <c r="G57" s="41" t="n"/>
      <c r="H57" s="41" t="n"/>
      <c r="I57" s="41" t="n"/>
      <c r="J57" s="41" t="inlineStr">
        <is>
          <t>Còn lại</t>
        </is>
      </c>
      <c r="K57" s="41" t="inlineStr">
        <is>
          <t>Sau khi áp đợt 1: (1) tên lửa phòng không nhanh hơn mọi máy bay; (2) mọi đạn cùng loại cùng tốc độ và bán kính; (3) nhịp bắn các pháo CIWS và cao xạ đã thành luồng; (4) các xe bỏ súng máy không có thật (Buk, Iskander, Smerch, HIMARS) cần hộ tống — theo dõi tỷ lệ bị xe nhẹ áp sát diệt; (5) kích thước đổi theo tỷ lệ 0,8/0,4 phải chạy lại test xe kẹt và vùng va chạm; (6) máu boss mới là máu gốc trước scale chiến dịch.</t>
        </is>
      </c>
    </row>
  </sheetData>
  <autoFilter ref="A1:K5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6" customWidth="1" style="31" min="1" max="1"/>
    <col width="12" customWidth="1" style="31" min="2" max="2"/>
    <col width="80" customWidth="1" style="31" min="3" max="3"/>
    <col width="28" customWidth="1" style="31" min="4" max="4"/>
    <col width="50" customWidth="1" style="31" min="5" max="5"/>
    <col width="8" customWidth="1" style="31" min="6" max="6"/>
  </cols>
  <sheetData>
    <row r="1" ht="42" customHeight="1" s="32">
      <c r="A1" s="37" t="inlineStr">
        <is>
          <t>Mã</t>
        </is>
      </c>
      <c r="B1" s="37" t="inlineStr">
        <is>
          <t>Nhóm</t>
        </is>
      </c>
      <c r="C1" s="37" t="inlineStr">
        <is>
          <t>Việc</t>
        </is>
      </c>
      <c r="D1" s="37" t="inlineStr">
        <is>
          <t>Sheet nguồn</t>
        </is>
      </c>
      <c r="E1" s="37" t="inlineStr">
        <is>
          <t>Tiêu chí đạt</t>
        </is>
      </c>
      <c r="F1" s="46" t="inlineStr">
        <is>
          <t>Ưu tiên</t>
        </is>
      </c>
    </row>
    <row r="2" ht="21.75" customHeight="1" s="32">
      <c r="A2" s="39" t="inlineStr">
        <is>
          <t>A1</t>
        </is>
      </c>
      <c r="B2" s="39" t="inlineStr">
        <is>
          <t>Dữ liệu</t>
        </is>
      </c>
      <c r="C2" s="39" t="inlineStr">
        <is>
          <t>Áp mọi dòng của sheet Thay đổi chi tiết vào balance.json theo thứ tự ưu tiên Cao → Trung → Thấp; mỗi nhóm một commit.</t>
        </is>
      </c>
      <c r="D2" s="39" t="inlineStr">
        <is>
          <t>Thay đổi chi tiết</t>
        </is>
      </c>
      <c r="E2" s="39" t="inlineStr">
        <is>
          <t>Test cũ pass; bảng 9 và 9b tạo lại từ dữ liệu mới</t>
        </is>
      </c>
      <c r="F2" s="47" t="inlineStr">
        <is>
          <t>Cao</t>
        </is>
      </c>
    </row>
    <row r="3" ht="21.75" customHeight="1" s="32">
      <c r="A3" s="41" t="inlineStr">
        <is>
          <t>A2</t>
        </is>
      </c>
      <c r="B3" s="41" t="inlineStr">
        <is>
          <t>Dữ liệu</t>
        </is>
      </c>
      <c r="C3" s="41" t="inlineStr">
        <is>
          <t>Áp các cột "đề xuất" của sheet Vũ khí đề xuất (sát thương, chế độ, viên/s, băng/loạt, nạp, tầm, tốc độ, nổ lan, xuyên).</t>
        </is>
      </c>
      <c r="D3" s="41" t="inlineStr">
        <is>
          <t>Vũ khí đề xuất</t>
        </is>
      </c>
      <c r="E3" s="41" t="inlineStr">
        <is>
          <t>DPS duy trì trong game khớp cột DPS đề xuất ±5%</t>
        </is>
      </c>
      <c r="F3" s="47" t="inlineStr">
        <is>
          <t>Cao</t>
        </is>
      </c>
    </row>
    <row r="4" ht="21.75" customHeight="1" s="32">
      <c r="A4" s="39" t="inlineStr">
        <is>
          <t>A3</t>
        </is>
      </c>
      <c r="B4" s="39" t="inlineStr">
        <is>
          <t>Dữ liệu</t>
        </is>
      </c>
      <c r="C4" s="39" t="inlineStr">
        <is>
          <t>Thống nhất mọi vũ khí cùng loại (cùng tên thật) về cùng tốc độ bay, bán kính nổ, model đạn; gom thành "họ vũ khí" trong dữ liệu để sửa một chỗ.</t>
        </is>
      </c>
      <c r="D4" s="39" t="inlineStr">
        <is>
          <t>Tốc độ tên lửa, Vũ khí đề xuất</t>
        </is>
      </c>
      <c r="E4" s="39" t="inlineStr">
        <is>
          <t>Test quét: không có hai vũ khí cùng tên thật khác tốc độ hoặc bán kính</t>
        </is>
      </c>
      <c r="F4" s="47" t="inlineStr">
        <is>
          <t>Cao</t>
        </is>
      </c>
    </row>
    <row r="5" ht="21.75" customHeight="1" s="32">
      <c r="A5" s="41" t="inlineStr">
        <is>
          <t>A4</t>
        </is>
      </c>
      <c r="B5" s="41" t="inlineStr">
        <is>
          <t>Hệ thống</t>
        </is>
      </c>
      <c r="C5" s="41" t="inlineStr">
        <is>
          <t>Luật tên lửa phòng không: tốc độ ≥ 1,3 × mục tiêu nhanh nhất; test tự động bắn tiêm kích và drone hộ vệ ở tầm tối đa.</t>
        </is>
      </c>
      <c r="D5" s="41" t="inlineStr">
        <is>
          <t>Tốc độ tên lửa</t>
        </is>
      </c>
      <c r="E5" s="41" t="inlineStr">
        <is>
          <t>Tỷ lệ trúng khi không có pháo sáng ≥ 90%</t>
        </is>
      </c>
      <c r="F5" s="47" t="inlineStr">
        <is>
          <t>Cao</t>
        </is>
      </c>
    </row>
    <row r="6" ht="21.75" customHeight="1" s="32">
      <c r="A6" s="39" t="inlineStr">
        <is>
          <t>A5</t>
        </is>
      </c>
      <c r="B6" s="39" t="inlineStr">
        <is>
          <t>Hệ thống</t>
        </is>
      </c>
      <c r="C6" s="39" t="inlineStr">
        <is>
          <t>Bán kính nổ tính từ khối lượng thuốc nổ (luật ở Tổng quan) và hiệu ứng nổ trên màn hình bằng đúng bán kính gây sát thương.</t>
        </is>
      </c>
      <c r="D6" s="39" t="inlineStr">
        <is>
          <t>Tổng quan, Vũ khí đề xuất</t>
        </is>
      </c>
      <c r="E6" s="39" t="inlineStr">
        <is>
          <t>Test so hiệu ứng với bán kính</t>
        </is>
      </c>
      <c r="F6" s="48" t="inlineStr">
        <is>
          <t>Trung</t>
        </is>
      </c>
    </row>
    <row r="7" ht="21.75" customHeight="1" s="32">
      <c r="A7" s="41" t="inlineStr">
        <is>
          <t>B1</t>
        </is>
      </c>
      <c r="B7" s="41" t="inlineStr">
        <is>
          <t>Model</t>
        </is>
      </c>
      <c r="C7" s="41" t="inlineStr">
        <is>
          <t>Đổi kích thước theo tỷ lệ chung (mặt đất 0,8, trên không 0,4) cho các dòng "Kích thước" cần đổi; cập nhật vùng va chạm; chạy lại test xe kẹt trên mọi map.</t>
        </is>
      </c>
      <c r="D7" s="41" t="inlineStr">
        <is>
          <t>Kiểm tra từng mục</t>
        </is>
      </c>
      <c r="E7" s="41" t="inlineStr">
        <is>
          <t>Không xe kẹt; thứ tự to nhỏ đúng trong cùng lớp</t>
        </is>
      </c>
      <c r="F7" s="47" t="inlineStr">
        <is>
          <t>Cao</t>
        </is>
      </c>
    </row>
    <row r="8" ht="21.75" customHeight="1" s="32">
      <c r="A8" s="39" t="inlineStr">
        <is>
          <t>B2</t>
        </is>
      </c>
      <c r="B8" s="39" t="inlineStr">
        <is>
          <t>Model</t>
        </is>
      </c>
      <c r="C8" s="39" t="inlineStr">
        <is>
          <t>Dựng lại model theo cột Hình dạng và sheet Hướng dẫn vẽ; ưu tiên: Tăng chủ lực, Su-27, máy bay mẹ (cùng khung với pháo hạm), Apache, Icarus, Daedalus.</t>
        </is>
      </c>
      <c r="D8" s="39" t="inlineStr">
        <is>
          <t>Phương tiện, Boss, Hướng dẫn vẽ</t>
        </is>
      </c>
      <c r="E8" s="39" t="inlineStr">
        <is>
          <t>Ảnh bóng từ trên xuống nhận ra được; lưu ảnh trước/sau</t>
        </is>
      </c>
      <c r="F8" s="48" t="inlineStr">
        <is>
          <t>Trung</t>
        </is>
      </c>
    </row>
    <row r="9" ht="21.75" customHeight="1" s="32">
      <c r="A9" s="41" t="inlineStr">
        <is>
          <t>B3</t>
        </is>
      </c>
      <c r="B9" s="41" t="inlineStr">
        <is>
          <t>Model</t>
        </is>
      </c>
      <c r="C9" s="41" t="inlineStr">
        <is>
          <t>Model đạn riêng cho Kh-29L và GBU-39 SDB; đạn 203 mm dùng tỷ lệ 1,3; kích thước đạn theo sheet Kích thước đạn.</t>
        </is>
      </c>
      <c r="D9" s="41" t="inlineStr">
        <is>
          <t>Kích thước đạn</t>
        </is>
      </c>
      <c r="E9" s="41" t="inlineStr">
        <is>
          <t>Không vũ khí nào dùng nhầm model</t>
        </is>
      </c>
      <c r="F9" s="49" t="inlineStr">
        <is>
          <t>Thấp</t>
        </is>
      </c>
    </row>
    <row r="10" ht="21.75" customHeight="1" s="32">
      <c r="A10" s="39" t="inlineStr">
        <is>
          <t>C1</t>
        </is>
      </c>
      <c r="B10" s="39" t="inlineStr">
        <is>
          <t>Boss</t>
        </is>
      </c>
      <c r="C10" s="39" t="inlineStr">
        <is>
          <t>Áp máu và DPS theo sheet Boss đề xuất; chỉ boss chủ lực có siêu vũ khí; bỏ đòn lớn của mini boss.</t>
        </is>
      </c>
      <c r="D10" s="39" t="inlineStr">
        <is>
          <t>Boss đề xuất</t>
        </is>
      </c>
      <c r="E10" s="39" t="inlineStr">
        <is>
          <t>Test: mini boss không có siêu vũ khí; chu kỳ siêu vũ khí đúng; thời lượng trận trong mục tiêu</t>
        </is>
      </c>
      <c r="F10" s="47" t="inlineStr">
        <is>
          <t>Cao</t>
        </is>
      </c>
    </row>
    <row r="11" ht="15" customHeight="1" s="32">
      <c r="A11" s="41" t="inlineStr">
        <is>
          <t>C2</t>
        </is>
      </c>
      <c r="B11" s="41" t="inlineStr">
        <is>
          <t>Boss</t>
        </is>
      </c>
      <c r="C11" s="41" t="inlineStr">
        <is>
          <t>Hiển thị vũ khí chính còn thiếu (pháo 80 cm của Gungnir, bánh gầu của Kronos) trong dữ liệu và tài liệu.</t>
        </is>
      </c>
      <c r="D11" s="41" t="inlineStr">
        <is>
          <t>Boss</t>
        </is>
      </c>
      <c r="E11" s="41" t="inlineStr">
        <is>
          <t>Có trong bảng vũ khí</t>
        </is>
      </c>
      <c r="F11" s="49" t="inlineStr">
        <is>
          <t>Thấp</t>
        </is>
      </c>
    </row>
    <row r="12" ht="15" customHeight="1" s="32">
      <c r="A12" s="39" t="inlineStr">
        <is>
          <t>D1</t>
        </is>
      </c>
      <c r="B12" s="39" t="inlineStr">
        <is>
          <t>Tên</t>
        </is>
      </c>
      <c r="C12" s="39" t="inlineStr">
        <is>
          <t>Áp sheet Tên đề xuất vào localization (tên đầy đủ, tên ngắn, tiếng Anh); một đơn vị một tên ở mọi bảng.</t>
        </is>
      </c>
      <c r="D12" s="39" t="inlineStr">
        <is>
          <t>Tên đề xuất</t>
        </is>
      </c>
      <c r="E12" s="39" t="inlineStr">
        <is>
          <t>Test quét: không còn tên cũ, không có hai tên cho một id</t>
        </is>
      </c>
      <c r="F12" s="48" t="inlineStr">
        <is>
          <t>Trung</t>
        </is>
      </c>
    </row>
    <row r="13" ht="21.75" customHeight="1" s="32">
      <c r="A13" s="41" t="inlineStr">
        <is>
          <t>D2</t>
        </is>
      </c>
      <c r="B13" s="41" t="inlineStr">
        <is>
          <t>Mở khóa</t>
        </is>
      </c>
      <c r="C13" s="41" t="inlineStr">
        <is>
          <t>Áp cột Mở khóa đề xuất và giá mua sớm; chiến lợi phẩm cốt truyện không mua sớm được; nội dung mới bán trong Cửa hàng theo giá ở sheet Đề xuất thêm.</t>
        </is>
      </c>
      <c r="D13" s="41" t="inlineStr">
        <is>
          <t>Phương tiện, Đề xuất thêm</t>
        </is>
      </c>
      <c r="E13" s="41" t="inlineStr">
        <is>
          <t>Mọi thẻ có đúng một nguồn mở khóa; tính lại đường cong kinh tế</t>
        </is>
      </c>
      <c r="F13" s="48" t="inlineStr">
        <is>
          <t>Trung</t>
        </is>
      </c>
    </row>
    <row r="14" ht="15" customHeight="1" s="32">
      <c r="A14" s="39" t="inlineStr">
        <is>
          <t>E1</t>
        </is>
      </c>
      <c r="B14" s="39" t="inlineStr">
        <is>
          <t>Cân bằng</t>
        </is>
      </c>
      <c r="C14" s="39" t="inlineStr">
        <is>
          <t>Chạy mô phỏng 5 seed sau khi áp A1–C1; so với sheet Cân bằng lần 2; xử lý các dòng "Theo dõi".</t>
        </is>
      </c>
      <c r="D14" s="39" t="inlineStr">
        <is>
          <t>Cân bằng lần 2</t>
        </is>
      </c>
      <c r="E14" s="39" t="inlineStr">
        <is>
          <t>Mọi vai trò trong ±15% trung vị trừ ngoại lệ có ghi lý do</t>
        </is>
      </c>
      <c r="F14" s="47" t="inlineStr">
        <is>
          <t>Cao</t>
        </is>
      </c>
    </row>
    <row r="15" ht="21.75" customHeight="1" s="32">
      <c r="A15" s="41" t="inlineStr">
        <is>
          <t>E2</t>
        </is>
      </c>
      <c r="B15" s="41" t="inlineStr">
        <is>
          <t>Cân bằng</t>
        </is>
      </c>
      <c r="C15" s="41" t="inlineStr">
        <is>
          <t>Thêm chỉ số "giá trị hỗ trợ" vào bảng 9b cho xe hỗ trợ (máu sửa, đạn nạp, tên lửa hút, sát thương khiên chặn).</t>
        </is>
      </c>
      <c r="D15" s="41" t="inlineStr">
        <is>
          <t>Tổng quan</t>
        </is>
      </c>
      <c r="E15" s="41" t="inlineStr">
        <is>
          <t>Xe hỗ trợ có số đo khác 0</t>
        </is>
      </c>
      <c r="F15" s="48" t="inlineStr">
        <is>
          <t>Trung</t>
        </is>
      </c>
    </row>
    <row r="16" ht="15" customHeight="1" s="32">
      <c r="A16" s="39" t="inlineStr">
        <is>
          <t>E3</t>
        </is>
      </c>
      <c r="B16" s="39" t="inlineStr">
        <is>
          <t>Cân bằng</t>
        </is>
      </c>
      <c r="C16" s="39" t="inlineStr">
        <is>
          <t>Tính DPS gồm cả nổ lan lên cụm mục tiêu (5 xe cách nhau 4 m) để so đúng pháo, rốc-két, bom.</t>
        </is>
      </c>
      <c r="D16" s="39" t="inlineStr">
        <is>
          <t>Vũ khí đề xuất</t>
        </is>
      </c>
      <c r="E16" s="39" t="inlineStr">
        <is>
          <t>Bảng 9b có cột "vs cụm xe"</t>
        </is>
      </c>
      <c r="F16" s="48" t="inlineStr">
        <is>
          <t>Trung</t>
        </is>
      </c>
    </row>
    <row r="17" ht="21.75" customHeight="1" s="32">
      <c r="A17" s="41" t="inlineStr">
        <is>
          <t>F1</t>
        </is>
      </c>
      <c r="B17" s="41" t="inlineStr">
        <is>
          <t>Tài liệu</t>
        </is>
      </c>
      <c r="C17" s="41" t="inlineStr">
        <is>
          <t>Tạo tài liệu thiết kế từ dữ liệu: thêm cột miêu tả, hình dạng, mở khóa; bảng DPS theo cấp giáp; đơn vị tốc độ xoay ghi đúng (°/s hay rad/s).</t>
        </is>
      </c>
      <c r="D17" s="41" t="inlineStr">
        <is>
          <t>Toàn bộ</t>
        </is>
      </c>
      <c r="E17" s="41" t="inlineStr">
        <is>
          <t>Tài liệu khớp dữ liệu; không còn bảng cũ</t>
        </is>
      </c>
      <c r="F17" s="48" t="inlineStr">
        <is>
          <t>Trung</t>
        </is>
      </c>
    </row>
    <row r="18" ht="21.75" customHeight="1" s="32">
      <c r="A18" s="39" t="inlineStr">
        <is>
          <t>F2</t>
        </is>
      </c>
      <c r="B18" s="39" t="inlineStr">
        <is>
          <t>Nội dung mới</t>
        </is>
      </c>
      <c r="C18" s="39" t="inlineStr">
        <is>
          <t>Làm theo thứ tự ưu tiên: công trình Cao (Tường chắn đạn, Mồi nhử, Trung tâm điều khiển hỏa lực, Ụ pháo chống tăng, Flak 88) rồi thẻ hỗ trợ mới rồi xe mới.</t>
        </is>
      </c>
      <c r="D18" s="39" t="inlineStr">
        <is>
          <t>Công trình mới, Thẻ hỗ trợ mới, Đề xuất thêm</t>
        </is>
      </c>
      <c r="E18" s="39" t="inlineStr">
        <is>
          <t>Mỗi thứ mới có test hành vi, thẻ Hướng dẫn, model</t>
        </is>
      </c>
      <c r="F18" s="49" t="inlineStr">
        <is>
          <t>Thấp</t>
        </is>
      </c>
    </row>
  </sheetData>
  <autoFilter ref="A1:F1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AJ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4" customWidth="1" style="31" min="2" max="2"/>
    <col width="12" customWidth="1" style="31" min="3" max="3"/>
    <col width="50" customWidth="1" style="31" min="4" max="4"/>
    <col width="70" customWidth="1" style="31" min="5" max="5"/>
    <col width="34" customWidth="1" style="31" min="6" max="6"/>
    <col width="30" customWidth="1" style="31" min="7" max="7"/>
    <col width="14" customWidth="1" style="31" min="8" max="8"/>
    <col width="6" customWidth="1" style="31" min="9" max="9"/>
    <col width="8" customWidth="1" style="31" min="10" max="10"/>
    <col width="11" customWidth="1" style="31" min="11" max="11"/>
    <col width="8" customWidth="1" style="31" min="12" max="13"/>
    <col width="7" customWidth="1" style="31" min="14" max="16"/>
    <col width="8" customWidth="1" style="31" min="17" max="25"/>
    <col width="7" customWidth="1" style="31" min="26" max="26"/>
    <col width="10" customWidth="1" style="31" min="27" max="27"/>
    <col width="40" customWidth="1" style="31" min="28" max="28"/>
    <col width="24" customWidth="1" style="31" min="29" max="29"/>
    <col width="30" customWidth="1" style="31" min="30" max="30"/>
    <col width="40" customWidth="1" style="31" min="31" max="32"/>
    <col width="60" customWidth="1" style="31" min="33" max="33"/>
    <col width="55" customWidth="1" style="31" min="34" max="35"/>
    <col width="8" customWidth="1" style="31" min="36" max="36"/>
  </cols>
  <sheetData>
    <row r="1" ht="42" customHeight="1" s="32">
      <c r="A1" s="37" t="inlineStr">
        <is>
          <t>id</t>
        </is>
      </c>
      <c r="B1" s="37" t="inlineStr">
        <is>
          <t>Tên</t>
        </is>
      </c>
      <c r="C1" s="37" t="inlineStr">
        <is>
          <t>Lớp</t>
        </is>
      </c>
      <c r="D1" s="37" t="inlineStr">
        <is>
          <t>Miêu tả</t>
        </is>
      </c>
      <c r="E1" s="37" t="inlineStr">
        <is>
          <t>Hình dạng (cho AI vẽ)</t>
        </is>
      </c>
      <c r="F1" s="44" t="inlineStr">
        <is>
          <t>Mở khóa hiện tại</t>
        </is>
      </c>
      <c r="G1" s="45" t="inlineStr">
        <is>
          <t>Mở khóa đề xuất</t>
        </is>
      </c>
      <c r="H1" s="37" t="inlineStr">
        <is>
          <t>Mua sớm</t>
        </is>
      </c>
      <c r="I1" s="37" t="inlineStr">
        <is>
          <t>CP</t>
        </is>
      </c>
      <c r="J1" s="37" t="inlineStr">
        <is>
          <t>Máu</t>
        </is>
      </c>
      <c r="K1" s="37" t="inlineStr">
        <is>
          <t>Giáp T/H/S/N</t>
        </is>
      </c>
      <c r="L1" s="37" t="inlineStr">
        <is>
          <t>Tốc độ (m/s)</t>
        </is>
      </c>
      <c r="M1" s="37" t="inlineStr">
        <is>
          <t>Tầm nhìn (m)</t>
        </is>
      </c>
      <c r="N1" s="37" t="inlineStr">
        <is>
          <t>DPS nhẹ</t>
        </is>
      </c>
      <c r="O1" s="37" t="inlineStr">
        <is>
          <t>DPS nặng</t>
        </is>
      </c>
      <c r="P1" s="37" t="inlineStr">
        <is>
          <t>DPS bay</t>
        </is>
      </c>
      <c r="Q1" s="37" t="inlineStr">
        <is>
          <t>DPS công trình</t>
        </is>
      </c>
      <c r="R1" s="37" t="inlineStr">
        <is>
          <t>DPS nặng / CP</t>
        </is>
      </c>
      <c r="S1" s="37" t="inlineStr">
        <is>
          <t>Máu / CP</t>
        </is>
      </c>
      <c r="T1" s="37" t="inlineStr">
        <is>
          <t>Giá trị vs xe nhẹ</t>
        </is>
      </c>
      <c r="U1" s="37" t="inlineStr">
        <is>
          <t>vs xe tăng</t>
        </is>
      </c>
      <c r="V1" s="37" t="inlineStr">
        <is>
          <t>vs công sự</t>
        </is>
      </c>
      <c r="W1" s="37" t="inlineStr">
        <is>
          <t>vs máy bay</t>
        </is>
      </c>
      <c r="X1" s="37" t="inlineStr">
        <is>
          <t>vs tăng + PK</t>
        </is>
      </c>
      <c r="Y1" s="37" t="inlineStr">
        <is>
          <t>Thời gian bắn</t>
        </is>
      </c>
      <c r="Z1" s="37" t="inlineStr">
        <is>
          <t>Sống (s)</t>
        </is>
      </c>
      <c r="AA1" s="37" t="inlineStr">
        <is>
          <t>Hiệu quả so với trung vị vai trò</t>
        </is>
      </c>
      <c r="AB1" s="37" t="inlineStr">
        <is>
          <t>Tham khảo (ngoài đời / game)</t>
        </is>
      </c>
      <c r="AC1" s="37" t="inlineStr">
        <is>
          <t>Mạnh với</t>
        </is>
      </c>
      <c r="AD1" s="37" t="inlineStr">
        <is>
          <t>Yếu trước</t>
        </is>
      </c>
      <c r="AE1" s="37" t="inlineStr">
        <is>
          <t>Cách đánh</t>
        </is>
      </c>
      <c r="AF1" s="37" t="inlineStr">
        <is>
          <t>Hành vi</t>
        </is>
      </c>
      <c r="AG1" s="37" t="inlineStr">
        <is>
          <t>Vũ khí</t>
        </is>
      </c>
      <c r="AH1" s="45" t="inlineStr">
        <is>
          <t>Đề xuất</t>
        </is>
      </c>
      <c r="AI1" s="46" t="inlineStr">
        <is>
          <t>Lý do thay đổi</t>
        </is>
      </c>
      <c r="AJ1" s="46" t="inlineStr">
        <is>
          <t>Ưu tiên</t>
        </is>
      </c>
    </row>
    <row r="2" ht="42.75" customHeight="1" s="32">
      <c r="A2" s="39" t="inlineStr">
        <is>
          <t>hover_gunboat</t>
        </is>
      </c>
      <c r="B2" s="39" t="inlineStr">
        <is>
          <t>Xuồng cao tốc đệm khí</t>
        </is>
      </c>
      <c r="C2" s="39" t="inlineStr">
        <is>
          <t>Xe nhẹ</t>
        </is>
      </c>
      <c r="D2" s="39" t="inlineStr">
        <is>
          <t>pháo 30 mm sáu nòng trên thân đệm khí nhỏ; nó chạy cạnh tàu đệm khí đổ bộ trên cả đất liền lẫn mặt nước. nhanh, khó bắt, nhưng giáp mỏng: xe tăng hay pháo tự động nào cũng hạ được.</t>
        </is>
      </c>
      <c r="E2" s="39" t="inlineStr">
        <is>
          <t>Thân xuồng đệm khí thấp, váy cao su đen quanh đáy, 2 quạt đẩy lớn phía sau trong vòng bảo vệ, tháp pháo 6 nòng nhỏ phía trước. Từ trên xuống: hình giọt nước, hai vòng quạt tròn ở đuôi. Kích thước hiện 14.0 × 3.9 × 4.4 m. Vũ khí nhìn thấy: AK-630 30 mm. Vạch màu phe trên nóc và hai hông; không dùng phù hiệu, cờ hay logo quốc gia thật.</t>
        </is>
      </c>
      <c r="F2" s="39" t="inlineStr">
        <is>
          <t>thắng màn mở khóa trong chiến dịch, hoặc mua sớm 300 xu</t>
        </is>
      </c>
      <c r="G2" s="39" t="inlineStr">
        <is>
          <t>Không mở (hộ tống boss)</t>
        </is>
      </c>
      <c r="H2" s="39" t="inlineStr">
        <is>
          <t>—</t>
        </is>
      </c>
      <c r="I2" s="42" t="n">
        <v>0</v>
      </c>
      <c r="J2" s="42" t="n">
        <v>1144</v>
      </c>
      <c r="K2" s="39" t="inlineStr">
        <is>
          <t>1/0/0/0</t>
        </is>
      </c>
      <c r="L2" s="42" t="n">
        <v>8.5</v>
      </c>
      <c r="M2" s="42" t="n">
        <v>46</v>
      </c>
      <c r="N2" s="42" t="n">
        <v>22</v>
      </c>
      <c r="O2" s="42" t="n">
        <v>11</v>
      </c>
      <c r="P2" s="42" t="n">
        <v>7</v>
      </c>
      <c r="Q2" s="42" t="n">
        <v>11</v>
      </c>
      <c r="R2" s="50">
        <f>IFERROR(O2/I2,"")</f>
        <v/>
      </c>
      <c r="S2" s="50">
        <f>IFERROR(J2/I2,"")</f>
        <v/>
      </c>
      <c r="T2" s="39" t="n"/>
      <c r="U2" s="39" t="n"/>
      <c r="V2" s="39" t="n"/>
      <c r="W2" s="39" t="n"/>
      <c r="X2" s="39" t="n"/>
      <c r="Y2" s="39" t="n"/>
      <c r="Z2" s="39" t="n"/>
      <c r="AA2" s="39" t="n"/>
      <c r="AB2" s="39" t="inlineStr">
        <is>
          <t>tàu tấn công nhanh vỏ lướt, AK-630 30 mm — Xuồng pháo hộ tống tàu đệm khí</t>
        </is>
      </c>
      <c r="AC2" s="39" t="inlineStr">
        <is>
          <t>giáp 0, giáp 1, giáp 2</t>
        </is>
      </c>
      <c r="AD2" s="39" t="inlineStr">
        <is>
          <t>súng máy hạng nặng, lửa, pháo tự động, nổ mạnh, năng lượng, đánh nóc, nổ lõm, pháo xe tăng</t>
        </is>
      </c>
      <c r="AE2" s="39" t="inlineStr">
        <is>
          <t>pháo 30 mm sáu nòng trên thân đệm khí nhỏ; nó chạy cạnh tàu đệm khí đổ bộ trên cả đất liền lẫn mặt nước.</t>
        </is>
      </c>
      <c r="AF2" s="39" t="inlineStr">
        <is>
          <t>Vừa chạy vừa bắn; Bắn hết 15 viên thì thay băng; Xe bọc thép</t>
        </is>
      </c>
      <c r="AG2" s="39" t="inlineStr">
        <is>
          <t>AK-630 30 mm [Động năng, xuyên 2, đạn pháo động năng (pháo tự động)] 22/phát · băng 15 viên, 60 viên/s, thay 14.71 s · tầm 34 m · Tất cả</t>
        </is>
      </c>
      <c r="AH2" s="39" t="inlineStr">
        <is>
          <t>• Vũ khí: AK-630 30 mm: 12/phát · 60 viên/s · băng 60 · nạp 5 s · DPS duy trì ~85</t>
        </is>
      </c>
      <c r="AI2" s="39" t="inlineStr">
        <is>
          <t>• Vũ khí: AK-630 30 mm: Bắn 0,25 s rồi im 14,7 s: không giống CIWS, và hộ tống boss gần như vô hại.</t>
        </is>
      </c>
      <c r="AJ2" s="49" t="inlineStr">
        <is>
          <t>Thấp</t>
        </is>
      </c>
    </row>
    <row r="3" ht="53.25" customHeight="1" s="32">
      <c r="A3" s="41" t="inlineStr">
        <is>
          <t>armored_car</t>
        </is>
      </c>
      <c r="B3" s="41" t="inlineStr">
        <is>
          <t>Xe bọc thép</t>
        </is>
      </c>
      <c r="C3" s="41" t="inlineStr">
        <is>
          <t>Xe nhẹ</t>
        </is>
      </c>
      <c r="D3" s="41" t="inlineStr">
        <is>
          <t>pháo 25 mm vừa chạy vừa bắn cả đất lẫn trời, mạnh nhất với xe nhẹ và trực thăng; chiếm cứ điểm nhanh gấp đôi. thắng trinh sát, pháo binh, xe phòng không và xe hỗ trợ; đạn nảy khỏi xe tăng và tháp canh nên thua chúng.</t>
        </is>
      </c>
      <c r="E3" s="41" t="inlineStr">
        <is>
          <t>Xe 6 bánh lộ ngoài, thân hình hộp vát nghiêng phía trước, tháp pháo nhỏ ở giữa với nòng 25 mm dài. Từ trên xuống: chữ nhật hẹp, 3 cặp bánh nhô ra hai bên, tháp tròn giữa thân. Kích thước đề xuất khoảng 4.6 × 2.0 × 1.4 m (dài × rộng × cao; 0,8 × mẫu thật Pandur I 6x6). Vũ khí nhìn thấy: M242 Bushmaster 25 mm, PKT / M240 7.62 mm. Vạch màu phe trên nóc và hai hông; không dùng phù hiệu, cờ hay logo quốc gia thật.</t>
        </is>
      </c>
      <c r="F3" s="41" t="inlineStr">
        <is>
          <t>có sẵn từ đầu</t>
        </is>
      </c>
      <c r="G3" s="41" t="inlineStr">
        <is>
          <t>Có sẵn</t>
        </is>
      </c>
      <c r="H3" s="41" t="inlineStr">
        <is>
          <t>—</t>
        </is>
      </c>
      <c r="I3" s="43" t="n">
        <v>3</v>
      </c>
      <c r="J3" s="43" t="n">
        <v>660</v>
      </c>
      <c r="K3" s="41" t="inlineStr">
        <is>
          <t>1/0/0/0</t>
        </is>
      </c>
      <c r="L3" s="43" t="n">
        <v>11.5</v>
      </c>
      <c r="M3" s="43" t="n">
        <v>36</v>
      </c>
      <c r="N3" s="43" t="n">
        <v>78</v>
      </c>
      <c r="O3" s="43" t="n">
        <v>32</v>
      </c>
      <c r="P3" s="43" t="n">
        <v>12</v>
      </c>
      <c r="Q3" s="43" t="n">
        <v>35</v>
      </c>
      <c r="R3" s="51">
        <f>IFERROR(O3/I3,"")</f>
        <v/>
      </c>
      <c r="S3" s="51">
        <f>IFERROR(J3/I3,"")</f>
        <v/>
      </c>
      <c r="T3" s="43" t="n">
        <v>207</v>
      </c>
      <c r="U3" s="43" t="n">
        <v>69</v>
      </c>
      <c r="V3" s="43" t="n">
        <v>43</v>
      </c>
      <c r="W3" s="43" t="n">
        <v>2</v>
      </c>
      <c r="X3" s="43" t="n">
        <v>84</v>
      </c>
      <c r="Y3" s="41" t="inlineStr">
        <is>
          <t>59%</t>
        </is>
      </c>
      <c r="Z3" s="43" t="n">
        <v>22</v>
      </c>
      <c r="AA3" s="43" t="n">
        <v>0.88</v>
      </c>
      <c r="AB3" s="41" t="inlineStr">
        <is>
          <t>Pandur I 6x6, M242 Bushmaster 25 mm — ước đoán: xe bọc thép 6x6 bánh lộ ngoài, tháp pháo tự động nhỏ</t>
        </is>
      </c>
      <c r="AC3" s="41" t="inlineStr">
        <is>
          <t>giáp 0, giáp 1, giáp 2</t>
        </is>
      </c>
      <c r="AD3" s="41" t="inlineStr">
        <is>
          <t>súng máy hạng nặng, lửa, pháo tự động, nổ mạnh, năng lượng, đánh nóc, nổ lõm, pháo xe tăng</t>
        </is>
      </c>
      <c r="AE3" s="41" t="inlineStr">
        <is>
          <t>pháo 25 mm vừa chạy vừa bắn cả đất lẫn trời, mạnh nhất với xe nhẹ và trực thăng; chiếm cứ điểm nhanh gấp đôi.</t>
        </is>
      </c>
      <c r="AF3" s="41" t="inlineStr">
        <is>
          <t>Vừa chạy vừa bắn; Bắn hết 19 viên thì thay băng; Xe chiến đấu bộ binh</t>
        </is>
      </c>
      <c r="AG3" s="41" t="inlineStr">
        <is>
          <t>M242 Bushmaster 25 mm [Động năng, xuyên 2, đạn pháo động năng (pháo tự động)] 17/phát · băng 19 viên, 4 viên/s, thay 1 s · tầm 30 m · Mặt đất
PKT / M240 7.62 mm [Động năng, xuyên 0, đạn súng] 6/phát · băng 41 viên, 12 viên/s, thay 1.59 s · tầm 20 m · Tất cả</t>
        </is>
      </c>
      <c r="AH3" s="41" t="inlineStr">
        <is>
          <t>• Tầm nhìn: 42 m</t>
        </is>
      </c>
      <c r="AI3" s="41" t="inlineStr">
        <is>
          <t>• Tầm nhìn: Xe bánh lốp trinh sát đi trước tuyến; hiện nhìn kém cả xuồng (46).</t>
        </is>
      </c>
      <c r="AJ3" s="49" t="inlineStr">
        <is>
          <t>Thấp</t>
        </is>
      </c>
    </row>
    <row r="4" ht="63.75" customHeight="1" s="32">
      <c r="A4" s="39" t="inlineStr">
        <is>
          <t>ifv</t>
        </is>
      </c>
      <c r="B4" s="39" t="inlineStr">
        <is>
          <t>Xe chiến đấu bộ binh</t>
        </is>
      </c>
      <c r="C4" s="39" t="inlineStr">
        <is>
          <t>Xe nhẹ</t>
        </is>
      </c>
      <c r="D4" s="39" t="inlineStr">
        <is>
          <t>pháo tự động vừa chạy vừa bắn xe nhẹ và máy bay, kèm tên lửa chống tăng TOW (34 m) cho xe tăng; chiếm cứ điểm nhanh gấp 3, thắng trinh sát, xe nhẹ, pháo binh và phòng không, gây sát thương cả xe tăng; đấu tay đôi với tăng vẫn thua.</t>
        </is>
      </c>
      <c r="E4" s="39" t="inlineStr">
        <is>
          <t>Xe xích 6 bánh chịu lực, thân cao hơn tăng, tháp lệch trái có nòng 30 mm ngắn và hộp phóng TOW gắn bên hông tháp, cửa đuôi lớn. Từ trên xuống: thân chữ nhật, hộp tên lửa vuông bên hông tháp. Kích thước đề xuất khoảng 5.2 × 2.9 × 2.4 m (dài × rộng × cao; 0,8 × mẫu thật M2 Bradley). Vũ khí nhìn thấy: 2A42 30 mm, PKT / M240 7.62 mm, BGM-71 TOW-2. Vạch màu phe trên nóc và hai hông; không dùng phù hiệu, cờ hay logo quốc gia thật.</t>
        </is>
      </c>
      <c r="F4" s="39" t="inlineStr">
        <is>
          <t>có sẵn từ đầu</t>
        </is>
      </c>
      <c r="G4" s="39" t="inlineStr">
        <is>
          <t>Có sẵn</t>
        </is>
      </c>
      <c r="H4" s="39" t="inlineStr">
        <is>
          <t>—</t>
        </is>
      </c>
      <c r="I4" s="42" t="n">
        <v>6</v>
      </c>
      <c r="J4" s="42" t="n">
        <v>1144</v>
      </c>
      <c r="K4" s="39" t="inlineStr">
        <is>
          <t>2/1/0/0</t>
        </is>
      </c>
      <c r="L4" s="42" t="n">
        <v>9</v>
      </c>
      <c r="M4" s="42" t="n">
        <v>34</v>
      </c>
      <c r="N4" s="42" t="n">
        <v>136</v>
      </c>
      <c r="O4" s="42" t="n">
        <v>67</v>
      </c>
      <c r="P4" s="42" t="n">
        <v>12</v>
      </c>
      <c r="Q4" s="42" t="n">
        <v>66</v>
      </c>
      <c r="R4" s="50">
        <f>IFERROR(O4/I4,"")</f>
        <v/>
      </c>
      <c r="S4" s="50">
        <f>IFERROR(J4/I4,"")</f>
        <v/>
      </c>
      <c r="T4" s="42" t="n">
        <v>238</v>
      </c>
      <c r="U4" s="42" t="n">
        <v>110</v>
      </c>
      <c r="V4" s="42" t="n">
        <v>53</v>
      </c>
      <c r="W4" s="42" t="n">
        <v>1</v>
      </c>
      <c r="X4" s="42" t="n">
        <v>129</v>
      </c>
      <c r="Y4" s="39" t="inlineStr">
        <is>
          <t>51%</t>
        </is>
      </c>
      <c r="Z4" s="42" t="n">
        <v>32</v>
      </c>
      <c r="AA4" s="42" t="n">
        <v>1.12</v>
      </c>
      <c r="AB4" s="39" t="inlineStr">
        <is>
          <t>M2 Bradley, BMP-3, 2A42 30 mm, BGM-71 TOW-2 — Xe chiến đấu bộ binh bánh xích, pháo 30 mm và bệ TOW</t>
        </is>
      </c>
      <c r="AC4" s="39" t="inlineStr">
        <is>
          <t>giáp 0, giáp 1, giáp 2, giáp 3, giáp 4, công trình</t>
        </is>
      </c>
      <c r="AD4" s="39" t="inlineStr">
        <is>
          <t>lửa, pháo tự động, nổ mạnh, năng lượng, đánh nóc, nổ lõm, pháo xe tăng</t>
        </is>
      </c>
      <c r="AE4" s="39" t="inlineStr">
        <is>
          <t>pháo tự động vừa chạy vừa bắn xe nhẹ và máy bay, kèm tên lửa chống tăng TOW (34 m) cho xe tăng; chiếm cứ điểm nhanh gấp 3,</t>
        </is>
      </c>
      <c r="AF4" s="39" t="inlineStr">
        <is>
          <t>Vừa chạy vừa bắn; Bắn hết 26 viên thì thay băng; Khói: khi bị bắn (mỗi 30 giây); Hỗ trợ (9); Xe tiếp tế</t>
        </is>
      </c>
      <c r="AG4" s="39" t="inlineStr">
        <is>
          <t>2A42 30 mm [Động năng, xuyên 2, đạn pháo động năng (pháo tự động)] 22/phát · băng 26 viên, 5 viên/s, thay 1 s · tầm 30 m · Mặt đất
PKT / M240 7.62 mm [Động năng, xuyên 0, đạn súng] 6/phát · băng 41 viên, 12 viên/s, thay 1.59 s · tầm 20 m · Tất cả
BGM-71 TOW-2 [Nổ lõm, xuyên 4, tên lửa chống tăng dẫn đường] 190/phát · hồi 12.33 s · tầm 34 m · Mặt đất</t>
        </is>
      </c>
      <c r="AH4" s="39" t="inlineStr">
        <is>
          <t>• Vũ khí: 2A42 30 mm: 22/phát · loạt 10 viên ở 9 viên/s · nghỉ 1,5 s · DPS duy trì giữ ~94
• Vũ khí: TOW-2: tầm 40 m · tốc độ 20 (bay 2,0 s tới tầm tối đa)</t>
        </is>
      </c>
      <c r="AI4" s="39" t="inlineStr">
        <is>
          <t>• Vũ khí: 2A42 30 mm: Ngoài đời 2A42 bắn loạt nhanh; cảm giác "xả loạt" khác súng máy.
• Vũ khí: TOW-2: Tên lửa chống tăng phải bắn xa hơn pháo xe tăng (34 m), nếu không thì không có lý do mang.</t>
        </is>
      </c>
      <c r="AJ4" s="48" t="inlineStr">
        <is>
          <t>Trung</t>
        </is>
      </c>
    </row>
    <row r="5" ht="53.25" customHeight="1" s="32">
      <c r="A5" s="41" t="inlineStr">
        <is>
          <t>supply_truck</t>
        </is>
      </c>
      <c r="B5" s="41" t="inlineStr">
        <is>
          <t>Xe tiếp tế</t>
        </is>
      </c>
      <c r="C5" s="41" t="inlineStr">
        <is>
          <t>Hỗ trợ</t>
        </is>
      </c>
      <c r="D5" s="41" t="inlineStr">
        <is>
          <t>chỉ có súng máy nhẹ; nó chạy theo lộ trình tới kho và không chiếm được cứ điểm. đủ giáp để chịu vài phát, nhưng không đánh lại được thứ gì đáng kể.</t>
        </is>
      </c>
      <c r="E5" s="41" t="inlineStr">
        <is>
          <t>Xe tải 8 bánh, ca-bin phía trước, thùng hàng phủ bạt với thùng gỗ và thùng đạn nhìn thấy, súng máy trên vòng nóc ca-bin. Từ trên xuống: dài, ca-bin nhỏ, thùng hàng chiếm 2/3. Kích thước đề xuất khoảng 8.2 × 2.0 × 2.1 m (dài × rộng × cao; 0,8 × mẫu thật M977 HEMTT). Vũ khí nhìn thấy: M2 Browning 12.7 mm. Vạch màu phe trên nóc và hai hông; không dùng phù hiệu, cờ hay logo quốc gia thật.</t>
        </is>
      </c>
      <c r="F5" s="41" t="inlineStr">
        <is>
          <t>thắng màn mở khóa trong chiến dịch, hoặc mua sớm 300 xu</t>
        </is>
      </c>
      <c r="G5" s="41" t="inlineStr">
        <is>
          <t>Nhiệm vụ (không vào bộ bài)</t>
        </is>
      </c>
      <c r="H5" s="41" t="inlineStr">
        <is>
          <t>—</t>
        </is>
      </c>
      <c r="I5" s="43" t="n">
        <v>0</v>
      </c>
      <c r="J5" s="43" t="n">
        <v>1540</v>
      </c>
      <c r="K5" s="41" t="inlineStr">
        <is>
          <t>cấp 0 (Không giáp)</t>
        </is>
      </c>
      <c r="L5" s="43" t="n">
        <v>3.6</v>
      </c>
      <c r="M5" s="43" t="n">
        <v>26</v>
      </c>
      <c r="N5" s="43" t="n">
        <v>46</v>
      </c>
      <c r="O5" s="43" t="n">
        <v>14</v>
      </c>
      <c r="P5" s="43" t="n">
        <v>16</v>
      </c>
      <c r="Q5" s="43" t="n">
        <v>16</v>
      </c>
      <c r="R5" s="51">
        <f>IFERROR(O5/I5,"")</f>
        <v/>
      </c>
      <c r="S5" s="51">
        <f>IFERROR(J5/I5,"")</f>
        <v/>
      </c>
      <c r="T5" s="41" t="n"/>
      <c r="U5" s="41" t="n"/>
      <c r="V5" s="41" t="n"/>
      <c r="W5" s="41" t="n"/>
      <c r="X5" s="41" t="n"/>
      <c r="Y5" s="41" t="n"/>
      <c r="Z5" s="41" t="n"/>
      <c r="AA5" s="41" t="n"/>
      <c r="AB5" s="41" t="inlineStr">
        <is>
          <t>M977 HEMTT, KamAZ-5350, M2 Browning 12,7 mm — ước đoán: xe tải tiếp tế, súng máy trên vòng nóc</t>
        </is>
      </c>
      <c r="AC5" s="41" t="inlineStr">
        <is>
          <t>giáp 0, giáp 1</t>
        </is>
      </c>
      <c r="AD5" s="41" t="inlineStr">
        <is>
          <t>súng bộ binh, súng máy hạng nặng, lửa, mảnh, pháo tự động, nổ mạnh, năng lượng, nổ lõm, pháo xe tăng</t>
        </is>
      </c>
      <c r="AE5" s="41" t="inlineStr">
        <is>
          <t>chỉ có súng máy nhẹ; nó chạy theo lộ trình tới kho và không chiếm được cứ điểm.</t>
        </is>
      </c>
      <c r="AF5" s="41" t="inlineStr">
        <is>
          <t>Đi sau tuyến đầu, cạnh các xe nó phục vụ; Bắn hết 28 viên thì thay băng; Xe công binh</t>
        </is>
      </c>
      <c r="AG5" s="41" t="inlineStr">
        <is>
          <t>M2 Browning 12.7 mm [Động năng, xuyên 1, đạn súng (cỡ lớn)] 10/phát · băng 28 viên, 9 viên/s, thay 1.94 s · tầm 22 m · Tất cả</t>
        </is>
      </c>
      <c r="AH5" s="41" t="inlineStr">
        <is>
          <t>Giữ.</t>
        </is>
      </c>
      <c r="AI5" s="41" t="inlineStr">
        <is>
          <t>Xe hỗ trợ, chưa có chỉ số đo; giữ.</t>
        </is>
      </c>
      <c r="AJ5" s="49" t="inlineStr">
        <is>
          <t>Thấp</t>
        </is>
      </c>
    </row>
    <row r="6" ht="42.75" customHeight="1" s="32">
      <c r="A6" s="39" t="inlineStr">
        <is>
          <t>engineer_vehicle</t>
        </is>
      </c>
      <c r="B6" s="39" t="inlineStr">
        <is>
          <t>Xe công binh</t>
        </is>
      </c>
      <c r="C6" s="39" t="inlineStr">
        <is>
          <t>Hỗ trợ</t>
        </is>
      </c>
      <c r="D6" s="39" t="inlineStr">
        <is>
          <t>chỉ có súng máy nóc; sửa chữa xe ta trong vòng 14 m (2,5% máu mỗi giây) và tháp ta chậm bằng nửa, gỡ mìn nó thấy, phá vật cản giúp tuyến xe tăng và căn cứ đang giữ trụ lâu hơn hẳn; tự đánh thì yếu, trinh sát và xe bọc thép dễ bắt nạt nó.</t>
        </is>
      </c>
      <c r="E6" s="39" t="inlineStr">
        <is>
          <t>Khung xe tăng không tháp, cần cẩu gập trên nóc, lưỡi ủi phía trước. Từ trên xuống: cần cẩu chéo dọc thân, lưỡi ủi rộng hơn thân. Kích thước đề xuất khoảng 6.9 × 3.0 × 2.6 m (dài × rộng × cao; 0,8 × mẫu thật M88A2 / BREM-1). Vũ khí nhìn thấy: M2 Browning 12.7 mm. Vạch màu phe trên nóc và hai hông; không dùng phù hiệu, cờ hay logo quốc gia thật.</t>
        </is>
      </c>
      <c r="F6" s="39" t="inlineStr">
        <is>
          <t>thắng màn mở khóa trong chiến dịch, hoặc mua sớm 750 xu</t>
        </is>
      </c>
      <c r="G6" s="39" t="inlineStr">
        <is>
          <t>Chương 1</t>
        </is>
      </c>
      <c r="H6" s="39" t="inlineStr">
        <is>
          <t>300 xu</t>
        </is>
      </c>
      <c r="I6" s="42" t="n">
        <v>3</v>
      </c>
      <c r="J6" s="42" t="n">
        <v>1760</v>
      </c>
      <c r="K6" s="39" t="inlineStr">
        <is>
          <t>2/1/0/0</t>
        </is>
      </c>
      <c r="L6" s="42" t="n">
        <v>7</v>
      </c>
      <c r="M6" s="42" t="n">
        <v>30</v>
      </c>
      <c r="N6" s="42" t="n">
        <v>46</v>
      </c>
      <c r="O6" s="42" t="n">
        <v>13</v>
      </c>
      <c r="P6" s="42" t="n">
        <v>16</v>
      </c>
      <c r="Q6" s="42" t="n">
        <v>16</v>
      </c>
      <c r="R6" s="50">
        <f>IFERROR(O6/I6,"")</f>
        <v/>
      </c>
      <c r="S6" s="50">
        <f>IFERROR(J6/I6,"")</f>
        <v/>
      </c>
      <c r="T6" s="42" t="n">
        <v>0</v>
      </c>
      <c r="U6" s="42" t="n">
        <v>0</v>
      </c>
      <c r="V6" s="42" t="n">
        <v>0</v>
      </c>
      <c r="W6" s="42" t="n">
        <v>0</v>
      </c>
      <c r="X6" s="42" t="n">
        <v>0</v>
      </c>
      <c r="Y6" s="39" t="inlineStr">
        <is>
          <t>0%</t>
        </is>
      </c>
      <c r="Z6" s="42" t="n">
        <v>90</v>
      </c>
      <c r="AA6" s="39" t="n"/>
      <c r="AB6" s="39" t="inlineStr">
        <is>
          <t>BREM-1, M88 Hercules — Xe cứu kéo công binh có lưỡi ủi và cần cẩu</t>
        </is>
      </c>
      <c r="AC6" s="39" t="inlineStr">
        <is>
          <t>giáp 0, giáp 1</t>
        </is>
      </c>
      <c r="AD6" s="39" t="inlineStr">
        <is>
          <t>lửa, pháo tự động, nổ mạnh, năng lượng, đánh nóc, nổ lõm, pháo xe tăng</t>
        </is>
      </c>
      <c r="AE6" s="39" t="inlineStr">
        <is>
          <t>chỉ có súng máy nóc; sửa chữa xe ta trong vòng 14 m (2,5% máu mỗi giây) và tháp ta chậm bằng nửa, gỡ mìn nó thấy, phá vật cản</t>
        </is>
      </c>
      <c r="AF6" s="39" t="inlineStr">
        <is>
          <t>Đi sau tuyến đầu, cạnh các xe nó phục vụ; Bắn hết 28 viên thì thay băng; Sửa xe ta trong 14 m (2,5% máu mỗi giây; tháp một nửa); Xe tạo khói</t>
        </is>
      </c>
      <c r="AG6" s="39" t="inlineStr">
        <is>
          <t>M2 Browning 12.7 mm [Động năng, xuyên 1, đạn súng (cỡ lớn)] 10/phát · băng 28 viên, 9 viên/s, thay 2.02 s · tầm 15 m · Tất cả</t>
        </is>
      </c>
      <c r="AH6" s="39" t="inlineStr">
        <is>
          <t>Giữ.</t>
        </is>
      </c>
      <c r="AI6" s="39" t="inlineStr">
        <is>
          <t>Xe hỗ trợ, chưa có chỉ số đo; giữ.</t>
        </is>
      </c>
      <c r="AJ6" s="49" t="inlineStr">
        <is>
          <t>Thấp</t>
        </is>
      </c>
    </row>
    <row r="7" ht="53.25" customHeight="1" s="32">
      <c r="A7" s="41"/>
      <c r="B7" s="41"/>
      <c r="C7" s="41"/>
      <c r="D7" s="41"/>
      <c r="E7" s="41"/>
      <c r="F7" s="41"/>
      <c r="G7" s="41"/>
      <c r="H7" s="41"/>
      <c r="I7" s="43"/>
      <c r="J7" s="43"/>
      <c r="K7" s="41"/>
      <c r="L7" s="43"/>
      <c r="M7" s="43"/>
      <c r="N7" s="43"/>
      <c r="O7" s="43"/>
      <c r="P7" s="43"/>
      <c r="Q7" s="43"/>
      <c r="R7" s="51"/>
      <c r="S7" s="51"/>
      <c r="T7" s="43"/>
      <c r="U7" s="43"/>
      <c r="V7" s="43"/>
      <c r="W7" s="43"/>
      <c r="X7" s="43"/>
      <c r="Y7" s="41"/>
      <c r="Z7" s="43"/>
      <c r="AA7" s="43"/>
      <c r="AB7" s="41"/>
      <c r="AC7" s="41"/>
      <c r="AD7" s="41"/>
      <c r="AE7" s="41"/>
      <c r="AF7" s="41"/>
      <c r="AG7" s="41"/>
      <c r="AH7" s="41"/>
      <c r="AI7" s="41"/>
      <c r="AJ7" s="48"/>
    </row>
    <row r="8" ht="74.25" customHeight="1" s="32">
      <c r="A8" s="39" t="inlineStr">
        <is>
          <t>ammo_carrier</t>
        </is>
      </c>
      <c r="B8" s="39" t="inlineStr">
        <is>
          <t>Xe tiếp đạn</t>
        </is>
      </c>
      <c r="C8" s="39" t="inlineStr">
        <is>
          <t>Hỗ trợ</t>
        </is>
      </c>
      <c r="D8" s="39" t="inlineStr">
        <is>
          <t>chỉ có súng máy nóc; bệ phóng và xe tên lửa hết đạn trong vòng 14 m nạp nhanh gấp ba, trực thăng trong vòng 12 m hồi tên lửa và giữ pháo phản lực và trực thăng bắn liên tục; giáp mỏng và nổ rất mạnh, nên giữ xa chỗ giao tranh.</t>
        </is>
      </c>
      <c r="E8" s="39" t="inlineStr">
        <is>
          <t>Xe tải 8 bánh chở giá đạn kim loại mở, thùng đạn xếp tầng màu ô-liu, cần cẩu nhỏ phía sau. Từ trên xuống: các thùng đạn xếp lưới. Kích thước đề xuất khoảng 8.2 × 2.0 × 2.1 m (dài × rộng × cao; 0,8 × mẫu thật M977 HEMTT). Vũ khí nhìn thấy: M2 Browning 12.7 mm. Vạch màu phe trên nóc và hai hông; không dùng phù hiệu, cờ hay logo quốc gia thật.</t>
        </is>
      </c>
      <c r="F8" s="39" t="inlineStr">
        <is>
          <t>thắng màn mở khóa trong chiến dịch, hoặc mua sớm 900 xu</t>
        </is>
      </c>
      <c r="G8" s="39" t="inlineStr">
        <is>
          <t>Chương 2</t>
        </is>
      </c>
      <c r="H8" s="39" t="inlineStr">
        <is>
          <t>300 xu</t>
        </is>
      </c>
      <c r="I8" s="42" t="n">
        <v>4</v>
      </c>
      <c r="J8" s="42" t="n">
        <v>1144</v>
      </c>
      <c r="K8" s="39" t="inlineStr">
        <is>
          <t>cấp 0 (Không giáp)</t>
        </is>
      </c>
      <c r="L8" s="42" t="n">
        <v>8.5</v>
      </c>
      <c r="M8" s="42" t="n">
        <v>30</v>
      </c>
      <c r="N8" s="42" t="n">
        <v>46</v>
      </c>
      <c r="O8" s="42" t="n">
        <v>13</v>
      </c>
      <c r="P8" s="42" t="n">
        <v>16</v>
      </c>
      <c r="Q8" s="42" t="n">
        <v>16</v>
      </c>
      <c r="R8" s="50">
        <f>IFERROR(O8/I8,"")</f>
        <v/>
      </c>
      <c r="S8" s="50">
        <f>IFERROR(J8/I8,"")</f>
        <v/>
      </c>
      <c r="T8" s="42" t="n">
        <v>0</v>
      </c>
      <c r="U8" s="42" t="n">
        <v>0</v>
      </c>
      <c r="V8" s="42" t="n">
        <v>0</v>
      </c>
      <c r="W8" s="42" t="n">
        <v>0</v>
      </c>
      <c r="X8" s="42" t="n">
        <v>0</v>
      </c>
      <c r="Y8" s="39" t="inlineStr">
        <is>
          <t>0%</t>
        </is>
      </c>
      <c r="Z8" s="42" t="n">
        <v>90</v>
      </c>
      <c r="AA8" s="39" t="n"/>
      <c r="AB8" s="39" t="inlineStr">
        <is>
          <t>M977 HEMTT, KamAZ-5350, M2 Browning 12,7 mm — ước đoán: xe tải hậu cần chở đạn, súng máy trên vòng nóc</t>
        </is>
      </c>
      <c r="AC8" s="39" t="inlineStr">
        <is>
          <t>giáp 0, giáp 1</t>
        </is>
      </c>
      <c r="AD8" s="39" t="inlineStr">
        <is>
          <t>súng bộ binh, súng máy hạng nặng, lửa, mảnh, pháo tự động, nổ mạnh, năng lượng, nổ lõm, pháo xe tăng</t>
        </is>
      </c>
      <c r="AE8" s="39" t="inlineStr">
        <is>
          <t>chỉ có súng máy nóc; bệ phóng và xe tên lửa hết đạn trong vòng 14 m nạp nhanh gấp ba, trực thăng trong vòng 12 m hồi tên lửa và</t>
        </is>
      </c>
      <c r="AF8" s="39" t="inlineStr">
        <is>
          <t>Đi sau tuyến đầu, cạnh các xe nó phục vụ                                                           M2; Bắn hết 28 viên thì thay băng                                                                      Sá; Xe phóng trong 14 m được thêm một phát mỗi 4 giây ngoài tốc độ nạp của nó                          Bă; Trực thăng trong 12 m hồi đạn nhanh gấp 2 lần                                                      Tầ; M2; Radar phản pháo</t>
        </is>
      </c>
      <c r="AG8" s="39" t="inlineStr">
        <is>
          <t>M2 Browning 12.7 mm [Động năng, xuyên 1, đạn súng (cỡ lớn)] 10/phát · băng 28 viên, 9 viên/s, thay 2.02 s · tầm 15 m · Tất cả</t>
        </is>
      </c>
      <c r="AH8" s="39" t="inlineStr">
        <is>
          <t>Giữ.</t>
        </is>
      </c>
      <c r="AI8" s="39" t="inlineStr">
        <is>
          <t>Xe hỗ trợ, chưa có chỉ số đo; giữ.</t>
        </is>
      </c>
      <c r="AJ8" s="49" t="inlineStr">
        <is>
          <t>Thấp</t>
        </is>
      </c>
    </row>
    <row r="9" ht="63.75" customHeight="1" s="32">
      <c r="A9" s="41"/>
      <c r="B9" s="41"/>
      <c r="C9" s="41"/>
      <c r="D9" s="41"/>
      <c r="E9" s="41"/>
      <c r="F9" s="41"/>
      <c r="G9" s="41"/>
      <c r="H9" s="41"/>
      <c r="I9" s="43"/>
      <c r="J9" s="43"/>
      <c r="K9" s="41"/>
      <c r="L9" s="43"/>
      <c r="M9" s="43"/>
      <c r="N9" s="43"/>
      <c r="O9" s="43"/>
      <c r="P9" s="43"/>
      <c r="Q9" s="43"/>
      <c r="R9" s="51"/>
      <c r="S9" s="51"/>
      <c r="T9" s="43"/>
      <c r="U9" s="43"/>
      <c r="V9" s="43"/>
      <c r="W9" s="43"/>
      <c r="X9" s="43"/>
      <c r="Y9" s="41"/>
      <c r="Z9" s="43"/>
      <c r="AA9" s="41"/>
      <c r="AB9" s="41"/>
      <c r="AC9" s="41"/>
      <c r="AD9" s="41"/>
      <c r="AE9" s="41"/>
      <c r="AF9" s="41"/>
      <c r="AG9" s="41"/>
      <c r="AH9" s="41"/>
      <c r="AI9" s="41"/>
      <c r="AJ9" s="49"/>
    </row>
    <row r="10" ht="63.75" customHeight="1" s="32">
      <c r="A10" s="39" t="inlineStr">
        <is>
          <t>ew_jammer</t>
        </is>
      </c>
      <c r="B10" s="39" t="inlineStr">
        <is>
          <t>Xe tác chiến điện tử</t>
        </is>
      </c>
      <c r="C10" s="39" t="inlineStr">
        <is>
          <t>Hỗ trợ</t>
        </is>
      </c>
      <c r="D10" s="39" t="inlineStr">
        <is>
          <t>chỉ có súng máy nóc; tên lửa, drone và hỏa lực yểm trợ của địch nhắm vào vùng gây nhiễu 32 m đều bị lệch. khắc chế xe tên lửa chống tăng, xe drone, trực thăng và đòn yểm trợ địch; vô dụng trước súng và đạn pháo thường.</t>
        </is>
      </c>
      <c r="E10" s="39" t="inlineStr">
        <is>
          <t>Xe tải 8 bánh mang đĩa ăng-ten lớn hình chảo hoặc cột ăng-ten lưới cao, thân phẳng. Từ trên xuống: chảo tròn lớn. Kích thước đề xuất khoảng 8.8 × 2.4 × 3.2 m (dài × rộng × cao; 0,8 × mẫu thật Krasukha-4 (BAZ-6910)). Vũ khí nhìn thấy: M2 Browning 12.7 mm. Vạch màu phe trên nóc và hai hông; không dùng phù hiệu, cờ hay logo quốc gia thật.</t>
        </is>
      </c>
      <c r="F10" s="39" t="inlineStr">
        <is>
          <t>thắng màn mở khóa trong chiến dịch, hoặc mua sớm 1.050 xu</t>
        </is>
      </c>
      <c r="G10" s="39" t="inlineStr">
        <is>
          <t>Chương 5</t>
        </is>
      </c>
      <c r="H10" s="39" t="inlineStr">
        <is>
          <t>800 xu</t>
        </is>
      </c>
      <c r="I10" s="42" t="n">
        <v>5</v>
      </c>
      <c r="J10" s="42" t="n">
        <v>836</v>
      </c>
      <c r="K10" s="39" t="inlineStr">
        <is>
          <t>1/0/0/0</t>
        </is>
      </c>
      <c r="L10" s="42" t="n">
        <v>8</v>
      </c>
      <c r="M10" s="42" t="n">
        <v>40</v>
      </c>
      <c r="N10" s="42" t="n">
        <v>46</v>
      </c>
      <c r="O10" s="42" t="n">
        <v>13</v>
      </c>
      <c r="P10" s="42" t="n">
        <v>16</v>
      </c>
      <c r="Q10" s="42" t="n">
        <v>16</v>
      </c>
      <c r="R10" s="50">
        <f>IFERROR(O10/I10,"")</f>
        <v/>
      </c>
      <c r="S10" s="50">
        <f>IFERROR(J10/I10,"")</f>
        <v/>
      </c>
      <c r="T10" s="42" t="n">
        <v>0</v>
      </c>
      <c r="U10" s="42" t="n">
        <v>0</v>
      </c>
      <c r="V10" s="42" t="n">
        <v>0</v>
      </c>
      <c r="W10" s="42" t="n">
        <v>0</v>
      </c>
      <c r="X10" s="42" t="n">
        <v>0</v>
      </c>
      <c r="Y10" s="39" t="inlineStr">
        <is>
          <t>0%</t>
        </is>
      </c>
      <c r="Z10" s="42" t="n">
        <v>90</v>
      </c>
      <c r="AA10" s="39" t="n"/>
      <c r="AB10" s="39" t="inlineStr">
        <is>
          <t>Krasukha-4, Leer-3 — Xe tác chiến điện tử 6x6, cột ăng-ten gây nhiễu</t>
        </is>
      </c>
      <c r="AC10" s="39" t="inlineStr">
        <is>
          <t>giáp 0, giáp 1</t>
        </is>
      </c>
      <c r="AD10" s="39" t="inlineStr">
        <is>
          <t>súng máy hạng nặng, lửa, pháo tự động, nổ mạnh, năng lượng, đánh nóc, nổ lõm, pháo xe tăng</t>
        </is>
      </c>
      <c r="AE10" s="39" t="inlineStr">
        <is>
          <t>chỉ có súng máy nóc; tên lửa, drone và hỏa lực yểm trợ của địch nhắm vào vùng gây nhiễu 32 m đều bị lệch.</t>
        </is>
      </c>
      <c r="AF10" s="39" t="inlineStr">
        <is>
          <t>Đi sau tuyến đầu, cạnh các xe nó phục vụ                                                            M; Bắn hết 28 viên thì thay băng                                                                       S; Gây nhiễu vũ khí dẫn đường và hỏa lực yểm trợ địch trong 32 m                                       B; T; M; Xe rải mìn</t>
        </is>
      </c>
      <c r="AG10" s="39" t="inlineStr">
        <is>
          <t>M2 Browning 12.7 mm [Động năng, xuyên 1, đạn súng (cỡ lớn)] 10/phát · băng 28 viên, 9 viên/s, thay 2.02 s · tầm 15 m · Tất cả</t>
        </is>
      </c>
      <c r="AH10" s="39" t="inlineStr">
        <is>
          <t>Giữ.</t>
        </is>
      </c>
      <c r="AI10" s="39" t="inlineStr">
        <is>
          <t>Xe hỗ trợ, chưa có chỉ số đo; giữ.</t>
        </is>
      </c>
      <c r="AJ10" s="49" t="inlineStr">
        <is>
          <t>Thấp</t>
        </is>
      </c>
    </row>
    <row r="11" ht="53.25" customHeight="1" s="32">
      <c r="A11" s="41" t="inlineStr">
        <is>
          <t>mine_layer</t>
        </is>
      </c>
      <c r="B11" s="41" t="inlineStr">
        <is>
          <t>Xe rải mìn</t>
        </is>
      </c>
      <c r="C11" s="41" t="inlineStr">
        <is>
          <t>Hỗ trợ</t>
        </is>
      </c>
      <c r="D11" s="41" t="inlineStr">
        <is>
          <t>có súng máy nóc; khi chạy, cứ 6 giây thả một quả mìn chống tăng (tối đa 8), xe địch cán phải là nổ tung. trừng phạt xe tăng và đoàn xe đi theo một lối; xe tăng rùa có trục lăn phá mìn, máy bay thì không sợ.</t>
        </is>
      </c>
      <c r="E11" s="41" t="inlineStr">
        <is>
          <t>Khung xích thấp, máng thả mìn nghiêng ở đuôi, thùng mìn xếp trên nóc. Từ trên xuống: máng dài ở sau. Kích thước đề xuất khoảng 7.4 × 2.6 × 2.0 m (dài × rộng × cao; 0,8 × mẫu thật GMZ-3). Vũ khí nhìn thấy: M2 Browning 12.7 mm. Vạch màu phe trên nóc và hai hông; không dùng phù hiệu, cờ hay logo quốc gia thật.</t>
        </is>
      </c>
      <c r="F11" s="41" t="inlineStr">
        <is>
          <t>thắng màn mở khóa trong chiến dịch, hoặc mua sớm 1.050 xu</t>
        </is>
      </c>
      <c r="G11" s="41" t="inlineStr">
        <is>
          <t>Chương 3</t>
        </is>
      </c>
      <c r="H11" s="41" t="inlineStr">
        <is>
          <t>300 xu</t>
        </is>
      </c>
      <c r="I11" s="43" t="n">
        <v>5</v>
      </c>
      <c r="J11" s="43" t="n">
        <v>924</v>
      </c>
      <c r="K11" s="41" t="inlineStr">
        <is>
          <t>1/0/0/0</t>
        </is>
      </c>
      <c r="L11" s="43" t="n">
        <v>8</v>
      </c>
      <c r="M11" s="43" t="n">
        <v>30</v>
      </c>
      <c r="N11" s="43" t="n">
        <v>46</v>
      </c>
      <c r="O11" s="43" t="n">
        <v>13</v>
      </c>
      <c r="P11" s="43" t="n">
        <v>16</v>
      </c>
      <c r="Q11" s="43" t="n">
        <v>16</v>
      </c>
      <c r="R11" s="51">
        <f>IFERROR(O11/I11,"")</f>
        <v/>
      </c>
      <c r="S11" s="51">
        <f>IFERROR(J11/I11,"")</f>
        <v/>
      </c>
      <c r="T11" s="43" t="n">
        <v>102</v>
      </c>
      <c r="U11" s="43" t="n">
        <v>77</v>
      </c>
      <c r="V11" s="43" t="n">
        <v>9</v>
      </c>
      <c r="W11" s="43" t="n">
        <v>7</v>
      </c>
      <c r="X11" s="43" t="n">
        <v>102</v>
      </c>
      <c r="Y11" s="41" t="inlineStr">
        <is>
          <t>51%</t>
        </is>
      </c>
      <c r="Z11" s="43" t="n">
        <v>28</v>
      </c>
      <c r="AA11" s="43" t="n">
        <v>0.62</v>
      </c>
      <c r="AB11" s="41" t="inlineStr">
        <is>
          <t>GMZ-3, MT-LB — Xe rải mìn bánh xích, máng thả mìn phía sau</t>
        </is>
      </c>
      <c r="AC11" s="41" t="inlineStr">
        <is>
          <t>giáp 0, giáp 1</t>
        </is>
      </c>
      <c r="AD11" s="41" t="inlineStr">
        <is>
          <t>súng máy hạng nặng, lửa, pháo tự động, nổ mạnh, năng lượng, đánh nóc, nổ lõm, pháo xe tăng</t>
        </is>
      </c>
      <c r="AE11" s="41" t="inlineStr">
        <is>
          <t>có súng máy nóc; khi chạy, cứ 6 giây thả một quả mìn chống tăng (tối đa 8), xe địch cán phải là nổ tung.</t>
        </is>
      </c>
      <c r="AF11" s="41" t="inlineStr">
        <is>
          <t>Đi sau tuyến đầu, cạnh các xe nó phục vụ                                                            M; Bắn hết 28 viên thì thay băng                                                                       S; Rải một quả mìn mỗi 6 giây (tối đa 8)                                                               B; T; M; Xe chỉ huy</t>
        </is>
      </c>
      <c r="AG11" s="41" t="inlineStr">
        <is>
          <t>M2 Browning 12.7 mm [Động năng, xuyên 1, đạn súng (cỡ lớn)] 10/phát · băng 28 viên, 9 viên/s, thay 2.02 s · tầm 15 m · Tất cả</t>
        </is>
      </c>
      <c r="AH11" s="41" t="inlineStr">
        <is>
          <t>Giữ.</t>
        </is>
      </c>
      <c r="AI11" s="41" t="inlineStr">
        <is>
          <t>Giá trị thực chiến nằm trong khoảng mục tiêu (hiệu quả 0.62 × trung vị vai trò).</t>
        </is>
      </c>
      <c r="AJ11" s="49" t="inlineStr">
        <is>
          <t>Thấp</t>
        </is>
      </c>
    </row>
    <row r="12" ht="42.75" customHeight="1" s="32">
      <c r="A12" s="39" t="inlineStr">
        <is>
          <t>command_vehicle</t>
        </is>
      </c>
      <c r="B12" s="39" t="inlineStr">
        <is>
          <t>Xe chỉ huy</t>
        </is>
      </c>
      <c r="C12" s="39" t="inlineStr">
        <is>
          <t>Hỗ trợ</t>
        </is>
      </c>
      <c r="D12" s="39" t="inlineStr">
        <is>
          <t>chỉ có súng máy trên nóc; quân ta trong 25 m bắn nhanh hơn 10%; đứng yên 5 giây là thành bãi thả dù tiền tuyến, quân mới đáp làm mọi cụm quân quanh nó mạnh hơn và đưa quân tiếp viện ra tận tiền tuyến; thứ gì với tới cũng hạ nó nhanh.</t>
        </is>
      </c>
      <c r="E12" s="39" t="inlineStr">
        <is>
          <t>Xe 8 bánh, thân cao, nhiều cột ăng-ten roi và một cột kính viễn vọng gập, lều chỉ huy gắn sau. Từ trên xuống: nhiều chấm ăng-ten, cột dài nằm dọc. Kích thước đề xuất khoảng 5.6 × 2.2 × 2.1 m (dài × rộng × cao; 0,8 × mẫu thật Stryker CV). Vũ khí nhìn thấy: M2 Browning 12.7 mm. Vạch màu phe trên nóc và hai hông; không dùng phù hiệu, cờ hay logo quốc gia thật.</t>
        </is>
      </c>
      <c r="F12" s="39" t="inlineStr">
        <is>
          <t>thắng màn mở khóa trong chiến dịch, hoặc mua sớm 1.200 xu</t>
        </is>
      </c>
      <c r="G12" s="39" t="inlineStr">
        <is>
          <t>Chương 4</t>
        </is>
      </c>
      <c r="H12" s="39" t="inlineStr">
        <is>
          <t>800 xu</t>
        </is>
      </c>
      <c r="I12" s="42" t="n">
        <v>6</v>
      </c>
      <c r="J12" s="42" t="n">
        <v>1232</v>
      </c>
      <c r="K12" s="39" t="inlineStr">
        <is>
          <t>2/1/0/0</t>
        </is>
      </c>
      <c r="L12" s="42" t="n">
        <v>8</v>
      </c>
      <c r="M12" s="42" t="n">
        <v>44</v>
      </c>
      <c r="N12" s="42" t="n">
        <v>46</v>
      </c>
      <c r="O12" s="42" t="n">
        <v>13</v>
      </c>
      <c r="P12" s="42" t="n">
        <v>16</v>
      </c>
      <c r="Q12" s="42" t="n">
        <v>16</v>
      </c>
      <c r="R12" s="50">
        <f>IFERROR(O12/I12,"")</f>
        <v/>
      </c>
      <c r="S12" s="50">
        <f>IFERROR(J12/I12,"")</f>
        <v/>
      </c>
      <c r="T12" s="42" t="n">
        <v>0</v>
      </c>
      <c r="U12" s="42" t="n">
        <v>0</v>
      </c>
      <c r="V12" s="42" t="n">
        <v>0</v>
      </c>
      <c r="W12" s="42" t="n">
        <v>0</v>
      </c>
      <c r="X12" s="42" t="n">
        <v>0</v>
      </c>
      <c r="Y12" s="39" t="inlineStr">
        <is>
          <t>0%</t>
        </is>
      </c>
      <c r="Z12" s="42" t="n">
        <v>90</v>
      </c>
      <c r="AA12" s="39" t="n"/>
      <c r="AB12" s="39" t="inlineStr">
        <is>
          <t>M1130 Stryker CV, BTR-80 KShM, LAV-C2 — Xe chỉ huy 8x8, cột ăng-ten kính viễn vọng gập</t>
        </is>
      </c>
      <c r="AC12" s="39" t="inlineStr">
        <is>
          <t>giáp 0, giáp 1</t>
        </is>
      </c>
      <c r="AD12" s="39" t="inlineStr">
        <is>
          <t>lửa, pháo tự động, nổ mạnh, năng lượng, đánh nóc, nổ lõm, pháo xe tăng</t>
        </is>
      </c>
      <c r="AE12" s="39" t="inlineStr">
        <is>
          <t>chỉ có súng máy trên nóc; quân ta trong 25 m bắn nhanh hơn 10%; đứng yên 5 giây là thành bãi thả dù tiền tuyến, quân mới đáp</t>
        </is>
      </c>
      <c r="AF12" s="39" t="inlineStr">
        <is>
          <t>Đi sau tuyến đầu, cạnh các xe nó phục vụ; Bắn hết 28 viên thì thay băng; Xe phát khiên</t>
        </is>
      </c>
      <c r="AG12" s="39" t="inlineStr">
        <is>
          <t>M2 Browning 12.7 mm [Động năng, xuyên 1, đạn súng (cỡ lớn)] 10/phát · băng 28 viên, 9 viên/s, thay 2.02 s · tầm 15 m · Tất cả</t>
        </is>
      </c>
      <c r="AH12" s="39" t="inlineStr">
        <is>
          <t>Giữ.</t>
        </is>
      </c>
      <c r="AI12" s="39" t="inlineStr">
        <is>
          <t>Xe hỗ trợ, chưa có chỉ số đo; giữ.</t>
        </is>
      </c>
      <c r="AJ12" s="49" t="inlineStr">
        <is>
          <t>Thấp</t>
        </is>
      </c>
    </row>
    <row r="13" ht="53.25" customHeight="1" s="32">
      <c r="A13" s="41" t="inlineStr">
        <is>
          <t>shield_carrier</t>
        </is>
      </c>
      <c r="B13" s="41" t="inlineStr">
        <is>
          <t>Xe phát khiên</t>
        </is>
      </c>
      <c r="C13" s="41" t="inlineStr">
        <is>
          <t>Hỗ trợ</t>
        </is>
      </c>
      <c r="D13" s="41" t="inlineStr">
        <is>
          <t>vòm khiên 12 m quanh xe hấp thụ 1.000 sát thương từ đạn pháo, đạn súng, bom và tên lửa cho mọi đơn vị phe ta bên trong, rồi vỡ; giúp tuyến xe tăng áp sát dưới làn đạn; vũ khí năng lượng xuyên thẳng qua, nhiều vòm không cộng dồn, và bản thân xe giáp mỏng.</t>
        </is>
      </c>
      <c r="E13" s="41" t="inlineStr">
        <is>
          <t>Xe 8 bánh mang bệ phát khiên hình vòm/kim loại có vòng phát sáng màu phe; khi hoạt động có vòm bán trong suốt 12 m. Từ trên xuống: đĩa tròn phát sáng giữa thân. Kích thước đề xuất khoảng 6.3 × 2.4 × 1.9 m (dài × rộng × cao; 0,8 × mẫu thật Boxer 8x8 (khung)). Vũ khí nhìn thấy: M2 Browning 12.7 mm. Vạch màu phe trên nóc và hai hông; không dùng phù hiệu, cờ hay logo quốc gia thật.</t>
        </is>
      </c>
      <c r="F13" s="41" t="inlineStr">
        <is>
          <t>thắng màn mở khóa trong chiến dịch, hoặc mua sớm 1.350 xu</t>
        </is>
      </c>
      <c r="G13" s="41" t="inlineStr">
        <is>
          <t>Xen kẽ II</t>
        </is>
      </c>
      <c r="H13" s="41" t="inlineStr">
        <is>
          <t>1.500 xu</t>
        </is>
      </c>
      <c r="I13" s="43" t="n">
        <v>7</v>
      </c>
      <c r="J13" s="43" t="n">
        <v>1056</v>
      </c>
      <c r="K13" s="41" t="inlineStr">
        <is>
          <t>1/0/0/0</t>
        </is>
      </c>
      <c r="L13" s="43" t="n">
        <v>8.5</v>
      </c>
      <c r="M13" s="43" t="n">
        <v>36</v>
      </c>
      <c r="N13" s="43" t="n">
        <v>46</v>
      </c>
      <c r="O13" s="43" t="n">
        <v>13</v>
      </c>
      <c r="P13" s="43" t="n">
        <v>16</v>
      </c>
      <c r="Q13" s="43" t="n">
        <v>16</v>
      </c>
      <c r="R13" s="51">
        <f>IFERROR(O13/I13,"")</f>
        <v/>
      </c>
      <c r="S13" s="51">
        <f>IFERROR(J13/I13,"")</f>
        <v/>
      </c>
      <c r="T13" s="43" t="n">
        <v>0</v>
      </c>
      <c r="U13" s="43" t="n">
        <v>0</v>
      </c>
      <c r="V13" s="43" t="n">
        <v>0</v>
      </c>
      <c r="W13" s="43" t="n">
        <v>0</v>
      </c>
      <c r="X13" s="43" t="n">
        <v>0</v>
      </c>
      <c r="Y13" s="41" t="inlineStr">
        <is>
          <t>0%</t>
        </is>
      </c>
      <c r="Z13" s="43" t="n">
        <v>90</v>
      </c>
      <c r="AA13" s="41" t="n"/>
      <c r="AB13" s="41" t="inlineStr">
        <is>
          <t>xe 8x8 kiểu Boxer / Stryker · Shield Battery (StarCraft II), Bubble Shield (Halo 3) — ước đoán: xe 8x8 mang máy phát khiên năng lượng</t>
        </is>
      </c>
      <c r="AC13" s="41" t="inlineStr">
        <is>
          <t>giáp 0, giáp 1</t>
        </is>
      </c>
      <c r="AD13" s="41" t="inlineStr">
        <is>
          <t>súng máy hạng nặng, lửa, pháo tự động, nổ mạnh, năng lượng, đánh nóc, nổ lõm, pháo xe tăng</t>
        </is>
      </c>
      <c r="AE13" s="41" t="inlineStr">
        <is>
          <t>vòm khiên 12 m quanh xe hấp thụ 1.000 sát thương từ đạn pháo, đạn súng, bom và tên lửa cho mọi đơn vị phe ta bên trong, rồi vỡ;</t>
        </is>
      </c>
      <c r="AF13" s="41" t="inlineStr">
        <is>
          <t>Đi sau tuyến đầu, cạnh các xe nó phục vụ; Bắn hết 28 viên thì thay băng; Vòm khiên 12 m: hấp thụ 1000 sát thương cho phe ta bên trong (trừ năng lượng), hồi lại 20; giây sau đòn cuối; các vòm không cộng dồn; Trinh sát (2); Xe trinh sát</t>
        </is>
      </c>
      <c r="AG13" s="41" t="inlineStr">
        <is>
          <t>M2 Browning 12.7 mm [Động năng, xuyên 1, đạn súng (cỡ lớn)] 10/phát · băng 28 viên, 9 viên/s, thay 2.02 s · tầm 15 m · Tất cả</t>
        </is>
      </c>
      <c r="AH13" s="41" t="inlineStr">
        <is>
          <t>Giữ.</t>
        </is>
      </c>
      <c r="AI13" s="41" t="inlineStr">
        <is>
          <t>Xe hỗ trợ, chưa có chỉ số đo; giữ.</t>
        </is>
      </c>
      <c r="AJ13" s="49" t="inlineStr">
        <is>
          <t>Thấp</t>
        </is>
      </c>
    </row>
    <row r="14" ht="42.75" customHeight="1" s="32">
      <c r="A14" s="39" t="inlineStr">
        <is>
          <t>scout_jeep</t>
        </is>
      </c>
      <c r="B14" s="39" t="inlineStr">
        <is>
          <t>Xe trinh sát</t>
        </is>
      </c>
      <c r="C14" s="39" t="inlineStr">
        <is>
          <t>Trinh sát</t>
        </is>
      </c>
      <c r="D14" s="39" t="inlineStr">
        <is>
          <t>súng máy tầm gần, vừa chạy vừa bắn. Nhìn xa để phát hiện địch cho cả quân, chiếm cứ điểm nhanh gấp đôi. diệt được pháo binh và xe hỗ trợ đi lẻ; thua mọi xe bọc thép, xe tăng và tháp canh.</t>
        </is>
      </c>
      <c r="E14" s="39" t="inlineStr">
        <is>
          <t>Xe 4x4 mui trần nhỏ, khung chống lật, súng máy trên chốt giữa, can nhiên liệu sau. Từ trên xuống: nhỏ nhất game, thấy rõ người lái và súng. Kích thước đề xuất khoảng 2.7 × 1.3 × 1.4 m (dài × rộng × cao; 0,8 × mẫu thật M151 / LRV). Vũ khí nhìn thấy: M2 Browning 12.7 mm. Vạch màu phe trên nóc và hai hông; không dùng phù hiệu, cờ hay logo quốc gia thật.</t>
        </is>
      </c>
      <c r="F14" s="39" t="inlineStr">
        <is>
          <t>có sẵn từ đầu</t>
        </is>
      </c>
      <c r="G14" s="39" t="inlineStr">
        <is>
          <t>Có sẵn</t>
        </is>
      </c>
      <c r="H14" s="39" t="inlineStr">
        <is>
          <t>—</t>
        </is>
      </c>
      <c r="I14" s="42" t="n">
        <v>2</v>
      </c>
      <c r="J14" s="42" t="n">
        <v>264</v>
      </c>
      <c r="K14" s="39" t="inlineStr">
        <is>
          <t>cấp 0 (Không giáp)</t>
        </is>
      </c>
      <c r="L14" s="42" t="n">
        <v>12</v>
      </c>
      <c r="M14" s="42" t="n">
        <v>35</v>
      </c>
      <c r="N14" s="42" t="n">
        <v>46</v>
      </c>
      <c r="O14" s="42" t="n">
        <v>14</v>
      </c>
      <c r="P14" s="42" t="n">
        <v>16</v>
      </c>
      <c r="Q14" s="42" t="n">
        <v>16</v>
      </c>
      <c r="R14" s="50">
        <f>IFERROR(O14/I14,"")</f>
        <v/>
      </c>
      <c r="S14" s="50">
        <f>IFERROR(J14/I14,"")</f>
        <v/>
      </c>
      <c r="T14" s="42" t="n">
        <v>84</v>
      </c>
      <c r="U14" s="42" t="n">
        <v>9</v>
      </c>
      <c r="V14" s="42" t="n">
        <v>7</v>
      </c>
      <c r="W14" s="42" t="n">
        <v>3</v>
      </c>
      <c r="X14" s="42" t="n">
        <v>19</v>
      </c>
      <c r="Y14" s="39" t="inlineStr">
        <is>
          <t>34%</t>
        </is>
      </c>
      <c r="Z14" s="42" t="n">
        <v>12</v>
      </c>
      <c r="AA14" s="42" t="n">
        <v>1.04</v>
      </c>
      <c r="AB14" s="39" t="inlineStr">
        <is>
          <t>M151 MUTT, Land Rover WMIK, M2 Browning 12,7 mm — ước đoán: xe trinh sát 4x4 mui trần gắn súng máy trên chốt</t>
        </is>
      </c>
      <c r="AC14" s="39" t="inlineStr">
        <is>
          <t>giáp 0, giáp 1</t>
        </is>
      </c>
      <c r="AD14" s="39" t="inlineStr">
        <is>
          <t>súng bộ binh, súng máy hạng nặng, lửa, mảnh, pháo tự động, nổ mạnh, năng lượng, nổ lõm, pháo xe tăng</t>
        </is>
      </c>
      <c r="AE14" s="39" t="inlineStr">
        <is>
          <t>súng máy tầm gần, vừa chạy vừa bắn. Nhìn xa để phát hiện địch cho cả quân, chiếm cứ điểm nhanh gấp đôi.</t>
        </is>
      </c>
      <c r="AF14" s="39" t="inlineStr">
        <is>
          <t>Vừa chạy vừa bắn; Bắn hết 28 viên thì thay băng; Xe bom tự sát bọc thép</t>
        </is>
      </c>
      <c r="AG14" s="39" t="inlineStr">
        <is>
          <t>M2 Browning 12.7 mm [Động năng, xuyên 1, đạn súng (cỡ lớn)] 10/phát · băng 28 viên, 9 viên/s, thay 1.94 s · tầm 22 m · Tất cả</t>
        </is>
      </c>
      <c r="AH14" s="39" t="inlineStr">
        <is>
          <t>• Tầm nhìn: 55 m
• Hành vi: Ẩn khi đứng yên (chỉ lộ ở 60% tầm nhìn địch), lộ khi bắn</t>
        </is>
      </c>
      <c r="AI14" s="39" t="inlineStr">
        <is>
          <t>• Tầm nhìn: Trinh sát đang nhìn kém xe bọc thép; không làm được việc trinh sát.
• Hành vi: Trinh sát thật dựa vào ngụy trang và đứng quan sát.</t>
        </is>
      </c>
      <c r="AJ14" s="47" t="inlineStr">
        <is>
          <t>Cao</t>
        </is>
      </c>
    </row>
    <row r="15" ht="53.25" customHeight="1" s="32">
      <c r="A15" s="41" t="inlineStr">
        <is>
          <t>vbied</t>
        </is>
      </c>
      <c r="B15" s="41" t="inlineStr">
        <is>
          <t>Xe bom tự sát bọc thép</t>
        </is>
      </c>
      <c r="C15" s="41" t="inlineStr">
        <is>
          <t>Trinh sát</t>
        </is>
      </c>
      <c r="D15" s="41" t="inlineStr">
        <is>
          <t>lao thẳng vào địch rồi tự nổ: 700 sát thương trong bán kính 7,5 m, một nửa lên tháp và công trình. Bị bắn hạ giữa đường thì nổ phá nát pháo binh, xe hỗ trợ và cụm xe nhẹ; súng bắn nhanh và xe bọc thép chặn được nó, và căn cứ chịu được cả dòng xe bom.</t>
        </is>
      </c>
      <c r="E15" s="41" t="inlineStr">
        <is>
          <t>Bán tải dân sự hàn tấm thép chắp vá phủ gần kín, khe nhìn nhỏ, tấm thép mặt trước dày hơn, không vũ khí nhìn thấy. Từ trên xuống: hộp thép thô, mép tấm không đều. Kích thước đề xuất khoảng 4.2 × 1.5 × 1.8 m (dài × rộng × cao; 0,8 × mẫu thật bán tải bọc thép chắp vá). Vũ khí nhìn thấy: car bomb (900 kg) 900 mm. Vạch màu phe trên nóc và hai hông; không dùng phù hiệu, cờ hay logo quốc gia thật.</t>
        </is>
      </c>
      <c r="F15" s="41" t="inlineStr">
        <is>
          <t>thắng màn mở khóa trong chiến dịch, hoặc mua sớm 750 xu</t>
        </is>
      </c>
      <c r="G15" s="41" t="inlineStr">
        <is>
          <t>Chương 2</t>
        </is>
      </c>
      <c r="H15" s="41" t="inlineStr">
        <is>
          <t>300 xu</t>
        </is>
      </c>
      <c r="I15" s="43" t="n">
        <v>3</v>
      </c>
      <c r="J15" s="43" t="n">
        <v>572</v>
      </c>
      <c r="K15" s="41" t="inlineStr">
        <is>
          <t>cấp 0 (Không giáp)</t>
        </is>
      </c>
      <c r="L15" s="43" t="n">
        <v>13</v>
      </c>
      <c r="M15" s="43" t="n">
        <v>30</v>
      </c>
      <c r="N15" s="43" t="n">
        <v>924</v>
      </c>
      <c r="O15" s="43" t="n">
        <v>770</v>
      </c>
      <c r="P15" s="43" t="n">
        <v>0</v>
      </c>
      <c r="Q15" s="43" t="n">
        <v>693</v>
      </c>
      <c r="R15" s="51">
        <f>IFERROR(O15/I15,"")</f>
        <v/>
      </c>
      <c r="S15" s="51">
        <f>IFERROR(J15/I15,"")</f>
        <v/>
      </c>
      <c r="T15" s="43" t="n">
        <v>78</v>
      </c>
      <c r="U15" s="43" t="n">
        <v>29</v>
      </c>
      <c r="V15" s="43" t="n">
        <v>128</v>
      </c>
      <c r="W15" s="43" t="n">
        <v>0</v>
      </c>
      <c r="X15" s="43" t="n">
        <v>25</v>
      </c>
      <c r="Y15" s="41" t="inlineStr">
        <is>
          <t>4%</t>
        </is>
      </c>
      <c r="Z15" s="43" t="n">
        <v>10</v>
      </c>
      <c r="AA15" s="43" t="n">
        <v>0.96</v>
      </c>
      <c r="AB15" s="41" t="inlineStr">
        <is>
          <t>xe bom tự sát bọc thép ở Mosul 2016-17 ('Iron Coffin') — Xe bán tải bom tự sát bọc thép hàn chắp vá</t>
        </is>
      </c>
      <c r="AC15" s="41" t="inlineStr">
        <is>
          <t>giáp 0, giáp 1, giáp 2, giáp 3, giáp 4, công trình</t>
        </is>
      </c>
      <c r="AD15" s="41" t="inlineStr">
        <is>
          <t>súng bộ binh, súng máy hạng nặng, lửa, mảnh, pháo tự động, nổ mạnh, năng lượng, nổ lõm, pháo xe tăng</t>
        </is>
      </c>
      <c r="AE15" s="41" t="inlineStr">
        <is>
          <t>lao thẳng vào địch rồi tự nổ: 700 sát thương trong bán kính 7,5 m, một nửa lên tháp và công trình. Bị bắn hạ giữa đường thì nổ</t>
        </is>
      </c>
      <c r="AF15" s="41" t="inlineStr">
        <is>
          <t>Lao thẳng vào mục tiêu và tự nổ; Xe tăng (4); Tăng hạng nhẹ</t>
        </is>
      </c>
      <c r="AG15" s="41" t="inlineStr">
        <is>
          <t>car bomb (900 kg) 900 mm [Nổ mạnh, xuyên 4, bom hạng nặng (xe bom) nổ lan] 770/phát · hồi 1 s · tầm 3m · Mặt đất</t>
        </is>
      </c>
      <c r="AH15" s="41" t="inlineStr">
        <is>
          <t>• Giáp: trước 2 / hông 1 / sau 0 / nóc 0
• Máu, nổ lan: 800 máu · nổ lan 10 m</t>
        </is>
      </c>
      <c r="AI15" s="41" t="inlineStr">
        <is>
          <t>• Giáp: Tên "bọc thép" nhưng giáp 0; chỉ gây sát thương 4% thời gian vì chết trước khi tới.
• Máu, nổ lan: Cần sống đủ tới mục tiêu; 900 kg thuốc nổ theo thang bom phải nổ rộng hơn bom 250 kg (8 m).</t>
        </is>
      </c>
      <c r="AJ15" s="48" t="inlineStr">
        <is>
          <t>Trung</t>
        </is>
      </c>
    </row>
    <row r="16" ht="53.25" customHeight="1" s="32">
      <c r="A16" s="39" t="inlineStr">
        <is>
          <t>light_tank</t>
        </is>
      </c>
      <c r="B16" s="39" t="inlineStr">
        <is>
          <t>Tăng hạng nhẹ</t>
        </is>
      </c>
      <c r="C16" s="39" t="inlineStr">
        <is>
          <t>Xe tăng</t>
        </is>
      </c>
      <c r="D16" s="39" t="inlineStr">
        <is>
          <t>pháo 57 mm xuyên giáp vừa chạy vừa bắn, tầm ngắn nhất trong các xe tăng; súng đồng trục bắn máy bay khi mặt đất đã sạch. thắng xe nhẹ, trinh sát và xe phòng không; thua tăng nặng hơn, xe diệt tăng và trực thăng tấn công.</t>
        </is>
      </c>
      <c r="E16" s="39" t="inlineStr">
        <is>
          <t>Tăng nhẹ thân thấp dạng thuyền (lội nước), tháp nhỏ đặt lệch trước, nòng 57 mm dài và mảnh. Từ trên xuống: mũi vát như thuyền. Kích thước đề xuất khoảng 6.1 × 2.6 × 1.8 m (dài × rộng × cao; 0,8 × mẫu thật PT-76 / ZBD-05). Vũ khí nhìn thấy: S-60 57 mm (2A91), PKT / M240 7.62 mm. Vạch màu phe trên nóc và hai hông; không dùng phù hiệu, cờ hay logo quốc gia thật.</t>
        </is>
      </c>
      <c r="F16" s="39" t="inlineStr">
        <is>
          <t>có sẵn từ đầu</t>
        </is>
      </c>
      <c r="G16" s="39" t="inlineStr">
        <is>
          <t>Chương 1</t>
        </is>
      </c>
      <c r="H16" s="39" t="inlineStr">
        <is>
          <t>300 xu</t>
        </is>
      </c>
      <c r="I16" s="42" t="n">
        <v>3</v>
      </c>
      <c r="J16" s="42" t="n">
        <v>1012</v>
      </c>
      <c r="K16" s="39" t="inlineStr">
        <is>
          <t>2/1/0/0</t>
        </is>
      </c>
      <c r="L16" s="42" t="n">
        <v>9</v>
      </c>
      <c r="M16" s="42" t="n">
        <v>30</v>
      </c>
      <c r="N16" s="42" t="n">
        <v>54</v>
      </c>
      <c r="O16" s="42" t="n">
        <v>20</v>
      </c>
      <c r="P16" s="42" t="n">
        <v>12</v>
      </c>
      <c r="Q16" s="42" t="n">
        <v>23</v>
      </c>
      <c r="R16" s="50">
        <f>IFERROR(O16/I16,"")</f>
        <v/>
      </c>
      <c r="S16" s="50">
        <f>IFERROR(J16/I16,"")</f>
        <v/>
      </c>
      <c r="T16" s="42" t="n">
        <v>354</v>
      </c>
      <c r="U16" s="42" t="n">
        <v>90</v>
      </c>
      <c r="V16" s="42" t="n">
        <v>47</v>
      </c>
      <c r="W16" s="42" t="n">
        <v>2</v>
      </c>
      <c r="X16" s="42" t="n">
        <v>114</v>
      </c>
      <c r="Y16" s="39" t="inlineStr">
        <is>
          <t>57%</t>
        </is>
      </c>
      <c r="Z16" s="42" t="n">
        <v>45</v>
      </c>
      <c r="AA16" s="42" t="n">
        <v>0.48</v>
      </c>
      <c r="AB16" s="39" t="inlineStr">
        <is>
          <t>PT-76, ZBD-05, AU-220M 57 mm (mô-đun không người lái) — Xe tăng nhẹ lội nước, mô-đun 57 mm đặt lệch về trước</t>
        </is>
      </c>
      <c r="AC16" s="39" t="inlineStr">
        <is>
          <t>giáp 0, giáp 1, giáp 2</t>
        </is>
      </c>
      <c r="AD16" s="39" t="inlineStr">
        <is>
          <t>lửa, pháo tự động, nổ mạnh, năng lượng, đánh nóc, nổ lõm, pháo xe tăng</t>
        </is>
      </c>
      <c r="AE16" s="39" t="inlineStr">
        <is>
          <t>pháo 57 mm xuyên giáp vừa chạy vừa bắn, tầm ngắn nhất trong các xe tăng; súng đồng trục bắn máy bay khi mặt đất đã sạch.</t>
        </is>
      </c>
      <c r="AF16" s="39" t="inlineStr">
        <is>
          <t>Vừa chạy vừa bắn; Tăng phun lửa</t>
        </is>
      </c>
      <c r="AG16" s="39" t="inlineStr">
        <is>
          <t>S-60 57 mm (2A91) [Động năng, xuyên 2, đạn pháo động năng] 77/phát · hồi 2.53 s · tầm 28 m · Mặt đất
PKT / M240 7.62 mm [Động năng, xuyên 0, đạn súng] 6/phát · băng 41 viên, 12 viên/s, thay 1.59 s · tầm 20 m · Tất cả</t>
        </is>
      </c>
      <c r="AH16" s="39" t="inlineStr">
        <is>
          <t>• Vũ khí: 57 mm: 77/phát · loạt 2 phát ở 2 phát/s · nghỉ 3,5 s · DPS duy trì ~35
• Tầm nhìn: 36 m</t>
        </is>
      </c>
      <c r="AI16" s="39" t="inlineStr">
        <is>
          <t>• Vũ khí: 57 mm: Pháo 57 mm tự động nhưng đang bắn như pháo nạp tay.
• Tầm nhìn: Tăng nhẹ lội nước thường làm trinh sát cho tuyến.</t>
        </is>
      </c>
      <c r="AJ16" s="49" t="inlineStr">
        <is>
          <t>Thấp</t>
        </is>
      </c>
    </row>
    <row r="17" ht="53.25" customHeight="1" s="32">
      <c r="A17" s="41" t="inlineStr">
        <is>
          <t>flame_tank</t>
        </is>
      </c>
      <c r="B17" s="41" t="inlineStr">
        <is>
          <t>Tăng phun lửa</t>
        </is>
      </c>
      <c r="C17" s="41" t="inlineStr">
        <is>
          <t>Xe tăng</t>
        </is>
      </c>
      <c r="D17" s="41" t="inlineStr">
        <is>
          <t>súng phun lửa phải áp sát mới bắn; luồng lửa lan ra cả nhóm, cực mạnh với xe nhẹ và lô cốt. thiêu rụi xe nhẹ, trinh sát và tháp canh khi áp sát; xe tăng và mọi thứ bắn xa hơn hạ nó trước khi tới nơi.</t>
        </is>
      </c>
      <c r="E17" s="41" t="inlineStr">
        <is>
          <t>Tăng thân T-55, tháp tròn, vòi phun ngắn to thay nòng pháo, 2 bình nhiên liệu bọc giáp trên sàn sau. Từ trên xuống: vòi ngắn, hai bình tròn đỏ sẫm ở đuôi. Kích thước đề xuất khoảng 7.2 × 2.6 × 1.9 m (dài × rộng × cao; 0,8 × mẫu thật TO-55 (khung T-55)). Vũ khí nhìn thấy: flamethrower, PKT / M240 7.62 mm. Vạch màu phe trên nóc và hai hông; không dùng phù hiệu, cờ hay logo quốc gia thật.</t>
        </is>
      </c>
      <c r="F17" s="41" t="inlineStr">
        <is>
          <t>thắng màn mở khóa trong chiến dịch, hoặc mua sớm 1.050 xu</t>
        </is>
      </c>
      <c r="G17" s="41" t="inlineStr">
        <is>
          <t>Chương 2</t>
        </is>
      </c>
      <c r="H17" s="41" t="inlineStr">
        <is>
          <t>300 xu</t>
        </is>
      </c>
      <c r="I17" s="43" t="n">
        <v>5</v>
      </c>
      <c r="J17" s="43" t="n">
        <v>1320</v>
      </c>
      <c r="K17" s="41" t="inlineStr">
        <is>
          <t>3/2/1/1</t>
        </is>
      </c>
      <c r="L17" s="43" t="n">
        <v>6.5</v>
      </c>
      <c r="M17" s="43" t="n">
        <v>26</v>
      </c>
      <c r="N17" s="43" t="n">
        <v>143</v>
      </c>
      <c r="O17" s="43" t="n">
        <v>40</v>
      </c>
      <c r="P17" s="43" t="n">
        <v>12</v>
      </c>
      <c r="Q17" s="43" t="n">
        <v>54</v>
      </c>
      <c r="R17" s="51">
        <f>IFERROR(O17/I17,"")</f>
        <v/>
      </c>
      <c r="S17" s="51">
        <f>IFERROR(J17/I17,"")</f>
        <v/>
      </c>
      <c r="T17" s="43" t="n">
        <v>587</v>
      </c>
      <c r="U17" s="43" t="n">
        <v>133</v>
      </c>
      <c r="V17" s="43" t="n">
        <v>53</v>
      </c>
      <c r="W17" s="43" t="n">
        <v>2</v>
      </c>
      <c r="X17" s="43" t="n">
        <v>105</v>
      </c>
      <c r="Y17" s="41" t="inlineStr">
        <is>
          <t>48%</t>
        </is>
      </c>
      <c r="Z17" s="43" t="n">
        <v>50</v>
      </c>
      <c r="AA17" s="43" t="n">
        <v>0.66</v>
      </c>
      <c r="AB17" s="41" t="inlineStr">
        <is>
          <t>M67 Zippo, TO-55 · Flame Tank (Command &amp; Conquer) — ước đoán: xe tăng phun lửa, thùng nhiên liệu bọc giáp sau tháp</t>
        </is>
      </c>
      <c r="AC17" s="41" t="inlineStr">
        <is>
          <t>giáp 0, giáp 1, giáp 2</t>
        </is>
      </c>
      <c r="AD17" s="41" t="inlineStr">
        <is>
          <t>nổ mạnh, đánh nóc, nổ lõm, pháo xe tăng</t>
        </is>
      </c>
      <c r="AE17" s="41" t="inlineStr">
        <is>
          <t>súng phun lửa phải áp sát mới bắn; luồng lửa lan ra cả nhóm, cực mạnh với xe nhẹ và lô cốt.</t>
        </is>
      </c>
      <c r="AF17" s="41" t="inlineStr">
        <is>
          <t>Vừa chạy vừa bắn; Xe tăng rùa</t>
        </is>
      </c>
      <c r="AG17" s="41" t="inlineStr">
        <is>
          <t>flamethrower [Lửa, xuyên 1, lửa nổ lan] 24/phát · hồi 0.25 s · tầm 13 m · Mặt đất
PKT / M240 7.62 mm [Động năng, xuyên 0, đạn súng] 6/phát · băng 41 viên, 12 viên/s, thay 1.59 s · tầm 20 m · Tất cả</t>
        </is>
      </c>
      <c r="AH17" s="41" t="inlineStr">
        <is>
          <t>• Vũ khí: súng phun lửa: sát thương −10% lên xe nhẹ; giữ giá 5 CP</t>
        </is>
      </c>
      <c r="AI17" s="41" t="inlineStr">
        <is>
          <t>• Vũ khí: súng phun lửa: Mạnh nhất theo CP khi đánh gần xe nhẹ; nhưng yếu với tăng và công sự nên giữ giá.</t>
        </is>
      </c>
      <c r="AJ17" s="49" t="inlineStr">
        <is>
          <t>Thấp</t>
        </is>
      </c>
    </row>
    <row r="18" ht="53.25" customHeight="1" s="32">
      <c r="A18" s="39"/>
      <c r="B18" s="39"/>
      <c r="C18" s="39"/>
      <c r="D18" s="39"/>
      <c r="E18" s="39"/>
      <c r="F18" s="39"/>
      <c r="G18" s="39"/>
      <c r="H18" s="39"/>
      <c r="I18" s="42"/>
      <c r="J18" s="42"/>
      <c r="K18" s="39"/>
      <c r="L18" s="42"/>
      <c r="M18" s="42"/>
      <c r="N18" s="42"/>
      <c r="O18" s="42"/>
      <c r="P18" s="42"/>
      <c r="Q18" s="42"/>
      <c r="R18" s="50"/>
      <c r="S18" s="50"/>
      <c r="T18" s="42"/>
      <c r="U18" s="42"/>
      <c r="V18" s="42"/>
      <c r="W18" s="42"/>
      <c r="X18" s="42"/>
      <c r="Y18" s="39"/>
      <c r="Z18" s="42"/>
      <c r="AA18" s="42"/>
      <c r="AB18" s="39"/>
      <c r="AC18" s="39"/>
      <c r="AD18" s="39"/>
      <c r="AE18" s="39"/>
      <c r="AF18" s="39"/>
      <c r="AG18" s="39"/>
      <c r="AH18" s="39"/>
      <c r="AI18" s="39"/>
      <c r="AJ18" s="49"/>
    </row>
    <row r="19" ht="105.75" customHeight="1" s="32">
      <c r="A19" s="41"/>
      <c r="B19" s="41"/>
      <c r="C19" s="41"/>
      <c r="D19" s="41"/>
      <c r="E19" s="41"/>
      <c r="F19" s="41"/>
      <c r="G19" s="41"/>
      <c r="H19" s="41"/>
      <c r="I19" s="43"/>
      <c r="J19" s="43"/>
      <c r="K19" s="41"/>
      <c r="L19" s="43"/>
      <c r="M19" s="43"/>
      <c r="N19" s="43"/>
      <c r="O19" s="43"/>
      <c r="P19" s="43"/>
      <c r="Q19" s="43"/>
      <c r="R19" s="51"/>
      <c r="S19" s="51"/>
      <c r="T19" s="43"/>
      <c r="U19" s="43"/>
      <c r="V19" s="43"/>
      <c r="W19" s="43"/>
      <c r="X19" s="43"/>
      <c r="Y19" s="41"/>
      <c r="Z19" s="43"/>
      <c r="AA19" s="43"/>
      <c r="AB19" s="41"/>
      <c r="AC19" s="41"/>
      <c r="AD19" s="41"/>
      <c r="AE19" s="41"/>
      <c r="AF19" s="41"/>
      <c r="AG19" s="41"/>
      <c r="AH19" s="41"/>
      <c r="AI19" s="41"/>
      <c r="AJ19" s="48"/>
    </row>
    <row r="20" ht="42.75" customHeight="1" s="32">
      <c r="A20" s="39" t="inlineStr">
        <is>
          <t>rocket_technical</t>
        </is>
      </c>
      <c r="B20" s="39" t="inlineStr">
        <is>
          <t>Bán tải rốc-két</t>
        </is>
      </c>
      <c r="C20" s="39" t="inlineStr">
        <is>
          <t>Pháo binh</t>
        </is>
      </c>
      <c r="D20" s="39" t="inlineStr">
        <is>
          <t>dừng lại rồi phóng một loạt tám rốc-két khá tản mát tới 48 m; hết sáu loạt phải đứng yên nạp lại. Có thêm súng máy. phá tháp canh và cụm địch với giá rẻ; chết trước gần như mọi khẩu súng với tới nó.</t>
        </is>
      </c>
      <c r="E20" s="39" t="inlineStr">
        <is>
          <t>Bán tải dân sự, giàn rốc-két 12 ống nhỏ trên thùng sau. Từ trên xuống: lưới ống tròn nhỏ ở thùng sau. Kích thước đề xuất khoảng 4.2 × 1.4 × 1.6 m (dài × rộng × cao; 0,8 × mẫu thật Toyota Hilux + Type 63). Vũ khí nhìn thấy: Type 63 107 mm, M2 Browning 12.7 mm. Vạch màu phe trên nóc và hai hông; không dùng phù hiệu, cờ hay logo quốc gia thật.</t>
        </is>
      </c>
      <c r="F20" s="39" t="inlineStr">
        <is>
          <t>thắng màn mở khóa trong chiến dịch, hoặc mua sớm 750 xu</t>
        </is>
      </c>
      <c r="G20" s="39" t="inlineStr">
        <is>
          <t>Chương 1</t>
        </is>
      </c>
      <c r="H20" s="39" t="inlineStr">
        <is>
          <t>300 xu</t>
        </is>
      </c>
      <c r="I20" s="42" t="n">
        <v>3</v>
      </c>
      <c r="J20" s="42" t="n">
        <v>506</v>
      </c>
      <c r="K20" s="39" t="inlineStr">
        <is>
          <t>cấp 0 (Không giáp)</t>
        </is>
      </c>
      <c r="L20" s="42" t="n">
        <v>13</v>
      </c>
      <c r="M20" s="42" t="n">
        <v>30</v>
      </c>
      <c r="N20" s="42" t="n">
        <v>71</v>
      </c>
      <c r="O20" s="42" t="n">
        <v>38</v>
      </c>
      <c r="P20" s="42" t="n">
        <v>16</v>
      </c>
      <c r="Q20" s="42" t="n">
        <v>35</v>
      </c>
      <c r="R20" s="50">
        <f>IFERROR(O20/I20,"")</f>
        <v/>
      </c>
      <c r="S20" s="50">
        <f>IFERROR(J20/I20,"")</f>
        <v/>
      </c>
      <c r="T20" s="42" t="n">
        <v>204</v>
      </c>
      <c r="U20" s="42" t="n">
        <v>184</v>
      </c>
      <c r="V20" s="42" t="n">
        <v>322</v>
      </c>
      <c r="W20" s="42" t="n">
        <v>2</v>
      </c>
      <c r="X20" s="42" t="n">
        <v>38</v>
      </c>
      <c r="Y20" s="39" t="inlineStr">
        <is>
          <t>48%</t>
        </is>
      </c>
      <c r="Z20" s="42" t="n">
        <v>51</v>
      </c>
      <c r="AA20" s="42" t="n">
        <v>0.5600000000000001</v>
      </c>
      <c r="AB20" s="39" t="inlineStr">
        <is>
          <t>Toyota Hilux 'technical', Type 63 107 mm — Xe bán tải dân sự gắn giàn rốc-két 12 ống</t>
        </is>
      </c>
      <c r="AC20" s="39" t="inlineStr">
        <is>
          <t>giáp 0, giáp 1, giáp 2, công trình</t>
        </is>
      </c>
      <c r="AD20" s="39" t="inlineStr">
        <is>
          <t>súng bộ binh, súng máy hạng nặng, lửa, mảnh, pháo tự động, nổ mạnh, năng lượng, nổ lõm, pháo xe tăng</t>
        </is>
      </c>
      <c r="AE20" s="39" t="inlineStr">
        <is>
          <t>dừng lại rồi phóng một loạt tám rốc-két khá tản mát tới 48 m; hết sáu loạt phải đứng yên nạp lại. Có thêm súng máy.</t>
        </is>
      </c>
      <c r="AF20" s="39" t="inlineStr">
        <is>
          <t>Dừng lại mới bắn, từ 12-48 m; cần ta nhìn thấy mục tiêu (tự nó hoặc quân bạn); Hết đạn thì nạp lại tại chỗ, hoặc tới Xe tiếp đạn hay về nhà khi nhanh hơn; Xe súng cối</t>
        </is>
      </c>
      <c r="AG20" s="39" t="inlineStr">
        <is>
          <t>Type 63 107 mm [Nổ mạnh, xuyên 2, rốc-két đánh nóc] nổ lan/phát · 50 · tầm loạt 5, hồi 5.1 s · 48 m (tối thiểu 12)
M2 Browning 12.7 mm [Động năng, xuyên 1, đạn súng (cỡ lớn)] 10/phát · băng 28 viên, 9 viên/s, thay 1.94 s · tầm 13 m · Tất cả</t>
        </is>
      </c>
      <c r="AH20" s="39" t="inlineStr">
        <is>
          <t>Giữ.</t>
        </is>
      </c>
      <c r="AI20" s="39" t="inlineStr">
        <is>
          <t>Giá trị thực chiến nằm trong khoảng mục tiêu (hiệu quả 0.56 × trung vị vai trò).</t>
        </is>
      </c>
      <c r="AJ20" s="49" t="inlineStr">
        <is>
          <t>Thấp</t>
        </is>
      </c>
    </row>
    <row r="21" ht="42.75" customHeight="1" s="32">
      <c r="A21" s="41" t="inlineStr">
        <is>
          <t>mortar_carrier</t>
        </is>
      </c>
      <c r="B21" s="41" t="inlineStr">
        <is>
          <t>Xe súng cối</t>
        </is>
      </c>
      <c r="C21" s="41" t="inlineStr">
        <is>
          <t>Pháo binh</t>
        </is>
      </c>
      <c r="D21" s="41" t="inlineStr">
        <is>
          <t>dừng lại rồi bắn đạn cối 120 mm nổ mạnh qua tường và nhà; tầm nhìn ngắn nên bắn vào mục tiêu đồng đội phát hiện. tốt với tháp canh, xe diệt tăng và thiết giáp đứng yên; bó tay khi bị áp sát.</t>
        </is>
      </c>
      <c r="E21" s="41" t="inlineStr">
        <is>
          <t>Khung M113, cửa nóc sau mở rộng, cối 120 mm chĩa lên qua cửa. Từ trên xuống: lỗ cửa nóc lớn và nòng cối. Kích thước đề xuất khoảng 3.9 × 2.2 × 2.0 m (dài × rộng × cao; 0,8 × mẫu thật M1064 (M113)). Vũ khí nhìn thấy: 2B11 120 mm, M2 Browning 12.7 mm. Vạch màu phe trên nóc và hai hông; không dùng phù hiệu, cờ hay logo quốc gia thật.</t>
        </is>
      </c>
      <c r="F21" s="41" t="inlineStr">
        <is>
          <t>thắng màn mở khóa trong chiến dịch, hoặc mua sớm 900 xu</t>
        </is>
      </c>
      <c r="G21" s="41" t="inlineStr">
        <is>
          <t>Chương 1</t>
        </is>
      </c>
      <c r="H21" s="41" t="inlineStr">
        <is>
          <t>300 xu</t>
        </is>
      </c>
      <c r="I21" s="43" t="n">
        <v>4</v>
      </c>
      <c r="J21" s="43" t="n">
        <v>704</v>
      </c>
      <c r="K21" s="41" t="inlineStr">
        <is>
          <t>1/0/0/0</t>
        </is>
      </c>
      <c r="L21" s="43" t="n">
        <v>8</v>
      </c>
      <c r="M21" s="43" t="n">
        <v>26</v>
      </c>
      <c r="N21" s="43" t="n">
        <v>65</v>
      </c>
      <c r="O21" s="43" t="n">
        <v>33</v>
      </c>
      <c r="P21" s="43" t="n">
        <v>16</v>
      </c>
      <c r="Q21" s="43" t="n">
        <v>41</v>
      </c>
      <c r="R21" s="51">
        <f>IFERROR(O21/I21,"")</f>
        <v/>
      </c>
      <c r="S21" s="51">
        <f>IFERROR(J21/I21,"")</f>
        <v/>
      </c>
      <c r="T21" s="43" t="n">
        <v>280</v>
      </c>
      <c r="U21" s="43" t="n">
        <v>307</v>
      </c>
      <c r="V21" s="43" t="n">
        <v>342</v>
      </c>
      <c r="W21" s="43" t="n">
        <v>4</v>
      </c>
      <c r="X21" s="43" t="n">
        <v>206</v>
      </c>
      <c r="Y21" s="41" t="inlineStr">
        <is>
          <t>78%</t>
        </is>
      </c>
      <c r="Z21" s="43" t="n">
        <v>77</v>
      </c>
      <c r="AA21" s="43" t="n">
        <v>0.72</v>
      </c>
      <c r="AB21" s="41" t="inlineStr">
        <is>
          <t>M1064 (M113 mang cối 120 mm), 2B11 120 mm — Xe bọc thép M113 bắn cối qua cửa nóc</t>
        </is>
      </c>
      <c r="AC21" s="41" t="inlineStr">
        <is>
          <t>giáp 0, giáp 1, giáp 2, công trình</t>
        </is>
      </c>
      <c r="AD21" s="41" t="inlineStr">
        <is>
          <t>súng máy hạng nặng, lửa, pháo tự động, nổ mạnh, năng lượng, đánh nóc, nổ lõm, pháo xe tăng</t>
        </is>
      </c>
      <c r="AE21" s="41" t="inlineStr">
        <is>
          <t>dừng lại rồi bắn đạn cối 120 mm nổ mạnh qua tường và nhà; tầm nhìn ngắn nên bắn vào mục tiêu đồng đội phát hiện.</t>
        </is>
      </c>
      <c r="AF21" s="41" t="inlineStr">
        <is>
          <t>Dừng lại mới bắn, từ 10-55 m; cần ta nhìn thấy mục tiêu (tự nó hoặc quân bạn); Hết đạn thì nạp lại tại chỗ, hoặc tới Xe tiếp đạn hay về nhà khi nhanh hơn; Pháo tự hành</t>
        </is>
      </c>
      <c r="AG21" s="41" t="inlineStr">
        <is>
          <t>2B11 120 mm [Nổ mạnh, xuyên 2, đạn pháo nổ mạnh (cối) đánh nóc] nổ lan/phát · 150 · tầm hồi 5.827 s · 55 m (tối thiểu 10)
M2 Browning 12.7 mm [Động năng, xuyên 1, đạn súng (cỡ lớn)] 10/phát · băng 28 viên, 9 viên/s, thay 2.02 s · tầm 18 m · Tất cả</t>
        </is>
      </c>
      <c r="AH21" s="41" t="inlineStr">
        <is>
          <t>• Vũ khí: cối 120 mm: 0,2 phát/s</t>
        </is>
      </c>
      <c r="AI21" s="41" t="inlineStr">
        <is>
          <t>• Vũ khí: cối 120 mm: Cối 120 bắn nhanh ngoài đời; cảm giác "mưa cối".</t>
        </is>
      </c>
      <c r="AJ21" s="49" t="inlineStr">
        <is>
          <t>Thấp</t>
        </is>
      </c>
    </row>
    <row r="22" ht="53.25" customHeight="1" s="32">
      <c r="A22" s="39" t="inlineStr">
        <is>
          <t>artillery</t>
        </is>
      </c>
      <c r="B22" s="39" t="inlineStr">
        <is>
          <t>Pháo tự hành</t>
        </is>
      </c>
      <c r="C22" s="39" t="inlineStr">
        <is>
          <t>Pháo binh</t>
        </is>
      </c>
      <c r="D22" s="39" t="inlineStr">
        <is>
          <t>dừng lại, nã ba quả đạn 155 mm nổ mạnh cầu vồng qua vật cản rồi dời 15–20 m mới bắn tiếp, nên đạn phản pháo rơi vào chỗ phá công sự, tăng hạng nặng và xe diệt tăng từ xa, bắn mục tiêu bị đánh dấu (chỉ thị la-de, radar phản pháo, UAV quét) gần như</t>
        </is>
      </c>
      <c r="E22" s="39" t="inlineStr">
        <is>
          <t>Lựu pháo tự hành xích (M109A7): tháp lớn vuông phía sau, nòng 155 mm rất dài (hơn nửa chiều dài xe), giá đỡ nòng ở mũi. Từ trên xuống: tháp to, nòng dài vượt mũi xe. Kích thước đề xuất khoảng 7.8 × 3.1 × 2.9 m (dài × rộng × cao; 0,8 × mẫu thật M109A7 (đề xuất đổi từ CAESAR)). Vũ khí nhìn thấy: M284 155 mm, M2 Browning 12.7 mm. Vạch màu phe trên nóc và hai hông; không dùng phù hiệu, cờ hay logo quốc gia thật.</t>
        </is>
      </c>
      <c r="F22" s="39" t="inlineStr">
        <is>
          <t>có sẵn từ đầu</t>
        </is>
      </c>
      <c r="G22" s="39" t="inlineStr">
        <is>
          <t>Chương 2</t>
        </is>
      </c>
      <c r="H22" s="39" t="inlineStr">
        <is>
          <t>300 xu</t>
        </is>
      </c>
      <c r="I22" s="42" t="n">
        <v>6</v>
      </c>
      <c r="J22" s="42" t="n">
        <v>660</v>
      </c>
      <c r="K22" s="39" t="inlineStr">
        <is>
          <t>1/0/0/0</t>
        </is>
      </c>
      <c r="L22" s="42" t="n">
        <v>7</v>
      </c>
      <c r="M22" s="42" t="n">
        <v>30</v>
      </c>
      <c r="N22" s="42" t="n">
        <v>72</v>
      </c>
      <c r="O22" s="42" t="n">
        <v>40</v>
      </c>
      <c r="P22" s="42" t="n">
        <v>16</v>
      </c>
      <c r="Q22" s="42" t="n">
        <v>0</v>
      </c>
      <c r="R22" s="50">
        <f>IFERROR(O22/I22,"")</f>
        <v/>
      </c>
      <c r="S22" s="50">
        <f>IFERROR(J22/I22,"")</f>
        <v/>
      </c>
      <c r="T22" s="42" t="n">
        <v>269</v>
      </c>
      <c r="U22" s="42" t="n">
        <v>265</v>
      </c>
      <c r="V22" s="42" t="n">
        <v>397</v>
      </c>
      <c r="W22" s="42" t="n">
        <v>0</v>
      </c>
      <c r="X22" s="42" t="n">
        <v>271</v>
      </c>
      <c r="Y22" s="39" t="inlineStr">
        <is>
          <t>84%</t>
        </is>
      </c>
      <c r="Z22" s="42" t="n">
        <v>90</v>
      </c>
      <c r="AA22" s="42" t="n">
        <v>0.74</v>
      </c>
      <c r="AB22" s="39" t="inlineStr">
        <is>
          <t>CAESAR 155 mm, M284 155 mm (M109A6/A7) — Lựu pháo tự hành bánh lốp 6x6, nòng 155 mm đặt sau sàn xe</t>
        </is>
      </c>
      <c r="AC22" s="39" t="inlineStr">
        <is>
          <t>giáp 0, giáp 1, giáp 2, giáp 3, công trình</t>
        </is>
      </c>
      <c r="AD22" s="39" t="inlineStr">
        <is>
          <t>súng máy hạng nặng, lửa, pháo tự động, nổ mạnh, năng lượng, đánh nóc, nổ lõm, pháo xe tăng</t>
        </is>
      </c>
      <c r="AE22" s="39" t="inlineStr">
        <is>
          <t>dừng lại, nã ba quả đạn 155 mm nổ mạnh cầu vồng qua vật cản rồi dời 15–20 m mới bắn tiếp, nên đạn phản pháo rơi vào chỗ</t>
        </is>
      </c>
      <c r="AF22" s="39" t="inlineStr">
        <is>
          <t>Dừng lại mới bắn, từ 25-90 m; cần ta nhìn thấy mục tiêu (tự nó hoặc quân bạn); Bắn 3 loạt rồi dời vị trí 15-20 m; Hết đạn thì nạp lại tại chỗ, hoặc tới Xe tiếp đạn hay về nhà khi nhanh hơn; Pháo phản lực</t>
        </is>
      </c>
      <c r="AG22" s="39" t="inlineStr">
        <is>
          <t>M284 155 mm [Nổ mạnh, xuyên 3, đạn pháo nổ mạnh đánh nóc] nổ lan/phát · 320 · tầm hồi 10.23 s · 90 m (tối thiểu 25)
M2 Browning 12.7 mm [Động năng, xuyên 1, đạn súng (cỡ lớn)] 10/phát · băng 28 viên, 9 viên/s, thay 2.02 s · tầm 15 m · Tất cả</t>
        </is>
      </c>
      <c r="AH22" s="39" t="inlineStr">
        <is>
          <t>• Vũ khí: lựu pháo 155 mm: 0,14 phát/s · bắn 3 loạt rồi dời vị trí (giữ)
• Model và tham khảo: Đổi model sang M109A7 xích; giáp trước 1→2; tốc độ 7→6</t>
        </is>
      </c>
      <c r="AI22" s="39" t="inlineStr">
        <is>
          <t>• Vũ khí: lựu pháo 155 mm: Pháo tự hành đang kém hẳn pháo phản lực 6 CP (331 so với 510 theo vai trò).
• Model và tham khảo: Để CAESAR cho thẻ "Pháo bánh lốp bắn rồi chạy" sau này, không vướng danh sách giữ lại.</t>
        </is>
      </c>
      <c r="AJ22" s="47" t="inlineStr">
        <is>
          <t>Cao</t>
        </is>
      </c>
    </row>
    <row r="23" ht="53.25" customHeight="1" s="32">
      <c r="A23" s="41" t="inlineStr">
        <is>
          <t>mlrs</t>
        </is>
      </c>
      <c r="B23" s="41" t="inlineStr">
        <is>
          <t>Pháo phản lực</t>
        </is>
      </c>
      <c r="C23" s="41" t="inlineStr">
        <is>
          <t>Pháo binh</t>
        </is>
      </c>
      <c r="D23" s="41" t="inlineStr">
        <is>
          <t>dừng lại rồi phóng một loạt sáu rốc-két chính xác từ tới 110 m; sau bốn loạt phải đứng yên nạp đạn. phá công sự, tăng hạng nặng và trận địa pháo từ ngoài tầm với; bất kỳ xe nhanh nào áp sát cũng hạ được nó.</t>
        </is>
      </c>
      <c r="E23" s="41" t="inlineStr">
        <is>
          <t>Xe tải 6 bánh, khối 6 ống phóng hình hộp lớn phía sau có thể nâng xoay. Từ trên xuống: hộp phóng chữ nhật chiếm nửa sau. Kích thước đề xuất khoảng 5.6 × 1.9 × 2.6 m (dài × rộng × cao; 0,8 × mẫu thật M142 HIMARS). Vũ khí nhìn thấy: M31 GMLRS 227 mm, M2 Browning 12.7 mm. Vạch màu phe trên nóc và hai hông; không dùng phù hiệu, cờ hay logo quốc gia thật.</t>
        </is>
      </c>
      <c r="F23" s="41" t="inlineStr">
        <is>
          <t>thắng màn mở khóa trong chiến dịch, hoặc mua sớm 1.200 xu</t>
        </is>
      </c>
      <c r="G23" s="41" t="inlineStr">
        <is>
          <t>Chương 4</t>
        </is>
      </c>
      <c r="H23" s="41" t="inlineStr">
        <is>
          <t>800 xu</t>
        </is>
      </c>
      <c r="I23" s="43" t="n">
        <v>6</v>
      </c>
      <c r="J23" s="43" t="n">
        <v>704</v>
      </c>
      <c r="K23" s="41" t="inlineStr">
        <is>
          <t>1/0/0/0</t>
        </is>
      </c>
      <c r="L23" s="43" t="n">
        <v>6</v>
      </c>
      <c r="M23" s="43" t="n">
        <v>30</v>
      </c>
      <c r="N23" s="43" t="n">
        <v>79</v>
      </c>
      <c r="O23" s="43" t="n">
        <v>47</v>
      </c>
      <c r="P23" s="43" t="n">
        <v>16</v>
      </c>
      <c r="Q23" s="43" t="n">
        <v>8</v>
      </c>
      <c r="R23" s="51">
        <f>IFERROR(O23/I23,"")</f>
        <v/>
      </c>
      <c r="S23" s="51">
        <f>IFERROR(J23/I23,"")</f>
        <v/>
      </c>
      <c r="T23" s="43" t="n">
        <v>267</v>
      </c>
      <c r="U23" s="43" t="n">
        <v>452</v>
      </c>
      <c r="V23" s="43" t="n">
        <v>568</v>
      </c>
      <c r="W23" s="43" t="n">
        <v>0</v>
      </c>
      <c r="X23" s="43" t="n">
        <v>426</v>
      </c>
      <c r="Y23" s="41" t="inlineStr">
        <is>
          <t>82%</t>
        </is>
      </c>
      <c r="Z23" s="43" t="n">
        <v>90</v>
      </c>
      <c r="AA23" s="43" t="n">
        <v>1.14</v>
      </c>
      <c r="AB23" s="41" t="inlineStr">
        <is>
          <t>M142 HIMARS, M270 MLRS, M31 GMLRS 227 mm — Xe phóng rốc-két, nâng khối ống lên để bắn</t>
        </is>
      </c>
      <c r="AC23" s="41" t="inlineStr">
        <is>
          <t>giáp 0, giáp 1, giáp 2, giáp 3, công trình</t>
        </is>
      </c>
      <c r="AD23" s="41" t="inlineStr">
        <is>
          <t>súng máy hạng nặng, lửa, pháo tự động, nổ mạnh, năng lượng, đánh nóc, nổ lõm, pháo xe tăng</t>
        </is>
      </c>
      <c r="AE23" s="41" t="inlineStr">
        <is>
          <t>dừng lại rồi phóng một loạt sáu rốc-két chính xác từ tới 110 m; sau bốn loạt phải đứng yên nạp đạn.</t>
        </is>
      </c>
      <c r="AF23" s="41" t="inlineStr">
        <is>
          <t>Dừng lại mới bắn, từ 20-110 m; cần ta nhìn thấy mục tiêu (tự nó hoặc quân bạn); Hết đạn thì nạp lại tại chỗ, hoặc tới Xe tiếp đạn hay về nhà khi nhanh hơn; Xe phóng Shahed</t>
        </is>
      </c>
      <c r="AG23" s="41" t="inlineStr">
        <is>
          <t>M31 GMLRS 227 mm [Nổ mạnh, xuyên 3, rốc-két (cỡ lớn) đánh nóc] nổ lan/phát · 100 · tầm loạt 5, hồi 9.944 s · 110 m (tối thiểu 20)
M2 Browning 12.7 mm [Động năng, xuyên 1, đạn súng (cỡ lớn)] 10/phát · băng 28 viên, 9 viên/s, thay 2.02 s · tầm 15 m · Tất cả</t>
        </is>
      </c>
      <c r="AH23" s="41" t="inlineStr">
        <is>
          <t>• Hành vi: Bắn xong một loạt thì dời vị trí 15–20 m (như Pháo tự hành)
• Giá: 7 CP</t>
        </is>
      </c>
      <c r="AI23" s="41" t="inlineStr">
        <is>
          <t>• Hành vi: HIMARS nổi tiếng với chiến thuật bắn rồi chạy.
• Giá: Mạnh hơn pháo tự hành cùng giá; HIMARS ngoài đời đắt hơn lựu pháo.</t>
        </is>
      </c>
      <c r="AJ23" s="48" t="inlineStr">
        <is>
          <t>Trung</t>
        </is>
      </c>
    </row>
    <row r="24" ht="42.75" customHeight="1" s="32">
      <c r="A24" s="39" t="inlineStr">
        <is>
          <t>shahed_truck</t>
        </is>
      </c>
      <c r="B24" s="39" t="inlineStr">
        <is>
          <t>Xe phóng Shahed</t>
        </is>
      </c>
      <c r="C24" s="39" t="inlineStr">
        <is>
          <t>Pháo binh</t>
        </is>
      </c>
      <c r="D24" s="39" t="inlineStr">
        <is>
          <t>dừng lại rồi phóng lần lượt từng chiếc drone cảm tử bay chậm xa tới 150 m, vài giây một chiếc, chuyên đánh công trình. phá tháp canh, ụ pháo và pháo binh đứng yên ở xa; APS và la-de phòng không bắn hạ drone chậm, xe gây nhiễu làm chúng lạc.</t>
        </is>
      </c>
      <c r="E24" s="39" t="inlineStr">
        <is>
          <t>Xe tải mang giàn 5 ray nghiêng, mỗi ray một drone cánh tam giác trắng. Từ trên xuống: 5 tam giác xếp cạnh nhau. Kích thước đề xuất khoảng 6.4 × 2.0 × 2.8 m (dài × rộng × cao; 0,8 × mẫu thật xe tải phóng Shahed). Vũ khí nhìn thấy: Shahed-136 (50 kg), M2 Browning 12.7 mm. Vạch màu phe trên nóc và hai hông; không dùng phù hiệu, cờ hay logo quốc gia thật.</t>
        </is>
      </c>
      <c r="F24" s="39" t="inlineStr">
        <is>
          <t>thắng màn mở khóa trong chiến dịch, hoặc mua sớm 1.500 xu</t>
        </is>
      </c>
      <c r="G24" s="39" t="inlineStr">
        <is>
          <t>Chương 5</t>
        </is>
      </c>
      <c r="H24" s="39" t="inlineStr">
        <is>
          <t>800 xu</t>
        </is>
      </c>
      <c r="I24" s="42" t="n">
        <v>8</v>
      </c>
      <c r="J24" s="42" t="n">
        <v>880</v>
      </c>
      <c r="K24" s="39" t="inlineStr">
        <is>
          <t>1/0/0/0</t>
        </is>
      </c>
      <c r="L24" s="42" t="n">
        <v>8</v>
      </c>
      <c r="M24" s="42" t="n">
        <v>30</v>
      </c>
      <c r="N24" s="42" t="n">
        <v>79</v>
      </c>
      <c r="O24" s="42" t="n">
        <v>47</v>
      </c>
      <c r="P24" s="42" t="n">
        <v>16</v>
      </c>
      <c r="Q24" s="42" t="n">
        <v>67</v>
      </c>
      <c r="R24" s="50">
        <f>IFERROR(O24/I24,"")</f>
        <v/>
      </c>
      <c r="S24" s="50">
        <f>IFERROR(J24/I24,"")</f>
        <v/>
      </c>
      <c r="T24" s="42" t="n">
        <v>178</v>
      </c>
      <c r="U24" s="42" t="n">
        <v>427</v>
      </c>
      <c r="V24" s="42" t="n">
        <v>516</v>
      </c>
      <c r="W24" s="42" t="n">
        <v>0</v>
      </c>
      <c r="X24" s="42" t="n">
        <v>336</v>
      </c>
      <c r="Y24" s="39" t="inlineStr">
        <is>
          <t>83%</t>
        </is>
      </c>
      <c r="Z24" s="42" t="n">
        <v>90</v>
      </c>
      <c r="AA24" s="42" t="n">
        <v>1.05</v>
      </c>
      <c r="AB24" s="39" t="inlineStr">
        <is>
          <t>Shahed-136 (Geran-2) — Xe tải phóng drone cánh tam giác Shahed trên giàn 5 ray</t>
        </is>
      </c>
      <c r="AC24" s="39" t="inlineStr">
        <is>
          <t>giáp 0, giáp 1, giáp 2, giáp 3, công trình</t>
        </is>
      </c>
      <c r="AD24" s="39" t="inlineStr">
        <is>
          <t>súng máy hạng nặng, lửa, pháo tự động, nổ mạnh, năng lượng, đánh nóc, nổ lõm, pháo xe tăng</t>
        </is>
      </c>
      <c r="AE24" s="39" t="inlineStr">
        <is>
          <t>dừng lại rồi phóng lần lượt từng chiếc drone cảm tử bay chậm xa tới 150 m, vài giây một chiếc, chuyên đánh công trình.</t>
        </is>
      </c>
      <c r="AF24" s="39" t="inlineStr">
        <is>
          <t>Dừng lại mới bắn, từ 20-150 m; cần ta nhìn thấy mục tiêu (tự nó hoặc quân bạn); Hết đạn thì nạp lại tại chỗ, hoặc tới Xe tiếp đạn hay về nhà khi nhanh hơn; Pháo phản lực nhiệt áp</t>
        </is>
      </c>
      <c r="AG24" s="39" t="inlineStr">
        <is>
          <t>Shahed-136 (50 kg) [Nổ mạnh, xuyên 3, drone (Shahed) đánh nóc] dẫn đường/phát · nổ lan · tầm 344 · hồi 8.5 s
M2 Browning 12.7 mm [Động năng, xuyên 1, đạn súng (cỡ lớn)] 10/phát · băng 28 viên, 9 viên/s, thay 2.02 s · tầm 15 m · Tất cả</t>
        </is>
      </c>
      <c r="AH24" s="39" t="inlineStr">
        <is>
          <t>• Vũ khí: Shahed-136: nổ lan 4,5 m</t>
        </is>
      </c>
      <c r="AI24" s="39" t="inlineStr">
        <is>
          <t>• Vũ khí: Shahed-136: Đầu nổ 40–50 kg phải nổ nhỏ hơn bom SDB và FAB-250.</t>
        </is>
      </c>
      <c r="AJ24" s="49" t="inlineStr">
        <is>
          <t>Thấp</t>
        </is>
      </c>
    </row>
    <row r="25" ht="42.75" customHeight="1" s="32">
      <c r="A25" s="41" t="inlineStr">
        <is>
          <t>thermobaric_launcher</t>
        </is>
      </c>
      <c r="B25" s="41" t="inlineStr">
        <is>
          <t>Pháo phản lực nhiệt áp</t>
        </is>
      </c>
      <c r="C25" s="41" t="inlineStr">
        <is>
          <t>Pháo binh</t>
        </is>
      </c>
      <c r="D25" s="41" t="inlineStr">
        <is>
          <t>dừng lại rồi phóng 12 rốc-két nhiệt áp phủ kín một vùng cách 12–38 m; bốn loạt rồi phải đứng yên nạp lại. quét sạch cụm địch, tháp canh và mọi thứ đứng dồn; phải tiến khá gần, dễ bị máy bay bắt.</t>
        </is>
      </c>
      <c r="E25" s="41" t="inlineStr">
        <is>
          <t>Khung T-72, khối 24 ống phóng lớn hình hộp đặt trên bệ nâng giữa thân. Từ trên xuống: khối ống vuông to. Kích thước đề xuất khoảng 7.6 × 2.9 × 1.8 m (dài × rộng × cao; 0,8 × mẫu thật TOS-1A). Vũ khí nhìn thấy: TOS-1A 220 mm thermobaric, M2 Browning 12.7 mm. Vạch màu phe trên nóc và hai hông; không dùng phù hiệu, cờ hay logo quốc gia thật.</t>
        </is>
      </c>
      <c r="F25" s="41" t="inlineStr">
        <is>
          <t>thắng màn mở khóa trong chiến dịch, hoặc mua sớm 1.500 xu</t>
        </is>
      </c>
      <c r="G25" s="41" t="inlineStr">
        <is>
          <t>Chương 7</t>
        </is>
      </c>
      <c r="H25" s="41" t="inlineStr">
        <is>
          <t>1.500 xu</t>
        </is>
      </c>
      <c r="I25" s="43" t="n">
        <v>8</v>
      </c>
      <c r="J25" s="43" t="n">
        <v>1980</v>
      </c>
      <c r="K25" s="41" t="inlineStr">
        <is>
          <t>3/2/1/1</t>
        </is>
      </c>
      <c r="L25" s="43" t="n">
        <v>5.5</v>
      </c>
      <c r="M25" s="43" t="n">
        <v>30</v>
      </c>
      <c r="N25" s="43" t="n">
        <v>93</v>
      </c>
      <c r="O25" s="43" t="n">
        <v>61</v>
      </c>
      <c r="P25" s="43" t="n">
        <v>16</v>
      </c>
      <c r="Q25" s="43" t="n">
        <v>111</v>
      </c>
      <c r="R25" s="51">
        <f>IFERROR(O25/I25,"")</f>
        <v/>
      </c>
      <c r="S25" s="51">
        <f>IFERROR(J25/I25,"")</f>
        <v/>
      </c>
      <c r="T25" s="43" t="n">
        <v>349</v>
      </c>
      <c r="U25" s="43" t="n">
        <v>299</v>
      </c>
      <c r="V25" s="43" t="n">
        <v>745</v>
      </c>
      <c r="W25" s="43" t="n">
        <v>3</v>
      </c>
      <c r="X25" s="43" t="n">
        <v>223</v>
      </c>
      <c r="Y25" s="41" t="inlineStr">
        <is>
          <t>54%</t>
        </is>
      </c>
      <c r="Z25" s="43" t="n">
        <v>78</v>
      </c>
      <c r="AA25" s="43" t="n">
        <v>1.16</v>
      </c>
      <c r="AB25" s="41" t="inlineStr">
        <is>
          <t>TOS-1A Solntsepyok (khung T-72) — Giàn phóng rốc-két nhiệt áp 24 ống trên khung xe tăng</t>
        </is>
      </c>
      <c r="AC25" s="41" t="inlineStr">
        <is>
          <t>giáp 0, giáp 1, giáp 2, giáp 3, công trình</t>
        </is>
      </c>
      <c r="AD25" s="41" t="inlineStr">
        <is>
          <t>nổ mạnh, đánh nóc, nổ lõm, pháo xe tăng</t>
        </is>
      </c>
      <c r="AE25" s="41" t="inlineStr">
        <is>
          <t>dừng lại rồi phóng 12 rốc-két nhiệt áp phủ kín một vùng cách 12–38 m; bốn loạt rồi phải đứng yên nạp lại.</t>
        </is>
      </c>
      <c r="AF25" s="41" t="inlineStr">
        <is>
          <t>Dừng lại mới bắn, từ 12-48 m; cần ta nhìn thấy mục tiêu (tự nó hoặc quân bạn); Hết đạn thì nạp lại tại chỗ, hoặc tới Xe tiếp đạn hay về nhà khi nhanh hơn; Xe phóng tên lửa đạn đạo</t>
        </is>
      </c>
      <c r="AG25" s="41" t="inlineStr">
        <is>
          <t>TOS-1A 220 mm thermobaric [Nổ mạnh, xuyên 3, rốc-két (cỡ lớn) đánh nóc] nổ lan/phát · Nhiệt áp · tầm 97 · loạt 9, hồi 10.55 s
M2 Browning 12.7 mm [Động năng, xuyên 1, đạn súng (cỡ lớn)] 10/phát · băng 28 viên, 9 viên/s, thay 2.02 s · tầm 18 m · Tất cả</t>
        </is>
      </c>
      <c r="AH25" s="41" t="inlineStr">
        <is>
          <t>• Giá: 9 CP</t>
        </is>
      </c>
      <c r="AI25" s="41" t="inlineStr">
        <is>
          <t>• Giá: Mạnh nhất nhóm pháo với công sự sau khi sửa hệ số nhiệt áp.</t>
        </is>
      </c>
      <c r="AJ25" s="49" t="inlineStr">
        <is>
          <t>Thấp</t>
        </is>
      </c>
    </row>
    <row r="26" ht="53.25" customHeight="1" s="32">
      <c r="A26" s="39" t="inlineStr">
        <is>
          <t>ballistic_launcher</t>
        </is>
      </c>
      <c r="B26" s="39" t="inlineStr">
        <is>
          <t>Xe phóng tên lửa đạn đạo</t>
        </is>
      </c>
      <c r="C26" s="39" t="inlineStr">
        <is>
          <t>Pháo binh</t>
        </is>
      </c>
      <c r="D26" s="39" t="inlineStr">
        <is>
          <t>dừng lại rồi phóng một cặp tên lửa đạn đạo vào mục tiêu cách 40–180 m, mỗi quả nổ cực lớn; hai cặp rồi nạp lại lâu. xóa sổ công sự, trận địa pháo và cụm quân đông; bắn chậm và bó tay khi bị áp sát.</t>
        </is>
      </c>
      <c r="E26" s="39" t="inlineStr">
        <is>
          <t>Xe 8 bánh dài, một tên lửa lớn nằm trong vỏ trên sàn, dựng thẳng đứng khi phóng. Từ trên xuống: tên lửa dài giữa thân. Kích thước đề xuất khoảng 10.5 × 2.5 × 2.6 m (dài × rộng × cao; 0,8 × mẫu thật 9K720 Iskander). Vũ khí nhìn thấy: 9M723 Iskander (700 kg), M2 Browning 12.7 mm. Vạch màu phe trên nóc và hai hông; không dùng phù hiệu, cờ hay logo quốc gia thật.</t>
        </is>
      </c>
      <c r="F26" s="39" t="inlineStr">
        <is>
          <t>thẻ cao cấp, mua 5.000 xu</t>
        </is>
      </c>
      <c r="G26" s="39" t="inlineStr">
        <is>
          <t>Chương 8</t>
        </is>
      </c>
      <c r="H26" s="39" t="inlineStr">
        <is>
          <t>1.500 xu</t>
        </is>
      </c>
      <c r="I26" s="42" t="n">
        <v>11</v>
      </c>
      <c r="J26" s="42" t="n">
        <v>990</v>
      </c>
      <c r="K26" s="39" t="inlineStr">
        <is>
          <t>1/0/0/0</t>
        </is>
      </c>
      <c r="L26" s="42" t="n">
        <v>6.5</v>
      </c>
      <c r="M26" s="42" t="n">
        <v>26</v>
      </c>
      <c r="N26" s="42" t="n">
        <v>86</v>
      </c>
      <c r="O26" s="42" t="n">
        <v>54</v>
      </c>
      <c r="P26" s="42" t="n">
        <v>16</v>
      </c>
      <c r="Q26" s="42" t="n">
        <v>77</v>
      </c>
      <c r="R26" s="50">
        <f>IFERROR(O26/I26,"")</f>
        <v/>
      </c>
      <c r="S26" s="50">
        <f>IFERROR(J26/I26,"")</f>
        <v/>
      </c>
      <c r="T26" s="42" t="n">
        <v>332</v>
      </c>
      <c r="U26" s="42" t="n">
        <v>309</v>
      </c>
      <c r="V26" s="42" t="n">
        <v>545</v>
      </c>
      <c r="W26" s="42" t="n">
        <v>0</v>
      </c>
      <c r="X26" s="42" t="n">
        <v>361</v>
      </c>
      <c r="Y26" s="39" t="inlineStr">
        <is>
          <t>82%</t>
        </is>
      </c>
      <c r="Z26" s="42" t="n">
        <v>90</v>
      </c>
      <c r="AA26" s="42" t="n">
        <v>0.95</v>
      </c>
      <c r="AB26" s="39" t="inlineStr">
        <is>
          <t>9K720 Iskander (9M723) — Xe phóng tên lửa đạn đạo, dựng đứng tên lửa khi phóng</t>
        </is>
      </c>
      <c r="AC26" s="39" t="inlineStr">
        <is>
          <t>giáp 0, giáp 1, giáp 2, giáp 3, giáp 4, công trình</t>
        </is>
      </c>
      <c r="AD26" s="39" t="inlineStr">
        <is>
          <t>súng máy hạng nặng, lửa, pháo tự động, nổ mạnh, năng lượng, đánh nóc, nổ lõm, pháo xe tăng</t>
        </is>
      </c>
      <c r="AE26" s="39" t="inlineStr">
        <is>
          <t>dừng lại rồi phóng một cặp tên lửa đạn đạo vào mục tiêu cách 40–180 m, mỗi quả nổ cực lớn; hai cặp rồi nạp lại lâu.</t>
        </is>
      </c>
      <c r="AF26" s="39" t="inlineStr">
        <is>
          <t>Dừng lại mới bắn, từ 40-180 m; cần ta nhìn thấy mục tiêu (tự nó hoặc quân bạn); Hết đạn thì nạp lại tại chỗ, hoặc tới Xe tiếp đạn hay về nhà khi nhanh hơn; Pháo phản lực hạng nặng</t>
        </is>
      </c>
      <c r="AG26" s="39" t="inlineStr">
        <is>
          <t>9M723 Iskander (700 kg) [Nổ mạnh, xuyên 4, tên lửa đạn đạo đánh nóc] nổ lan/phát · 630 · tầm loạt 2, hồi 21.21 s · 180 m (tối thiểu 40)
M2 Browning 12.7 mm [Động năng, xuyên 1, đạn súng (cỡ lớn)] 10/phát · băng 28 viên, 9 viên/s, thay 2.02 s · tầm 15 m · Tất cả</t>
        </is>
      </c>
      <c r="AH26" s="39" t="inlineStr">
        <is>
          <t>• Vũ khí: Iskander: tốc độ 50 (bay 3,6 s) · nổ lan 10 m</t>
        </is>
      </c>
      <c r="AI26" s="39" t="inlineStr">
        <is>
          <t>• Vũ khí: Iskander: Tên lửa đạn đạo phải là thứ nhanh nhất; vẫn đủ thời gian cho PAC-3 đánh chặn.</t>
        </is>
      </c>
      <c r="AJ26" s="48" t="inlineStr">
        <is>
          <t>Trung</t>
        </is>
      </c>
    </row>
    <row r="27" ht="42.75" customHeight="1" s="32">
      <c r="A27" s="41" t="inlineStr">
        <is>
          <t>heavy_rocket_artillery</t>
        </is>
      </c>
      <c r="B27" s="41" t="inlineStr">
        <is>
          <t>Pháo phản lực hạng nặng</t>
        </is>
      </c>
      <c r="C27" s="41" t="inlineStr">
        <is>
          <t>Pháo binh</t>
        </is>
      </c>
      <c r="D27" s="41" t="inlineStr">
        <is>
          <t>dừng lại rồi phóng 12 rốc-két 300 mm vào vùng cách 30–140 m, sức nổ lớn; ba loạt rồi nạp lại lâu tại chỗ. đánh công sự, pháo binh và cụm thiết giáp từ bên kia bản đồ; không có khả năng tự vệ khi bị áp sát.</t>
        </is>
      </c>
      <c r="E27" s="41" t="inlineStr">
        <is>
          <t>Xe 8 bánh dài, khối 12 ống phóng cỡ lớn (300 mm) phía sau. Từ trên xuống: 12 ống tròn to xếp 3 hàng. Kích thước đề xuất khoảng 9.7 × 2.4 × 2.4 m (dài × rộng × cao; 0,8 × mẫu thật BM-30 Smerch). Vũ khí nhìn thấy: 9M55 Smerch 300 mm, M2 Browning 12.7 mm. Vạch màu phe trên nóc và hai hông; không dùng phù hiệu, cờ hay logo quốc gia thật.</t>
        </is>
      </c>
      <c r="F27" s="41" t="inlineStr">
        <is>
          <t>thắng màn mở khóa trong chiến dịch, hoặc mua sớm 1.950 xu</t>
        </is>
      </c>
      <c r="G27" s="41" t="inlineStr">
        <is>
          <t>Chương 8</t>
        </is>
      </c>
      <c r="H27" s="41" t="inlineStr">
        <is>
          <t>1.500 xu</t>
        </is>
      </c>
      <c r="I27" s="43" t="n">
        <v>11</v>
      </c>
      <c r="J27" s="43" t="n">
        <v>924</v>
      </c>
      <c r="K27" s="41" t="inlineStr">
        <is>
          <t>1/0/0/0</t>
        </is>
      </c>
      <c r="L27" s="43" t="n">
        <v>6.5</v>
      </c>
      <c r="M27" s="43" t="n">
        <v>30</v>
      </c>
      <c r="N27" s="43" t="n">
        <v>110</v>
      </c>
      <c r="O27" s="43" t="n">
        <v>78</v>
      </c>
      <c r="P27" s="43" t="n">
        <v>16</v>
      </c>
      <c r="Q27" s="43" t="n">
        <v>113</v>
      </c>
      <c r="R27" s="51">
        <f>IFERROR(O27/I27,"")</f>
        <v/>
      </c>
      <c r="S27" s="51">
        <f>IFERROR(J27/I27,"")</f>
        <v/>
      </c>
      <c r="T27" s="43" t="n">
        <v>315</v>
      </c>
      <c r="U27" s="43" t="n">
        <v>401</v>
      </c>
      <c r="V27" s="43" t="n">
        <v>642</v>
      </c>
      <c r="W27" s="43" t="n">
        <v>0</v>
      </c>
      <c r="X27" s="43" t="n">
        <v>430</v>
      </c>
      <c r="Y27" s="41" t="inlineStr">
        <is>
          <t>82%</t>
        </is>
      </c>
      <c r="Z27" s="43" t="n">
        <v>90</v>
      </c>
      <c r="AA27" s="43" t="n">
        <v>1.16</v>
      </c>
      <c r="AB27" s="41" t="inlineStr">
        <is>
          <t>BM-30 Smerch (9M55 300 mm) — Xe phóng rốc-két 300 mm 8x8, 12 ống</t>
        </is>
      </c>
      <c r="AC27" s="41" t="inlineStr">
        <is>
          <t>giáp 0, giáp 1, giáp 2, giáp 3, công trình</t>
        </is>
      </c>
      <c r="AD27" s="41" t="inlineStr">
        <is>
          <t>súng máy hạng nặng, lửa, pháo tự động, nổ mạnh, năng lượng, đánh nóc, nổ lõm, pháo xe tăng</t>
        </is>
      </c>
      <c r="AE27" s="41" t="inlineStr">
        <is>
          <t>dừng lại rồi phóng 12 rốc-két 300 mm vào vùng cách 30–140 m, sức nổ lớn; ba loạt rồi nạp lại lâu tại chỗ.</t>
        </is>
      </c>
      <c r="AF27" s="41" t="inlineStr">
        <is>
          <t>Dừng lại mới bắn, từ 30-140 m; cần ta nhìn thấy mục tiêu (tự nó hoặc quân bạn); Hết đạn thì nạp lại tại chỗ, hoặc tới Xe tiếp đạn hay về nhà khi nhanh hơn; Tăng công thành</t>
        </is>
      </c>
      <c r="AG27" s="41" t="inlineStr">
        <is>
          <t>9M55 Smerch 300 mm [Nổ mạnh, xuyên 3, rốc-két (cỡ lớn) đánh nóc] nổ lan/phát · 145 · tầm loạt 11, hồi 15.76 s · 140 m (tối thiểu 30)
M2 Browning 12.7 mm [Động năng, xuyên 1, đạn súng (cỡ lớn)] 10/phát · băng 28 viên, 9 viên/s, thay 2.02 s · tầm 15 m · Tất cả</t>
        </is>
      </c>
      <c r="AH27" s="41" t="inlineStr">
        <is>
          <t>• Vũ khí: Smerch 300 mm: tốc độ 55 (bay 2,5 s)
• Giá: 12 CP</t>
        </is>
      </c>
      <c r="AI27" s="41" t="inlineStr">
        <is>
          <t>• Vũ khí: Smerch 300 mm: Rốc-két cỡ lớn bay nhanh và xa nhất; hiện chậm ngược.
• Giá: Mạnh hơn đạn đạo cùng giá.</t>
        </is>
      </c>
      <c r="AJ27" s="49" t="inlineStr">
        <is>
          <t>Thấp</t>
        </is>
      </c>
    </row>
    <row r="28" ht="116.25" customHeight="1" s="32">
      <c r="A28" s="39" t="inlineStr">
        <is>
          <t>siege_tank</t>
        </is>
      </c>
      <c r="B28" s="39" t="inlineStr">
        <is>
          <t>Tăng công thành</t>
        </is>
      </c>
      <c r="C28" s="39" t="inlineStr">
        <is>
          <t>Pháo binh</t>
        </is>
      </c>
      <c r="D28" s="39" t="inlineStr">
        <is>
          <t>hai chế độ. Khi di chuyển là một xe tăng có pháo 105 mm bắn khi đang chạy. Dừng lại khi có địch trong tầm, hoặc khi canh giữ, nó nã công sự, tuyến xe tăng và đội hình dày từ ngoài tầm của chúng; sợ xe nhanh lọt vào trong tầm tối thiểu, máy bay và bị đánh vào</t>
        </is>
      </c>
      <c r="E28" s="39" t="inlineStr">
        <is>
          <t>Khung xích, cối 240 mm nòng rất to và ngắn đặt ở đuôi, càng chống hạ xuống khi bắn, thêm pháo 105 mm phụ. Từ trên xuống: nòng cối to tròn, càng chống ở sau. Kích thước đề xuất khoảng 6.8 × 2.6 × 2.6 m (dài × rộng × cao; 0,8 × mẫu thật 2S4 Tyulpan). Vũ khí nhìn thấy: 2B8 240 mm (siege tank), L7 105 mm (siege tank), M2 Browning 12.7 mm. Vạch màu phe trên nóc và hai hông; không dùng phù hiệu, cờ hay logo quốc gia thật.</t>
        </is>
      </c>
      <c r="F28" s="39" t="inlineStr">
        <is>
          <t>thắng màn mở khóa trong chiến dịch, hoặc mua sớm 2.100 xu</t>
        </is>
      </c>
      <c r="G28" s="39" t="inlineStr">
        <is>
          <t>Chương 7</t>
        </is>
      </c>
      <c r="H28" s="39" t="inlineStr">
        <is>
          <t>1.500 xu</t>
        </is>
      </c>
      <c r="I28" s="42" t="n">
        <v>12</v>
      </c>
      <c r="J28" s="42" t="n">
        <v>3300</v>
      </c>
      <c r="K28" s="39" t="inlineStr">
        <is>
          <t>3/2/1/1</t>
        </is>
      </c>
      <c r="L28" s="42" t="n">
        <v>5.5</v>
      </c>
      <c r="M28" s="42" t="n">
        <v>38</v>
      </c>
      <c r="N28" s="42" t="n">
        <v>144</v>
      </c>
      <c r="O28" s="42" t="n">
        <v>96</v>
      </c>
      <c r="P28" s="42" t="n">
        <v>16</v>
      </c>
      <c r="Q28" s="42" t="n">
        <v>173</v>
      </c>
      <c r="R28" s="50">
        <f>IFERROR(O28/I28,"")</f>
        <v/>
      </c>
      <c r="S28" s="50">
        <f>IFERROR(J28/I28,"")</f>
        <v/>
      </c>
      <c r="T28" s="42" t="n">
        <v>206</v>
      </c>
      <c r="U28" s="42" t="n">
        <v>216</v>
      </c>
      <c r="V28" s="42" t="n">
        <v>820</v>
      </c>
      <c r="W28" s="42" t="n">
        <v>6</v>
      </c>
      <c r="X28" s="42" t="n">
        <v>241</v>
      </c>
      <c r="Y28" s="39" t="inlineStr">
        <is>
          <t>79%</t>
        </is>
      </c>
      <c r="Z28" s="42" t="n">
        <v>83</v>
      </c>
      <c r="AA28" s="42" t="n">
        <v>1.05</v>
      </c>
      <c r="AB28" s="39" t="inlineStr">
        <is>
          <t>2S4 Tyulpan (2B8 240 mm), M110 (càng chống), 2S7 Pion · Siege Tank Crucio (StarCraft II) — Xe tăng công thành hai chế độ, dựng</t>
        </is>
      </c>
      <c r="AC28" s="39" t="inlineStr">
        <is>
          <t>giáp 0, giáp 1, giáp 2, giáp 3, giáp 4, công trình</t>
        </is>
      </c>
      <c r="AD28" s="39" t="inlineStr">
        <is>
          <t>nổ mạnh, đánh nóc, nổ lõm, pháo xe tăng</t>
        </is>
      </c>
      <c r="AE28" s="39" t="inlineStr">
        <is>
          <t>hai chế độ. Khi di chuyển là một xe tăng có pháo 105 mm bắn khi đang chạy. Dừng lại khi có địch trong tầm, hoặc khi canh giữ, nó</t>
        </is>
      </c>
      <c r="AF28" s="39" t="inlineStr">
        <is>
          <t>Dừng lại mới bắn, từ 16-70 m; cần ta nhìn thấy mục tiêu (tự nó hoặc quân bạn); Ưu tiên công sự, tăng hạng nặng, xe tăng; Hết đạn thì nạp lại tại chỗ, hoặc tới Xe tiếp đạn hay về nhà khi nhanh hơn; Chế độ công thành: dừng lại khi có địch trong tầm cối, hoặc khi canh giữ, nó vào thế trong 2,5; giây (không bắn) rồi chỉ cối bắn; thu lại (2,5 giây) để đi tiếp, hoặc khi địch lọt vào trong tầm tố; thiểu của cối mà không còn gì xa hơn để nã; Chế độ xe tăng: pháo trên tháp bắn khi đang chạy; cối chỉ bắn khi đã vào thế; Phòng không (6)</t>
        </is>
      </c>
      <c r="AG28" s="39" t="inlineStr">
        <is>
          <t>2B8 240 mm (siege tank) [Nổ mạnh, xuyên 4, đạn pháo nổ mạnh (cối) đánh nóc] nổ lan/phát · 450 · tầm hồi 7.619 s · 70 m (tối thiểu 16)
L7 105 mm (siege tank) [Động năng, xuyên 3, đạn pháo động năng nổ lan] 212/phát · hồi 4.6 s · tầm 34 m · Mặt đất
M2 Browning 12.7 mm [Động năng, xuyên 1, đạn súng (cỡ lớn)] 10/phát · băng 28 viên, 9 viên/s, thay 2.02 s · tầm 21 m · Tất cả</t>
        </is>
      </c>
      <c r="AH28" s="39" t="inlineStr">
        <is>
          <t>Giữ.</t>
        </is>
      </c>
      <c r="AI28" s="39" t="inlineStr">
        <is>
          <t>Giá trị thực chiến nằm trong khoảng mục tiêu (hiệu quả 1.05 × trung vị vai trò).</t>
        </is>
      </c>
      <c r="AJ28" s="49" t="inlineStr">
        <is>
          <t>Thấp</t>
        </is>
      </c>
    </row>
    <row r="29" ht="42.75" customHeight="1" s="32">
      <c r="A29" s="41" t="inlineStr">
        <is>
          <t>zu23_technical</t>
        </is>
      </c>
      <c r="B29" s="41" t="inlineStr">
        <is>
          <t>Bán tải ZU-23</t>
        </is>
      </c>
      <c r="C29" s="41" t="inlineStr">
        <is>
          <t>Phòng không</t>
        </is>
      </c>
      <c r="D29" s="41" t="inlineStr">
        <is>
          <t>pháo đôi 23 mm cao xạ vừa chạy vừa bắn máy bay và xe nhẹ (32 m); chiếm cứ điểm nhanh gấp đôi. xé nát trực thăng, drone và trinh sát; xe tăng và xe bọc thép hạ nó trong vài giây.</t>
        </is>
      </c>
      <c r="E29" s="41" t="inlineStr">
        <is>
          <t>Bán tải dân sự, pháo ZU-23 hai nòng đặt trên thùng sau. Từ trên xuống: hai nòng song song dài. Kích thước đề xuất khoảng 4.2 × 1.4 × 1.8 m (dài × rộng × cao; 0,8 × mẫu thật Hilux + ZU-23-2). Vũ khí nhìn thấy: ZU-23-2 23 mm. Vạch màu phe trên nóc và hai hông; không dùng phù hiệu, cờ hay logo quốc gia thật.</t>
        </is>
      </c>
      <c r="F29" s="41" t="inlineStr">
        <is>
          <t>thắng màn mở khóa trong chiến dịch, hoặc mua sớm 750 xu</t>
        </is>
      </c>
      <c r="G29" s="41" t="inlineStr">
        <is>
          <t>Chương 1</t>
        </is>
      </c>
      <c r="H29" s="41" t="inlineStr">
        <is>
          <t>300 xu</t>
        </is>
      </c>
      <c r="I29" s="43" t="n">
        <v>3</v>
      </c>
      <c r="J29" s="43" t="n">
        <v>462</v>
      </c>
      <c r="K29" s="41" t="inlineStr">
        <is>
          <t>cấp 0 (Không giáp)</t>
        </is>
      </c>
      <c r="L29" s="43" t="n">
        <v>12</v>
      </c>
      <c r="M29" s="43" t="n">
        <v>40</v>
      </c>
      <c r="N29" s="43" t="n">
        <v>61</v>
      </c>
      <c r="O29" s="43" t="n">
        <v>18</v>
      </c>
      <c r="P29" s="43" t="n">
        <v>186</v>
      </c>
      <c r="Q29" s="43" t="n">
        <v>7</v>
      </c>
      <c r="R29" s="51">
        <f>IFERROR(O29/I29,"")</f>
        <v/>
      </c>
      <c r="S29" s="51">
        <f>IFERROR(J29/I29,"")</f>
        <v/>
      </c>
      <c r="T29" s="43" t="n">
        <v>145</v>
      </c>
      <c r="U29" s="43" t="n">
        <v>35</v>
      </c>
      <c r="V29" s="43" t="n">
        <v>4</v>
      </c>
      <c r="W29" s="43" t="n">
        <v>62</v>
      </c>
      <c r="X29" s="43" t="n">
        <v>53</v>
      </c>
      <c r="Y29" s="41" t="inlineStr">
        <is>
          <t>59%</t>
        </is>
      </c>
      <c r="Z29" s="43" t="n">
        <v>17</v>
      </c>
      <c r="AA29" s="43" t="n">
        <v>0.24</v>
      </c>
      <c r="AB29" s="41" t="inlineStr">
        <is>
          <t>Toyota Hilux, ZU-23-2 23 mm — Xe bán tải gắn pháo phòng không hai nòng ZU-23-2</t>
        </is>
      </c>
      <c r="AC29" s="41" t="inlineStr">
        <is>
          <t>trên không</t>
        </is>
      </c>
      <c r="AD29" s="41" t="inlineStr">
        <is>
          <t>súng bộ binh, súng máy hạng nặng, lửa, mảnh, pháo tự động, nổ mạnh, năng lượng, nổ lõm, pháo xe tăng</t>
        </is>
      </c>
      <c r="AE29" s="41" t="inlineStr">
        <is>
          <t>pháo đôi 23 mm cao xạ vừa chạy vừa bắn máy bay và xe nhẹ (32 m); chiếm cứ điểm nhanh gấp đôi.</t>
        </is>
      </c>
      <c r="AF29" s="41" t="inlineStr">
        <is>
          <t>Vừa chạy vừa bắn; Bắn hết 57 viên thì thay băng; Xe phòng không</t>
        </is>
      </c>
      <c r="AG29" s="41" t="inlineStr">
        <is>
          <t>ZU-23-2 23 mm [Mảnh, xuyên 1, đạn nổ trên không] 15/phát · băng 57 viên, 11 viên/s, thay 1 s · tầm 32 m · Tất cả</t>
        </is>
      </c>
      <c r="AH29" s="41" t="inlineStr">
        <is>
          <t>• Vũ khí: ZU-23-2: 7/phát · 25 viên/s · tầm 38 m (giữ DPS)</t>
        </is>
      </c>
      <c r="AI29" s="41" t="inlineStr">
        <is>
          <t>• Vũ khí: ZU-23-2: Hiệu quả chỉ 0,24 lần trung vị phòng không; tầm quá ngắn nên máy bay bắn trước.</t>
        </is>
      </c>
      <c r="AJ29" s="47" t="inlineStr">
        <is>
          <t>Cao</t>
        </is>
      </c>
    </row>
    <row r="30" ht="53.25" customHeight="1" s="32">
      <c r="A30" s="39" t="inlineStr">
        <is>
          <t>aa_vehicle</t>
        </is>
      </c>
      <c r="B30" s="39" t="inlineStr">
        <is>
          <t>Xe phòng không</t>
        </is>
      </c>
      <c r="C30" s="39" t="inlineStr">
        <is>
          <t>Phòng không</t>
        </is>
      </c>
      <c r="D30" s="39" t="inlineStr">
        <is>
          <t>pháo đôi 35 mm cao xạ (36 m) bắn khi đang chạy, kèm tên lửa tầm ngắn (44 m) chỉ nhắm máy bay. xé nát trực thăng, drone và máy bay phản lực; đạn cao xạ gần như vô hại với giáp nên thua xe tăng và xe bọc thép.</t>
        </is>
      </c>
      <c r="E30" s="39" t="inlineStr">
        <is>
          <t>Khung xích, tháp vuông với 2 pháo 35 mm hai bên tháp, radar đĩa tròn quay phía sau tháp. Từ trên xuống: 2 nòng hai bên, đĩa radar. Kích thước đề xuất khoảng 6.2 × 3.0 × 2.4 m (dài × rộng × cao; 0,8 × mẫu thật Flakpanzer Gepard). Vũ khí nhìn thấy: Oerlikon KDA 35 mm (Gepard), Starstreak / Stinger SHORAD. Vạch màu phe trên nóc và hai hông; không dùng phù hiệu, cờ hay logo quốc gia thật.</t>
        </is>
      </c>
      <c r="F30" s="39" t="inlineStr">
        <is>
          <t>có sẵn từ đầu</t>
        </is>
      </c>
      <c r="G30" s="39" t="inlineStr">
        <is>
          <t>Chương 2</t>
        </is>
      </c>
      <c r="H30" s="39" t="inlineStr">
        <is>
          <t>300 xu</t>
        </is>
      </c>
      <c r="I30" s="42" t="n">
        <v>4</v>
      </c>
      <c r="J30" s="42" t="n">
        <v>770</v>
      </c>
      <c r="K30" s="39" t="inlineStr">
        <is>
          <t>1/0/0/0</t>
        </is>
      </c>
      <c r="L30" s="42" t="n">
        <v>8</v>
      </c>
      <c r="M30" s="42" t="n">
        <v>42</v>
      </c>
      <c r="N30" s="42" t="n">
        <v>48</v>
      </c>
      <c r="O30" s="42" t="n">
        <v>24</v>
      </c>
      <c r="P30" s="42" t="n">
        <v>174</v>
      </c>
      <c r="Q30" s="42" t="n">
        <v>8</v>
      </c>
      <c r="R30" s="50">
        <f>IFERROR(O30/I30,"")</f>
        <v/>
      </c>
      <c r="S30" s="50">
        <f>IFERROR(J30/I30,"")</f>
        <v/>
      </c>
      <c r="T30" s="42" t="n">
        <v>167</v>
      </c>
      <c r="U30" s="42" t="n">
        <v>109</v>
      </c>
      <c r="V30" s="42" t="n">
        <v>18</v>
      </c>
      <c r="W30" s="42" t="n">
        <v>226</v>
      </c>
      <c r="X30" s="42" t="n">
        <v>130</v>
      </c>
      <c r="Y30" s="39" t="inlineStr">
        <is>
          <t>62%</t>
        </is>
      </c>
      <c r="Z30" s="42" t="n">
        <v>35</v>
      </c>
      <c r="AA30" s="42" t="n">
        <v>0.86</v>
      </c>
      <c r="AB30" s="39" t="inlineStr">
        <is>
          <t>Flakpanzer Gepard (Oerlikon KDA 35 mm), Stinger / Starstreak — Pháo phòng không tự hành hai nòng 35 mm có radar</t>
        </is>
      </c>
      <c r="AC30" s="39" t="inlineStr">
        <is>
          <t>giáp 0, trên không</t>
        </is>
      </c>
      <c r="AD30" s="39" t="inlineStr">
        <is>
          <t>súng máy hạng nặng, lửa, pháo tự động, nổ mạnh, năng lượng, đánh nóc, nổ lõm, pháo xe tăng</t>
        </is>
      </c>
      <c r="AE30" s="39" t="inlineStr">
        <is>
          <t>pháo đôi 35 mm cao xạ (36 m) bắn khi đang chạy, kèm tên lửa tầm ngắn (44 m) chỉ nhắm máy bay.</t>
        </is>
      </c>
      <c r="AF30" s="39" t="inlineStr">
        <is>
          <t>Vừa chạy vừa bắn; Bắn hết 22 viên thì thay băng; Tên lửa phòng không</t>
        </is>
      </c>
      <c r="AG30" s="39" t="inlineStr">
        <is>
          <t>Oerlikon KDA 35 mm (Gepard) [Mảnh, xuyên 2, đạn nổ trên không nổ lan] 26/phát · băng 22 viên, 4 viên/s, thay 1 s · tầm 36 m · Tất cả
Starstreak / Stinger SHORAD [Mảnh, xuyên 2, tên lửa phòng không dẫn đường] nổ lan/phát · 170 · tầm hồi 4.452 s · 44 m</t>
        </is>
      </c>
      <c r="AH30" s="39" t="inlineStr">
        <is>
          <t>• Vũ khí: Stinger: tốc độ 42 (bay 1,05 s)</t>
        </is>
      </c>
      <c r="AI30" s="39" t="inlineStr">
        <is>
          <t>• Vũ khí: Stinger: Tên lửa phải nhanh hơn mục tiêu (cường kích bay 32 m/s); hiện chậm hơn.</t>
        </is>
      </c>
      <c r="AJ30" s="48" t="inlineStr">
        <is>
          <t>Trung</t>
        </is>
      </c>
    </row>
    <row r="31" ht="42.75" customHeight="1" s="32">
      <c r="A31" s="41" t="inlineStr">
        <is>
          <t>sam_launcher</t>
        </is>
      </c>
      <c r="B31" s="41" t="inlineStr">
        <is>
          <t>Tên lửa phòng không</t>
        </is>
      </c>
      <c r="C31" s="41" t="inlineStr">
        <is>
          <t>Phòng không</t>
        </is>
      </c>
      <c r="D31" s="41" t="inlineStr">
        <is>
          <t>dừng lại rồi phóng tên lửa từng cặp vào máy bay cách tới 55 m; chỉ có súng máy nóc để đánh mặt đất. bắn rụng trực thăng, máy bay phản lực và oanh tạc cơ từ xa, kể cả trực thăng tấn công bắn từ xa; xe tăng, xe bọc thép áp sát là nó</t>
        </is>
      </c>
      <c r="E31" s="41" t="inlineStr">
        <is>
          <t>Khung xích, bệ phóng xoay mang 4 tên lửa lớn chĩa lên, radar hình trụ phía trước bệ. Từ trên xuống: 4 tên lửa dài song song. Kích thước đề xuất khoảng 7.4 × 2.6 × 3.0 m (dài × rộng × cao; 0,8 × mẫu thật 9A310 Buk TELAR). Vũ khí nhìn thấy: 9M317 Buk, M2 Browning 12.7 mm. Vạch màu phe trên nóc và hai hông; không dùng phù hiệu, cờ hay logo quốc gia thật.</t>
        </is>
      </c>
      <c r="F31" s="41" t="inlineStr">
        <is>
          <t>thắng màn mở khóa trong chiến dịch, hoặc mua sớm 1.050 xu</t>
        </is>
      </c>
      <c r="G31" s="41" t="inlineStr">
        <is>
          <t>Chương 3</t>
        </is>
      </c>
      <c r="H31" s="41" t="inlineStr">
        <is>
          <t>300 xu</t>
        </is>
      </c>
      <c r="I31" s="43" t="n">
        <v>5</v>
      </c>
      <c r="J31" s="43" t="n">
        <v>1760</v>
      </c>
      <c r="K31" s="41" t="inlineStr">
        <is>
          <t>1/0/0/0</t>
        </is>
      </c>
      <c r="L31" s="43" t="n">
        <v>6.5</v>
      </c>
      <c r="M31" s="43" t="n">
        <v>60</v>
      </c>
      <c r="N31" s="43" t="n">
        <v>46</v>
      </c>
      <c r="O31" s="43" t="n">
        <v>13</v>
      </c>
      <c r="P31" s="43" t="n">
        <v>313</v>
      </c>
      <c r="Q31" s="43" t="n">
        <v>16</v>
      </c>
      <c r="R31" s="51">
        <f>IFERROR(O31/I31,"")</f>
        <v/>
      </c>
      <c r="S31" s="51">
        <f>IFERROR(J31/I31,"")</f>
        <v/>
      </c>
      <c r="T31" s="43" t="n">
        <v>0</v>
      </c>
      <c r="U31" s="43" t="n">
        <v>0</v>
      </c>
      <c r="V31" s="43" t="n">
        <v>28</v>
      </c>
      <c r="W31" s="43" t="n">
        <v>423</v>
      </c>
      <c r="X31" s="43" t="n">
        <v>0</v>
      </c>
      <c r="Y31" s="41" t="inlineStr">
        <is>
          <t>15%</t>
        </is>
      </c>
      <c r="Z31" s="43" t="n">
        <v>74</v>
      </c>
      <c r="AA31" s="43" t="n">
        <v>1.61</v>
      </c>
      <c r="AB31" s="41" t="inlineStr">
        <is>
          <t>9K37 Buk (9A310), 9M317 — Bệ phóng tên lửa phòng không bánh xích, ray hướng lên mục tiêu</t>
        </is>
      </c>
      <c r="AC31" s="41" t="inlineStr">
        <is>
          <t>giáp 0, giáp 1, trên không</t>
        </is>
      </c>
      <c r="AD31" s="41" t="inlineStr">
        <is>
          <t>súng máy hạng nặng, lửa, pháo tự động, nổ mạnh, năng lượng, đánh nóc, nổ lõm, pháo xe tăng</t>
        </is>
      </c>
      <c r="AE31" s="41" t="inlineStr">
        <is>
          <t>dừng lại rồi phóng tên lửa từng cặp vào máy bay cách tới 55 m; chỉ có súng máy nóc để đánh mặt đất.</t>
        </is>
      </c>
      <c r="AF31" s="41" t="inlineStr">
        <is>
          <t>Dừng lại mới bắn; Ưu tiên máy bay; Pháo tên lửa phòng không</t>
        </is>
      </c>
      <c r="AG31" s="41" t="inlineStr">
        <is>
          <t>9M317 Buk [Mảnh, xuyên 3, tên lửa phòng không dẫn đường] nổ lan/phát · 320 · tầm loạt 2, hồi 2.3 s · 55 m
M2 Browning 12.7 mm [Động năng, xuyên 1, đạn súng (cỡ lớn)] 10/phát · băng 28 viên, 9 viên/s, thay 2.02 s · tầm 18 m · Tất cả</t>
        </is>
      </c>
      <c r="AH31" s="41" t="inlineStr">
        <is>
          <t>• Giá: 7 CP
• Máu: 1.300
• Vũ khí: 9M317 Buk: tốc độ 50 (bay 1,1 s)</t>
        </is>
      </c>
      <c r="AI31" s="41" t="inlineStr">
        <is>
          <t>• Giá: Hiệu quả cao nhất nhóm phòng không di động; Buk ngoài đời đắt hơn Gepard nhiều.
• Máu: Cao hơn cả Pantsir (1.188) dù là xe phóng tên lửa ít giáp.
• Vũ khí: 9M317 Buk: Tên lửa không đuổi kịp máy bay nhanh.</t>
        </is>
      </c>
      <c r="AJ31" s="47" t="inlineStr">
        <is>
          <t>Cao</t>
        </is>
      </c>
    </row>
    <row r="32" ht="53.25" customHeight="1" s="32">
      <c r="A32" s="39" t="inlineStr">
        <is>
          <t>heavy_aa</t>
        </is>
      </c>
      <c r="B32" s="39" t="inlineStr">
        <is>
          <t>Pháo tên lửa phòng không</t>
        </is>
      </c>
      <c r="C32" s="39" t="inlineStr">
        <is>
          <t>Phòng không</t>
        </is>
      </c>
      <c r="D32" s="39" t="inlineStr">
        <is>
          <t>bốn nòng 30 mm cao xạ (42 m) và tên lửa phòng không (44 m), bắn cả khi đang chạy; tầm nhìn 60 m thấy máy bay từ sớm. lá chắn di động tốt nhất trước trực thăng và máy bay; trên mặt đất thua xe tăng và xe bọc thép.</t>
        </is>
      </c>
      <c r="E32" s="39" t="inlineStr">
        <is>
          <t>Xe tải 8 bánh, cụm tháp mang 2 pháo 30 mm và 12 ống tên lửa quanh, radar tròn trên đỉnh. Từ trên xuống: tháp có ống xếp hai bên. Kích thước đề xuất khoảng 9.6 × 2.6 × 2.8 m (dài × rộng × cao; 0,8 × mẫu thật Pantsir-S1 (KamAZ)). Vũ khí nhìn thấy: 2A38 30 mm (twin), Starstreak / Stinger SHORAD. Vạch màu phe trên nóc và hai hông; không dùng phù hiệu, cờ hay logo quốc gia thật.</t>
        </is>
      </c>
      <c r="F32" s="39" t="inlineStr">
        <is>
          <t>thắng màn mở khóa trong chiến dịch, hoặc mua sớm 1.200 xu</t>
        </is>
      </c>
      <c r="G32" s="39" t="inlineStr">
        <is>
          <t>Chương 4</t>
        </is>
      </c>
      <c r="H32" s="39" t="inlineStr">
        <is>
          <t>800 xu</t>
        </is>
      </c>
      <c r="I32" s="42" t="n">
        <v>6</v>
      </c>
      <c r="J32" s="42" t="n">
        <v>1188</v>
      </c>
      <c r="K32" s="39" t="inlineStr">
        <is>
          <t>1/0/0/0</t>
        </is>
      </c>
      <c r="L32" s="42" t="n">
        <v>8.5</v>
      </c>
      <c r="M32" s="42" t="n">
        <v>60</v>
      </c>
      <c r="N32" s="42" t="n">
        <v>126</v>
      </c>
      <c r="O32" s="42" t="n">
        <v>63</v>
      </c>
      <c r="P32" s="42" t="n">
        <v>378</v>
      </c>
      <c r="Q32" s="42" t="n">
        <v>21</v>
      </c>
      <c r="R32" s="50">
        <f>IFERROR(O32/I32,"")</f>
        <v/>
      </c>
      <c r="S32" s="50">
        <f>IFERROR(J32/I32,"")</f>
        <v/>
      </c>
      <c r="T32" s="42" t="n">
        <v>350</v>
      </c>
      <c r="U32" s="42" t="n">
        <v>181</v>
      </c>
      <c r="V32" s="42" t="n">
        <v>127</v>
      </c>
      <c r="W32" s="42" t="n">
        <v>300</v>
      </c>
      <c r="X32" s="42" t="n">
        <v>191</v>
      </c>
      <c r="Y32" s="39" t="inlineStr">
        <is>
          <t>75%</t>
        </is>
      </c>
      <c r="Z32" s="42" t="n">
        <v>45</v>
      </c>
      <c r="AA32" s="42" t="n">
        <v>1.14</v>
      </c>
      <c r="AB32" s="39" t="inlineStr">
        <is>
          <t>Pantsir-S1 (2A38 30 mm) — Xe tải phòng không kết hợp pháo và tên lửa</t>
        </is>
      </c>
      <c r="AC32" s="39" t="inlineStr">
        <is>
          <t>giáp 0, trên không</t>
        </is>
      </c>
      <c r="AD32" s="39" t="inlineStr">
        <is>
          <t>súng máy hạng nặng, lửa, pháo tự động, nổ mạnh, năng lượng, đánh nóc, nổ lõm, pháo xe tăng</t>
        </is>
      </c>
      <c r="AE32" s="39" t="inlineStr">
        <is>
          <t>bốn nòng 30 mm cao xạ (42 m) và tên lửa phòng không (44 m), bắn cả khi đang chạy; tầm nhìn 60 m thấy máy bay từ sớm.</t>
        </is>
      </c>
      <c r="AF32" s="39" t="inlineStr">
        <is>
          <t>Vừa chạy vừa bắn; Bắn hết 69 viên thì thay băng; La-de phòng không</t>
        </is>
      </c>
      <c r="AG32" s="39" t="inlineStr">
        <is>
          <t>2A38 30 mm (twin) [Mảnh, xuyên 2, đạn nổ trên không nổ lan] 22/phát · băng 69 viên, 14 viên/s, thay 1 s · tầm 42 m · Tất cả
Starstreak / Stinger SHORAD [Mảnh, xuyên 2, tên lửa phòng không dẫn đường] nổ lan/phát · 170 · tầm hồi 4.452 s · 44 m</t>
        </is>
      </c>
      <c r="AH32" s="39" t="inlineStr">
        <is>
          <t>• Vũ khí: 2A38 30 mm đôi: 7,5/phát · 40 viên/s (giữ DPS)
• Giá: 7 CP</t>
        </is>
      </c>
      <c r="AI32" s="39" t="inlineStr">
        <is>
          <t>• Vũ khí: 2A38 30 mm đôi: Tạo luồng đạn đặc trưng Pantsir.
• Giá: Pantsir đắt ngang hoặc hơn Buk ngoài đời, hiệu quả 1,14 × trung vị.</t>
        </is>
      </c>
      <c r="AJ32" s="48" t="inlineStr">
        <is>
          <t>Trung</t>
        </is>
      </c>
    </row>
    <row r="33" ht="42.75" customHeight="1" s="32">
      <c r="A33" s="41" t="inlineStr">
        <is>
          <t>iron_beam</t>
        </is>
      </c>
      <c r="B33" s="41" t="inlineStr">
        <is>
          <t>La-de phòng không</t>
        </is>
      </c>
      <c r="C33" s="41" t="inlineStr">
        <is>
          <t>Phòng không</t>
        </is>
      </c>
      <c r="D33" s="41" t="inlineStr">
        <is>
          <t>tia la-de đốt hạ một drone, tên lửa hoặc rốc-két (cả rốc-két pháo binh) nhắm vào trong vòng 30 m quanh nó, cứ 1,2 giây một quả; che cả cụm quân khỏi tên lửa chống tăng, Lancet, pháo phản lực và tên lửa trực thăng; đạn pháo và đạn súng bay qua được, và nó</t>
        </is>
      </c>
      <c r="E33" s="41" t="inlineStr">
        <is>
          <t>Xe tải mang tháp laser hình hộp có kính phát tròn lớn phía trước, tấm tản nhiệt. Từ trên xuống: kính tròn nổi bật. Kích thước đề xuất khoảng 8.0 × 2.0 × 2.8 m (dài × rộng × cao; 0,8 × mẫu thật Iron Beam (xe tải mang laser)). Vũ khí nhìn thấy: Iron Beam laser (100 kW) 100 mm. Vạch màu phe trên nóc và hai hông; không dùng phù hiệu, cờ hay logo quốc gia thật.</t>
        </is>
      </c>
      <c r="F33" s="41" t="inlineStr">
        <is>
          <t>thắng màn mở khóa trong chiến dịch, hoặc mua sớm 1.350 xu</t>
        </is>
      </c>
      <c r="G33" s="41" t="inlineStr">
        <is>
          <t>Chương 6</t>
        </is>
      </c>
      <c r="H33" s="41" t="inlineStr">
        <is>
          <t>800 xu</t>
        </is>
      </c>
      <c r="I33" s="43" t="n">
        <v>7</v>
      </c>
      <c r="J33" s="43" t="n">
        <v>990</v>
      </c>
      <c r="K33" s="41" t="inlineStr">
        <is>
          <t>1/0/0/0</t>
        </is>
      </c>
      <c r="L33" s="43" t="n">
        <v>7</v>
      </c>
      <c r="M33" s="43" t="n">
        <v>56</v>
      </c>
      <c r="N33" s="43" t="n">
        <v>0</v>
      </c>
      <c r="O33" s="43" t="n">
        <v>0</v>
      </c>
      <c r="P33" s="43" t="n">
        <v>214</v>
      </c>
      <c r="Q33" s="43" t="n">
        <v>0</v>
      </c>
      <c r="R33" s="51">
        <f>IFERROR(O33/I33,"")</f>
        <v/>
      </c>
      <c r="S33" s="51">
        <f>IFERROR(J33/I33,"")</f>
        <v/>
      </c>
      <c r="T33" s="43" t="n">
        <v>0</v>
      </c>
      <c r="U33" s="43" t="n">
        <v>0</v>
      </c>
      <c r="V33" s="43" t="n">
        <v>3</v>
      </c>
      <c r="W33" s="43" t="n">
        <v>87</v>
      </c>
      <c r="X33" s="43" t="n">
        <v>0</v>
      </c>
      <c r="Y33" s="41" t="inlineStr">
        <is>
          <t>8%</t>
        </is>
      </c>
      <c r="Z33" s="43" t="n">
        <v>68</v>
      </c>
      <c r="AA33" s="43" t="n">
        <v>0.33</v>
      </c>
      <c r="AB33" s="41" t="inlineStr">
        <is>
          <t>Rafael Iron Beam (laser 100 kW) — Xe laser phòng không năng lượng cao</t>
        </is>
      </c>
      <c r="AC33" s="41" t="inlineStr">
        <is>
          <t>trên không</t>
        </is>
      </c>
      <c r="AD33" s="41" t="inlineStr">
        <is>
          <t>súng máy hạng nặng, lửa, pháo tự động, nổ mạnh, năng lượng, đánh nóc, nổ lõm, pháo xe tăng</t>
        </is>
      </c>
      <c r="AE33" s="41" t="inlineStr">
        <is>
          <t>tia la-de đốt hạ một drone, tên lửa hoặc rốc-két (cả rốc-két pháo binh) nhắm vào trong vòng 30 m quanh nó, cứ 1,2 giây một quả;</t>
        </is>
      </c>
      <c r="AF33" s="41" t="inlineStr">
        <is>
          <t>Vừa chạy vừa bắn; Ưu tiên máy bay; APS: bắn hạ tên lửa, drone và rốc-két bắn thẳng nhắm vào trong 30 m (1 lần liền, hồi một lần; mỗi 0,8 giây); Bắn hạ cả rốc-két pháo binh; Tên lửa phòng không tầm xa</t>
        </is>
      </c>
      <c r="AG33" s="41" t="inlineStr">
        <is>
          <t>Iron Beam laser (100 kW) 100 mm [Năng lượng, xuyên 2, năng lượng] 8/phát · hồi 0.0525 s · tầm 45 m · Trên không</t>
        </is>
      </c>
      <c r="AH33" s="41" t="inlineStr">
        <is>
          <t>• Giá: 6 CP
• Vũ khí: laser 100 kW: 10/tick · DPS ~190; mở rộng APS: đánh chặn cả đạn cối và rốc-két pháo binh trong 30 m; ưu tiên drone</t>
        </is>
      </c>
      <c r="AI33" s="41" t="inlineStr">
        <is>
          <t>• Giá: Gần như vô dụng hiện tại.
• Vũ khí: laser 100 kW: Vai trò thật của Iron Beam là chặn drone, rốc-két, cối.</t>
        </is>
      </c>
      <c r="AJ33" s="47" t="inlineStr">
        <is>
          <t>Cao</t>
        </is>
      </c>
    </row>
    <row r="34" ht="42.75" customHeight="1" s="32">
      <c r="A34" s="39" t="inlineStr">
        <is>
          <t>long_sam</t>
        </is>
      </c>
      <c r="B34" s="39" t="inlineStr">
        <is>
          <t>Tên lửa phòng không tầm xa</t>
        </is>
      </c>
      <c r="C34" s="39" t="inlineStr">
        <is>
          <t>Phòng không</t>
        </is>
      </c>
      <c r="D34" s="39" t="inlineStr">
        <is>
          <t>dừng lại rồi phóng một tên lửa lớn mỗi 8 giây, chỉ bắn máy bay, xa tới 95 m (600 sát thương, không bắn gần hơn 20 m). bắn xa hơn vũ khí của mọi máy bay, cả oanh tạc cơ và pháo hạm bay; bất lực trước mặt đất và trong vòng 20 m nên cần được che</t>
        </is>
      </c>
      <c r="E34" s="39" t="inlineStr">
        <is>
          <t>Xe 8 bánh rất dài mang 4 ống phóng lớn hình trụ nằm ngang, dựng đứng khi bắn. Từ trên xuống: 4 ống dài bằng thân xe. Kích thước đề xuất khoảng 11.2 × 2.5 × 3.0 m (dài × rộng × cao; 0,8 × mẫu thật S-400 5P85 (MAZ-543)). Vũ khí nhìn thấy: S-400 48N6. Vạch màu phe trên nóc và hai hông; không dùng phù hiệu, cờ hay logo quốc gia thật.</t>
        </is>
      </c>
      <c r="F34" s="39" t="inlineStr">
        <is>
          <t>thắng màn mở khóa trong chiến dịch, hoặc mua sớm 1.950 xu</t>
        </is>
      </c>
      <c r="G34" s="39" t="inlineStr">
        <is>
          <t>Chương 8</t>
        </is>
      </c>
      <c r="H34" s="39" t="inlineStr">
        <is>
          <t>1.500 xu</t>
        </is>
      </c>
      <c r="I34" s="42" t="n">
        <v>11</v>
      </c>
      <c r="J34" s="42" t="n">
        <v>968</v>
      </c>
      <c r="K34" s="39" t="inlineStr">
        <is>
          <t>1/0/0/0</t>
        </is>
      </c>
      <c r="L34" s="42" t="n">
        <v>6</v>
      </c>
      <c r="M34" s="42" t="n">
        <v>80</v>
      </c>
      <c r="N34" s="42" t="n">
        <v>0</v>
      </c>
      <c r="O34" s="42" t="n">
        <v>0</v>
      </c>
      <c r="P34" s="42" t="n">
        <v>114</v>
      </c>
      <c r="Q34" s="42" t="n">
        <v>0</v>
      </c>
      <c r="R34" s="50">
        <f>IFERROR(O34/I34,"")</f>
        <v/>
      </c>
      <c r="S34" s="50">
        <f>IFERROR(J34/I34,"")</f>
        <v/>
      </c>
      <c r="T34" s="42" t="n">
        <v>0</v>
      </c>
      <c r="U34" s="42" t="n">
        <v>0</v>
      </c>
      <c r="V34" s="42" t="n">
        <v>0</v>
      </c>
      <c r="W34" s="42" t="n">
        <v>601</v>
      </c>
      <c r="X34" s="42" t="n">
        <v>0</v>
      </c>
      <c r="Y34" s="39" t="inlineStr">
        <is>
          <t>12%</t>
        </is>
      </c>
      <c r="Z34" s="42" t="n">
        <v>90</v>
      </c>
      <c r="AA34" s="42" t="n">
        <v>2.29</v>
      </c>
      <c r="AB34" s="39" t="inlineStr">
        <is>
          <t>S-300PMU (5P85), S-400 (48N6), khung MAZ-543 — Bệ phóng tên lửa phòng không tầm xa, dựng đứng ống phóng</t>
        </is>
      </c>
      <c r="AC34" s="39" t="inlineStr">
        <is>
          <t>trên không</t>
        </is>
      </c>
      <c r="AD34" s="39" t="inlineStr">
        <is>
          <t>súng máy hạng nặng, lửa, pháo tự động, nổ mạnh, năng lượng, đánh nóc, nổ lõm, pháo xe tăng</t>
        </is>
      </c>
      <c r="AE34" s="39" t="inlineStr">
        <is>
          <t>dừng lại rồi phóng một tên lửa lớn mỗi 8 giây, chỉ bắn máy bay, xa tới 95 m (600 sát thương, không bắn gần hơn 20 m).</t>
        </is>
      </c>
      <c r="AF34" s="39" t="inlineStr">
        <is>
          <t>Dừng lại mới bắn, từ 20-95 m; cần ta nhìn thấy mục tiêu (tự nó hoặc quân bạn); Ưu tiên máy bay; Không quân (13); Trực thăng trinh sát</t>
        </is>
      </c>
      <c r="AG34" s="39" t="inlineStr">
        <is>
          <t>S-400 48N6 [Mảnh, xuyên 3, tên lửa phòng không đánh nóc] dẫn đường/phát · nổ lan · tầm 630 · hồi 7.2 s</t>
        </is>
      </c>
      <c r="AH34" s="39" t="inlineStr">
        <is>
          <t>• Giá: 14 CP
• Vũ khí: 48N6: tốc độ 65 (bay 1,5 s)</t>
        </is>
      </c>
      <c r="AI34" s="39" t="inlineStr">
        <is>
          <t>• Giá: Hiệu quả gấp đôi các xe phòng không khác; S-400 ngoài đời cực đắt.
• Vũ khí: 48N6: Tên lửa tầm xa cần nhanh để trúng máy bay ở rìa tầm.</t>
        </is>
      </c>
      <c r="AJ34" s="47" t="inlineStr">
        <is>
          <t>Cao</t>
        </is>
      </c>
    </row>
    <row r="35" ht="63.75" customHeight="1" s="32">
      <c r="A35" s="41" t="inlineStr">
        <is>
          <t>scout_heli</t>
        </is>
      </c>
      <c r="B35" s="41" t="inlineStr">
        <is>
          <t>Trực thăng trinh sát</t>
        </is>
      </c>
      <c r="C35" s="41" t="inlineStr">
        <is>
          <t>Trực thăng · bay</t>
        </is>
      </c>
      <c r="D35" s="41" t="inlineStr">
        <is>
          <t>lao vào với súng máy nhiều nòng (tầm gần, bắn được cả máy bay) và giàn 7 rốc-két; mắt tinh giúp soi mục tiêu cho cả quân. xé nát trinh sát, xe nhẹ và xe hỗ trợ; xe tăng gần như miễn nhiễm, gặp phòng không là rụng nhanh.</t>
        </is>
      </c>
      <c r="E35" s="41" t="inlineStr">
        <is>
          <t>Trực thăng nhỏ thân hình quả trứng, rô-to 5 cánh, càng trượt, 2 bệ vũ khí nhỏ hai bên. Từ trên xuống: đĩa rô-to tròn lớn so với thân nhỏ. Kích thước đề xuất khoảng 4.0 × 3.3 × 1.0 m (dài × rộng × cao; 0,4 × mẫu thật MH-6 Little Bird). Vũ khí nhìn thấy: M134 Minigun 7.62 mm, Hydra 70 mm. Vạch màu phe trên nóc và hai hông; không dùng phù hiệu, cờ hay logo quốc gia thật.</t>
        </is>
      </c>
      <c r="F35" s="41" t="inlineStr">
        <is>
          <t>thắng màn mở khóa trong chiến dịch, hoặc mua sớm 900 xu</t>
        </is>
      </c>
      <c r="G35" s="41" t="inlineStr">
        <is>
          <t>Chương 3</t>
        </is>
      </c>
      <c r="H35" s="41" t="inlineStr">
        <is>
          <t>300 xu</t>
        </is>
      </c>
      <c r="I35" s="43" t="n">
        <v>4</v>
      </c>
      <c r="J35" s="43" t="n">
        <v>924</v>
      </c>
      <c r="K35" s="41" t="inlineStr">
        <is>
          <t>cấp 0 (Không giáp)</t>
        </is>
      </c>
      <c r="L35" s="43" t="n">
        <v>17</v>
      </c>
      <c r="M35" s="43" t="n">
        <v>46</v>
      </c>
      <c r="N35" s="43" t="n">
        <v>58</v>
      </c>
      <c r="O35" s="43" t="n">
        <v>20</v>
      </c>
      <c r="P35" s="43" t="n">
        <v>15</v>
      </c>
      <c r="Q35" s="43" t="n">
        <v>45</v>
      </c>
      <c r="R35" s="51">
        <f>IFERROR(O35/I35,"")</f>
        <v/>
      </c>
      <c r="S35" s="51">
        <f>IFERROR(J35/I35,"")</f>
        <v/>
      </c>
      <c r="T35" s="43" t="n">
        <v>956</v>
      </c>
      <c r="U35" s="43" t="n">
        <v>264</v>
      </c>
      <c r="V35" s="43" t="n">
        <v>308</v>
      </c>
      <c r="W35" s="43" t="n">
        <v>41</v>
      </c>
      <c r="X35" s="43" t="n">
        <v>220</v>
      </c>
      <c r="Y35" s="41" t="inlineStr">
        <is>
          <t>75%</t>
        </is>
      </c>
      <c r="Z35" s="43" t="n">
        <v>55</v>
      </c>
      <c r="AA35" s="43" t="n">
        <v>1</v>
      </c>
      <c r="AB35" s="41" t="inlineStr">
        <is>
          <t>MH-6 / AH-6 Little Bird, M134 Minigun — Trực thăng trinh sát nhẹ, ca-bin hình quả trứng</t>
        </is>
      </c>
      <c r="AC35" s="41" t="inlineStr">
        <is>
          <t>giáp 0, giáp 1, giáp 2, công trình</t>
        </is>
      </c>
      <c r="AD35" s="41" t="inlineStr">
        <is>
          <t>mảnh, năng lượng</t>
        </is>
      </c>
      <c r="AE35" s="41" t="inlineStr">
        <is>
          <t>lao vào với súng máy nhiều nòng (tầm gần, bắn được cả máy bay) và giàn 7 rốc-két; mắt tinh giúp soi mục tiêu cho cả quân.</t>
        </is>
      </c>
      <c r="AF35" s="41" t="inlineStr">
        <is>
          <t>Treo trên không ở rìa tầm bắn và nhả đạn; Bắn hết 64 viên thì thay băng; Ưu tiên trinh sát, xe bọc thép nhẹ, hỗ trợ; Hết đạn thì làm xong lượt tấn công, rồi ra vòng chờ sau tuyến quân ta; quay lại khi hồi được; một nửa; Máu thấp thì bay về Bãi đáp (không có thì về sở chỉ huy) để sửa; UAV trinh sát</t>
        </is>
      </c>
      <c r="AG35" s="41" t="inlineStr">
        <is>
          <t>M134 Minigun 7.62 mm [Động năng, xuyên 0, đạn súng] 6/phát · băng 64 viên, 50 viên/s, thay 4.81 s · tầm 24 m · Tất cả
Hydra 70 mm [Nổ mạnh, xuyên 2, rốc-két nổ lan] 30/phát · loạt 12, hồi 7.4 s · tầm 28 m · Mặt đất</t>
        </is>
      </c>
      <c r="AH35" s="41" t="inlineStr">
        <is>
          <t>• Giá: 5 CP
• Vũ khí: Hydra 70: 6 quả</t>
        </is>
      </c>
      <c r="AI35" s="41" t="inlineStr">
        <is>
          <t>• Giá: Trực thăng trinh sát đang là thẻ diệt xe nhẹ mạnh nhất.
• Vũ khí: Hydra 70: Giảm sức phá xe nhẹ, giữ minigun để vẫn đúng vai trò trinh sát vũ trang.</t>
        </is>
      </c>
      <c r="AJ35" s="47" t="inlineStr">
        <is>
          <t>Cao</t>
        </is>
      </c>
    </row>
    <row r="36" ht="53.25" customHeight="1" s="32">
      <c r="A36" s="39" t="inlineStr">
        <is>
          <t>recon_drone</t>
        </is>
      </c>
      <c r="B36" s="39" t="inlineStr">
        <is>
          <t>UAV trinh sát</t>
        </is>
      </c>
      <c r="C36" s="39" t="inlineStr">
        <is>
          <t>Máy bay · bay</t>
        </is>
      </c>
      <c r="D36" s="39" t="inlineStr">
        <is>
          <t>bay cao với tầm nhìn 90 m, soi mục tiêu cho cả đội quân, kèm một tên lửa dẫn đường nhẹ (50 m) đánh mặt đất. bắn tỉa trinh sát và pháo binh, giúp pháo ta bắn hết tầm; mong manh, gặp phòng không hay tiêm kích là rơi.</t>
        </is>
      </c>
      <c r="E36" s="39" t="inlineStr">
        <is>
          <t>UAV cánh thẳng dài, thân mảnh, đuôi chữ V ngược, cánh quạt đẩy sau. Từ trên xuống: chữ thập với cánh rất dài. Kích thước đề xuất khoảng 2.6 × 4.8 × 0.9 m (dài × rộng × cao; 0,4 × mẫu thật Bayraktar TB2). Vũ khí nhìn thấy: MAM-L. Vạch màu phe trên nóc và hai hông; không dùng phù hiệu, cờ hay logo quốc gia thật.</t>
        </is>
      </c>
      <c r="F36" s="39" t="inlineStr">
        <is>
          <t>thắng màn mở khóa trong chiến dịch, hoặc mua sớm 1.200 xu</t>
        </is>
      </c>
      <c r="G36" s="39" t="inlineStr">
        <is>
          <t>Chương 3</t>
        </is>
      </c>
      <c r="H36" s="39" t="inlineStr">
        <is>
          <t>300 xu</t>
        </is>
      </c>
      <c r="I36" s="42" t="n">
        <v>6</v>
      </c>
      <c r="J36" s="42" t="n">
        <v>704</v>
      </c>
      <c r="K36" s="39" t="inlineStr">
        <is>
          <t>cấp 0 (Không giáp)</t>
        </is>
      </c>
      <c r="L36" s="42" t="n">
        <v>18</v>
      </c>
      <c r="M36" s="42" t="n">
        <v>90</v>
      </c>
      <c r="N36" s="42" t="n">
        <v>17</v>
      </c>
      <c r="O36" s="42" t="n">
        <v>12</v>
      </c>
      <c r="P36" s="42" t="n">
        <v>0</v>
      </c>
      <c r="Q36" s="42" t="n">
        <v>8</v>
      </c>
      <c r="R36" s="50">
        <f>IFERROR(O36/I36,"")</f>
        <v/>
      </c>
      <c r="S36" s="50">
        <f>IFERROR(J36/I36,"")</f>
        <v/>
      </c>
      <c r="T36" s="42" t="n">
        <v>126</v>
      </c>
      <c r="U36" s="42" t="n">
        <v>146</v>
      </c>
      <c r="V36" s="42" t="n">
        <v>60</v>
      </c>
      <c r="W36" s="42" t="n">
        <v>0</v>
      </c>
      <c r="X36" s="42" t="n">
        <v>14</v>
      </c>
      <c r="Y36" s="39" t="inlineStr">
        <is>
          <t>62%</t>
        </is>
      </c>
      <c r="Z36" s="42" t="n">
        <v>47</v>
      </c>
      <c r="AA36" s="42" t="n">
        <v>0.19</v>
      </c>
      <c r="AB36" s="39" t="inlineStr">
        <is>
          <t>Bayraktar TB2, MAM-L — Drone trinh sát tầm trung, đuôi chữ V ngược</t>
        </is>
      </c>
      <c r="AC36" s="39" t="inlineStr">
        <is>
          <t>giáp 0, giáp 1, giáp 2, giáp 3, công trình</t>
        </is>
      </c>
      <c r="AD36" s="39" t="inlineStr">
        <is>
          <t>mảnh, năng lượng</t>
        </is>
      </c>
      <c r="AE36" s="39" t="inlineStr">
        <is>
          <t>bay cao với tầm nhìn 90 m, soi mục tiêu cho cả đội quân, kèm một tên lửa dẫn đường nhẹ (50 m) đánh mặt đất.</t>
        </is>
      </c>
      <c r="AF36" s="39" t="inlineStr">
        <is>
          <t>Bổ nhào xả hỏa lực vào mục tiêu, rồi vòng lại lượt khác; Sau mỗi lượt nó vòng lại và vào lượt mới; Ưu tiên trinh sát, pháo binh; Hết đạn thì làm xong lượt tấn công, rồi ra vòng chờ sau tuyến quân ta; quay lại khi hồi được; một nửa; Drone hộ vệ</t>
        </is>
      </c>
      <c r="AG36" s="39" t="inlineStr">
        <is>
          <t>MAM-L [Nổ lõm, xuyên 3, tên lửa chống tăng dẫn đường] 190/phát · hồi 11.59 s · tầm 50 m · Mặt đất</t>
        </is>
      </c>
      <c r="AH36" s="39" t="inlineStr">
        <is>
          <t>Giữ.</t>
        </is>
      </c>
      <c r="AI36" s="39" t="inlineStr">
        <is>
          <t>Giá trị thực chiến nằm trong khoảng mục tiêu (hiệu quả 0.19 × trung vị vai trò).</t>
        </is>
      </c>
      <c r="AJ36" s="49" t="inlineStr">
        <is>
          <t>Thấp</t>
        </is>
      </c>
    </row>
    <row r="37" ht="95.25" customHeight="1" s="32">
      <c r="A37" s="41"/>
      <c r="B37" s="41"/>
      <c r="C37" s="41"/>
      <c r="D37" s="41"/>
      <c r="E37" s="41"/>
      <c r="F37" s="41"/>
      <c r="G37" s="41"/>
      <c r="H37" s="41"/>
      <c r="I37" s="43"/>
      <c r="J37" s="43"/>
      <c r="K37" s="41"/>
      <c r="L37" s="43"/>
      <c r="M37" s="43"/>
      <c r="N37" s="43"/>
      <c r="O37" s="43"/>
      <c r="P37" s="43"/>
      <c r="Q37" s="43"/>
      <c r="R37" s="51"/>
      <c r="S37" s="51"/>
      <c r="T37" s="43"/>
      <c r="U37" s="43"/>
      <c r="V37" s="43"/>
      <c r="W37" s="43"/>
      <c r="X37" s="43"/>
      <c r="Y37" s="41"/>
      <c r="Z37" s="43"/>
      <c r="AA37" s="41"/>
      <c r="AB37" s="41"/>
      <c r="AC37" s="41"/>
      <c r="AD37" s="41"/>
      <c r="AE37" s="41"/>
      <c r="AF37" s="41"/>
      <c r="AG37" s="41"/>
      <c r="AH37" s="41"/>
      <c r="AI37" s="41"/>
      <c r="AJ37" s="48"/>
    </row>
    <row r="38" ht="63.75" customHeight="1" s="32">
      <c r="A38" s="39" t="inlineStr">
        <is>
          <t>strike_drone</t>
        </is>
      </c>
      <c r="B38" s="39" t="inlineStr">
        <is>
          <t>UAV tấn công</t>
        </is>
      </c>
      <c r="C38" s="39" t="inlineStr">
        <is>
          <t>Máy bay · bay</t>
        </is>
      </c>
      <c r="D38" s="39" t="inlineStr">
        <is>
          <t>bay cao, phóng tên lửa Hellfire từ 48 m và bốn quả bom dẫn đường; không có vũ khí chống máy bay. bắn tỉa xe tăng, tăng nặng và pháo binh; chậm và mỏng, gặp phòng không hay tiêm kích là rơi.</t>
        </is>
      </c>
      <c r="E38" s="39" t="inlineStr">
        <is>
          <t>UAV lớn cánh thẳng rất dài, mũi phình (radar), đuôi chữ Y, tên lửa dưới cánh. Từ trên xuống: cánh dài gấp đôi thân. Kích thước đề xuất khoảng 4.4 × 8.0 × 1.5 m (dài × rộng × cao; 0,4 × mẫu thật MQ-9 Reaper). Vũ khí nhìn thấy: AGM-114 Hellfire, GBU-39 SDB (110 kg). Vạch màu phe trên nóc và hai hông; không dùng phù hiệu, cờ hay logo quốc gia thật.</t>
        </is>
      </c>
      <c r="F38" s="39" t="inlineStr">
        <is>
          <t>thắng màn mở khóa trong chiến dịch, hoặc mua sớm 1.500 xu</t>
        </is>
      </c>
      <c r="G38" s="39" t="inlineStr">
        <is>
          <t>Chương 5</t>
        </is>
      </c>
      <c r="H38" s="39" t="inlineStr">
        <is>
          <t>800 xu</t>
        </is>
      </c>
      <c r="I38" s="42" t="n">
        <v>8</v>
      </c>
      <c r="J38" s="42" t="n">
        <v>1056</v>
      </c>
      <c r="K38" s="39" t="inlineStr">
        <is>
          <t>cấp 0 (Không giáp)</t>
        </is>
      </c>
      <c r="L38" s="42" t="n">
        <v>19</v>
      </c>
      <c r="M38" s="42" t="n">
        <v>62</v>
      </c>
      <c r="N38" s="42" t="n">
        <v>68</v>
      </c>
      <c r="O38" s="42" t="n">
        <v>60</v>
      </c>
      <c r="P38" s="42" t="n">
        <v>0</v>
      </c>
      <c r="Q38" s="42" t="n">
        <v>73</v>
      </c>
      <c r="R38" s="50">
        <f>IFERROR(O38/I38,"")</f>
        <v/>
      </c>
      <c r="S38" s="50">
        <f>IFERROR(J38/I38,"")</f>
        <v/>
      </c>
      <c r="T38" s="42" t="n">
        <v>469</v>
      </c>
      <c r="U38" s="42" t="n">
        <v>670</v>
      </c>
      <c r="V38" s="42" t="n">
        <v>734</v>
      </c>
      <c r="W38" s="42" t="n">
        <v>0</v>
      </c>
      <c r="X38" s="42" t="n">
        <v>65</v>
      </c>
      <c r="Y38" s="39" t="inlineStr">
        <is>
          <t>63%</t>
        </is>
      </c>
      <c r="Z38" s="42" t="n">
        <v>50</v>
      </c>
      <c r="AA38" s="42" t="n">
        <v>1.07</v>
      </c>
      <c r="AB38" s="39" t="inlineStr">
        <is>
          <t>MQ-9 Reaper, AGM-114 Hellfire, GBU-39 SDB — Drone tấn công tầm trung, đuôi chữ Y, cánh quạt đẩy</t>
        </is>
      </c>
      <c r="AC38" s="39" t="inlineStr">
        <is>
          <t>giáp 0, giáp 1, giáp 2, giáp 3, giáp 4, công trình</t>
        </is>
      </c>
      <c r="AD38" s="39" t="inlineStr">
        <is>
          <t>mảnh, năng lượng</t>
        </is>
      </c>
      <c r="AE38" s="39" t="inlineStr">
        <is>
          <t>bay cao, phóng tên lửa Hellfire từ 48 m và bốn quả bom dẫn đường; không có vũ khí chống máy bay.</t>
        </is>
      </c>
      <c r="AF38" s="39" t="inlineStr">
        <is>
          <t>Bổ nhào xả hỏa lực vào mục tiêu, rồi vòng lại lượt khác; Sau mỗi lượt nó vòng lại và vào lượt mới; Ưu tiên xe tăng, tăng hạng nặng, pháo binh; Hết đạn thì làm xong lượt tấn công, rồi ra vòng chờ sau tuyến quân ta; quay lại khi hồi được; một nửa; Máy bay mẹ thả drone</t>
        </is>
      </c>
      <c r="AG38" s="39" t="inlineStr">
        <is>
          <t>AGM-114 Hellfire [Nổ lõm, xuyên 4, tên lửa chống tăng dẫn đường] 260/phát · hồi 3.58 s · tầm 48 m · Mặt đất
GBU-39 SDB (110 kg) [Nổ mạnh, xuyên 3, bom dẫn đường đánh nóc] nổ lan/phát · 210 · tầm hồi 6.651 s · 30 m</t>
        </is>
      </c>
      <c r="AH38" s="39" t="inlineStr">
        <is>
          <t>• Giá: 9 CP (giữ 4 Hellfire)</t>
        </is>
      </c>
      <c r="AI38" s="39" t="inlineStr">
        <is>
          <t>• Giá: Vẫn mạnh gấp rưỡi xe diệt tăng cùng giá khi không có phòng không.</t>
        </is>
      </c>
      <c r="AJ38" s="47" t="inlineStr">
        <is>
          <t>Cao</t>
        </is>
      </c>
    </row>
    <row r="39" ht="84.75" customHeight="1" s="32">
      <c r="A39" s="41" t="inlineStr">
        <is>
          <t>swarm_carrier</t>
        </is>
      </c>
      <c r="B39" s="41" t="inlineStr">
        <is>
          <t>Máy bay mẹ thả drone</t>
        </is>
      </c>
      <c r="C39" s="41" t="inlineStr">
        <is>
          <t>Máy bay · bay</t>
        </is>
      </c>
      <c r="D39" s="41" t="inlineStr">
        <is>
          <t>bay qua mục tiêu, thả lần lượt tám drone FPV (nổ lõm, đánh nóc), mỗi chiếc một mục tiêu, và thả thêm hai bom dẫn đường từ cùng đưa bầy drone tới nơi xe drone FPV hay nhà chứa drone không với tới; tiêm kích và SAM bắn hạ được nó, còn C-RAM, la-de phòng</t>
        </is>
      </c>
      <c r="E39" s="41" t="inlineStr">
        <is>
          <t>Máy bay vận tải 4 động cơ cánh quạt cánh cao, đuôi cao, cửa sau mở thả drone. Cùng khung và cùng kích thước với Pháo hạm bay. Từ trên xuống: cánh thẳng dài, 4 động cơ. Kích thước đề xuất khoảng 11.9 × 16.2 × 4.6 m (dài × rộng × cao; 0,4 × mẫu thật C-130 Hercules). Vũ khí nhìn thấy: FPV drone (1.5 kg), GBU-39 SDB (110 kg). Vạch màu phe trên nóc và hai hông; không dùng phù hiệu, cờ hay logo quốc gia thật.</t>
        </is>
      </c>
      <c r="F39" s="41" t="inlineStr">
        <is>
          <t>thắng màn mở khóa trong chiến dịch, hoặc mua sớm 1.500 xu</t>
        </is>
      </c>
      <c r="G39" s="41" t="inlineStr">
        <is>
          <t>Cuối chương 5: chiến lợi phẩm khi Venn đào ngũ</t>
        </is>
      </c>
      <c r="H39" s="41" t="inlineStr">
        <is>
          <t>Không mua sớm được</t>
        </is>
      </c>
      <c r="I39" s="43" t="n">
        <v>8</v>
      </c>
      <c r="J39" s="43" t="n">
        <v>3080</v>
      </c>
      <c r="K39" s="41" t="inlineStr">
        <is>
          <t>cấp 1 (Mỏng)</t>
        </is>
      </c>
      <c r="L39" s="43" t="n">
        <v>18</v>
      </c>
      <c r="M39" s="43" t="n">
        <v>56</v>
      </c>
      <c r="N39" s="43" t="n">
        <v>41</v>
      </c>
      <c r="O39" s="43" t="n">
        <v>41</v>
      </c>
      <c r="P39" s="43" t="n">
        <v>0</v>
      </c>
      <c r="Q39" s="43" t="n">
        <v>45</v>
      </c>
      <c r="R39" s="51">
        <f>IFERROR(O39/I39,"")</f>
        <v/>
      </c>
      <c r="S39" s="51">
        <f>IFERROR(J39/I39,"")</f>
        <v/>
      </c>
      <c r="T39" s="43" t="n">
        <v>434</v>
      </c>
      <c r="U39" s="43" t="n">
        <v>471</v>
      </c>
      <c r="V39" s="43" t="n">
        <v>423</v>
      </c>
      <c r="W39" s="43" t="n">
        <v>0</v>
      </c>
      <c r="X39" s="43" t="n">
        <v>295</v>
      </c>
      <c r="Y39" s="41" t="inlineStr">
        <is>
          <t>65%</t>
        </is>
      </c>
      <c r="Z39" s="43" t="n">
        <v>76</v>
      </c>
      <c r="AA39" s="43" t="n">
        <v>0.76</v>
      </c>
      <c r="AB39" s="41" t="inlineStr">
        <is>
          <t>C-130 Hercules, drone FPV — Máy bay vận tải bốn động cơ thả bầy drone FPV</t>
        </is>
      </c>
      <c r="AC39" s="41" t="inlineStr">
        <is>
          <t>giáp 0, giáp 1, giáp 2, giáp 3, công trình</t>
        </is>
      </c>
      <c r="AD39" s="41" t="inlineStr">
        <is>
          <t>mảnh, năng lượng</t>
        </is>
      </c>
      <c r="AE39" s="41" t="inlineStr">
        <is>
          <t>bay qua mục tiêu, thả lần lượt tám drone FPV (nổ lõm, đánh nóc), mỗi chiếc một mục tiêu, và thả thêm hai bom dẫn đường từ cùng</t>
        </is>
      </c>
      <c r="AF39" s="41" t="inlineStr">
        <is>
          <t>Bổ nhào xả hỏa lực vào mục tiêu, rồi vòng lại lượt khác; Sau mỗi lượt nó vòng lại và vào lượt mới; Ưu tiên xe tăng, tăng hạng nặng, pháo binh, xe bọc thép nhẹ; Hết đạn thì làm xong lượt tấn công, rồi ra vòng chờ sau tuyến quân ta; quay lại khi hồi được; một nửa; Máu thấp thì bay về Bãi đáp (không có thì về sở chỉ huy) để sửa; Pháo sáng: khi có tên lửa lao tới (mỗi 11 giây); Trực thăng tấn công</t>
        </is>
      </c>
      <c r="AG39" s="41" t="inlineStr">
        <is>
          <t>FPV drone (1.5 kg) [Nổ lõm, xuyên 3, drone (FPV) đánh nóc] dẫn đường/phát · nổ lan · tầm 140 · hồi 3.3 s
GBU-39 SDB (110 kg) [Nổ mạnh, xuyên 3, bom dẫn đường đánh nóc] nổ lan/phát · 210 · tầm hồi 6.651 s · 30 m</t>
        </is>
      </c>
      <c r="AH39" s="41" t="inlineStr">
        <is>
          <t>• Vũ khí: thêm Rapid Dragon: Bỏ SDB; thêm 2 tên lửa hành trình thả từ khoang (410/quả, Nổ mạnh xuyên 3, nổ lan 9 m, tầm 90, tốc độ 20) mỗi lượt, giữ 8 drone
• Giá: 13 CP</t>
        </is>
      </c>
      <c r="AI39" s="41" t="inlineStr">
        <is>
          <t>• Vũ khí: thêm Rapid Dragon: Máy bay to như vậy mà rẻ là không hợp lý; thêm vũ khí để xứng giá mới. Rapid Dragon là hệ thống thật cho máy bay vận tải thả tên lửa hành trình theo pallet.
• Giá: Ngang tầm máy bay lớn khác sau khi có thêm tên lửa hành trình; C-130 ngoài đời ~70 triệu USD, đắt hơn Apache.</t>
        </is>
      </c>
      <c r="AJ39" s="47" t="inlineStr">
        <is>
          <t>Cao</t>
        </is>
      </c>
    </row>
    <row r="40" ht="84.75" customHeight="1" s="32">
      <c r="A40" s="39" t="inlineStr">
        <is>
          <t>attack_helicopter</t>
        </is>
      </c>
      <c r="B40" s="39" t="inlineStr">
        <is>
          <t>Trực thăng tấn công</t>
        </is>
      </c>
      <c r="C40" s="39" t="inlineStr">
        <is>
          <t>Trực thăng · bay</t>
        </is>
      </c>
      <c r="D40" s="39" t="inlineStr">
        <is>
          <t>tên lửa chống tăng Hellfire Longbow bắn cặp từ 55 m; nó treo ở rìa tầm đó, vòng sang phía tránh phòng không tầm ngắn; pháo 30 hạ xe tăng, tăng nặng và pháo binh từ ngoài tầm pháo cao xạ và tên lửa tầm ngắn; tên lửa phòng không tầm xa, Patriot và tiêm</t>
        </is>
      </c>
      <c r="E40" s="39" t="inlineStr">
        <is>
          <t>Trực thăng tấn công thân hẹp, 2 buồng lái nối tiếp, cánh ngắn hai bên mang tên lửa và rốc-két, pháo dưới mũi, rô-to 4 cánh. Từ trên xuống: thân mảnh, cánh ngắn chữ thập. Kích thước đề xuất khoảng 7.1 × 5.8 × 1.8 m (dài × rộng × cao; 0,4 × mẫu thật AH-64D Apache). Vũ khí nhìn thấy: AGM-114L Hellfire Longbow, M230 30 mm, Hydra 70 mm, FIM-92 Stinger (ATAS). Vạch màu phe trên nóc và hai hông; không dùng phù hiệu, cờ hay logo quốc gia thật.</t>
        </is>
      </c>
      <c r="F40" s="39" t="inlineStr">
        <is>
          <t>thắng màn mở khóa trong chiến dịch, hoặc mua sớm 1.950 xu</t>
        </is>
      </c>
      <c r="G40" s="39" t="inlineStr">
        <is>
          <t>Chương 3</t>
        </is>
      </c>
      <c r="H40" s="39" t="inlineStr">
        <is>
          <t>300 xu</t>
        </is>
      </c>
      <c r="I40" s="42" t="n">
        <v>11</v>
      </c>
      <c r="J40" s="42" t="n">
        <v>1760</v>
      </c>
      <c r="K40" s="39" t="inlineStr">
        <is>
          <t>cấp 1 (Mỏng)</t>
        </is>
      </c>
      <c r="L40" s="42" t="n">
        <v>13</v>
      </c>
      <c r="M40" s="42" t="n">
        <v>40</v>
      </c>
      <c r="N40" s="42" t="n">
        <v>166</v>
      </c>
      <c r="O40" s="42" t="n">
        <v>104</v>
      </c>
      <c r="P40" s="42" t="n">
        <v>40</v>
      </c>
      <c r="Q40" s="42" t="n">
        <v>110</v>
      </c>
      <c r="R40" s="50">
        <f>IFERROR(O40/I40,"")</f>
        <v/>
      </c>
      <c r="S40" s="50">
        <f>IFERROR(J40/I40,"")</f>
        <v/>
      </c>
      <c r="T40" s="42" t="n">
        <v>336</v>
      </c>
      <c r="U40" s="42" t="n">
        <v>422</v>
      </c>
      <c r="V40" s="42" t="n">
        <v>257</v>
      </c>
      <c r="W40" s="42" t="n">
        <v>150</v>
      </c>
      <c r="X40" s="42" t="n">
        <v>353</v>
      </c>
      <c r="Y40" s="39" t="inlineStr">
        <is>
          <t>87%</t>
        </is>
      </c>
      <c r="Z40" s="42" t="n">
        <v>87</v>
      </c>
      <c r="AA40" s="42" t="n">
        <v>0.66</v>
      </c>
      <c r="AB40" s="39" t="inlineStr">
        <is>
          <t>AH-64D Apache Longbow, AGM-114L Hellfire Longbow, Ka-52 Alligator (model thay thế) — Trực thăng tấn công hai chỗ ngồi nối</t>
        </is>
      </c>
      <c r="AC40" s="39" t="inlineStr">
        <is>
          <t>giáp 0, giáp 1, giáp 2, giáp 3, giáp 4, trên không, công trình</t>
        </is>
      </c>
      <c r="AD40" s="39" t="inlineStr">
        <is>
          <t>mảnh, năng lượng</t>
        </is>
      </c>
      <c r="AE40" s="39" t="inlineStr">
        <is>
          <t>tên lửa chống tăng Hellfire Longbow bắn cặp từ 55 m; nó treo ở rìa tầm đó, vòng sang phía tránh phòng không tầm ngắn; pháo 30</t>
        </is>
      </c>
      <c r="AF40" s="39" t="inlineStr">
        <is>
          <t>Treo trên không ở rìa tầm bắn và nhả đạn; Ưu tiên xe tăng, tăng hạng nặng, pháo binh; Hết đạn thì làm xong lượt tấn công, rồi ra vòng chờ sau tuyến quân ta; quay lại khi hồi được; một nửa; Máu thấp thì bay về Bãi đáp (không có thì về sở chỉ huy) để sửa; Pháo sáng: khi có tên lửa lao tới (mỗi 20 giây); Tiêm kích</t>
        </is>
      </c>
      <c r="AG40" s="39" t="inlineStr">
        <is>
          <t>AGM-114L Hellfire Longbow [Nổ lõm, xuyên 4, tên lửa chống tăng dẫn đường] 260/phát · loạt 2, hồi 7.1 s · tầm 55 m · Mặt đất
M230 30 mm [Động năng, xuyên 2, đạn pháo động năng (pháo tự động)] 22/phát · băng 21 viên, 4 viên/s, thay 1 s · tầm 26 m · Tất cả
Hydra 70 mm [Nổ mạnh, xuyên 2, rốc-két nổ lan] 30/phát · loạt 11, hồi 7.31 s · tầm 30 m · Mặt đất
FIM-92 Stinger (ATAS) [Mảnh, xuyên 2, tên lửa phòng không dẫn đường] nổ lan/phát · 178 · tầm hồi 9.07 s · 30 m</t>
        </is>
      </c>
      <c r="AH40" s="39" t="inlineStr">
        <is>
          <t>• Giá: 9 CP
• Vũ khí: Hellfire, Stinger ATAS: Hellfire 26 (bay 2,1 s ở 55 m) · ATAS 42</t>
        </is>
      </c>
      <c r="AI40" s="39" t="inlineStr">
        <is>
          <t>• Giá: Yếu hơn các trực thăng khác tính theo CP.
• Vũ khí: Hellfire, Stinger ATAS: Thống nhất Hellfire mọi nơi; ATAS đủ nhanh để bắn trực thăng địch.</t>
        </is>
      </c>
      <c r="AJ40" s="47" t="inlineStr">
        <is>
          <t>Cao</t>
        </is>
      </c>
    </row>
    <row r="41" ht="63.75" customHeight="1" s="32">
      <c r="A41" s="41" t="inlineStr">
        <is>
          <t>fighter_jet</t>
        </is>
      </c>
      <c r="B41" s="41" t="inlineStr">
        <is>
          <t>Tiêm kích</t>
        </is>
      </c>
      <c r="C41" s="41" t="inlineStr">
        <is>
          <t>Máy bay · bay</t>
        </is>
      </c>
      <c r="D41" s="41" t="inlineStr">
        <is>
          <t>tên lửa không đối không từ 60 m, tên lửa cận chiến và pháo; đánh chặn máy bay địch ở xa vị trí gác, có thể lơ lửng để bắn. khắc tinh của trực thăng, oanh tạc cơ và mọi máy bay; gần như vô hại với mặt đất, vẫn sợ tên lửa phòng không.</t>
        </is>
      </c>
      <c r="E41" s="41" t="inlineStr">
        <is>
          <t>Tiêm kích 2 động cơ, 2 đuôi đứng, cánh tam giác cắt, tên lửa dưới cánh. Dài hơn Cường kích rõ rệt. Từ trên xuống: mũi dài nhọn, 2 đuôi. Kích thước đề xuất khoảng 8.8 × 5.9 × 2.4 m (dài × rộng × cao; 0,4 × mẫu thật Su-27). Vũ khí nhìn thấy: AIM-120 AMRAAM, AIM-9X Sidewinder, GAU-22/A 25 mm. Vạch màu phe trên nóc và hai hông; không dùng phù hiệu, cờ hay logo quốc gia thật.</t>
        </is>
      </c>
      <c r="F41" s="41" t="inlineStr">
        <is>
          <t>thắng màn mở khóa trong chiến dịch, hoặc mua sớm 2.100 xu</t>
        </is>
      </c>
      <c r="G41" s="41" t="inlineStr">
        <is>
          <t>Chương 3 (khi Hawk gia nhập)</t>
        </is>
      </c>
      <c r="H41" s="41" t="inlineStr">
        <is>
          <t>300 xu</t>
        </is>
      </c>
      <c r="I41" s="43" t="n">
        <v>12</v>
      </c>
      <c r="J41" s="43" t="n">
        <v>1144</v>
      </c>
      <c r="K41" s="41" t="inlineStr">
        <is>
          <t>cấp 0 (Không giáp)</t>
        </is>
      </c>
      <c r="L41" s="43" t="n">
        <v>40</v>
      </c>
      <c r="M41" s="43" t="n">
        <v>72</v>
      </c>
      <c r="N41" s="43" t="n">
        <v>67</v>
      </c>
      <c r="O41" s="43" t="n">
        <v>33</v>
      </c>
      <c r="P41" s="43" t="n">
        <v>269</v>
      </c>
      <c r="Q41" s="43" t="n">
        <v>11</v>
      </c>
      <c r="R41" s="51">
        <f>IFERROR(O41/I41,"")</f>
        <v/>
      </c>
      <c r="S41" s="51">
        <f>IFERROR(J41/I41,"")</f>
        <v/>
      </c>
      <c r="T41" s="43" t="n">
        <v>0</v>
      </c>
      <c r="U41" s="43" t="n">
        <v>0</v>
      </c>
      <c r="V41" s="43" t="n">
        <v>0</v>
      </c>
      <c r="W41" s="43" t="n">
        <v>351</v>
      </c>
      <c r="X41" s="43" t="n">
        <v>0</v>
      </c>
      <c r="Y41" s="41" t="inlineStr">
        <is>
          <t>11%</t>
        </is>
      </c>
      <c r="Z41" s="43" t="n">
        <v>52</v>
      </c>
      <c r="AA41" s="41" t="n"/>
      <c r="AB41" s="41" t="inlineStr">
        <is>
          <t>Su-27 Flanker, F-15 Eagle, AIM-120 AMRAAM, AIM-9X Sidewinder — Tiêm kích chiếm ưu thế trên không hai động cơ</t>
        </is>
      </c>
      <c r="AC41" s="41" t="inlineStr">
        <is>
          <t>giáp 0, trên không</t>
        </is>
      </c>
      <c r="AD41" s="41" t="inlineStr">
        <is>
          <t>mảnh, năng lượng</t>
        </is>
      </c>
      <c r="AE41" s="41" t="inlineStr">
        <is>
          <t>tên lửa không đối không từ 60 m, tên lửa cận chiến và pháo; đánh chặn máy bay địch ở xa vị trí gác, có thể lơ lửng để bắn.</t>
        </is>
      </c>
      <c r="AF41" s="41" t="inlineStr">
        <is>
          <t>Săn máy bay địch; Sau mỗi lượt nó vòng lại và vào lượt mới; Ưu tiên máy bay; Hết đạn thì làm xong lượt tấn công, rồi ra vòng chờ sau tuyến quân ta; quay lại khi hồi được; một nửa; Máu thấp thì bay về Bãi đáp (không có thì về sở chỉ huy) để sửa; Pháo sáng: khi có tên lửa lao tới (mỗi 16 giây); Tiêm kích tàng hình</t>
        </is>
      </c>
      <c r="AG41" s="41" t="inlineStr">
        <is>
          <t>AIM-120 AMRAAM [Mảnh, xuyên 3, tên lửa phòng không dẫn đường] nổ lan/phát · 294 · tầm hồi 3.99 s · 60 m
AIM-9X Sidewinder [Mảnh, xuyên 2, tên lửa phòng không dẫn đường] nổ lan/phát · 231 · tầm hồi 2.12 s · 30 m
GAU-22/A 25 mm [Mảnh, xuyên 2, đạn pháo động năng (pháo tự động)] 18/phát · băng 44 viên, 9 viên/s, thay 1 s · tầm 30 m · Tất cả</t>
        </is>
      </c>
      <c r="AH41" s="41" t="inlineStr">
        <is>
          <t>• Vũ khí: AIM-120, AIM-9X: AIM-120: 60 (bay 1 s) · AIM-9X: 55</t>
        </is>
      </c>
      <c r="AI41" s="41" t="inlineStr">
        <is>
          <t>• Vũ khí: AIM-120, AIM-9X: Tên lửa phải bắt kịp mục tiêu nhanh nhất.</t>
        </is>
      </c>
      <c r="AJ41" s="47" t="inlineStr">
        <is>
          <t>Cao</t>
        </is>
      </c>
    </row>
    <row r="42" ht="74.25" customHeight="1" s="32">
      <c r="A42" s="39" t="inlineStr">
        <is>
          <t>stealth_fighter</t>
        </is>
      </c>
      <c r="B42" s="39" t="inlineStr">
        <is>
          <t>Tiêm kích tàng hình</t>
        </is>
      </c>
      <c r="C42" s="39" t="inlineStr">
        <is>
          <t>Máy bay · bay</t>
        </is>
      </c>
      <c r="D42" s="39" t="inlineStr">
        <is>
          <t>tàng hình: địch chỉ thấy ở 40% tầm nhìn, và trong 2,5 giây sau mỗi lần khai hỏa; trạm radar, tháp canh và UAV quét làm lộ nó. Bốn dọn sạch bầu trời và SAM trước khi máy bay cường kích tới; mang ít đạn hơn tiêm kích thường nên về hồi đạn sớm hơn.</t>
        </is>
      </c>
      <c r="E42" s="39" t="inlineStr">
        <is>
          <t>Tiêm kích tàng hình mặt phẳng góc cạnh, 2 đuôi nghiêng ra ngoài, cửa hút khí vát, không treo vũ khí ngoài. Từ trên xuống: hình kim cương dẹt. Kích thước đề xuất khoảng 7.6 × 5.4 × 2.0 m (dài × rộng × cao; 0,4 × mẫu thật F-22 / Su-57). Vũ khí nhìn thấy: AIM-120 AMRAAM, GBU-39 SDB (110 kg), GAU-22/A 25 mm. Vạch màu phe trên nóc và hai hông; không dùng phù hiệu, cờ hay logo quốc gia thật.</t>
        </is>
      </c>
      <c r="F42" s="39" t="inlineStr">
        <is>
          <t>thắng màn mở khóa trong chiến dịch, hoặc mua sớm 2.400 xu</t>
        </is>
      </c>
      <c r="G42" s="39" t="inlineStr">
        <is>
          <t>Chương 7</t>
        </is>
      </c>
      <c r="H42" s="39" t="inlineStr">
        <is>
          <t>1.500 xu</t>
        </is>
      </c>
      <c r="I42" s="42" t="n">
        <v>14</v>
      </c>
      <c r="J42" s="42" t="n">
        <v>1056</v>
      </c>
      <c r="K42" s="39" t="inlineStr">
        <is>
          <t>cấp 0 (Không giáp)</t>
        </is>
      </c>
      <c r="L42" s="42" t="n">
        <v>40</v>
      </c>
      <c r="M42" s="42" t="n">
        <v>76</v>
      </c>
      <c r="N42" s="42" t="n">
        <v>84</v>
      </c>
      <c r="O42" s="42" t="n">
        <v>51</v>
      </c>
      <c r="P42" s="42" t="n">
        <v>230</v>
      </c>
      <c r="Q42" s="42" t="n">
        <v>37</v>
      </c>
      <c r="R42" s="50">
        <f>IFERROR(O42/I42,"")</f>
        <v/>
      </c>
      <c r="S42" s="50">
        <f>IFERROR(J42/I42,"")</f>
        <v/>
      </c>
      <c r="T42" s="42" t="n">
        <v>173</v>
      </c>
      <c r="U42" s="42" t="n">
        <v>176</v>
      </c>
      <c r="V42" s="42" t="n">
        <v>221</v>
      </c>
      <c r="W42" s="42" t="n">
        <v>219</v>
      </c>
      <c r="X42" s="42" t="n">
        <v>9</v>
      </c>
      <c r="Y42" s="39" t="inlineStr">
        <is>
          <t>53%</t>
        </is>
      </c>
      <c r="Z42" s="42" t="n">
        <v>57</v>
      </c>
      <c r="AA42" s="42" t="n">
        <v>0.33</v>
      </c>
      <c r="AB42" s="39" t="inlineStr">
        <is>
          <t>F-22 Raptor, Su-57, GAU-22/A 25 mm — Tiêm kích tàng hình hai đuôi</t>
        </is>
      </c>
      <c r="AC42" s="39" t="inlineStr">
        <is>
          <t>giáp 0, giáp 1, giáp 2, giáp 3, trên không, công trình</t>
        </is>
      </c>
      <c r="AD42" s="39" t="inlineStr">
        <is>
          <t>mảnh, năng lượng</t>
        </is>
      </c>
      <c r="AE42" s="39" t="inlineStr">
        <is>
          <t>tàng hình: địch chỉ thấy ở 40% tầm nhìn, và trong 2,5 giây sau mỗi lần khai hỏa; trạm radar, tháp canh và UAV quét làm lộ nó. Bốn</t>
        </is>
      </c>
      <c r="AF42" s="39" t="inlineStr">
        <is>
          <t>Săn máy bay địch; Sau mỗi lượt nó vòng lại và vào lượt mới; Ưu tiên máy bay; Hết đạn thì làm xong lượt tấn công, rồi ra vòng chờ sau tuyến quân ta; quay lại khi hồi được; một nửa; Máu thấp thì bay về Bãi đáp (không có thì về sở chỉ huy) để sửa; Pháo sáng: khi có tên lửa lao tới (mỗi 16 giây); Khó phát hiện: địch chỉ thấy ở 40% tầm nhìn</t>
        </is>
      </c>
      <c r="AG42" s="39" t="inlineStr">
        <is>
          <t>AIM-120 AMRAAM [Mảnh, xuyên 3, tên lửa phòng không dẫn đường] nổ lan/phát · 294 · tầm hồi 3.99 s · 60 m
GBU-39 SDB (110 kg) [Nổ mạnh, xuyên 3, bom dẫn đường đánh nóc] nổ lan/phát · 210 · tầm hồi 6.651 s · 30 m
GAU-22/A 25 mm [Mảnh, xuyên 2, đạn pháo động năng (pháo tự động)] 18/phát · băng 44 viên, 9 viên/s, thay 1 s · tầm 30 m · Tất cả</t>
        </is>
      </c>
      <c r="AH42" s="39" t="inlineStr">
        <is>
          <t>• Vũ khí và giá: +1 AIM-120 mỗi lần đầy đạn; giá 14→13</t>
        </is>
      </c>
      <c r="AI42" s="39" t="inlineStr">
        <is>
          <t>• Vũ khí và giá: Đắt hơn nhưng kém tiêm kích thường ở vai trò chính.</t>
        </is>
      </c>
      <c r="AJ42" s="48" t="inlineStr">
        <is>
          <t>Trung</t>
        </is>
      </c>
    </row>
    <row r="43" ht="105.75" customHeight="1" s="32">
      <c r="A43" s="41"/>
      <c r="B43" s="41"/>
      <c r="C43" s="41"/>
      <c r="D43" s="41"/>
      <c r="E43" s="41"/>
      <c r="F43" s="41"/>
      <c r="G43" s="41"/>
      <c r="H43" s="41"/>
      <c r="I43" s="43"/>
      <c r="J43" s="43"/>
      <c r="K43" s="41"/>
      <c r="L43" s="43"/>
      <c r="M43" s="43"/>
      <c r="N43" s="43"/>
      <c r="O43" s="43"/>
      <c r="P43" s="43"/>
      <c r="Q43" s="43"/>
      <c r="R43" s="51"/>
      <c r="S43" s="51"/>
      <c r="T43" s="43"/>
      <c r="U43" s="43"/>
      <c r="V43" s="43"/>
      <c r="W43" s="43"/>
      <c r="X43" s="43"/>
      <c r="Y43" s="41"/>
      <c r="Z43" s="43"/>
      <c r="AA43" s="43"/>
      <c r="AB43" s="41"/>
      <c r="AC43" s="41"/>
      <c r="AD43" s="41"/>
      <c r="AE43" s="41"/>
      <c r="AF43" s="41"/>
      <c r="AG43" s="41"/>
      <c r="AH43" s="41"/>
      <c r="AI43" s="41"/>
      <c r="AJ43" s="48"/>
    </row>
    <row r="44" ht="105.75" customHeight="1" s="32">
      <c r="A44" s="39" t="inlineStr">
        <is>
          <t>attack_jet</t>
        </is>
      </c>
      <c r="B44" s="39" t="inlineStr">
        <is>
          <t>Máy bay cường kích</t>
        </is>
      </c>
      <c r="C44" s="39" t="inlineStr">
        <is>
          <t>Máy bay · bay</t>
        </is>
      </c>
      <c r="D44" s="39" t="inlineStr">
        <is>
          <t>bổ nhào càn quét bằng pháo 30 mm, giàn rốc-két 80 mm và bom 250 kg, kèm hai tên lửa chống tăng Kh-29 từ 40 m; hai R-60 chỉ đập nát xe nhẹ, xe tăng, tăng nặng, pháo binh và công sự, chịu đòn tốt hơn máy bay khác; xe phòng không, tên lửa phòng không</t>
        </is>
      </c>
      <c r="E44" s="39" t="inlineStr">
        <is>
          <t>Cường kích cánh thẳng, 2 động cơ ở gốc cánh, nhiều giá treo dưới cánh. Từ trên xuống: cánh thẳng rộng, ngắn hơn tiêm kích. Kích thước đề xuất khoảng 6.2 × 5.8 × 1.9 m (dài × rộng × cao; 0,4 × mẫu thật Su-25). Vũ khí nhìn thấy: GSh-30-2 30 mm, S-8 80 mm, FAB-250 (250 kg), Kh-29L, R-60. Vạch màu phe trên nóc và hai hông; không dùng phù hiệu, cờ hay logo quốc gia thật.</t>
        </is>
      </c>
      <c r="F44" s="39" t="inlineStr">
        <is>
          <t>thắng màn mở khóa trong chiến dịch, hoặc mua sớm 2.700 xu</t>
        </is>
      </c>
      <c r="G44" s="39" t="inlineStr">
        <is>
          <t>Chương 7</t>
        </is>
      </c>
      <c r="H44" s="39" t="inlineStr">
        <is>
          <t>1.500 xu</t>
        </is>
      </c>
      <c r="I44" s="42" t="n">
        <v>16</v>
      </c>
      <c r="J44" s="42" t="n">
        <v>1870</v>
      </c>
      <c r="K44" s="39" t="inlineStr">
        <is>
          <t>cấp 2 (Vừa)</t>
        </is>
      </c>
      <c r="L44" s="42" t="n">
        <v>32</v>
      </c>
      <c r="M44" s="42" t="n">
        <v>50</v>
      </c>
      <c r="N44" s="42" t="n">
        <v>441</v>
      </c>
      <c r="O44" s="42" t="n">
        <v>244</v>
      </c>
      <c r="P44" s="42" t="n">
        <v>17</v>
      </c>
      <c r="Q44" s="42" t="n">
        <v>265</v>
      </c>
      <c r="R44" s="50">
        <f>IFERROR(O44/I44,"")</f>
        <v/>
      </c>
      <c r="S44" s="50">
        <f>IFERROR(J44/I44,"")</f>
        <v/>
      </c>
      <c r="T44" s="42" t="n">
        <v>781</v>
      </c>
      <c r="U44" s="42" t="n">
        <v>913</v>
      </c>
      <c r="V44" s="42" t="n">
        <v>526</v>
      </c>
      <c r="W44" s="42" t="n">
        <v>47</v>
      </c>
      <c r="X44" s="42" t="n">
        <v>84</v>
      </c>
      <c r="Y44" s="39" t="inlineStr">
        <is>
          <t>54%</t>
        </is>
      </c>
      <c r="Z44" s="42" t="n">
        <v>60</v>
      </c>
      <c r="AA44" s="42" t="n">
        <v>1.27</v>
      </c>
      <c r="AB44" s="39" t="inlineStr">
        <is>
          <t>Su-25 Frogfoot, A-10 Thunderbolt II (model tank_buster), GSh-30-2 30 mm — Máy bay cường kích yểm trợ mặt đất</t>
        </is>
      </c>
      <c r="AC44" s="39" t="inlineStr">
        <is>
          <t>giáp 0, giáp 1, giáp 2, giáp 3, giáp 4, trên không, công trình</t>
        </is>
      </c>
      <c r="AD44" s="39" t="inlineStr">
        <is>
          <t>mảnh, năng lượng</t>
        </is>
      </c>
      <c r="AE44" s="39" t="inlineStr">
        <is>
          <t>bổ nhào càn quét bằng pháo 30 mm, giàn rốc-két 80 mm và bom 250 kg, kèm hai tên lửa chống tăng Kh-29 từ 40 m; hai R-60 chỉ</t>
        </is>
      </c>
      <c r="AF44" s="39" t="inlineStr">
        <is>
          <t>Bổ nhào xả hỏa lực vào mục tiêu, rồi vòng lại lượt khác; Sau mỗi lượt nó vòng lại và vào lượt mới; Bắn hết 94 viên thì thay băng; Ưu tiên xe bọc thép nhẹ, xe tăng, tăng hạng nặng, pháo binh, công sự; Hết đạn thì làm xong lượt tấn công, rồi ra vòng chờ sau tuyến quân ta; quay lại khi hồi được; một nửa; Máu thấp thì bay về Bãi đáp (không có thì về sở chỉ huy) để sửa; Pháo sáng: khi có tên lửa lao tới (mỗi 16 giây)</t>
        </is>
      </c>
      <c r="AG44" s="39" t="inlineStr">
        <is>
          <t>GSh-30-2 30 mm [Động năng, xuyên 2, đạn pháo động năng (pháo tự động)] 23/phát · băng 94 viên, 19 viên/s, thay 1 s · tầm 30 m · Mặt đất
S-8 80 mm [Nổ mạnh, xuyên 2, rốc-két nổ lan] 32/phát · loạt 8, hồi 4.05 s · tầm 34 m · Mặt đất
FAB-250 (250 kg) [Nổ mạnh, xuyên 2, bom thường đánh nóc] nổ lan/phát · 310 · tầm loạt 2, hồi 10.05 s · 26 m
Kh-29L [Nổ lõm, xuyên 4, tên lửa chống tăng dẫn đường] 378/phát · hồi 7.86 s · tầm 40 m · Mặt đất
R-60 [Mảnh, xuyên 2, tên lửa phòng không dẫn đường] nổ lan/phát · 184 · tầm hồi 7 s · 28 m</t>
        </is>
      </c>
      <c r="AH44" s="39" t="inlineStr">
        <is>
          <t>• Vũ khí: FAB-250: 1 quả
• Vũ khí: Kh-29L, R-60: Kh-29L: 32 (bay 1,25 s) · R-60: 42
• Giá: 18 CP
• Vũ khí: GSh-30-2: băng 70 viên, nạp 1,5 s</t>
        </is>
      </c>
      <c r="AI44" s="39" t="inlineStr">
        <is>
          <t>• Vũ khí: FAB-250: Giá trị lên công sự 1.156 cao nhất nhóm cùng giá.
• Vũ khí: Kh-29L, R-60: Tên lửa không đối đất nặng và tên lửa không đối không đang chậm nhất game.
• Giá: Mạnh nhất nhóm máy bay tính theo CP.
• Vũ khí: GSh-30-2: Lần cân bằng 2: vẫn mạnh sau khi tăng giá và bớt bom.</t>
        </is>
      </c>
      <c r="AJ44" s="47" t="inlineStr">
        <is>
          <t>Cao</t>
        </is>
      </c>
    </row>
    <row r="45" ht="84.75" customHeight="1" s="32">
      <c r="A45" s="41" t="inlineStr">
        <is>
          <t>stealth_bomber</t>
        </is>
      </c>
      <c r="B45" s="41" t="inlineStr">
        <is>
          <t>Máy bay ném bom tàng hình</t>
        </is>
      </c>
      <c r="C45" s="41" t="inlineStr">
        <is>
          <t>Máy bay · bay</t>
        </is>
      </c>
      <c r="D45" s="41" t="inlineStr">
        <is>
          <t>mỗi lượt thả ba quả bom cực lớn, phóng tên lửa JASSM từ 90 m; tàng hình: chỉ bị thấy ở gần hoặc ngay sau khi bắn. phá hủy công sự, tăng hạng nặng và pháo binh; một khi lộ diện, tên lửa phòng không và tiêm kích vẫn hạ được.</t>
        </is>
      </c>
      <c r="E45" s="41" t="inlineStr">
        <is>
          <t>Cánh bay hình chữ W răng cưa, không đuôi, rất rộng so với chiều dài. Từ trên xuống: hình boomerang răng cưa. Kích thước đề xuất khoảng 8.4 × 21.0 × 2.1 m (dài × rộng × cao; 0,4 × mẫu thật B-2 Spirit). Vũ khí nhìn thấy: GBU-31 JDAM (907 kg), AGM-158 JASSM (450 kg). Vạch màu phe trên nóc và hai hông; không dùng phù hiệu, cờ hay logo quốc gia thật.</t>
        </is>
      </c>
      <c r="F45" s="41" t="inlineStr">
        <is>
          <t>thẻ cao cấp, mua 5.000 xu</t>
        </is>
      </c>
      <c r="G45" s="41" t="inlineStr">
        <is>
          <t>Chương 10</t>
        </is>
      </c>
      <c r="H45" s="41" t="inlineStr">
        <is>
          <t>2.500 xu</t>
        </is>
      </c>
      <c r="I45" s="43" t="n">
        <v>18</v>
      </c>
      <c r="J45" s="43" t="n">
        <v>1980</v>
      </c>
      <c r="K45" s="41" t="inlineStr">
        <is>
          <t>cấp 0 (Không giáp)</t>
        </is>
      </c>
      <c r="L45" s="43" t="n">
        <v>28</v>
      </c>
      <c r="M45" s="43" t="n">
        <v>60</v>
      </c>
      <c r="N45" s="43" t="n">
        <v>114</v>
      </c>
      <c r="O45" s="43" t="n">
        <v>98</v>
      </c>
      <c r="P45" s="43" t="n">
        <v>0</v>
      </c>
      <c r="Q45" s="43" t="n">
        <v>157</v>
      </c>
      <c r="R45" s="51">
        <f>IFERROR(O45/I45,"")</f>
        <v/>
      </c>
      <c r="S45" s="51">
        <f>IFERROR(J45/I45,"")</f>
        <v/>
      </c>
      <c r="T45" s="43" t="n">
        <v>336</v>
      </c>
      <c r="U45" s="43" t="n">
        <v>546</v>
      </c>
      <c r="V45" s="43" t="n">
        <v>862</v>
      </c>
      <c r="W45" s="43" t="n">
        <v>0</v>
      </c>
      <c r="X45" s="43" t="n">
        <v>286</v>
      </c>
      <c r="Y45" s="41" t="inlineStr">
        <is>
          <t>19%</t>
        </is>
      </c>
      <c r="Z45" s="43" t="n">
        <v>80</v>
      </c>
      <c r="AA45" s="43" t="n">
        <v>1</v>
      </c>
      <c r="AB45" s="41" t="inlineStr">
        <is>
          <t>B-2 Spirit, GBU-31 JDAM, AGM-158 JASSM — Máy bay ném bom tàng hình cánh bay</t>
        </is>
      </c>
      <c r="AC45" s="41" t="inlineStr">
        <is>
          <t>giáp 0, giáp 1, giáp 2, giáp 3, giáp 4, công trình</t>
        </is>
      </c>
      <c r="AD45" s="41" t="inlineStr">
        <is>
          <t>mảnh, năng lượng</t>
        </is>
      </c>
      <c r="AE45" s="41" t="inlineStr">
        <is>
          <t>mỗi lượt thả ba quả bom cực lớn, phóng tên lửa JASSM từ 90 m; tàng hình: chỉ bị thấy ở gần hoặc ngay sau khi bắn.</t>
        </is>
      </c>
      <c r="AF45" s="41" t="inlineStr">
        <is>
          <t>Bay qua mục tiêu và thả bom theo lượt; Sau mỗi lượt nó vòng lại và vào lượt mới; Ưu tiên cụm xe và công trình; không ném bom gần quân ta; Chỉ vào lượt ném khi có đủ 2/3 số bom; thiếu thì chờ ở vòng chờ; Máu thấp thì bay về Bãi đáp (không có thì về sở chỉ huy) để sửa; Pháo sáng: khi có tên lửa lao tới (mỗi 11 giây); Khó phát hiện: địch chỉ thấy ở 40% tầm nhìn; Oanh tạc cơ hạng nặng</t>
        </is>
      </c>
      <c r="AG45" s="41" t="inlineStr">
        <is>
          <t>GBU-31 JDAM (907 kg) [Nổ mạnh, xuyên 4, bom hạng nặng đánh nóc] nổ lan/phát · 892 · tầm loạt 2, hồi 14 s · 30 m
AGM-158 JASSM (450 kg) [Nổ mạnh, xuyên 3, tên lửa hành trình dẫn đường] nổ lan/phát · 410 · tầm loạt 2, hồi 9.24 s · 90 m</t>
        </is>
      </c>
      <c r="AH45" s="41" t="inlineStr">
        <is>
          <t>• Giá: 21 CP
• Vũ khí: JASSM: nổ lan 9 m · tốc độ 20 (bay 4,5 s, đủ để bị đánh chặn)</t>
        </is>
      </c>
      <c r="AI45" s="41" t="inlineStr">
        <is>
          <t>• Giá: Máy bay ném bom tàng hình đắt nhất thế giới lại rẻ hơn B-52; hiệu quả sau đổi giá vẫn gần trung vị.
• Vũ khí: JASSM: Đầu nổ 450 kg đang nổ nhỏ hơn bom 250 kg.</t>
        </is>
      </c>
      <c r="AJ45" s="48" t="inlineStr">
        <is>
          <t>Trung</t>
        </is>
      </c>
    </row>
    <row r="46" ht="74.25" customHeight="1" s="32">
      <c r="A46" s="39" t="inlineStr">
        <is>
          <t>heavy_bomber</t>
        </is>
      </c>
      <c r="B46" s="39" t="inlineStr">
        <is>
          <t>Oanh tạc cơ hạng nặng</t>
        </is>
      </c>
      <c r="C46" s="39" t="inlineStr">
        <is>
          <t>Máy bay · bay</t>
        </is>
      </c>
      <c r="D46" s="39" t="inlineStr">
        <is>
          <t>bay qua và thả một hàng 12 quả bom nặng; phóng tên lửa hành trình từ 110 m; súng đuôi bắn máy bay. san phẳng công sự, pháo binh và cụm xe nhẹ; sợ tên lửa phòng không và tiêm kích.</t>
        </is>
      </c>
      <c r="E46" s="39" t="inlineStr">
        <is>
          <t>Oanh tạc cơ 8 động cơ treo thành 4 cặp dưới cánh xuôi dài, thân dài, đuôi cao. Lớn nhất trong máy bay của người chơi. Từ trên xuống: cánh xuôi dài với 4 cặp động cơ. Kích thước đề xuất khoảng 19.4 × 22.6 × 5.0 m (dài × rộng × cao; 0,4 × mẫu thật B-52). Vũ khí nhìn thấy: FAB-500 (500 kg), M3 12.7 mm (quad tail), Kh-101 (400 kg). Vạch màu phe trên nóc và hai hông; không dùng phù hiệu, cờ hay logo quốc gia thật.</t>
        </is>
      </c>
      <c r="F46" s="39" t="inlineStr">
        <is>
          <t>thẻ cao cấp, mua 4.000 xu</t>
        </is>
      </c>
      <c r="G46" s="39" t="inlineStr">
        <is>
          <t>Chương 9</t>
        </is>
      </c>
      <c r="H46" s="39" t="inlineStr">
        <is>
          <t>1.500 xu</t>
        </is>
      </c>
      <c r="I46" s="42" t="n">
        <v>22</v>
      </c>
      <c r="J46" s="42" t="n">
        <v>3300</v>
      </c>
      <c r="K46" s="39" t="inlineStr">
        <is>
          <t>cấp 0 (Không giáp)</t>
        </is>
      </c>
      <c r="L46" s="42" t="n">
        <v>22</v>
      </c>
      <c r="M46" s="42" t="n">
        <v>50</v>
      </c>
      <c r="N46" s="42" t="n">
        <v>156</v>
      </c>
      <c r="O46" s="42" t="n">
        <v>149</v>
      </c>
      <c r="P46" s="42" t="n">
        <v>23</v>
      </c>
      <c r="Q46" s="42" t="n">
        <v>228</v>
      </c>
      <c r="R46" s="50">
        <f>IFERROR(O46/I46,"")</f>
        <v/>
      </c>
      <c r="S46" s="50">
        <f>IFERROR(J46/I46,"")</f>
        <v/>
      </c>
      <c r="T46" s="42" t="n">
        <v>399</v>
      </c>
      <c r="U46" s="42" t="n">
        <v>600</v>
      </c>
      <c r="V46" s="42" t="n">
        <v>971</v>
      </c>
      <c r="W46" s="42" t="n">
        <v>28</v>
      </c>
      <c r="X46" s="42" t="n">
        <v>218</v>
      </c>
      <c r="Y46" s="39" t="inlineStr">
        <is>
          <t>33%</t>
        </is>
      </c>
      <c r="Z46" s="42" t="n">
        <v>71</v>
      </c>
      <c r="AA46" s="42" t="n">
        <v>1.13</v>
      </c>
      <c r="AB46" s="39" t="inlineStr">
        <is>
          <t>B-52 Stratofortress, FAB-500, Kh-101 — Máy bay ném bom chiến lược tám động cơ</t>
        </is>
      </c>
      <c r="AC46" s="39" t="inlineStr">
        <is>
          <t>giáp 0, giáp 1, giáp 2, giáp 3, công trình</t>
        </is>
      </c>
      <c r="AD46" s="39" t="inlineStr">
        <is>
          <t>mảnh, năng lượng</t>
        </is>
      </c>
      <c r="AE46" s="39" t="inlineStr">
        <is>
          <t>bay qua và thả một hàng 12 quả bom nặng; phóng tên lửa hành trình từ 110 m; súng đuôi bắn máy bay.</t>
        </is>
      </c>
      <c r="AF46" s="39" t="inlineStr">
        <is>
          <t>Bay qua mục tiêu và thả bom theo lượt; Sau mỗi lượt nó vòng lại và vào lượt mới; Ưu tiên cụm xe và công trình; không ném bom gần quân ta; Chỉ vào lượt ném khi có đủ 2/3 số bom; thiếu thì chờ ở vòng chờ; Máu thấp thì bay về Bãi đáp (không có thì về sở chỉ huy) để sửa; Pháo sáng: khi có tên lửa lao tới (mỗi 11 giây); Pháo hạm AC-130</t>
        </is>
      </c>
      <c r="AG46" s="39" t="inlineStr">
        <is>
          <t>FAB-500 (500 kg) [Nổ mạnh, xuyên 3, bom thường đánh nóc] nổ lan/phát · 420 · tầm loạt 9, hồi 11 s · 28 m
M3 12.7 mm (quad tail) [Động năng, xuyên 1, đạn súng (cỡ lớn)] 10/phát · băng 26 viên, 60 viên/s, thay 2.78 s · tầm 30 m · Trên không
Kh-101 (400 kg) [Nổ mạnh, xuyên 3, tên lửa hành trình dẫn đường] nổ lan/phát · 378 · tầm hồi 11.2 s · 110 m</t>
        </is>
      </c>
      <c r="AH46" s="39" t="inlineStr">
        <is>
          <t>• Vũ khí: Kh-101: nổ lan 9 m · tốc độ 22 (bay 5 s)
• Vũ khí: FAB-500: 7 quả mỗi lượt</t>
        </is>
      </c>
      <c r="AI46" s="39" t="inlineStr">
        <is>
          <t>• Vũ khí: Kh-101: Như JASSM.
• Vũ khí: FAB-500: Lần cân bằng 2: vẫn mạnh hơn trung vị máy bay cả khi đo DPS và giá trị thực chiến.</t>
        </is>
      </c>
      <c r="AJ46" s="48" t="inlineStr">
        <is>
          <t>Trung</t>
        </is>
      </c>
    </row>
    <row r="47" ht="63.75" customHeight="1" s="32">
      <c r="A47" s="41" t="inlineStr">
        <is>
          <t>sky_gunship</t>
        </is>
      </c>
      <c r="B47" s="41" t="inlineStr">
        <is>
          <t>Pháo hạm AC-130</t>
        </is>
      </c>
      <c r="C47" s="41" t="inlineStr">
        <is>
          <t>Máy bay · bay</t>
        </is>
      </c>
      <c r="D47" s="41" t="inlineStr">
        <is>
          <t>bay tới nơi bạn chỉ định và bay vòng ngược chiều kim đồng hồ quanh địch ở đó, cách chừng 22 m, pháo 105, 40 và 25 mm cùng bắn nghiền nát xe nhẹ, xe tăng, pháo binh và tháp; không bắn được máy bay nên sợ tên lửa phòng không và tiêm kích.</t>
        </is>
      </c>
      <c r="E47" s="41" t="inlineStr">
        <is>
          <t>Máy bay vận tải 4 động cơ cánh quạt, pháo 105 mm, 40 mm, 25 mm thò ra bên mạn trái. Cùng khung với Máy bay mẹ. Từ trên xuống: như máy bay vận tải, 3 nòng lệch trái. Kích thước đề xuất khoảng 11.9 × 16.2 × 4.6 m (dài × rộng × cao; 0,4 × mẫu thật AC-130). Vũ khí nhìn thấy: M102 105 mm, Bofors L/60 40 mm, GAU-12 Equalizer 25 mm. Vạch màu phe trên nóc và hai hông; không dùng phù hiệu, cờ hay logo quốc gia thật.</t>
        </is>
      </c>
      <c r="F47" s="41" t="inlineStr">
        <is>
          <t>thẻ cao cấp, mua 4.500 xu</t>
        </is>
      </c>
      <c r="G47" s="41" t="inlineStr">
        <is>
          <t>Chương 10</t>
        </is>
      </c>
      <c r="H47" s="41" t="inlineStr">
        <is>
          <t>2.500 xu</t>
        </is>
      </c>
      <c r="I47" s="43" t="n">
        <v>22</v>
      </c>
      <c r="J47" s="43" t="n">
        <v>4400</v>
      </c>
      <c r="K47" s="41" t="inlineStr">
        <is>
          <t>cấp 0 (Không giáp)</t>
        </is>
      </c>
      <c r="L47" s="43" t="n">
        <v>16</v>
      </c>
      <c r="M47" s="43" t="n">
        <v>64</v>
      </c>
      <c r="N47" s="43" t="n">
        <v>376</v>
      </c>
      <c r="O47" s="43" t="n">
        <v>188</v>
      </c>
      <c r="P47" s="43" t="n">
        <v>0</v>
      </c>
      <c r="Q47" s="43" t="n">
        <v>359</v>
      </c>
      <c r="R47" s="51">
        <f>IFERROR(O47/I47,"")</f>
        <v/>
      </c>
      <c r="S47" s="51">
        <f>IFERROR(J47/I47,"")</f>
        <v/>
      </c>
      <c r="T47" s="41" t="n"/>
      <c r="U47" s="41" t="n"/>
      <c r="V47" s="41" t="n"/>
      <c r="W47" s="41" t="n"/>
      <c r="X47" s="41" t="n"/>
      <c r="Y47" s="41" t="n"/>
      <c r="Z47" s="41" t="n"/>
      <c r="AA47" s="41" t="n"/>
      <c r="AB47" s="41" t="inlineStr">
        <is>
          <t>AC-130U Spooky (M102 105 mm, Bofors 40 mm, GAU-12 25 mm) — Pháo hạm bay bắn sang trái, dàn pháo theo AC-130U</t>
        </is>
      </c>
      <c r="AC47" s="41" t="inlineStr">
        <is>
          <t>giáp 0, giáp 1, giáp 2, công trình</t>
        </is>
      </c>
      <c r="AD47" s="41" t="inlineStr">
        <is>
          <t>mảnh, năng lượng</t>
        </is>
      </c>
      <c r="AE47" s="41" t="inlineStr">
        <is>
          <t>bay tới nơi bạn chỉ định và bay vòng ngược chiều kim đồng hồ quanh địch ở đó, cách chừng 22 m, pháo 105, 40 và 25 mm cùng bắn</t>
        </is>
      </c>
      <c r="AF47" s="41" t="inlineStr">
        <is>
          <t>Bay vòng quanh mục tiêu, bắn từ mạn; Ưu tiên xe bọc thép nhẹ, xe tăng, pháo binh; Máu thấp thì bay về Bãi đáp (không có thì về sở chỉ huy) để sửa; Pháo sáng: khi có tên lửa lao tới (mỗi 11 giây); Hạng nặng (6); Xe công sự</t>
        </is>
      </c>
      <c r="AG47" s="41" t="inlineStr">
        <is>
          <t>M102 105 mm [Nổ mạnh, xuyên 2, đạn pháo nổ mạnh nổ lan] 200/phát · hồi 2.743 s · tầm 58 m · Mặt đất
Bofors L/60 40 mm [Nổ mạnh, xuyên 2, đạn pháo động năng (pháo tự động) nổ lan] 30/phát · băng 29 viên, 6 viên/s, thay 1 s · tầm 55 m · Mặt đất
GAU-12 Equalizer 25 mm [Động năng, xuyên 2, đạn pháo động năng (pháo tự động)] 17/phát · băng 56 viên, 11 viên/s, thay 1 s · tầm 50 m · Mặt đất</t>
        </is>
      </c>
      <c r="AH47" s="41" t="inlineStr">
        <is>
          <t>Giữ.</t>
        </is>
      </c>
      <c r="AI47" s="41" t="inlineStr">
        <is>
          <t>Xe hỗ trợ, chưa có chỉ số đo; giữ.</t>
        </is>
      </c>
      <c r="AJ47" s="49" t="inlineStr">
        <is>
          <t>Thấp</t>
        </is>
      </c>
    </row>
    <row r="48" ht="53.25" customHeight="1" s="32">
      <c r="A48" s="39"/>
      <c r="B48" s="39"/>
      <c r="C48" s="39"/>
      <c r="D48" s="39"/>
      <c r="E48" s="39"/>
      <c r="F48" s="39"/>
      <c r="G48" s="39"/>
      <c r="H48" s="39"/>
      <c r="I48" s="42"/>
      <c r="J48" s="42"/>
      <c r="K48" s="39"/>
      <c r="L48" s="42"/>
      <c r="M48" s="42"/>
      <c r="N48" s="42"/>
      <c r="O48" s="42"/>
      <c r="P48" s="42"/>
      <c r="Q48" s="42"/>
      <c r="R48" s="50"/>
      <c r="S48" s="50"/>
      <c r="T48" s="42"/>
      <c r="U48" s="42"/>
      <c r="V48" s="42"/>
      <c r="W48" s="42"/>
      <c r="X48" s="42"/>
      <c r="Y48" s="39"/>
      <c r="Z48" s="42"/>
      <c r="AA48" s="42"/>
      <c r="AB48" s="39"/>
      <c r="AC48" s="39"/>
      <c r="AD48" s="39"/>
      <c r="AE48" s="39"/>
      <c r="AF48" s="39"/>
      <c r="AG48" s="39"/>
      <c r="AH48" s="39"/>
      <c r="AI48" s="39"/>
      <c r="AJ48" s="49"/>
    </row>
    <row r="49" ht="42.75" customHeight="1" s="32">
      <c r="A49" s="41" t="inlineStr">
        <is>
          <t>armored_bulldozer</t>
        </is>
      </c>
      <c r="B49" s="41" t="inlineStr">
        <is>
          <t>Xe ủi bọc thép</t>
        </is>
      </c>
      <c r="C49" s="41" t="inlineStr">
        <is>
          <t>Hạng nặng</t>
        </is>
      </c>
      <c r="D49" s="41" t="inlineStr">
        <is>
          <t>chỉ có súng máy trên nóc; lưỡi ủi húc tháp, lô cốt và nhà cửa với sát thương gấp ba (4 m), ủi phẳng răng rồng khi lao qua, và chỉ phá công sự ở cự ly gần tốt nhất; gần như không làm gì được xe tăng, và xe diệt tăng, tên lửa chống tăng cùng mọi thứ bắn xa hơn</t>
        </is>
      </c>
      <c r="E49" s="41" t="inlineStr">
        <is>
          <t>Xe ủi xích bọc thép hộp, lưỡi ủi rất lớn, ca-bin kính chống đạn có lưới. Từ trên xuống: lưỡi ủi rộng hơn thân. Kích thước đề xuất khoảng 6.5 × 3.7 × 3.2 m (dài × rộng × cao; 0,8 × mẫu thật IDF D9R). Vũ khí nhìn thấy: dozer blade, M2 Browning 12.7 mm. Vạch màu phe trên nóc và hai hông; không dùng phù hiệu, cờ hay logo quốc gia thật.</t>
        </is>
      </c>
      <c r="F49" s="41" t="inlineStr">
        <is>
          <t>thắng màn mở khóa trong chiến dịch, hoặc mua sớm 1.350 xu</t>
        </is>
      </c>
      <c r="G49" s="41" t="inlineStr">
        <is>
          <t>Chương 4</t>
        </is>
      </c>
      <c r="H49" s="41" t="inlineStr">
        <is>
          <t>800 xu</t>
        </is>
      </c>
      <c r="I49" s="43" t="n">
        <v>7</v>
      </c>
      <c r="J49" s="43" t="n">
        <v>2860</v>
      </c>
      <c r="K49" s="41" t="inlineStr">
        <is>
          <t>3/3/2/2</t>
        </is>
      </c>
      <c r="L49" s="43" t="n">
        <v>5</v>
      </c>
      <c r="M49" s="43" t="n">
        <v>30</v>
      </c>
      <c r="N49" s="43" t="n">
        <v>91</v>
      </c>
      <c r="O49" s="43" t="n">
        <v>37</v>
      </c>
      <c r="P49" s="43" t="n">
        <v>16</v>
      </c>
      <c r="Q49" s="43" t="n">
        <v>41</v>
      </c>
      <c r="R49" s="51">
        <f>IFERROR(O49/I49,"")</f>
        <v/>
      </c>
      <c r="S49" s="51">
        <f>IFERROR(J49/I49,"")</f>
        <v/>
      </c>
      <c r="T49" s="43" t="n">
        <v>523</v>
      </c>
      <c r="U49" s="43" t="n">
        <v>227</v>
      </c>
      <c r="V49" s="43" t="n">
        <v>378</v>
      </c>
      <c r="W49" s="43" t="n">
        <v>14</v>
      </c>
      <c r="X49" s="43" t="n">
        <v>239</v>
      </c>
      <c r="Y49" s="41" t="inlineStr">
        <is>
          <t>75%</t>
        </is>
      </c>
      <c r="Z49" s="43" t="n">
        <v>72</v>
      </c>
      <c r="AA49" s="43" t="n">
        <v>0.96</v>
      </c>
      <c r="AB49" s="41" t="inlineStr">
        <is>
          <t>IDF Caterpillar D9R — Xe ủi bọc thép chiến đấu</t>
        </is>
      </c>
      <c r="AC49" s="41" t="inlineStr">
        <is>
          <t>giáp 0, giáp 1, giáp 2, giáp 3, công trình</t>
        </is>
      </c>
      <c r="AD49" s="41" t="inlineStr">
        <is>
          <t>nổ mạnh, đánh nóc, nổ lõm, pháo xe tăng</t>
        </is>
      </c>
      <c r="AE49" s="41" t="inlineStr">
        <is>
          <t>chỉ có súng máy trên nóc; lưỡi ủi húc tháp, lô cốt và nhà cửa với sát thương gấp ba (4 m), ủi phẳng răng rồng khi lao qua, và chỉ</t>
        </is>
      </c>
      <c r="AF49" s="41" t="inlineStr">
        <is>
          <t>Vừa chạy vừa bắn; Tăng chủ lực</t>
        </is>
      </c>
      <c r="AG49" s="41" t="inlineStr">
        <is>
          <t>dozer blade [Động năng, xuyên 3, cận chiến (lưỡi ủi)] 110/phát · hồi 1.6 s · tầm 4.5 m · Mặt đất
M2 Browning 12.7 mm [Động năng, xuyên 1, đạn súng (cỡ lớn)] 10/phát · băng 28 viên, 9 viên/s, thay 2.02 s · tầm 30 m · Tất cả</t>
        </is>
      </c>
      <c r="AH49" s="41" t="inlineStr">
        <is>
          <t>Giữ.</t>
        </is>
      </c>
      <c r="AI49" s="41" t="inlineStr">
        <is>
          <t>Giá trị thực chiến nằm trong khoảng mục tiêu (hiệu quả 0.96 × trung vị vai trò).</t>
        </is>
      </c>
      <c r="AJ49" s="49" t="inlineStr">
        <is>
          <t>Thấp</t>
        </is>
      </c>
    </row>
    <row r="50" ht="63.75" customHeight="1" s="32">
      <c r="A50" s="39" t="inlineStr">
        <is>
          <t>main_battle_tank</t>
        </is>
      </c>
      <c r="B50" s="39" t="inlineStr">
        <is>
          <t>Tăng chủ lực</t>
        </is>
      </c>
      <c r="C50" s="39" t="inlineStr">
        <is>
          <t>Hạng nặng</t>
        </is>
      </c>
      <c r="D50" s="39" t="inlineStr">
        <is>
          <t>pháo 120 mm xuyên giáp vừa chạy vừa bắn ở tầm trung, súng máy trên nóc, súng đồng trục bắn máy bay khi mặt đất đã sạch. thắng xe nhẹ, trinh sát và phòng không; thua tăng hạng nặng, xe diệt tăng và trực thăng.</t>
        </is>
      </c>
      <c r="E50" s="39" t="inlineStr">
        <is>
          <t>Tăng chủ lực thân thấp dài, tháp góc cạnh, nòng 120 mm dài (vượt mũi ~1/3 thân), 7 bánh chịu lực. Dài hơn Xe bộ binh khoảng 1,5 lần. Từ trên xuống: tháp to ở giữa, nòng dài. Kích thước đề xuất khoảng 7.7 × 3.0 × 2.2 m (dài × rộng × cao; 0,8 × mẫu thật Leopard 2A4 / M1A1). Vũ khí nhìn thấy: Rh-120 L/44 120 mm, PKT / M240 7.62 mm, M2 Browning 12.7 mm. Vạch màu phe trên nóc và hai hông; không dùng phù hiệu, cờ hay logo quốc gia thật.</t>
        </is>
      </c>
      <c r="F50" s="39" t="inlineStr">
        <is>
          <t>có sẵn từ đầu</t>
        </is>
      </c>
      <c r="G50" s="39" t="inlineStr">
        <is>
          <t>Có sẵn</t>
        </is>
      </c>
      <c r="H50" s="39" t="inlineStr">
        <is>
          <t>—</t>
        </is>
      </c>
      <c r="I50" s="42" t="n">
        <v>7</v>
      </c>
      <c r="J50" s="42" t="n">
        <v>1980</v>
      </c>
      <c r="K50" s="39" t="inlineStr">
        <is>
          <t>3/2/1/1</t>
        </is>
      </c>
      <c r="L50" s="42" t="n">
        <v>6</v>
      </c>
      <c r="M50" s="42" t="n">
        <v>30</v>
      </c>
      <c r="N50" s="42" t="n">
        <v>126</v>
      </c>
      <c r="O50" s="42" t="n">
        <v>65</v>
      </c>
      <c r="P50" s="42" t="n">
        <v>28</v>
      </c>
      <c r="Q50" s="42" t="n">
        <v>57</v>
      </c>
      <c r="R50" s="50">
        <f>IFERROR(O50/I50,"")</f>
        <v/>
      </c>
      <c r="S50" s="50">
        <f>IFERROR(J50/I50,"")</f>
        <v/>
      </c>
      <c r="T50" s="42" t="n">
        <v>567</v>
      </c>
      <c r="U50" s="42" t="n">
        <v>324</v>
      </c>
      <c r="V50" s="42" t="n">
        <v>104</v>
      </c>
      <c r="W50" s="42" t="n">
        <v>8</v>
      </c>
      <c r="X50" s="42" t="n">
        <v>326</v>
      </c>
      <c r="Y50" s="39" t="inlineStr">
        <is>
          <t>71%</t>
        </is>
      </c>
      <c r="Z50" s="42" t="n">
        <v>57</v>
      </c>
      <c r="AA50" s="42" t="n">
        <v>0.84</v>
      </c>
      <c r="AB50" s="39" t="inlineStr">
        <is>
          <t>Leopard 2A4 (Rh-120 L/44), M1A1 Abrams (M256 120 mm) — Xe tăng chủ lực pháo nòng trơn 120 mm, giáp phản ứng nổ</t>
        </is>
      </c>
      <c r="AC50" s="39" t="inlineStr">
        <is>
          <t>giáp 0, giáp 1, giáp 2, giáp 3, giáp 4, công trình</t>
        </is>
      </c>
      <c r="AD50" s="39" t="inlineStr">
        <is>
          <t>nổ mạnh, đánh nóc, nổ lõm, pháo xe tăng</t>
        </is>
      </c>
      <c r="AE50" s="39" t="inlineStr">
        <is>
          <t>pháo 120 mm xuyên giáp vừa chạy vừa bắn ở tầm trung, súng máy trên nóc, súng đồng trục bắn máy bay khi mặt đất đã sạch.</t>
        </is>
      </c>
      <c r="AF50" s="39" t="inlineStr">
        <is>
          <t>Vừa chạy vừa bắn                                                                                    R; S; K; T; P; S; B; T</t>
        </is>
      </c>
      <c r="AG50" s="39" t="inlineStr">
        <is>
          <t>Rh-120 L/44 120 mm [Động năng, xuyên 4, đạn pháo động năng (≥120 mm) nổ lan] 240/phát · hồi 5.098 s · tầm 32 m · Mặt đất
PKT / M240 7.62 mm [Động năng, xuyên 0, đạn súng] 6/phát · băng 41 viên, 12 viên/s, thay 1.59 s · tầm 20 m · Tất cả
M2 Browning 12.7 mm [Động năng, xuyên 1, đạn súng (cỡ lớn)] 10/phát · băng 28 viên, 9 viên/s, thay 2.02 s · tầm 30 m · Tất cả</t>
        </is>
      </c>
      <c r="AH50" s="39" t="inlineStr">
        <is>
          <t>Giữ.</t>
        </is>
      </c>
      <c r="AI50" s="39" t="inlineStr">
        <is>
          <t>Giá trị thực chiến nằm trong khoảng mục tiêu (hiệu quả 0.84 × trung vị vai trò).</t>
        </is>
      </c>
      <c r="AJ50" s="49" t="inlineStr">
        <is>
          <t>Thấp</t>
        </is>
      </c>
    </row>
    <row r="51" ht="63.75" customHeight="1" s="32">
      <c r="A51" s="41" t="inlineStr">
        <is>
          <t>twin_tank</t>
        </is>
      </c>
      <c r="B51" s="41" t="inlineStr">
        <is>
          <t>Tăng hai nòng</t>
        </is>
      </c>
      <c r="C51" s="41" t="inlineStr">
        <is>
          <t>Hạng nặng</t>
        </is>
      </c>
      <c r="D51" s="41" t="inlineStr">
        <is>
          <t>hai pháo 120 mm bắn gần như cùng lúc, một phát đôi ở 34 m, rồi nạp lâu (7 giây); tháp xoay nhanh, chạy nhanh hơn tăng nặng; phát mở màn thắng tay đôi với tăng chủ lực và tăng nặng; bắn lại chậm, nên xe diệt tăng, trực thăng và bầy xe nhẹ bào mòn được</t>
        </is>
      </c>
      <c r="E51" s="41" t="inlineStr">
        <is>
          <t>Tăng lớn hơn MBT ~15%, tháp rộng mang 2 nòng song song. Từ trên xuống: 2 nòng song song nổi bật. Kích thước hiện 6.9 × 3.0 × 2.9 m. Vũ khí nhìn thấy: Rh-120 L/44 120 mm (twin), PKT / M240 7.62 mm, M2 Browning 12.7 mm. Vạch màu phe trên nóc và hai hông; không dùng phù hiệu, cờ hay logo quốc gia thật.</t>
        </is>
      </c>
      <c r="F51" s="41" t="inlineStr">
        <is>
          <t>thắng màn mở khóa trong chiến dịch, hoặc mua sớm 1.650 xu</t>
        </is>
      </c>
      <c r="G51" s="41" t="inlineStr">
        <is>
          <t>Chương 6</t>
        </is>
      </c>
      <c r="H51" s="41" t="inlineStr">
        <is>
          <t>800 xu</t>
        </is>
      </c>
      <c r="I51" s="43" t="n">
        <v>9</v>
      </c>
      <c r="J51" s="43" t="n">
        <v>2530</v>
      </c>
      <c r="K51" s="41" t="inlineStr">
        <is>
          <t>3/2/1/1</t>
        </is>
      </c>
      <c r="L51" s="43" t="n">
        <v>6</v>
      </c>
      <c r="M51" s="43" t="n">
        <v>32</v>
      </c>
      <c r="N51" s="43" t="n">
        <v>181</v>
      </c>
      <c r="O51" s="43" t="n">
        <v>111</v>
      </c>
      <c r="P51" s="43" t="n">
        <v>28</v>
      </c>
      <c r="Q51" s="43" t="n">
        <v>90</v>
      </c>
      <c r="R51" s="51">
        <f>IFERROR(O51/I51,"")</f>
        <v/>
      </c>
      <c r="S51" s="51">
        <f>IFERROR(J51/I51,"")</f>
        <v/>
      </c>
      <c r="T51" s="43" t="n">
        <v>611</v>
      </c>
      <c r="U51" s="43" t="n">
        <v>470</v>
      </c>
      <c r="V51" s="43" t="n">
        <v>149</v>
      </c>
      <c r="W51" s="43" t="n">
        <v>8</v>
      </c>
      <c r="X51" s="43" t="n">
        <v>540</v>
      </c>
      <c r="Y51" s="41" t="inlineStr">
        <is>
          <t>71%</t>
        </is>
      </c>
      <c r="Z51" s="43" t="n">
        <v>65</v>
      </c>
      <c r="AA51" s="43" t="n">
        <v>1.04</v>
      </c>
      <c r="AB51" s="41" t="inlineStr">
        <is>
          <t>Rh-120 L/44 (hai nòng) · Mammoth Tank (Command &amp; Conquer), Apocalypse Tank (Red Alert 2) — ước đoán: xe tăng hai nòng đặt</t>
        </is>
      </c>
      <c r="AC51" s="41" t="inlineStr">
        <is>
          <t>giáp 0, giáp 1, giáp 2, giáp 3, giáp 4, công trình</t>
        </is>
      </c>
      <c r="AD51" s="41" t="inlineStr">
        <is>
          <t>nổ mạnh, đánh nóc, nổ lõm, pháo xe tăng</t>
        </is>
      </c>
      <c r="AE51" s="41" t="inlineStr">
        <is>
          <t>hai pháo 120 mm bắn gần như cùng lúc, một phát đôi ở 34 m, rồi nạp lâu (7 giây); tháp xoay nhanh, chạy nhanh hơn tăng nặng;</t>
        </is>
      </c>
      <c r="AF51" s="41" t="inlineStr">
        <is>
          <t>Vừa chạy vừa bắn                                                                                    R; S; K; T; P; S; B; T</t>
        </is>
      </c>
      <c r="AG51" s="41" t="inlineStr">
        <is>
          <t>Rh-120 L/44 120 mm (twin) [Động năng, xuyên 4, đạn pháo động năng (≥120 mm) nổ lan] 240/phát · loạt 2, hồi 5.113 s · tầm 34 m · Mặt đất
PKT / M240 7.62 mm [Động năng, xuyên 0, đạn súng] 6/phát · băng 41 viên, 12 viên/s, thay 1.59 s · tầm 20 m · Tất cả
M2 Browning 12.7 mm [Động năng, xuyên 1, đạn súng (cỡ lớn)] 10/phát · băng 28 viên, 9 viên/s, thay 2.02 s · tầm 30 m · Tất cả</t>
        </is>
      </c>
      <c r="AH51" s="41" t="inlineStr">
        <is>
          <t>Giữ.</t>
        </is>
      </c>
      <c r="AI51" s="41" t="inlineStr">
        <is>
          <t>Giá trị thực chiến nằm trong khoảng mục tiêu (hiệu quả 1.04 × trung vị vai trò).</t>
        </is>
      </c>
      <c r="AJ51" s="49" t="inlineStr">
        <is>
          <t>Thấp</t>
        </is>
      </c>
    </row>
    <row r="52" ht="63.75" customHeight="1" s="32">
      <c r="A52" s="39" t="inlineStr">
        <is>
          <t>heavy_tank</t>
        </is>
      </c>
      <c r="B52" s="39" t="inlineStr">
        <is>
          <t>Tăng hạng nặng</t>
        </is>
      </c>
      <c r="C52" s="39" t="inlineStr">
        <is>
          <t>Hạng nặng</t>
        </is>
      </c>
      <c r="D52" s="39" t="inlineStr">
        <is>
          <t>pháo 152 mm tự đổi đạn xuyên khi bắn xe có giáp và đạn nổ mạnh khi bắn công trình hoặc cụm xe nhẹ; pháo 30 mm bên cạnh đáp trụ lâu nhất khi đối đầu và phá công sự mạnh nhất; chậm, nên sợ xe diệt tăng, pháo binh và máy bay.</t>
        </is>
      </c>
      <c r="E52" s="39" t="inlineStr">
        <is>
          <t>Tăng rất nặng, thân dài, tháp nhỏ không người lái góc cạnh, nòng 152 mm to và dài, 7 bánh. Từ trên xuống: nòng rất to. Kích thước đề xuất khoảng 8.0 × 2.9 × 2.4 m (dài × rộng × cao; 0,8 × mẫu thật Object 195). Vũ khí nhìn thấy: 2A83 152 mm, 2A42 30 mm, M2 Browning 12.7 mm. Vạch màu phe trên nóc và hai hông; không dùng phù hiệu, cờ hay logo quốc gia thật.</t>
        </is>
      </c>
      <c r="F52" s="39" t="inlineStr">
        <is>
          <t>thắng màn mở khóa trong chiến dịch, hoặc mua sớm 2.100 xu</t>
        </is>
      </c>
      <c r="G52" s="39" t="inlineStr">
        <is>
          <t>Chương 6</t>
        </is>
      </c>
      <c r="H52" s="39" t="inlineStr">
        <is>
          <t>800 xu</t>
        </is>
      </c>
      <c r="I52" s="42" t="n">
        <v>12</v>
      </c>
      <c r="J52" s="42" t="n">
        <v>3520</v>
      </c>
      <c r="K52" s="39" t="inlineStr">
        <is>
          <t>4/3/2/2</t>
        </is>
      </c>
      <c r="L52" s="42" t="n">
        <v>4.2</v>
      </c>
      <c r="M52" s="42" t="n">
        <v>30</v>
      </c>
      <c r="N52" s="42" t="n">
        <v>179</v>
      </c>
      <c r="O52" s="42" t="n">
        <v>102</v>
      </c>
      <c r="P52" s="42" t="n">
        <v>16</v>
      </c>
      <c r="Q52" s="42" t="n">
        <v>90</v>
      </c>
      <c r="R52" s="50">
        <f>IFERROR(O52/I52,"")</f>
        <v/>
      </c>
      <c r="S52" s="50">
        <f>IFERROR(J52/I52,"")</f>
        <v/>
      </c>
      <c r="T52" s="42" t="n">
        <v>556</v>
      </c>
      <c r="U52" s="42" t="n">
        <v>446</v>
      </c>
      <c r="V52" s="42" t="n">
        <v>362</v>
      </c>
      <c r="W52" s="42" t="n">
        <v>9</v>
      </c>
      <c r="X52" s="42" t="n">
        <v>449</v>
      </c>
      <c r="Y52" s="39" t="inlineStr">
        <is>
          <t>74%</t>
        </is>
      </c>
      <c r="Z52" s="42" t="n">
        <v>80</v>
      </c>
      <c r="AA52" s="42" t="n">
        <v>1.16</v>
      </c>
      <c r="AB52" s="39" t="inlineStr">
        <is>
          <t>Object 195 / T-95 (2A83 152 mm), T-14 Armata (bản 152 mm) — Siêu tăng bảy bánh chịu lực, tháp góc cạnh, pháo 152 mm</t>
        </is>
      </c>
      <c r="AC52" s="39" t="inlineStr">
        <is>
          <t>giáp 0, giáp 1, giáp 2, giáp 3, giáp 4, công trình</t>
        </is>
      </c>
      <c r="AD52" s="39" t="inlineStr">
        <is>
          <t>nổ mạnh, đánh nóc, nổ lõm, pháo xe tăng</t>
        </is>
      </c>
      <c r="AE52" s="39" t="inlineStr">
        <is>
          <t>pháo 152 mm tự đổi đạn xuyên khi bắn xe có giáp và đạn nổ mạnh khi bắn công trình hoặc cụm xe nhẹ; pháo 30 mm bên cạnh đáp</t>
        </is>
      </c>
      <c r="AF52" s="39" t="inlineStr">
        <is>
          <t>Vừa chạy vừa bắn                                                                              2A83 15; Sát thư; Không b; Tự đổi; Tầm bắn; 2A42 30; Sát thư; Băng 18</t>
        </is>
      </c>
      <c r="AG52" s="39" t="inlineStr">
        <is>
          <t>2A83 152 mm [Động năng, xuyên 4, đạn pháo động năng (≥120 mm) nổ lan] 320/phát · hồi 5.714 s · tầm 34 m · Mặt đất
2A42 30 mm [Động năng, xuyên 2, đạn pháo động năng (pháo tự động)] 22/phát · băng 18 viên, 3 viên/s, thay 1 s · tầm 30 m · Mặt đất
M2 Browning 12.7 mm [Động năng, xuyên 1, đạn súng (cỡ lớn)] 10/phát · băng 28 viên, 9 viên/s, thay 2.02 s · tầm 30 m · Tất cả</t>
        </is>
      </c>
      <c r="AH52" s="39" t="inlineStr">
        <is>
          <t>• Tham khảo, giá: bỏ T-14 khỏi tham khảo, giữ Object 195 / T-95 · giá 13 CP</t>
        </is>
      </c>
      <c r="AI52" s="39" t="inlineStr">
        <is>
          <t>• Tham khảo, giá: Tránh vướng danh sách giữ lại; hơi mạnh so với giá.</t>
        </is>
      </c>
      <c r="AJ52" s="48" t="inlineStr">
        <is>
          <t>Trung</t>
        </is>
      </c>
    </row>
    <row r="53" ht="84.75" customHeight="1" s="32">
      <c r="A53" s="41" t="inlineStr">
        <is>
          <t>titan_tank</t>
        </is>
      </c>
      <c r="B53" s="41" t="inlineStr">
        <is>
          <t>Siêu tăng Titan</t>
        </is>
      </c>
      <c r="C53" s="41" t="inlineStr">
        <is>
          <t>Hạng nặng</t>
        </is>
      </c>
      <c r="D53" s="41" t="inlineStr">
        <is>
          <t>pháo đôi 140 mm bắn loạt đôi tới 40 m, kèm tên lửa chống tăng và hai súng máy. nghiền nát xe tăng, xe nhẹ và công sự; bị xe diệt tăng, pháo binh và máy bay bào dần.</t>
        </is>
      </c>
      <c r="E53" s="41" t="inlineStr">
        <is>
          <t>Siêu tăng 4 dải xích (2 mỗi bên), tháp lớn với 2 nòng 140 mm, các tháp phụ súng máy. To hơn Tăng hạng nặng ≥ 20%. Từ trên xuống: rộng như 2 xe tăng. Kích thước hiện 10.4 × 3.6 × 3.5 m. Vũ khí nhìn thấy: NPzK 140 mm (twin), PKT / M240 7.62 mm, M2 Browning 12.7 mm, BGM-71 TOW-2. Vạch màu phe trên nóc và hai hông; không dùng phù hiệu, cờ hay logo quốc gia thật.</t>
        </is>
      </c>
      <c r="F53" s="41" t="inlineStr">
        <is>
          <t>thẻ cao cấp, mua 3.000 xu</t>
        </is>
      </c>
      <c r="G53" s="41" t="inlineStr">
        <is>
          <t>Chương 11</t>
        </is>
      </c>
      <c r="H53" s="41" t="inlineStr">
        <is>
          <t>2.500 xu</t>
        </is>
      </c>
      <c r="I53" s="43" t="n">
        <v>16</v>
      </c>
      <c r="J53" s="43" t="n">
        <v>5720</v>
      </c>
      <c r="K53" s="41" t="inlineStr">
        <is>
          <t>4/3/2/2</t>
        </is>
      </c>
      <c r="L53" s="43" t="n">
        <v>4.6</v>
      </c>
      <c r="M53" s="43" t="n">
        <v>34</v>
      </c>
      <c r="N53" s="43" t="n">
        <v>241</v>
      </c>
      <c r="O53" s="43" t="n">
        <v>161</v>
      </c>
      <c r="P53" s="43" t="n">
        <v>28</v>
      </c>
      <c r="Q53" s="43" t="n">
        <v>126</v>
      </c>
      <c r="R53" s="51">
        <f>IFERROR(O53/I53,"")</f>
        <v/>
      </c>
      <c r="S53" s="51">
        <f>IFERROR(J53/I53,"")</f>
        <v/>
      </c>
      <c r="T53" s="43" t="n">
        <v>617</v>
      </c>
      <c r="U53" s="43" t="n">
        <v>642</v>
      </c>
      <c r="V53" s="43" t="n">
        <v>344</v>
      </c>
      <c r="W53" s="43" t="n">
        <v>5</v>
      </c>
      <c r="X53" s="43" t="n">
        <v>647</v>
      </c>
      <c r="Y53" s="41" t="inlineStr">
        <is>
          <t>67%</t>
        </is>
      </c>
      <c r="Z53" s="43" t="n">
        <v>83</v>
      </c>
      <c r="AA53" s="43" t="n">
        <v>1.36</v>
      </c>
      <c r="AB53" s="41" t="inlineStr">
        <is>
          <t>Rheinmetall NPzK 140 mm, dáng siêu tăng khái niệm tương lai · Mammoth Tank (Command &amp; Conquer) — ước đoán: siêu tăng hai nòng 140 mm, giáp composite, APS và cảm biến hiện đại, có tháp phụ</t>
        </is>
      </c>
      <c r="AC53" s="41" t="inlineStr">
        <is>
          <t>giáp 0, giáp 1, giáp 2, giáp 3, giáp 4, công trình</t>
        </is>
      </c>
      <c r="AD53" s="41" t="inlineStr">
        <is>
          <t>nổ mạnh, đánh nóc, nổ lõm, pháo xe tăng</t>
        </is>
      </c>
      <c r="AE53" s="41" t="inlineStr">
        <is>
          <t>pháo đôi 140 mm bắn loạt đôi tới 40 m, kèm tên lửa chống tăng và hai súng máy.</t>
        </is>
      </c>
      <c r="AF53" s="41" t="inlineStr">
        <is>
          <t>Vừa chạy vừa bắn; Diệt tăng (6); Xe phóng drone FPV</t>
        </is>
      </c>
      <c r="AG53" s="41" t="inlineStr">
        <is>
          <t>NPzK 140 mm (twin) [Động năng, xuyên 4, đạn pháo động năng (≥120 mm) nổ lan] 290/phát · loạt 2, hồi 4.487 s · tầm 40 m · Mặt đất
PKT / M240 7.62 mm [Động năng, xuyên 0, đạn súng] 6/phát · băng 41 viên, 12 viên/s, thay 1.59 s · tầm 20 m · Tất cả
M2 Browning 12.7 mm [Động năng, xuyên 1, đạn súng (cỡ lớn)] 10/phát · băng 28 viên, 9 viên/s, thay 2.02 s · tầm 30 m · Tất cả
BGM-71 TOW-2 [Nổ lõm, xuyên 4, tên lửa chống tăng dẫn đường] 190/phát · hồi 12.33 s · tầm 34 m · Mặt đất</t>
        </is>
      </c>
      <c r="AH53" s="41" t="inlineStr">
        <is>
          <t>• Tốc độ, giá: 4,0 m/s · 18 CP</t>
        </is>
      </c>
      <c r="AI53" s="41" t="inlineStr">
        <is>
          <t>• Tốc độ, giá: Nặng hơn Tăng hạng nặng mà chạy nhanh hơn; hiệu quả cao nhất nhóm hạng nặng.</t>
        </is>
      </c>
      <c r="AJ53" s="48" t="inlineStr">
        <is>
          <t>Trung</t>
        </is>
      </c>
    </row>
    <row r="54" ht="53.25" customHeight="1" s="32">
      <c r="A54" s="39" t="inlineStr">
        <is>
          <t>fpv_carrier</t>
        </is>
      </c>
      <c r="B54" s="39" t="inlineStr">
        <is>
          <t>Xe phóng drone FPV</t>
        </is>
      </c>
      <c r="C54" s="39" t="inlineStr">
        <is>
          <t>Diệt tăng</t>
        </is>
      </c>
      <c r="D54" s="39" t="inlineStr">
        <is>
          <t>dừng lại rồi phóng lần lượt từng chiếc drone cảm tử, vài giây một chiếc, lao xuống xe bọc thép cách 12–75 m; hết mười sáu chiếc thì phá nát xe tăng và tăng nặng từ xa; tăng APS, la-de phòng không và xe gây nhiễu chặn drone, xe tăng rùa gần như miễn nhiễm.</t>
        </is>
      </c>
      <c r="E54" s="39" t="inlineStr">
        <is>
          <t>Xe bọc thép MRAP thân cao chữ V, giá phóng drone FPV nhiều ngăn trên nóc sau. Từ trên xuống: lưới ô vuông nhỏ ở sau. Kích thước đề xuất khoảng 7.2 × 2.0 × 2.6 m (dài × rộng × cao; 0,8 × mẫu thật KamAZ Typhoon-K). Vũ khí nhìn thấy: FPV drone (1.5 kg), M2 Browning 12.7 mm. Vạch màu phe trên nóc và hai hông; không dùng phù hiệu, cờ hay logo quốc gia thật.</t>
        </is>
      </c>
      <c r="F54" s="39" t="inlineStr">
        <is>
          <t>thắng màn mở khóa trong chiến dịch, hoặc mua sớm 1.200 xu</t>
        </is>
      </c>
      <c r="G54" s="39" t="inlineStr">
        <is>
          <t>Chương 5</t>
        </is>
      </c>
      <c r="H54" s="39" t="inlineStr">
        <is>
          <t>800 xu</t>
        </is>
      </c>
      <c r="I54" s="42" t="n">
        <v>6</v>
      </c>
      <c r="J54" s="42" t="n">
        <v>924</v>
      </c>
      <c r="K54" s="39" t="inlineStr">
        <is>
          <t>1/0/0/0</t>
        </is>
      </c>
      <c r="L54" s="42" t="n">
        <v>9</v>
      </c>
      <c r="M54" s="42" t="n">
        <v>48</v>
      </c>
      <c r="N54" s="42" t="n">
        <v>87</v>
      </c>
      <c r="O54" s="42" t="n">
        <v>55</v>
      </c>
      <c r="P54" s="42" t="n">
        <v>16</v>
      </c>
      <c r="Q54" s="42" t="n">
        <v>54</v>
      </c>
      <c r="R54" s="50">
        <f>IFERROR(O54/I54,"")</f>
        <v/>
      </c>
      <c r="S54" s="50">
        <f>IFERROR(J54/I54,"")</f>
        <v/>
      </c>
      <c r="T54" s="42" t="n">
        <v>327</v>
      </c>
      <c r="U54" s="42" t="n">
        <v>500</v>
      </c>
      <c r="V54" s="42" t="n">
        <v>442</v>
      </c>
      <c r="W54" s="42" t="n">
        <v>2</v>
      </c>
      <c r="X54" s="42" t="n">
        <v>469</v>
      </c>
      <c r="Y54" s="39" t="inlineStr">
        <is>
          <t>87%</t>
        </is>
      </c>
      <c r="Z54" s="42" t="n">
        <v>79</v>
      </c>
      <c r="AA54" s="42" t="n">
        <v>1.07</v>
      </c>
      <c r="AB54" s="39" t="inlineStr">
        <is>
          <t>KamAZ Typhoon-K, RG-33 MRAP, drone FPV (chiến sự Ukraine) — Xe MRAP phóng drone cảm tử FPV</t>
        </is>
      </c>
      <c r="AC54" s="39" t="inlineStr">
        <is>
          <t>giáp 0, giáp 1, giáp 2, giáp 3, công trình</t>
        </is>
      </c>
      <c r="AD54" s="39" t="inlineStr">
        <is>
          <t>súng máy hạng nặng, lửa, pháo tự động, nổ mạnh, năng lượng, đánh nóc, nổ lõm, pháo xe tăng</t>
        </is>
      </c>
      <c r="AE54" s="39" t="inlineStr">
        <is>
          <t>dừng lại rồi phóng lần lượt từng chiếc drone cảm tử, vài giây một chiếc, lao xuống xe bọc thép cách 12–75 m; hết mười sáu chiếc thì</t>
        </is>
      </c>
      <c r="AF54" s="39" t="inlineStr">
        <is>
          <t>Dừng lại mới bắn, từ 12-75 m; cần ta nhìn thấy mục tiêu (tự nó hoặc quân bạn); Hết đạn thì nạp lại tại chỗ, hoặc tới Xe tiếp đạn hay về nhà khi nhanh hơn; Xe phóng Lancet</t>
        </is>
      </c>
      <c r="AG54" s="39" t="inlineStr">
        <is>
          <t>FPV drone (1.5 kg) [Nổ lõm, xuyên 3, drone (FPV) đánh nóc] dẫn đường/phát · nổ lan · tầm 140 · hồi 2.8 s
M2 Browning 12.7 mm [Động năng, xuyên 1, đạn súng (cỡ lớn)] 10/phát · băng 28 viên, 9 viên/s, thay 2.02 s · tầm 18 m · Tất cả</t>
        </is>
      </c>
      <c r="AH54" s="39" t="inlineStr">
        <is>
          <t>Giữ.</t>
        </is>
      </c>
      <c r="AI54" s="39" t="inlineStr">
        <is>
          <t>Giá trị thực chiến nằm trong khoảng mục tiêu (hiệu quả 1.07 × trung vị vai trò).</t>
        </is>
      </c>
      <c r="AJ54" s="49" t="inlineStr">
        <is>
          <t>Thấp</t>
        </is>
      </c>
    </row>
    <row r="55" ht="42.75" customHeight="1" s="32">
      <c r="A55" s="41"/>
      <c r="B55" s="41"/>
      <c r="C55" s="41"/>
      <c r="D55" s="41"/>
      <c r="E55" s="41"/>
      <c r="F55" s="41"/>
      <c r="G55" s="41"/>
      <c r="H55" s="41"/>
      <c r="I55" s="43"/>
      <c r="J55" s="43"/>
      <c r="K55" s="41"/>
      <c r="L55" s="43"/>
      <c r="M55" s="43"/>
      <c r="N55" s="43"/>
      <c r="O55" s="43"/>
      <c r="P55" s="43"/>
      <c r="Q55" s="43"/>
      <c r="R55" s="51"/>
      <c r="S55" s="51"/>
      <c r="T55" s="43"/>
      <c r="U55" s="43"/>
      <c r="V55" s="43"/>
      <c r="W55" s="43"/>
      <c r="X55" s="43"/>
      <c r="Y55" s="41"/>
      <c r="Z55" s="43"/>
      <c r="AA55" s="43"/>
      <c r="AB55" s="41"/>
      <c r="AC55" s="41"/>
      <c r="AD55" s="41"/>
      <c r="AE55" s="41"/>
      <c r="AF55" s="41"/>
      <c r="AG55" s="41"/>
      <c r="AH55" s="41"/>
      <c r="AI55" s="41"/>
      <c r="AJ55" s="49"/>
    </row>
    <row r="56" ht="42.75" customHeight="1" s="32">
      <c r="A56" s="39" t="inlineStr">
        <is>
          <t>wheeled_gun</t>
        </is>
      </c>
      <c r="B56" s="39" t="inlineStr">
        <is>
          <t>Pháo bánh lốp diệt tăng</t>
        </is>
      </c>
      <c r="C56" s="39" t="inlineStr">
        <is>
          <t>Diệt tăng</t>
        </is>
      </c>
      <c r="D56" s="39" t="inlineStr">
        <is>
          <t>pháo 120 mm xuyên giáp (như Centauro II) vừa chạy vừa bắn tới 38 m, khoảng 70 sát thương mỗi giây lên giáp dày, +25% khi trúng chạy vòng tuyến xe tăng và trừng phạt hai bên sườn; giáp mỏng nên đấu thẳng với tăng là thua, pháo tự động xé nát nó.</t>
        </is>
      </c>
      <c r="E56" s="39" t="inlineStr">
        <is>
          <t>Xe 8 bánh, tháp pháo tăng đầy đủ với nòng 120 mm dài. Từ trên xuống: như xe tăng nhưng 4 cặp bánh. Kích thước đề xuất khoảng 7.9 × 2.4 × 2.2 m (dài × rộng × cao; 0,8 × mẫu thật Centauro II). Vũ khí nhìn thấy: Centauro II 120 mm, PKT / M240 7.62 mm. Vạch màu phe trên nóc và hai hông; không dùng phù hiệu, cờ hay logo quốc gia thật.</t>
        </is>
      </c>
      <c r="F56" s="39" t="inlineStr">
        <is>
          <t>thắng màn mở khóa trong chiến dịch, hoặc mua sớm 1.200 xu</t>
        </is>
      </c>
      <c r="G56" s="39" t="inlineStr">
        <is>
          <t>Chương 4</t>
        </is>
      </c>
      <c r="H56" s="39" t="inlineStr">
        <is>
          <t>800 xu</t>
        </is>
      </c>
      <c r="I56" s="42" t="n">
        <v>6</v>
      </c>
      <c r="J56" s="42" t="n">
        <v>1914</v>
      </c>
      <c r="K56" s="39" t="inlineStr">
        <is>
          <t>2/1/0/0</t>
        </is>
      </c>
      <c r="L56" s="42" t="n">
        <v>12</v>
      </c>
      <c r="M56" s="42" t="n">
        <v>38</v>
      </c>
      <c r="N56" s="42" t="n">
        <v>136</v>
      </c>
      <c r="O56" s="42" t="n">
        <v>99</v>
      </c>
      <c r="P56" s="42" t="n">
        <v>12</v>
      </c>
      <c r="Q56" s="42" t="n">
        <v>75</v>
      </c>
      <c r="R56" s="50">
        <f>IFERROR(O56/I56,"")</f>
        <v/>
      </c>
      <c r="S56" s="50">
        <f>IFERROR(J56/I56,"")</f>
        <v/>
      </c>
      <c r="T56" s="42" t="n">
        <v>565</v>
      </c>
      <c r="U56" s="42" t="n">
        <v>469</v>
      </c>
      <c r="V56" s="42" t="n">
        <v>408</v>
      </c>
      <c r="W56" s="42" t="n">
        <v>1</v>
      </c>
      <c r="X56" s="42" t="n">
        <v>513</v>
      </c>
      <c r="Y56" s="39" t="inlineStr">
        <is>
          <t>74%</t>
        </is>
      </c>
      <c r="Z56" s="42" t="n">
        <v>49</v>
      </c>
      <c r="AA56" s="42" t="n">
        <v>1.01</v>
      </c>
      <c r="AB56" s="39" t="inlineStr">
        <is>
          <t>Centauro B1 / Centauro II 120 mm, M1128 MGS, Rooikat — Pháo chống tăng bánh lốp 8x8</t>
        </is>
      </c>
      <c r="AC56" s="39" t="inlineStr">
        <is>
          <t>giáp 0, giáp 1, giáp 2, giáp 3, giáp 4, công trình</t>
        </is>
      </c>
      <c r="AD56" s="39" t="inlineStr">
        <is>
          <t>lửa, pháo tự động, nổ mạnh, năng lượng, đánh nóc, nổ lõm, pháo xe tăng</t>
        </is>
      </c>
      <c r="AE56" s="39" t="inlineStr">
        <is>
          <t>pháo 120 mm xuyên giáp (như Centauro II) vừa chạy vừa bắn tới 38 m, khoảng 70 sát thương mỗi giây lên giáp dày, +25% khi trúng</t>
        </is>
      </c>
      <c r="AF56" s="39" t="inlineStr">
        <is>
          <t>Vừa chạy vừa bắn; Pháo chống tăng</t>
        </is>
      </c>
      <c r="AG56" s="39" t="inlineStr">
        <is>
          <t>Centauro II 120 mm [Động năng, xuyên 4, đạn pháo động năng (≥120 mm)] 258/phát · hồi 2.75 s · tầm 38 m · Mặt đất
PKT / M240 7.62 mm [Động năng, xuyên 0, đạn súng] 6/phát · băng 41 viên, 12 viên/s, thay 1.59 s · tầm 20 m · Tất cả</t>
        </is>
      </c>
      <c r="AH56" s="39" t="inlineStr">
        <is>
          <t>• Máu: 1.500
• Vũ khí: 120 mm: 0,27 phát/s (DPS duy trì 94→~70)</t>
        </is>
      </c>
      <c r="AI56" s="39" t="inlineStr">
        <is>
          <t>• Máu: Xe bánh lốp giáp nhẹ không thể trâu như tăng.
• Vũ khí: 120 mm: Nạp tay không thể nhanh hơn tăng chủ lực; đang lấn át Pháo chống tăng.</t>
        </is>
      </c>
      <c r="AJ56" s="47" t="inlineStr">
        <is>
          <t>Cao</t>
        </is>
      </c>
    </row>
    <row r="57" ht="53.25" customHeight="1" s="32">
      <c r="A57" s="41" t="inlineStr">
        <is>
          <t>tank_destroyer</t>
        </is>
      </c>
      <c r="B57" s="41" t="inlineStr">
        <is>
          <t>Pháo chống tăng</t>
        </is>
      </c>
      <c r="C57" s="41" t="inlineStr">
        <is>
          <t>Diệt tăng</t>
        </is>
      </c>
      <c r="D57" s="41" t="inlineStr">
        <is>
          <t>pháo 125 mm xuyên giáp (như pháo tự hành 2S25), vừa chạy vừa bắn, xa hơn và nạp nhanh hơn pháo tăng chủ lực; súng máy nóc hạ xe tăng, tăng hạng nặng và boss từ ngoài tầm với của chúng; sợ pháo binh và xe nhẹ áp sát.</t>
        </is>
      </c>
      <c r="E57" s="41" t="inlineStr">
        <is>
          <t>Pháo chống tăng thân thấp, tháp nhỏ với nòng 125 mm rất dài (gần bằng thân). Từ trên xuống: nòng rất dài so với thân nhỏ. Kích thước đề xuất khoảng 7.8 × 2.5 × 2.4 m (dài × rộng × cao; 0,8 × mẫu thật 2S25 Sprut-SD). Vũ khí nhìn thấy: 2A75 125 mm (2S25 Sprut), M2 Browning 12.7 mm. Vạch màu phe trên nóc và hai hông; không dùng phù hiệu, cờ hay logo quốc gia thật.</t>
        </is>
      </c>
      <c r="F57" s="41" t="inlineStr">
        <is>
          <t>thắng màn mở khóa trong chiến dịch, hoặc mua sớm 1.350 xu</t>
        </is>
      </c>
      <c r="G57" s="41" t="inlineStr">
        <is>
          <t>Chương 4</t>
        </is>
      </c>
      <c r="H57" s="41" t="inlineStr">
        <is>
          <t>800 xu</t>
        </is>
      </c>
      <c r="I57" s="43" t="n">
        <v>7</v>
      </c>
      <c r="J57" s="43" t="n">
        <v>1364</v>
      </c>
      <c r="K57" s="41" t="inlineStr">
        <is>
          <t>3/2/1/1</t>
        </is>
      </c>
      <c r="L57" s="43" t="n">
        <v>7</v>
      </c>
      <c r="M57" s="43" t="n">
        <v>34</v>
      </c>
      <c r="N57" s="43" t="n">
        <v>128</v>
      </c>
      <c r="O57" s="43" t="n">
        <v>82</v>
      </c>
      <c r="P57" s="43" t="n">
        <v>16</v>
      </c>
      <c r="Q57" s="43" t="n">
        <v>66</v>
      </c>
      <c r="R57" s="51">
        <f>IFERROR(O57/I57,"")</f>
        <v/>
      </c>
      <c r="S57" s="51">
        <f>IFERROR(J57/I57,"")</f>
        <v/>
      </c>
      <c r="T57" s="43" t="n">
        <v>552</v>
      </c>
      <c r="U57" s="43" t="n">
        <v>366</v>
      </c>
      <c r="V57" s="43" t="n">
        <v>452</v>
      </c>
      <c r="W57" s="43" t="n">
        <v>5</v>
      </c>
      <c r="X57" s="43" t="n">
        <v>353</v>
      </c>
      <c r="Y57" s="41" t="inlineStr">
        <is>
          <t>73%</t>
        </is>
      </c>
      <c r="Z57" s="43" t="n">
        <v>65</v>
      </c>
      <c r="AA57" s="43" t="n">
        <v>0.78</v>
      </c>
      <c r="AB57" s="41" t="inlineStr">
        <is>
          <t>2S25 Sprut-SD (2A75 125 mm) — Pháo chống tăng thân thấp, tháp hở, nòng rất dài</t>
        </is>
      </c>
      <c r="AC57" s="41" t="inlineStr">
        <is>
          <t>giáp 0, giáp 1, giáp 2, giáp 3, giáp 4, công trình</t>
        </is>
      </c>
      <c r="AD57" s="41" t="inlineStr">
        <is>
          <t>nổ mạnh, đánh nóc, nổ lõm, pháo xe tăng</t>
        </is>
      </c>
      <c r="AE57" s="41" t="inlineStr">
        <is>
          <t>pháo 125 mm xuyên giáp (như pháo tự hành 2S25), vừa chạy vừa bắn, xa hơn và nạp nhanh hơn pháo tăng chủ lực; súng máy nóc</t>
        </is>
      </c>
      <c r="AF57" s="41" t="inlineStr">
        <is>
          <t>Vừa chạy vừa bắn; Xe súng điện từ</t>
        </is>
      </c>
      <c r="AG57" s="41" t="inlineStr">
        <is>
          <t>2A75 125 mm (2S25 Sprut) [Động năng, xuyên 4, đạn pháo động năng (≥120 mm)] 260/phát · hồi 3.773 s · tầm 40 m · Mặt đất
M2 Browning 12.7 mm [Động năng, xuyên 1, đạn súng (cỡ lớn)] 10/phát · băng 28 viên, 9 viên/s, thay 2.02 s · tầm 30 m · Tất cả</t>
        </is>
      </c>
      <c r="AH57" s="41" t="inlineStr">
        <is>
          <t>• Giáp: trước 2 / hông 1 / sau 1 / nóc 0
• Tầm, nhịp, giá: tầm 46 · 0,30 phát/s · 6 CP</t>
        </is>
      </c>
      <c r="AI57" s="41" t="inlineStr">
        <is>
          <t>• Giáp: 2S25 Sprut-SD là pháo chống tăng thả dù, giáp rất mỏng.
• Tầm, nhịp, giá: Bù lại giáp mỏng bằng tầm bắn tỉa; hiện kém các xe diệt tăng khác.</t>
        </is>
      </c>
      <c r="AJ57" s="48" t="inlineStr">
        <is>
          <t>Trung</t>
        </is>
      </c>
    </row>
    <row r="58" ht="42.75" customHeight="1" s="32">
      <c r="A58" s="39" t="inlineStr">
        <is>
          <t>railgun_truck</t>
        </is>
      </c>
      <c r="B58" s="39" t="inlineStr">
        <is>
          <t>Xe súng điện từ</t>
        </is>
      </c>
      <c r="C58" s="39" t="inlineStr">
        <is>
          <t>Diệt tăng</t>
        </is>
      </c>
      <c r="D58" s="39" t="inlineStr">
        <is>
          <t>đứng yên nạp năng lượng 0,9 giây (cuộn dây phát sáng), rồi bắn viên đạn xuyên thủng mọi xe trên đường bay, xa tới 90 m. xuyên thủng cả hàng xe tăng và tăng nặng từ rất xa; bắn chậm, bị áp sát là thua.</t>
        </is>
      </c>
      <c r="E58" s="39" t="inlineStr">
        <is>
          <t>Xe 8 bánh mang 2 ray dẫn song song dài có cuộn tụ điện và tấm tản nhiệt phát sáng xanh. Từ trên xuống: 2 ray dài song song. Kích thước hiện 9.7 × 2.9 × 3.7 m. Vũ khí nhìn thấy: railgun (32 MJ) 32 mm. Vạch màu phe trên nóc và hai hông; không dùng phù hiệu, cờ hay logo quốc gia thật.</t>
        </is>
      </c>
      <c r="F58" s="39" t="inlineStr">
        <is>
          <t>thắng màn mở khóa trong chiến dịch, hoặc mua sớm 1.650 xu</t>
        </is>
      </c>
      <c r="G58" s="39" t="inlineStr">
        <is>
          <t>Chương 4: chiến lợi phẩm từ xác Tempest</t>
        </is>
      </c>
      <c r="H58" s="39" t="inlineStr">
        <is>
          <t>Không mua sớm được</t>
        </is>
      </c>
      <c r="I58" s="42" t="n">
        <v>9</v>
      </c>
      <c r="J58" s="42" t="n">
        <v>924</v>
      </c>
      <c r="K58" s="39" t="inlineStr">
        <is>
          <t>1/0/0/0</t>
        </is>
      </c>
      <c r="L58" s="42" t="n">
        <v>6.5</v>
      </c>
      <c r="M58" s="42" t="n">
        <v>40</v>
      </c>
      <c r="N58" s="42" t="n">
        <v>87</v>
      </c>
      <c r="O58" s="42" t="n">
        <v>73</v>
      </c>
      <c r="P58" s="42" t="n">
        <v>0</v>
      </c>
      <c r="Q58" s="42" t="n">
        <v>52</v>
      </c>
      <c r="R58" s="50">
        <f>IFERROR(O58/I58,"")</f>
        <v/>
      </c>
      <c r="S58" s="50">
        <f>IFERROR(J58/I58,"")</f>
        <v/>
      </c>
      <c r="T58" s="42" t="n">
        <v>445</v>
      </c>
      <c r="U58" s="42" t="n">
        <v>570</v>
      </c>
      <c r="V58" s="42" t="n">
        <v>348</v>
      </c>
      <c r="W58" s="42" t="n">
        <v>0</v>
      </c>
      <c r="X58" s="42" t="n">
        <v>578</v>
      </c>
      <c r="Y58" s="39" t="inlineStr">
        <is>
          <t>82%</t>
        </is>
      </c>
      <c r="Z58" s="42" t="n">
        <v>79</v>
      </c>
      <c r="AA58" s="42" t="n">
        <v>1.22</v>
      </c>
      <c r="AB58" s="39" t="inlineStr">
        <is>
          <t>ATLA railgun (Nhật Bản), US Navy EMRG — Xe tải 8x8 mang pháo điện từ ray kép</t>
        </is>
      </c>
      <c r="AC58" s="39" t="inlineStr">
        <is>
          <t>giáp 0, giáp 1, giáp 2, giáp 3, giáp 4, công trình</t>
        </is>
      </c>
      <c r="AD58" s="39" t="inlineStr">
        <is>
          <t>súng máy hạng nặng, lửa, pháo tự động, nổ mạnh, năng lượng, đánh nóc, nổ lõm, pháo xe tăng</t>
        </is>
      </c>
      <c r="AE58" s="39" t="inlineStr">
        <is>
          <t>đứng yên nạp năng lượng 0,9 giây (cuộn dây phát sáng), rồi bắn viên đạn xuyên thủng mọi xe trên đường bay, xa tới 90 m.</t>
        </is>
      </c>
      <c r="AF58" s="39" t="inlineStr">
        <is>
          <t>Dừng lại mới bắn; Xe la-de tập trung</t>
        </is>
      </c>
      <c r="AG58" s="39" t="inlineStr">
        <is>
          <t>railgun (32 MJ) 32 mm [Động năng, xuyên 4, đạn pháo động năng (điện từ)] 510/phát · hồi 7 s · tầm 90 m · Mặt đất</t>
        </is>
      </c>
      <c r="AH58" s="39" t="inlineStr">
        <is>
          <t>• Giá: 10 CP</t>
        </is>
      </c>
      <c r="AI58" s="39" t="inlineStr">
        <is>
          <t>• Giá: Mạnh nhất nhóm diệt tăng.</t>
        </is>
      </c>
      <c r="AJ58" s="49" t="inlineStr">
        <is>
          <t>Thấp</t>
        </is>
      </c>
    </row>
    <row r="59" ht="42.75" customHeight="1" s="32">
      <c r="A59" s="41" t="inlineStr">
        <is>
          <t>laser_tank</t>
        </is>
      </c>
      <c r="B59" s="41" t="inlineStr">
        <is>
          <t>Xe la-de tập trung</t>
        </is>
      </c>
      <c r="C59" s="41" t="inlineStr">
        <is>
          <t>Diệt tăng</t>
        </is>
      </c>
      <c r="D59" s="41" t="inlineStr">
        <is>
          <t>tia năng lượng (40 m) tăng từ ×0,3 lên ×2 trong 6 giây trên cùng một mục tiêu, đổi mục tiêu thì về lại mức thấp; xuyên cả giáp dày nung chảy xe tăng nặng và boss; APS, giáp phản ứng nổ và lồng chắn không cản được, nhưng màn khói cắt 80% tia và bầy xe nhỏ</t>
        </is>
      </c>
      <c r="E59" s="41" t="inlineStr">
        <is>
          <t>Khung xích mang đầu phát laser trên giá chạc, gương tròn lớn, tấm tản nhiệt hai bên. Từ trên xuống: đĩa gương tròn trên giá chạc. Kích thước hiện 6.3 × 2.7 × 2.6 m. Vũ khí nhìn thấy: focused laser (300 kW) 300 mm. Vạch màu phe trên nóc và hai hông; không dùng phù hiệu, cờ hay logo quốc gia thật.</t>
        </is>
      </c>
      <c r="F59" s="41" t="inlineStr">
        <is>
          <t>thắng màn mở khóa trong chiến dịch, hoặc mua sớm 1.800 xu</t>
        </is>
      </c>
      <c r="G59" s="41" t="inlineStr">
        <is>
          <t>Chương 9</t>
        </is>
      </c>
      <c r="H59" s="41" t="inlineStr">
        <is>
          <t>1.500 xu</t>
        </is>
      </c>
      <c r="I59" s="43" t="n">
        <v>10</v>
      </c>
      <c r="J59" s="43" t="n">
        <v>1540</v>
      </c>
      <c r="K59" s="41" t="inlineStr">
        <is>
          <t>3/2/1/1</t>
        </is>
      </c>
      <c r="L59" s="43" t="n">
        <v>6.5</v>
      </c>
      <c r="M59" s="43" t="n">
        <v>38</v>
      </c>
      <c r="N59" s="43" t="n">
        <v>128</v>
      </c>
      <c r="O59" s="43" t="n">
        <v>106</v>
      </c>
      <c r="P59" s="43" t="n">
        <v>0</v>
      </c>
      <c r="Q59" s="43" t="n">
        <v>64</v>
      </c>
      <c r="R59" s="51">
        <f>IFERROR(O59/I59,"")</f>
        <v/>
      </c>
      <c r="S59" s="51">
        <f>IFERROR(J59/I59,"")</f>
        <v/>
      </c>
      <c r="T59" s="43" t="n">
        <v>358</v>
      </c>
      <c r="U59" s="43" t="n">
        <v>335</v>
      </c>
      <c r="V59" s="43" t="n">
        <v>510</v>
      </c>
      <c r="W59" s="43" t="n">
        <v>0</v>
      </c>
      <c r="X59" s="43" t="n">
        <v>274</v>
      </c>
      <c r="Y59" s="41" t="inlineStr">
        <is>
          <t>65%</t>
        </is>
      </c>
      <c r="Z59" s="43" t="n">
        <v>57</v>
      </c>
      <c r="AA59" s="43" t="n">
        <v>0.72</v>
      </c>
      <c r="AB59" s="41" t="inlineStr">
        <is>
          <t>Rheinmetall HEL, DE M-SHORAD (laser trên Stryker) — Pháo chống tăng laser: đầu phát tia trên giá chạc</t>
        </is>
      </c>
      <c r="AC59" s="41" t="inlineStr">
        <is>
          <t>giáp 0, giáp 1, giáp 2, giáp 3, giáp 4, công trình</t>
        </is>
      </c>
      <c r="AD59" s="41" t="inlineStr">
        <is>
          <t>nổ mạnh, đánh nóc, nổ lõm, pháo xe tăng</t>
        </is>
      </c>
      <c r="AE59" s="41" t="inlineStr">
        <is>
          <t>tia năng lượng (40 m) tăng từ ×0,3 lên ×2 trong 6 giây trên cùng một mục tiêu, đổi mục tiêu thì về lại mức thấp; xuyên cả giáp dày</t>
        </is>
      </c>
      <c r="AF59" s="41" t="inlineStr">
        <is>
          <t>Vừa chạy vừa bắn; Bắn hết 80 viên thì thay băng; Ưu tiên tăng hạng nặng, xe tăng, boss</t>
        </is>
      </c>
      <c r="AG59" s="41" t="inlineStr">
        <is>
          <t>focused laser (300 kW) 300 mm [Năng lượng, xuyên 4, năng lượng] 12/phát · băng 80 viên, 10 viên/s, thay 1.5 s · tầm 40 m · Mặt đất</t>
        </is>
      </c>
      <c r="AH59" s="41" t="inlineStr">
        <is>
          <t>• Giá, tăng dần: 9 CP · đạt ×2 sau 4 s</t>
        </is>
      </c>
      <c r="AI59" s="41" t="inlineStr">
        <is>
          <t>• Giá, tăng dần: Kém Pháo điện từ rẻ hơn ở chính vai trò diệt tăng.</t>
        </is>
      </c>
      <c r="AJ59" s="48" t="inlineStr">
        <is>
          <t>Trung</t>
        </is>
      </c>
    </row>
  </sheetData>
  <autoFilter ref="A1:AJ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T6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6" customWidth="1" style="31" min="1" max="1"/>
    <col width="32" customWidth="1" style="31" min="2" max="2"/>
    <col width="50" customWidth="1" style="31" min="3" max="3"/>
    <col width="70" customWidth="1" style="31" min="4" max="4"/>
    <col width="30" customWidth="1" style="31" min="5" max="5"/>
    <col width="8" customWidth="1" style="31" min="6" max="6"/>
    <col width="22" customWidth="1" style="31" min="7" max="7"/>
    <col width="8" customWidth="1" style="31" min="8" max="8"/>
    <col width="7" customWidth="1" style="31" min="9" max="11"/>
    <col width="40" customWidth="1" style="31" min="12" max="12"/>
    <col width="20" customWidth="1" style="31" min="13" max="13"/>
    <col width="26" customWidth="1" style="31" min="14" max="14"/>
    <col width="40" customWidth="1" style="31" min="15" max="16"/>
    <col width="60" customWidth="1" style="31" min="17" max="17"/>
    <col width="55" customWidth="1" style="31" min="18" max="19"/>
    <col width="8" customWidth="1" style="31" min="20" max="20"/>
  </cols>
  <sheetData>
    <row r="1" ht="42" customHeight="1" s="32">
      <c r="A1" s="37" t="inlineStr">
        <is>
          <t>id</t>
        </is>
      </c>
      <c r="B1" s="37" t="inlineStr">
        <is>
          <t>Tên</t>
        </is>
      </c>
      <c r="C1" s="37" t="inlineStr">
        <is>
          <t>Miêu tả</t>
        </is>
      </c>
      <c r="D1" s="37" t="inlineStr">
        <is>
          <t>Hình dạng (cho AI vẽ)</t>
        </is>
      </c>
      <c r="E1" s="37" t="inlineStr">
        <is>
          <t>Ô / dựng lại</t>
        </is>
      </c>
      <c r="F1" s="37" t="inlineStr">
        <is>
          <t>Máu</t>
        </is>
      </c>
      <c r="G1" s="37" t="inlineStr">
        <is>
          <t>Giáp</t>
        </is>
      </c>
      <c r="H1" s="37" t="inlineStr">
        <is>
          <t>Tầm nhìn (m)</t>
        </is>
      </c>
      <c r="I1" s="37" t="inlineStr">
        <is>
          <t>DPS nhẹ</t>
        </is>
      </c>
      <c r="J1" s="37" t="inlineStr">
        <is>
          <t>DPS nặng</t>
        </is>
      </c>
      <c r="K1" s="37" t="inlineStr">
        <is>
          <t>DPS bay</t>
        </is>
      </c>
      <c r="L1" s="37" t="inlineStr">
        <is>
          <t>Tham khảo (ngoài đời / game)</t>
        </is>
      </c>
      <c r="M1" s="37" t="inlineStr">
        <is>
          <t>Mạnh với</t>
        </is>
      </c>
      <c r="N1" s="37" t="inlineStr">
        <is>
          <t>Yếu trước</t>
        </is>
      </c>
      <c r="O1" s="37" t="inlineStr">
        <is>
          <t>Cách đánh</t>
        </is>
      </c>
      <c r="P1" s="37" t="inlineStr">
        <is>
          <t>Hành vi</t>
        </is>
      </c>
      <c r="Q1" s="37" t="inlineStr">
        <is>
          <t>Vũ khí</t>
        </is>
      </c>
      <c r="R1" s="45" t="inlineStr">
        <is>
          <t>Đề xuất</t>
        </is>
      </c>
      <c r="S1" s="46" t="inlineStr">
        <is>
          <t>Lý do thay đổi</t>
        </is>
      </c>
      <c r="T1" s="46" t="inlineStr">
        <is>
          <t>Ưu tiên</t>
        </is>
      </c>
    </row>
    <row r="2" ht="42.75" customHeight="1" s="32">
      <c r="A2" s="39" t="inlineStr">
        <is>
          <t>aa_turret</t>
        </is>
      </c>
      <c r="B2" s="39" t="inlineStr">
        <is>
          <t>Tháp phòng không</t>
        </is>
      </c>
      <c r="C2" s="39" t="inlineStr">
        <is>
          <t>pháo đôi 30 mm cao xạ tới 42 m và tên lửa phòng không (44 m); cũng bắn mặt đất nhưng chẳng mấy tác dụng. xé nát trực thăng và máy bay; lực lượng mặt đất phá nó dễ dàng.</t>
        </is>
      </c>
      <c r="D2" s="39" t="inlineStr">
        <is>
          <t>Ụ bao cát tròn với pháo phòng không 2 nòng trên bệ xoay và 2 ống tên lửa nhỏ.  Kích thước hiện 5.4 × 4.5 × 3.2 m. Nhìn rõ từ camera chéo 45–60°; hình dạng hai nhánh phải khác nhau rõ ở zoom mặc định; vạch màu phe.</t>
        </is>
      </c>
      <c r="E2" s="39" t="inlineStr">
        <is>
          <t>tháp ô nhỏ của căn cứ; bị phá thì xây lại 2 CP sau 25 s; mở khóa: có sẵn từ đầu</t>
        </is>
      </c>
      <c r="F2" s="42" t="n">
        <v>2420</v>
      </c>
      <c r="G2" s="39" t="inlineStr">
        <is>
          <t>cấp 2 (Vừa) · công trình</t>
        </is>
      </c>
      <c r="H2" s="42" t="n">
        <v>60</v>
      </c>
      <c r="I2" s="42" t="n">
        <v>46</v>
      </c>
      <c r="J2" s="42" t="n">
        <v>19</v>
      </c>
      <c r="K2" s="42" t="n">
        <v>300</v>
      </c>
      <c r="L2" s="39" t="inlineStr">
        <is>
          <t>Oerlikon GDF 35 mm (Skyguard), Stinger — ước đoán: pháo phòng không hai nòng 35 mm trên ụ bao cát</t>
        </is>
      </c>
      <c r="M2" s="39" t="inlineStr">
        <is>
          <t>giáp 0, trên không</t>
        </is>
      </c>
      <c r="N2" s="39" t="inlineStr">
        <is>
          <t>nổ mạnh, nổ lõm, pháo xe tăng</t>
        </is>
      </c>
      <c r="O2" s="39" t="inlineStr">
        <is>
          <t>pháo đôi 30 mm cao xạ tới 42 m và tên lửa phòng không (44 m); cũng bắn mặt đất nhưng chẳng mấy tác dụng.</t>
        </is>
      </c>
      <c r="P2" s="39" t="inlineStr">
        <is>
          <t>Đứng yên tại chỗ, bắn mọi mục tiêu trong tầm; Tháp phòng không · nhánh Tháp cao xạ</t>
        </is>
      </c>
      <c r="Q2" s="39" t="inlineStr">
        <is>
          <t>2A38 30 mm (twin) [Mảnh, xuyên 2, đạn nổ trên không nổ lan] 22/phát · băng 46 viên, 11 viên/s, thay 1.2 s · tầm 42 m · Tất cả
Starstreak / Stinger SHORAD [Mảnh, xuyên 2, tên lửa phòng không dẫn đường] nổ lan/phát · 170 · tầm hồi 4.452 s · 44 m</t>
        </is>
      </c>
      <c r="R2" s="39" t="inlineStr">
        <is>
          <t>• Vũ khí và tham khảo: chọn một: đổi vũ khí thành Oerlikon 35 mm hoặc đổi tham khảo sang 2A38; chống máy bay 300→240</t>
        </is>
      </c>
      <c r="S2" s="39" t="inlineStr">
        <is>
          <t>• Vũ khí và tham khảo: Tham khảo lệch vũ khí; tháp ô nhỏ đang mạnh hơn Patriot ô lớn.</t>
        </is>
      </c>
      <c r="T2" s="47" t="inlineStr">
        <is>
          <t>Cao</t>
        </is>
      </c>
    </row>
    <row r="3" ht="42.75" customHeight="1" s="32">
      <c r="A3" s="41" t="inlineStr">
        <is>
          <t>aa_turret.flak</t>
        </is>
      </c>
      <c r="B3" s="41" t="inlineStr">
        <is>
          <t>Tháp phòng không · nhánh Tháp cao xạ</t>
        </is>
      </c>
      <c r="C3" s="41" t="n"/>
      <c r="D3" s="41" t="inlineStr">
        <is>
          <t>Ụ bao cát tròn với pháo phòng không 2 nòng trên bệ xoay và 2 ống tên lửa nhỏ. Nhánh: Đổi thành pháo 4 nòng có radar nhỏ. Kích thước hiện 5.4 × 4.5 × 3.2 m. Nhìn rõ từ camera chéo 45–60°; hình dạng hai nhánh phải khác nhau rõ ở zoom mặc định; vạch màu phe.</t>
        </is>
      </c>
      <c r="E3" s="41" t="inlineStr">
        <is>
          <t>tháp ô nhỏ của căn cứ; bị phá thì xây lại 2 CP sau 25 s; mở khóa: thắng màn mở khóa trong chiến dịch, hoặc mua sớm 300 x</t>
        </is>
      </c>
      <c r="F3" s="43" t="n">
        <v>2420</v>
      </c>
      <c r="G3" s="41" t="inlineStr">
        <is>
          <t>cấp 2 (Vừa) · công trình</t>
        </is>
      </c>
      <c r="H3" s="43" t="n">
        <v>60</v>
      </c>
      <c r="I3" s="43" t="n">
        <v>100</v>
      </c>
      <c r="J3" s="43" t="n">
        <v>29</v>
      </c>
      <c r="K3" s="43" t="n">
        <v>305</v>
      </c>
      <c r="L3" s="41" t="inlineStr">
        <is>
          <t>ZSU-23-4 Shilka (23 mm bốn nòng) — Nhánh pháo phòng không bốn nòng</t>
        </is>
      </c>
      <c r="M3" s="41" t="inlineStr">
        <is>
          <t>trên không</t>
        </is>
      </c>
      <c r="N3" s="41" t="inlineStr">
        <is>
          <t>nổ mạnh, nổ lõm, pháo xe tăng</t>
        </is>
      </c>
      <c r="O3" s="41" t="n"/>
      <c r="P3" s="41" t="inlineStr">
        <is>
          <t>Đứng yên tại chỗ, bắn mọi mục tiêu trong tầm; Tháp phòng không · nhánh Trạm tên lửa</t>
        </is>
      </c>
      <c r="Q3" s="41" t="inlineStr">
        <is>
          <t>ZSU-23-4 23 mm (quad) [Mảnh, xuyên 1, đạn nổ trên không nổ lan] 14/phát · băng 54 viên, 31 viên/s, thay 1.5 s · tầm 46 m · Tất cả</t>
        </is>
      </c>
      <c r="R3" s="41" t="inlineStr">
        <is>
          <t>Giữ.</t>
        </is>
      </c>
      <c r="S3" s="41" t="inlineStr">
        <is>
          <t>ZSU-23-4 bốn nòng, ổn.</t>
        </is>
      </c>
      <c r="T3" s="49" t="inlineStr">
        <is>
          <t>Thấp</t>
        </is>
      </c>
    </row>
    <row r="4" ht="42.75" customHeight="1" s="32">
      <c r="A4" s="39" t="inlineStr">
        <is>
          <t>aa_turret.sam</t>
        </is>
      </c>
      <c r="B4" s="39" t="inlineStr">
        <is>
          <t>Tháp phòng không · nhánh Trạm tên lửa</t>
        </is>
      </c>
      <c r="C4" s="39" t="n"/>
      <c r="D4" s="39" t="inlineStr">
        <is>
          <t>Ụ bao cát tròn với pháo phòng không 2 nòng trên bệ xoay và 2 ống tên lửa nhỏ. Nhánh: Thay nòng pháo bằng hộp phóng 4 ống tên lửa. Kích thước hiện 5.4 × 4.5 × 3.2 m. Nhìn rõ từ camera chéo 45–60°; hình dạng hai nhánh phải khác nhau rõ ở zoom mặc định; vạch màu phe.</t>
        </is>
      </c>
      <c r="E4" s="39" t="inlineStr">
        <is>
          <t>tháp ô nhỏ của căn cứ; bị phá thì xây lại 2 CP sau 25 s; mở khóa: thắng màn mở khóa trong chiến dịch, hoặc mua sớm 300 x</t>
        </is>
      </c>
      <c r="F4" s="42" t="n">
        <v>2420</v>
      </c>
      <c r="G4" s="39" t="inlineStr">
        <is>
          <t>cấp 2 (Vừa) · công trình</t>
        </is>
      </c>
      <c r="H4" s="42" t="n">
        <v>64</v>
      </c>
      <c r="I4" s="42" t="n">
        <v>0</v>
      </c>
      <c r="J4" s="42" t="n">
        <v>0</v>
      </c>
      <c r="K4" s="42" t="n">
        <v>213</v>
      </c>
      <c r="L4" s="39" t="inlineStr">
        <is>
          <t>9K37 Buk (9M317) — Nhánh trạm tên lửa phòng không</t>
        </is>
      </c>
      <c r="M4" s="39" t="inlineStr">
        <is>
          <t>trên không</t>
        </is>
      </c>
      <c r="N4" s="39" t="inlineStr">
        <is>
          <t>nổ mạnh, nổ lõm, pháo xe tăng</t>
        </is>
      </c>
      <c r="O4" s="39" t="n"/>
      <c r="P4" s="39" t="inlineStr">
        <is>
          <t>Đứng yên tại chỗ, bắn mọi mục tiêu trong tầm; Trạm tiếp tế CP</t>
        </is>
      </c>
      <c r="Q4" s="39" t="inlineStr">
        <is>
          <t>9M317 Buk [Mảnh, xuyên 3, tên lửa phòng không dẫn đường] nổ lan/phát · 320 · tầm loạt 2, hồi 3.4 s · 60 m</t>
        </is>
      </c>
      <c r="R4" s="39" t="inlineStr">
        <is>
          <t>• Tham khảo: Mistral / RBS-70 / Starstreak LML (bệ nhỏ)</t>
        </is>
      </c>
      <c r="S4" s="39" t="inlineStr">
        <is>
          <t>• Tham khảo: Buk là hệ thống cỡ tiểu đoàn, không hợp tháp ô nhỏ.</t>
        </is>
      </c>
      <c r="T4" s="48" t="inlineStr">
        <is>
          <t>Trung</t>
        </is>
      </c>
    </row>
    <row r="5" ht="53.25" customHeight="1" s="32">
      <c r="A5" s="41" t="inlineStr">
        <is>
          <t>cp_relay</t>
        </is>
      </c>
      <c r="B5" s="41" t="inlineStr">
        <is>
          <t>Trạm tiếp tế CP</t>
        </is>
      </c>
      <c r="C5" s="41" t="inlineStr">
        <is>
          <t>không có súng; +0,1 CP mỗi giây cho phe mình, trạm thứ hai +0,06, trạm thứ ba không thêm gì; bị bắn thì ngừng trả 5 giây. thêm CP cho căn cứ yên ổn; chiếm một ô phòng thủ nhỏ, và quân địch tấn công căn cứ sẽ nhắm nó trước.</t>
        </is>
      </c>
      <c r="D5" s="41" t="inlineStr">
        <is>
          <t>Cột lưới thép với 2 chảo ăng-ten và thùng thiết bị.  Kích thước hiện 4.0 × 4.0 × 7.8 m. Nhìn rõ từ camera chéo 45–60°; hình dạng hai nhánh phải khác nhau rõ ở zoom mặc định; vạch màu phe.</t>
        </is>
      </c>
      <c r="E5" s="41" t="inlineStr">
        <is>
          <t>tháp ô nhỏ của căn cứ; bị phá thì xây lại 2 CP sau 25 s; mở khóa: thắng màn mở khóa trong chiến dịch, hoặc mua sớm 300 x</t>
        </is>
      </c>
      <c r="F5" s="43" t="n">
        <v>1320</v>
      </c>
      <c r="G5" s="41" t="inlineStr">
        <is>
          <t>cấp 1 (Mỏng) · công trình</t>
        </is>
      </c>
      <c r="H5" s="43" t="n">
        <v>30</v>
      </c>
      <c r="I5" s="43" t="n">
        <v>0</v>
      </c>
      <c r="J5" s="43" t="n">
        <v>0</v>
      </c>
      <c r="K5" s="43" t="n">
        <v>0</v>
      </c>
      <c r="L5" s="41" t="inlineStr">
        <is>
          <t>trạm tiếp sóng thông tin dã chiến — Trạm tiếp sóng CP, cột lưới hai chảo ăng-ten</t>
        </is>
      </c>
      <c r="M5" s="41" t="n"/>
      <c r="N5" s="41" t="inlineStr">
        <is>
          <t>lửa, pháo tự động, nổ mạnh, nổ lõm, pháo xe tăng</t>
        </is>
      </c>
      <c r="O5" s="41" t="inlineStr">
        <is>
          <t>không có súng; +0,1 CP mỗi giây cho phe mình, trạm thứ hai +0,06, trạm thứ ba không thêm gì; bị bắn thì ngừng trả 5 giây.</t>
        </is>
      </c>
      <c r="P5" s="41" t="inlineStr">
        <is>
          <t>Đứng yên tại chỗ, phục vụ phe ta; Phe mình kiếm thêm 0,1 CP mỗi giây (trạm thứ hai 0,1); ngừng 5 giây sau khi bị bắn; tối đa hai; trạm mỗi căn cứ, không đặt ở tiền đồn; Trạm tiếp tế CP · nhánh Trạm tiếp tế</t>
        </is>
      </c>
      <c r="Q5" s="41" t="n"/>
      <c r="R5" s="41" t="inlineStr">
        <is>
          <t>Giữ.</t>
        </is>
      </c>
      <c r="S5" s="41" t="inlineStr">
        <is>
          <t>Ổn.</t>
        </is>
      </c>
      <c r="T5" s="49" t="inlineStr">
        <is>
          <t>Thấp</t>
        </is>
      </c>
    </row>
    <row r="6" ht="53.25" customHeight="1" s="32">
      <c r="A6" s="39" t="inlineStr">
        <is>
          <t>cp_relay.hardened</t>
        </is>
      </c>
      <c r="B6" s="39" t="inlineStr">
        <is>
          <t>Trạm tiếp tế CP · nhánh Trạm tiếp tế</t>
        </is>
      </c>
      <c r="C6" s="39" t="n"/>
      <c r="D6" s="39" t="inlineStr">
        <is>
          <t>Cột lưới thép với 2 chảo ăng-ten và thùng thiết bị. Nhánh: Ốp bê tông dày. Kích thước hiện 4.0 × 4.0 × 7.8 m. Nhìn rõ từ camera chéo 45–60°; hình dạng hai nhánh phải khác nhau rõ ở zoom mặc định; vạch màu phe.</t>
        </is>
      </c>
      <c r="E6" s="39" t="inlineStr">
        <is>
          <t>tháp ô nhỏ của căn cứ; bị phá thì xây lại 2 CP sau 25 s; mở khóa: thắng màn mở khóa trong chiến dịch, hoặc mua sớm 300 x</t>
        </is>
      </c>
      <c r="F6" s="42" t="n">
        <v>2420</v>
      </c>
      <c r="G6" s="39" t="inlineStr">
        <is>
          <t>cấp 2 (Vừa) · công trình</t>
        </is>
      </c>
      <c r="H6" s="42" t="n">
        <v>30</v>
      </c>
      <c r="I6" s="42" t="n">
        <v>0</v>
      </c>
      <c r="J6" s="42" t="n">
        <v>0</v>
      </c>
      <c r="K6" s="42" t="n">
        <v>0</v>
      </c>
      <c r="L6" s="39" t="inlineStr">
        <is>
          <t>trạm tiếp tế kiên cố — ước đoán: nhánh trạm tiếp tế</t>
        </is>
      </c>
      <c r="M6" s="39" t="n"/>
      <c r="N6" s="39" t="inlineStr">
        <is>
          <t>nổ mạnh, nổ lõm, pháo xe tăng</t>
        </is>
      </c>
      <c r="O6" s="39" t="n"/>
      <c r="P6" s="39" t="inlineStr">
        <is>
          <t>Đứng yên tại chỗ, phục vụ phe ta; Phe mình kiếm thêm 0,1 CP mỗi giây (trạm thứ hai 0,1); ngừng 5 giây sau khi bị bắn; tối đa hai; trạm mỗi căn cứ, không đặt ở tiền đồn; Trạm tiếp tế CP · nhánh Kho chiến lợi phẩm</t>
        </is>
      </c>
      <c r="Q6" s="39" t="n"/>
      <c r="R6" s="39" t="inlineStr">
        <is>
          <t>Giữ.</t>
        </is>
      </c>
      <c r="S6" s="39" t="inlineStr">
        <is>
          <t>Ổn.</t>
        </is>
      </c>
      <c r="T6" s="49" t="inlineStr">
        <is>
          <t>Thấp</t>
        </is>
      </c>
    </row>
    <row r="7" ht="42.75" customHeight="1" s="32">
      <c r="A7" s="41" t="inlineStr">
        <is>
          <t>cp_relay.loot</t>
        </is>
      </c>
      <c r="B7" s="41" t="inlineStr">
        <is>
          <t>Trạm tiếp tế CP · nhánh Kho chiến lợi phẩm</t>
        </is>
      </c>
      <c r="C7" s="41" t="n"/>
      <c r="D7" s="41" t="inlineStr">
        <is>
          <t>Cột lưới thép với 2 chảo ăng-ten và thùng thiết bị. Nhánh: Cần cẩu và đống container. Kích thước hiện 4.0 × 4.0 × 7.8 m. Nhìn rõ từ camera chéo 45–60°; hình dạng hai nhánh phải khác nhau rõ ở zoom mặc định; vạch màu phe.</t>
        </is>
      </c>
      <c r="E7" s="41" t="inlineStr">
        <is>
          <t>tháp ô nhỏ của căn cứ; bị phá thì xây lại 2 CP sau 25 s; mở khóa: thắng màn mở khóa trong chiến dịch, hoặc mua sớm 300 x</t>
        </is>
      </c>
      <c r="F7" s="43" t="n">
        <v>1320</v>
      </c>
      <c r="G7" s="41" t="inlineStr">
        <is>
          <t>cấp 1 (Mỏng) · công trình</t>
        </is>
      </c>
      <c r="H7" s="43" t="n">
        <v>30</v>
      </c>
      <c r="I7" s="43" t="n">
        <v>0</v>
      </c>
      <c r="J7" s="43" t="n">
        <v>0</v>
      </c>
      <c r="K7" s="43" t="n">
        <v>0</v>
      </c>
      <c r="L7" s="41" t="inlineStr">
        <is>
          <t>kho chiến lợi phẩm — ước đoán: nhánh kho chiến lợi phẩm</t>
        </is>
      </c>
      <c r="M7" s="41" t="n"/>
      <c r="N7" s="41" t="inlineStr">
        <is>
          <t>lửa, pháo tự động, nổ mạnh, nổ lõm, pháo xe tăng</t>
        </is>
      </c>
      <c r="O7" s="41" t="n"/>
      <c r="P7" s="41" t="inlineStr">
        <is>
          <t>Đứng yên tại chỗ, phục vụ phe ta; Răng rồng</t>
        </is>
      </c>
      <c r="Q7" s="41" t="n"/>
      <c r="R7" s="41" t="inlineStr">
        <is>
          <t>Giữ.</t>
        </is>
      </c>
      <c r="S7" s="41" t="inlineStr">
        <is>
          <t>Ổn.</t>
        </is>
      </c>
      <c r="T7" s="49" t="inlineStr">
        <is>
          <t>Thấp</t>
        </is>
      </c>
    </row>
    <row r="8" ht="42.75" customHeight="1" s="32">
      <c r="A8" s="39"/>
      <c r="B8" s="39"/>
      <c r="C8" s="39"/>
      <c r="D8" s="39"/>
      <c r="E8" s="39"/>
      <c r="F8" s="42"/>
      <c r="G8" s="39"/>
      <c r="H8" s="42"/>
      <c r="I8" s="42"/>
      <c r="J8" s="42"/>
      <c r="K8" s="42"/>
      <c r="L8" s="39"/>
      <c r="M8" s="39"/>
      <c r="N8" s="39"/>
      <c r="O8" s="39"/>
      <c r="P8" s="39"/>
      <c r="Q8" s="39"/>
      <c r="R8" s="39"/>
      <c r="S8" s="39"/>
      <c r="T8" s="49"/>
    </row>
    <row r="9" ht="42.75" customHeight="1" s="32">
      <c r="A9" s="41"/>
      <c r="B9" s="41"/>
      <c r="C9" s="41"/>
      <c r="D9" s="41"/>
      <c r="E9" s="41"/>
      <c r="F9" s="43"/>
      <c r="G9" s="41"/>
      <c r="H9" s="43"/>
      <c r="I9" s="43"/>
      <c r="J9" s="43"/>
      <c r="K9" s="43"/>
      <c r="L9" s="41"/>
      <c r="M9" s="41"/>
      <c r="N9" s="41"/>
      <c r="O9" s="41"/>
      <c r="P9" s="41"/>
      <c r="Q9" s="41"/>
      <c r="R9" s="41"/>
      <c r="S9" s="41"/>
      <c r="T9" s="49"/>
    </row>
    <row r="10" ht="42.75" customHeight="1" s="32">
      <c r="A10" s="39"/>
      <c r="B10" s="39"/>
      <c r="C10" s="39"/>
      <c r="D10" s="39"/>
      <c r="E10" s="39"/>
      <c r="F10" s="42"/>
      <c r="G10" s="39"/>
      <c r="H10" s="42"/>
      <c r="I10" s="42"/>
      <c r="J10" s="42"/>
      <c r="K10" s="42"/>
      <c r="L10" s="39"/>
      <c r="M10" s="39"/>
      <c r="N10" s="39"/>
      <c r="O10" s="39"/>
      <c r="P10" s="39"/>
      <c r="Q10" s="39"/>
      <c r="R10" s="39"/>
      <c r="S10" s="39"/>
      <c r="T10" s="49"/>
    </row>
    <row r="11" ht="42.75" customHeight="1" s="32">
      <c r="A11" s="41" t="inlineStr">
        <is>
          <t>ew_tower</t>
        </is>
      </c>
      <c r="B11" s="41" t="inlineStr">
        <is>
          <t>Tháp gây nhiễu EW</t>
        </is>
      </c>
      <c r="C11" s="41" t="inlineStr">
        <is>
          <t>tên lửa điều khiển, drone và hỏa lực yểm trợ nhắm vào trong vòng 30 m quanh nó bị lệch; không có súng. làm cùn tên lửa chống tăng, Lancet và các đòn không kích vào căn cứ; thứ gì chỉ cần lái tới bắn là hạ được nó.</t>
        </is>
      </c>
      <c r="D11" s="41" t="inlineStr">
        <is>
          <t>Cột ăng-ten cao (~10 m) với các tấm và chảo nhỏ.  Kích thước hiện 4.0 × 4.0 × 10.1 m. Nhìn rõ từ camera chéo 45–60°; hình dạng hai nhánh phải khác nhau rõ ở zoom mặc định; vạch màu phe.</t>
        </is>
      </c>
      <c r="E11" s="41" t="inlineStr">
        <is>
          <t>tháp ô nhỏ của căn cứ; bị phá thì xây lại 2 CP sau 25 s; mở khóa: thắng màn mở khóa trong chiến dịch, hoặc mua sớm 300 x</t>
        </is>
      </c>
      <c r="F11" s="43" t="n">
        <v>1760</v>
      </c>
      <c r="G11" s="41" t="inlineStr">
        <is>
          <t>cấp 1 (Mỏng) · công trình</t>
        </is>
      </c>
      <c r="H11" s="43" t="n">
        <v>50</v>
      </c>
      <c r="I11" s="43" t="n">
        <v>0</v>
      </c>
      <c r="J11" s="43" t="n">
        <v>0</v>
      </c>
      <c r="K11" s="43" t="n">
        <v>0</v>
      </c>
      <c r="L11" s="41" t="inlineStr">
        <is>
          <t>Murmansk-BN, cột ăng-ten tác chiến điện tử — ước đoán: cột lưới thép gây nhiễu điện tử</t>
        </is>
      </c>
      <c r="M11" s="41" t="n"/>
      <c r="N11" s="41" t="inlineStr">
        <is>
          <t>lửa, pháo tự động, nổ mạnh, nổ lõm, pháo xe tăng</t>
        </is>
      </c>
      <c r="O11" s="41" t="inlineStr">
        <is>
          <t>tên lửa điều khiển, drone và hỏa lực yểm trợ nhắm vào trong vòng 30 m quanh nó bị lệch; không có súng.</t>
        </is>
      </c>
      <c r="P11" s="41" t="inlineStr">
        <is>
          <t>Đứng yên tại chỗ, phục vụ phe ta; Gây nhiễu vũ khí dẫn đường và hỏa lực yểm trợ địch trong 30 m; Tháp gây nhiễu EW · nhánh Máy gây nhiễu drone</t>
        </is>
      </c>
      <c r="Q11" s="41" t="n"/>
      <c r="R11" s="41" t="inlineStr">
        <is>
          <t>Giữ.</t>
        </is>
      </c>
      <c r="S11" s="41" t="inlineStr">
        <is>
          <t>Ổn.</t>
        </is>
      </c>
      <c r="T11" s="49" t="inlineStr">
        <is>
          <t>Thấp</t>
        </is>
      </c>
    </row>
    <row r="12" ht="42.75" customHeight="1" s="32">
      <c r="A12" s="39" t="inlineStr">
        <is>
          <t>ew_tower.drone</t>
        </is>
      </c>
      <c r="B12" s="39" t="inlineStr">
        <is>
          <t>Tháp gây nhiễu EW · nhánh Máy gây nhiễu drone</t>
        </is>
      </c>
      <c r="C12" s="39" t="n"/>
      <c r="D12" s="39" t="inlineStr">
        <is>
          <t>Cột ăng-ten cao (~10 m) với các tấm và chảo nhỏ. Nhánh: Vòm ăng-ten với vòng sóng. Kích thước hiện 4.0 × 4.0 × 10.1 m. Nhìn rõ từ camera chéo 45–60°; hình dạng hai nhánh phải khác nhau rõ ở zoom mặc định; vạch màu phe.</t>
        </is>
      </c>
      <c r="E12" s="39" t="inlineStr">
        <is>
          <t>tháp ô nhỏ của căn cứ; bị phá thì xây lại 2 CP sau 25 s; mở khóa: thắng màn mở khóa trong chiến dịch, hoặc mua sớm 300 x</t>
        </is>
      </c>
      <c r="F12" s="42" t="n">
        <v>1760</v>
      </c>
      <c r="G12" s="39" t="inlineStr">
        <is>
          <t>cấp 1 (Mỏng) · công trình</t>
        </is>
      </c>
      <c r="H12" s="42" t="n">
        <v>50</v>
      </c>
      <c r="I12" s="42" t="n">
        <v>0</v>
      </c>
      <c r="J12" s="42" t="n">
        <v>0</v>
      </c>
      <c r="K12" s="42" t="n">
        <v>0</v>
      </c>
      <c r="L12" s="39" t="inlineStr">
        <is>
          <t>Rafael Drone Dome, Bukovel-AD — ước đoán: nhánh gây nhiễu drone</t>
        </is>
      </c>
      <c r="M12" s="39" t="n"/>
      <c r="N12" s="39" t="inlineStr">
        <is>
          <t>lửa, pháo tự động, nổ mạnh, nổ lõm, pháo xe tăng</t>
        </is>
      </c>
      <c r="O12" s="39" t="n"/>
      <c r="P12" s="39" t="inlineStr">
        <is>
          <t>Đứng yên tại chỗ, phục vụ phe ta; Gây nhiễu vũ khí dẫn đường và hỏa lực yểm trợ địch trong 45 m; Tháp gây nhiễu EW · nhánh Máy đánh lừa radar</t>
        </is>
      </c>
      <c r="Q12" s="39" t="n"/>
      <c r="R12" s="39" t="inlineStr">
        <is>
          <t>Giữ.</t>
        </is>
      </c>
      <c r="S12" s="39" t="inlineStr">
        <is>
          <t>Ổn.</t>
        </is>
      </c>
      <c r="T12" s="49" t="inlineStr">
        <is>
          <t>Thấp</t>
        </is>
      </c>
    </row>
    <row r="13" ht="42.75" customHeight="1" s="32">
      <c r="A13" s="41" t="inlineStr">
        <is>
          <t>ew_tower.spoof</t>
        </is>
      </c>
      <c r="B13" s="41" t="inlineStr">
        <is>
          <t>Tháp gây nhiễu EW · nhánh Máy đánh lừa radar</t>
        </is>
      </c>
      <c r="C13" s="41" t="n"/>
      <c r="D13" s="41" t="inlineStr">
        <is>
          <t>Cột ăng-ten cao (~10 m) với các tấm và chảo nhỏ. Nhánh: Tấm radar mảng pha phẳng. Kích thước hiện 4.0 × 4.0 × 10.1 m. Nhìn rõ từ camera chéo 45–60°; hình dạng hai nhánh phải khác nhau rõ ở zoom mặc định; vạch màu phe.</t>
        </is>
      </c>
      <c r="E13" s="41" t="inlineStr">
        <is>
          <t>tháp ô nhỏ của căn cứ; bị phá thì xây lại 2 CP sau 25 s; mở khóa: thắng màn mở khóa trong chiến dịch, hoặc mua sớm 300 x</t>
        </is>
      </c>
      <c r="F13" s="43" t="n">
        <v>1760</v>
      </c>
      <c r="G13" s="41" t="inlineStr">
        <is>
          <t>cấp 1 (Mỏng) · công trình</t>
        </is>
      </c>
      <c r="H13" s="43" t="n">
        <v>50</v>
      </c>
      <c r="I13" s="43" t="n">
        <v>0</v>
      </c>
      <c r="J13" s="43" t="n">
        <v>0</v>
      </c>
      <c r="K13" s="43" t="n">
        <v>0</v>
      </c>
      <c r="L13" s="41" t="inlineStr">
        <is>
          <t>Pole-21, mồi nhử radar — ước đoán: nhánh đánh lừa radar và tên lửa</t>
        </is>
      </c>
      <c r="M13" s="41" t="n"/>
      <c r="N13" s="41" t="inlineStr">
        <is>
          <t>lửa, pháo tự động, nổ mạnh, nổ lõm, pháo xe tăng</t>
        </is>
      </c>
      <c r="O13" s="41" t="n"/>
      <c r="P13" s="41" t="inlineStr">
        <is>
          <t>Đứng yên tại chỗ, phục vụ phe ta; Gây nhiễu vũ khí dẫn đường và hỏa lực yểm trợ địch trong 30 m; Định vị pháo địch đang bắn trong 80 m; Tháp canh</t>
        </is>
      </c>
      <c r="Q13" s="41" t="n"/>
      <c r="R13" s="41" t="inlineStr">
        <is>
          <t>Giữ.</t>
        </is>
      </c>
      <c r="S13" s="41" t="inlineStr">
        <is>
          <t>Ổn.</t>
        </is>
      </c>
      <c r="T13" s="49" t="inlineStr">
        <is>
          <t>Thấp</t>
        </is>
      </c>
    </row>
    <row r="14" ht="32.25" customHeight="1" s="32">
      <c r="A14" s="39" t="inlineStr">
        <is>
          <t>guard_tower</t>
        </is>
      </c>
      <c r="B14" s="39" t="inlineStr">
        <is>
          <t>Tháp canh</t>
        </is>
      </c>
      <c r="C14" s="39" t="inlineStr">
        <is>
          <t>súng máy nặng (30 m, bắn cả máy bay); tầm nhìn 60 m giúp soi quân ta cho pháo địch. chặn trinh sát và xe nhẹ; là tháp yếu nhất, gục nhanh trước xe tăng và đạn nổ mạnh.</t>
        </is>
      </c>
      <c r="D14" s="39" t="inlineStr">
        <is>
          <t>Tháp gỗ-thép cao (~11 m) có chòi lợp mái, súng máy và đèn pha trên chòi.  Kích thước hiện 3.5 × 3.8 × 11.6 m. Nhìn rõ từ camera chéo 45–60°; hình dạng hai nhánh phải khác nhau rõ ở zoom mặc định; vạch màu phe.</t>
        </is>
      </c>
      <c r="E14" s="39" t="inlineStr">
        <is>
          <t>tháp ô nhỏ của căn cứ; bị phá thì xây lại 2 CP sau 25 s; mở khóa: có sẵn từ đầu</t>
        </is>
      </c>
      <c r="F14" s="42" t="n">
        <v>1540</v>
      </c>
      <c r="G14" s="39" t="inlineStr">
        <is>
          <t>cấp 1 (Mỏng) · công trình</t>
        </is>
      </c>
      <c r="H14" s="42" t="n">
        <v>60</v>
      </c>
      <c r="I14" s="42" t="n">
        <v>75</v>
      </c>
      <c r="J14" s="42" t="n">
        <v>22</v>
      </c>
      <c r="K14" s="42" t="n">
        <v>27</v>
      </c>
      <c r="L14" s="39" t="inlineStr">
        <is>
          <t>M2 Browning 12,7 mm, Mk 19 40 mm — Tháp canh thép 11 m trên lô cốt</t>
        </is>
      </c>
      <c r="M14" s="39" t="inlineStr">
        <is>
          <t>giáp 0, giáp 1</t>
        </is>
      </c>
      <c r="N14" s="39" t="inlineStr">
        <is>
          <t>lửa, pháo tự động, nổ mạnh, nổ lõm, pháo xe tăng</t>
        </is>
      </c>
      <c r="O14" s="39" t="inlineStr">
        <is>
          <t>súng máy nặng (30 m, bắn cả máy bay); tầm nhìn 60 m giúp soi quân ta cho pháo địch.</t>
        </is>
      </c>
      <c r="P14" s="39" t="inlineStr">
        <is>
          <t>Đứng yên tại chỗ, bắn mọi mục tiêu trong tầm; Tháp canh · nhánh Tháp quan sát</t>
        </is>
      </c>
      <c r="Q14" s="39" t="inlineStr">
        <is>
          <t>M2 Browning 12.7 mm [Động năng, xuyên 1, đạn súng (cỡ lớn)] 10/phát · băng 46 viên, 12 viên/s, thay 1.1 s · tầm 30 m · Tất cả</t>
        </is>
      </c>
      <c r="R14" s="39" t="inlineStr">
        <is>
          <t>Giữ.</t>
        </is>
      </c>
      <c r="S14" s="39" t="inlineStr">
        <is>
          <t>Đã tăng (75/22/27), đạt mục tiêu.</t>
        </is>
      </c>
      <c r="T14" s="49" t="inlineStr">
        <is>
          <t>Thấp</t>
        </is>
      </c>
    </row>
    <row r="15" ht="42.75" customHeight="1" s="32">
      <c r="A15" s="41" t="inlineStr">
        <is>
          <t>guard_tower.watch</t>
        </is>
      </c>
      <c r="B15" s="41" t="inlineStr">
        <is>
          <t>Tháp canh · nhánh Tháp quan sát</t>
        </is>
      </c>
      <c r="C15" s="41" t="n"/>
      <c r="D15" s="41" t="inlineStr">
        <is>
          <t>Tháp gỗ-thép cao (~11 m) có chòi lợp mái, súng máy và đèn pha trên chòi. Nhánh: Thêm cột radar và đèn pha xoay trên chòi. Kích thước hiện 3.5 × 3.8 × 11.6 m. Nhìn rõ từ camera chéo 45–60°; hình dạng hai nhánh phải khác nhau rõ ở zoom mặc định; vạch màu phe.</t>
        </is>
      </c>
      <c r="E15" s="41" t="inlineStr">
        <is>
          <t>tháp ô nhỏ của căn cứ; bị phá thì xây lại 2 CP sau 25 s; mở khóa: thắng màn mở khóa trong chiến dịch, hoặc mua sớm 300 x</t>
        </is>
      </c>
      <c r="F15" s="43" t="n">
        <v>1540</v>
      </c>
      <c r="G15" s="41" t="inlineStr">
        <is>
          <t>cấp 1 (Mỏng) · công trình</t>
        </is>
      </c>
      <c r="H15" s="43" t="n">
        <v>78</v>
      </c>
      <c r="I15" s="43" t="n">
        <v>75</v>
      </c>
      <c r="J15" s="43" t="n">
        <v>22</v>
      </c>
      <c r="K15" s="43" t="n">
        <v>27</v>
      </c>
      <c r="L15" s="41" t="inlineStr">
        <is>
          <t>tháp quan sát biên giới có khí tài quang học — ước đoán: nhánh quan sát của tháp canh</t>
        </is>
      </c>
      <c r="M15" s="41" t="inlineStr">
        <is>
          <t>giáp 0, giáp 1</t>
        </is>
      </c>
      <c r="N15" s="41" t="inlineStr">
        <is>
          <t>lửa, pháo tự động, nổ mạnh, nổ lõm, pháo xe tăng</t>
        </is>
      </c>
      <c r="O15" s="41" t="n"/>
      <c r="P15" s="41" t="inlineStr">
        <is>
          <t>Đứng yên tại chỗ, bắn mọi mục tiêu trong tầm; Tháp canh · nhánh Ổ súng</t>
        </is>
      </c>
      <c r="Q15" s="41" t="inlineStr">
        <is>
          <t>M2 Browning 12.7 mm [Động năng, xuyên 1, đạn súng (cỡ lớn)] 10/phát · băng 46 viên, 12 viên/s, thay 1.1 s · tầm 30 m · Tất cả</t>
        </is>
      </c>
      <c r="R15" s="41" t="inlineStr">
        <is>
          <t>Giữ.</t>
        </is>
      </c>
      <c r="S15" s="41" t="inlineStr">
        <is>
          <t>Ổn.</t>
        </is>
      </c>
      <c r="T15" s="49" t="inlineStr">
        <is>
          <t>Thấp</t>
        </is>
      </c>
    </row>
    <row r="16" ht="42.75" customHeight="1" s="32">
      <c r="A16" s="39" t="inlineStr">
        <is>
          <t>guard_tower.nest</t>
        </is>
      </c>
      <c r="B16" s="39" t="inlineStr">
        <is>
          <t>Tháp canh · nhánh Ổ súng</t>
        </is>
      </c>
      <c r="C16" s="39" t="n"/>
      <c r="D16" s="39" t="inlineStr">
        <is>
          <t>Tháp gỗ-thép cao (~11 m) có chòi lợp mái, súng máy và đèn pha trên chòi. Nhánh: Chòi thấp có bao cát, nòng 25 mm. Kích thước hiện 3.5 × 3.8 × 11.6 m. Nhìn rõ từ camera chéo 45–60°; hình dạng hai nhánh phải khác nhau rõ ở zoom mặc định; vạch màu phe.</t>
        </is>
      </c>
      <c r="E16" s="39" t="inlineStr">
        <is>
          <t>tháp ô nhỏ của căn cứ; bị phá thì xây lại 2 CP sau 25 s; mở khóa: thắng màn mở khóa trong chiến dịch, hoặc mua sớm 300 x</t>
        </is>
      </c>
      <c r="F16" s="42" t="n">
        <v>1540</v>
      </c>
      <c r="G16" s="39" t="inlineStr">
        <is>
          <t>cấp 1 (Mỏng) · công trình</t>
        </is>
      </c>
      <c r="H16" s="42" t="n">
        <v>48</v>
      </c>
      <c r="I16" s="42" t="n">
        <v>69</v>
      </c>
      <c r="J16" s="42" t="n">
        <v>34</v>
      </c>
      <c r="K16" s="42" t="n">
        <v>0</v>
      </c>
      <c r="L16" s="39" t="inlineStr">
        <is>
          <t>M242 Bushmaster 25 mm — Tháp canh nhánh ổ pháo 25 mm</t>
        </is>
      </c>
      <c r="M16" s="39" t="inlineStr">
        <is>
          <t>giáp 0, giáp 1, giáp 2</t>
        </is>
      </c>
      <c r="N16" s="39" t="inlineStr">
        <is>
          <t>lửa, pháo tự động, nổ mạnh, nổ lõm, pháo xe tăng</t>
        </is>
      </c>
      <c r="O16" s="39" t="n"/>
      <c r="P16" s="39" t="inlineStr">
        <is>
          <t>Đứng yên tại chỗ, bắn mọi mục tiêu trong tầm; Sở chỉ huy</t>
        </is>
      </c>
      <c r="Q16" s="39" t="inlineStr">
        <is>
          <t>M242 Bushmaster 25 mm [Động năng, xuyên 2, đạn pháo động năng (pháo tự động)] 17/phát · băng 10 viên, 8 viên/s, thay 1.3 s · tầm 30 m · Mặt đất</t>
        </is>
      </c>
      <c r="R16" s="39" t="inlineStr">
        <is>
          <t>Giữ.</t>
        </is>
      </c>
      <c r="S16" s="39" t="inlineStr">
        <is>
          <t>Ổn.</t>
        </is>
      </c>
      <c r="T16" s="49" t="inlineStr">
        <is>
          <t>Thấp</t>
        </is>
      </c>
    </row>
    <row r="17" ht="84.75" customHeight="1" s="32">
      <c r="A17" s="41" t="inlineStr">
        <is>
          <t>headquarters</t>
        </is>
      </c>
      <c r="B17" s="41" t="inlineStr">
        <is>
          <t>Sở chỉ huy</t>
        </is>
      </c>
      <c r="C17" s="41" t="inlineStr">
        <is>
          <t>pháo nặng hai nòng bắn loạt đôi tới 40 m, pháo phòng không đôi 30 mm và súng máy đồng trục canh bầu trời; quân mới được thả cực lì; ở Chiếm cứ điểm, Giữ đồi và Tử chiến nó không thể bị phá, ở Tấn công và Công thành nó là mục tiêu, ở Phòng thủ và Vô tận</t>
        </is>
      </c>
      <c r="D17" s="41" t="inlineStr">
        <is>
          <t>Nhà chỉ huy bê tông nhiều khối, ăng-ten, cờ phe, bao cát quanh.  Kích thước hiện 12.7 × 14.1 × 9.4 m. Nhìn rõ từ camera chéo 45–60°; hình dạng hai nhánh phải khác nhau rõ ở zoom mặc định; vạch màu phe.</t>
        </is>
      </c>
      <c r="E17" s="41" t="inlineStr">
        <is>
          <t>công sự trung lập hoặc của bản đồ, không mua được</t>
        </is>
      </c>
      <c r="F17" s="43" t="n">
        <v>19800</v>
      </c>
      <c r="G17" s="41" t="inlineStr">
        <is>
          <t>cấp 4 (Rất dày) · công trình</t>
        </is>
      </c>
      <c r="H17" s="43" t="n">
        <v>50</v>
      </c>
      <c r="I17" s="43" t="n">
        <v>327</v>
      </c>
      <c r="J17" s="43" t="n">
        <v>206</v>
      </c>
      <c r="K17" s="43" t="n">
        <v>419</v>
      </c>
      <c r="L17" s="41" t="inlineStr">
        <is>
          <t>sở chỉ huy bê tông kiên cố, 2A83 152 mm, 2A38 30 mm · Construction Yard (Command &amp; Conquer) — ước đoán: khối chỉ huy bê tông</t>
        </is>
      </c>
      <c r="M17" s="41" t="inlineStr">
        <is>
          <t>giáp 0, giáp 1, giáp 2, giáp 3, giáp 4, trên không, công trình</t>
        </is>
      </c>
      <c r="N17" s="41" t="n"/>
      <c r="O17" s="41" t="inlineStr">
        <is>
          <t>pháo nặng hai nòng bắn loạt đôi tới 40 m, pháo phòng không đôi 30 mm và súng máy đồng trục canh bầu trời; quân mới được thả</t>
        </is>
      </c>
      <c r="P17" s="41" t="inlineStr">
        <is>
          <t>Đứng yên tại chỗ, bắn mọi mục tiêu trong tầm; Lô cốt súng máy</t>
        </is>
      </c>
      <c r="Q17" s="41" t="inlineStr">
        <is>
          <t>2A83 152 mm (twin) [Động năng, xuyên 4, đạn pháo động năng (≥120 mm) nổ lan] 320/phát · loạt 2, hồi 5.16 s · tầm 40 m · Mặt đất
2A38 30 mm (twin) [Mảnh, xuyên 2, đạn nổ trên không nổ lan] 22/phát · băng 36 viên, 9 viên/s, thay 1.21 s · tầm 42 m · Tất cả
2A38 30 mm (twin) [Mảnh, xuyên 2, đạn nổ trên không nổ lan] 22/phát · băng 36 viên, 9 viên/s, thay 1.21 s · tầm 42 m · Tất cả
PKT / M240 7.62 mm [Động năng, xuyên 0, đạn súng] 6/phát · băng 41 viên, 12 viên/s, thay 1.59 s · tầm 20 m · Tất cả</t>
        </is>
      </c>
      <c r="R17" s="41" t="inlineStr">
        <is>
          <t>Giữ; kiểm tra lại HQ không làm căn cứ miễn nhiễm hoàn toàn với máy bay.</t>
        </is>
      </c>
      <c r="S17" s="41" t="inlineStr">
        <is>
          <t>19.800 máu, chống máy bay 419.</t>
        </is>
      </c>
      <c r="T17" s="49" t="inlineStr">
        <is>
          <t>Thấp</t>
        </is>
      </c>
    </row>
    <row r="18" ht="32.25" customHeight="1" s="32">
      <c r="A18" s="39" t="inlineStr">
        <is>
          <t>mg_bunker</t>
        </is>
      </c>
      <c r="B18" s="39" t="inlineStr">
        <is>
          <t>Lô cốt súng máy</t>
        </is>
      </c>
      <c r="C18" s="39" t="inlineStr">
        <is>
          <t>súng máy nặng bắn nhanh (32 m, bắn cả máy bay). quét sạch trinh sát và xe nhẹ; gần như không làm xước xe tăng.</t>
        </is>
      </c>
      <c r="D18" s="39" t="inlineStr">
        <is>
          <t>Lô cốt bê tông thấp tròn hoặc lục giác, lỗ châu mai, nòng súng thò ra.  Kích thước hiện 4.4 × 4.4 × 3.3 m. Nhìn rõ từ camera chéo 45–60°; hình dạng hai nhánh phải khác nhau rõ ở zoom mặc định; vạch màu phe.</t>
        </is>
      </c>
      <c r="E18" s="39" t="inlineStr">
        <is>
          <t>tháp ô nhỏ của căn cứ; bị phá thì xây lại 2 CP sau 25 s; mở khóa: có sẵn từ đầu</t>
        </is>
      </c>
      <c r="F18" s="42" t="n">
        <v>3300</v>
      </c>
      <c r="G18" s="39" t="inlineStr">
        <is>
          <t>3/2/2/2</t>
        </is>
      </c>
      <c r="H18" s="42" t="n">
        <v>36</v>
      </c>
      <c r="I18" s="42" t="n">
        <v>102</v>
      </c>
      <c r="J18" s="42" t="n">
        <v>30</v>
      </c>
      <c r="K18" s="42" t="n">
        <v>36</v>
      </c>
      <c r="L18" s="39" t="inlineStr">
        <is>
          <t>NSV 12,7 mm, 9M113 Konkurs, lô cốt hình nấm — Lô cốt tròn có khe bắn quanh thân</t>
        </is>
      </c>
      <c r="M18" s="39" t="inlineStr">
        <is>
          <t>giáp 0, giáp 1</t>
        </is>
      </c>
      <c r="N18" s="39" t="inlineStr">
        <is>
          <t>nổ mạnh, đánh nóc, nổ lõm, pháo xe tăng</t>
        </is>
      </c>
      <c r="O18" s="39" t="inlineStr">
        <is>
          <t>súng máy nặng bắn nhanh (32 m, bắn cả máy bay).</t>
        </is>
      </c>
      <c r="P18" s="39" t="inlineStr">
        <is>
          <t>Đứng yên tại chỗ, bắn mọi mục tiêu trong tầm; Lô cốt súng máy · nhánh Súng máy đôi</t>
        </is>
      </c>
      <c r="Q18" s="39" t="inlineStr">
        <is>
          <t>NSV 12.7 mm [Động năng, xuyên 1, đạn súng (cỡ lớn)] 10/phát · băng 45 viên, 16 viên/s, thay 0.85 s · tầm 32 m · Tất cả</t>
        </is>
      </c>
      <c r="R18" s="39" t="inlineStr">
        <is>
          <t>Giữ.</t>
        </is>
      </c>
      <c r="S18" s="39" t="inlineStr">
        <is>
          <t>Đạt mục tiêu (102).</t>
        </is>
      </c>
      <c r="T18" s="49" t="inlineStr">
        <is>
          <t>Thấp</t>
        </is>
      </c>
    </row>
    <row r="19" ht="42.75" customHeight="1" s="32">
      <c r="A19" s="41" t="inlineStr">
        <is>
          <t>mg_bunker.twin</t>
        </is>
      </c>
      <c r="B19" s="41" t="inlineStr">
        <is>
          <t>Lô cốt súng máy · nhánh Súng máy đôi</t>
        </is>
      </c>
      <c r="C19" s="41" t="n"/>
      <c r="D19" s="41" t="inlineStr">
        <is>
          <t>Lô cốt bê tông thấp tròn hoặc lục giác, lỗ châu mai, nòng súng thò ra. Nhánh: Hai nòng súng máy qua lỗ châu mai. Kích thước hiện 4.4 × 4.4 × 3.3 m. Nhìn rõ từ camera chéo 45–60°; hình dạng hai nhánh phải khác nhau rõ ở zoom mặc định; vạch màu phe.</t>
        </is>
      </c>
      <c r="E19" s="41" t="inlineStr">
        <is>
          <t>tháp ô nhỏ của căn cứ; bị phá thì xây lại 2 CP sau 25 s; mở khóa: thắng màn mở khóa trong chiến dịch, hoặc mua sớm 300 x</t>
        </is>
      </c>
      <c r="F19" s="43" t="n">
        <v>3300</v>
      </c>
      <c r="G19" s="41" t="inlineStr">
        <is>
          <t>3/2/2/2</t>
        </is>
      </c>
      <c r="H19" s="43" t="n">
        <v>36</v>
      </c>
      <c r="I19" s="43" t="n">
        <v>122</v>
      </c>
      <c r="J19" s="43" t="n">
        <v>36</v>
      </c>
      <c r="K19" s="43" t="n">
        <v>43</v>
      </c>
      <c r="L19" s="41" t="inlineStr">
        <is>
          <t>NSV 12,7 mm (bệ đôi), lô cốt hình nấm — Lô cốt nhánh súng máy đôi</t>
        </is>
      </c>
      <c r="M19" s="41" t="inlineStr">
        <is>
          <t>giáp 0, giáp 1</t>
        </is>
      </c>
      <c r="N19" s="41" t="inlineStr">
        <is>
          <t>nổ mạnh, đánh nóc, nổ lõm, pháo xe tăng</t>
        </is>
      </c>
      <c r="O19" s="41" t="n"/>
      <c r="P19" s="41" t="inlineStr">
        <is>
          <t>Đứng yên tại chỗ, bắn mọi mục tiêu trong tầm; Lô cốt súng máy · nhánh Lô cốt phun lửa</t>
        </is>
      </c>
      <c r="Q19" s="41" t="inlineStr">
        <is>
          <t>NSV 12.7 mm (twin) [Động năng, xuyên 1, đạn súng (cỡ lớn)] 10/phát · băng 51 viên, 20 viên/s, thay 0.87 s · tầm 28 m · Tất cả</t>
        </is>
      </c>
      <c r="R19" s="41" t="inlineStr">
        <is>
          <t>Giữ.</t>
        </is>
      </c>
      <c r="S19" s="41" t="inlineStr">
        <is>
          <t>Ổn.</t>
        </is>
      </c>
      <c r="T19" s="49" t="inlineStr">
        <is>
          <t>Thấp</t>
        </is>
      </c>
    </row>
    <row r="20" ht="42.75" customHeight="1" s="32">
      <c r="A20" s="39" t="inlineStr">
        <is>
          <t>mg_bunker.flame</t>
        </is>
      </c>
      <c r="B20" s="39" t="inlineStr">
        <is>
          <t>Lô cốt súng máy · nhánh Lô cốt phun lửa</t>
        </is>
      </c>
      <c r="C20" s="39" t="n"/>
      <c r="D20" s="39" t="inlineStr">
        <is>
          <t>Lô cốt bê tông thấp tròn hoặc lục giác, lỗ châu mai, nòng súng thò ra. Nhánh: Vòi phun và bình nhiên liệu phía sau. Kích thước hiện 4.4 × 4.4 × 3.3 m. Nhìn rõ từ camera chéo 45–60°; hình dạng hai nhánh phải khác nhau rõ ở zoom mặc định; vạch màu phe.</t>
        </is>
      </c>
      <c r="E20" s="39" t="inlineStr">
        <is>
          <t>tháp ô nhỏ của căn cứ; bị phá thì xây lại 2 CP sau 25 s; mở khóa: thắng màn mở khóa trong chiến dịch, hoặc mua sớm 300 x</t>
        </is>
      </c>
      <c r="F20" s="42" t="n">
        <v>3300</v>
      </c>
      <c r="G20" s="39" t="inlineStr">
        <is>
          <t>3/2/2/2</t>
        </is>
      </c>
      <c r="H20" s="42" t="n">
        <v>36</v>
      </c>
      <c r="I20" s="42" t="n">
        <v>170</v>
      </c>
      <c r="J20" s="42" t="n">
        <v>50</v>
      </c>
      <c r="K20" s="42" t="n">
        <v>0</v>
      </c>
      <c r="L20" s="39" t="inlineStr">
        <is>
          <t>Abwehrflammenwerfer 42, lô cốt súng phun lửa — ước đoán: nhánh lô cốt phun lửa</t>
        </is>
      </c>
      <c r="M20" s="39" t="inlineStr">
        <is>
          <t>giáp 0, giáp 1, giáp 2</t>
        </is>
      </c>
      <c r="N20" s="39" t="inlineStr">
        <is>
          <t>nổ mạnh, đánh nóc, nổ lõm, pháo xe tăng</t>
        </is>
      </c>
      <c r="O20" s="39" t="n"/>
      <c r="P20" s="39" t="inlineStr">
        <is>
          <t>Đứng yên tại chỗ, bắn mọi mục tiêu trong tầm; Bãi mìn</t>
        </is>
      </c>
      <c r="Q20" s="39" t="inlineStr">
        <is>
          <t>flamethrower (bunker) [Lửa, xuyên 1, lửa nổ lan] 26/phát · hồi 0.195 s · tầm 16 m · Mặt đất</t>
        </is>
      </c>
      <c r="R20" s="39" t="inlineStr">
        <is>
          <t>Giữ.</t>
        </is>
      </c>
      <c r="S20" s="39" t="inlineStr">
        <is>
          <t>Ổn.</t>
        </is>
      </c>
      <c r="T20" s="49" t="inlineStr">
        <is>
          <t>Thấp</t>
        </is>
      </c>
    </row>
    <row r="21" ht="42.75" customHeight="1" s="32">
      <c r="A21" s="41"/>
      <c r="B21" s="41"/>
      <c r="C21" s="41"/>
      <c r="D21" s="41"/>
      <c r="E21" s="41"/>
      <c r="F21" s="43"/>
      <c r="G21" s="41"/>
      <c r="H21" s="43"/>
      <c r="I21" s="43"/>
      <c r="J21" s="43"/>
      <c r="K21" s="43"/>
      <c r="L21" s="41"/>
      <c r="M21" s="41"/>
      <c r="N21" s="41"/>
      <c r="O21" s="41"/>
      <c r="P21" s="41"/>
      <c r="Q21" s="41"/>
      <c r="R21" s="41"/>
      <c r="S21" s="41"/>
      <c r="T21" s="49"/>
    </row>
    <row r="22" ht="42.75" customHeight="1" s="32">
      <c r="A22" s="39" t="inlineStr">
        <is>
          <t>minefield.at</t>
        </is>
      </c>
      <c r="B22" s="39" t="inlineStr">
        <is>
          <t>Bãi mìn · nhánh Bãi mìn chống tăng</t>
        </is>
      </c>
      <c r="C22" s="39" t="n"/>
      <c r="D22" s="39" t="inlineStr">
        <is>
          <t>Vùng đất xới có biển cảnh báo; mìn chỉ phe ta thấy. Nhánh: Ít mìn lớn. Kích thước hiện 4.9 × 4.9 × 1.1 m. Nhìn rõ từ camera chéo 45–60°; hình dạng hai nhánh phải khác nhau rõ ở zoom mặc định; vạch màu phe.</t>
        </is>
      </c>
      <c r="E22" s="39" t="inlineStr">
        <is>
          <t>tháp ô nhỏ của căn cứ; bị phá thì xây lại 2 CP sau 25 s; mở khóa: thắng màn mở khóa trong chiến dịch, hoặc mua sớm 300 x</t>
        </is>
      </c>
      <c r="F22" s="42" t="n">
        <v>880</v>
      </c>
      <c r="G22" s="39" t="inlineStr">
        <is>
          <t>cấp 0 (Không giáp) · công trình</t>
        </is>
      </c>
      <c r="H22" s="42" t="n">
        <v>10</v>
      </c>
      <c r="I22" s="42" t="n">
        <v>0</v>
      </c>
      <c r="J22" s="42" t="n">
        <v>0</v>
      </c>
      <c r="K22" s="42" t="n">
        <v>0</v>
      </c>
      <c r="L22" s="39" t="inlineStr">
        <is>
          <t>TM-62, M15 — ước đoán: nhánh mìn chống tăng</t>
        </is>
      </c>
      <c r="M22" s="39" t="n"/>
      <c r="N22" s="39" t="inlineStr">
        <is>
          <t>súng máy hạng nặng, lửa, pháo tự động, nổ mạnh, năng lượng, nổ lõm, pháo xe tăng</t>
        </is>
      </c>
      <c r="O22" s="39" t="n"/>
      <c r="P22" s="39" t="inlineStr">
        <is>
          <t>Đứng yên tại chỗ, phục vụ phe ta; Rải một quả mìn mỗi 45 giây (tối đa 5); Bãi mìn · nhánh Bãi mìn rải</t>
        </is>
      </c>
      <c r="Q22" s="39" t="n"/>
      <c r="R22" s="39" t="inlineStr">
        <is>
          <t>Giữ.</t>
        </is>
      </c>
      <c r="S22" s="39" t="inlineStr">
        <is>
          <t>Ổn.</t>
        </is>
      </c>
      <c r="T22" s="49" t="inlineStr">
        <is>
          <t>Thấp</t>
        </is>
      </c>
    </row>
    <row r="23" ht="42.75" customHeight="1" s="32">
      <c r="A23" s="41" t="inlineStr">
        <is>
          <t>minefield.scatter</t>
        </is>
      </c>
      <c r="B23" s="41" t="inlineStr">
        <is>
          <t>Bãi mìn · nhánh Bãi mìn rải</t>
        </is>
      </c>
      <c r="C23" s="41" t="n"/>
      <c r="D23" s="41" t="inlineStr">
        <is>
          <t>Vùng đất xới có biển cảnh báo; mìn chỉ phe ta thấy. Nhánh: Nhiều mìn nhỏ và thùng rải. Kích thước hiện 4.9 × 4.9 × 1.1 m. Nhìn rõ từ camera chéo 45–60°; hình dạng hai nhánh phải khác nhau rõ ở zoom mặc định; vạch màu phe.</t>
        </is>
      </c>
      <c r="E23" s="41" t="inlineStr">
        <is>
          <t>tháp ô nhỏ của căn cứ; bị phá thì xây lại 2 CP sau 25 s; mở khóa: thắng màn mở khóa trong chiến dịch, hoặc mua sớm 300 x</t>
        </is>
      </c>
      <c r="F23" s="43" t="n">
        <v>880</v>
      </c>
      <c r="G23" s="41" t="inlineStr">
        <is>
          <t>cấp 0 (Không giáp) · công trình</t>
        </is>
      </c>
      <c r="H23" s="43" t="n">
        <v>10</v>
      </c>
      <c r="I23" s="43" t="n">
        <v>0</v>
      </c>
      <c r="J23" s="43" t="n">
        <v>0</v>
      </c>
      <c r="K23" s="43" t="n">
        <v>0</v>
      </c>
      <c r="L23" s="41" t="inlineStr">
        <is>
          <t>M139 Volcano, PFM-1 — ước đoán: nhánh mìn rải</t>
        </is>
      </c>
      <c r="M23" s="41" t="n"/>
      <c r="N23" s="41" t="inlineStr">
        <is>
          <t>súng máy hạng nặng, lửa, pháo tự động, nổ mạnh, năng lượng, nổ lõm, pháo xe tăng</t>
        </is>
      </c>
      <c r="O23" s="41" t="n"/>
      <c r="P23" s="41" t="inlineStr">
        <is>
          <t>Đứng yên tại chỗ, phục vụ phe ta; Rải một quả mìn mỗi 35 giây (tối đa 10); Tháp ô vừa (19); Sân bay dã chiến</t>
        </is>
      </c>
      <c r="Q23" s="41" t="n"/>
      <c r="R23" s="41" t="inlineStr">
        <is>
          <t>Giữ.</t>
        </is>
      </c>
      <c r="S23" s="41" t="inlineStr">
        <is>
          <t>Ổn.</t>
        </is>
      </c>
      <c r="T23" s="49" t="inlineStr">
        <is>
          <t>Thấp</t>
        </is>
      </c>
    </row>
    <row r="24" ht="42.75" customHeight="1" s="32">
      <c r="A24" s="39" t="inlineStr">
        <is>
          <t>airfield</t>
        </is>
      </c>
      <c r="B24" s="39" t="inlineStr">
        <is>
          <t>Sân bay dã chiến</t>
        </is>
      </c>
      <c r="C24" s="39" t="inlineStr">
        <is>
          <t>máy bay bay trên nó hồi 3% máu mỗi giây và nạp đạn; chỉ huy tự đưa chúng về khi dưới 35% máu hoặc hết đạn. giúp trực thăng và máy bay bay được lâu hơn; chúng vẫn phải ra trận và có thể bị bắn rơi trên đường.</t>
        </is>
      </c>
      <c r="D24" s="39" t="inlineStr">
        <is>
          <t>Bãi đáp bê tông phẳng có vạch sơn và đèn.  Kích thước hiện 10.0 × 10.0 × 0.1 m. Nhìn rõ từ camera chéo 45–60°; hình dạng hai nhánh phải khác nhau rõ ở zoom mặc định; vạch màu phe.</t>
        </is>
      </c>
      <c r="E24" s="39" t="inlineStr">
        <is>
          <t>công sự trung lập hoặc của bản đồ, không mua được</t>
        </is>
      </c>
      <c r="F24" s="42" t="n">
        <v>3520</v>
      </c>
      <c r="G24" s="39" t="inlineStr">
        <is>
          <t>cấp 1 (Mỏng) · công trình</t>
        </is>
      </c>
      <c r="H24" s="42" t="n">
        <v>30</v>
      </c>
      <c r="I24" s="42" t="n">
        <v>0</v>
      </c>
      <c r="J24" s="42" t="n">
        <v>0</v>
      </c>
      <c r="K24" s="42" t="n">
        <v>0</v>
      </c>
      <c r="L24" s="39" t="inlineStr">
        <is>
          <t>bãi đáp trực thăng (chữ H) — Bãi đáp sửa chữa và nạp đạn cho máy bay</t>
        </is>
      </c>
      <c r="M24" s="39" t="n"/>
      <c r="N24" s="39" t="inlineStr">
        <is>
          <t>lửa, pháo tự động, nổ mạnh, nổ lõm, pháo xe tăng</t>
        </is>
      </c>
      <c r="O24" s="39" t="inlineStr">
        <is>
          <t>máy bay bay trên nó hồi 3% máu mỗi giây và nạp đạn; chỉ huy tự đưa chúng về khi dưới 35% máu hoặc hết đạn.</t>
        </is>
      </c>
      <c r="P24" s="39" t="inlineStr">
        <is>
          <t>Đứng yên tại chỗ, phục vụ phe ta; Sân bay dã chiến · Nhà chứa máy bay</t>
        </is>
      </c>
      <c r="Q24" s="39" t="n"/>
      <c r="R24" s="39" t="inlineStr">
        <is>
          <t>Giữ.</t>
        </is>
      </c>
      <c r="S24" s="39" t="inlineStr">
        <is>
          <t>Ổn.</t>
        </is>
      </c>
      <c r="T24" s="49" t="inlineStr">
        <is>
          <t>Thấp</t>
        </is>
      </c>
    </row>
    <row r="25" ht="32.25" customHeight="1" s="32">
      <c r="A25" s="41" t="inlineStr">
        <is>
          <t>airfield.hangar</t>
        </is>
      </c>
      <c r="B25" s="41" t="inlineStr">
        <is>
          <t>Sân bay dã chiến · Nhà chứa máy bay</t>
        </is>
      </c>
      <c r="C25" s="41" t="n"/>
      <c r="D25" s="41" t="inlineStr">
        <is>
          <t>Bãi đáp bê tông phẳng có vạch sơn và đèn. Nhánh: Nhà chứa máy bay. Kích thước hiện 10.0 × 10.0 × 0.1 m. Nhìn rõ từ camera chéo 45–60°; hình dạng hai nhánh phải khác nhau rõ ở zoom mặc định; vạch màu phe.</t>
        </is>
      </c>
      <c r="E25" s="41" t="inlineStr">
        <is>
          <t>công sự trung lập hoặc của bản đồ, không mua được</t>
        </is>
      </c>
      <c r="F25" s="43" t="n">
        <v>3960</v>
      </c>
      <c r="G25" s="41" t="inlineStr">
        <is>
          <t>cấp 2 (Vừa) · công trình</t>
        </is>
      </c>
      <c r="H25" s="43" t="n">
        <v>30</v>
      </c>
      <c r="I25" s="43" t="n">
        <v>0</v>
      </c>
      <c r="J25" s="43" t="n">
        <v>0</v>
      </c>
      <c r="K25" s="43" t="n">
        <v>0</v>
      </c>
      <c r="L25" s="41" t="inlineStr">
        <is>
          <t>nhà chứa máy bay dã chiến — ước đoán: nhánh nhà chứa</t>
        </is>
      </c>
      <c r="M25" s="41" t="n"/>
      <c r="N25" s="41" t="inlineStr">
        <is>
          <t>nổ mạnh, nổ lõm, pháo xe tăng</t>
        </is>
      </c>
      <c r="O25" s="41" t="n"/>
      <c r="P25" s="41" t="inlineStr">
        <is>
          <t>Đứng yên tại chỗ, phục vụ phe ta; Sân bay dã chiến · Phục vụ nhanh</t>
        </is>
      </c>
      <c r="Q25" s="41" t="n"/>
      <c r="R25" s="41" t="inlineStr">
        <is>
          <t>Giữ.</t>
        </is>
      </c>
      <c r="S25" s="41" t="inlineStr">
        <is>
          <t>Ổn.</t>
        </is>
      </c>
      <c r="T25" s="49" t="inlineStr">
        <is>
          <t>Thấp</t>
        </is>
      </c>
    </row>
    <row r="26" ht="32.25" customHeight="1" s="32">
      <c r="A26" s="39" t="inlineStr">
        <is>
          <t>airfield.service</t>
        </is>
      </c>
      <c r="B26" s="39" t="inlineStr">
        <is>
          <t>Sân bay dã chiến · Phục vụ nhanh</t>
        </is>
      </c>
      <c r="C26" s="39" t="n"/>
      <c r="D26" s="39" t="inlineStr">
        <is>
          <t>Bãi đáp bê tông phẳng có vạch sơn và đèn. Nhánh: Xe tiếp nhiên liệu và thùng đạn. Kích thước hiện 10.0 × 10.0 × 0.1 m. Nhìn rõ từ camera chéo 45–60°; hình dạng hai nhánh phải khác nhau rõ ở zoom mặc định; vạch màu phe.</t>
        </is>
      </c>
      <c r="E26" s="39" t="inlineStr">
        <is>
          <t>công sự trung lập hoặc của bản đồ, không mua được</t>
        </is>
      </c>
      <c r="F26" s="42" t="n">
        <v>3520</v>
      </c>
      <c r="G26" s="39" t="inlineStr">
        <is>
          <t>cấp 1 (Mỏng) · công trình</t>
        </is>
      </c>
      <c r="H26" s="42" t="n">
        <v>30</v>
      </c>
      <c r="I26" s="42" t="n">
        <v>0</v>
      </c>
      <c r="J26" s="42" t="n">
        <v>0</v>
      </c>
      <c r="K26" s="42" t="n">
        <v>0</v>
      </c>
      <c r="L26" s="39" t="inlineStr">
        <is>
          <t>FARP (điểm tiếp đạn và nhiên liệu tiền phương) — ước đoán: nhánh phục vụ máy bay</t>
        </is>
      </c>
      <c r="M26" s="39" t="n"/>
      <c r="N26" s="39" t="inlineStr">
        <is>
          <t>lửa, pháo tự động, nổ mạnh, nổ lõm, pháo xe tăng</t>
        </is>
      </c>
      <c r="O26" s="39" t="n"/>
      <c r="P26" s="39" t="inlineStr">
        <is>
          <t>Đứng yên tại chỗ, phục vụ phe ta                                                                    M; Kho đạn</t>
        </is>
      </c>
      <c r="Q26" s="39" t="n"/>
      <c r="R26" s="39" t="inlineStr">
        <is>
          <t>Giữ.</t>
        </is>
      </c>
      <c r="S26" s="39" t="inlineStr">
        <is>
          <t>Ổn.</t>
        </is>
      </c>
      <c r="T26" s="49" t="inlineStr">
        <is>
          <t>Thấp</t>
        </is>
      </c>
    </row>
    <row r="27" ht="32.25" customHeight="1" s="32">
      <c r="A27" s="41"/>
      <c r="B27" s="41"/>
      <c r="C27" s="41"/>
      <c r="D27" s="41"/>
      <c r="E27" s="41"/>
      <c r="F27" s="43"/>
      <c r="G27" s="41"/>
      <c r="H27" s="43"/>
      <c r="I27" s="43"/>
      <c r="J27" s="43"/>
      <c r="K27" s="43"/>
      <c r="L27" s="41"/>
      <c r="M27" s="41"/>
      <c r="N27" s="41"/>
      <c r="O27" s="41"/>
      <c r="P27" s="41"/>
      <c r="Q27" s="41"/>
      <c r="R27" s="41"/>
      <c r="S27" s="41"/>
      <c r="T27" s="49"/>
    </row>
    <row r="28" ht="42.75" customHeight="1" s="32">
      <c r="A28" s="39" t="inlineStr">
        <is>
          <t>atgm_tower</t>
        </is>
      </c>
      <c r="B28" s="39" t="inlineStr">
        <is>
          <t>Tháp tên lửa chống tăng</t>
        </is>
      </c>
      <c r="C28" s="39" t="inlineStr">
        <is>
          <t>bệ phóng Kornet đôi bắn tên lửa chống tăng theo cặp xa tới 50 m. chặn xe tăng và giáp dày từ xa; APS và la-de phòng không bắn hạ được tên lửa của nó, pháo binh bắn xa hơn nó.</t>
        </is>
      </c>
      <c r="D28" s="39" t="inlineStr">
        <is>
          <t>Bệ phóng tên lửa đôi trên tháp thép thấp có tấm chắn.  Kích thước hiện 5.2 × 5.2 × 5.0 m. Nhìn rõ từ camera chéo 45–60°; hình dạng hai nhánh phải khác nhau rõ ở zoom mặc định; vạch màu phe.</t>
        </is>
      </c>
      <c r="E28" s="39" t="inlineStr">
        <is>
          <t>tháp ô vừa của căn cứ; bị phá thì xây lại 4 CP sau 40 s; mở khóa: thắng màn mở khóa trong chiến dịch, hoặc mua sớm 300 x</t>
        </is>
      </c>
      <c r="F28" s="42" t="n">
        <v>1980</v>
      </c>
      <c r="G28" s="39" t="inlineStr">
        <is>
          <t>cấp 2 (Vừa) · công trình</t>
        </is>
      </c>
      <c r="H28" s="42" t="n">
        <v>55</v>
      </c>
      <c r="I28" s="42" t="n">
        <v>45</v>
      </c>
      <c r="J28" s="42" t="n">
        <v>93</v>
      </c>
      <c r="K28" s="42" t="n">
        <v>0</v>
      </c>
      <c r="L28" s="39" t="inlineStr">
        <is>
          <t>9M133 Kornet — Tháp bê tông phóng tên lửa chống tăng</t>
        </is>
      </c>
      <c r="M28" s="39" t="inlineStr">
        <is>
          <t>giáp 0, giáp 1, giáp 2, giáp 3, giáp 4, công trình</t>
        </is>
      </c>
      <c r="N28" s="39" t="inlineStr">
        <is>
          <t>nổ mạnh, nổ lõm, pháo xe tăng</t>
        </is>
      </c>
      <c r="O28" s="39" t="inlineStr">
        <is>
          <t>bệ phóng Kornet đôi bắn tên lửa chống tăng theo cặp xa tới 50 m.</t>
        </is>
      </c>
      <c r="P28" s="39" t="inlineStr">
        <is>
          <t>Đứng yên tại chỗ, bắn mọi mục tiêu trong tầm                                                        9; S; K; T; 9; Tháp tên lửa chống tăng · nhánh Tấn công từ trên</t>
        </is>
      </c>
      <c r="Q28" s="39" t="inlineStr">
        <is>
          <t>9M133 Kornet [Nổ lõm, xuyên 4, tên lửa chống tăng dẫn đường] 230/phát · loạt 2, hồi 4.35 s · tầm 50 m · Mặt đất</t>
        </is>
      </c>
      <c r="R28" s="39" t="inlineStr">
        <is>
          <t>Giữ.</t>
        </is>
      </c>
      <c r="S28" s="39" t="inlineStr">
        <is>
          <t>Đạt mục tiêu (45/93).</t>
        </is>
      </c>
      <c r="T28" s="49" t="inlineStr">
        <is>
          <t>Thấp</t>
        </is>
      </c>
    </row>
    <row r="29" ht="42.75" customHeight="1" s="32">
      <c r="A29" s="41" t="inlineStr">
        <is>
          <t>atgm_tower.top</t>
        </is>
      </c>
      <c r="B29" s="41" t="inlineStr">
        <is>
          <t>Tháp tên lửa chống tăng · nhánh Tấn công từ trên</t>
        </is>
      </c>
      <c r="C29" s="41" t="n"/>
      <c r="D29" s="41" t="inlineStr">
        <is>
          <t>Bệ phóng tên lửa đôi trên tháp thép thấp có tấm chắn. Nhánh: Bệ phóng cao, tên lửa bay vòng lên. Kích thước hiện 5.2 × 5.2 × 5.0 m. Nhìn rõ từ camera chéo 45–60°; hình dạng hai nhánh phải khác nhau rõ ở zoom mặc định; vạch màu phe.</t>
        </is>
      </c>
      <c r="E29" s="41" t="inlineStr">
        <is>
          <t>tháp ô vừa của căn cứ; bị phá thì xây lại 4 CP sau 40 s; mở khóa: thắng màn mở khóa trong chiến dịch, hoặc mua sớm 300 x</t>
        </is>
      </c>
      <c r="F29" s="43" t="n">
        <v>1980</v>
      </c>
      <c r="G29" s="41" t="inlineStr">
        <is>
          <t>cấp 2 (Vừa) · công trình</t>
        </is>
      </c>
      <c r="H29" s="43" t="n">
        <v>55</v>
      </c>
      <c r="I29" s="43" t="n">
        <v>40</v>
      </c>
      <c r="J29" s="43" t="n">
        <v>100</v>
      </c>
      <c r="K29" s="43" t="n">
        <v>0</v>
      </c>
      <c r="L29" s="41" t="inlineStr">
        <is>
          <t>9M133 Kornet, FGM-148 Javelin (đánh nóc) — ước đoán (Javelin): nhánh tên lửa đánh nóc</t>
        </is>
      </c>
      <c r="M29" s="41" t="inlineStr">
        <is>
          <t>giáp 0, giáp 1, giáp 2, giáp 3, giáp 4, công trình</t>
        </is>
      </c>
      <c r="N29" s="41" t="inlineStr">
        <is>
          <t>nổ mạnh, nổ lõm, pháo xe tăng</t>
        </is>
      </c>
      <c r="O29" s="41" t="n"/>
      <c r="P29" s="41" t="inlineStr">
        <is>
          <t>Đứng yên tại chỗ, bắn mọi mục tiêu trong tầm; Tháp tên lửa chống tăng · nhánh Đa năng</t>
        </is>
      </c>
      <c r="Q29" s="41" t="inlineStr">
        <is>
          <t>9M133 Kornet [Nổ lõm, xuyên 4, tên lửa chống tăng đánh nóc] dẫn đường/phát · 230 · tầm loạt 2, hồi 4 s · 50 m</t>
        </is>
      </c>
      <c r="R29" s="41" t="inlineStr">
        <is>
          <t>Giữ.</t>
        </is>
      </c>
      <c r="S29" s="41" t="inlineStr">
        <is>
          <t>Ổn.</t>
        </is>
      </c>
      <c r="T29" s="49" t="inlineStr">
        <is>
          <t>Thấp</t>
        </is>
      </c>
    </row>
    <row r="30" ht="42.75" customHeight="1" s="32">
      <c r="A30" s="39" t="inlineStr">
        <is>
          <t>atgm_tower.multi</t>
        </is>
      </c>
      <c r="B30" s="39" t="inlineStr">
        <is>
          <t>Tháp tên lửa chống tăng · nhánh Đa năng</t>
        </is>
      </c>
      <c r="C30" s="39" t="n"/>
      <c r="D30" s="39" t="inlineStr">
        <is>
          <t>Bệ phóng tên lửa đôi trên tháp thép thấp có tấm chắn. Nhánh: Bệ xoay 4 ống có cảm biến phòng không. Kích thước hiện 5.2 × 5.2 × 5.0 m. Nhìn rõ từ camera chéo 45–60°; hình dạng hai nhánh phải khác nhau rõ ở zoom mặc định; vạch màu phe.</t>
        </is>
      </c>
      <c r="E30" s="39" t="inlineStr">
        <is>
          <t>tháp ô vừa của căn cứ; bị phá thì xây lại 4 CP sau 40 s; mở khóa: thắng màn mở khóa trong chiến dịch, hoặc mua sớm 300 x</t>
        </is>
      </c>
      <c r="F30" s="42" t="n">
        <v>1980</v>
      </c>
      <c r="G30" s="39" t="inlineStr">
        <is>
          <t>cấp 2 (Vừa) · công trình</t>
        </is>
      </c>
      <c r="H30" s="42" t="n">
        <v>55</v>
      </c>
      <c r="I30" s="42" t="n">
        <v>67</v>
      </c>
      <c r="J30" s="42" t="n">
        <v>79</v>
      </c>
      <c r="K30" s="42" t="n">
        <v>28</v>
      </c>
      <c r="L30" s="39" t="inlineStr">
        <is>
          <t>9M133 Kornet, Kornet-EM (bệ nhiều ống) — ước đoán (Kornet-EM): nhánh đa năng bốn ống và radar nhỏ</t>
        </is>
      </c>
      <c r="M30" s="39" t="inlineStr">
        <is>
          <t>giáp 0, giáp 1, giáp 2, giáp 3, giáp 4, công trình</t>
        </is>
      </c>
      <c r="N30" s="39" t="inlineStr">
        <is>
          <t>nổ mạnh, nổ lõm, pháo xe tăng</t>
        </is>
      </c>
      <c r="O30" s="39" t="n"/>
      <c r="P30" s="39" t="inlineStr">
        <is>
          <t>Đứng yên tại chỗ, bắn mọi mục tiêu trong tầm; Trạm C-RAM</t>
        </is>
      </c>
      <c r="Q30" s="39" t="inlineStr">
        <is>
          <t>9M133 Kornet [Nổ lõm, xuyên 4, tên lửa chống tăng dẫn đường] 230/phát · loạt 2, hồi 4.35 s · tầm 50 m · Tất cả</t>
        </is>
      </c>
      <c r="R30" s="39" t="inlineStr">
        <is>
          <t>Giữ.</t>
        </is>
      </c>
      <c r="S30" s="39" t="inlineStr">
        <is>
          <t>Ổn.</t>
        </is>
      </c>
      <c r="T30" s="49" t="inlineStr">
        <is>
          <t>Thấp</t>
        </is>
      </c>
    </row>
    <row r="31" ht="53.25" customHeight="1" s="32">
      <c r="A31" s="41" t="inlineStr">
        <is>
          <t>c_ram</t>
        </is>
      </c>
      <c r="B31" s="41" t="inlineStr">
        <is>
          <t>Trạm C-RAM</t>
        </is>
      </c>
      <c r="C31" s="41" t="inlineStr">
        <is>
          <t>bắn hạ rốc-két, tên lửa, drone và khoảng một phần ba đạn pháo nhắm vào trong 35 m, hai quả đánh chặn cùng lúc; pháo nhiều che căn cứ khỏi pháo binh, rốc-két và drone; không có gì đánh xe mặt đất.</t>
        </is>
      </c>
      <c r="D31" s="41" t="inlineStr">
        <is>
          <t>Tháp pháo nhiều nòng màu trắng với vòm radar hình trụ trên đỉnh.  Kích thước hiện 5.6 × 5.6 × 5.4 m. Nhìn rõ từ camera chéo 45–60°; hình dạng hai nhánh phải khác nhau rõ ở zoom mặc định; vạch màu phe.</t>
        </is>
      </c>
      <c r="E31" s="41" t="inlineStr">
        <is>
          <t>tháp ô vừa của căn cứ; bị phá thì xây lại 4 CP sau 40 s; mở khóa: thắng màn mở khóa trong chiến dịch, hoặc mua sớm 300 x</t>
        </is>
      </c>
      <c r="F31" s="43" t="n">
        <v>2860</v>
      </c>
      <c r="G31" s="41" t="inlineStr">
        <is>
          <t>cấp 1 (Mỏng) · công trình</t>
        </is>
      </c>
      <c r="H31" s="43" t="n">
        <v>60</v>
      </c>
      <c r="I31" s="43" t="n">
        <v>0</v>
      </c>
      <c r="J31" s="43" t="n">
        <v>0</v>
      </c>
      <c r="K31" s="43" t="n">
        <v>0</v>
      </c>
      <c r="L31" s="41" t="inlineStr">
        <is>
          <t>Centurion C-RAM, Phalanx Block 1B (M61 20 mm) — Pháo phòng thủ tầm gần chống rốc-két, pháo và cối</t>
        </is>
      </c>
      <c r="M31" s="41" t="n"/>
      <c r="N31" s="41" t="inlineStr">
        <is>
          <t>lửa, pháo tự động, nổ mạnh, nổ lõm, pháo xe tăng</t>
        </is>
      </c>
      <c r="O31" s="41" t="inlineStr">
        <is>
          <t>bắn hạ rốc-két, tên lửa, drone và khoảng một phần ba đạn pháo nhắm vào trong 35 m, hai quả đánh chặn cùng lúc; pháo nhiều</t>
        </is>
      </c>
      <c r="P31" s="41" t="inlineStr">
        <is>
          <t>Đứng yên tại chỗ, bắn mọi mục tiêu trong tầm; APS: bắn hạ tên lửa, drone và rốc-két bắn thẳng nhắm vào trong 35 m (4 lần liền, hồi một lần; mỗi 0,6 giây); Bắn hạ cả rốc-két pháo binh; Và 30% số đạn pháo; Trạm C-RAM · nhánh Centurion</t>
        </is>
      </c>
      <c r="Q31" s="41" t="inlineStr">
        <is>
          <t>Phalanx M61 20 mm [Mảnh, xuyên 1, đạn nổ trên không nổ lan] 13/phát · băng 23 viên, 8 viên/s, thay 1 s · tầm 32 m · Trên không</t>
        </is>
      </c>
      <c r="R31" s="41" t="inlineStr">
        <is>
          <t>• Vũ khí: Phalanx 20 mm: 2/phát · 50 viên/s · băng 200 (giữ khả năng đánh chặn)</t>
        </is>
      </c>
      <c r="S31" s="41" t="inlineStr">
        <is>
          <t>• Vũ khí: Phalanx 20 mm: Không có cảm giác luồng đạn CIWS.</t>
        </is>
      </c>
      <c r="T31" s="48" t="inlineStr">
        <is>
          <t>Trung</t>
        </is>
      </c>
    </row>
    <row r="32" ht="53.25" customHeight="1" s="32">
      <c r="A32" s="39" t="inlineStr">
        <is>
          <t>c_ram.centurion</t>
        </is>
      </c>
      <c r="B32" s="39" t="inlineStr">
        <is>
          <t>Trạm C-RAM · nhánh Centurion</t>
        </is>
      </c>
      <c r="C32" s="39" t="n"/>
      <c r="D32" s="39" t="inlineStr">
        <is>
          <t>Tháp pháo nhiều nòng màu trắng với vòm radar hình trụ trên đỉnh. Nhánh: Súng nhiều nòng có radar cầu. Kích thước hiện 5.6 × 5.6 × 5.4 m. Nhìn rõ từ camera chéo 45–60°; hình dạng hai nhánh phải khác nhau rõ ở zoom mặc định; vạch màu phe.</t>
        </is>
      </c>
      <c r="E32" s="39" t="inlineStr">
        <is>
          <t>tháp ô vừa của căn cứ; bị phá thì xây lại 4 CP sau 40 s; mở khóa: thắng màn mở khóa trong chiến dịch, hoặc mua sớm 300 x</t>
        </is>
      </c>
      <c r="F32" s="42" t="n">
        <v>2860</v>
      </c>
      <c r="G32" s="39" t="inlineStr">
        <is>
          <t>cấp 1 (Mỏng) · công trình</t>
        </is>
      </c>
      <c r="H32" s="42" t="n">
        <v>60</v>
      </c>
      <c r="I32" s="42" t="n">
        <v>0</v>
      </c>
      <c r="J32" s="42" t="n">
        <v>0</v>
      </c>
      <c r="K32" s="42" t="n">
        <v>0</v>
      </c>
      <c r="L32" s="39" t="inlineStr">
        <is>
          <t>Centurion C-RAM, Phalanx CIWS — Nhánh C-RAM tầm gần</t>
        </is>
      </c>
      <c r="M32" s="39" t="n"/>
      <c r="N32" s="39" t="inlineStr">
        <is>
          <t>lửa, pháo tự động, nổ mạnh, nổ lõm, pháo xe tăng</t>
        </is>
      </c>
      <c r="O32" s="39" t="n"/>
      <c r="P32" s="39" t="inlineStr">
        <is>
          <t>Đứng yên tại chỗ, bắn mọi mục tiêu trong tầm; APS: bắn hạ tên lửa, drone và rốc-két bắn thẳng nhắm vào trong 35 m (5 lần liền, hồi một lần; mỗi 0,4 giây); Bắn hạ cả rốc-két pháo binh; Và 40% số đạn pháo; Trạm C-RAM · nhánh Vòm Sắt</t>
        </is>
      </c>
      <c r="Q32" s="39" t="inlineStr">
        <is>
          <t>Phalanx M61 20 mm [Mảnh, xuyên 1, đạn nổ trên không nổ lan] 13/phát · băng 23 viên, 8 viên/s, thay 1 s · tầm 32 m · Trên không</t>
        </is>
      </c>
      <c r="R32" s="39" t="inlineStr">
        <is>
          <t>Như c_ram.</t>
        </is>
      </c>
      <c r="S32" s="39" t="inlineStr">
        <is>
          <t>Ổn.</t>
        </is>
      </c>
      <c r="T32" s="49" t="inlineStr">
        <is>
          <t>Thấp</t>
        </is>
      </c>
    </row>
    <row r="33" ht="84.75" customHeight="1" s="32">
      <c r="A33" s="41" t="inlineStr">
        <is>
          <t>c_ram.dome</t>
        </is>
      </c>
      <c r="B33" s="41" t="inlineStr">
        <is>
          <t>Trạm C-RAM · nhánh Vòm Sắt</t>
        </is>
      </c>
      <c r="C33" s="41" t="n"/>
      <c r="D33" s="41" t="inlineStr">
        <is>
          <t>Tháp pháo nhiều nòng màu trắng với vòm radar hình trụ trên đỉnh. Nhánh: Giàn phóng tên lửa đánh chặn nghiêng. Kích thước hiện 5.6 × 5.6 × 5.4 m. Nhìn rõ từ camera chéo 45–60°; hình dạng hai nhánh phải khác nhau rõ ở zoom mặc định; vạch màu phe.</t>
        </is>
      </c>
      <c r="E33" s="41" t="inlineStr">
        <is>
          <t>tháp ô vừa của căn cứ; bị phá thì xây lại 4 CP sau 40 s; mở khóa: thắng màn mở khóa trong chiến dịch, hoặc mua sớm 300 x</t>
        </is>
      </c>
      <c r="F33" s="43" t="n">
        <v>2860</v>
      </c>
      <c r="G33" s="41" t="inlineStr">
        <is>
          <t>cấp 1 (Mỏng) · công trình</t>
        </is>
      </c>
      <c r="H33" s="43" t="n">
        <v>64</v>
      </c>
      <c r="I33" s="43" t="n">
        <v>0</v>
      </c>
      <c r="J33" s="43" t="n">
        <v>0</v>
      </c>
      <c r="K33" s="43" t="n">
        <v>21</v>
      </c>
      <c r="L33" s="41" t="inlineStr">
        <is>
          <t>Iron Dome (tên lửa Tamir) — Nhánh Vòm Sắt đánh chặn rốc-két</t>
        </is>
      </c>
      <c r="M33" s="41" t="inlineStr">
        <is>
          <t>trên không</t>
        </is>
      </c>
      <c r="N33" s="41" t="inlineStr">
        <is>
          <t>lửa, pháo tự động, nổ mạnh, nổ lõm, pháo xe tăng</t>
        </is>
      </c>
      <c r="O33" s="41" t="n"/>
      <c r="P33" s="41" t="inlineStr">
        <is>
          <t>Đứng yên tại chỗ, bắn mọi mục tiêu trong tầm; Tên lửa đánh chặn: bắn hạ đạn nhắm vào trong 60 m (6 quả trong bệ phóng, nạp lại đủ sau 12; giây kể từ lần phóng cuối); Chỉ chặn đạn bay cầu vồng từ xa: rốc-két pháo binh, drone và tên lửa tầm xa; không chặn đạn; bắn thẳng (đạn pháo bắn thẳng, tên lửa chống tăng, ống phóng rốc-két) và Năng lượng; Và 50% số đạn pháo; Tháp pháo</t>
        </is>
      </c>
      <c r="Q33" s="41" t="inlineStr">
        <is>
          <t>Tamir interceptor (Iron Dome) [Mảnh, xuyên 2, tên lửa phòng không dẫn đường] nổ lan/phát · 110 · tầm hồi 3.5 s · 60 m</t>
        </is>
      </c>
      <c r="R33" s="41" t="inlineStr">
        <is>
          <t>Tốc độ tên lửa Tamir: xem sheet Tốc độ tên lửa.</t>
        </is>
      </c>
      <c r="S33" s="41" t="inlineStr">
        <is>
          <t>Ổn.</t>
        </is>
      </c>
      <c r="T33" s="49" t="inlineStr">
        <is>
          <t>Thấp</t>
        </is>
      </c>
    </row>
    <row r="34" ht="32.25" customHeight="1" s="32">
      <c r="A34" s="39" t="inlineStr">
        <is>
          <t>gun_turret</t>
        </is>
      </c>
      <c r="B34" s="39" t="inlineStr">
        <is>
          <t>Tháp pháo</t>
        </is>
      </c>
      <c r="C34" s="39" t="inlineStr">
        <is>
          <t>pháo 120 mm xuyên giáp của tăng chủ lực đặt trên bệ cố định. thắng xe tăng và xe nhẹ lọt vào tầm 32 m; bị xe diệt tăng và pháo binh bắn xa hơn.</t>
        </is>
      </c>
      <c r="D34" s="39" t="inlineStr">
        <is>
          <t>Tháp pháo xe tăng đặt trên bệ bê tông vuông, nòng 120 mm dài.  Kích thước hiện 8.9 × 5.0 × 4.0 m. Nhìn rõ từ camera chéo 45–60°; hình dạng hai nhánh phải khác nhau rõ ở zoom mặc định; vạch màu phe.</t>
        </is>
      </c>
      <c r="E34" s="39" t="inlineStr">
        <is>
          <t>tháp ô vừa của căn cứ; bị phá thì xây lại 4 CP sau 40 s; mở khóa: có sẵn từ đầu</t>
        </is>
      </c>
      <c r="F34" s="42" t="n">
        <v>3960</v>
      </c>
      <c r="G34" s="39" t="inlineStr">
        <is>
          <t>cấp 3 (Dày) · công trình</t>
        </is>
      </c>
      <c r="H34" s="42" t="n">
        <v>42</v>
      </c>
      <c r="I34" s="42" t="n">
        <v>65</v>
      </c>
      <c r="J34" s="42" t="n">
        <v>83</v>
      </c>
      <c r="K34" s="42" t="n">
        <v>0</v>
      </c>
      <c r="L34" s="39" t="inlineStr">
        <is>
          <t>Rh-120 L/44 120 mm, tháp xe tăng T-55 / T-72 chôn làm công sự — ước đoán: tháp pháo 120 mm trên công sự chôn</t>
        </is>
      </c>
      <c r="M34" s="39" t="inlineStr">
        <is>
          <t>giáp 0, giáp 1, giáp 2, giáp 3, giáp 4, công trình</t>
        </is>
      </c>
      <c r="N34" s="39" t="inlineStr">
        <is>
          <t>nổ mạnh, nổ lõm, pháo xe tăng</t>
        </is>
      </c>
      <c r="O34" s="39" t="inlineStr">
        <is>
          <t>pháo 120 mm xuyên giáp của tăng chủ lực đặt trên bệ cố định.</t>
        </is>
      </c>
      <c r="P34" s="39" t="inlineStr">
        <is>
          <t>Đứng yên tại chỗ, bắn mọi mục tiêu trong tầm; Tháp pháo · nhánh Pháo bắn tỉa</t>
        </is>
      </c>
      <c r="Q34" s="39" t="inlineStr">
        <is>
          <t>Rh-120 L/44 120 mm [Động năng, xuyên 4, đạn pháo động năng (≥120 mm) nổ lan] 240/phát · hồi 2.88 s · tầm 32 m · Mặt đất</t>
        </is>
      </c>
      <c r="R34" s="39" t="inlineStr">
        <is>
          <t>Giữ.</t>
        </is>
      </c>
      <c r="S34" s="39" t="inlineStr">
        <is>
          <t>Đạt mục tiêu (65/83).</t>
        </is>
      </c>
      <c r="T34" s="49" t="inlineStr">
        <is>
          <t>Thấp</t>
        </is>
      </c>
    </row>
    <row r="35" ht="42.75" customHeight="1" s="32">
      <c r="A35" s="41" t="inlineStr">
        <is>
          <t>gun_turret.long</t>
        </is>
      </c>
      <c r="B35" s="41" t="inlineStr">
        <is>
          <t>Tháp pháo · nhánh Pháo bắn tỉa</t>
        </is>
      </c>
      <c r="C35" s="41" t="n"/>
      <c r="D35" s="41" t="inlineStr">
        <is>
          <t>Tháp pháo xe tăng đặt trên bệ bê tông vuông, nòng 120 mm dài. Nhánh: Một nòng rất dài có ống ngắm. Kích thước hiện 8.9 × 5.0 × 4.0 m. Nhìn rõ từ camera chéo 45–60°; hình dạng hai nhánh phải khác nhau rõ ở zoom mặc định; vạch màu phe.</t>
        </is>
      </c>
      <c r="E35" s="41" t="inlineStr">
        <is>
          <t>tháp ô vừa của căn cứ; bị phá thì xây lại 4 CP sau 40 s; mở khóa: thắng màn mở khóa trong chiến dịch, hoặc mua sớm 300 x</t>
        </is>
      </c>
      <c r="F35" s="43" t="n">
        <v>3960</v>
      </c>
      <c r="G35" s="41" t="inlineStr">
        <is>
          <t>cấp 3 (Dày) · công trình</t>
        </is>
      </c>
      <c r="H35" s="43" t="n">
        <v>42</v>
      </c>
      <c r="I35" s="43" t="n">
        <v>48</v>
      </c>
      <c r="J35" s="43" t="n">
        <v>62</v>
      </c>
      <c r="K35" s="43" t="n">
        <v>0</v>
      </c>
      <c r="L35" s="41" t="inlineStr">
        <is>
          <t>Rh-120 L/55 (Leopard 2A6) — Nhánh pháo bắn tỉa 120 mm nòng dài</t>
        </is>
      </c>
      <c r="M35" s="41" t="inlineStr">
        <is>
          <t>giáp 0, giáp 1, giáp 2, giáp 3, giáp 4, công trình</t>
        </is>
      </c>
      <c r="N35" s="41" t="inlineStr">
        <is>
          <t>nổ mạnh, nổ lõm, pháo xe tăng</t>
        </is>
      </c>
      <c r="O35" s="41" t="n"/>
      <c r="P35" s="41" t="inlineStr">
        <is>
          <t>Đứng yên tại chỗ, bắn mọi mục tiêu trong tầm; Tháp pháo · nhánh Pháo tự động 57 mm</t>
        </is>
      </c>
      <c r="Q35" s="41" t="inlineStr">
        <is>
          <t>Rh-120 L/55 120 mm [Động năng, xuyên 4, đạn pháo động năng (≥120 mm) nổ lan] 240/phát · hồi 3.9 s · tầm 48 m · Mặt đất</t>
        </is>
      </c>
      <c r="R35" s="41" t="inlineStr">
        <is>
          <t>• Vũ khí: 120 mm L/55: phát đầu tiên vào mục tiêu mới +50% sát thương, hoặc xuyên +1 cấp</t>
        </is>
      </c>
      <c r="S35" s="41" t="inlineStr">
        <is>
          <t>• Vũ khí: 120 mm L/55: Nhánh bắn tỉa cần một ưu thế rõ ngoài tầm.</t>
        </is>
      </c>
      <c r="T35" s="48" t="inlineStr">
        <is>
          <t>Trung</t>
        </is>
      </c>
    </row>
    <row r="36" ht="42.75" customHeight="1" s="32">
      <c r="A36" s="39" t="inlineStr">
        <is>
          <t>gun_turret.auto</t>
        </is>
      </c>
      <c r="B36" s="39" t="inlineStr">
        <is>
          <t>Tháp pháo · nhánh Pháo tự động 57 mm</t>
        </is>
      </c>
      <c r="C36" s="39" t="n"/>
      <c r="D36" s="39" t="inlineStr">
        <is>
          <t>Tháp pháo xe tăng đặt trên bệ bê tông vuông, nòng 120 mm dài. Nhánh: Tháp nhỏ hai nòng ngắn có radar. Kích thước hiện 8.9 × 5.0 × 4.0 m. Nhìn rõ từ camera chéo 45–60°; hình dạng hai nhánh phải khác nhau rõ ở zoom mặc định; vạch màu phe.</t>
        </is>
      </c>
      <c r="E36" s="39" t="inlineStr">
        <is>
          <t>tháp ô vừa của căn cứ; bị phá thì xây lại 4 CP sau 40 s; mở khóa: thắng màn mở khóa trong chiến dịch, hoặc mua sớm 300 x</t>
        </is>
      </c>
      <c r="F36" s="42" t="n">
        <v>3960</v>
      </c>
      <c r="G36" s="39" t="inlineStr">
        <is>
          <t>cấp 3 (Dày) · công trình</t>
        </is>
      </c>
      <c r="H36" s="42" t="n">
        <v>42</v>
      </c>
      <c r="I36" s="42" t="n">
        <v>86</v>
      </c>
      <c r="J36" s="42" t="n">
        <v>43</v>
      </c>
      <c r="K36" s="42" t="n">
        <v>111</v>
      </c>
      <c r="L36" s="39" t="inlineStr">
        <is>
          <t>AU-220M 57 mm — Nhánh pháo tự động 57 mm hai nòng</t>
        </is>
      </c>
      <c r="M36" s="39" t="inlineStr">
        <is>
          <t>giáp 0, giáp 1, giáp 2</t>
        </is>
      </c>
      <c r="N36" s="39" t="inlineStr">
        <is>
          <t>nổ mạnh, nổ lõm, pháo xe tăng</t>
        </is>
      </c>
      <c r="O36" s="39" t="n"/>
      <c r="P36" s="39" t="inlineStr">
        <is>
          <t>Đứng yên tại chỗ, bắn mọi mục tiêu trong tầm; Trạm hậu cần</t>
        </is>
      </c>
      <c r="Q36" s="39" t="inlineStr">
        <is>
          <t>AU-220 57 mm (tower) [Động năng, xuyên 2, đạn pháo động năng (pháo tự động) nổ lan] 70/phát · băng 6 viên, 2 viên/s, thay 2.4 s · tầm 40 m · Tất cả</t>
        </is>
      </c>
      <c r="R36" s="39" t="inlineStr">
        <is>
          <t>Giữ.</t>
        </is>
      </c>
      <c r="S36" s="39" t="inlineStr">
        <is>
          <t>Ổn (86/43/111).</t>
        </is>
      </c>
      <c r="T36" s="49" t="inlineStr">
        <is>
          <t>Thấp</t>
        </is>
      </c>
    </row>
    <row r="37" ht="32.25" customHeight="1" s="32">
      <c r="A37" s="41" t="inlineStr">
        <is>
          <t>logistics_station</t>
        </is>
      </c>
      <c r="B37" s="41" t="inlineStr">
        <is>
          <t>Trạm hậu cần</t>
        </is>
      </c>
      <c r="C37" s="41" t="inlineStr">
        <is>
          <t>mức tiếp tế của quân ta tăng thêm 8 CP trước khi phí duy trì làm giảm thu nhập. cho đội quân lớn giữ nguyên thu nhập; vô ích với đội quân nhỏ.</t>
        </is>
      </c>
      <c r="D37" s="41" t="inlineStr">
        <is>
          <t>Bãi container và xe nâng.  Kích thước hiện 8.0 × 10.0 × 3.8 m. Nhìn rõ từ camera chéo 45–60°; hình dạng hai nhánh phải khác nhau rõ ở zoom mặc định; vạch màu phe.</t>
        </is>
      </c>
      <c r="E37" s="41" t="inlineStr">
        <is>
          <t>công sự trung lập hoặc của bản đồ, không mua được</t>
        </is>
      </c>
      <c r="F37" s="43" t="n">
        <v>3080</v>
      </c>
      <c r="G37" s="41" t="inlineStr">
        <is>
          <t>cấp 1 (Mỏng) · công trình</t>
        </is>
      </c>
      <c r="H37" s="43" t="n">
        <v>30</v>
      </c>
      <c r="I37" s="43" t="n">
        <v>0</v>
      </c>
      <c r="J37" s="43" t="n">
        <v>0</v>
      </c>
      <c r="K37" s="43" t="n">
        <v>0</v>
      </c>
      <c r="L37" s="41" t="inlineStr">
        <is>
          <t>kho nhiên liệu dã chiến (bồn nằm trong đê đất) — Trạm hậu cần, thêm tiếp tế cho quân</t>
        </is>
      </c>
      <c r="M37" s="41" t="n"/>
      <c r="N37" s="41" t="inlineStr">
        <is>
          <t>lửa, pháo tự động, nổ mạnh, nổ lõm, pháo xe tăng</t>
        </is>
      </c>
      <c r="O37" s="41" t="inlineStr">
        <is>
          <t>mức tiếp tế của quân ta tăng thêm 8 CP trước khi phí duy trì làm giảm thu nhập.</t>
        </is>
      </c>
      <c r="P37" s="41" t="inlineStr">
        <is>
          <t>Đứng yên tại chỗ, phục vụ phe ta; Trạm radar</t>
        </is>
      </c>
      <c r="Q37" s="41" t="n"/>
      <c r="R37" s="41" t="inlineStr">
        <is>
          <t>Giữ.</t>
        </is>
      </c>
      <c r="S37" s="41" t="inlineStr">
        <is>
          <t>Ổn.</t>
        </is>
      </c>
      <c r="T37" s="49" t="inlineStr">
        <is>
          <t>Thấp</t>
        </is>
      </c>
    </row>
    <row r="38" ht="32.25" customHeight="1" s="32">
      <c r="A38" s="39"/>
      <c r="B38" s="39"/>
      <c r="C38" s="39"/>
      <c r="D38" s="39"/>
      <c r="E38" s="39"/>
      <c r="F38" s="42"/>
      <c r="G38" s="39"/>
      <c r="H38" s="42"/>
      <c r="I38" s="42"/>
      <c r="J38" s="42"/>
      <c r="K38" s="42"/>
      <c r="L38" s="39"/>
      <c r="M38" s="39"/>
      <c r="N38" s="39"/>
      <c r="O38" s="39"/>
      <c r="P38" s="39"/>
      <c r="Q38" s="39"/>
      <c r="R38" s="39"/>
      <c r="S38" s="39"/>
      <c r="T38" s="49"/>
    </row>
    <row r="39" ht="32.25" customHeight="1" s="32">
      <c r="A39" s="41" t="inlineStr">
        <is>
          <t>repair_bay</t>
        </is>
      </c>
      <c r="B39" s="41" t="inlineStr">
        <is>
          <t>Xưởng sửa chữa</t>
        </is>
      </c>
      <c r="C39" s="41" t="inlineStr">
        <is>
          <t>xe trong vòng 35 m quanh sở chỉ huy hồi 1,5% máu mỗi giây, kể cả giữa trận. giữ quân phòng thủ đứng vững; không giúp gì xe ở ngoài chiến trường.</t>
        </is>
      </c>
      <c r="D39" s="41" t="inlineStr">
        <is>
          <t>Nhà xưởng mái tôn có cần cẩu cổng.  Kích thước hiện 10.1 × 14.2 × 6.4 m. Nhìn rõ từ camera chéo 45–60°; hình dạng hai nhánh phải khác nhau rõ ở zoom mặc định; vạch màu phe.</t>
        </is>
      </c>
      <c r="E39" s="41" t="inlineStr">
        <is>
          <t>công sự trung lập hoặc của bản đồ, không mua được</t>
        </is>
      </c>
      <c r="F39" s="43" t="n">
        <v>3520</v>
      </c>
      <c r="G39" s="41" t="inlineStr">
        <is>
          <t>cấp 2 (Vừa) · công trình</t>
        </is>
      </c>
      <c r="H39" s="43" t="n">
        <v>30</v>
      </c>
      <c r="I39" s="43" t="n">
        <v>0</v>
      </c>
      <c r="J39" s="43" t="n">
        <v>0</v>
      </c>
      <c r="K39" s="43" t="n">
        <v>0</v>
      </c>
      <c r="L39" s="41" t="inlineStr">
        <is>
          <t>nhà vòm thép Quonset / Nissen — ước đoán: xưởng sửa chữa xe dã chiến</t>
        </is>
      </c>
      <c r="M39" s="41" t="n"/>
      <c r="N39" s="41" t="inlineStr">
        <is>
          <t>nổ mạnh, nổ lõm, pháo xe tăng</t>
        </is>
      </c>
      <c r="O39" s="41" t="inlineStr">
        <is>
          <t>xe trong vòng 35 m quanh sở chỉ huy hồi 1,5% máu mỗi giây, kể cả giữa trận.</t>
        </is>
      </c>
      <c r="P39" s="41" t="inlineStr">
        <is>
          <t>Đứng yên tại chỗ, phục vụ phe ta; Dàn rốc-két</t>
        </is>
      </c>
      <c r="Q39" s="41" t="n"/>
      <c r="R39" s="41" t="inlineStr">
        <is>
          <t>Giữ.</t>
        </is>
      </c>
      <c r="S39" s="41" t="inlineStr">
        <is>
          <t>Ổn.</t>
        </is>
      </c>
      <c r="T39" s="49" t="inlineStr">
        <is>
          <t>Thấp</t>
        </is>
      </c>
    </row>
    <row r="40" ht="42.75" customHeight="1" s="32">
      <c r="A40" s="39" t="inlineStr">
        <is>
          <t>rocket_turret</t>
        </is>
      </c>
      <c r="B40" s="39" t="inlineStr">
        <is>
          <t>Dàn rốc-két</t>
        </is>
      </c>
      <c r="C40" s="39" t="inlineStr">
        <is>
          <t>phóng loạt sáu rốc-két theo đường cầu vồng vào mục tiêu mặt đất cách 8–55 m, vượt qua tường và vật che (từ sân trong vào quân trừng phạt cụm xe nhẹ và pháo binh; xe tăng chịu rốc-két khá tốt, đạn nổ mạnh phá nó nhanh.</t>
        </is>
      </c>
      <c r="D40" s="39" t="inlineStr">
        <is>
          <t>Giàn rốc-két 40 ống trên bệ xoay thấp.  Kích thước hiện 4.7 × 4.7 × 3.4 m. Nhìn rõ từ camera chéo 45–60°; hình dạng hai nhánh phải khác nhau rõ ở zoom mặc định; vạch màu phe.</t>
        </is>
      </c>
      <c r="E40" s="39" t="inlineStr">
        <is>
          <t>tháp ô vừa của căn cứ; bị phá thì xây lại 4 CP sau 40 s; mở khóa: thắng màn mở khóa trong chiến dịch, hoặc mua sớm 300 x</t>
        </is>
      </c>
      <c r="F40" s="42" t="n">
        <v>2420</v>
      </c>
      <c r="G40" s="39" t="inlineStr">
        <is>
          <t>cấp 1 (Mỏng) · công trình</t>
        </is>
      </c>
      <c r="H40" s="42" t="n">
        <v>55</v>
      </c>
      <c r="I40" s="42" t="n">
        <v>87</v>
      </c>
      <c r="J40" s="42" t="n">
        <v>40</v>
      </c>
      <c r="K40" s="42" t="n">
        <v>0</v>
      </c>
      <c r="L40" s="39" t="inlineStr">
        <is>
          <t>BM-21 Grad 122 mm — Giàn phóng rốc-két sau tường chắn</t>
        </is>
      </c>
      <c r="M40" s="39" t="inlineStr">
        <is>
          <t>giáp 0, giáp 1, giáp 2, công trình</t>
        </is>
      </c>
      <c r="N40" s="39" t="inlineStr">
        <is>
          <t>lửa, pháo tự động, nổ mạnh, nổ lõm, pháo xe tăng</t>
        </is>
      </c>
      <c r="O40" s="39" t="inlineStr">
        <is>
          <t>phóng loạt sáu rốc-két theo đường cầu vồng vào mục tiêu mặt đất cách 8–55 m, vượt qua tường và vật che (từ sân trong vào quân</t>
        </is>
      </c>
      <c r="P40" s="39" t="inlineStr">
        <is>
          <t>Đứng yên tại chỗ, bắn mọi mục tiêu trong tầm; Dàn rốc-két · nhánh Rốc-két chùm</t>
        </is>
      </c>
      <c r="Q40" s="39" t="inlineStr">
        <is>
          <t>BM-21 Grad 122 mm [Nổ mạnh, xuyên 2, rốc-két đánh nóc] nổ lan/phát · 57 · tầm loạt 6, hồi 3.35 s · 55 m (tối thiểu 8)</t>
        </is>
      </c>
      <c r="R40" s="39" t="inlineStr">
        <is>
          <t>• Vũ khí: Grad: +15% sát thương hoặc nạp 3,35→2,9 s</t>
        </is>
      </c>
      <c r="S40" s="39" t="inlineStr">
        <is>
          <t>• Vũ khí: Grad: Hơi dưới mục tiêu 110/45.</t>
        </is>
      </c>
      <c r="T40" s="49" t="inlineStr">
        <is>
          <t>Thấp</t>
        </is>
      </c>
    </row>
    <row r="41" ht="42.75" customHeight="1" s="32">
      <c r="A41" s="41" t="inlineStr">
        <is>
          <t>rocket_turret.cluster</t>
        </is>
      </c>
      <c r="B41" s="41" t="inlineStr">
        <is>
          <t>Dàn rốc-két · nhánh Rốc-két chùm</t>
        </is>
      </c>
      <c r="C41" s="41" t="n"/>
      <c r="D41" s="41" t="inlineStr">
        <is>
          <t>Giàn rốc-két 40 ống trên bệ xoay thấp. Nhánh: Giàn ray mở nhiều ống. Kích thước hiện 4.7 × 4.7 × 3.4 m. Nhìn rõ từ camera chéo 45–60°; hình dạng hai nhánh phải khác nhau rõ ở zoom mặc định; vạch màu phe.</t>
        </is>
      </c>
      <c r="E41" s="41" t="inlineStr">
        <is>
          <t>tháp ô vừa của căn cứ; bị phá thì xây lại 4 CP sau 40 s; mở khóa: thắng màn mở khóa trong chiến dịch, hoặc mua sớm 300 x</t>
        </is>
      </c>
      <c r="F41" s="43" t="n">
        <v>2420</v>
      </c>
      <c r="G41" s="41" t="inlineStr">
        <is>
          <t>cấp 1 (Mỏng) · công trình</t>
        </is>
      </c>
      <c r="H41" s="43" t="n">
        <v>55</v>
      </c>
      <c r="I41" s="43" t="n">
        <v>90</v>
      </c>
      <c r="J41" s="43" t="n">
        <v>41</v>
      </c>
      <c r="K41" s="43" t="n">
        <v>0</v>
      </c>
      <c r="L41" s="41" t="inlineStr">
        <is>
          <t>BM-21 Grad 122 mm (đầu đạn chùm) — Nhánh rốc-két chùm</t>
        </is>
      </c>
      <c r="M41" s="41" t="inlineStr">
        <is>
          <t>giáp 0, giáp 1, giáp 2, công trình</t>
        </is>
      </c>
      <c r="N41" s="41" t="inlineStr">
        <is>
          <t>lửa, pháo tự động, nổ mạnh, nổ lõm, pháo xe tăng</t>
        </is>
      </c>
      <c r="O41" s="41" t="n"/>
      <c r="P41" s="41" t="inlineStr">
        <is>
          <t>Đứng yên tại chỗ, bắn mọi mục tiêu trong tầm; Dàn rốc-két · nhánh Rốc-két dẫn đường</t>
        </is>
      </c>
      <c r="Q41" s="41" t="inlineStr">
        <is>
          <t>BM-21 Grad 122 mm (cluster) [Nổ mạnh, xuyên 2, bom chùm đánh nóc] nổ lan/phát · 57 · tầm loạt 6, hồi 3.2 s · 55 m (tối thiểu 8)</t>
        </is>
      </c>
      <c r="R41" s="41" t="inlineStr">
        <is>
          <t>Giữ.</t>
        </is>
      </c>
      <c r="S41" s="41" t="inlineStr">
        <is>
          <t>Ổn.</t>
        </is>
      </c>
      <c r="T41" s="49" t="inlineStr">
        <is>
          <t>Thấp</t>
        </is>
      </c>
    </row>
    <row r="42" ht="42.75" customHeight="1" s="32">
      <c r="A42" s="39" t="inlineStr">
        <is>
          <t>rocket_turret.guided</t>
        </is>
      </c>
      <c r="B42" s="39" t="inlineStr">
        <is>
          <t>Dàn rốc-két · nhánh Rốc-két dẫn đường</t>
        </is>
      </c>
      <c r="C42" s="39" t="n"/>
      <c r="D42" s="39" t="inlineStr">
        <is>
          <t>Giàn rốc-két 40 ống trên bệ xoay thấp. Nhánh: Hộp phóng kín. Kích thước hiện 4.7 × 4.7 × 3.4 m. Nhìn rõ từ camera chéo 45–60°; hình dạng hai nhánh phải khác nhau rõ ở zoom mặc định; vạch màu phe.</t>
        </is>
      </c>
      <c r="E42" s="39" t="inlineStr">
        <is>
          <t>tháp ô vừa của căn cứ; bị phá thì xây lại 4 CP sau 40 s; mở khóa: thắng màn mở khóa trong chiến dịch, hoặc mua sớm 300 x</t>
        </is>
      </c>
      <c r="F42" s="42" t="n">
        <v>2420</v>
      </c>
      <c r="G42" s="39" t="inlineStr">
        <is>
          <t>cấp 1 (Mỏng) · công trình</t>
        </is>
      </c>
      <c r="H42" s="42" t="n">
        <v>95</v>
      </c>
      <c r="I42" s="42" t="n">
        <v>27</v>
      </c>
      <c r="J42" s="42" t="n">
        <v>27</v>
      </c>
      <c r="K42" s="42" t="n">
        <v>0</v>
      </c>
      <c r="L42" s="39" t="inlineStr">
        <is>
          <t>M31 GMLRS 227 mm — Nhánh rốc-két dẫn đường tầm xa</t>
        </is>
      </c>
      <c r="M42" s="39" t="inlineStr">
        <is>
          <t>giáp 0, giáp 1, giáp 2, giáp 3, công trình</t>
        </is>
      </c>
      <c r="N42" s="39" t="inlineStr">
        <is>
          <t>lửa, pháo tự động, nổ mạnh, nổ lõm, pháo xe tăng</t>
        </is>
      </c>
      <c r="O42" s="39" t="n"/>
      <c r="P42" s="39" t="inlineStr">
        <is>
          <t>Đứng yên tại chỗ, bắn mọi mục tiêu trong tầm; Tháp ô lớn (15); Trận địa pháo</t>
        </is>
      </c>
      <c r="Q42" s="39" t="inlineStr">
        <is>
          <t>M31 GMLRS 227 mm (tower) [Nổ mạnh, xuyên 3, rốc-két (cỡ lớn) đánh nóc] nổ lan/phát · 100 · tầm loạt 2, hồi 7 s · 90 m (tối thiểu 20)</t>
        </is>
      </c>
      <c r="R42" s="39" t="inlineStr">
        <is>
          <t>• Vũ khí: GMLRS dẫn đường: 160/phát · nổ lan 4,5 m · tốc độ 50 · mục tiêu ~60/60</t>
        </is>
      </c>
      <c r="S42" s="39" t="inlineStr">
        <is>
          <t>• Vũ khí: GMLRS dẫn đường: Nhánh gần như vô dụng; GMLRS thật chính xác và mạnh với công trình.</t>
        </is>
      </c>
      <c r="T42" s="47" t="inlineStr">
        <is>
          <t>Cao</t>
        </is>
      </c>
    </row>
    <row r="43" ht="42.75" customHeight="1" s="32">
      <c r="A43" s="41"/>
      <c r="B43" s="41"/>
      <c r="C43" s="41"/>
      <c r="D43" s="41"/>
      <c r="E43" s="41"/>
      <c r="F43" s="43"/>
      <c r="G43" s="41"/>
      <c r="H43" s="43"/>
      <c r="I43" s="43"/>
      <c r="J43" s="43"/>
      <c r="K43" s="43"/>
      <c r="L43" s="41"/>
      <c r="M43" s="41"/>
      <c r="N43" s="41"/>
      <c r="O43" s="41"/>
      <c r="P43" s="41"/>
      <c r="Q43" s="41"/>
      <c r="R43" s="41"/>
      <c r="S43" s="41"/>
      <c r="T43" s="49"/>
    </row>
    <row r="44" ht="42.75" customHeight="1" s="32">
      <c r="A44" s="39"/>
      <c r="B44" s="39"/>
      <c r="C44" s="39"/>
      <c r="D44" s="39"/>
      <c r="E44" s="39"/>
      <c r="F44" s="42"/>
      <c r="G44" s="39"/>
      <c r="H44" s="42"/>
      <c r="I44" s="42"/>
      <c r="J44" s="42"/>
      <c r="K44" s="42"/>
      <c r="L44" s="39"/>
      <c r="M44" s="39"/>
      <c r="N44" s="39"/>
      <c r="O44" s="39"/>
      <c r="P44" s="39"/>
      <c r="Q44" s="39"/>
      <c r="R44" s="39"/>
      <c r="S44" s="39"/>
      <c r="T44" s="49"/>
    </row>
    <row r="45" ht="42.75" customHeight="1" s="32">
      <c r="A45" s="41"/>
      <c r="B45" s="41"/>
      <c r="C45" s="41"/>
      <c r="D45" s="41"/>
      <c r="E45" s="41"/>
      <c r="F45" s="43"/>
      <c r="G45" s="41"/>
      <c r="H45" s="43"/>
      <c r="I45" s="43"/>
      <c r="J45" s="43"/>
      <c r="K45" s="43"/>
      <c r="L45" s="41"/>
      <c r="M45" s="41"/>
      <c r="N45" s="41"/>
      <c r="O45" s="41"/>
      <c r="P45" s="41"/>
      <c r="Q45" s="41"/>
      <c r="R45" s="41"/>
      <c r="S45" s="41"/>
      <c r="T45" s="48"/>
    </row>
    <row r="46" ht="42.75" customHeight="1" s="32">
      <c r="A46" s="39" t="inlineStr">
        <is>
          <t>drone_hangar</t>
        </is>
      </c>
      <c r="B46" s="39" t="inlineStr">
        <is>
          <t>Nhà chứa drone</t>
        </is>
      </c>
      <c r="C46" s="39" t="inlineStr">
        <is>
          <t>cứ 20 giây phóng hai drone FPV cảm tử vào địch xa tới 70 m, mạnh lên giáp và công trình. bào mòn thứ gì đứng ngoài tầm các tháp khác; APS, la-de và máy gây nhiễu chặn được drone.</t>
        </is>
      </c>
      <c r="D46" s="39" t="inlineStr">
        <is>
          <t>Nhà chứa mái vòm thấp có cửa cuốn và ray phóng drone.  Kích thước hiện 8.0 × 8.0 × 5.0 m. Nhìn rõ từ camera chéo 45–60°; hình dạng hai nhánh phải khác nhau rõ ở zoom mặc định; vạch màu phe.</t>
        </is>
      </c>
      <c r="E46" s="39" t="inlineStr">
        <is>
          <t>tháp ô lớn của căn cứ; bị phá thì xây lại 7 CP sau 60 s; mở khóa: thắng màn mở khóa trong chiến dịch, hoặc mua sớm 300 x</t>
        </is>
      </c>
      <c r="F46" s="42" t="n">
        <v>4840</v>
      </c>
      <c r="G46" s="39" t="inlineStr">
        <is>
          <t>cấp 2 (Vừa) · công trình</t>
        </is>
      </c>
      <c r="H46" s="42" t="n">
        <v>60</v>
      </c>
      <c r="I46" s="42" t="n">
        <v>59</v>
      </c>
      <c r="J46" s="42" t="n">
        <v>59</v>
      </c>
      <c r="K46" s="42" t="n">
        <v>0</v>
      </c>
      <c r="L46" s="39" t="inlineStr">
        <is>
          <t>hầm trú ẩn máy bay bê tông dạng vòm, drone FPV — Hầm vòm phủ đất phóng drone FPV</t>
        </is>
      </c>
      <c r="M46" s="39" t="inlineStr">
        <is>
          <t>giáp 0, giáp 1, giáp 2, giáp 3, công trình</t>
        </is>
      </c>
      <c r="N46" s="39" t="inlineStr">
        <is>
          <t>nổ mạnh, nổ lõm, pháo xe tăng</t>
        </is>
      </c>
      <c r="O46" s="39" t="inlineStr">
        <is>
          <t>cứ 20 giây phóng hai drone FPV cảm tử vào địch xa tới 70 m, mạnh lên giáp và công trình.</t>
        </is>
      </c>
      <c r="P46" s="39" t="inlineStr">
        <is>
          <t>Đứng yên tại chỗ, bắn mọi mục tiêu trong tầm; Nhà chứa drone · nhánh Nhà chứa Lancet</t>
        </is>
      </c>
      <c r="Q46" s="39" t="inlineStr">
        <is>
          <t>FPV drone (1.5 kg) [Nổ lõm, xuyên 3, drone (FPV) đánh nóc] dẫn đường/phát · nổ lan · tầm 140 · loạt 4, hồi 6.5 s</t>
        </is>
      </c>
      <c r="R46" s="39" t="inlineStr">
        <is>
          <t>Giữ.</t>
        </is>
      </c>
      <c r="S46" s="39" t="inlineStr">
        <is>
          <t>Đạt mục tiêu.</t>
        </is>
      </c>
      <c r="T46" s="49" t="inlineStr">
        <is>
          <t>Thấp</t>
        </is>
      </c>
    </row>
    <row r="47" ht="42.75" customHeight="1" s="32">
      <c r="A47" s="41" t="inlineStr">
        <is>
          <t>drone_hangar.lancet</t>
        </is>
      </c>
      <c r="B47" s="41" t="inlineStr">
        <is>
          <t>Nhà chứa drone · nhánh Nhà chứa Lancet</t>
        </is>
      </c>
      <c r="C47" s="41" t="n"/>
      <c r="D47" s="41" t="inlineStr">
        <is>
          <t>Nhà chứa mái vòm thấp có cửa cuốn và ray phóng drone. Nhánh: Đường ray phóng Lancet. Kích thước hiện 8.0 × 8.0 × 5.0 m. Nhìn rõ từ camera chéo 45–60°; hình dạng hai nhánh phải khác nhau rõ ở zoom mặc định; vạch màu phe.</t>
        </is>
      </c>
      <c r="E47" s="41" t="inlineStr">
        <is>
          <t>tháp ô lớn của căn cứ; bị phá thì xây lại 7 CP sau 60 s; mở khóa: thắng màn mở khóa trong chiến dịch, hoặc mua sớm 300 x</t>
        </is>
      </c>
      <c r="F47" s="43" t="n">
        <v>4840</v>
      </c>
      <c r="G47" s="41" t="inlineStr">
        <is>
          <t>cấp 2 (Vừa) · công trình</t>
        </is>
      </c>
      <c r="H47" s="43" t="n">
        <v>60</v>
      </c>
      <c r="I47" s="43" t="n">
        <v>67</v>
      </c>
      <c r="J47" s="43" t="n">
        <v>67</v>
      </c>
      <c r="K47" s="43" t="n">
        <v>0</v>
      </c>
      <c r="L47" s="41" t="inlineStr">
        <is>
          <t>ZALA Lancet-3 (máy phóng ray) — Nhánh phóng Lancet</t>
        </is>
      </c>
      <c r="M47" s="41" t="inlineStr">
        <is>
          <t>giáp 0, giáp 1, giáp 2, giáp 3, giáp 4, công trình</t>
        </is>
      </c>
      <c r="N47" s="41" t="inlineStr">
        <is>
          <t>nổ mạnh, nổ lõm, pháo xe tăng</t>
        </is>
      </c>
      <c r="O47" s="41" t="n"/>
      <c r="P47" s="41" t="inlineStr">
        <is>
          <t>Đứng yên tại chỗ, bắn mọi mục tiêu trong tầm; Nhà chứa drone · nhánh Bầy đàn</t>
        </is>
      </c>
      <c r="Q47" s="41" t="inlineStr">
        <is>
          <t>ZALA Lancet-3 (3 kg) [Nổ lõm, xuyên 4, drone (Lancet) đánh nóc] dẫn đường/phát · 240 · tầm hồi 3.6 s · 100 m</t>
        </is>
      </c>
      <c r="R47" s="41" t="inlineStr">
        <is>
          <t>Giữ.</t>
        </is>
      </c>
      <c r="S47" s="41" t="inlineStr">
        <is>
          <t>Ổn.</t>
        </is>
      </c>
      <c r="T47" s="49" t="inlineStr">
        <is>
          <t>Thấp</t>
        </is>
      </c>
    </row>
    <row r="48" ht="42.75" customHeight="1" s="32">
      <c r="A48" s="39" t="inlineStr">
        <is>
          <t>drone_hangar.swarm</t>
        </is>
      </c>
      <c r="B48" s="39" t="inlineStr">
        <is>
          <t>Nhà chứa drone · nhánh Bầy đàn</t>
        </is>
      </c>
      <c r="C48" s="39" t="n"/>
      <c r="D48" s="39" t="inlineStr">
        <is>
          <t>Nhà chứa mái vòm thấp có cửa cuốn và ray phóng drone. Nhánh: Giá nhiều khoang drone nhỏ. Kích thước hiện 8.0 × 8.0 × 5.0 m. Nhìn rõ từ camera chéo 45–60°; hình dạng hai nhánh phải khác nhau rõ ở zoom mặc định; vạch màu phe.</t>
        </is>
      </c>
      <c r="E48" s="39" t="inlineStr">
        <is>
          <t>tháp ô lớn của căn cứ; bị phá thì xây lại 7 CP sau 60 s; mở khóa: thắng màn mở khóa trong chiến dịch, hoặc mua sớm 300 x</t>
        </is>
      </c>
      <c r="F48" s="42" t="n">
        <v>4840</v>
      </c>
      <c r="G48" s="39" t="inlineStr">
        <is>
          <t>cấp 2 (Vừa) · công trình</t>
        </is>
      </c>
      <c r="H48" s="42" t="n">
        <v>60</v>
      </c>
      <c r="I48" s="42" t="n">
        <v>77</v>
      </c>
      <c r="J48" s="42" t="n">
        <v>77</v>
      </c>
      <c r="K48" s="42" t="n">
        <v>0</v>
      </c>
      <c r="L48" s="39" t="inlineStr">
        <is>
          <t>bầy drone FPV — Nhánh phóng bầy drone</t>
        </is>
      </c>
      <c r="M48" s="39" t="inlineStr">
        <is>
          <t>giáp 0, giáp 1, giáp 2, giáp 3, công trình</t>
        </is>
      </c>
      <c r="N48" s="39" t="inlineStr">
        <is>
          <t>nổ mạnh, nổ lõm, pháo xe tăng</t>
        </is>
      </c>
      <c r="O48" s="39" t="n"/>
      <c r="P48" s="39" t="inlineStr">
        <is>
          <t>Đứng yên tại chỗ, bắn mọi mục tiêu trong tầm; Pháo đài hạng nặng</t>
        </is>
      </c>
      <c r="Q48" s="39" t="inlineStr">
        <is>
          <t>FPV drone (1.5 kg) [Nổ lõm, xuyên 3, drone (FPV) đánh nóc] dẫn đường/phát · nổ lan · tầm 140 · loạt 4, hồi 5.5 s</t>
        </is>
      </c>
      <c r="R48" s="39" t="inlineStr">
        <is>
          <t>Giữ.</t>
        </is>
      </c>
      <c r="S48" s="39" t="inlineStr">
        <is>
          <t>Ổn.</t>
        </is>
      </c>
      <c r="T48" s="49" t="inlineStr">
        <is>
          <t>Thấp</t>
        </is>
      </c>
    </row>
    <row r="49" ht="42.75" customHeight="1" s="32">
      <c r="A49" s="41" t="inlineStr">
        <is>
          <t>heavy_turret</t>
        </is>
      </c>
      <c r="B49" s="41" t="inlineStr">
        <is>
          <t>Pháo đài hạng nặng</t>
        </is>
      </c>
      <c r="C49" s="41" t="inlineStr">
        <is>
          <t>tháp pháo đôi 155 mm xoay chậm, bắn loạt đôi đạn nổ mạnh tới 50 m. phá nát xe nhẹ, cụm quân và xe tăng trong góc bắn; là công trình nên ăn 1,5× sát thương nổ mạnh, sợ ít đạn súng máy.</t>
        </is>
      </c>
      <c r="D49" s="41" t="inlineStr">
        <is>
          <t>Tháp pháo đôi 155 mm lớn trên bệ bê tông, ốp giáp.  Kích thước hiện 10.3 × 8.0 × 6.1 m. Nhìn rõ từ camera chéo 45–60°; hình dạng hai nhánh phải khác nhau rõ ở zoom mặc định; vạch màu phe.</t>
        </is>
      </c>
      <c r="E49" s="41" t="inlineStr">
        <is>
          <t>tháp ô lớn của căn cứ; bị phá thì xây lại 7 CP sau 60 s; mở khóa: thắng màn mở khóa trong chiến dịch, hoặc mua sớm 300 x</t>
        </is>
      </c>
      <c r="F49" s="43" t="n">
        <v>6160</v>
      </c>
      <c r="G49" s="41" t="inlineStr">
        <is>
          <t>4/3/3/3</t>
        </is>
      </c>
      <c r="H49" s="43" t="n">
        <v>60</v>
      </c>
      <c r="I49" s="43" t="n">
        <v>138</v>
      </c>
      <c r="J49" s="43" t="n">
        <v>98</v>
      </c>
      <c r="K49" s="43" t="n">
        <v>0</v>
      </c>
      <c r="L49" s="41" t="inlineStr">
        <is>
          <t>AK-130 130 mm (tháp pháo hạm đặt trên bờ), A-222 Bereg, M284 155 mm — Tháp pháo bờ biển hai nòng 155 mm</t>
        </is>
      </c>
      <c r="M49" s="41" t="inlineStr">
        <is>
          <t>giáp 0, giáp 1, giáp 2, giáp 3, công trình</t>
        </is>
      </c>
      <c r="N49" s="41" t="inlineStr">
        <is>
          <t>nổ mạnh, đánh nóc</t>
        </is>
      </c>
      <c r="O49" s="41" t="inlineStr">
        <is>
          <t>tháp pháo đôi 155 mm xoay chậm, bắn loạt đôi đạn nổ mạnh tới 50 m.</t>
        </is>
      </c>
      <c r="P49" s="41" t="inlineStr">
        <is>
          <t>Đứng yên tại chỗ, bắn mọi mục tiêu trong tầm; Pháo đài hạng nặng · nhánh Pháo bờ biển tầm xa</t>
        </is>
      </c>
      <c r="Q49" s="41" t="inlineStr">
        <is>
          <t>M284 155 mm (twin) [Nổ mạnh, xuyên 3, đạn pháo nổ mạnh nổ lan] 320/phát · loạt 2, hồi 5.5 s · tầm 50 m · Mặt đất</t>
        </is>
      </c>
      <c r="R49" s="41" t="inlineStr">
        <is>
          <t>• Vũ khí: 155 mm đôi: thêm đạn xuyên 155 mm (xuyên 4, ~300/phát), tự đổi như Tăng hạng nặng; nổ lan 4,5→7 m</t>
        </is>
      </c>
      <c r="S49" s="41" t="inlineStr">
        <is>
          <t>• Vũ khí: 155 mm đôi: Chống xe nặng dưới mục tiêu 140; bán kính nổ lệch các khẩu 155 khác.</t>
        </is>
      </c>
      <c r="T49" s="48" t="inlineStr">
        <is>
          <t>Trung</t>
        </is>
      </c>
    </row>
    <row r="50" ht="42.75" customHeight="1" s="32">
      <c r="A50" s="39" t="inlineStr">
        <is>
          <t>heavy_turret.coastal</t>
        </is>
      </c>
      <c r="B50" s="39" t="inlineStr">
        <is>
          <t>Pháo đài hạng nặng · nhánh Pháo bờ biển tầm xa</t>
        </is>
      </c>
      <c r="C50" s="39" t="n"/>
      <c r="D50" s="39" t="inlineStr">
        <is>
          <t>Tháp pháo đôi 155 mm lớn trên bệ bê tông, ốp giáp. Nhánh: Tháp đôi nòng dài quay ra xa. Kích thước hiện 10.3 × 8.0 × 6.1 m. Nhìn rõ từ camera chéo 45–60°; hình dạng hai nhánh phải khác nhau rõ ở zoom mặc định; vạch màu phe.</t>
        </is>
      </c>
      <c r="E50" s="39" t="inlineStr">
        <is>
          <t>tháp ô lớn của căn cứ; bị phá thì xây lại 7 CP sau 60 s; mở khóa: thắng màn mở khóa trong chiến dịch, hoặc mua sớm 300 x</t>
        </is>
      </c>
      <c r="F50" s="42" t="n">
        <v>6160</v>
      </c>
      <c r="G50" s="39" t="inlineStr">
        <is>
          <t>4/3/3/3</t>
        </is>
      </c>
      <c r="H50" s="42" t="n">
        <v>60</v>
      </c>
      <c r="I50" s="42" t="n">
        <v>138</v>
      </c>
      <c r="J50" s="42" t="n">
        <v>98</v>
      </c>
      <c r="K50" s="42" t="n">
        <v>0</v>
      </c>
      <c r="L50" s="39" t="inlineStr">
        <is>
          <t>A-222 Bereg (240 mm), AK-130 130 mm (tháp pháo hạm đặt trên bờ), K-300P Bastion-P, M284 155 mm (tầm xa) — Nhánh pháo bờ biển tầm xa</t>
        </is>
      </c>
      <c r="M50" s="39" t="inlineStr">
        <is>
          <t>giáp 0, giáp 1, giáp 2, giáp 3, công trình</t>
        </is>
      </c>
      <c r="N50" s="39" t="inlineStr">
        <is>
          <t>nổ mạnh, đánh nóc</t>
        </is>
      </c>
      <c r="O50" s="39" t="n"/>
      <c r="P50" s="39" t="inlineStr">
        <is>
          <t>Đứng yên tại chỗ, bắn mọi mục tiêu trong tầm; Pháo đài hạng nặng · nhánh Pháo đài thép</t>
        </is>
      </c>
      <c r="Q50" s="39" t="inlineStr">
        <is>
          <t>M284 155 mm (twin, long-range coastal) [Nổ mạnh, xuyên 3, đạn pháo nổ mạnh nổ lan] 320/phát · loạt 2, hồi 5.5 s · tầm 72 m · Mặt đất</t>
        </is>
      </c>
      <c r="R50" s="39" t="inlineStr">
        <is>
          <t>Như heavy_turret.</t>
        </is>
      </c>
      <c r="S50" s="39" t="inlineStr">
        <is>
          <t>Ổn.</t>
        </is>
      </c>
      <c r="T50" s="49" t="inlineStr">
        <is>
          <t>Thấp</t>
        </is>
      </c>
    </row>
    <row r="51" ht="63.75" customHeight="1" s="32">
      <c r="A51" s="41" t="inlineStr">
        <is>
          <t>heavy_turret.bastion</t>
        </is>
      </c>
      <c r="B51" s="41" t="inlineStr">
        <is>
          <t>Pháo đài hạng nặng · nhánh Pháo đài thép</t>
        </is>
      </c>
      <c r="C51" s="41" t="n"/>
      <c r="D51" s="41" t="inlineStr">
        <is>
          <t>Tháp pháo đôi 155 mm lớn trên bệ bê tông, ốp giáp. Nhánh: Ốp giáp dày, 2 tháp súng phụ nhỏ. Kích thước hiện 10.3 × 8.0 × 6.1 m. Nhìn rõ từ camera chéo 45–60°; hình dạng hai nhánh phải khác nhau rõ ở zoom mặc định; vạch màu phe.</t>
        </is>
      </c>
      <c r="E51" s="41" t="inlineStr">
        <is>
          <t>tháp ô lớn của căn cứ; bị phá thì xây lại 7 CP sau 60 s; mở khóa: thắng màn mở khóa trong chiến dịch, hoặc mua sớm 300 x</t>
        </is>
      </c>
      <c r="F51" s="43" t="n">
        <v>9548</v>
      </c>
      <c r="G51" s="41" t="inlineStr">
        <is>
          <t>4/3/3/3</t>
        </is>
      </c>
      <c r="H51" s="43" t="n">
        <v>60</v>
      </c>
      <c r="I51" s="43" t="n">
        <v>229</v>
      </c>
      <c r="J51" s="43" t="n">
        <v>125</v>
      </c>
      <c r="K51" s="43" t="n">
        <v>32</v>
      </c>
      <c r="L51" s="41" t="inlineStr">
        <is>
          <t>pháo đài tuyến Maginot (tháp pháo ở góc) — ước đoán: nhánh pháo đài thép hai tháp nhỏ ở góc</t>
        </is>
      </c>
      <c r="M51" s="41" t="inlineStr">
        <is>
          <t>giáp 0, giáp 1, giáp 2, giáp 3, công trình</t>
        </is>
      </c>
      <c r="N51" s="41" t="inlineStr">
        <is>
          <t>nổ mạnh, đánh nóc</t>
        </is>
      </c>
      <c r="O51" s="41" t="n"/>
      <c r="P51" s="41" t="inlineStr">
        <is>
          <t>Đứng yên tại chỗ, bắn mọi mục tiêu trong tầm; Tên lửa Patriot tầm xa</t>
        </is>
      </c>
      <c r="Q51" s="41" t="inlineStr">
        <is>
          <t>M284 155 mm (twin) [Nổ mạnh, xuyên 3, đạn pháo nổ mạnh nổ lan] 320/phát · loạt 2, hồi 5.5 s · tầm 50 m · Mặt đất
M2 Browning 12.7 mm [Động năng, xuyên 1, đạn súng (cỡ lớn)] 10/phát · băng 28 viên, 9 viên/s, thay 2.02 s · tầm 30 m · Tất cả
M2 Browning 12.7 mm [Động năng, xuyên 1, đạn súng (cỡ lớn)] 10/phát · băng 28 viên, 9 viên/s, thay 2.02 s · tầm 30 m · Tất cả</t>
        </is>
      </c>
      <c r="R51" s="41" t="inlineStr">
        <is>
          <t>Giữ.</t>
        </is>
      </c>
      <c r="S51" s="41" t="inlineStr">
        <is>
          <t>Ổn.</t>
        </is>
      </c>
      <c r="T51" s="49" t="inlineStr">
        <is>
          <t>Thấp</t>
        </is>
      </c>
    </row>
    <row r="52" ht="42.75" customHeight="1" s="32">
      <c r="A52" s="39" t="inlineStr">
        <is>
          <t>missile_battery</t>
        </is>
      </c>
      <c r="B52" s="39" t="inlineStr">
        <is>
          <t>Tên lửa Patriot tầm xa</t>
        </is>
      </c>
      <c r="C52" s="39" t="inlineStr">
        <is>
          <t>radar nhìn xa 85 m, phóng tên lửa từng cặp vào máy bay cách tới 62 m; không có gì để đánh mặt đất. bắn xa hơn gần như mọi máy bay; nhưng bất kỳ lực lượng mặt đất nào cũng áp sát và phá được nó.</t>
        </is>
      </c>
      <c r="D52" s="39" t="inlineStr">
        <is>
          <t>Bệ phóng 4 hộp tên lửa lớn nghiêng cạnh xe radar mảng pha.  Kích thước hiện 7.0 × 9.1 × 7.3 m. Nhìn rõ từ camera chéo 45–60°; hình dạng hai nhánh phải khác nhau rõ ở zoom mặc định; vạch màu phe.</t>
        </is>
      </c>
      <c r="E52" s="39" t="inlineStr">
        <is>
          <t>tháp ô lớn của căn cứ; bị phá thì xây lại 7 CP sau 60 s; mở khóa: thắng màn mở khóa trong chiến dịch, hoặc mua sớm 300 x</t>
        </is>
      </c>
      <c r="F52" s="42" t="n">
        <v>4180</v>
      </c>
      <c r="G52" s="39" t="inlineStr">
        <is>
          <t>cấp 1 (Mỏng) · công trình</t>
        </is>
      </c>
      <c r="H52" s="42" t="n">
        <v>95</v>
      </c>
      <c r="I52" s="42" t="n">
        <v>0</v>
      </c>
      <c r="J52" s="42" t="n">
        <v>0</v>
      </c>
      <c r="K52" s="42" t="n">
        <v>188</v>
      </c>
      <c r="L52" s="39" t="inlineStr">
        <is>
          <t>MIM-104 Patriot PAC-2, S-300 — Trận địa tên lửa phòng không bốn ống phóng</t>
        </is>
      </c>
      <c r="M52" s="39" t="inlineStr">
        <is>
          <t>trên không</t>
        </is>
      </c>
      <c r="N52" s="39" t="inlineStr">
        <is>
          <t>lửa, pháo tự động, nổ mạnh, nổ lõm, pháo xe tăng</t>
        </is>
      </c>
      <c r="O52" s="39" t="inlineStr">
        <is>
          <t>radar nhìn xa 85 m, phóng tên lửa từng cặp vào máy bay cách tới 62 m; không có gì để đánh mặt đất.</t>
        </is>
      </c>
      <c r="P52" s="39" t="inlineStr">
        <is>
          <t>Đứng yên tại chỗ, bắn mọi mục tiêu trong tầm; Tên lửa Patriot tầm xa · nhánh PAC-3 đánh chặn</t>
        </is>
      </c>
      <c r="Q52" s="39" t="inlineStr">
        <is>
          <t>MIM-104 Patriot PAC-2 [Mảnh, xuyên 3, tên lửa phòng không đánh nóc] dẫn đường/phát · nổ lan · tầm 340 · loạt 2, hồi 4.24 s</t>
        </is>
      </c>
      <c r="R52" s="39" t="inlineStr">
        <is>
          <t>• Vũ khí: Patriot PAC-2: chống máy bay 300 · tốc độ 60 (bay 1,5 s)</t>
        </is>
      </c>
      <c r="S52" s="39" t="inlineStr">
        <is>
          <t>• Vũ khí: Patriot PAC-2: Tháp ô lớn phải mạnh hơn tháp ô nhỏ; tên lửa phải bắt kịp máy bay.</t>
        </is>
      </c>
      <c r="T52" s="47" t="inlineStr">
        <is>
          <t>Cao</t>
        </is>
      </c>
    </row>
    <row r="53" ht="84.75" customHeight="1" s="32">
      <c r="A53" s="41" t="inlineStr">
        <is>
          <t>missile_battery.pac3</t>
        </is>
      </c>
      <c r="B53" s="41" t="inlineStr">
        <is>
          <t>Tên lửa Patriot tầm xa · nhánh PAC-3 đánh chặn</t>
        </is>
      </c>
      <c r="C53" s="41" t="n"/>
      <c r="D53" s="41" t="inlineStr">
        <is>
          <t>Bệ phóng 4 hộp tên lửa lớn nghiêng cạnh xe radar mảng pha. Nhánh: Hộp phóng nhiều ống nhỏ. Kích thước hiện 7.0 × 9.1 × 7.3 m. Nhìn rõ từ camera chéo 45–60°; hình dạng hai nhánh phải khác nhau rõ ở zoom mặc định; vạch màu phe.</t>
        </is>
      </c>
      <c r="E53" s="41" t="inlineStr">
        <is>
          <t>tháp ô lớn của căn cứ; bị phá thì xây lại 7 CP sau 60 s; mở khóa: thắng màn mở khóa trong chiến dịch, hoặc mua sớm 300 x</t>
        </is>
      </c>
      <c r="F53" s="43" t="n">
        <v>4180</v>
      </c>
      <c r="G53" s="41" t="inlineStr">
        <is>
          <t>cấp 1 (Mỏng) · công trình</t>
        </is>
      </c>
      <c r="H53" s="43" t="n">
        <v>95</v>
      </c>
      <c r="I53" s="43" t="n">
        <v>0</v>
      </c>
      <c r="J53" s="43" t="n">
        <v>0</v>
      </c>
      <c r="K53" s="43" t="n">
        <v>150</v>
      </c>
      <c r="L53" s="41" t="inlineStr">
        <is>
          <t>Patriot PAC-3 MSE — Nhánh tên lửa PAC-3</t>
        </is>
      </c>
      <c r="M53" s="41" t="inlineStr">
        <is>
          <t>trên không</t>
        </is>
      </c>
      <c r="N53" s="41" t="inlineStr">
        <is>
          <t>lửa, pháo tự động, nổ mạnh, nổ lõm, pháo xe tăng</t>
        </is>
      </c>
      <c r="O53" s="41" t="n"/>
      <c r="P53" s="41" t="inlineStr">
        <is>
          <t>Đứng yên tại chỗ, bắn mọi mục tiêu trong tầm; Tên lửa đánh chặn: bắn hạ đạn nhắm vào trong 72 m (4 quả trong bệ phóng, nạp lại đủ sau 16; giây kể từ lần phóng cuối); Chỉ chặn đạn bay cầu vồng từ xa: rốc-két pháo binh, drone và tên lửa tầm xa; không chặn đạn; bắn thẳng (đạn pháo bắn thẳng, tên lửa chống tăng, ống phóng rốc-két) và Năng lượng; Tên lửa Patriot tầm xa · nhánh Radar tầm xa</t>
        </is>
      </c>
      <c r="Q53" s="41" t="inlineStr">
        <is>
          <t>Patriot PAC-3 MSE [Mảnh, xuyên 3, tên lửa phòng không đánh nóc] dẫn đường/phát · nổ lan · tầm 360 · loạt 2, hồi 5.8 s</t>
        </is>
      </c>
      <c r="R53" s="41" t="inlineStr">
        <is>
          <t>• Vũ khí: PAC-3: tốc độ 65; đo số tên lửa đòn lớn boss bắn hạ được</t>
        </is>
      </c>
      <c r="S53" s="41" t="inlineStr">
        <is>
          <t>• Vũ khí: PAC-3: Tên lửa đánh chặn phải nhanh hơn tên lửa hành trình và đạn đạo.</t>
        </is>
      </c>
      <c r="T53" s="48" t="inlineStr">
        <is>
          <t>Trung</t>
        </is>
      </c>
    </row>
    <row r="54" ht="42.75" customHeight="1" s="32">
      <c r="A54" s="39" t="inlineStr">
        <is>
          <t>missile_battery.lrr</t>
        </is>
      </c>
      <c r="B54" s="39" t="inlineStr">
        <is>
          <t>Tên lửa Patriot tầm xa · nhánh Radar tầm xa</t>
        </is>
      </c>
      <c r="C54" s="39" t="n"/>
      <c r="D54" s="39" t="inlineStr">
        <is>
          <t>Bệ phóng 4 hộp tên lửa lớn nghiêng cạnh xe radar mảng pha. Nhánh: Đĩa radar lớn xoay. Kích thước hiện 7.0 × 9.1 × 7.3 m. Nhìn rõ từ camera chéo 45–60°; hình dạng hai nhánh phải khác nhau rõ ở zoom mặc định; vạch màu phe.</t>
        </is>
      </c>
      <c r="E54" s="39" t="inlineStr">
        <is>
          <t>tháp ô lớn của căn cứ; bị phá thì xây lại 7 CP sau 60 s; mở khóa: thắng màn mở khóa trong chiến dịch, hoặc mua sớm 300 x</t>
        </is>
      </c>
      <c r="F54" s="42" t="n">
        <v>4180</v>
      </c>
      <c r="G54" s="39" t="inlineStr">
        <is>
          <t>cấp 1 (Mỏng) · công trình</t>
        </is>
      </c>
      <c r="H54" s="42" t="n">
        <v>110</v>
      </c>
      <c r="I54" s="42" t="n">
        <v>0</v>
      </c>
      <c r="J54" s="42" t="n">
        <v>0</v>
      </c>
      <c r="K54" s="42" t="n">
        <v>186</v>
      </c>
      <c r="L54" s="39" t="inlineStr">
        <is>
          <t>MIM-104 Patriot PAC-2, radar AN/MPQ-65 — Nhánh radar tầm xa</t>
        </is>
      </c>
      <c r="M54" s="39" t="inlineStr">
        <is>
          <t>trên không</t>
        </is>
      </c>
      <c r="N54" s="39" t="inlineStr">
        <is>
          <t>lửa, pháo tự động, nổ mạnh, nổ lõm, pháo xe tăng</t>
        </is>
      </c>
      <c r="O54" s="39" t="n"/>
      <c r="P54" s="39" t="inlineStr">
        <is>
          <t>Đứng yên tại chỗ, bắn mọi mục tiêu trong tầm; Máy phát khiên</t>
        </is>
      </c>
      <c r="Q54" s="39" t="inlineStr">
        <is>
          <t>MIM-104 Patriot PAC-2 [Mảnh, xuyên 3, tên lửa phòng không đánh nóc] dẫn đường/phát · nổ lan · tầm 340 · loạt 2, hồi 4.3 s</t>
        </is>
      </c>
      <c r="R54" s="39" t="inlineStr">
        <is>
          <t>• Vũ khí: chống máy bay 260</t>
        </is>
      </c>
      <c r="S54" s="39" t="inlineStr">
        <is>
          <t>• Vũ khí: Nhánh chống máy bay phải mạnh hơn nhánh đánh chặn ở vai trò chống máy bay.</t>
        </is>
      </c>
      <c r="T54" s="48" t="inlineStr">
        <is>
          <t>Trung</t>
        </is>
      </c>
    </row>
    <row r="55" ht="42.75" customHeight="1" s="32">
      <c r="A55" s="41" t="inlineStr">
        <is>
          <t>shield_tower</t>
        </is>
      </c>
      <c r="B55" s="41" t="inlineStr">
        <is>
          <t>Máy phát khiên</t>
        </is>
      </c>
      <c r="C55" s="41" t="inlineStr">
        <is>
          <t>không có súng; vòm khiên 25 m hấp thụ 3.000 sát thương từ đạn pháo, bom, đạn súng và tên lửa cho mọi thứ phe ta bên dưới, rồi giữ các tháp quanh nó đứng vững qua trận pháo kích; vũ khí năng lượng xuyên qua, nhiều vòm không cộng dồn, và máy phát là</t>
        </is>
      </c>
      <c r="D55" s="41" t="inlineStr">
        <is>
          <t>Tháp phát khiên cao với vòng phát sáng màu phe, vòm bán trong suốt khi hoạt động.  Kích thước hiện 7.2 × 7.2 × 9.2 m. Nhìn rõ từ camera chéo 45–60°; hình dạng hai nhánh phải khác nhau rõ ở zoom mặc định; vạch màu phe.</t>
        </is>
      </c>
      <c r="E55" s="41" t="inlineStr">
        <is>
          <t>tháp ô lớn của căn cứ; bị phá thì xây lại 7 CP sau 60 s; mở khóa: thắng màn mở khóa trong chiến dịch, hoặc mua sớm 300 x</t>
        </is>
      </c>
      <c r="F55" s="43" t="n">
        <v>4400</v>
      </c>
      <c r="G55" s="41" t="inlineStr">
        <is>
          <t>cấp 2 (Vừa) · công trình</t>
        </is>
      </c>
      <c r="H55" s="43" t="n">
        <v>40</v>
      </c>
      <c r="I55" s="43" t="n">
        <v>0</v>
      </c>
      <c r="J55" s="43" t="n">
        <v>0</v>
      </c>
      <c r="K55" s="43" t="n">
        <v>0</v>
      </c>
      <c r="L55" s="41" t="inlineStr">
        <is>
          <t>Shield Battery (StarCraft II), Shield Generator (Supreme Commander) — ước đoán: tháp phát khiên năng lượng (viễn tưởng)</t>
        </is>
      </c>
      <c r="M55" s="41" t="n"/>
      <c r="N55" s="41" t="inlineStr">
        <is>
          <t>nổ mạnh, nổ lõm, pháo xe tăng</t>
        </is>
      </c>
      <c r="O55" s="41" t="inlineStr">
        <is>
          <t>không có súng; vòm khiên 25 m hấp thụ 3.000 sát thương từ đạn pháo, bom, đạn súng và tên lửa cho mọi thứ phe ta bên dưới, rồi</t>
        </is>
      </c>
      <c r="P55" s="41" t="inlineStr">
        <is>
          <t>Đứng yên tại chỗ, phục vụ phe ta; Vòm khiên 25 m: hấp thụ 3000 sát thương cho phe ta bên trong (trừ năng lượng), hồi lại 30; giây sau đòn cuối; các vòm không cộng dồn; Máy phát khiên · nhánh Vòm khiên</t>
        </is>
      </c>
      <c r="Q55" s="41" t="n"/>
      <c r="R55" s="41" t="inlineStr">
        <is>
          <t>Giữ.</t>
        </is>
      </c>
      <c r="S55" s="41" t="inlineStr">
        <is>
          <t>Ổn.</t>
        </is>
      </c>
      <c r="T55" s="49" t="inlineStr">
        <is>
          <t>Thấp</t>
        </is>
      </c>
    </row>
    <row r="56" ht="53.25" customHeight="1" s="32">
      <c r="A56" s="39" t="inlineStr">
        <is>
          <t>shield_tower.bulwark</t>
        </is>
      </c>
      <c r="B56" s="39" t="inlineStr">
        <is>
          <t>Máy phát khiên · nhánh Vòm khiên</t>
        </is>
      </c>
      <c r="C56" s="39" t="n"/>
      <c r="D56" s="39" t="inlineStr">
        <is>
          <t>Tháp phát khiên cao với vòng phát sáng màu phe, vòm bán trong suốt khi hoạt động. Nhánh: Tháp phát trung tâm và vòm. Kích thước hiện 7.2 × 7.2 × 9.2 m. Nhìn rõ từ camera chéo 45–60°; hình dạng hai nhánh phải khác nhau rõ ở zoom mặc định; vạch màu phe.</t>
        </is>
      </c>
      <c r="E56" s="39" t="inlineStr">
        <is>
          <t>tháp ô lớn của căn cứ; bị phá thì xây lại 7 CP sau 60 s; mở khóa: thắng màn mở khóa trong chiến dịch, hoặc mua sớm 300 x</t>
        </is>
      </c>
      <c r="F56" s="42" t="n">
        <v>4400</v>
      </c>
      <c r="G56" s="39" t="inlineStr">
        <is>
          <t>cấp 2 (Vừa) · công trình</t>
        </is>
      </c>
      <c r="H56" s="42" t="n">
        <v>40</v>
      </c>
      <c r="I56" s="42" t="n">
        <v>0</v>
      </c>
      <c r="J56" s="42" t="n">
        <v>0</v>
      </c>
      <c r="K56" s="42" t="n">
        <v>0</v>
      </c>
      <c r="L56" s="39" t="inlineStr">
        <is>
          <t>Shield Generator (Supreme Commander), Bubble Shield (Halo 3) — ước đoán: nhánh vòm khiên</t>
        </is>
      </c>
      <c r="M56" s="39" t="n"/>
      <c r="N56" s="39" t="inlineStr">
        <is>
          <t>nổ mạnh, nổ lõm, pháo xe tăng</t>
        </is>
      </c>
      <c r="O56" s="39" t="n"/>
      <c r="P56" s="39" t="inlineStr">
        <is>
          <t>Đứng yên tại chỗ, phục vụ phe ta; Vòm khiên 25 m: hấp thụ 4200 sát thương cho phe ta bên trong (trừ năng lượng), hồi lại 28; giây sau đòn cuối; các vòm không cộng dồn; Máy phát khiên · nhánh Lá chắn tháp</t>
        </is>
      </c>
      <c r="Q56" s="39" t="n"/>
      <c r="R56" s="39" t="inlineStr">
        <is>
          <t>Giữ.</t>
        </is>
      </c>
      <c r="S56" s="39" t="inlineStr">
        <is>
          <t>Ổn.</t>
        </is>
      </c>
      <c r="T56" s="49" t="inlineStr">
        <is>
          <t>Thấp</t>
        </is>
      </c>
    </row>
    <row r="57" ht="42.75" customHeight="1" s="32">
      <c r="A57" s="41" t="inlineStr">
        <is>
          <t>shield_tower.ward</t>
        </is>
      </c>
      <c r="B57" s="41" t="inlineStr">
        <is>
          <t>Máy phát khiên · nhánh Lá chắn tháp</t>
        </is>
      </c>
      <c r="C57" s="41" t="n"/>
      <c r="D57" s="41" t="inlineStr">
        <is>
          <t>Tháp phát khiên cao với vòng phát sáng màu phe, vòm bán trong suốt khi hoạt động. Nhánh: Nhiều cột phát nhỏ nối tia sáng tới từng tháp. Kích thước hiện 7.2 × 7.2 × 9.2 m. Nhìn rõ từ camera chéo 45–60°; hình dạng hai nhánh phải khác nhau rõ ở zoom mặc định; vạch màu phe.</t>
        </is>
      </c>
      <c r="E57" s="41" t="inlineStr">
        <is>
          <t>tháp ô lớn của căn cứ; bị phá thì xây lại 7 CP sau 60 s; mở khóa: thắng màn mở khóa trong chiến dịch, hoặc mua sớm 300 x</t>
        </is>
      </c>
      <c r="F57" s="43" t="n">
        <v>4400</v>
      </c>
      <c r="G57" s="41" t="inlineStr">
        <is>
          <t>cấp 2 (Vừa) · công trình</t>
        </is>
      </c>
      <c r="H57" s="43" t="n">
        <v>40</v>
      </c>
      <c r="I57" s="43" t="n">
        <v>0</v>
      </c>
      <c r="J57" s="43" t="n">
        <v>0</v>
      </c>
      <c r="K57" s="43" t="n">
        <v>0</v>
      </c>
      <c r="L57" s="41" t="inlineStr">
        <is>
          <t>Shield Battery (StarCraft II) — ước đoán: nhánh chiếu khiên sang tháp khác</t>
        </is>
      </c>
      <c r="M57" s="41" t="n"/>
      <c r="N57" s="41" t="inlineStr">
        <is>
          <t>nổ mạnh, nổ lõm, pháo xe tăng</t>
        </is>
      </c>
      <c r="O57" s="41" t="n"/>
      <c r="P57" s="41" t="inlineStr">
        <is>
          <t>Đứng yên tại chỗ, phục vụ phe ta; Công sự khác (trung lập, pháo đài, boss) (6); Ụ súng tạm</t>
        </is>
      </c>
      <c r="Q57" s="41" t="n"/>
      <c r="R57" s="41" t="inlineStr">
        <is>
          <t>Giữ.</t>
        </is>
      </c>
      <c r="S57" s="41" t="inlineStr">
        <is>
          <t>Ổn.</t>
        </is>
      </c>
      <c r="T57" s="49" t="inlineStr">
        <is>
          <t>Thấp</t>
        </is>
      </c>
    </row>
    <row r="58" ht="21.75" customHeight="1" s="32">
      <c r="A58" s="39" t="inlineStr">
        <is>
          <t>bulwark_post</t>
        </is>
      </c>
      <c r="B58" s="39" t="inlineStr">
        <is>
          <t>Ụ súng tạm</t>
        </is>
      </c>
      <c r="C58" s="39" t="n"/>
      <c r="D58" s="39" t="inlineStr">
        <is>
          <t>Ụ súng bao cát nhỏ.  Kích thước hiện 3.5 × 3.5 × 2.7 m. Nhìn rõ từ camera chéo 45–60°; hình dạng hai nhánh phải khác nhau rõ ở zoom mặc định; vạch màu phe.</t>
        </is>
      </c>
      <c r="E58" s="39" t="inlineStr">
        <is>
          <t>công sự trung lập hoặc của bản đồ, không mua được</t>
        </is>
      </c>
      <c r="F58" s="42" t="n">
        <v>1100</v>
      </c>
      <c r="G58" s="39" t="inlineStr">
        <is>
          <t>cấp 1 (Mỏng) · công trình</t>
        </is>
      </c>
      <c r="H58" s="42" t="n">
        <v>34</v>
      </c>
      <c r="I58" s="42" t="n">
        <v>102</v>
      </c>
      <c r="J58" s="42" t="n">
        <v>30</v>
      </c>
      <c r="K58" s="42" t="n">
        <v>36</v>
      </c>
      <c r="L58" s="39" t="inlineStr">
        <is>
          <t>NSV 12,7 mm, lô cốt hình nấm — Ụ súng máy tạm sau khi tháp đổ (trang bị Bulwark)</t>
        </is>
      </c>
      <c r="M58" s="39" t="inlineStr">
        <is>
          <t>giáp 0, giáp 1</t>
        </is>
      </c>
      <c r="N58" s="39" t="inlineStr">
        <is>
          <t>lửa, pháo tự động, nổ mạnh, nổ lõm, pháo xe tăng</t>
        </is>
      </c>
      <c r="O58" s="39" t="n"/>
      <c r="P58" s="39" t="inlineStr">
        <is>
          <t>Đứng yên tại chỗ, bắn mọi mục tiêu trong tầm; Trận địa pháo bờ biển</t>
        </is>
      </c>
      <c r="Q58" s="39" t="inlineStr">
        <is>
          <t>NSV 12.7 mm [Động năng, xuyên 1, đạn súng (cỡ lớn)] 10/phát · băng 45 viên, 16 viên/s, thay 0.85 s · tầm 32 m · Tất cả</t>
        </is>
      </c>
      <c r="R58" s="39" t="inlineStr">
        <is>
          <t>Giữ.</t>
        </is>
      </c>
      <c r="S58" s="39" t="inlineStr">
        <is>
          <t>Ổn.</t>
        </is>
      </c>
      <c r="T58" s="49" t="inlineStr">
        <is>
          <t>Thấp</t>
        </is>
      </c>
    </row>
    <row r="59" ht="32.25" customHeight="1" s="32">
      <c r="A59" s="41" t="inlineStr">
        <is>
          <t>coastal_battery</t>
        </is>
      </c>
      <c r="B59" s="41" t="inlineStr">
        <is>
          <t>Trận địa pháo bờ biển</t>
        </is>
      </c>
      <c r="C59" s="41" t="n"/>
      <c r="D59" s="41" t="inlineStr">
        <is>
          <t>Tháp pháo bờ biển trên bệ bê tông ven đá.  Kích thước hiện 10.3 × 8.0 × 6.1 m. Nhìn rõ từ camera chéo 45–60°; hình dạng hai nhánh phải khác nhau rõ ở zoom mặc định; vạch màu phe.</t>
        </is>
      </c>
      <c r="E59" s="41" t="inlineStr">
        <is>
          <t>công sự trung lập hoặc của bản đồ, không mua được</t>
        </is>
      </c>
      <c r="F59" s="43" t="n">
        <v>6600</v>
      </c>
      <c r="G59" s="41" t="inlineStr">
        <is>
          <t>4/3/3/3</t>
        </is>
      </c>
      <c r="H59" s="43" t="n">
        <v>130</v>
      </c>
      <c r="I59" s="43" t="n">
        <v>87</v>
      </c>
      <c r="J59" s="43" t="n">
        <v>62</v>
      </c>
      <c r="K59" s="43" t="n">
        <v>0</v>
      </c>
      <c r="L59" s="41" t="inlineStr">
        <is>
          <t>A-222 Bereg (240 mm), AK-130 130 mm (tháp pháo hạm đặt trên bờ), K-300P Bastion-P, M284 155 mm — Trận địa pháo bờ biển</t>
        </is>
      </c>
      <c r="M59" s="41" t="inlineStr">
        <is>
          <t>giáp 0, giáp 1, giáp 2, giáp 3, công trình</t>
        </is>
      </c>
      <c r="N59" s="41" t="inlineStr">
        <is>
          <t>nổ mạnh, đánh nóc</t>
        </is>
      </c>
      <c r="O59" s="41" t="n"/>
      <c r="P59" s="41" t="inlineStr">
        <is>
          <t>Đứng yên tại chỗ, bắn mọi mục tiêu trong tầm; Gungnir · Pháo đường ray</t>
        </is>
      </c>
      <c r="Q59" s="41" t="inlineStr">
        <is>
          <t>M284 155 mm (coastal battery) [Nổ mạnh, xuyên 3, đạn pháo nổ mạnh nổ lan] 320/phát · loạt 2, hồi 8.79 s · tầm 135 m · Mặt đất</t>
        </is>
      </c>
      <c r="R59" s="41" t="inlineStr">
        <is>
          <t>Thống nhất bán kính nổ 155 mm với các khẩu 155 khác (7 m).</t>
        </is>
      </c>
      <c r="S59" s="41" t="inlineStr">
        <is>
          <t>Ổn.</t>
        </is>
      </c>
      <c r="T59" s="49" t="inlineStr">
        <is>
          <t>Thấp</t>
        </is>
      </c>
    </row>
    <row r="60" ht="32.25" customHeight="1" s="32">
      <c r="A60" s="39" t="inlineStr">
        <is>
          <t>spawn_bastion</t>
        </is>
      </c>
      <c r="B60" s="39" t="inlineStr">
        <is>
          <t>Tháp căn cứ</t>
        </is>
      </c>
      <c r="C60" s="39" t="inlineStr">
        <is>
          <t>đứng yên; pháo nặng hai nòng bắn loạt đôi tới 40 m. cực lì, giáp dày như xe tăng chứ không phải giáp công trình nên đạn xuyên giáp hiệu quả nhất; thắng xe nhẹ và xe tăng.</t>
        </is>
      </c>
      <c r="D60" s="39" t="inlineStr">
        <is>
          <t>Kích thước hiện 10.3 × 8.0 × 6.1 m. Nhìn rõ từ camera chéo 45–60°; hình dạng hai nhánh phải khác nhau rõ ở zoom mặc định; vạch màu phe.</t>
        </is>
      </c>
      <c r="E60" s="39" t="inlineStr">
        <is>
          <t>công sự trung lập hoặc của bản đồ, không mua được</t>
        </is>
      </c>
      <c r="F60" s="42" t="n">
        <v>11000</v>
      </c>
      <c r="G60" s="39" t="inlineStr">
        <is>
          <t>4/3/3/3</t>
        </is>
      </c>
      <c r="H60" s="42" t="n">
        <v>44</v>
      </c>
      <c r="I60" s="42" t="n">
        <v>147</v>
      </c>
      <c r="J60" s="42" t="n">
        <v>123</v>
      </c>
      <c r="K60" s="42" t="n">
        <v>0</v>
      </c>
      <c r="L60" s="39" t="inlineStr">
        <is>
          <t>A-222 Bereg (240 mm), AK-130 130 mm (tháp pháo hạm đặt trên bờ), K-300P Bastion-P — Pháo đài canh điểm xuất quân (model tháp pháo hạng nặng)</t>
        </is>
      </c>
      <c r="M60" s="39" t="inlineStr">
        <is>
          <t>giáp 0, giáp 1, giáp 2, giáp 3, giáp 4, công trình</t>
        </is>
      </c>
      <c r="N60" s="39" t="inlineStr">
        <is>
          <t>nổ mạnh, đánh nóc</t>
        </is>
      </c>
      <c r="O60" s="39" t="inlineStr">
        <is>
          <t>đứng yên; pháo nặng hai nòng bắn loạt đôi tới 40 m.</t>
        </is>
      </c>
      <c r="P60" s="39" t="inlineStr">
        <is>
          <t>Đứng yên tại chỗ, bắn mọi mục tiêu trong tầm; Siêu pháo</t>
        </is>
      </c>
      <c r="Q60" s="39" t="inlineStr">
        <is>
          <t>2A83 152 mm (twin) [Động năng, xuyên 4, đạn pháo động năng (≥120 mm) nổ lan] 320/phát · loạt 2, hồi 5.16 s · tầm 40 m · Mặt đất</t>
        </is>
      </c>
      <c r="R60" s="39" t="inlineStr">
        <is>
          <t>Kiểm tra còn dùng không; nếu không, bỏ khỏi dữ liệu.</t>
        </is>
      </c>
      <c r="S60" s="39" t="inlineStr">
        <is>
          <t>Tháp căn cứ kiểu cũ (còn dùng trong nhiệm vụ?).</t>
        </is>
      </c>
      <c r="T60" s="49" t="inlineStr">
        <is>
          <t>Thấp</t>
        </is>
      </c>
    </row>
    <row r="61" ht="32.25" customHeight="1" s="32">
      <c r="A61" s="41" t="inlineStr">
        <is>
          <t>super_gun</t>
        </is>
      </c>
      <c r="B61" s="41" t="inlineStr">
        <is>
          <t>Siêu pháo</t>
        </is>
      </c>
      <c r="C61" s="41" t="inlineStr">
        <is>
          <t>theo đồng hồ đếm ngược ở đầu màn hình, nó bắn một quả đạn cực lớn vào chỗ quân tấn công đông nhất (vào trại nếu không ai ở một phát xóa sổ cả đoàn xe nhẹ; nó không có súng bắn gần.</t>
        </is>
      </c>
      <c r="D61" s="41" t="inlineStr">
        <is>
          <t>Kích thước hiện 18.5 × 14.4 × 11.0 m. Nhìn rõ từ camera chéo 45–60°; hình dạng hai nhánh phải khác nhau rõ ở zoom mặc định; vạch màu phe.</t>
        </is>
      </c>
      <c r="E61" s="41" t="inlineStr">
        <is>
          <t>công sự trung lập hoặc của bản đồ, không mua được</t>
        </is>
      </c>
      <c r="F61" s="43" t="n">
        <v>11440</v>
      </c>
      <c r="G61" s="41" t="inlineStr">
        <is>
          <t>cấp 3 (Dày) · công trình</t>
        </is>
      </c>
      <c r="H61" s="43" t="n">
        <v>40</v>
      </c>
      <c r="I61" s="43" t="n">
        <v>0</v>
      </c>
      <c r="J61" s="43" t="n">
        <v>0</v>
      </c>
      <c r="K61" s="43" t="n">
        <v>0</v>
      </c>
      <c r="L61" s="41" t="inlineStr">
        <is>
          <t>A-222 Bereg (240 mm), AK-130 130 mm (tháp pháo hạm đặt trên bờ), K-300P Bastion-P — Siêu pháo hai nòng của pháo đài (model tháp pháo hạng nặng phóng to)</t>
        </is>
      </c>
      <c r="M61" s="41" t="n"/>
      <c r="N61" s="41" t="inlineStr">
        <is>
          <t>nổ mạnh, nổ lõm, pháo xe tăng</t>
        </is>
      </c>
      <c r="O61" s="41" t="inlineStr">
        <is>
          <t>theo đồng hồ đếm ngược ở đầu màn hình, nó bắn một quả đạn cực lớn vào chỗ quân tấn công đông nhất (vào trại nếu không ai ở</t>
        </is>
      </c>
      <c r="P61" s="41" t="inlineStr">
        <is>
          <t>Đứng yên tại chỗ, phục vụ phe ta; Trạm chỉ thị mục tiêu</t>
        </is>
      </c>
      <c r="Q61" s="41" t="n"/>
      <c r="R61" s="41" t="inlineStr">
        <is>
          <t>Giữ.</t>
        </is>
      </c>
      <c r="S61" s="41" t="inlineStr">
        <is>
          <t>Ổn.</t>
        </is>
      </c>
      <c r="T61" s="49" t="inlineStr">
        <is>
          <t>Thấp</t>
        </is>
      </c>
    </row>
    <row r="62" ht="95.25" customHeight="1" s="32">
      <c r="A62" s="39" t="inlineStr">
        <is>
          <t>targeting_station</t>
        </is>
      </c>
      <c r="B62" s="39" t="inlineStr">
        <is>
          <t>Trạm chỉ thị mục tiêu</t>
        </is>
      </c>
      <c r="C62" s="39" t="n"/>
      <c r="D62" s="39" t="inlineStr">
        <is>
          <t>Kích thước hiện 6.5 × 8.2 × 11.0 m. Nhìn rõ từ camera chéo 45–60°; hình dạng hai nhánh phải khác nhau rõ ở zoom mặc định; vạch màu phe.</t>
        </is>
      </c>
      <c r="E62" s="39" t="inlineStr">
        <is>
          <t>công sự trung lập hoặc của bản đồ, không mua được</t>
        </is>
      </c>
      <c r="F62" s="42" t="n">
        <v>1540</v>
      </c>
      <c r="G62" s="39" t="inlineStr">
        <is>
          <t>cấp 1 (Mỏng) · công trình</t>
        </is>
      </c>
      <c r="H62" s="42" t="n">
        <v>110</v>
      </c>
      <c r="I62" s="42" t="n">
        <v>0</v>
      </c>
      <c r="J62" s="42" t="n">
        <v>0</v>
      </c>
      <c r="K62" s="42" t="n">
        <v>0</v>
      </c>
      <c r="L62" s="39" t="inlineStr">
        <is>
          <t>radar Würzburg-Riese, trạm đo xa pháo bờ biển — Trạm điều khiển hỏa lực của siêu pháo</t>
        </is>
      </c>
      <c r="M62" s="39" t="n"/>
      <c r="N62" s="39" t="inlineStr">
        <is>
          <t>lửa, pháo tự động, nổ mạnh, nổ lõm, pháo xe tăng</t>
        </is>
      </c>
      <c r="O62" s="39" t="n"/>
      <c r="P62" s="39" t="inlineStr">
        <is>
          <t>Đứng yên tại chỗ, phục vụ phe ta; Xe tinh nhuệ; Phiên bản tân trang: +60% máu, +25% sát thương, 1–2 kỹ năng tinh nhuệ, thanh máu vàng và vòng vàng trên; thường. Địch không còn nhận tinh nhuệ theo xác suất mà theo ngân sách: tinh nhuệ giá 1,6 lần, phần chi t; 20%, Thép 25%), trần 1–5 xe cùng lúc; tướng ưu tiên loại xe của mình. Hạ tinh nhuệ hoàn CP theo giá thật; Tốc; Tên                  Giá       Giáp                             Máu              Vũ khí; độ</t>
        </is>
      </c>
      <c r="Q62" s="39" t="n"/>
      <c r="R62" s="39" t="inlineStr">
        <is>
          <t>Giữ.</t>
        </is>
      </c>
      <c r="S62" s="39" t="inlineStr">
        <is>
          <t>Ổn.</t>
        </is>
      </c>
      <c r="T62" s="49" t="inlineStr">
        <is>
          <t>Thấp</t>
        </is>
      </c>
    </row>
  </sheetData>
  <autoFilter ref="A1:T6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W3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4" customWidth="1" style="31" min="2" max="2"/>
    <col width="50" customWidth="1" style="31" min="3" max="3"/>
    <col width="70" customWidth="1" style="31" min="4" max="4"/>
    <col width="14" customWidth="1" style="31" min="5" max="5"/>
    <col width="10" customWidth="1" style="31" min="6" max="6"/>
    <col width="6" customWidth="1" style="31" min="7" max="7"/>
    <col width="9" customWidth="1" style="31" min="8" max="8"/>
    <col width="10" customWidth="1" style="31" min="9" max="9"/>
    <col width="14" customWidth="1" style="31" min="10" max="10"/>
    <col width="8" customWidth="1" style="31" min="11" max="12"/>
    <col width="7" customWidth="1" style="31" min="13" max="15"/>
    <col width="40" customWidth="1" style="31" min="16" max="16"/>
    <col width="20" customWidth="1" style="31" min="17" max="17"/>
    <col width="26" customWidth="1" style="31" min="18" max="18"/>
    <col width="40" customWidth="1" style="31" min="19" max="19"/>
    <col width="70" customWidth="1" style="31" min="20" max="20"/>
    <col width="55" customWidth="1" style="31" min="21" max="22"/>
    <col width="8" customWidth="1" style="31" min="23" max="23"/>
  </cols>
  <sheetData>
    <row r="1" ht="42" customHeight="1" s="32">
      <c r="A1" s="37" t="inlineStr">
        <is>
          <t>id</t>
        </is>
      </c>
      <c r="B1" s="37" t="inlineStr">
        <is>
          <t>Tên</t>
        </is>
      </c>
      <c r="C1" s="37" t="inlineStr">
        <is>
          <t>Miêu tả</t>
        </is>
      </c>
      <c r="D1" s="37" t="inlineStr">
        <is>
          <t>Hình dạng (cho AI vẽ)</t>
        </is>
      </c>
      <c r="E1" s="37" t="inlineStr">
        <is>
          <t>Cấp</t>
        </is>
      </c>
      <c r="F1" s="37" t="inlineStr">
        <is>
          <t>Chương</t>
        </is>
      </c>
      <c r="G1" s="37" t="inlineStr">
        <is>
          <t>Bay?</t>
        </is>
      </c>
      <c r="H1" s="37" t="inlineStr">
        <is>
          <t>Máu</t>
        </is>
      </c>
      <c r="I1" s="45" t="inlineStr">
        <is>
          <t>Máu đề xuất (gốc)</t>
        </is>
      </c>
      <c r="J1" s="37" t="inlineStr">
        <is>
          <t>Giáp</t>
        </is>
      </c>
      <c r="K1" s="37" t="inlineStr">
        <is>
          <t>Tốc độ (m/s)</t>
        </is>
      </c>
      <c r="L1" s="37" t="inlineStr">
        <is>
          <t>Tầm nhìn (m)</t>
        </is>
      </c>
      <c r="M1" s="37" t="inlineStr">
        <is>
          <t>DPS nhẹ</t>
        </is>
      </c>
      <c r="N1" s="37" t="inlineStr">
        <is>
          <t>DPS nặng</t>
        </is>
      </c>
      <c r="O1" s="37" t="inlineStr">
        <is>
          <t>DPS bay</t>
        </is>
      </c>
      <c r="P1" s="37" t="inlineStr">
        <is>
          <t>Tham khảo (ngoài đời / game)</t>
        </is>
      </c>
      <c r="Q1" s="37" t="inlineStr">
        <is>
          <t>Mạnh với</t>
        </is>
      </c>
      <c r="R1" s="37" t="inlineStr">
        <is>
          <t>Yếu trước</t>
        </is>
      </c>
      <c r="S1" s="37" t="inlineStr">
        <is>
          <t>Cách đánh</t>
        </is>
      </c>
      <c r="T1" s="37" t="inlineStr">
        <is>
          <t>Vũ khí</t>
        </is>
      </c>
      <c r="U1" s="45" t="inlineStr">
        <is>
          <t>Đề xuất</t>
        </is>
      </c>
      <c r="V1" s="46" t="inlineStr">
        <is>
          <t>Lý do thay đổi</t>
        </is>
      </c>
      <c r="W1" s="46" t="inlineStr">
        <is>
          <t>Ưu tiên</t>
        </is>
      </c>
    </row>
    <row r="2" ht="84.75" customHeight="1" s="32">
      <c r="A2" s="39"/>
      <c r="B2" s="39"/>
      <c r="C2" s="39"/>
      <c r="D2" s="39"/>
      <c r="E2" s="39"/>
      <c r="F2" s="39"/>
      <c r="G2" s="39"/>
      <c r="H2" s="42"/>
      <c r="I2" s="39"/>
      <c r="J2" s="39"/>
      <c r="K2" s="42"/>
      <c r="L2" s="42"/>
      <c r="M2" s="42"/>
      <c r="N2" s="42"/>
      <c r="O2" s="42"/>
      <c r="P2" s="39"/>
      <c r="Q2" s="39"/>
      <c r="R2" s="39"/>
      <c r="S2" s="39"/>
      <c r="T2" s="39"/>
      <c r="U2" s="39"/>
      <c r="V2" s="39"/>
      <c r="W2" s="48"/>
    </row>
    <row r="3" ht="84.75" customHeight="1" s="32">
      <c r="A3" s="41" t="inlineStr">
        <is>
          <t>behemoth_mk0</t>
        </is>
      </c>
      <c r="B3" s="41" t="inlineStr">
        <is>
          <t>Behemoth Mk.0 · Behemoth nguyên mẫu</t>
        </is>
      </c>
      <c r="C3" s="41" t="inlineStr">
        <is>
          <t>bản lắp đầu tiên của Behemoth, chậm hơn bản hoàn chỉnh: pháo chính, hai pháo sườn và một giàn rốc-két trên cùng thân xe. mặt trước giáp cấp 3; không có pháo cao xạ và hệ thống bảo vệ chủ động, nên máy bay và tên lửa không gặp cản trở nào.</t>
        </is>
      </c>
      <c r="D3" s="41" t="inlineStr">
        <is>
          <t>Dựa trên: Object 279 (1959), giáp composite, APS và cảm biến hiện đại · Baneblade (Warhammer 40,000) — ước đoán: Behemoth đời đầu, nhỏ hơn. Kích thước hiện 17.0 × 10.1 × 7.3 m; boss chủ lực ×1,3–1,5 so với mẫu, mini boss nhỏ hơn boss chủ lực cùng dòng; bộ phận phá được (tháp, xích, động cơ) phải tách thành khối riêng dễ nhìn; có bản vỡ cho từng bộ phận; vạch màu tướng sở hữu.</t>
        </is>
      </c>
      <c r="E3" s="41" t="inlineStr">
        <is>
          <t>Mini</t>
        </is>
      </c>
      <c r="F3" s="41" t="inlineStr">
        <is>
          <t>Xen kẽ I</t>
        </is>
      </c>
      <c r="G3" s="41" t="n"/>
      <c r="H3" s="43" t="n">
        <v>5610</v>
      </c>
      <c r="I3" s="41" t="n"/>
      <c r="J3" s="41" t="inlineStr">
        <is>
          <t>3/3/2/1</t>
        </is>
      </c>
      <c r="K3" s="43" t="n">
        <v>2.2</v>
      </c>
      <c r="L3" s="43" t="n">
        <v>50</v>
      </c>
      <c r="M3" s="43" t="n">
        <v>286</v>
      </c>
      <c r="N3" s="43" t="n">
        <v>199</v>
      </c>
      <c r="O3" s="43" t="n">
        <v>0</v>
      </c>
      <c r="P3" s="41" t="inlineStr">
        <is>
          <t>Object 279 (1959), giáp composite, APS và cảm biến hiện đại · Baneblade (Warhammer 40,000) — ước đoán: Behemoth đời đầu, nhỏ hơn</t>
        </is>
      </c>
      <c r="Q3" s="41" t="inlineStr">
        <is>
          <t>giáp 0, giáp 1, giáp 2, giáp 3, giáp 4, công trình</t>
        </is>
      </c>
      <c r="R3" s="41" t="inlineStr">
        <is>
          <t>nổ mạnh, đánh nóc, nổ lõm, pháo xe tăng</t>
        </is>
      </c>
      <c r="S3" s="41" t="inlineStr">
        <is>
          <t>bản lắp đầu tiên của Behemoth, chậm hơn bản hoàn chỉnh: pháo chính, hai pháo sườn và một giàn rốc-két trên cùng thân xe.</t>
        </is>
      </c>
      <c r="T3" s="41" t="inlineStr">
        <is>
          <t>2A65 152 mm (twin) [Nổ mạnh, xuyên 3, đạn pháo nổ mạnh nổ lan] 320/phát · loạt 2, hồi 8.93 s · tầm 40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BM-21 Grad 122 mm [Nổ mạnh, xuyên 2, rốc-két nổ lan] 57/phát · loạt 13, hồi 2.44 s · tầm 45 m · Mặt đất</t>
        </is>
      </c>
      <c r="U3" s="41" t="inlineStr">
        <is>
          <t>Giữ.</t>
        </is>
      </c>
      <c r="V3" s="41" t="inlineStr">
        <is>
          <t>Ổn.</t>
        </is>
      </c>
      <c r="W3" s="49" t="inlineStr">
        <is>
          <t>Thấp</t>
        </is>
      </c>
    </row>
    <row r="4" ht="105.75" customHeight="1" s="32">
      <c r="A4" s="39" t="inlineStr">
        <is>
          <t>armored_train</t>
        </is>
      </c>
      <c r="B4" s="39" t="inlineStr">
        <is>
          <t>Juggernaut · Đoàn tàu bọc thép</t>
        </is>
      </c>
      <c r="C4" s="39" t="inlineStr">
        <is>
          <t>hai pháo nặng (42 m), hộp rốc-két, pháo cao xạ và súng máy; bị bắn thì núp trong khói, còn nửa máu thì tự vá 20% một lần. pháo của nó diệt xe tăng và xe nhẹ gần đường ray; nó không thể rời đường ray.</t>
        </is>
      </c>
      <c r="D4" s="39" t="inlineStr">
        <is>
          <t>Dựa trên: tàu bọc thép Liên Xô BP-35, B-38 152 mm, 2B11 120 mm — ước đoán: đầu máy diesel bọc thép kéo toa pháo. Kích thước hiện 24.5 × 3.3 × 4.8 m; boss chủ lực ×1,3–1,5 so với mẫu, mini boss nhỏ hơn boss chủ lực cùng dòng; bộ phận phá được (tháp, xích, động cơ) phải tách thành khối riêng dễ nhìn; có bản vỡ cho từng bộ phận; vạch màu tướng sở hữu.</t>
        </is>
      </c>
      <c r="E4" s="39" t="inlineStr">
        <is>
          <t>Mini</t>
        </is>
      </c>
      <c r="F4" s="39" t="inlineStr">
        <is>
          <t>4</t>
        </is>
      </c>
      <c r="G4" s="39" t="n"/>
      <c r="H4" s="42" t="n">
        <v>5820</v>
      </c>
      <c r="I4" s="39" t="inlineStr">
        <is>
          <t>7650–10200</t>
        </is>
      </c>
      <c r="J4" s="39" t="inlineStr">
        <is>
          <t>5/3/3/2</t>
        </is>
      </c>
      <c r="K4" s="42" t="n">
        <v>0.32</v>
      </c>
      <c r="L4" s="42" t="n">
        <v>50</v>
      </c>
      <c r="M4" s="42" t="n">
        <v>346</v>
      </c>
      <c r="N4" s="42" t="n">
        <v>220</v>
      </c>
      <c r="O4" s="42" t="n">
        <v>252</v>
      </c>
      <c r="P4" s="39" t="inlineStr">
        <is>
          <t>tàu bọc thép Liên Xô BP-35, B-38 152 mm, 2B11 120 mm — ước đoán: đầu máy diesel bọc thép kéo toa pháo</t>
        </is>
      </c>
      <c r="Q4" s="39" t="inlineStr">
        <is>
          <t>giáp 0, giáp 1, giáp 2, giáp 3, giáp 4, trên không, công trình</t>
        </is>
      </c>
      <c r="R4" s="39" t="inlineStr">
        <is>
          <t>nổ mạnh, đánh nóc</t>
        </is>
      </c>
      <c r="S4" s="39" t="inlineStr">
        <is>
          <t>hai pháo nặng (42 m), hộp rốc-két, pháo cao xạ và súng máy; bị bắn thì núp trong khói, còn nửa máu thì tự vá 20% một lần.</t>
        </is>
      </c>
      <c r="T4" s="39" t="inlineStr">
        <is>
          <t>B-38 152 mm [Động năng, xuyên 4, đạn pháo động năng (≥120 mm) nổ lan] 320/phát · hồi 5.11 s · tầm 42 m · Mặt đất
BM-21 Grad 122 mm [Nổ mạnh, xuyên 2, rốc-két nổ lan] 57/phát · loạt 13, hồi 2.44 s · tầm 45 m · Mặt đất
NSV 12.7 mm [Động năng, xuyên 1, đạn súng (cỡ lớn)] 10/phát · băng 10 viên, 12 viên/s, thay 5.78 s · tầm 30 m · Tất cả
Oerlikon 35 mm (twin) [Mảnh, xuyên 2, đạn nổ trên không nổ lan] 25/phát · băng 41 viên, 20 viên/s, thay 3.38 s · tầm 40 m · Tất cả
B-38 152 mm [Động năng, xuyên 4, đạn pháo động năng (≥120 mm) nổ lan] 320/phát · hồi 5.11 s · tầm 42 m · Mặt đất</t>
        </is>
      </c>
      <c r="U4" s="39" t="inlineStr">
        <is>
          <t>• Giáp: trước 4</t>
        </is>
      </c>
      <c r="V4" s="39" t="inlineStr">
        <is>
          <t>• Giáp: Mini boss giáp ngang boss chủ lực.</t>
        </is>
      </c>
      <c r="W4" s="49" t="inlineStr">
        <is>
          <t>Thấp</t>
        </is>
      </c>
    </row>
    <row r="5" ht="63.75" customHeight="1" s="32">
      <c r="A5" s="41" t="inlineStr">
        <is>
          <t>behemoth_tempest</t>
        </is>
      </c>
      <c r="B5" s="41" t="inlineStr">
        <is>
          <t>Tempest · Behemoth pháo điện từ</t>
        </is>
      </c>
      <c r="C5" s="41" t="inlineStr">
        <is>
          <t>pháo điện từ nạp năng lượng một giây (cuộn dây sáng lên) rồi xuyên thủng cả hàng tới 80 m; hai pháo điện từ bắn đất lẫn trời (55 trừng phạt xe đi thành hàng dọc; ở gần, EMP (22 m) làm choáng xe mặt đất, và nó bật khiên khi bị thương.</t>
        </is>
      </c>
      <c r="D5" s="41" t="inlineStr">
        <is>
          <t>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E5" s="41" t="inlineStr">
        <is>
          <t>Mini</t>
        </is>
      </c>
      <c r="F5" s="41" t="inlineStr">
        <is>
          <t>4</t>
        </is>
      </c>
      <c r="G5" s="41" t="n"/>
      <c r="H5" s="43" t="n">
        <v>5820</v>
      </c>
      <c r="I5" s="41" t="inlineStr">
        <is>
          <t>7650–10200</t>
        </is>
      </c>
      <c r="J5" s="41" t="inlineStr">
        <is>
          <t>5/3/2/2</t>
        </is>
      </c>
      <c r="K5" s="43" t="n">
        <v>2.6</v>
      </c>
      <c r="L5" s="43" t="n">
        <v>70</v>
      </c>
      <c r="M5" s="43" t="n">
        <v>372</v>
      </c>
      <c r="N5" s="43" t="n">
        <v>310</v>
      </c>
      <c r="O5" s="43" t="n">
        <v>66</v>
      </c>
      <c r="P5" s="41" t="inlineStr">
        <is>
          <t>US Navy EMRG (pháo điện từ), Object 279 (1959) · Baneblade (Warhammer 40,000) — ước đoán: Behemoth hai tháp pháo điện từ</t>
        </is>
      </c>
      <c r="Q5" s="41" t="inlineStr">
        <is>
          <t>giáp 0, giáp 1, giáp 2, giáp 3, giáp 4, công trình</t>
        </is>
      </c>
      <c r="R5" s="41" t="inlineStr">
        <is>
          <t>nổ mạnh, đánh nóc</t>
        </is>
      </c>
      <c r="S5" s="41" t="inlineStr">
        <is>
          <t>pháo điện từ nạp năng lượng một giây (cuộn dây sáng lên) rồi xuyên thủng cả hàng tới 80 m; hai pháo điện từ bắn đất lẫn trời (55</t>
        </is>
      </c>
      <c r="T5" s="41" t="inlineStr">
        <is>
          <t>railgun (64 MJ) 64 mm [Động năng, xuyên 4, đạn pháo động năng (điện từ)] 720/phát · hồi 8 s · tầm 80 m · Mặt đất
coilgun (10 MJ) 10 mm [Động năng, xuyên 4, đạn pháo động năng (điện từ)] 250/phát · loạt 2, hồi 4.29 s · tầm 55 m · Tất cả
coilgun (10 MJ) 10 mm [Động năng, xuyên 4, đạn pháo động năng (điện từ)] 250/phát · loạt 2, hồi 4.29 s · tầm 55 m · Tất cả</t>
        </is>
      </c>
      <c r="U5" s="41" t="inlineStr">
        <is>
          <t>Giữ.</t>
        </is>
      </c>
      <c r="V5" s="41" t="inlineStr">
        <is>
          <t>Ổn.</t>
        </is>
      </c>
      <c r="W5" s="49" t="inlineStr">
        <is>
          <t>Thấp</t>
        </is>
      </c>
    </row>
    <row r="6" ht="42.75" customHeight="1" s="32">
      <c r="A6" s="39" t="inlineStr">
        <is>
          <t>locust</t>
        </is>
      </c>
      <c r="B6" s="39" t="inlineStr">
        <is>
          <t>Locust · Tàu con drone</t>
        </is>
      </c>
      <c r="C6" s="39" t="inlineStr">
        <is>
          <t>khoang drone thả drone liên tục; cao xạ trên lưng. thân rất mỏng (giáp cấp 1): phòng không hạ nó nhanh.</t>
        </is>
      </c>
      <c r="D6" s="39" t="inlineStr">
        <is>
          <t>Dựa trên: Airlander 10, drone FPV · Kirov Airship (Red Alert 2) — ước đoán: biến thể nhỏ của khí cầu mẹ. Kích thước hiện 25.4 × 12.6 × 10.6 m; boss chủ lực ×1,3–1,5 so với mẫu, mini boss nhỏ hơn boss chủ lực cùng dòng; bộ phận phá được (tháp, xích, động cơ) phải tách thành khối riêng dễ nhìn; có bản vỡ cho từng bộ phận; vạch màu tướng sở hữu.</t>
        </is>
      </c>
      <c r="E6" s="39" t="inlineStr">
        <is>
          <t>Mini</t>
        </is>
      </c>
      <c r="F6" s="39" t="inlineStr">
        <is>
          <t>5, 11</t>
        </is>
      </c>
      <c r="G6" s="39" t="inlineStr">
        <is>
          <t>Có</t>
        </is>
      </c>
      <c r="H6" s="42" t="n">
        <v>6311</v>
      </c>
      <c r="I6" s="39" t="inlineStr">
        <is>
          <t>8100–10800</t>
        </is>
      </c>
      <c r="J6" s="39" t="inlineStr">
        <is>
          <t>cấp 1 (Mỏng)</t>
        </is>
      </c>
      <c r="K6" s="42" t="n">
        <v>5.2</v>
      </c>
      <c r="L6" s="42" t="n">
        <v>70</v>
      </c>
      <c r="M6" s="42" t="n">
        <v>201</v>
      </c>
      <c r="N6" s="42" t="n">
        <v>153</v>
      </c>
      <c r="O6" s="42" t="n">
        <v>248</v>
      </c>
      <c r="P6" s="39" t="inlineStr">
        <is>
          <t>Airlander 10, drone FPV · Kirov Airship (Red Alert 2) — ước đoán: biến thể nhỏ của khí cầu mẹ</t>
        </is>
      </c>
      <c r="Q6" s="39" t="inlineStr">
        <is>
          <t>giáp 0, giáp 1, giáp 2, giáp 3, giáp 4, trên không, công trình</t>
        </is>
      </c>
      <c r="R6" s="39" t="inlineStr">
        <is>
          <t>mảnh, năng lượng</t>
        </is>
      </c>
      <c r="S6" s="39" t="inlineStr">
        <is>
          <t>khoang drone thả drone liên tục; cao xạ trên lưng.</t>
        </is>
      </c>
      <c r="T6" s="39" t="inlineStr">
        <is>
          <t>ZALA Lancet-3 (3 kg) [Nổ lõm, xuyên 4, drone (Lancet) đánh nóc] dẫn đường/phát · nổ lan · tầm 240 · loạt 4, hồi 8.17 s
Oerlikon 35 mm (twin) [Mảnh, xuyên 2, đạn nổ trên không nổ lan] 25/phát · băng 41 viên, 20 viên/s, thay 3.38 s · tầm 40 m · Tất cả</t>
        </is>
      </c>
      <c r="U6" s="39" t="inlineStr">
        <is>
          <t>Giữ.</t>
        </is>
      </c>
      <c r="V6" s="39" t="inlineStr">
        <is>
          <t>Ổn.</t>
        </is>
      </c>
      <c r="W6" s="49" t="inlineStr">
        <is>
          <t>Thấp</t>
        </is>
      </c>
    </row>
    <row r="7" ht="84.75" customHeight="1" s="32">
      <c r="A7" s="41"/>
      <c r="B7" s="41"/>
      <c r="C7" s="41"/>
      <c r="D7" s="41"/>
      <c r="E7" s="41"/>
      <c r="F7" s="41"/>
      <c r="G7" s="41"/>
      <c r="H7" s="43"/>
      <c r="I7" s="41"/>
      <c r="J7" s="41"/>
      <c r="K7" s="43"/>
      <c r="L7" s="43"/>
      <c r="M7" s="43"/>
      <c r="N7" s="43"/>
      <c r="O7" s="43"/>
      <c r="P7" s="41"/>
      <c r="Q7" s="41"/>
      <c r="R7" s="41"/>
      <c r="S7" s="41"/>
      <c r="T7" s="41"/>
      <c r="U7" s="41"/>
      <c r="V7" s="41"/>
      <c r="W7" s="49"/>
    </row>
    <row r="8" ht="63.75" customHeight="1" s="32">
      <c r="A8" s="39" t="inlineStr">
        <is>
          <t>behemoth_mk2</t>
        </is>
      </c>
      <c r="B8" s="39" t="inlineStr">
        <is>
          <t>Behemoth Mk.II · Behemoth nâng cấp</t>
        </is>
      </c>
      <c r="C8" s="39" t="inlineStr">
        <is>
          <t>bản nâng cấp của Varga sau khi Behemoth gục: pháo chính, hai cao xạ và hệ thống bảo vệ chủ động bắn hạ tên lửa. mặt trước giáp cấp 4 dưới lớp băng; hông và sau mỏng hơn nhiều.</t>
        </is>
      </c>
      <c r="D8" s="39" t="inlineStr">
        <is>
          <t>Dựa trên: Object 279 (1959), giáp composite, APS và cảm biến hiện đại · Baneblade (Warhammer 40,000) — ước đoán: Behemoth đời hai. Kích thước hiện 18.0 × 10.7 × 7.7 m; boss chủ lực ×1,3–1,5 so với mẫu, mini boss nhỏ hơn boss chủ lực cùng dòng; bộ phận phá được (tháp, xích, động cơ) phải tách thành khối riêng dễ nhìn; có bản vỡ cho từng bộ phận; vạch màu tướng sở hữu.</t>
        </is>
      </c>
      <c r="E8" s="39" t="inlineStr">
        <is>
          <t>Mini</t>
        </is>
      </c>
      <c r="F8" s="39" t="inlineStr">
        <is>
          <t>6</t>
        </is>
      </c>
      <c r="G8" s="39" t="n"/>
      <c r="H8" s="42" t="n">
        <v>6942</v>
      </c>
      <c r="I8" s="39" t="inlineStr">
        <is>
          <t>8550–11400</t>
        </is>
      </c>
      <c r="J8" s="39" t="inlineStr">
        <is>
          <t>5/3/2/2</t>
        </is>
      </c>
      <c r="K8" s="42" t="n">
        <v>2.4</v>
      </c>
      <c r="L8" s="42" t="n">
        <v>50</v>
      </c>
      <c r="M8" s="42" t="n">
        <v>276</v>
      </c>
      <c r="N8" s="42" t="n">
        <v>156</v>
      </c>
      <c r="O8" s="42" t="n">
        <v>495</v>
      </c>
      <c r="P8" s="39" t="inlineStr">
        <is>
          <t>Object 279 (1959), giáp composite, APS và cảm biến hiện đại · Baneblade (Warhammer 40,000) — ước đoán: Behemoth đời hai</t>
        </is>
      </c>
      <c r="Q8" s="39" t="inlineStr">
        <is>
          <t>giáp 0, giáp 1, giáp 2, giáp 3, trên không, công trình</t>
        </is>
      </c>
      <c r="R8" s="39" t="inlineStr">
        <is>
          <t>nổ mạnh, đánh nóc</t>
        </is>
      </c>
      <c r="S8" s="39" t="inlineStr">
        <is>
          <t>bản nâng cấp của Varga sau khi Behemoth gục: pháo chính, hai cao xạ và hệ thống bảo vệ chủ động bắn hạ tên lửa.</t>
        </is>
      </c>
      <c r="T8" s="39" t="inlineStr">
        <is>
          <t>2A65 152 mm (twin) [Nổ mạnh, xuyên 3, đạn pháo nổ mạnh nổ lan] 320/phát · loạt 2, hồi 8.93 s · tầm 40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t>
        </is>
      </c>
      <c r="U8" s="39" t="inlineStr">
        <is>
          <t>Giữ.</t>
        </is>
      </c>
      <c r="V8" s="39" t="inlineStr">
        <is>
          <t>Ổn.</t>
        </is>
      </c>
      <c r="W8" s="49" t="inlineStr">
        <is>
          <t>Thấp</t>
        </is>
      </c>
    </row>
    <row r="9" ht="105.75" customHeight="1" s="32">
      <c r="A9" s="41" t="inlineStr">
        <is>
          <t>landing_hovercraft</t>
        </is>
      </c>
      <c r="B9" s="41" t="inlineStr">
        <is>
          <t>Charybdis · Tàu đệm khí đổ bộ</t>
        </is>
      </c>
      <c r="C9" s="41" t="inlineStr">
        <is>
          <t>chạy theo lộ trình dọc bờ biển; cứ 35 giây dừng lại, hạ cửa đổ bộ và thả 3–4 xe lên bờ, tối đa năm lần. Bốn pháo CIWS sáu nòng che mỗi lần đổ bộ là địch thêm quân; nó to và xoay chậm, đánh trúng nó trên đường tới là cắt bớt số lần đổ bộ.</t>
        </is>
      </c>
      <c r="D9" s="41" t="inlineStr">
        <is>
          <t>Dựa trên: LCAC, Zubr (Project 1232.2), A-22 Ogon 140 mm, AK-630 — Tàu đổ bộ đệm khí. Kích thước hiện 24.9 × 13.5 × 7.7 m; boss chủ lực ×1,3–1,5 so với mẫu, mini boss nhỏ hơn boss chủ lực cùng dòng; bộ phận phá được (tháp, xích, động cơ) phải tách thành khối riêng dễ nhìn; có bản vỡ cho từng bộ phận; vạch màu tướng sở hữu.</t>
        </is>
      </c>
      <c r="E9" s="41" t="inlineStr">
        <is>
          <t>Mini</t>
        </is>
      </c>
      <c r="F9" s="41" t="inlineStr">
        <is>
          <t>6</t>
        </is>
      </c>
      <c r="G9" s="41" t="n"/>
      <c r="H9" s="43" t="n">
        <v>7293</v>
      </c>
      <c r="I9" s="41" t="inlineStr">
        <is>
          <t>8550–11400</t>
        </is>
      </c>
      <c r="J9" s="41" t="inlineStr">
        <is>
          <t>3/2/1/1</t>
        </is>
      </c>
      <c r="K9" s="43" t="n">
        <v>5.5</v>
      </c>
      <c r="L9" s="43" t="n">
        <v>60</v>
      </c>
      <c r="M9" s="43" t="n">
        <v>106</v>
      </c>
      <c r="N9" s="43" t="n">
        <v>84</v>
      </c>
      <c r="O9" s="43" t="n">
        <v>20</v>
      </c>
      <c r="P9" s="41" t="inlineStr">
        <is>
          <t>LCAC, Zubr (Project 1232.2), A-22 Ogon 140 mm, AK-630 — Tàu đổ bộ đệm khí</t>
        </is>
      </c>
      <c r="Q9" s="41" t="inlineStr">
        <is>
          <t>giáp 0, giáp 1, giáp 2, công trình</t>
        </is>
      </c>
      <c r="R9" s="41" t="inlineStr">
        <is>
          <t>nổ mạnh, đánh nóc, nổ lõm, pháo xe tăng</t>
        </is>
      </c>
      <c r="S9" s="41" t="inlineStr">
        <is>
          <t>chạy theo lộ trình dọc bờ biển; cứ 35 giây dừng lại, hạ cửa đổ bộ và thả 3–4 xe lên bờ, tối đa năm lần. Bốn pháo CIWS sáu nòng che</t>
        </is>
      </c>
      <c r="T9" s="41" t="inlineStr">
        <is>
          <t>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Trên không
A-22 Ogon 140 mm [Nổ mạnh, xuyên 2, rốc-két đánh nóc] nổ lan/phát · 65 · tầm loạt 11, hồi 22 s · 55 m (tối thiểu 12)
A-22 Ogon 140 mm [Nổ mạnh, xuyên 2, rốc-két đánh nóc] nổ lan/phát · 65 · tầm loạt 11, hồi 22 s · 55 m (tối thiểu 12)</t>
        </is>
      </c>
      <c r="U9" s="41" t="inlineStr">
        <is>
          <t>AK-630 như hover_gunboat.</t>
        </is>
      </c>
      <c r="V9" s="41" t="inlineStr">
        <is>
          <t>Ổn.</t>
        </is>
      </c>
      <c r="W9" s="49" t="inlineStr">
        <is>
          <t>Thấp</t>
        </is>
      </c>
    </row>
    <row r="10" ht="42.75" customHeight="1" s="32">
      <c r="A10" s="39" t="inlineStr">
        <is>
          <t>argus</t>
        </is>
      </c>
      <c r="B10" s="39" t="inlineStr">
        <is>
          <t>Argus · Khí cầu trinh sát</t>
        </is>
      </c>
      <c r="C10" s="39" t="inlineStr">
        <is>
          <t>khi nó còn, pháo binh địch tản mát chỉ khoảng một nửa; đòn lớn gọi một loạt pháo vào vùng có cảnh báo. Cao xạ và radar. chậm và to; chỉ phòng không và tiêm kích bắn tới.</t>
        </is>
      </c>
      <c r="D10" s="39" t="inlineStr">
        <is>
          <t>Dựa trên: JLENS (khí cầu radar neo) · Kirov Airship (Red Alert 2) — ước đoán: biến thể của khí cầu chỉ huy, khí cầu radar neo. Kích thước hiện 35.0 × 24.2 × 12.4 m; boss chủ lực ×1,3–1,5 so với mẫu, mini boss nhỏ hơn boss chủ lực cùng dòng; bộ phận phá được (tháp, xích, động cơ) phải tách thành khối riêng dễ nhìn; có bản vỡ cho từng bộ phận; vạch màu tướng sở hữu.</t>
        </is>
      </c>
      <c r="E10" s="39" t="inlineStr">
        <is>
          <t>Mini</t>
        </is>
      </c>
      <c r="F10" s="39" t="inlineStr">
        <is>
          <t>10</t>
        </is>
      </c>
      <c r="G10" s="39" t="inlineStr">
        <is>
          <t>Có</t>
        </is>
      </c>
      <c r="H10" s="42" t="n">
        <v>7410</v>
      </c>
      <c r="I10" s="39" t="inlineStr">
        <is>
          <t>10350–13800</t>
        </is>
      </c>
      <c r="J10" s="39" t="inlineStr">
        <is>
          <t>cấp 2 (Vừa)</t>
        </is>
      </c>
      <c r="K10" s="42" t="n">
        <v>4.5</v>
      </c>
      <c r="L10" s="42" t="n">
        <v>80</v>
      </c>
      <c r="M10" s="42" t="n">
        <v>128</v>
      </c>
      <c r="N10" s="42" t="n">
        <v>64</v>
      </c>
      <c r="O10" s="42" t="n">
        <v>332</v>
      </c>
      <c r="P10" s="39" t="inlineStr">
        <is>
          <t>JLENS (khí cầu radar neo) · Kirov Airship (Red Alert 2) — ước đoán: biến thể của khí cầu chỉ huy, khí cầu radar neo</t>
        </is>
      </c>
      <c r="Q10" s="39" t="inlineStr">
        <is>
          <t>giáp 0, trên không</t>
        </is>
      </c>
      <c r="R10" s="39" t="inlineStr">
        <is>
          <t>mảnh, năng lượng</t>
        </is>
      </c>
      <c r="S10" s="39" t="inlineStr">
        <is>
          <t>khi nó còn, pháo binh địch tản mát chỉ khoảng một nửa; đòn lớn gọi một loạt pháo vào vùng có cảnh báo. Cao xạ và radar.</t>
        </is>
      </c>
      <c r="T10" s="39" t="inlineStr">
        <is>
          <t>S-60 57 mm [Mảnh, xuyên 2, đạn nổ trên không nổ lan] 70/phát · băng 8 viên, 2 viên/s, thay 0.88 s · tầm 48 m · Tất cả
S-60 57 mm [Mảnh, xuyên 2, đạn nổ trên không nổ lan] 70/phát · băng 8 viên, 2 viên/s, thay 0.88 s · tầm 48 m · Tất cả</t>
        </is>
      </c>
      <c r="U10" s="39" t="inlineStr">
        <is>
          <t>Giữ.</t>
        </is>
      </c>
      <c r="V10" s="39" t="inlineStr">
        <is>
          <t>Ổn.</t>
        </is>
      </c>
      <c r="W10" s="49" t="inlineStr">
        <is>
          <t>Thấp</t>
        </is>
      </c>
    </row>
    <row r="11" ht="53.25" customHeight="1" s="32">
      <c r="A11" s="41" t="inlineStr">
        <is>
          <t>ixion</t>
        </is>
      </c>
      <c r="B11" s="41" t="inlineStr">
        <is>
          <t>Ixion · Xe bánh khổng lồ</t>
        </is>
      </c>
      <c r="C11" s="41" t="inlineStr">
        <is>
          <t>xe tải mỏ bọc thép BelAZ-75710 chạy thẳng khoảng 7 m/s, xoay rất chậm; tháp pháo 125 mm hàn trên thùng tự đổi đạn nổ mạnh (lõi 5 m, rìa 10 m) và đạn xuyên, khoảng 780 mỗi 2 giây; cứ khoảng 10 giây lao nghiền theo đường báo trước 2 giây, khoảng 900 và choáng 1 giây; hai súng máy 12,7 mm trên nóc; khi rẽ đổ ra sau dải sáu quả mìn tồn tại 20 giây. Giáp trước 4, hông 3, sau và nóc 2; bốn lốp sau giáp 1 là điểm yếu; phá một lốp trước thì cú lao lệch và dừng.</t>
        </is>
      </c>
      <c r="D11" s="41" t="inlineStr">
        <is>
          <t>Dựa trên: BelAZ-75710 (xe tải mỏ lớn nhất thế giới), tháp pháo T-72 125 mm hàn trên thùng — Xe tải mỏ bọc thép của Thorne ở Deepcut Mine: ca-bin lệch trái, sáu bánh lớn, lưỡi húc chữ V. Kích thước hiện 26.0 × 12.0 × 10.0 m; boss chủ lực ×1,3–1,5 so với mẫu, mini boss nhỏ hơn boss chủ lực cùng dòng; bộ phận phá được (tháp, xích, động cơ) phải tách thành khối riêng dễ nhìn; có bản vỡ cho từng bộ phận; vạch màu tướng sở hữu.</t>
        </is>
      </c>
      <c r="E11" s="41" t="inlineStr">
        <is>
          <t>Mini</t>
        </is>
      </c>
      <c r="F11" s="41" t="inlineStr">
        <is>
          <t>8</t>
        </is>
      </c>
      <c r="G11" s="41" t="n"/>
      <c r="H11" s="43" t="n">
        <v>7574</v>
      </c>
      <c r="I11" s="41" t="inlineStr">
        <is>
          <t>9450–12600</t>
        </is>
      </c>
      <c r="J11" s="41" t="inlineStr">
        <is>
          <t>3/2/1/1</t>
        </is>
      </c>
      <c r="K11" s="43" t="n">
        <v>6.5</v>
      </c>
      <c r="L11" s="43" t="n">
        <v>50</v>
      </c>
      <c r="M11" s="43" t="n">
        <v>69</v>
      </c>
      <c r="N11" s="43" t="n">
        <v>49</v>
      </c>
      <c r="O11" s="43" t="n">
        <v>0</v>
      </c>
      <c r="P11" s="41" t="inlineStr">
        <is>
          <t>BelAZ-75710 (xe tải mỏ lớn nhất thế giới), tháp pháo T-72 125 mm hàn trên thùng — Xe tải mỏ bọc thép của Thorne ở Deepcut Mine: ca-bin lệch trái, sáu bánh lớn, lưỡi húc chữ V</t>
        </is>
      </c>
      <c r="Q11" s="41" t="inlineStr">
        <is>
          <t>giáp 0, giáp 1, giáp 2, giáp 3, công trình</t>
        </is>
      </c>
      <c r="R11" s="41" t="inlineStr">
        <is>
          <t>nổ mạnh, đánh nóc, nổ lõm, pháo xe tăng</t>
        </is>
      </c>
      <c r="S11" s="41" t="inlineStr">
        <is>
          <t>xe tải mỏ bọc thép BelAZ-75710 chạy thẳng khoảng 7 m/s, xoay rất chậm; tháp pháo 125 mm hàn trên thùng tự đổi đạn nổ mạnh (lõi 5 m, rìa 10 m) và đạn xuyên, khoảng 780 mỗi 2 giây; cứ khoảng 10 giây lao nghiền theo đường báo trước 2 giây, khoảng 900 và choáng 1 giây; hai súng máy 12,7 mm trên nóc; khi rẽ đổ ra sau dải sáu quả mìn tồn tại 20 giây. Giáp trước 4, hông 3, sau và nóc 2; bốn lốp sau giáp 1 là điểm yếu; phá một lốp trước thì cú lao lệch và dừng.</t>
        </is>
      </c>
      <c r="T11" s="41" t="inlineStr">
        <is>
          <t>2A70 100/76 mm [Động năng, xuyên 3, đạn pháo động năng nổ lan] 120/phát · hồi 2.08 s · tầm 34 m · Mặt đất</t>
        </is>
      </c>
      <c r="U11" s="41" t="inlineStr">
        <is>
          <t>Giữ.</t>
        </is>
      </c>
      <c r="V11" s="41" t="inlineStr">
        <is>
          <t>Ổn (vũ khí chính là thân xe nghiền).</t>
        </is>
      </c>
      <c r="W11" s="49" t="inlineStr">
        <is>
          <t>Thấp</t>
        </is>
      </c>
    </row>
    <row r="12" ht="84.75" customHeight="1" s="32">
      <c r="A12" s="39"/>
      <c r="B12" s="39"/>
      <c r="C12" s="39"/>
      <c r="D12" s="39"/>
      <c r="E12" s="39"/>
      <c r="F12" s="39"/>
      <c r="G12" s="39"/>
      <c r="H12" s="42"/>
      <c r="I12" s="39"/>
      <c r="J12" s="39"/>
      <c r="K12" s="42"/>
      <c r="L12" s="42"/>
      <c r="M12" s="42"/>
      <c r="N12" s="42"/>
      <c r="O12" s="42"/>
      <c r="P12" s="39"/>
      <c r="Q12" s="39"/>
      <c r="R12" s="39"/>
      <c r="S12" s="39"/>
      <c r="T12" s="39"/>
      <c r="U12" s="39"/>
      <c r="V12" s="39"/>
      <c r="W12" s="49"/>
    </row>
    <row r="13" ht="42.75" customHeight="1" s="32">
      <c r="A13" s="41"/>
      <c r="B13" s="41"/>
      <c r="C13" s="41"/>
      <c r="D13" s="41"/>
      <c r="E13" s="41"/>
      <c r="F13" s="41"/>
      <c r="G13" s="41"/>
      <c r="H13" s="43"/>
      <c r="I13" s="41"/>
      <c r="J13" s="41"/>
      <c r="K13" s="43"/>
      <c r="L13" s="43"/>
      <c r="M13" s="43"/>
      <c r="N13" s="43"/>
      <c r="O13" s="43"/>
      <c r="P13" s="41"/>
      <c r="Q13" s="41"/>
      <c r="R13" s="41"/>
      <c r="S13" s="41"/>
      <c r="T13" s="41"/>
      <c r="U13" s="41"/>
      <c r="V13" s="41"/>
      <c r="W13" s="47"/>
    </row>
    <row r="14" ht="42.75" customHeight="1" s="32">
      <c r="A14" s="39"/>
      <c r="B14" s="39"/>
      <c r="C14" s="39"/>
      <c r="D14" s="39"/>
      <c r="E14" s="39"/>
      <c r="F14" s="39"/>
      <c r="G14" s="39"/>
      <c r="H14" s="42"/>
      <c r="I14" s="39"/>
      <c r="J14" s="39"/>
      <c r="K14" s="42"/>
      <c r="L14" s="42"/>
      <c r="M14" s="42"/>
      <c r="N14" s="42"/>
      <c r="O14" s="42"/>
      <c r="P14" s="39"/>
      <c r="Q14" s="39"/>
      <c r="R14" s="39"/>
      <c r="S14" s="39"/>
      <c r="T14" s="39"/>
      <c r="U14" s="39"/>
      <c r="V14" s="39"/>
      <c r="W14" s="49"/>
    </row>
    <row r="15" ht="84.75" customHeight="1" s="32">
      <c r="A15" s="41"/>
      <c r="B15" s="41"/>
      <c r="C15" s="41"/>
      <c r="D15" s="41"/>
      <c r="E15" s="41"/>
      <c r="F15" s="41"/>
      <c r="G15" s="41"/>
      <c r="H15" s="43"/>
      <c r="I15" s="41"/>
      <c r="J15" s="41"/>
      <c r="K15" s="43"/>
      <c r="L15" s="43"/>
      <c r="M15" s="43"/>
      <c r="N15" s="43"/>
      <c r="O15" s="43"/>
      <c r="P15" s="41"/>
      <c r="Q15" s="41"/>
      <c r="R15" s="41"/>
      <c r="S15" s="41"/>
      <c r="T15" s="41"/>
      <c r="U15" s="41"/>
      <c r="V15" s="41"/>
      <c r="W15" s="49"/>
    </row>
    <row r="16" ht="53.25" customHeight="1" s="32">
      <c r="A16" s="39" t="inlineStr">
        <is>
          <t>icarus_mk0</t>
        </is>
      </c>
      <c r="B16" s="39" t="inlineStr">
        <is>
          <t>Icarus Mk.0 · Phi thuyền nguyên mẫu</t>
        </is>
      </c>
      <c r="C16" s="39" t="inlineStr">
        <is>
          <t>không lên quỹ đạo: đổi tầng cao và thấp theo lịch cố định. Một tháp la-de và một khoang đổ bộ; liên kết vệ tinh gọi ba thanh ở tầng cao chỉ phòng không tầm xa và tiêm kích bắn tới; ở tầng thấp mọi vũ khí phòng không đều tới.</t>
        </is>
      </c>
      <c r="D16" s="39" t="inlineStr">
        <is>
          <t>Dựa trên: Polyus / Skif-DM, ISS, Hubble · SOLG (Ace Combat 5), The Expanse — Bản đầu của Icarus (trạm vũ khí quỹ đạo, nhỏ hơn). Kích thước hiện 36.0 × 18.1 × 13.0 m; boss chủ lực ×1,3–1,5 so với mẫu, mini boss nhỏ hơn boss chủ lực cùng dòng; bộ phận phá được (tháp, xích, động cơ) phải tách thành khối riêng dễ nhìn; có bản vỡ cho từng bộ phận; vạch màu tướng sở hữu.</t>
        </is>
      </c>
      <c r="E16" s="39" t="inlineStr">
        <is>
          <t>Mini</t>
        </is>
      </c>
      <c r="F16" s="39" t="inlineStr">
        <is>
          <t>10</t>
        </is>
      </c>
      <c r="G16" s="39" t="inlineStr">
        <is>
          <t>Có</t>
        </is>
      </c>
      <c r="H16" s="42" t="n">
        <v>8696</v>
      </c>
      <c r="I16" s="39" t="inlineStr">
        <is>
          <t>10350–13800</t>
        </is>
      </c>
      <c r="J16" s="39" t="inlineStr">
        <is>
          <t>cấp 4 (Rất dày)</t>
        </is>
      </c>
      <c r="K16" s="42" t="n">
        <v>5</v>
      </c>
      <c r="L16" s="42" t="n">
        <v>80</v>
      </c>
      <c r="M16" s="42" t="n">
        <v>108</v>
      </c>
      <c r="N16" s="42" t="n">
        <v>90</v>
      </c>
      <c r="O16" s="42" t="n">
        <v>0</v>
      </c>
      <c r="P16" s="39" t="inlineStr">
        <is>
          <t>Polyus / Skif-DM, ISS, Hubble · SOLG (Ace Combat 5), The Expanse — Bản đầu của Icarus (trạm vũ khí quỹ đạo, nhỏ hơn)</t>
        </is>
      </c>
      <c r="Q16" s="39" t="inlineStr">
        <is>
          <t>giáp 0, giáp 1, giáp 2, giáp 3, giáp 4, công trình</t>
        </is>
      </c>
      <c r="R16" s="39" t="n"/>
      <c r="S16" s="39" t="inlineStr">
        <is>
          <t>không lên quỹ đạo: đổi tầng cao và thấp theo lịch cố định. Một tháp la-de và một khoang đổ bộ; liên kết vệ tinh gọi ba thanh</t>
        </is>
      </c>
      <c r="T16" s="39" t="inlineStr">
        <is>
          <t>laser (150 kW) 150 mm [Năng lượng, xuyên 4, năng lượng nổ lan] 9/phát · hồi 0.1 s · tầm 36 m · Mặt đất</t>
        </is>
      </c>
      <c r="U16" s="39" t="inlineStr">
        <is>
          <t>Giữ.</t>
        </is>
      </c>
      <c r="V16" s="39" t="inlineStr">
        <is>
          <t>Ổn.</t>
        </is>
      </c>
      <c r="W16" s="49" t="inlineStr">
        <is>
          <t>Thấp</t>
        </is>
      </c>
    </row>
    <row r="17" ht="53.25" customHeight="1" s="32">
      <c r="A17" s="41" t="inlineStr">
        <is>
          <t>behemoth_inferno</t>
        </is>
      </c>
      <c r="B17" s="41" t="inlineStr">
        <is>
          <t>Inferno · Behemoth phun lửa</t>
        </is>
      </c>
      <c r="C17" s="41" t="inlineStr">
        <is>
          <t>hai súng phun lửa lớn (20 m) đốt cháy mặt đất; hộp rốc-két nhiệt áp đánh tầm 10–46 m; còn 70% máu gọi 2 tăng tinh nhuệ. thiêu chảy xe nhẹ và xe tăng tới gần; yếu trước máy bay vì chỉ có một khẩu pháo cao xạ.</t>
        </is>
      </c>
      <c r="D17" s="41" t="inlineStr">
        <is>
          <t>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E17" s="41" t="inlineStr">
        <is>
          <t>Mini</t>
        </is>
      </c>
      <c r="F17" s="41" t="inlineStr">
        <is>
          <t>2</t>
        </is>
      </c>
      <c r="G17" s="41" t="n"/>
      <c r="H17" s="43" t="n">
        <v>8836</v>
      </c>
      <c r="I17" s="41" t="inlineStr">
        <is>
          <t>5850–7800</t>
        </is>
      </c>
      <c r="J17" s="41" t="inlineStr">
        <is>
          <t>5/3/2/2</t>
        </is>
      </c>
      <c r="K17" s="43" t="n">
        <v>2.9</v>
      </c>
      <c r="L17" s="43" t="n">
        <v>46</v>
      </c>
      <c r="M17" s="43" t="n">
        <v>402</v>
      </c>
      <c r="N17" s="43" t="n">
        <v>222</v>
      </c>
      <c r="O17" s="43" t="n">
        <v>0</v>
      </c>
      <c r="P17" s="41" t="inlineStr">
        <is>
          <t>TOS-1A, Object 279 (1959) · Baneblade (Warhammer 40,000) — ước đoán: Behemoth phun lửa, thùng nhiên liệu đỏ</t>
        </is>
      </c>
      <c r="Q17" s="41" t="inlineStr">
        <is>
          <t>giáp 0, giáp 1, giáp 2, giáp 3, công trình</t>
        </is>
      </c>
      <c r="R17" s="41" t="inlineStr">
        <is>
          <t>nổ mạnh, đánh nóc</t>
        </is>
      </c>
      <c r="S17" s="41" t="inlineStr">
        <is>
          <t>hai súng phun lửa lớn (20 m) đốt cháy mặt đất; hộp rốc-két nhiệt áp đánh tầm 10–46 m; còn 70% máu gọi 2 tăng tinh nhuệ.</t>
        </is>
      </c>
      <c r="T17" s="41" t="inlineStr">
        <is>
          <t>flamethrower (heavy) [Lửa, xuyên 2, lửa nổ lan] 30/phát · hồi 0.25 s · tầm 20 m · Mặt đất
TOS-1A 220 mm thermobaric [Nổ mạnh, xuyên 3, rốc-két (cỡ lớn) đánh nóc] nổ lan/phát · Nhiệt áp · tầm 97 · loạt 6, hồi 12.51 s
flamethrower (heavy) [Lửa, xuyên 2, lửa nổ lan] 30/phát · hồi 0.25 s · tầm 20 m · Mặt đất</t>
        </is>
      </c>
      <c r="U17" s="41" t="inlineStr">
        <is>
          <t>Giữ.</t>
        </is>
      </c>
      <c r="V17" s="41" t="inlineStr">
        <is>
          <t>Ổn.</t>
        </is>
      </c>
      <c r="W17" s="49" t="inlineStr">
        <is>
          <t>Thấp</t>
        </is>
      </c>
    </row>
    <row r="18" ht="63.75" customHeight="1" s="32">
      <c r="A18" s="39" t="inlineStr">
        <is>
          <t>fenrir</t>
        </is>
      </c>
      <c r="B18" s="39" t="inlineStr">
        <is>
          <t>Fenrir · Xe tiên phong</t>
        </is>
      </c>
      <c r="C18" s="39" t="inlineStr">
        <is>
          <t>nhanh: lao vào, xả hai hộp rốc-két rồi rút; cao xạ đuổi trực thăng. nhẹ hơn Jötunn nhiều; không giữ trận địa được.</t>
        </is>
      </c>
      <c r="D18" s="39" t="inlineStr">
        <is>
          <t>Dựa trên: NASA Crawler-Transporter, Kharkovchanka (1959) · Sandcrawler (Star Wars) — ước đoán: biến thể của pháo đài di động. Kích thước hiện 16.2 × 9.1 × 8.3 m; boss chủ lực ×1,3–1,5 so với mẫu, mini boss nhỏ hơn boss chủ lực cùng dòng; bộ phận phá được (tháp, xích, động cơ) phải tách thành khối riêng dễ nhìn; có bản vỡ cho từng bộ phận; vạch màu tướng sở hữu.</t>
        </is>
      </c>
      <c r="E18" s="39" t="inlineStr">
        <is>
          <t>Mini</t>
        </is>
      </c>
      <c r="F18" s="39" t="inlineStr">
        <is>
          <t>3</t>
        </is>
      </c>
      <c r="G18" s="39" t="n"/>
      <c r="H18" s="42" t="n">
        <v>9163</v>
      </c>
      <c r="I18" s="39" t="inlineStr">
        <is>
          <t>6750–9000</t>
        </is>
      </c>
      <c r="J18" s="39" t="inlineStr">
        <is>
          <t>5/4/3/2</t>
        </is>
      </c>
      <c r="K18" s="42" t="n">
        <v>4.4</v>
      </c>
      <c r="L18" s="42" t="n">
        <v>60</v>
      </c>
      <c r="M18" s="42" t="n">
        <v>271</v>
      </c>
      <c r="N18" s="42" t="n">
        <v>135</v>
      </c>
      <c r="O18" s="42" t="n">
        <v>248</v>
      </c>
      <c r="P18" s="39" t="inlineStr">
        <is>
          <t>NASA Crawler-Transporter, Kharkovchanka (1959) · Sandcrawler (Star Wars) — ước đoán: biến thể của pháo đài di động</t>
        </is>
      </c>
      <c r="Q18" s="39" t="inlineStr">
        <is>
          <t>giáp 0, giáp 1, giáp 2, trên không, công trình</t>
        </is>
      </c>
      <c r="R18" s="39" t="inlineStr">
        <is>
          <t>nổ mạnh, đánh nóc</t>
        </is>
      </c>
      <c r="S18" s="39" t="inlineStr">
        <is>
          <t>nhanh: lao vào, xả hai hộp rốc-két rồi rút; cao xạ đuổi trực thăng.</t>
        </is>
      </c>
      <c r="T18" s="39" t="inlineStr">
        <is>
          <t>BM-21 Grad 122 mm [Nổ mạnh, xuyên 2, rốc-két nổ lan] 57/phát · loạt 13, hồi 2.44 s · tầm 45 m · Mặt đất
BM-21 Grad 122 mm [Nổ mạnh, xuyên 2, rốc-két nổ lan] 57/phát · loạt 13, hồi 2.44 s · tầm 45 m · Mặt đất
Oerlikon 35 mm (twin) [Mảnh, xuyên 2, đạn nổ trên không nổ lan] 25/phát · băng 41 viên, 20 viên/s, thay 3.38 s · tầm 40 m · Tất cả</t>
        </is>
      </c>
      <c r="U18" s="39" t="inlineStr">
        <is>
          <t>• Giáp: trước 4</t>
        </is>
      </c>
      <c r="V18" s="39" t="inlineStr">
        <is>
          <t>• Giáp: Như trên.</t>
        </is>
      </c>
      <c r="W18" s="49" t="inlineStr">
        <is>
          <t>Thấp</t>
        </is>
      </c>
    </row>
    <row r="19" ht="42.75" customHeight="1" s="32">
      <c r="A19" s="41" t="inlineStr">
        <is>
          <t>daedalus</t>
        </is>
      </c>
      <c r="B19" s="41" t="inlineStr">
        <is>
          <t>Daedalus · Tàu đổ bộ quỹ đạo</t>
        </is>
      </c>
      <c r="C19" s="41" t="inlineStr">
        <is>
          <t>khoảng 10 giây trên quỹ đạo (không bắn tới được), sau đó đổi tầng cao và thấp theo lịch cố định, không lên lại quỹ đạo. Ba cửa thả tự nó bắn yếu hơn Icarus; thân trên cấp 3, bụng 2. Tháp la-de phòng thủ chặn tên lửa bắn vào nó.</t>
        </is>
      </c>
      <c r="D19" s="41" t="inlineStr">
        <is>
          <t>Dựa trên: Acclamator-class (Star Wars: Attack of the Clones) — Tàu đổ bộ tấn công của Aurel. Kích thước hiện 60.0 × 33.0 × 20.7 m; boss chủ lực ×1,3–1,5 so với mẫu, mini boss nhỏ hơn boss chủ lực cùng dòng; bộ phận phá được (tháp, xích, động cơ) phải tách thành khối riêng dễ nhìn; có bản vỡ cho từng bộ phận; vạch màu tướng sở hữu.</t>
        </is>
      </c>
      <c r="E19" s="41" t="inlineStr">
        <is>
          <t>Chủ lực</t>
        </is>
      </c>
      <c r="F19" s="41" t="inlineStr">
        <is>
          <t>11</t>
        </is>
      </c>
      <c r="G19" s="41" t="inlineStr">
        <is>
          <t>Có</t>
        </is>
      </c>
      <c r="H19" s="43" t="n">
        <v>9435</v>
      </c>
      <c r="I19" s="43" t="n">
        <v>24000</v>
      </c>
      <c r="J19" s="41" t="inlineStr">
        <is>
          <t>cấp 3 (Dày)</t>
        </is>
      </c>
      <c r="K19" s="43" t="n">
        <v>4.5</v>
      </c>
      <c r="L19" s="43" t="n">
        <v>80</v>
      </c>
      <c r="M19" s="43" t="n">
        <v>132</v>
      </c>
      <c r="N19" s="43" t="n">
        <v>66</v>
      </c>
      <c r="O19" s="43" t="n">
        <v>0</v>
      </c>
      <c r="P19" s="41" t="inlineStr">
        <is>
          <t>Acclamator-class (Star Wars: Attack of the Clones) — Tàu đổ bộ tấn công của Aurel</t>
        </is>
      </c>
      <c r="Q19" s="41" t="inlineStr">
        <is>
          <t>giáp 0, giáp 1, giáp 2</t>
        </is>
      </c>
      <c r="R19" s="41" t="inlineStr">
        <is>
          <t>mảnh, năng lượng</t>
        </is>
      </c>
      <c r="S19" s="41" t="inlineStr">
        <is>
          <t>khoảng 10 giây trên quỹ đạo (không bắn tới được), sau đó đổi tầng cao và thấp theo lịch cố định, không lên lại quỹ đạo. Ba cửa thả</t>
        </is>
      </c>
      <c r="T19" s="41" t="inlineStr">
        <is>
          <t>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t>
        </is>
      </c>
      <c r="U19" s="41" t="inlineStr">
        <is>
          <t>• Máu, vũ khí: ~24.000 · thêm 2 tháp laser phòng thủ điểm và 2 pháo 57 mm dưới bụng</t>
        </is>
      </c>
      <c r="V19" s="41" t="inlineStr">
        <is>
          <t>• Máu, vũ khí: Boss chủ lực chương 11 yếu hơn nhiều mini boss.</t>
        </is>
      </c>
      <c r="W19" s="47" t="inlineStr">
        <is>
          <t>Cao</t>
        </is>
      </c>
    </row>
    <row r="20" ht="105.75" customHeight="1" s="32">
      <c r="A20" s="39" t="inlineStr">
        <is>
          <t>mega_gunship</t>
        </is>
      </c>
      <c r="B20" s="39" t="inlineStr">
        <is>
          <t>Harpy · Trực thăng khổng lồ</t>
        </is>
      </c>
      <c r="C20" s="39" t="inlineStr">
        <is>
          <t>rốc-két, hai pháo 30 mm, cặp súng máy nhiều nòng và tên lửa; thả mồi nhiệt liên tục, hộ tống là 2 trực thăng tấn công và 1 trực pháo xe tăng và pháo binh không chạm được nó: chỉ phòng không và tiêm kích gây sát thương.</t>
        </is>
      </c>
      <c r="D20" s="39" t="inlineStr">
        <is>
          <t>Dựa trên: CH-47 Chinook (cỡ khung), ACH-47A 'Guns-A-Go-Go' — ước đoán (ACH-47A): trực thăng hai rô-to vũ trang hạng nặng. Kích thước hiện 23.6 × 15.3 × 7.0 m; boss chủ lực ×1,3–1,5 so với mẫu, mini boss nhỏ hơn boss chủ lực cùng dòng; bộ phận phá được (tháp, xích, động cơ) phải tách thành khối riêng dễ nhìn; có bản vỡ cho từng bộ phận; vạch màu tướng sở hữu.</t>
        </is>
      </c>
      <c r="E20" s="39" t="inlineStr">
        <is>
          <t>Mini</t>
        </is>
      </c>
      <c r="F20" s="39" t="inlineStr">
        <is>
          <t>3</t>
        </is>
      </c>
      <c r="G20" s="39" t="inlineStr">
        <is>
          <t>Có</t>
        </is>
      </c>
      <c r="H20" s="42" t="n">
        <v>9677</v>
      </c>
      <c r="I20" s="39" t="inlineStr">
        <is>
          <t>6750–9000</t>
        </is>
      </c>
      <c r="J20" s="39" t="inlineStr">
        <is>
          <t>cấp 2 (Vừa)</t>
        </is>
      </c>
      <c r="K20" s="42" t="n">
        <v>6</v>
      </c>
      <c r="L20" s="42" t="n">
        <v>55</v>
      </c>
      <c r="M20" s="42" t="n">
        <v>209</v>
      </c>
      <c r="N20" s="42" t="n">
        <v>100</v>
      </c>
      <c r="O20" s="42" t="n">
        <v>35</v>
      </c>
      <c r="P20" s="39" t="inlineStr">
        <is>
          <t>CH-47 Chinook (cỡ khung), ACH-47A 'Guns-A-Go-Go' — ước đoán (ACH-47A): trực thăng hai rô-to vũ trang hạng nặng</t>
        </is>
      </c>
      <c r="Q20" s="39" t="inlineStr">
        <is>
          <t>giáp 0, giáp 1, giáp 2, công trình</t>
        </is>
      </c>
      <c r="R20" s="39" t="inlineStr">
        <is>
          <t>mảnh, năng lượng</t>
        </is>
      </c>
      <c r="S20" s="39" t="inlineStr">
        <is>
          <t>rốc-két, hai pháo 30 mm, cặp súng máy nhiều nòng và tên lửa; thả mồi nhiệt liên tục, hộ tống là 2 trực thăng tấn công và 1 trực</t>
        </is>
      </c>
      <c r="T20" s="39" t="inlineStr">
        <is>
          <t>S-8 80 mm [Nổ mạnh, xuyên 2, rốc-két nổ lan] 32/phát · loạt 16, hồi 8.271 s · tầm 34 m · Mặt đất
M230 30 mm [Động năng, xuyên 2, đạn pháo động năng (pháo tự động)] 22/phát · băng 13 viên, 10 viên/s, thay 5.36 s · tầm 26 m · Tất cả
M230 30 mm [Động năng, xuyên 2, đạn pháo động năng (pháo tự động)] 22/phát · băng 13 viên, 10 viên/s, thay 5.36 s · tầm 26 m · Tất cả
GShG 7.62 mm [Động năng, xuyên 0, đạn súng] 6/phát · băng 40 viên, 58 viên/s, thay 6.09 s · tầm 24 m · Tất cả
S-8 80 mm [Nổ mạnh, xuyên 2, rốc-két nổ lan] 32/phát · loạt 16, hồi 8.271 s · tầm 34 m · Mặt đất</t>
        </is>
      </c>
      <c r="U20" s="39" t="inlineStr">
        <is>
          <t>Giữ.</t>
        </is>
      </c>
      <c r="V20" s="39" t="inlineStr">
        <is>
          <t>Ổn.</t>
        </is>
      </c>
      <c r="W20" s="49" t="inlineStr">
        <is>
          <t>Thấp</t>
        </is>
      </c>
    </row>
    <row r="21" ht="189" customHeight="1" s="32">
      <c r="A21" s="41" t="inlineStr">
        <is>
          <t>behemoth</t>
        </is>
      </c>
      <c r="B21" s="41" t="inlineStr">
        <is>
          <t>Behemoth · Quái vật thép</t>
        </is>
      </c>
      <c r="C21" s="41" t="inlineStr">
        <is>
          <t>pháo chính hai nòng (40 m), pháo 120 mm, pháo cao xạ và tên lửa bắn cả đất lẫn trời (45 m); còn 70% máu gọi 2 tăng tinh nhuệ. nghiền nát xe nhẹ và xe tăng; khắc tinh là xe diệt tăng, giáp dày khiến đạn súng máy vô dụng.</t>
        </is>
      </c>
      <c r="D21" s="41" t="inlineStr">
        <is>
          <t>Dựa trên: Object 279 (1959: bốn dải xích, thân dẹt), giáp composite, APS và cảm biến hiện đại, 2A65 152 mm · Baneblade (Warhammer 40,000) — ước đoán: 'thiết giáp hạm trên cạn' bốn cụm xích. Kích thước hiện 26.0 × 15.5 × 11.2 m; boss chủ lực ×1,3–1,5 so với mẫu, mini boss nhỏ hơn boss chủ lực cùng dòng; bộ phận phá được (tháp, xích, động cơ) phải tách thành khối riêng dễ nhìn; có bản vỡ cho từng bộ phận; vạch màu tướng sở hữu.</t>
        </is>
      </c>
      <c r="E21" s="41" t="inlineStr">
        <is>
          <t>Chủ lực</t>
        </is>
      </c>
      <c r="F21" s="41" t="inlineStr">
        <is>
          <t>2</t>
        </is>
      </c>
      <c r="G21" s="41" t="n"/>
      <c r="H21" s="43" t="n">
        <v>10115</v>
      </c>
      <c r="I21" s="43" t="n">
        <v>13000</v>
      </c>
      <c r="J21" s="41" t="inlineStr">
        <is>
          <t>5/4/3/2</t>
        </is>
      </c>
      <c r="K21" s="43" t="n">
        <v>2.4</v>
      </c>
      <c r="L21" s="43" t="n">
        <v>50</v>
      </c>
      <c r="M21" s="43" t="n">
        <v>620</v>
      </c>
      <c r="N21" s="43" t="n">
        <v>413</v>
      </c>
      <c r="O21" s="43" t="n">
        <v>495</v>
      </c>
      <c r="P21" s="41" t="inlineStr">
        <is>
          <t>Object 279 (1959: bốn dải xích, thân dẹt), giáp composite, APS và cảm biến hiện đại, 2A65 152 mm · Baneblade (Warhammer 40,000) — ước đoán: 'thiết giáp hạm trên cạn' bốn cụm xích</t>
        </is>
      </c>
      <c r="Q21" s="41" t="inlineStr">
        <is>
          <t>giáp 0, giáp 1, giáp 2, giáp 3, giáp 4, trên không, công trình</t>
        </is>
      </c>
      <c r="R21" s="41" t="inlineStr">
        <is>
          <t>nổ mạnh, đánh nóc</t>
        </is>
      </c>
      <c r="S21" s="41" t="inlineStr">
        <is>
          <t>pháo chính hai nòng (40 m), pháo 120 mm, pháo cao xạ và tên lửa bắn cả đất lẫn trời (45 m); còn 70% máu gọi 2 tăng tinh nhuệ.</t>
        </is>
      </c>
      <c r="T21" s="41" t="inlineStr">
        <is>
          <t>2A65 152 mm (twin) [Nổ mạnh, xuyên 3, đạn pháo nổ mạnh nổ lan] 320/phát · loạt 2, hồi 8.93 s · tầm 40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9M133 Kornet [Nổ lõm, xuyên 4, tên lửa chống tăng dẫn đường] 230/phát · hồi 6.39 s · tầm 45 m · Mặt đất
9M133 Kornet [Nổ lõm, xuyên 4, tên lửa chống tăng dẫn đường] 230/phát · hồi 6.39 s · tầm 45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BM-21 Grad 122 mm [Nổ mạnh, xuyên 2, rốc-két nổ lan] 57/phát · loạt 13, hồi 2.44 s · tầm 45 m · Mặt đất</t>
        </is>
      </c>
      <c r="U21" s="41" t="inlineStr">
        <is>
          <t>• Máu: ~13.000</t>
        </is>
      </c>
      <c r="V21" s="41" t="inlineStr">
        <is>
          <t>• Máu: Boss chủ lực chương 2 ít máu hơn mini boss chương 1.</t>
        </is>
      </c>
      <c r="W21" s="48" t="inlineStr">
        <is>
          <t>Trung</t>
        </is>
      </c>
    </row>
    <row r="22" ht="53.25" customHeight="1" s="32">
      <c r="A22" s="39" t="inlineStr">
        <is>
          <t>earth_borer</t>
        </is>
      </c>
      <c r="B22" s="39" t="inlineStr">
        <is>
          <t>Tartarus · Máy khoan</t>
        </is>
      </c>
      <c r="C22" s="39" t="inlineStr">
        <is>
          <t>chui xuống đất, khoan ngầm không bị nhắm tới dưới cụm xe mặt đất đông nhất của bạn, mặt đất nứt 2 giây rồi nó trồi lên gây rung cực nguy hiểm với cụm xe tăng dày; ngay sau khi trồi lên nó nhận thêm 50% sát thương trong 6 giây, và máy bay không bao giờ</t>
        </is>
      </c>
      <c r="D22" s="39" t="inlineStr">
        <is>
          <t>Dựa trên: 'Battle Mole' của Liên Xô, máy khoan hầm TBM, 2A70 100 mm — 'Earth Worm': máy khoan đất bọc thép ba đốt. Kích thước hiện 19.9 × 4.9 × 5.9 m; boss chủ lực ×1,3–1,5 so với mẫu, mini boss nhỏ hơn boss chủ lực cùng dòng; bộ phận phá được (tháp, xích, động cơ) phải tách thành khối riêng dễ nhìn; có bản vỡ cho từng bộ phận; vạch màu tướng sở hữu.</t>
        </is>
      </c>
      <c r="E22" s="39" t="inlineStr">
        <is>
          <t>Mini</t>
        </is>
      </c>
      <c r="F22" s="39" t="inlineStr">
        <is>
          <t>8</t>
        </is>
      </c>
      <c r="G22" s="39" t="n"/>
      <c r="H22" s="42" t="n">
        <v>11430</v>
      </c>
      <c r="I22" s="39" t="inlineStr">
        <is>
          <t>9450–12600</t>
        </is>
      </c>
      <c r="J22" s="39" t="inlineStr">
        <is>
          <t>4/3/2/2</t>
        </is>
      </c>
      <c r="K22" s="42" t="n">
        <v>3.2</v>
      </c>
      <c r="L22" s="42" t="n">
        <v>55</v>
      </c>
      <c r="M22" s="42" t="n">
        <v>346</v>
      </c>
      <c r="N22" s="42" t="n">
        <v>271</v>
      </c>
      <c r="O22" s="42" t="n">
        <v>0</v>
      </c>
      <c r="P22" s="39" t="inlineStr">
        <is>
          <t>'Battle Mole' của Liên Xô, máy khoan hầm TBM, 2A70 100 mm — 'Earth Worm': máy khoan đất bọc thép ba đốt</t>
        </is>
      </c>
      <c r="Q22" s="39" t="inlineStr">
        <is>
          <t>giáp 0, giáp 1, giáp 2, giáp 3, giáp 4, công trình</t>
        </is>
      </c>
      <c r="R22" s="39" t="inlineStr">
        <is>
          <t>nổ mạnh, đánh nóc, nổ lõm, pháo xe tăng</t>
        </is>
      </c>
      <c r="S22" s="39" t="inlineStr">
        <is>
          <t>chui xuống đất, khoan ngầm không bị nhắm tới dưới cụm xe mặt đất đông nhất của bạn, mặt đất nứt 2 giây rồi nó trồi lên gây rung</t>
        </is>
      </c>
      <c r="T22" s="39" t="inlineStr">
        <is>
          <t>drill head [Động năng, xuyên 4, cận chiến (mũi khoan)] 260/phát · hồi 1.5 s · tầm 7m · Mặt đất
2A70 100/76 mm [Động năng, xuyên 3, đạn pháo động năng nổ lan] 120/phát · hồi 2.08 s · tầm 34 m · Mặt đất
2A70 100/76 mm [Động năng, xuyên 3, đạn pháo động năng nổ lan] 120/phát · hồi 2.08 s · tầm 34 m · Mặt đất</t>
        </is>
      </c>
      <c r="U22" s="39" t="inlineStr">
        <is>
          <t>• Máu: ~10.000 (mini chương 8)</t>
        </is>
      </c>
      <c r="V22" s="39" t="inlineStr">
        <is>
          <t>• Máu: Mini boss nhiều máu hơn boss chủ lực chương 2 và 11.</t>
        </is>
      </c>
      <c r="W22" s="49" t="inlineStr">
        <is>
          <t>Thấp</t>
        </is>
      </c>
    </row>
    <row r="23" ht="63.75" customHeight="1" s="32">
      <c r="A23" s="41" t="inlineStr">
        <is>
          <t>bastion_mk0</t>
        </is>
      </c>
      <c r="B23" s="41" t="inlineStr">
        <is>
          <t>Bastion Mk.0 · Pháo đài nguyên mẫu</t>
        </is>
      </c>
      <c r="C23" s="41" t="inlineStr">
        <is>
          <t>chiếc Bastion đầu tiên của Brandt: một khẩu cối hạng nặng và hai tháp pháo 40 mm trên xích, bò chậm về phía căn cứ ta. mặt trước dày, chậm; hai tháp pháo là thứ phòng thủ gần duy nhất.</t>
        </is>
      </c>
      <c r="D23" s="41" t="inlineStr">
        <is>
          <t>Dựa trên: 2B8 240 mm, Bofors 40 mm · Sandcrawler (Star Wars) — ước đoán: bản đầu, nhỏ của Bastion. Kích thước hiện 24.0 × 9.9 × 9.7 m; boss chủ lực ×1,3–1,5 so với mẫu, mini boss nhỏ hơn boss chủ lực cùng dòng; bộ phận phá được (tháp, xích, động cơ) phải tách thành khối riêng dễ nhìn; có bản vỡ cho từng bộ phận; vạch màu tướng sở hữu.</t>
        </is>
      </c>
      <c r="E23" s="41" t="inlineStr">
        <is>
          <t>Mini</t>
        </is>
      </c>
      <c r="F23" s="41" t="inlineStr">
        <is>
          <t>1</t>
        </is>
      </c>
      <c r="G23" s="41" t="n"/>
      <c r="H23" s="43" t="n">
        <v>12576</v>
      </c>
      <c r="I23" s="41" t="inlineStr">
        <is>
          <t>5400–7200</t>
        </is>
      </c>
      <c r="J23" s="41" t="inlineStr">
        <is>
          <t>5/4/4/3</t>
        </is>
      </c>
      <c r="K23" s="43" t="n">
        <v>1.1</v>
      </c>
      <c r="L23" s="43" t="n">
        <v>64</v>
      </c>
      <c r="M23" s="43" t="n">
        <v>227</v>
      </c>
      <c r="N23" s="43" t="n">
        <v>136</v>
      </c>
      <c r="O23" s="43" t="n">
        <v>54</v>
      </c>
      <c r="P23" s="41" t="inlineStr">
        <is>
          <t>2B8 240 mm, Bofors 40 mm · Sandcrawler (Star Wars) — ước đoán: bản đầu, nhỏ của Bastion</t>
        </is>
      </c>
      <c r="Q23" s="41" t="inlineStr">
        <is>
          <t>giáp 0, giáp 1, giáp 2, giáp 3, giáp 4, công trình</t>
        </is>
      </c>
      <c r="R23" s="41" t="inlineStr">
        <is>
          <t>đánh nóc</t>
        </is>
      </c>
      <c r="S23" s="41" t="inlineStr">
        <is>
          <t>chiếc Bastion đầu tiên của Brandt: một khẩu cối hạng nặng và hai tháp pháo 40 mm trên xích, bò chậm về phía căn cứ ta.</t>
        </is>
      </c>
      <c r="T23" s="41" t="inlineStr">
        <is>
          <t>2B8 240 mm [Nổ mạnh, xuyên 4, đạn pháo nổ mạnh (cối) đánh nóc] nổ lan/phát · 450 · tầm hồi 9.78 s · 80 m (tối thiểu 12)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t>
        </is>
      </c>
      <c r="U23" s="41" t="inlineStr">
        <is>
          <t>• Máu, giáp: ~6.000 · trước 5→4</t>
        </is>
      </c>
      <c r="V23" s="41" t="inlineStr">
        <is>
          <t>• Máu, giáp: Mini boss chương 1 nhiều máu hơn boss chủ lực chương 2.</t>
        </is>
      </c>
      <c r="W23" s="48" t="inlineStr">
        <is>
          <t>Trung</t>
        </is>
      </c>
    </row>
    <row r="24" ht="84.75" customHeight="1" s="32">
      <c r="A24" s="39" t="inlineStr">
        <is>
          <t>nuke_train</t>
        </is>
      </c>
      <c r="B24" s="39" t="inlineStr">
        <is>
          <t>Nemesis · Đoàn tàu tên lửa</t>
        </is>
      </c>
      <c r="C24" s="39" t="inlineStr">
        <is>
          <t>pháo nặng hai nòng (40 m) và hai pháo cao xạ; bị bắn thì núp trong khói; phía sau có toa rốc-két và toa SAM tầm xa, xe bọc thép hộ pháo của nó phá nát mọi thứ gần đường ray; nó không rời được đường ray và không có tên lửa để đánh.</t>
        </is>
      </c>
      <c r="D24" s="39" t="inlineStr">
        <is>
          <t>Dựa trên: RT-23 Molodets (tàu tên lửa BZhRK), MIM-104 Patriot — ước đoán: đoàn tàu bọc thép mang tên lửa đạn đạo. Kích thước hiện 70.0 × 5.8 × 8.4 m; boss chủ lực ×1,3–1,5 so với mẫu, mini boss nhỏ hơn boss chủ lực cùng dòng; bộ phận phá được (tháp, xích, động cơ) phải tách thành khối riêng dễ nhìn; có bản vỡ cho từng bộ phận; vạch màu tướng sở hữu.</t>
        </is>
      </c>
      <c r="E24" s="39" t="inlineStr">
        <is>
          <t>Chủ lực</t>
        </is>
      </c>
      <c r="F24" s="39" t="inlineStr">
        <is>
          <t>7</t>
        </is>
      </c>
      <c r="G24" s="39" t="n"/>
      <c r="H24" s="42" t="n">
        <v>13260</v>
      </c>
      <c r="I24" s="42" t="n">
        <v>20000</v>
      </c>
      <c r="J24" s="39" t="inlineStr">
        <is>
          <t>5/4/3/2</t>
        </is>
      </c>
      <c r="K24" s="42" t="n">
        <v>0.35</v>
      </c>
      <c r="L24" s="42" t="n">
        <v>55</v>
      </c>
      <c r="M24" s="42" t="n">
        <v>523</v>
      </c>
      <c r="N24" s="42" t="n">
        <v>293</v>
      </c>
      <c r="O24" s="42" t="n">
        <v>827</v>
      </c>
      <c r="P24" s="39" t="inlineStr">
        <is>
          <t>RT-23 Molodets (tàu tên lửa BZhRK), MIM-104 Patriot — ước đoán: đoàn tàu bọc thép mang tên lửa đạn đạo</t>
        </is>
      </c>
      <c r="Q24" s="39" t="inlineStr">
        <is>
          <t>giáp 0, giáp 1, giáp 2, giáp 3, trên không, công trình</t>
        </is>
      </c>
      <c r="R24" s="39" t="inlineStr">
        <is>
          <t>nổ mạnh, đánh nóc</t>
        </is>
      </c>
      <c r="S24" s="39" t="inlineStr">
        <is>
          <t>pháo nặng hai nòng (40 m) và hai pháo cao xạ; bị bắn thì núp trong khói; phía sau có toa rốc-két và toa SAM tầm xa, xe bọc thép hộ</t>
        </is>
      </c>
      <c r="T24" s="39" t="inlineStr">
        <is>
          <t>Oerlikon 35 mm (twin) [Mảnh, xuyên 2, đạn nổ trên không nổ lan] 25/phát · băng 41 viên, 20 viên/s, thay 3.38 · tầm 40 m · Tất cả
Oerlikon 35 mm (twin) [Mảnh, xuyên 2, đạn nổ trên không nổ lan] 25/phát · băng 41 viên, 20 viên/s, thay 3.38 · tầm 40 m · Tất cả
MIM-104 Patriot PAC-2 [Mảnh, xuyên 3, tên lửa phòng không đánh nóc] dẫn đường/phát · 340 · tầm loạt 2, hồi 10.1 s · 90 m (tối thiểu
Oerlikon 35 mm (twin) [Mảnh, xuyên 2, đạn nổ trên không nổ lan] 25/phát · băng 41 viên, 20 viên/s, thay 3.38 · tầm 40 m · Tất cả</t>
        </is>
      </c>
      <c r="U24" s="39" t="inlineStr">
        <is>
          <t>Giữ.</t>
        </is>
      </c>
      <c r="V24" s="39" t="inlineStr">
        <is>
          <t>Ổn.</t>
        </is>
      </c>
      <c r="W24" s="49" t="inlineStr">
        <is>
          <t>Thấp</t>
        </is>
      </c>
    </row>
    <row r="25" ht="42.75" customHeight="1" s="32">
      <c r="A25" s="41" t="inlineStr">
        <is>
          <t>scylla</t>
        </is>
      </c>
      <c r="B25" s="41" t="inlineStr">
        <is>
          <t>Scylla · Tàu khu trục</t>
        </is>
      </c>
      <c r="C25" s="41" t="inlineStr">
        <is>
          <t>nhanh hơn Leviathan, chạy tuyến gần bờ: một tháp pháo chính nã vào bờ, ống phóng bắn tên lửa hành trình, CIWS chặn tên lửa và đủ gần để pháo xe tăng ở đầu cầu tàu bắn tới.</t>
        </is>
      </c>
      <c r="D25" s="41" t="inlineStr">
        <is>
          <t>Dựa trên: Sovremenny-class (khu trục hạm), Kirov-class — Bản nhỏ của Leviathan. Kích thước hiện 48.8 × 9.2 × 14.2 m; boss chủ lực ×1,3–1,5 so với mẫu, mini boss nhỏ hơn boss chủ lực cùng dòng; bộ phận phá được (tháp, xích, động cơ) phải tách thành khối riêng dễ nhìn; có bản vỡ cho từng bộ phận; vạch màu tướng sở hữu.</t>
        </is>
      </c>
      <c r="E25" s="41" t="inlineStr">
        <is>
          <t>Mini</t>
        </is>
      </c>
      <c r="F25" s="41" t="inlineStr">
        <is>
          <t>4, 9</t>
        </is>
      </c>
      <c r="G25" s="41" t="n"/>
      <c r="H25" s="43" t="n">
        <v>13370</v>
      </c>
      <c r="I25" s="41" t="inlineStr">
        <is>
          <t>7650–10200</t>
        </is>
      </c>
      <c r="J25" s="41" t="inlineStr">
        <is>
          <t>5/4/3/2</t>
        </is>
      </c>
      <c r="K25" s="43" t="n">
        <v>4.6</v>
      </c>
      <c r="L25" s="43" t="n">
        <v>120</v>
      </c>
      <c r="M25" s="43" t="n">
        <v>104</v>
      </c>
      <c r="N25" s="43" t="n">
        <v>79</v>
      </c>
      <c r="O25" s="43" t="n">
        <v>7</v>
      </c>
      <c r="P25" s="41" t="inlineStr">
        <is>
          <t>Sovremenny-class (khu trục hạm), Kirov-class — Bản nhỏ của Leviathan</t>
        </is>
      </c>
      <c r="Q25" s="41" t="inlineStr">
        <is>
          <t>giáp 0, giáp 1, giáp 2, giáp 3, giáp 4, công trình</t>
        </is>
      </c>
      <c r="R25" s="41" t="inlineStr">
        <is>
          <t>nổ mạnh, đánh nóc</t>
        </is>
      </c>
      <c r="S25" s="41" t="inlineStr">
        <is>
          <t>nhanh hơn Leviathan, chạy tuyến gần bờ: một tháp pháo chính nã vào bờ, ống phóng bắn tên lửa hành trình, CIWS chặn tên lửa và</t>
        </is>
      </c>
      <c r="T25" s="41" t="inlineStr">
        <is>
          <t>Type 94 460 mm/45 (triple) [Nổ mạnh, xuyên 4, đạn pháo nổ mạnh nổ lan] 950/phát · hồi 14 s · tầm 160 m · Mặt đất
AK-630 30 mm [Động năng, xuyên 2, đạn pháo động năng (pháo tự động)] 22/phát · băng 15 viên, 60 viên/s, thay 14.71 s · tầm 34 m · Tất cả</t>
        </is>
      </c>
      <c r="U25" s="41" t="inlineStr">
        <is>
          <t>• Vũ khí, máu: pháo 130 mm AK-130 đôi + bệ tên lửa chống hạm + CIWS · ~9.000 máu</t>
        </is>
      </c>
      <c r="V25" s="41" t="inlineStr">
        <is>
          <t>• Vũ khí, máu: Tàu khu trục mini boss mang pháo thiết giáp hạm, máu cao hơn boss chủ lực.</t>
        </is>
      </c>
      <c r="W25" s="47" t="inlineStr">
        <is>
          <t>Cao</t>
        </is>
      </c>
    </row>
    <row r="26" ht="147.75" customHeight="1" s="32">
      <c r="A26" s="39" t="inlineStr">
        <is>
          <t>silver_bug</t>
        </is>
      </c>
      <c r="B26" s="39" t="inlineStr">
        <is>
          <t>Icarus · Phi thuyền quỹ đạo</t>
        </is>
      </c>
      <c r="C26" s="39" t="inlineStr">
        <is>
          <t>tháp la-de chính bắn xuống mặt đất ở cả tầng cao lẫn tầng thấp; khoang đổ bộ thả xe xuống; cứ 60 giây có 5 thanh vonfram rơi từ bụng nó (giáp cấp 2) lộ ra ở tầng thấp; hai tháp la-de phòng thủ điểm của nó bắn hạ bớt SAM và tên lửa của ta.</t>
        </is>
      </c>
      <c r="D26" s="39" t="inlineStr">
        <is>
          <t>Dựa trên: Polyus / Skif-DM (trạm vũ khí quỹ đạo Liên Xô, 1987), ISS (giàn chính, cánh pin mặt trời, tấm tản nhiệt), Hubble / KH-11 (ống kính, cửa. Kích thước hiện 90.0 × 45.2 × 32.5 m; boss chủ lực ×1,3–1,5 so với mẫu, mini boss nhỏ hơn boss chủ lực cùng dòng; bộ phận phá được (tháp, xích, động cơ) phải tách thành khối riêng dễ nhìn; có bản vỡ cho từng bộ phận; vạch màu tướng sở hữu.</t>
        </is>
      </c>
      <c r="E26" s="39" t="inlineStr">
        <is>
          <t>Chủ lực (trùm cuối)</t>
        </is>
      </c>
      <c r="F26" s="39" t="inlineStr">
        <is>
          <t>12</t>
        </is>
      </c>
      <c r="G26" s="39" t="inlineStr">
        <is>
          <t>Có</t>
        </is>
      </c>
      <c r="H26" s="42" t="n">
        <v>13388</v>
      </c>
      <c r="I26" s="42" t="n">
        <v>26000</v>
      </c>
      <c r="J26" s="39" t="inlineStr">
        <is>
          <t>cấp 4 (Rất dày)</t>
        </is>
      </c>
      <c r="K26" s="42" t="n">
        <v>5</v>
      </c>
      <c r="L26" s="42" t="n">
        <v>80</v>
      </c>
      <c r="M26" s="42" t="n">
        <v>592</v>
      </c>
      <c r="N26" s="42" t="n">
        <v>370</v>
      </c>
      <c r="O26" s="42" t="n">
        <v>550</v>
      </c>
      <c r="P26" s="39" t="inlineStr">
        <is>
          <t>Polyus / Skif-DM (trạm vũ khí quỹ đạo Liên Xô, 1987), ISS (giàn chính, cánh pin mặt trời, tấm tản nhiệt), Hubble / KH-11 (ống kính, cửa</t>
        </is>
      </c>
      <c r="Q26" s="39" t="inlineStr">
        <is>
          <t>giáp 0, giáp 1, giáp 2, giáp 3, giáp 4, trên không, công trình</t>
        </is>
      </c>
      <c r="R26" s="39" t="n"/>
      <c r="S26" s="39" t="inlineStr">
        <is>
          <t>tháp la-de chính bắn xuống mặt đất ở cả tầng cao lẫn tầng thấp; khoang đổ bộ thả xe xuống; cứ 60 giây có 5 thanh vonfram rơi từ</t>
        </is>
      </c>
      <c r="T26" s="39" t="inlineStr">
        <is>
          <t>laser (150 kW) 150 mm [Năng lượng, xuyên 4, năng lượng nổ lan] 9/phát · hồi 0.1 s · tầm 36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t>
        </is>
      </c>
      <c r="U26" s="39" t="inlineStr">
        <is>
          <t>• Máu: ~26.000 (cao nhất game)
• Vũ khí: thay bằng 2 coilgun và 2 tháp laser phòng thủ điểm; pháo thông thường chỉ ở tháp phụ pha 3 (xác rơi)</t>
        </is>
      </c>
      <c r="V26" s="39" t="inlineStr">
        <is>
          <t>• Máu: Trùm cuối phải có nhiều máu nhất.
• Vũ khí: Phi thuyền quỹ đạo mang pháo xe tăng là vô lý.</t>
        </is>
      </c>
      <c r="W26" s="47" t="inlineStr">
        <is>
          <t>Cao</t>
        </is>
      </c>
    </row>
    <row r="27" ht="168" customHeight="1" s="32">
      <c r="A27" s="41" t="inlineStr">
        <is>
          <t>mobile_fortress</t>
        </is>
      </c>
      <c r="B27" s="41" t="inlineStr">
        <is>
          <t>Jötunn · Pháo đài di động</t>
        </is>
      </c>
      <c r="C27" s="41" t="inlineStr">
        <is>
          <t>lựu pháo (60 m), hộp rốc-két, pháo cao xạ và tên lửa; EMP làm choáng xe mặt đất trong 22 m; hộ tống là 2 tăng nặng và 1 xe công xé nát xe nhẹ và xe tăng dồn quanh nó; xe diệt tăng và pháo hạng nặng bào dần được nó.</t>
        </is>
      </c>
      <c r="D27" s="41" t="inlineStr">
        <is>
          <t>Dựa trên: NASA Crawler-Transporter, Kharkovchanka (1959), 2A44 203 mm (2S7 Pion) · Sandcrawler (Star Wars) — ước đoán: pháo đài bánh xích bốn cụm, cầu chỉ huy lắp kính. Kích thước hiện 32.0 × 18.1 × 16.5 m; boss chủ lực ×1,3–1,5 so với mẫu, mini boss nhỏ hơn boss chủ lực cùng dòng; bộ phận phá được (tháp, xích, động cơ) phải tách thành khối riêng dễ nhìn; có bản vỡ cho từng bộ phận; vạch màu tướng sở hữu.</t>
        </is>
      </c>
      <c r="E27" s="41" t="inlineStr">
        <is>
          <t>Chủ lực</t>
        </is>
      </c>
      <c r="F27" s="41" t="inlineStr">
        <is>
          <t>3</t>
        </is>
      </c>
      <c r="G27" s="41" t="n"/>
      <c r="H27" s="43" t="n">
        <v>15470</v>
      </c>
      <c r="I27" s="43" t="n">
        <v>15000</v>
      </c>
      <c r="J27" s="41" t="inlineStr">
        <is>
          <t>5/4/3/2</t>
        </is>
      </c>
      <c r="K27" s="43" t="n">
        <v>1.8</v>
      </c>
      <c r="L27" s="43" t="n">
        <v>60</v>
      </c>
      <c r="M27" s="43" t="n">
        <v>516</v>
      </c>
      <c r="N27" s="43" t="n">
        <v>308</v>
      </c>
      <c r="O27" s="43" t="n">
        <v>709</v>
      </c>
      <c r="P27" s="41" t="inlineStr">
        <is>
          <t>NASA Crawler-Transporter, Kharkovchanka (1959), 2A44 203 mm (2S7 Pion) · Sandcrawler (Star Wars) — ước đoán: pháo đài bánh xích bốn cụm, cầu chỉ huy lắp kính</t>
        </is>
      </c>
      <c r="Q27" s="41" t="inlineStr">
        <is>
          <t>giáp 0, giáp 1, giáp 2, giáp 3, giáp 4, trên không, công trình</t>
        </is>
      </c>
      <c r="R27" s="41" t="inlineStr">
        <is>
          <t>nổ mạnh, đánh nóc</t>
        </is>
      </c>
      <c r="S27" s="41" t="inlineStr">
        <is>
          <t>lựu pháo (60 m), hộp rốc-két, pháo cao xạ và tên lửa; EMP làm choáng xe mặt đất trong 22 m; hộ tống là 2 tăng nặng và 1 xe công</t>
        </is>
      </c>
      <c r="T27" s="41" t="inlineStr">
        <is>
          <t>2A44 203 mm [Nổ mạnh, xuyên 4, đạn pháo nổ mạnh nổ lan] 420/phát · hồi 9.44 s · tầm 60 m · Mặt đất
BM-21 Grad 122 mm [Nổ mạnh, xuyên 2, rốc-két nổ lan] 57/phát · loạt 13, hồi 2.44 s · tầm 45 m · Mặt đất
BM-21 Grad 122 mm [Nổ mạnh, xuyên 2, rốc-két nổ lan] 57/phát · loạt 13, hồi 2.44 s · tầm 45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9M133 Kornet [Nổ lõm, xuyên 4, tên lửa chống tăng dẫn đường] 230/phát · hồi 6.39 s · tầm 45 m · Mặt đất
2A44 203 mm [Nổ mạnh, xuyên 4, đạn pháo nổ mạnh nổ lan] 420/phát · hồi 9.44 s · tầm 60 m · Mặt đất
9M317 Buk [Mảnh, xuyên 3, tên lửa phòng không dẫn đường] nổ lan/phát · 320 · tầm loạt 2, hồi 3.4 s · 60 m</t>
        </is>
      </c>
      <c r="U27" s="41" t="inlineStr">
        <is>
          <t>Giữ.</t>
        </is>
      </c>
      <c r="V27" s="41" t="inlineStr">
        <is>
          <t>Ổn.</t>
        </is>
      </c>
      <c r="W27" s="49" t="inlineStr">
        <is>
          <t>Thấp</t>
        </is>
      </c>
    </row>
    <row r="28" ht="126.75" customHeight="1" s="32">
      <c r="A28" s="39" t="inlineStr">
        <is>
          <t>command_airship</t>
        </is>
      </c>
      <c r="B28" s="39" t="inlineStr">
        <is>
          <t>Roc · Khí cầu chỉ huy</t>
        </is>
      </c>
      <c r="C28" s="39" t="inlineStr">
        <is>
          <t>hai tháp pháo phòng không 57 mm, drone từ hai nhà chứa và thỉnh thoảng mỗi nhà chứa thả một UAV tấn công. Mỗi bộ phận có chỉ phòng không và tiêm kích với tới; phá nhà chứa thì ngừng thả drone, phá radar thì pháo phòng không của nó bắn lệch.</t>
        </is>
      </c>
      <c r="D28" s="39" t="inlineStr">
        <is>
          <t>Dựa trên: Airlander 10, Lockheed P-791 (khí cầu lai hiện đại) · Kirov Airship (Red Alert 2) — ước đoán: 'Sky Admiral', thiết giáp hạm bay hai túi khí. Kích thước hiện 80.0 × 55.4 × 28.3 m; boss chủ lực ×1,3–1,5 so với mẫu, mini boss nhỏ hơn boss chủ lực cùng dòng; bộ phận phá được (tháp, xích, động cơ) phải tách thành khối riêng dễ nhìn; có bản vỡ cho từng bộ phận; vạch màu tướng sở hữu.</t>
        </is>
      </c>
      <c r="E28" s="39" t="inlineStr">
        <is>
          <t>Chủ lực</t>
        </is>
      </c>
      <c r="F28" s="39" t="inlineStr">
        <is>
          <t>10</t>
        </is>
      </c>
      <c r="G28" s="39" t="inlineStr">
        <is>
          <t>Có</t>
        </is>
      </c>
      <c r="H28" s="42" t="n">
        <v>16575</v>
      </c>
      <c r="I28" s="42" t="n">
        <v>23000</v>
      </c>
      <c r="J28" s="39" t="inlineStr">
        <is>
          <t>cấp 2 (Vừa)</t>
        </is>
      </c>
      <c r="K28" s="42" t="n">
        <v>4.5</v>
      </c>
      <c r="L28" s="42" t="n">
        <v>80</v>
      </c>
      <c r="M28" s="42" t="n">
        <v>370</v>
      </c>
      <c r="N28" s="42" t="n">
        <v>233</v>
      </c>
      <c r="O28" s="42" t="n">
        <v>332</v>
      </c>
      <c r="P28" s="39" t="inlineStr">
        <is>
          <t>Airlander 10, Lockheed P-791 (khí cầu lai hiện đại) · Kirov Airship (Red Alert 2) — ước đoán: 'Sky Admiral', thiết giáp hạm bay hai túi khí</t>
        </is>
      </c>
      <c r="Q28" s="39" t="inlineStr">
        <is>
          <t>giáp 0, giáp 1, giáp 2, giáp 3, trên không, công trình</t>
        </is>
      </c>
      <c r="R28" s="39" t="inlineStr">
        <is>
          <t>mảnh, năng lượng</t>
        </is>
      </c>
      <c r="S28" s="39" t="inlineStr">
        <is>
          <t>hai tháp pháo phòng không 57 mm, drone từ hai nhà chứa và thỉnh thoảng mỗi nhà chứa thả một UAV tấn công. Mỗi bộ phận có</t>
        </is>
      </c>
      <c r="T28" s="39" t="inlineStr">
        <is>
          <t>S-60 57 mm [Mảnh, xuyên 2, đạn nổ trên không nổ lan] 70/phát · băng 8 viên, 2 viên/s, thay 0.88 s · tầm 48 m · Tất cả
S-60 57 mm [Mảnh, xuyên 2, đạn nổ trên không nổ lan] 70/phát · băng 8 viên, 2 viên/s, thay 0.88 s · tầm 48 m · Tất cả
FPV drone (1.5 kg) [Nổ lõm, xuyên 3, drone (FPV) đánh nóc] dẫn đường/phát · nổ lan · tầm 140 · loạt 3, hồi 8 s
FPV drone (1.5 kg) [Nổ lõm, xuyên 3, drone (FPV) đánh nóc] dẫn đường/phát · nổ lan · tầm 140 · loạt 3, hồi 8 s
M102 105 mm [Nổ mạnh, xuyên 2, đạn pháo nổ mạnh nổ lan] 200/phát · hồi 2.743 s · tầm 58 m · Mặt đất
M102 105 mm [Nổ mạnh, xuyên 2, đạn pháo nổ mạnh nổ lan] 200/phát · hồi 2.743 s · tầm 58 m · Mặt đất</t>
        </is>
      </c>
      <c r="U28" s="39" t="inlineStr">
        <is>
          <t>Giữ.</t>
        </is>
      </c>
      <c r="V28" s="39" t="inlineStr">
        <is>
          <t>Ổn.</t>
        </is>
      </c>
      <c r="W28" s="49" t="inlineStr">
        <is>
          <t>Thấp</t>
        </is>
      </c>
    </row>
    <row r="29" ht="105.75" customHeight="1" s="32">
      <c r="A29" s="41" t="inlineStr">
        <is>
          <t>moloch</t>
        </is>
      </c>
      <c r="B29" s="41" t="inlineStr">
        <is>
          <t>Moloch · Nhà máy di động</t>
        </is>
      </c>
      <c r="C29" s="41" t="inlineStr">
        <is>
          <t>bò chậm theo đường của nhiệm vụ; hai cửa xưởng cứ 20 giây thả 1–2 xe (xe tăng nhẹ và xe bộ binh, từ pha 2 thêm tăng chủ lực), giáp trước cấp 4, hông 3, sau 2: cửa xưởng ở phía sau, giáp mỏng cũng ở đó. Phá cụm xích thì nó chậm lại.</t>
        </is>
      </c>
      <c r="D29" s="41" t="inlineStr">
        <is>
          <t>Dựa trên: xưởng cơ động bánh xích · Fatboy (Supreme Commander), MCV / War Factory (Command &amp; Conquer) — ước đoán: nhà máy di động. Kích thước hiện 40.0 × 21.7 × 18.1 m; boss chủ lực ×1,3–1,5 so với mẫu, mini boss nhỏ hơn boss chủ lực cùng dòng; bộ phận phá được (tháp, xích, động cơ) phải tách thành khối riêng dễ nhìn; có bản vỡ cho từng bộ phận; vạch màu tướng sở hữu.</t>
        </is>
      </c>
      <c r="E29" s="41" t="inlineStr">
        <is>
          <t>Chủ lực</t>
        </is>
      </c>
      <c r="F29" s="41" t="inlineStr">
        <is>
          <t>6</t>
        </is>
      </c>
      <c r="G29" s="41" t="n"/>
      <c r="H29" s="43" t="n">
        <v>17212</v>
      </c>
      <c r="I29" s="43" t="n">
        <v>19000</v>
      </c>
      <c r="J29" s="41" t="inlineStr">
        <is>
          <t>5/4/3/2</t>
        </is>
      </c>
      <c r="K29" s="43" t="n">
        <v>1.2</v>
      </c>
      <c r="L29" s="43" t="n">
        <v>60</v>
      </c>
      <c r="M29" s="43" t="n">
        <v>321</v>
      </c>
      <c r="N29" s="43" t="n">
        <v>236</v>
      </c>
      <c r="O29" s="43" t="n">
        <v>248</v>
      </c>
      <c r="P29" s="41" t="inlineStr">
        <is>
          <t>xưởng cơ động bánh xích · Fatboy (Supreme Commander), MCV / War Factory (Command &amp; Conquer) — ước đoán: nhà máy di động</t>
        </is>
      </c>
      <c r="Q29" s="41" t="inlineStr">
        <is>
          <t>giáp 0, giáp 1, giáp 2, giáp 3, giáp 4, trên không, công trình</t>
        </is>
      </c>
      <c r="R29" s="41" t="inlineStr">
        <is>
          <t>nổ mạnh, đánh nóc</t>
        </is>
      </c>
      <c r="S29" s="41" t="inlineStr">
        <is>
          <t>bò chậm theo đường của nhiệm vụ; hai cửa xưởng cứ 20 giây thả 1–2 xe (xe tăng nhẹ và xe bộ binh, từ pha 2 thêm tăng chủ lực),</t>
        </is>
      </c>
      <c r="T29" s="41" t="inlineStr">
        <is>
          <t>Rh-120 L/44 120 mm [Động năng, xuyên 4, đạn pháo động năng (≥120 mm) nổ lan] 240/phát · hồi 5.098 s · tầm 32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t>
        </is>
      </c>
      <c r="U29" s="41" t="inlineStr">
        <is>
          <t>Giữ.</t>
        </is>
      </c>
      <c r="V29" s="41" t="inlineStr">
        <is>
          <t>Ổn.</t>
        </is>
      </c>
      <c r="W29" s="49" t="inlineStr">
        <is>
          <t>Thấp</t>
        </is>
      </c>
    </row>
    <row r="30" ht="189" customHeight="1" s="32">
      <c r="A30" s="39" t="inlineStr">
        <is>
          <t>fortress_bastion</t>
        </is>
      </c>
      <c r="B30" s="39" t="inlineStr">
        <is>
          <t>Bastion · Pháo đài</t>
        </is>
      </c>
      <c r="C30" s="39" t="inlineStr">
        <is>
          <t>khẩu cối hạng nặng bắn tầm 12–80 m, bốn tháp pháo tự động 40 mm (28 m) phủ mọi hướng, còn nửa máu nó tự vá giáp một lần. pháo tự động xé nát xe nhẹ tới gần; giáp dày chặn đạn súng máy, cối không bắn được trong vòng 12 m.</t>
        </is>
      </c>
      <c r="D30" s="39" t="inlineStr">
        <is>
          <t>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E30" s="39" t="inlineStr">
        <is>
          <t>Chủ lực</t>
        </is>
      </c>
      <c r="F30" s="39" t="inlineStr">
        <is>
          <t>1</t>
        </is>
      </c>
      <c r="G30" s="39" t="n"/>
      <c r="H30" s="42" t="n">
        <v>17935</v>
      </c>
      <c r="I30" s="42" t="n">
        <v>12000</v>
      </c>
      <c r="J30" s="39" t="inlineStr">
        <is>
          <t>5/4/4/3</t>
        </is>
      </c>
      <c r="K30" s="42" t="n">
        <v>1.5</v>
      </c>
      <c r="L30" s="42" t="n">
        <v>64</v>
      </c>
      <c r="M30" s="42" t="n">
        <v>606</v>
      </c>
      <c r="N30" s="42" t="n">
        <v>331</v>
      </c>
      <c r="O30" s="42" t="n">
        <v>480</v>
      </c>
      <c r="P30" s="39" t="inlineStr">
        <is>
          <t>2B8 240 mm, Bofors 40 mm, 9M133 Kornet · Sandcrawler (Star Wars) — ước đoán: pháo đài bánh xích bọc giáp tấm dày</t>
        </is>
      </c>
      <c r="Q30" s="39" t="inlineStr">
        <is>
          <t>giáp 0, giáp 1, giáp 2, giáp 3, giáp 4, trên không, công trình</t>
        </is>
      </c>
      <c r="R30" s="39" t="inlineStr">
        <is>
          <t>đánh nóc</t>
        </is>
      </c>
      <c r="S30" s="39" t="inlineStr">
        <is>
          <t>khẩu cối hạng nặng bắn tầm 12–80 m, bốn tháp pháo tự động 40 mm (28 m) phủ mọi hướng, còn nửa máu nó tự vá giáp một lần.</t>
        </is>
      </c>
      <c r="T30" s="39" t="inlineStr">
        <is>
          <t>2B8 240 mm [Nổ mạnh, xuyên 4, đạn pháo nổ mạnh (cối) đánh nóc] nổ lan/phát · 450 · tầm hồi 9.78 s · 80 m (tối thiểu 12)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9M133 Kornet [Nổ lõm, xuyên 4, tên lửa chống tăng dẫn đường] 230/phát · loạt 2, hồi 9.91 s · tầm 50 m · Mặt đất
M284 155 mm (casemate) [Nổ mạnh, xuyên 3, đạn pháo nổ mạnh đánh nóc] nổ lan/phát · 320 · tầm hồi 12.81 s · 75 m (tối thiểu 20)
ZU-23-2 23 mm [Mảnh, xuyên 1, đạn nổ trên không] 15/phát · băng 57 viên, 11 viên/s, thay 1 s · tầm 32 m · Tất cả
ZU-23-2 23 mm [Mảnh, xuyên 1, đạn nổ trên không] 15/phát · băng 57 viên, 11 viên/s, thay 1 s · tầm 32 m · Tất cả</t>
        </is>
      </c>
      <c r="U30" s="39" t="inlineStr">
        <is>
          <t>• Máu: ~12.000</t>
        </is>
      </c>
      <c r="V30" s="39" t="inlineStr">
        <is>
          <t>• Máu: Boss chương 1 gần bằng boss chương 9–12.</t>
        </is>
      </c>
      <c r="W30" s="48" t="inlineStr">
        <is>
          <t>Trung</t>
        </is>
      </c>
    </row>
    <row r="31" ht="42.75" customHeight="1" s="32">
      <c r="A31" s="41" t="inlineStr">
        <is>
          <t>typhon</t>
        </is>
      </c>
      <c r="B31" s="41" t="inlineStr">
        <is>
          <t>Typhon · Tàu ngầm tên lửa</t>
        </is>
      </c>
      <c r="C31" s="41" t="inlineStr">
        <is>
          <t>lặn (không bắn tới được) và nổi (mục tiêu trên mặt nước) theo lịch từng pha, mỗi lần nổi ở một chỗ khác; bong bóng báo trước chỗ thân giáp cấp 4, tháp chỉ huy và boong 2: pháo binh, bom và đòn đánh nóc đánh vào boong.</t>
        </is>
      </c>
      <c r="D31" s="41" t="inlineStr">
        <is>
          <t>Dựa trên: Project 941 Akula (Typhoon) · The Hunt for Red October (1990) — Tàu ngầm tên lửa. Kích thước hiện 70.0 × 14.5 × 16.7 m; boss chủ lực ×1,3–1,5 so với mẫu, mini boss nhỏ hơn boss chủ lực cùng dòng; bộ phận phá được (tháp, xích, động cơ) phải tách thành khối riêng dễ nhìn; có bản vỡ cho từng bộ phận; vạch màu tướng sở hữu.</t>
        </is>
      </c>
      <c r="E31" s="41" t="inlineStr">
        <is>
          <t>Chủ lực</t>
        </is>
      </c>
      <c r="F31" s="41" t="inlineStr">
        <is>
          <t>9</t>
        </is>
      </c>
      <c r="G31" s="41" t="n"/>
      <c r="H31" s="43" t="n">
        <v>17935</v>
      </c>
      <c r="I31" s="43" t="n">
        <v>22000</v>
      </c>
      <c r="J31" s="41" t="inlineStr">
        <is>
          <t>5/4/4/2</t>
        </is>
      </c>
      <c r="K31" s="43" t="n">
        <v>3</v>
      </c>
      <c r="L31" s="43" t="n">
        <v>110</v>
      </c>
      <c r="M31" s="43" t="n">
        <v>110</v>
      </c>
      <c r="N31" s="43" t="n">
        <v>78</v>
      </c>
      <c r="O31" s="43" t="n">
        <v>213</v>
      </c>
      <c r="P31" s="41" t="inlineStr">
        <is>
          <t>Project 941 Akula (Typhoon) · The Hunt for Red October (1990) — Tàu ngầm tên lửa</t>
        </is>
      </c>
      <c r="Q31" s="41" t="inlineStr">
        <is>
          <t>giáp 0, giáp 1, giáp 2, giáp 3, trên không, công trình</t>
        </is>
      </c>
      <c r="R31" s="41" t="inlineStr">
        <is>
          <t>nổ mạnh, đánh nóc</t>
        </is>
      </c>
      <c r="S31" s="41" t="inlineStr">
        <is>
          <t>lặn (không bắn tới được) và nổi (mục tiêu trên mặt nước) theo lịch từng pha, mỗi lần nổi ở một chỗ khác; bong bóng báo trước chỗ</t>
        </is>
      </c>
      <c r="T31" s="41" t="inlineStr">
        <is>
          <t>9M317 Buk [Mảnh, xuyên 3, tên lửa phòng không dẫn đường] nổ lan/phát · 320 · tầm loạt 2, hồi 3.4 s · 60 m
AK-100 100 mm [Nổ mạnh, xuyên 3, đạn pháo nổ mạnh nổ lan] 160/phát · loạt 2, hồi 3 s · tầm 90 m · Mặt đất</t>
        </is>
      </c>
      <c r="U31" s="41" t="inlineStr">
        <is>
          <t>• Vũ khí: thêm tên lửa hành trình tầm ngắn bắn thường</t>
        </is>
      </c>
      <c r="V31" s="41" t="inlineStr">
        <is>
          <t>• Vũ khí: Thiết kế có nhưng dữ liệu chưa có.</t>
        </is>
      </c>
      <c r="W31" s="48" t="inlineStr">
        <is>
          <t>Trung</t>
        </is>
      </c>
    </row>
    <row r="32" ht="63.75" customHeight="1" s="32">
      <c r="A32" s="39"/>
      <c r="B32" s="39"/>
      <c r="C32" s="39"/>
      <c r="D32" s="39"/>
      <c r="E32" s="39"/>
      <c r="F32" s="39"/>
      <c r="G32" s="39"/>
      <c r="H32" s="42"/>
      <c r="I32" s="42"/>
      <c r="J32" s="39"/>
      <c r="K32" s="42"/>
      <c r="L32" s="42"/>
      <c r="M32" s="42"/>
      <c r="N32" s="42"/>
      <c r="O32" s="42"/>
      <c r="P32" s="39"/>
      <c r="Q32" s="39"/>
      <c r="R32" s="39"/>
      <c r="S32" s="39"/>
      <c r="T32" s="39"/>
      <c r="U32" s="39"/>
      <c r="V32" s="39"/>
      <c r="W32" s="49"/>
    </row>
    <row r="33" ht="314.25" customHeight="1" s="32">
      <c r="A33" s="41" t="inlineStr">
        <is>
          <t>leviathan</t>
        </is>
      </c>
      <c r="B33" s="41" t="inlineStr">
        <is>
          <t>Leviathan · Thiết giáp hạm</t>
        </is>
      </c>
      <c r="C33" s="41" t="inlineStr">
        <is>
          <t>ba tháp pháo ba nòng 406 mm bắn loạt vào bờ, mỗi tháp một nòng, có cảnh báo trước và quét dần dọc bờ, và bắn cả chín nòng vào hông tàu giáp cấp 4, boong chỉ cấp 2: pháo binh, bom, pháo phản lực và đòn đánh nóc đánh vào boong; pháo xe tăng chỉ với tới</t>
        </is>
      </c>
      <c r="D33" s="41" t="inlineStr">
        <is>
          <t>Dựa trên: Iowa-class hiện đại hóa thập niên 1980 (Mk 7 406 mm), Kirov-class (bệ phóng thẳng đứng) — Thiết giáp hạm lớp Iowa hiện đại hóa, thêm bệ phóng thẳng đứng kiểu Kirov. Kích thước hiện 97.6 × 18.5 × 28.5 m; boss chủ lực ×1,3–1,5 so với mẫu, mini boss nhỏ hơn boss chủ lực cùng dòng; bộ phận phá được (tháp, xích, động cơ) phải tách thành khối riêng dễ nhìn; có bản vỡ cho từng bộ phận; vạch màu tướng sở hữu.</t>
        </is>
      </c>
      <c r="E33" s="41" t="inlineStr">
        <is>
          <t>Chủ lực</t>
        </is>
      </c>
      <c r="F33" s="41" t="inlineStr">
        <is>
          <t>4</t>
        </is>
      </c>
      <c r="G33" s="41" t="n"/>
      <c r="H33" s="43" t="n">
        <v>18700</v>
      </c>
      <c r="I33" s="43" t="n">
        <v>17000</v>
      </c>
      <c r="J33" s="41" t="inlineStr">
        <is>
          <t>5/4/3/2</t>
        </is>
      </c>
      <c r="K33" s="43" t="n">
        <v>2.6</v>
      </c>
      <c r="L33" s="43" t="n">
        <v>120</v>
      </c>
      <c r="M33" s="43" t="n">
        <v>508</v>
      </c>
      <c r="N33" s="43" t="n">
        <v>381</v>
      </c>
      <c r="O33" s="43" t="n">
        <v>869</v>
      </c>
      <c r="P33" s="41" t="inlineStr">
        <is>
          <t>Iowa-class hiện đại hóa thập niên 1980 (Mk 7 406 mm), Kirov-class (bệ phóng thẳng đứng) — Thiết giáp hạm lớp Iowa hiện đại hóa, thêm bệ phóng thẳng đứng kiểu Kirov</t>
        </is>
      </c>
      <c r="Q33" s="41" t="inlineStr">
        <is>
          <t>giáp 0, giáp 1, giáp 2, giáp 3, giáp 4, trên không, công trình</t>
        </is>
      </c>
      <c r="R33" s="41" t="inlineStr">
        <is>
          <t>nổ mạnh, đánh nóc</t>
        </is>
      </c>
      <c r="S33" s="41" t="inlineStr">
        <is>
          <t>ba tháp pháo ba nòng 406 mm bắn loạt vào bờ, mỗi tháp một nòng, có cảnh báo trước và quét dần dọc bờ, và bắn cả chín nòng vào</t>
        </is>
      </c>
      <c r="T33" s="41" t="inlineStr">
        <is>
          <t>Mk 7 406 mm/50 (Iowa, triple) [Nổ mạnh, xuyên 4, đạn pháo nổ mạnh nổ lan] 950/phát · hồi 14 s · tầm 160 m · Mặt đất
Mk 7 406 mm/50 (Iowa, triple) [Nổ mạnh, xuyên 4, đạn pháo nổ mạnh nổ lan] 950/phát · hồi 14 s · tầm 160 m · Mặt đất
Mk 7 406 mm/50 (Iowa, triple) [Nổ mạnh, xuyên 4, đạn pháo nổ mạnh nổ lan] 950/phát · hồi 14 s · tầm 160 m · Mặt đất
155 mm/60 (triple) [Nổ mạnh, xuyên 3, đạn pháo nổ mạnh nổ lan] 320/phát · loạt 3, hồi 10 s · tầm 110 m · Mặt đất
155 mm/60 (triple) [Nổ mạnh, xuyên 3, đạn pháo nổ mạnh nổ lan] 320/phát · loạt 3, hồi 10 s · tầm 110 m · Mặt đất
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Tất cả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t>
        </is>
      </c>
      <c r="U33" s="41" t="inlineStr">
        <is>
          <t>• Vũ khí: 406 mm: nổ lan 13 m</t>
        </is>
      </c>
      <c r="V33" s="41" t="inlineStr">
        <is>
          <t>• Vũ khí: 406 mm: Đạn 1,46 tấn đang nổ nhỏ hơn cối 240 mm.</t>
        </is>
      </c>
      <c r="W33" s="48" t="inlineStr">
        <is>
          <t>Trung</t>
        </is>
      </c>
    </row>
    <row r="34" ht="168" customHeight="1" s="32">
      <c r="A34" s="39" t="inlineStr">
        <is>
          <t>drone_mothership</t>
        </is>
      </c>
      <c r="B34" s="39" t="inlineStr">
        <is>
          <t>Matriarch · Tàu mẹ drone</t>
        </is>
      </c>
      <c r="C34" s="39" t="inlineStr">
        <is>
          <t>pháo và bầy drone cảm tử (70 m) đánh mặt đất, pháo cao xạ chống máy bay; cứ 30 giây phóng ra 3 UAV tấn công. nhấn chìm mặt đất bằng drone; chỉ phòng không và tiêm kích gây sát thương được, còn nửa máu thì bật khiên.</t>
        </is>
      </c>
      <c r="D34" s="39" t="inlineStr">
        <is>
          <t>Dựa trên: Airlander 10 (khí cầu mẹ hiện đại), drone FPV · Kirov Airship (Red Alert 2) — ước đoán: khí cầu bọc thép phóng drone. Kích thước hiện 55.0 × 27.3 × 23.1 m; boss chủ lực ×1,3–1,5 so với mẫu, mini boss nhỏ hơn boss chủ lực cùng dòng; bộ phận phá được (tháp, xích, động cơ) phải tách thành khối riêng dễ nhìn; có bản vỡ cho từng bộ phận; vạch màu tướng sở hữu.</t>
        </is>
      </c>
      <c r="E34" s="39" t="inlineStr">
        <is>
          <t>Chủ lực</t>
        </is>
      </c>
      <c r="F34" s="39" t="inlineStr">
        <is>
          <t>5</t>
        </is>
      </c>
      <c r="G34" s="39" t="inlineStr">
        <is>
          <t>Có</t>
        </is>
      </c>
      <c r="H34" s="42" t="n">
        <v>18828</v>
      </c>
      <c r="I34" s="42" t="n">
        <v>18000</v>
      </c>
      <c r="J34" s="39" t="inlineStr">
        <is>
          <t>cấp 2 (Vừa)</t>
        </is>
      </c>
      <c r="K34" s="42" t="n">
        <v>3.5</v>
      </c>
      <c r="L34" s="42" t="n">
        <v>70</v>
      </c>
      <c r="M34" s="42" t="n">
        <v>664</v>
      </c>
      <c r="N34" s="42" t="n">
        <v>438</v>
      </c>
      <c r="O34" s="42" t="n">
        <v>495</v>
      </c>
      <c r="P34" s="39" t="inlineStr">
        <is>
          <t>Airlander 10 (khí cầu mẹ hiện đại), drone FPV · Kirov Airship (Red Alert 2) — ước đoán: khí cầu bọc thép phóng drone</t>
        </is>
      </c>
      <c r="Q34" s="39" t="inlineStr">
        <is>
          <t>giáp 0, giáp 1, giáp 2, giáp 3, giáp 4, trên không, công trình</t>
        </is>
      </c>
      <c r="R34" s="39" t="inlineStr">
        <is>
          <t>mảnh, năng lượng</t>
        </is>
      </c>
      <c r="S34" s="39" t="inlineStr">
        <is>
          <t>pháo và bầy drone cảm tử (70 m) đánh mặt đất, pháo cao xạ chống máy bay; cứ 30 giây phóng ra 3 UAV tấn công.</t>
        </is>
      </c>
      <c r="T34" s="39" t="inlineStr">
        <is>
          <t>AU-220 57 mm [Nổ mạnh, xuyên 2, đạn pháo động năng (pháo tự động) nổ lan] 70/phát · loạt 4, hồi 2.79 s · tầm 45 m · Mặt đất
ZALA Lancet-3 (3 kg) [Nổ lõm, xuyên 4, drone (Lancet) đánh nóc] dẫn đường/phát · nổ lan · tầm 240 · loạt 4, hồi 8.17 s
Oerlikon 35 mm (twin) [Mảnh, xuyên 2, đạn nổ trên không nổ lan] 25/phát · băng 41 viên, 20 viên/s, thay 3.38 s · tầm 40 m · Tất cả
Oerlikon 35 mm (twin) [Mảnh, xuyên 2, đạn nổ trên không nổ lan] 25/phát · băng 41 viên, 20 viên/s, thay 3.38 s · tầm 40 m · Tất cả
AU-220 57 mm [Nổ mạnh, xuyên 2, đạn pháo động năng (pháo tự động) nổ lan] 70/phát · loạt 4, hồi 2.79 s · tầm 45 m · Mặt đất
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
ZALA Lancet-3 (3 kg) [Nổ lõm, xuyên 4, drone (Lancet) đánh nóc] dẫn đường/phát · nổ lan · tầm 240 · loạt 4, hồi 8.17 s</t>
        </is>
      </c>
      <c r="U34" s="39" t="inlineStr">
        <is>
          <t>Giữ.</t>
        </is>
      </c>
      <c r="V34" s="39" t="inlineStr">
        <is>
          <t>Ổn.</t>
        </is>
      </c>
      <c r="W34" s="49" t="inlineStr">
        <is>
          <t>Thấp</t>
        </is>
      </c>
    </row>
  </sheetData>
  <autoFilter ref="A1:W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L3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4" customWidth="1" style="31" min="2" max="2"/>
    <col width="12" customWidth="1" style="31" min="3" max="3"/>
    <col width="10" customWidth="1" style="31" min="4" max="4"/>
    <col width="9" customWidth="1" style="31" min="5" max="5"/>
    <col width="10" customWidth="1" style="31" min="6" max="6"/>
    <col width="9" customWidth="1" style="31" min="7" max="7"/>
    <col width="11" customWidth="1" style="31" min="8" max="8"/>
    <col width="55" customWidth="1" style="31" min="9" max="9"/>
    <col width="50" customWidth="1" style="31" min="10" max="10"/>
    <col width="70" customWidth="1" style="31" min="11" max="11"/>
    <col width="45" customWidth="1" style="31" min="12" max="12"/>
  </cols>
  <sheetData>
    <row r="1" ht="42" customHeight="1" s="32">
      <c r="A1" s="37" t="inlineStr">
        <is>
          <t>id</t>
        </is>
      </c>
      <c r="B1" s="37" t="inlineStr">
        <is>
          <t>Tên</t>
        </is>
      </c>
      <c r="C1" s="37" t="inlineStr">
        <is>
          <t>Cấp</t>
        </is>
      </c>
      <c r="D1" s="37" t="inlineStr">
        <is>
          <t>Chương</t>
        </is>
      </c>
      <c r="E1" s="44" t="inlineStr">
        <is>
          <t>Máu hiện</t>
        </is>
      </c>
      <c r="F1" s="45" t="inlineStr">
        <is>
          <t>Máu đề xuất (gốc)</t>
        </is>
      </c>
      <c r="G1" s="44" t="inlineStr">
        <is>
          <t>DPS nặng hiện</t>
        </is>
      </c>
      <c r="H1" s="37" t="inlineStr">
        <is>
          <t>DPS thường mục tiêu (vs giáp 3)</t>
        </is>
      </c>
      <c r="I1" s="37" t="inlineStr">
        <is>
          <t>Vũ khí thêm / đổi</t>
        </is>
      </c>
      <c r="J1" s="44" t="inlineStr">
        <is>
          <t>Đòn lớn hiện tại</t>
        </is>
      </c>
      <c r="K1" s="45" t="inlineStr">
        <is>
          <t>Siêu vũ khí đề xuất</t>
        </is>
      </c>
      <c r="L1" s="37" t="inlineStr">
        <is>
          <t>Ghi chú</t>
        </is>
      </c>
    </row>
    <row r="2" ht="21.75" customHeight="1" s="32">
      <c r="A2" s="39"/>
      <c r="B2" s="39"/>
      <c r="C2" s="39"/>
      <c r="D2" s="39"/>
      <c r="E2" s="42"/>
      <c r="F2" s="42"/>
      <c r="G2" s="42"/>
      <c r="H2" s="42"/>
      <c r="I2" s="39"/>
      <c r="J2" s="39"/>
      <c r="K2" s="39"/>
      <c r="L2" s="39"/>
    </row>
    <row r="3" ht="15" customHeight="1" s="32">
      <c r="A3" s="41" t="inlineStr">
        <is>
          <t>behemoth_mk0</t>
        </is>
      </c>
      <c r="B3" s="41" t="inlineStr">
        <is>
          <t>Behemoth Mk.0 · Behemoth nguyên mẫu</t>
        </is>
      </c>
      <c r="C3" s="41" t="inlineStr">
        <is>
          <t>Mini</t>
        </is>
      </c>
      <c r="D3" s="41" t="inlineStr">
        <is>
          <t>Xen kẽ I</t>
        </is>
      </c>
      <c r="E3" s="43" t="n">
        <v>5610</v>
      </c>
      <c r="F3" s="43" t="n">
        <v>6000</v>
      </c>
      <c r="G3" s="43" t="n">
        <v>199</v>
      </c>
      <c r="H3" s="43" t="n">
        <v>200</v>
      </c>
      <c r="I3" s="41" t="inlineStr">
        <is>
          <t>Giữ</t>
        </is>
      </c>
      <c r="J3" s="41" t="inlineStr">
        <is>
          <t>behemoth_mk0_barrage · 4 · — · — · —</t>
        </is>
      </c>
      <c r="K3" s="41" t="inlineStr">
        <is>
          <t>Không có (mini boss). Bỏ đòn lớn hiện tại; chỉ giữ vũ khí thường.</t>
        </is>
      </c>
      <c r="L3" s="41" t="inlineStr">
        <is>
          <t>Luật mới: chỉ boss chủ lực có siêu vũ khí.</t>
        </is>
      </c>
    </row>
    <row r="4" ht="15" customHeight="1" s="32">
      <c r="A4" s="39" t="inlineStr">
        <is>
          <t>armored_train</t>
        </is>
      </c>
      <c r="B4" s="39" t="inlineStr">
        <is>
          <t>Juggernaut · Đoàn tàu bọc thép</t>
        </is>
      </c>
      <c r="C4" s="39" t="inlineStr">
        <is>
          <t>Mini</t>
        </is>
      </c>
      <c r="D4" s="39" t="inlineStr">
        <is>
          <t>4</t>
        </is>
      </c>
      <c r="E4" s="42" t="n">
        <v>5820</v>
      </c>
      <c r="F4" s="42" t="n">
        <v>8500</v>
      </c>
      <c r="G4" s="42" t="n">
        <v>220</v>
      </c>
      <c r="H4" s="42" t="n">
        <v>280</v>
      </c>
      <c r="I4" s="39" t="inlineStr">
        <is>
          <t>Thêm 1 toa cao xạ</t>
        </is>
      </c>
      <c r="J4" s="39" t="inlineStr">
        <is>
          <t>train_broadside · strip · 1 · 330 · 6 · 60 × 12 · Nổ mạnh</t>
        </is>
      </c>
      <c r="K4" s="39" t="inlineStr">
        <is>
          <t>Không có (mini boss). Bỏ đòn lớn hiện tại; chỉ giữ vũ khí thường.</t>
        </is>
      </c>
      <c r="L4" s="39" t="inlineStr">
        <is>
          <t>Luật mới: chỉ boss chủ lực có siêu vũ khí.</t>
        </is>
      </c>
    </row>
    <row r="5" ht="15" customHeight="1" s="32">
      <c r="A5" s="41" t="inlineStr">
        <is>
          <t>behemoth_tempest</t>
        </is>
      </c>
      <c r="B5" s="41" t="inlineStr">
        <is>
          <t>Tempest · Behemoth pháo điện từ</t>
        </is>
      </c>
      <c r="C5" s="41" t="inlineStr">
        <is>
          <t>Mini</t>
        </is>
      </c>
      <c r="D5" s="41" t="inlineStr">
        <is>
          <t>4</t>
        </is>
      </c>
      <c r="E5" s="43" t="n">
        <v>5820</v>
      </c>
      <c r="F5" s="43" t="n">
        <v>9000</v>
      </c>
      <c r="G5" s="43" t="n">
        <v>310</v>
      </c>
      <c r="H5" s="43" t="n">
        <v>290</v>
      </c>
      <c r="I5" s="41" t="inlineStr">
        <is>
          <t>Giữ pháo điện từ chính</t>
        </is>
      </c>
      <c r="J5" s="41" t="inlineStr">
        <is>
          <t>tempest_rail · line · 1 · 1300 · — · 90 × 3 · Động năng</t>
        </is>
      </c>
      <c r="K5" s="41" t="inlineStr">
        <is>
          <t>Không có (mini boss). Bỏ đòn lớn hiện tại; chỉ giữ vũ khí thường.</t>
        </is>
      </c>
      <c r="L5" s="41" t="inlineStr">
        <is>
          <t>Luật mới: chỉ boss chủ lực có siêu vũ khí.</t>
        </is>
      </c>
    </row>
    <row r="6" ht="15" customHeight="1" s="32">
      <c r="A6" s="39" t="inlineStr">
        <is>
          <t>locust</t>
        </is>
      </c>
      <c r="B6" s="39" t="inlineStr">
        <is>
          <t>Locust · Tàu con drone</t>
        </is>
      </c>
      <c r="C6" s="39" t="inlineStr">
        <is>
          <t>Mini</t>
        </is>
      </c>
      <c r="D6" s="39" t="inlineStr">
        <is>
          <t>5, 11</t>
        </is>
      </c>
      <c r="E6" s="42" t="n">
        <v>6311</v>
      </c>
      <c r="F6" s="42" t="n">
        <v>9000</v>
      </c>
      <c r="G6" s="42" t="n">
        <v>153</v>
      </c>
      <c r="H6" s="42" t="n">
        <v>280</v>
      </c>
      <c r="I6" s="39" t="inlineStr">
        <is>
          <t>Giữ</t>
        </is>
      </c>
      <c r="J6" s="39" t="inlineStr">
        <is>
          <t>locust_swarm · 1 · — · — · —</t>
        </is>
      </c>
      <c r="K6" s="39" t="inlineStr">
        <is>
          <t>Không có (mini boss). Bỏ đòn lớn hiện tại; chỉ giữ vũ khí thường.</t>
        </is>
      </c>
      <c r="L6" s="39" t="inlineStr">
        <is>
          <t>Luật mới: chỉ boss chủ lực có siêu vũ khí.</t>
        </is>
      </c>
    </row>
    <row r="7" ht="21.75" customHeight="1" s="32">
      <c r="A7" s="41"/>
      <c r="B7" s="41"/>
      <c r="C7" s="41"/>
      <c r="D7" s="41"/>
      <c r="E7" s="43"/>
      <c r="F7" s="43"/>
      <c r="G7" s="43"/>
      <c r="H7" s="43"/>
      <c r="I7" s="41"/>
      <c r="J7" s="41"/>
      <c r="K7" s="41"/>
      <c r="L7" s="41"/>
    </row>
    <row r="8" ht="15" customHeight="1" s="32">
      <c r="A8" s="39" t="inlineStr">
        <is>
          <t>behemoth_mk2</t>
        </is>
      </c>
      <c r="B8" s="39" t="inlineStr">
        <is>
          <t>Behemoth Mk.II · Behemoth nâng cấp</t>
        </is>
      </c>
      <c r="C8" s="39" t="inlineStr">
        <is>
          <t>Mini</t>
        </is>
      </c>
      <c r="D8" s="39" t="inlineStr">
        <is>
          <t>6</t>
        </is>
      </c>
      <c r="E8" s="42" t="n">
        <v>6942</v>
      </c>
      <c r="F8" s="42" t="n">
        <v>10500</v>
      </c>
      <c r="G8" s="42" t="n">
        <v>156</v>
      </c>
      <c r="H8" s="42" t="n">
        <v>320</v>
      </c>
      <c r="I8" s="39" t="inlineStr">
        <is>
          <t>Giữ</t>
        </is>
      </c>
      <c r="J8" s="39" t="inlineStr">
        <is>
          <t>behemoth_mk2_barrage · 4 · — · — · —</t>
        </is>
      </c>
      <c r="K8" s="39" t="inlineStr">
        <is>
          <t>Không có (mini boss). Bỏ đòn lớn hiện tại; chỉ giữ vũ khí thường.</t>
        </is>
      </c>
      <c r="L8" s="39" t="inlineStr">
        <is>
          <t>Luật mới: chỉ boss chủ lực có siêu vũ khí.</t>
        </is>
      </c>
    </row>
    <row r="9" ht="21.75" customHeight="1" s="32">
      <c r="A9" s="41" t="inlineStr">
        <is>
          <t>landing_hovercraft</t>
        </is>
      </c>
      <c r="B9" s="41" t="inlineStr">
        <is>
          <t>Charybdis · Tàu đệm khí đổ bộ</t>
        </is>
      </c>
      <c r="C9" s="41" t="inlineStr">
        <is>
          <t>Mini</t>
        </is>
      </c>
      <c r="D9" s="41" t="inlineStr">
        <is>
          <t>6</t>
        </is>
      </c>
      <c r="E9" s="43" t="n">
        <v>7293</v>
      </c>
      <c r="F9" s="43" t="n">
        <v>10000</v>
      </c>
      <c r="G9" s="43" t="n">
        <v>84</v>
      </c>
      <c r="H9" s="43" t="n">
        <v>300</v>
      </c>
      <c r="I9" s="41" t="inlineStr">
        <is>
          <t>Giữ; sửa AK-630 như xuồng</t>
        </is>
      </c>
      <c r="J9" s="41" t="inlineStr">
        <is>
          <t>hover_assault · strip · 1 · 58 · 4 · 40 × 20 · Nổ mạnh
hover_assault · drop · 1 · — · — · —</t>
        </is>
      </c>
      <c r="K9" s="41" t="inlineStr">
        <is>
          <t>Không có (mini boss). Bỏ đòn lớn hiện tại; chỉ giữ vũ khí thường.</t>
        </is>
      </c>
      <c r="L9" s="41" t="inlineStr">
        <is>
          <t>Luật mới: chỉ boss chủ lực có siêu vũ khí.</t>
        </is>
      </c>
    </row>
    <row r="10" ht="15" customHeight="1" s="32">
      <c r="A10" s="39" t="inlineStr">
        <is>
          <t>argus</t>
        </is>
      </c>
      <c r="B10" s="39" t="inlineStr">
        <is>
          <t>Argus · Khí cầu trinh sát</t>
        </is>
      </c>
      <c r="C10" s="39" t="inlineStr">
        <is>
          <t>Mini</t>
        </is>
      </c>
      <c r="D10" s="39" t="inlineStr">
        <is>
          <t>10</t>
        </is>
      </c>
      <c r="E10" s="42" t="n">
        <v>7410</v>
      </c>
      <c r="F10" s="42" t="n">
        <v>12000</v>
      </c>
      <c r="G10" s="42" t="n">
        <v>64</v>
      </c>
      <c r="H10" s="42" t="n">
        <v>250</v>
      </c>
      <c r="I10" s="39" t="inlineStr">
        <is>
          <t>Giữ; vai trò soi cho pháo</t>
        </is>
      </c>
      <c r="J10" s="39" t="inlineStr">
        <is>
          <t>argus_fire_call · circle · 10 · 200 · 5 · — · Nổ mạnh</t>
        </is>
      </c>
      <c r="K10" s="39" t="inlineStr">
        <is>
          <t>Không có (mini boss). Bỏ đòn lớn hiện tại; chỉ giữ vũ khí thường.</t>
        </is>
      </c>
      <c r="L10" s="39" t="inlineStr">
        <is>
          <t>Luật mới: chỉ boss chủ lực có siêu vũ khí.</t>
        </is>
      </c>
    </row>
    <row r="11" ht="15" customHeight="1" s="32">
      <c r="A11" s="41" t="inlineStr">
        <is>
          <t>ixion</t>
        </is>
      </c>
      <c r="B11" s="41" t="inlineStr">
        <is>
          <t>Ixion · Xe bánh khổng lồ</t>
        </is>
      </c>
      <c r="C11" s="41" t="inlineStr">
        <is>
          <t>Mini</t>
        </is>
      </c>
      <c r="D11" s="41" t="inlineStr">
        <is>
          <t>8</t>
        </is>
      </c>
      <c r="E11" s="43" t="n">
        <v>7574</v>
      </c>
      <c r="F11" s="43" t="n">
        <v>11000</v>
      </c>
      <c r="G11" s="43" t="n">
        <v>49</v>
      </c>
      <c r="H11" s="43" t="n">
        <v>300</v>
      </c>
      <c r="I11" s="41" t="inlineStr">
        <is>
          <t>Thêm 2 súng máy 12,7 mm trên thân</t>
        </is>
      </c>
      <c r="J11" s="41" t="inlineStr">
        <is>
          <t>ixion_crush_charge · charge · 1 · 900 · — · 80 × 10 · Động năng</t>
        </is>
      </c>
      <c r="K11" s="41" t="inlineStr">
        <is>
          <t>Không có (mini boss). Bỏ đòn lớn hiện tại; chỉ giữ vũ khí thường.</t>
        </is>
      </c>
      <c r="L11" s="41" t="inlineStr">
        <is>
          <t>Luật mới: chỉ boss chủ lực có siêu vũ khí.</t>
        </is>
      </c>
    </row>
    <row r="12" ht="15" customHeight="1" s="32">
      <c r="A12" s="39"/>
      <c r="B12" s="39"/>
      <c r="C12" s="39"/>
      <c r="D12" s="39"/>
      <c r="E12" s="42"/>
      <c r="F12" s="42"/>
      <c r="G12" s="42"/>
      <c r="H12" s="42"/>
      <c r="I12" s="39"/>
      <c r="J12" s="39"/>
      <c r="K12" s="39"/>
      <c r="L12" s="39"/>
    </row>
    <row r="13" ht="21.75" customHeight="1" s="32">
      <c r="A13" s="41"/>
      <c r="B13" s="41"/>
      <c r="C13" s="41"/>
      <c r="D13" s="41"/>
      <c r="E13" s="43"/>
      <c r="F13" s="43"/>
      <c r="G13" s="43"/>
      <c r="H13" s="43"/>
      <c r="I13" s="41"/>
      <c r="J13" s="41"/>
      <c r="K13" s="41"/>
      <c r="L13" s="41"/>
    </row>
    <row r="14" ht="21.75" customHeight="1" s="32">
      <c r="A14" s="39"/>
      <c r="B14" s="39"/>
      <c r="C14" s="39"/>
      <c r="D14" s="39"/>
      <c r="E14" s="42"/>
      <c r="F14" s="42"/>
      <c r="G14" s="42"/>
      <c r="H14" s="42"/>
      <c r="I14" s="39"/>
      <c r="J14" s="39"/>
      <c r="K14" s="39"/>
      <c r="L14" s="39"/>
    </row>
    <row r="15" ht="32.25" customHeight="1" s="32">
      <c r="A15" s="41"/>
      <c r="B15" s="41"/>
      <c r="C15" s="41"/>
      <c r="D15" s="41"/>
      <c r="E15" s="43"/>
      <c r="F15" s="43"/>
      <c r="G15" s="43"/>
      <c r="H15" s="43"/>
      <c r="I15" s="41"/>
      <c r="J15" s="41"/>
      <c r="K15" s="41"/>
      <c r="L15" s="41"/>
    </row>
    <row r="16" ht="15" customHeight="1" s="32">
      <c r="A16" s="39" t="inlineStr">
        <is>
          <t>icarus_mk0</t>
        </is>
      </c>
      <c r="B16" s="39" t="inlineStr">
        <is>
          <t>Icarus Mk.0 · Phi thuyền nguyên mẫu</t>
        </is>
      </c>
      <c r="C16" s="39" t="inlineStr">
        <is>
          <t>Mini</t>
        </is>
      </c>
      <c r="D16" s="39" t="inlineStr">
        <is>
          <t>10</t>
        </is>
      </c>
      <c r="E16" s="42" t="n">
        <v>8696</v>
      </c>
      <c r="F16" s="42" t="n">
        <v>12500</v>
      </c>
      <c r="G16" s="42" t="n">
        <v>90</v>
      </c>
      <c r="H16" s="42" t="n">
        <v>300</v>
      </c>
      <c r="I16" s="39" t="inlineStr">
        <is>
          <t>Thêm 1 tháp laser phòng thủ điểm</t>
        </is>
      </c>
      <c r="J16" s="39" t="inlineStr">
        <is>
          <t>icarus_mk0_rods · 3 · — · — · —</t>
        </is>
      </c>
      <c r="K16" s="39" t="inlineStr">
        <is>
          <t>Không có (mini boss). Bỏ đòn lớn hiện tại; chỉ giữ vũ khí thường.</t>
        </is>
      </c>
      <c r="L16" s="39" t="inlineStr">
        <is>
          <t>Luật mới: chỉ boss chủ lực có siêu vũ khí.</t>
        </is>
      </c>
    </row>
    <row r="17" ht="15" customHeight="1" s="32">
      <c r="A17" s="41" t="inlineStr">
        <is>
          <t>behemoth_inferno</t>
        </is>
      </c>
      <c r="B17" s="41" t="inlineStr">
        <is>
          <t>Inferno · Behemoth phun lửa</t>
        </is>
      </c>
      <c r="C17" s="41" t="inlineStr">
        <is>
          <t>Mini</t>
        </is>
      </c>
      <c r="D17" s="41" t="inlineStr">
        <is>
          <t>2</t>
        </is>
      </c>
      <c r="E17" s="43" t="n">
        <v>8836</v>
      </c>
      <c r="F17" s="43" t="n">
        <v>7000</v>
      </c>
      <c r="G17" s="43" t="n">
        <v>222</v>
      </c>
      <c r="H17" s="43" t="n">
        <v>230</v>
      </c>
      <c r="I17" s="41" t="inlineStr">
        <is>
          <t>Giữ; súng phun lửa là vũ khí chính</t>
        </is>
      </c>
      <c r="J17" s="41" t="inlineStr">
        <is>
          <t>inferno_firestorm · circle · 1 · 200 · 18 · — · Lửa</t>
        </is>
      </c>
      <c r="K17" s="41" t="inlineStr">
        <is>
          <t>Không có (mini boss). Bỏ đòn lớn hiện tại; chỉ giữ vũ khí thường.</t>
        </is>
      </c>
      <c r="L17" s="41" t="inlineStr">
        <is>
          <t>Luật mới: chỉ boss chủ lực có siêu vũ khí.</t>
        </is>
      </c>
    </row>
    <row r="18" ht="15" customHeight="1" s="32">
      <c r="A18" s="39" t="inlineStr">
        <is>
          <t>fenrir</t>
        </is>
      </c>
      <c r="B18" s="39" t="inlineStr">
        <is>
          <t>Fenrir · Xe tiên phong</t>
        </is>
      </c>
      <c r="C18" s="39" t="inlineStr">
        <is>
          <t>Mini</t>
        </is>
      </c>
      <c r="D18" s="39" t="inlineStr">
        <is>
          <t>3</t>
        </is>
      </c>
      <c r="E18" s="42" t="n">
        <v>9163</v>
      </c>
      <c r="F18" s="42" t="n">
        <v>8000</v>
      </c>
      <c r="G18" s="42" t="n">
        <v>135</v>
      </c>
      <c r="H18" s="42" t="n">
        <v>260</v>
      </c>
      <c r="I18" s="39" t="inlineStr">
        <is>
          <t>Giữ 2 hộp rốc-két và cao xạ</t>
        </is>
      </c>
      <c r="J18" s="39" t="inlineStr">
        <is>
          <t>fenrir_rocket_rain · 1 · — · — · —</t>
        </is>
      </c>
      <c r="K18" s="39" t="inlineStr">
        <is>
          <t>Không có (mini boss). Bỏ đòn lớn hiện tại; chỉ giữ vũ khí thường.</t>
        </is>
      </c>
      <c r="L18" s="39" t="inlineStr">
        <is>
          <t>Luật mới: chỉ boss chủ lực có siêu vũ khí.</t>
        </is>
      </c>
    </row>
    <row r="19" ht="15" customHeight="1" s="32">
      <c r="A19" s="41" t="inlineStr">
        <is>
          <t>daedalus</t>
        </is>
      </c>
      <c r="B19" s="41" t="inlineStr">
        <is>
          <t>Daedalus · Tàu đổ bộ quỹ đạo</t>
        </is>
      </c>
      <c r="C19" s="41" t="inlineStr">
        <is>
          <t>Chủ lực</t>
        </is>
      </c>
      <c r="D19" s="41" t="inlineStr">
        <is>
          <t>11</t>
        </is>
      </c>
      <c r="E19" s="43" t="n">
        <v>9435</v>
      </c>
      <c r="F19" s="43" t="n">
        <v>24000</v>
      </c>
      <c r="G19" s="43" t="n">
        <v>66</v>
      </c>
      <c r="H19" s="43" t="n">
        <v>700</v>
      </c>
      <c r="I19" s="41" t="inlineStr">
        <is>
          <t>Thêm 2 tháp laser phòng thủ điểm và 2 pháo 57 mm dưới bụng</t>
        </is>
      </c>
      <c r="J19" s="41" t="inlineStr">
        <is>
          <t>daedalus_mass_drop · circle · 6 · 400 · 5 · — · Động năng</t>
        </is>
      </c>
      <c r="K19" s="41" t="inlineStr">
        <is>
          <t>Đổ bộ ồ ạt: 8 khoang × 500 · nổ lan 6 m + thả xe · mỗi 70 s · cảnh báo 4 s</t>
        </is>
      </c>
      <c r="L19" s="41" t="inlineStr">
        <is>
          <t>Đang yếu hơn nhiều mini boss.</t>
        </is>
      </c>
    </row>
    <row r="20" ht="15" customHeight="1" s="32">
      <c r="A20" s="39" t="inlineStr">
        <is>
          <t>mega_gunship</t>
        </is>
      </c>
      <c r="B20" s="39" t="inlineStr">
        <is>
          <t>Harpy · Trực thăng khổng lồ</t>
        </is>
      </c>
      <c r="C20" s="39" t="inlineStr">
        <is>
          <t>Mini</t>
        </is>
      </c>
      <c r="D20" s="39" t="inlineStr">
        <is>
          <t>3</t>
        </is>
      </c>
      <c r="E20" s="42" t="n">
        <v>9677</v>
      </c>
      <c r="F20" s="42" t="n">
        <v>8000</v>
      </c>
      <c r="G20" s="42" t="n">
        <v>100</v>
      </c>
      <c r="H20" s="42" t="n">
        <v>250</v>
      </c>
      <c r="I20" s="39" t="inlineStr">
        <is>
          <t>Thêm 1 cửa súng máy mỗi bên</t>
        </is>
      </c>
      <c r="J20" s="39" t="inlineStr">
        <is>
          <t>ironbird_rocket_run · strip · 1 · 32 · 3 · 70 × 8 · Nổ mạnh</t>
        </is>
      </c>
      <c r="K20" s="39" t="inlineStr">
        <is>
          <t>Không có (mini boss). Bỏ đòn lớn hiện tại; chỉ giữ vũ khí thường.</t>
        </is>
      </c>
      <c r="L20" s="39" t="inlineStr">
        <is>
          <t>Luật mới: chỉ boss chủ lực có siêu vũ khí.</t>
        </is>
      </c>
    </row>
    <row r="21" ht="15" customHeight="1" s="32">
      <c r="A21" s="41" t="inlineStr">
        <is>
          <t>behemoth</t>
        </is>
      </c>
      <c r="B21" s="41" t="inlineStr">
        <is>
          <t>Behemoth · Quái vật thép</t>
        </is>
      </c>
      <c r="C21" s="41" t="inlineStr">
        <is>
          <t>Chủ lực</t>
        </is>
      </c>
      <c r="D21" s="41" t="inlineStr">
        <is>
          <t>2</t>
        </is>
      </c>
      <c r="E21" s="43" t="n">
        <v>10115</v>
      </c>
      <c r="F21" s="43" t="n">
        <v>13000</v>
      </c>
      <c r="G21" s="43" t="n">
        <v>413</v>
      </c>
      <c r="H21" s="43" t="n">
        <v>420</v>
      </c>
      <c r="I21" s="41" t="inlineStr">
        <is>
          <t>Thêm 1 bệ tên lửa chống tăng Kornet đôi phía sau tháp chính</t>
        </is>
      </c>
      <c r="J21" s="41" t="inlineStr">
        <is>
          <t>behemoth_barrage · circle · 6 · 340 · 8 · — · Nổ mạnh</t>
        </is>
      </c>
      <c r="K21" s="41" t="inlineStr">
        <is>
          <t>Loạt pháo chính dồn: 6 × 400 · nổ lan 8 m · mỗi 50 s · vạch 6 vòng tròn trước 3,5 s</t>
        </is>
      </c>
      <c r="L21" s="41" t="inlineStr">
        <is>
          <t>Giữ đòn hiện tại nhưng tăng nhẹ và cố định chu kỳ.</t>
        </is>
      </c>
    </row>
    <row r="22" ht="15" customHeight="1" s="32">
      <c r="A22" s="39" t="inlineStr">
        <is>
          <t>earth_borer</t>
        </is>
      </c>
      <c r="B22" s="39" t="inlineStr">
        <is>
          <t>Tartarus · Máy khoan</t>
        </is>
      </c>
      <c r="C22" s="39" t="inlineStr">
        <is>
          <t>Mini</t>
        </is>
      </c>
      <c r="D22" s="39" t="inlineStr">
        <is>
          <t>8</t>
        </is>
      </c>
      <c r="E22" s="42" t="n">
        <v>11430</v>
      </c>
      <c r="F22" s="42" t="n">
        <v>11000</v>
      </c>
      <c r="G22" s="42" t="n">
        <v>271</v>
      </c>
      <c r="H22" s="42" t="n">
        <v>330</v>
      </c>
      <c r="I22" s="39" t="inlineStr">
        <is>
          <t>Giữ</t>
        </is>
      </c>
      <c r="J22" s="39" t="inlineStr">
        <is>
          <t>borer_quake · quake · 1 · 700 · 16 · — · Nổ mạnh</t>
        </is>
      </c>
      <c r="K22" s="39" t="inlineStr">
        <is>
          <t>Không có (mini boss). Bỏ đòn lớn hiện tại; chỉ giữ vũ khí thường.</t>
        </is>
      </c>
      <c r="L22" s="39" t="inlineStr">
        <is>
          <t>Luật mới: chỉ boss chủ lực có siêu vũ khí.</t>
        </is>
      </c>
    </row>
    <row r="23" ht="15" customHeight="1" s="32">
      <c r="A23" s="41" t="inlineStr">
        <is>
          <t>bastion_mk0</t>
        </is>
      </c>
      <c r="B23" s="41" t="inlineStr">
        <is>
          <t>Bastion Mk.0 · Pháo đài nguyên mẫu</t>
        </is>
      </c>
      <c r="C23" s="41" t="inlineStr">
        <is>
          <t>Mini</t>
        </is>
      </c>
      <c r="D23" s="41" t="inlineStr">
        <is>
          <t>1</t>
        </is>
      </c>
      <c r="E23" s="43" t="n">
        <v>12576</v>
      </c>
      <c r="F23" s="43" t="n">
        <v>6500</v>
      </c>
      <c r="G23" s="43" t="n">
        <v>136</v>
      </c>
      <c r="H23" s="43" t="n">
        <v>200</v>
      </c>
      <c r="I23" s="41" t="inlineStr">
        <is>
          <t>Giữ cối 240 mm (bắn thường) và 2 Bofors</t>
        </is>
      </c>
      <c r="J23" s="41" t="inlineStr">
        <is>
          <t>bastion_mk0_mortar · 3 · — · — · —</t>
        </is>
      </c>
      <c r="K23" s="41" t="inlineStr">
        <is>
          <t>Không có (mini boss). Bỏ đòn lớn hiện tại; chỉ giữ vũ khí thường.</t>
        </is>
      </c>
      <c r="L23" s="41" t="inlineStr">
        <is>
          <t>Luật mới: chỉ boss chủ lực có siêu vũ khí.</t>
        </is>
      </c>
    </row>
    <row r="24" ht="21.75" customHeight="1" s="32">
      <c r="A24" s="39" t="inlineStr">
        <is>
          <t>nuke_train</t>
        </is>
      </c>
      <c r="B24" s="39" t="inlineStr">
        <is>
          <t>Nemesis · Đoàn tàu tên lửa</t>
        </is>
      </c>
      <c r="C24" s="39" t="inlineStr">
        <is>
          <t>Chủ lực</t>
        </is>
      </c>
      <c r="D24" s="39" t="inlineStr">
        <is>
          <t>7</t>
        </is>
      </c>
      <c r="E24" s="42" t="n">
        <v>13260</v>
      </c>
      <c r="F24" s="42" t="n">
        <v>20000</v>
      </c>
      <c r="G24" s="42" t="n">
        <v>293</v>
      </c>
      <c r="H24" s="42" t="n">
        <v>600</v>
      </c>
      <c r="I24" s="39" t="inlineStr">
        <is>
          <t>Thêm 1 toa pháo 152 mm</t>
        </is>
      </c>
      <c r="J24" s="39" t="inlineStr">
        <is>
          <t>doomsday_missile · missile · 1 · 2500 · 18 · — · Nổ mạnh</t>
        </is>
      </c>
      <c r="K24" s="39" t="inlineStr">
        <is>
          <t>Tên lửa Tận thế: 1 × 2.500 · nổ lan 18 m · mỗi 90 s · đồng hồ bay 6 s · PAC-3 và Vòm Sắt bắn hạ được</t>
        </is>
      </c>
      <c r="L24" s="39" t="inlineStr">
        <is>
          <t>Giữ, cố định chu kỳ.</t>
        </is>
      </c>
    </row>
    <row r="25" ht="21.75" customHeight="1" s="32">
      <c r="A25" s="41" t="inlineStr">
        <is>
          <t>scylla</t>
        </is>
      </c>
      <c r="B25" s="41" t="inlineStr">
        <is>
          <t>Scylla · Tàu khu trục</t>
        </is>
      </c>
      <c r="C25" s="41" t="inlineStr">
        <is>
          <t>Mini</t>
        </is>
      </c>
      <c r="D25" s="41" t="inlineStr">
        <is>
          <t>4, 9</t>
        </is>
      </c>
      <c r="E25" s="43" t="n">
        <v>13370</v>
      </c>
      <c r="F25" s="43" t="n">
        <v>9000</v>
      </c>
      <c r="G25" s="43" t="n">
        <v>79</v>
      </c>
      <c r="H25" s="43" t="n">
        <v>300</v>
      </c>
      <c r="I25" s="41" t="inlineStr">
        <is>
          <t>Thay pháo 460 mm bằng AK-130 đôi 130 mm (160/phát · 1 phát/s loạt 2 · nổ lan 4 m · tầm 90) + bệ tên lửa chống hạm (1 × 450 mỗi 15 s)</t>
        </is>
      </c>
      <c r="J25" s="41" t="inlineStr">
        <is>
          <t>scylla_cruise · missile · 3 · 450 · 8 · — · Nổ mạnh</t>
        </is>
      </c>
      <c r="K25" s="41" t="inlineStr">
        <is>
          <t>Không có (mini boss). Bỏ đòn lớn hiện tại; chỉ giữ vũ khí thường.</t>
        </is>
      </c>
      <c r="L25" s="41" t="inlineStr">
        <is>
          <t>Luật mới: chỉ boss chủ lực có siêu vũ khí.</t>
        </is>
      </c>
    </row>
    <row r="26" ht="21.75" customHeight="1" s="32">
      <c r="A26" s="39" t="inlineStr">
        <is>
          <t>silver_bug</t>
        </is>
      </c>
      <c r="B26" s="39" t="inlineStr">
        <is>
          <t>Icarus · Phi thuyền quỹ đạo</t>
        </is>
      </c>
      <c r="C26" s="39" t="inlineStr">
        <is>
          <t>Chủ lực (trùm cuối)</t>
        </is>
      </c>
      <c r="D26" s="39" t="inlineStr">
        <is>
          <t>12</t>
        </is>
      </c>
      <c r="E26" s="42" t="n">
        <v>13388</v>
      </c>
      <c r="F26" s="42" t="n">
        <v>26000</v>
      </c>
      <c r="G26" s="42" t="n">
        <v>370</v>
      </c>
      <c r="H26" s="42" t="n">
        <v>800</v>
      </c>
      <c r="I26" s="39" t="inlineStr">
        <is>
          <t>Thay 2 pháo Rh-120, 2 Oerlikon, 2 Bofors bằng 2 coilgun và 2 tháp laser phòng thủ điểm; pha 3 thêm 4 tháp phụ thường trên xác</t>
        </is>
      </c>
      <c r="J26" s="39" t="inlineStr">
        <is>
          <t>bug_rod_rain · rods · 5 · 1600 · 6 · — · Động năng</t>
        </is>
      </c>
      <c r="K26" s="39" t="inlineStr">
        <is>
          <t>Mưa thanh tungsten: 7 × 1.800 · nổ lan 7 m · mỗi 60 s (pha 3: 9 thanh, mỗi 50 s) · cảnh báo 4 s · khói và APS không chặn, khiên hấp thụ một phần</t>
        </is>
      </c>
      <c r="L26" s="39" t="inlineStr">
        <is>
          <t>Trùm cuối: nhiều máu và DPS nhất.</t>
        </is>
      </c>
    </row>
    <row r="27" ht="21.75" customHeight="1" s="32">
      <c r="A27" s="41" t="inlineStr">
        <is>
          <t>mobile_fortress</t>
        </is>
      </c>
      <c r="B27" s="41" t="inlineStr">
        <is>
          <t>Jötunn · Pháo đài di động</t>
        </is>
      </c>
      <c r="C27" s="41" t="inlineStr">
        <is>
          <t>Chủ lực</t>
        </is>
      </c>
      <c r="D27" s="41" t="inlineStr">
        <is>
          <t>3</t>
        </is>
      </c>
      <c r="E27" s="43" t="n">
        <v>15470</v>
      </c>
      <c r="F27" s="43" t="n">
        <v>15000</v>
      </c>
      <c r="G27" s="43" t="n">
        <v>308</v>
      </c>
      <c r="H27" s="43" t="n">
        <v>460</v>
      </c>
      <c r="I27" s="41" t="inlineStr">
        <is>
          <t>Thêm tháp pháo 30 mm đôi chống drone</t>
        </is>
      </c>
      <c r="J27" s="41" t="inlineStr">
        <is>
          <t>fortress_rocket_rain · circle · 1 · 58 · 4 · — · Nổ mạnh</t>
        </is>
      </c>
      <c r="K27" s="41" t="inlineStr">
        <is>
          <t>Loạt pháo 203 mm: 4 × 700 · nổ lan 8 m · mỗi 55 s · cảnh báo 4 s</t>
        </is>
      </c>
      <c r="L27" s="41" t="inlineStr">
        <is>
          <t>Đòn hiện tại (rốc-két 58 sát thương) quá yếu cho boss chủ lực.</t>
        </is>
      </c>
    </row>
    <row r="28" ht="15" customHeight="1" s="32">
      <c r="A28" s="39" t="inlineStr">
        <is>
          <t>command_airship</t>
        </is>
      </c>
      <c r="B28" s="39" t="inlineStr">
        <is>
          <t>Roc · Khí cầu chỉ huy</t>
        </is>
      </c>
      <c r="C28" s="39" t="inlineStr">
        <is>
          <t>Chủ lực</t>
        </is>
      </c>
      <c r="D28" s="39" t="inlineStr">
        <is>
          <t>10</t>
        </is>
      </c>
      <c r="E28" s="42" t="n">
        <v>16575</v>
      </c>
      <c r="F28" s="42" t="n">
        <v>23000</v>
      </c>
      <c r="G28" s="42" t="n">
        <v>233</v>
      </c>
      <c r="H28" s="42" t="n">
        <v>680</v>
      </c>
      <c r="I28" s="39" t="inlineStr">
        <is>
          <t>Thêm 2 tháp 30 mm đôi dưới bụng</t>
        </is>
      </c>
      <c r="J28" s="39" t="inlineStr">
        <is>
          <t>airship_carpet · strip · 12 · 300 · 7 · 70 × 12 · Nổ mạnh</t>
        </is>
      </c>
      <c r="K28" s="39" t="inlineStr">
        <is>
          <t>Rải bom thảm: 16 × 350 · nổ lan 7 m · dải 80 × 12 m · mỗi 70 s · cảnh báo 4 s</t>
        </is>
      </c>
      <c r="L28" s="39" t="inlineStr">
        <is>
          <t>Tăng từ 12 quả.</t>
        </is>
      </c>
    </row>
    <row r="29" ht="21.75" customHeight="1" s="32">
      <c r="A29" s="41" t="inlineStr">
        <is>
          <t>moloch</t>
        </is>
      </c>
      <c r="B29" s="41" t="inlineStr">
        <is>
          <t>Moloch · Nhà máy di động</t>
        </is>
      </c>
      <c r="C29" s="41" t="inlineStr">
        <is>
          <t>Chủ lực</t>
        </is>
      </c>
      <c r="D29" s="41" t="inlineStr">
        <is>
          <t>6</t>
        </is>
      </c>
      <c r="E29" s="43" t="n">
        <v>17212</v>
      </c>
      <c r="F29" s="43" t="n">
        <v>19000</v>
      </c>
      <c r="G29" s="43" t="n">
        <v>236</v>
      </c>
      <c r="H29" s="43" t="n">
        <v>560</v>
      </c>
      <c r="I29" s="41" t="inlineStr">
        <is>
          <t>Thêm 2 bệ ZU-23 trên nóc</t>
        </is>
      </c>
      <c r="J29" s="41" t="inlineStr">
        <is>
          <t>moloch_factory_dump · drop · 1 · — · — · —
moloch_factory_dump · circle · 8 · 300 · 6 · — · Nổ mạnh</t>
        </is>
      </c>
      <c r="K29" s="41" t="inlineStr">
        <is>
          <t>Xả xưởng: 8 × 300 · nổ lan 6 m + thả 6 xe · mỗi 75 s · cảnh báo cửa xưởng mở 4 s</t>
        </is>
      </c>
      <c r="L29" s="41" t="inlineStr">
        <is>
          <t>Giữ đòn hiện tại, cố định chu kỳ.</t>
        </is>
      </c>
    </row>
    <row r="30" ht="21.75" customHeight="1" s="32">
      <c r="A30" s="39" t="inlineStr">
        <is>
          <t>fortress_bastion</t>
        </is>
      </c>
      <c r="B30" s="39" t="inlineStr">
        <is>
          <t>Bastion · Pháo đài</t>
        </is>
      </c>
      <c r="C30" s="39" t="inlineStr">
        <is>
          <t>Chủ lực</t>
        </is>
      </c>
      <c r="D30" s="39" t="inlineStr">
        <is>
          <t>1</t>
        </is>
      </c>
      <c r="E30" s="42" t="n">
        <v>17935</v>
      </c>
      <c r="F30" s="42" t="n">
        <v>12000</v>
      </c>
      <c r="G30" s="42" t="n">
        <v>331</v>
      </c>
      <c r="H30" s="42" t="n">
        <v>360</v>
      </c>
      <c r="I30" s="39" t="inlineStr">
        <is>
          <t>Thêm 2 tháp súng máy NSV ở hai bên hông (chống xe nhẹ áp sát)</t>
        </is>
      </c>
      <c r="J30" s="39" t="inlineStr">
        <is>
          <t>bastion_mortar_walk · strip · 6 · 460 · 9 · 60 × 0 · Nổ mạnh</t>
        </is>
      </c>
      <c r="K30" s="39" t="inlineStr">
        <is>
          <t>Pháo cối 420 mm: 1 quả × 2.000 · nổ lan 14 m · mỗi 60 s · cảnh báo vòng đỏ 4 s · Máy phát khiên hấp thụ được; phá khẩu cối thì mất đòn</t>
        </is>
      </c>
      <c r="L30" s="39" t="inlineStr">
        <is>
          <t>Boss chương 1 phải dễ đọc: một đòn to, rõ.</t>
        </is>
      </c>
    </row>
    <row r="31" ht="21.75" customHeight="1" s="32">
      <c r="A31" s="41" t="inlineStr">
        <is>
          <t>typhon</t>
        </is>
      </c>
      <c r="B31" s="41" t="inlineStr">
        <is>
          <t>Typhon · Tàu ngầm tên lửa</t>
        </is>
      </c>
      <c r="C31" s="41" t="inlineStr">
        <is>
          <t>Chủ lực</t>
        </is>
      </c>
      <c r="D31" s="41" t="inlineStr">
        <is>
          <t>9</t>
        </is>
      </c>
      <c r="E31" s="43" t="n">
        <v>17935</v>
      </c>
      <c r="F31" s="43" t="n">
        <v>22000</v>
      </c>
      <c r="G31" s="43" t="n">
        <v>78</v>
      </c>
      <c r="H31" s="43" t="n">
        <v>640</v>
      </c>
      <c r="I31" s="41" t="inlineStr">
        <is>
          <t>Thêm tên lửa hành trình tầm ngắn bắn thường (1 quả × 320 mỗi 12 s khi nổi)</t>
        </is>
      </c>
      <c r="J31" s="41" t="inlineStr">
        <is>
          <t>typhon_underwater_launch · missile · 3 · 500 · 8 · — · Nổ mạnh</t>
        </is>
      </c>
      <c r="K31" s="41" t="inlineStr">
        <is>
          <t>Loạt tên lửa từ dưới nước: 6 × 600 · nổ lan 9 m · mỗi 75 s · cảnh báo 4 s + đồng hồ bay</t>
        </is>
      </c>
      <c r="L31" s="41" t="inlineStr">
        <is>
          <t>Đòn hiện tại 3 quả là ít so với trùm chương 9.</t>
        </is>
      </c>
    </row>
    <row r="32" ht="15" customHeight="1" s="32">
      <c r="A32" s="39"/>
      <c r="B32" s="39"/>
      <c r="C32" s="39"/>
      <c r="D32" s="39"/>
      <c r="E32" s="42"/>
      <c r="F32" s="42"/>
      <c r="G32" s="42"/>
      <c r="H32" s="42"/>
      <c r="I32" s="39"/>
      <c r="J32" s="39"/>
      <c r="K32" s="39"/>
      <c r="L32" s="39"/>
    </row>
    <row r="33" ht="21.75" customHeight="1" s="32">
      <c r="A33" s="41" t="inlineStr">
        <is>
          <t>leviathan</t>
        </is>
      </c>
      <c r="B33" s="41" t="inlineStr">
        <is>
          <t>Leviathan · Thiết giáp hạm</t>
        </is>
      </c>
      <c r="C33" s="41" t="inlineStr">
        <is>
          <t>Chủ lực</t>
        </is>
      </c>
      <c r="D33" s="41" t="inlineStr">
        <is>
          <t>4</t>
        </is>
      </c>
      <c r="E33" s="43" t="n">
        <v>18700</v>
      </c>
      <c r="F33" s="43" t="n">
        <v>17000</v>
      </c>
      <c r="G33" s="43" t="n">
        <v>381</v>
      </c>
      <c r="H33" s="43" t="n">
        <v>520</v>
      </c>
      <c r="I33" s="41" t="inlineStr">
        <is>
          <t>Thêm bệ tên lửa phòng không tầm trung (chống máy bay ta)</t>
        </is>
      </c>
      <c r="J33" s="41" t="inlineStr">
        <is>
          <t>leviathan_volley · circle · 1 · 950 · 8 · — · Nổ mạnh</t>
        </is>
      </c>
      <c r="K33" s="41" t="inlineStr">
        <is>
          <t>Loạt pháo chính 9 phát 460 mm: 9 × 950 · nổ lan 13 m · rải theo dải 60 × 12 m · mỗi 70 s · cảnh báo 4 s</t>
        </is>
      </c>
      <c r="L33" s="41" t="inlineStr">
        <is>
          <t>Đòn hiện tại chỉ 1 phát 950 cho thiết giáp hạm.</t>
        </is>
      </c>
    </row>
    <row r="34" ht="21.75" customHeight="1" s="32">
      <c r="A34" s="39" t="inlineStr">
        <is>
          <t>drone_mothership</t>
        </is>
      </c>
      <c r="B34" s="39" t="inlineStr">
        <is>
          <t>Matriarch · Tàu mẹ drone</t>
        </is>
      </c>
      <c r="C34" s="39" t="inlineStr">
        <is>
          <t>Chủ lực</t>
        </is>
      </c>
      <c r="D34" s="39" t="inlineStr">
        <is>
          <t>5</t>
        </is>
      </c>
      <c r="E34" s="42" t="n">
        <v>18828</v>
      </c>
      <c r="F34" s="42" t="n">
        <v>18000</v>
      </c>
      <c r="G34" s="42" t="n">
        <v>438</v>
      </c>
      <c r="H34" s="42" t="n">
        <v>560</v>
      </c>
      <c r="I34" s="39" t="inlineStr">
        <is>
          <t>Thêm 1 khoang phóng Lancet (tổng 3)</t>
        </is>
      </c>
      <c r="J34" s="39" t="inlineStr">
        <is>
          <t>carrier_heavy_bomb · circle · 1 · 850 · 14 · — · Nổ mạnh</t>
        </is>
      </c>
      <c r="K34" s="39" t="inlineStr">
        <is>
          <t>Bom trượt hạng nặng: 1 quả × 1.600 · nổ lan 16 m · mỗi 60 s · bom bay chậm 3 s, bắn hạ được</t>
        </is>
      </c>
      <c r="L34" s="39" t="inlineStr">
        <is>
          <t>Bom bắn hạ được là cách chặn rõ ràng.</t>
        </is>
      </c>
    </row>
  </sheetData>
  <autoFilter ref="A1:L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6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32" customWidth="1" style="31" min="3" max="3"/>
    <col width="20" customWidth="1" style="31" min="4" max="4"/>
    <col width="28" customWidth="1" style="31" min="5" max="5"/>
    <col width="60" customWidth="1" style="31" min="6" max="6"/>
  </cols>
  <sheetData>
    <row r="1" ht="42" customHeight="1" s="32">
      <c r="A1" s="37" t="inlineStr">
        <is>
          <t>id</t>
        </is>
      </c>
      <c r="B1" s="44" t="inlineStr">
        <is>
          <t>Tên hiện tại</t>
        </is>
      </c>
      <c r="C1" s="45" t="inlineStr">
        <is>
          <t>Tên đầy đủ đề xuất</t>
        </is>
      </c>
      <c r="D1" s="37" t="inlineStr">
        <is>
          <t>Tên ngắn (HUD, khay thẻ)</t>
        </is>
      </c>
      <c r="E1" s="37" t="inlineStr">
        <is>
          <t>Tên tiếng Anh</t>
        </is>
      </c>
      <c r="F1" s="46" t="inlineStr">
        <is>
          <t>Lý do</t>
        </is>
      </c>
    </row>
    <row r="2" ht="15" customHeight="1" s="32">
      <c r="A2" s="39" t="inlineStr">
        <is>
          <t>hover_gunboat</t>
        </is>
      </c>
      <c r="B2" s="39" t="inlineStr">
        <is>
          <t>Xuồng cao tốc đệm khí</t>
        </is>
      </c>
      <c r="C2" s="39" t="inlineStr">
        <is>
          <t>Xuồng đệm khí hộ tống</t>
        </is>
      </c>
      <c r="D2" s="39" t="inlineStr">
        <is>
          <t>Xuồng hộ tống</t>
        </is>
      </c>
      <c r="E2" s="39" t="inlineStr">
        <is>
          <t>Escort Hovercraft</t>
        </is>
      </c>
      <c r="F2" s="39" t="inlineStr">
        <is>
          <t>Nói rõ vai trò hộ tống boss.</t>
        </is>
      </c>
    </row>
    <row r="3" ht="15" customHeight="1" s="32">
      <c r="A3" s="41" t="inlineStr">
        <is>
          <t>armored_car</t>
        </is>
      </c>
      <c r="B3" s="41" t="inlineStr">
        <is>
          <t>Xe bọc thép</t>
        </is>
      </c>
      <c r="C3" s="41" t="inlineStr">
        <is>
          <t>Xe bọc thép bánh lốp</t>
        </is>
      </c>
      <c r="D3" s="41" t="inlineStr">
        <is>
          <t>Bánh lốp</t>
        </is>
      </c>
      <c r="E3" s="41" t="inlineStr">
        <is>
          <t>Armored Car</t>
        </is>
      </c>
      <c r="F3" s="41" t="inlineStr">
        <is>
          <t>"Xe bọc thép" quá chung, trùng với nhiều xe khác cũng bọc thép.</t>
        </is>
      </c>
    </row>
    <row r="4" ht="15" customHeight="1" s="32">
      <c r="A4" s="39" t="inlineStr">
        <is>
          <t>ifv</t>
        </is>
      </c>
      <c r="B4" s="39" t="inlineStr">
        <is>
          <t>Xe chiến đấu bộ binh</t>
        </is>
      </c>
      <c r="C4" s="39" t="inlineStr">
        <is>
          <t>Xe chiến đấu bộ binh</t>
        </is>
      </c>
      <c r="D4" s="39" t="inlineStr">
        <is>
          <t>Xe bộ binh</t>
        </is>
      </c>
      <c r="E4" s="39" t="inlineStr">
        <is>
          <t>Infantry Fighting Vehicle</t>
        </is>
      </c>
      <c r="F4" s="39" t="inlineStr">
        <is>
          <t>Giữ.</t>
        </is>
      </c>
    </row>
    <row r="5" ht="15" customHeight="1" s="32">
      <c r="A5" s="41" t="inlineStr">
        <is>
          <t>supply_truck</t>
        </is>
      </c>
      <c r="B5" s="41" t="inlineStr">
        <is>
          <t>Xe tiếp tế</t>
        </is>
      </c>
      <c r="C5" s="41" t="inlineStr">
        <is>
          <t>Xe tải tiếp tế</t>
        </is>
      </c>
      <c r="D5" s="41" t="inlineStr">
        <is>
          <t>Tiếp tế</t>
        </is>
      </c>
      <c r="E5" s="41" t="inlineStr">
        <is>
          <t>Supply Truck</t>
        </is>
      </c>
      <c r="F5" s="41" t="inlineStr">
        <is>
          <t>Giữ nghĩa, thêm "tải" cho rõ hình dạng.</t>
        </is>
      </c>
    </row>
    <row r="6" ht="15" customHeight="1" s="32">
      <c r="A6" s="39" t="inlineStr">
        <is>
          <t>engineer_vehicle</t>
        </is>
      </c>
      <c r="B6" s="39" t="inlineStr">
        <is>
          <t>Xe công binh</t>
        </is>
      </c>
      <c r="C6" s="39" t="inlineStr">
        <is>
          <t>Xe công binh</t>
        </is>
      </c>
      <c r="D6" s="39" t="inlineStr">
        <is>
          <t>Công binh</t>
        </is>
      </c>
      <c r="E6" s="39" t="inlineStr">
        <is>
          <t>Engineering Vehicle</t>
        </is>
      </c>
      <c r="F6" s="39" t="inlineStr">
        <is>
          <t>Giữ.</t>
        </is>
      </c>
    </row>
    <row r="7" ht="15" customHeight="1" s="32">
      <c r="A7" s="41"/>
      <c r="B7" s="41"/>
      <c r="C7" s="41"/>
      <c r="D7" s="41"/>
      <c r="E7" s="41"/>
      <c r="F7" s="41"/>
    </row>
    <row r="8" ht="15" customHeight="1" s="32">
      <c r="A8" s="39" t="inlineStr">
        <is>
          <t>ammo_carrier</t>
        </is>
      </c>
      <c r="B8" s="39" t="inlineStr">
        <is>
          <t>Xe tiếp đạn</t>
        </is>
      </c>
      <c r="C8" s="39" t="inlineStr">
        <is>
          <t>Xe tiếp đạn</t>
        </is>
      </c>
      <c r="D8" s="39" t="inlineStr">
        <is>
          <t>Tiếp đạn</t>
        </is>
      </c>
      <c r="E8" s="39" t="inlineStr">
        <is>
          <t>Ammo Carrier</t>
        </is>
      </c>
      <c r="F8" s="39" t="inlineStr">
        <is>
          <t>Giữ.</t>
        </is>
      </c>
    </row>
    <row r="9" ht="15" customHeight="1" s="32">
      <c r="A9" s="41"/>
      <c r="B9" s="41"/>
      <c r="C9" s="41"/>
      <c r="D9" s="41"/>
      <c r="E9" s="41"/>
      <c r="F9" s="41"/>
    </row>
    <row r="10" ht="15" customHeight="1" s="32">
      <c r="A10" s="39" t="inlineStr">
        <is>
          <t>ew_jammer</t>
        </is>
      </c>
      <c r="B10" s="39" t="inlineStr">
        <is>
          <t>Xe tác chiến điện tử</t>
        </is>
      </c>
      <c r="C10" s="39" t="inlineStr">
        <is>
          <t>Xe gây nhiễu điện tử</t>
        </is>
      </c>
      <c r="D10" s="39" t="inlineStr">
        <is>
          <t>Gây nhiễu</t>
        </is>
      </c>
      <c r="E10" s="39" t="inlineStr">
        <is>
          <t>EW Jammer</t>
        </is>
      </c>
      <c r="F10" s="39" t="inlineStr">
        <is>
          <t>"Tác chiến điện tử" dài; bảng DPS đã dùng "Gây nhiễu".</t>
        </is>
      </c>
    </row>
    <row r="11" ht="15" customHeight="1" s="32">
      <c r="A11" s="41" t="inlineStr">
        <is>
          <t>mine_layer</t>
        </is>
      </c>
      <c r="B11" s="41" t="inlineStr">
        <is>
          <t>Xe rải mìn</t>
        </is>
      </c>
      <c r="C11" s="41" t="inlineStr">
        <is>
          <t>Xe rải mìn</t>
        </is>
      </c>
      <c r="D11" s="41" t="inlineStr">
        <is>
          <t>Rải mìn</t>
        </is>
      </c>
      <c r="E11" s="41" t="inlineStr">
        <is>
          <t>Minelayer</t>
        </is>
      </c>
      <c r="F11" s="41" t="inlineStr">
        <is>
          <t>Giữ.</t>
        </is>
      </c>
    </row>
    <row r="12" ht="15" customHeight="1" s="32">
      <c r="A12" s="39" t="inlineStr">
        <is>
          <t>command_vehicle</t>
        </is>
      </c>
      <c r="B12" s="39" t="inlineStr">
        <is>
          <t>Xe chỉ huy</t>
        </is>
      </c>
      <c r="C12" s="39" t="inlineStr">
        <is>
          <t>Xe chỉ huy</t>
        </is>
      </c>
      <c r="D12" s="39" t="inlineStr">
        <is>
          <t>Chỉ huy</t>
        </is>
      </c>
      <c r="E12" s="39" t="inlineStr">
        <is>
          <t>Command Vehicle</t>
        </is>
      </c>
      <c r="F12" s="39" t="inlineStr">
        <is>
          <t>Giữ.</t>
        </is>
      </c>
    </row>
    <row r="13" ht="15" customHeight="1" s="32">
      <c r="A13" s="41" t="inlineStr">
        <is>
          <t>shield_carrier</t>
        </is>
      </c>
      <c r="B13" s="41" t="inlineStr">
        <is>
          <t>Xe phát khiên</t>
        </is>
      </c>
      <c r="C13" s="41" t="inlineStr">
        <is>
          <t>Xe phát khiên</t>
        </is>
      </c>
      <c r="D13" s="41" t="inlineStr">
        <is>
          <t>Phát khiên</t>
        </is>
      </c>
      <c r="E13" s="41" t="inlineStr">
        <is>
          <t>Shield Carrier</t>
        </is>
      </c>
      <c r="F13" s="41" t="inlineStr">
        <is>
          <t>Giữ.</t>
        </is>
      </c>
    </row>
    <row r="14" ht="15" customHeight="1" s="32">
      <c r="A14" s="39" t="inlineStr">
        <is>
          <t>scout_jeep</t>
        </is>
      </c>
      <c r="B14" s="39" t="inlineStr">
        <is>
          <t>Xe trinh sát</t>
        </is>
      </c>
      <c r="C14" s="39" t="inlineStr">
        <is>
          <t>Xe trinh sát hạng nhẹ</t>
        </is>
      </c>
      <c r="D14" s="39" t="inlineStr">
        <is>
          <t>Trinh sát</t>
        </is>
      </c>
      <c r="E14" s="39" t="inlineStr">
        <is>
          <t>Scout Jeep</t>
        </is>
      </c>
      <c r="F14" s="39" t="inlineStr">
        <is>
          <t>Phân biệt với xe trinh sát radar nếu thêm sau này.</t>
        </is>
      </c>
    </row>
    <row r="15" ht="15" customHeight="1" s="32">
      <c r="A15" s="41" t="inlineStr">
        <is>
          <t>vbied</t>
        </is>
      </c>
      <c r="B15" s="41" t="inlineStr">
        <is>
          <t>Xe bom tự sát bọc thép</t>
        </is>
      </c>
      <c r="C15" s="41" t="inlineStr">
        <is>
          <t>Xe bom bọc thép</t>
        </is>
      </c>
      <c r="D15" s="41" t="inlineStr">
        <is>
          <t>Xe bom</t>
        </is>
      </c>
      <c r="E15" s="41" t="inlineStr">
        <is>
          <t>Armored Car Bomb</t>
        </is>
      </c>
      <c r="F15" s="41" t="inlineStr">
        <is>
          <t>Rút gọn; "tự sát" có thể nhạy cảm khi phát hành rộng.</t>
        </is>
      </c>
    </row>
    <row r="16" ht="15" customHeight="1" s="32">
      <c r="A16" s="39" t="inlineStr">
        <is>
          <t>light_tank</t>
        </is>
      </c>
      <c r="B16" s="39" t="inlineStr">
        <is>
          <t>Tăng hạng nhẹ</t>
        </is>
      </c>
      <c r="C16" s="39" t="inlineStr">
        <is>
          <t>Tăng nhẹ lội nước</t>
        </is>
      </c>
      <c r="D16" s="39" t="inlineStr">
        <is>
          <t>Tăng nhẹ</t>
        </is>
      </c>
      <c r="E16" s="39" t="inlineStr">
        <is>
          <t>Amphibious Light Tank</t>
        </is>
      </c>
      <c r="F16" s="39" t="inlineStr">
        <is>
          <t>Nói rõ đặc điểm (PT-76, ZBD-05 đều lội nước).</t>
        </is>
      </c>
    </row>
    <row r="17" ht="15" customHeight="1" s="32">
      <c r="A17" s="41" t="inlineStr">
        <is>
          <t>flame_tank</t>
        </is>
      </c>
      <c r="B17" s="41" t="inlineStr">
        <is>
          <t>Tăng phun lửa</t>
        </is>
      </c>
      <c r="C17" s="41" t="inlineStr">
        <is>
          <t>Tăng phun lửa</t>
        </is>
      </c>
      <c r="D17" s="41" t="inlineStr">
        <is>
          <t>Phun lửa</t>
        </is>
      </c>
      <c r="E17" s="41" t="inlineStr">
        <is>
          <t>Flame Tank</t>
        </is>
      </c>
      <c r="F17" s="41" t="inlineStr">
        <is>
          <t>Giữ.</t>
        </is>
      </c>
    </row>
    <row r="18" ht="15" customHeight="1" s="32">
      <c r="A18" s="39"/>
      <c r="B18" s="39"/>
      <c r="C18" s="39"/>
      <c r="D18" s="39"/>
      <c r="E18" s="39"/>
      <c r="F18" s="39"/>
    </row>
    <row r="19" ht="15" customHeight="1" s="32">
      <c r="A19" s="41"/>
      <c r="B19" s="41"/>
      <c r="C19" s="41"/>
      <c r="D19" s="41"/>
      <c r="E19" s="41"/>
      <c r="F19" s="41"/>
    </row>
    <row r="20" ht="15" customHeight="1" s="32">
      <c r="A20" s="39" t="inlineStr">
        <is>
          <t>rocket_technical</t>
        </is>
      </c>
      <c r="B20" s="39" t="inlineStr">
        <is>
          <t>Bán tải rốc-két</t>
        </is>
      </c>
      <c r="C20" s="39" t="inlineStr">
        <is>
          <t>Bán tải rốc-két</t>
        </is>
      </c>
      <c r="D20" s="39" t="inlineStr">
        <is>
          <t>Bán tải rốc-két</t>
        </is>
      </c>
      <c r="E20" s="39" t="inlineStr">
        <is>
          <t>Rocket Technical</t>
        </is>
      </c>
      <c r="F20" s="39" t="inlineStr">
        <is>
          <t>Giữ.</t>
        </is>
      </c>
    </row>
    <row r="21" ht="15" customHeight="1" s="32">
      <c r="A21" s="41" t="inlineStr">
        <is>
          <t>mortar_carrier</t>
        </is>
      </c>
      <c r="B21" s="41" t="inlineStr">
        <is>
          <t>Xe súng cối</t>
        </is>
      </c>
      <c r="C21" s="41" t="inlineStr">
        <is>
          <t>Xe cối tự hành</t>
        </is>
      </c>
      <c r="D21" s="41" t="inlineStr">
        <is>
          <t>Xe cối</t>
        </is>
      </c>
      <c r="E21" s="41" t="inlineStr">
        <is>
          <t>Mortar Carrier</t>
        </is>
      </c>
      <c r="F21" s="41" t="inlineStr">
        <is>
          <t>"Xe súng cối" nghe lạ.</t>
        </is>
      </c>
    </row>
    <row r="22" ht="15" customHeight="1" s="32">
      <c r="A22" s="39" t="inlineStr">
        <is>
          <t>artillery</t>
        </is>
      </c>
      <c r="B22" s="39" t="inlineStr">
        <is>
          <t>Pháo tự hành</t>
        </is>
      </c>
      <c r="C22" s="39" t="inlineStr">
        <is>
          <t>Lựu pháo tự hành</t>
        </is>
      </c>
      <c r="D22" s="39" t="inlineStr">
        <is>
          <t>Lựu pháo</t>
        </is>
      </c>
      <c r="E22" s="39" t="inlineStr">
        <is>
          <t>SP Howitzer</t>
        </is>
      </c>
      <c r="F22" s="39" t="inlineStr">
        <is>
          <t>"Pháo tự hành" quá chung (pháo phản lực, pháo chống tăng cũng tự hành).</t>
        </is>
      </c>
    </row>
    <row r="23" ht="15" customHeight="1" s="32">
      <c r="A23" s="41" t="inlineStr">
        <is>
          <t>mlrs</t>
        </is>
      </c>
      <c r="B23" s="41" t="inlineStr">
        <is>
          <t>Pháo phản lực</t>
        </is>
      </c>
      <c r="C23" s="41" t="inlineStr">
        <is>
          <t>Pháo phản lực dẫn đường</t>
        </is>
      </c>
      <c r="D23" s="41" t="inlineStr">
        <is>
          <t>Phản lực</t>
        </is>
      </c>
      <c r="E23" s="41" t="inlineStr">
        <is>
          <t>Guided MLRS</t>
        </is>
      </c>
      <c r="F23" s="41" t="inlineStr">
        <is>
          <t>Phân biệt với pháo phản lực hạng nặng và nhiệt áp.</t>
        </is>
      </c>
    </row>
    <row r="24" ht="15" customHeight="1" s="32">
      <c r="A24" s="39" t="inlineStr">
        <is>
          <t>shahed_truck</t>
        </is>
      </c>
      <c r="B24" s="39" t="inlineStr">
        <is>
          <t>Xe phóng Shahed</t>
        </is>
      </c>
      <c r="C24" s="39" t="inlineStr">
        <is>
          <t>Xe phóng drone cảm tử tầm xa</t>
        </is>
      </c>
      <c r="D24" s="39" t="inlineStr">
        <is>
          <t>Drone cảm tử</t>
        </is>
      </c>
      <c r="E24" s="39" t="inlineStr">
        <is>
          <t>Long-range Drone Launcher</t>
        </is>
      </c>
      <c r="F24" s="39" t="inlineStr">
        <is>
          <t>Bỏ tên thật "Shahed" khỏi tên thẻ.</t>
        </is>
      </c>
    </row>
    <row r="25" ht="15" customHeight="1" s="32">
      <c r="A25" s="41" t="inlineStr">
        <is>
          <t>thermobaric_launcher</t>
        </is>
      </c>
      <c r="B25" s="41" t="inlineStr">
        <is>
          <t>Pháo phản lực nhiệt áp</t>
        </is>
      </c>
      <c r="C25" s="41" t="inlineStr">
        <is>
          <t>Pháo phản lực nhiệt áp</t>
        </is>
      </c>
      <c r="D25" s="41" t="inlineStr">
        <is>
          <t>Nhiệt áp</t>
        </is>
      </c>
      <c r="E25" s="41" t="inlineStr">
        <is>
          <t>Thermobaric Launcher</t>
        </is>
      </c>
      <c r="F25" s="41" t="inlineStr">
        <is>
          <t>Giữ.</t>
        </is>
      </c>
    </row>
    <row r="26" ht="15" customHeight="1" s="32">
      <c r="A26" s="39" t="inlineStr">
        <is>
          <t>ballistic_launcher</t>
        </is>
      </c>
      <c r="B26" s="39" t="inlineStr">
        <is>
          <t>Xe phóng tên lửa đạn đạo</t>
        </is>
      </c>
      <c r="C26" s="39" t="inlineStr">
        <is>
          <t>Xe phóng tên lửa chiến thuật</t>
        </is>
      </c>
      <c r="D26" s="39" t="inlineStr">
        <is>
          <t>Tên lửa chiến thuật</t>
        </is>
      </c>
      <c r="E26" s="39" t="inlineStr">
        <is>
          <t>Tactical Ballistic Launcher</t>
        </is>
      </c>
      <c r="F26" s="39" t="inlineStr">
        <is>
          <t>"Chiến thuật" đúng phân loại thật (Iskander là tên lửa đạn đạo chiến thuật).</t>
        </is>
      </c>
    </row>
    <row r="27" ht="15" customHeight="1" s="32">
      <c r="A27" s="41" t="inlineStr">
        <is>
          <t>heavy_rocket_artillery</t>
        </is>
      </c>
      <c r="B27" s="41" t="inlineStr">
        <is>
          <t>Pháo phản lực hạng nặng</t>
        </is>
      </c>
      <c r="C27" s="41" t="inlineStr">
        <is>
          <t>Pháo phản lực hạng nặng</t>
        </is>
      </c>
      <c r="D27" s="41" t="inlineStr">
        <is>
          <t>Phản lực nặng</t>
        </is>
      </c>
      <c r="E27" s="41" t="inlineStr">
        <is>
          <t>Heavy MLRS</t>
        </is>
      </c>
      <c r="F27" s="41" t="inlineStr">
        <is>
          <t>Bảng DPS ghi "Phản lực 300": thống nhất.</t>
        </is>
      </c>
    </row>
    <row r="28" ht="15" customHeight="1" s="32">
      <c r="A28" s="39" t="inlineStr">
        <is>
          <t>siege_tank</t>
        </is>
      </c>
      <c r="B28" s="39" t="inlineStr">
        <is>
          <t>Tăng công thành</t>
        </is>
      </c>
      <c r="C28" s="39" t="inlineStr">
        <is>
          <t>Pháo cối công thành</t>
        </is>
      </c>
      <c r="D28" s="39" t="inlineStr">
        <is>
          <t>Công thành</t>
        </is>
      </c>
      <c r="E28" s="39" t="inlineStr">
        <is>
          <t>Siege Mortar</t>
        </is>
      </c>
      <c r="F28" s="39" t="inlineStr">
        <is>
          <t>Không phải xe tăng; vũ khí chính là cối 240 mm.</t>
        </is>
      </c>
    </row>
    <row r="29" ht="15" customHeight="1" s="32">
      <c r="A29" s="41" t="inlineStr">
        <is>
          <t>zu23_technical</t>
        </is>
      </c>
      <c r="B29" s="41" t="inlineStr">
        <is>
          <t>Bán tải ZU-23</t>
        </is>
      </c>
      <c r="C29" s="41" t="inlineStr">
        <is>
          <t>Bán tải cao xạ</t>
        </is>
      </c>
      <c r="D29" s="41" t="inlineStr">
        <is>
          <t>Cao xạ bán tải</t>
        </is>
      </c>
      <c r="E29" s="41" t="inlineStr">
        <is>
          <t>Flak Technical</t>
        </is>
      </c>
      <c r="F29" s="41" t="inlineStr">
        <is>
          <t>Bỏ tên thật khỏi tên thẻ.</t>
        </is>
      </c>
    </row>
    <row r="30" ht="15" customHeight="1" s="32">
      <c r="A30" s="39" t="inlineStr">
        <is>
          <t>aa_vehicle</t>
        </is>
      </c>
      <c r="B30" s="39" t="inlineStr">
        <is>
          <t>Xe phòng không</t>
        </is>
      </c>
      <c r="C30" s="39" t="inlineStr">
        <is>
          <t>Pháo cao xạ tự hành</t>
        </is>
      </c>
      <c r="D30" s="39" t="inlineStr">
        <is>
          <t>Cao xạ</t>
        </is>
      </c>
      <c r="E30" s="39" t="inlineStr">
        <is>
          <t>Self-Propelled AA Gun</t>
        </is>
      </c>
      <c r="F30" s="39" t="inlineStr">
        <is>
          <t>"Xe phòng không" quá chung (có 6 xe phòng không).</t>
        </is>
      </c>
    </row>
    <row r="31" ht="15" customHeight="1" s="32">
      <c r="A31" s="41" t="inlineStr">
        <is>
          <t>sam_launcher</t>
        </is>
      </c>
      <c r="B31" s="41" t="inlineStr">
        <is>
          <t>Tên lửa phòng không</t>
        </is>
      </c>
      <c r="C31" s="41" t="inlineStr">
        <is>
          <t>Xe tên lửa phòng không tầm trung</t>
        </is>
      </c>
      <c r="D31" s="41" t="inlineStr">
        <is>
          <t>PK tầm trung</t>
        </is>
      </c>
      <c r="E31" s="41" t="inlineStr">
        <is>
          <t>Medium-range SAM</t>
        </is>
      </c>
      <c r="F31" s="41" t="inlineStr">
        <is>
          <t>Phân biệt với tầm xa và vác vai.</t>
        </is>
      </c>
    </row>
    <row r="32" ht="15" customHeight="1" s="32">
      <c r="A32" s="39" t="inlineStr">
        <is>
          <t>heavy_aa</t>
        </is>
      </c>
      <c r="B32" s="39" t="inlineStr">
        <is>
          <t>Pháo tên lửa phòng không</t>
        </is>
      </c>
      <c r="C32" s="39" t="inlineStr">
        <is>
          <t>Xe phòng không pháo – tên lửa</t>
        </is>
      </c>
      <c r="D32" s="39" t="inlineStr">
        <is>
          <t>PK hỗn hợp</t>
        </is>
      </c>
      <c r="E32" s="39" t="inlineStr">
        <is>
          <t>Gun–Missile AA</t>
        </is>
      </c>
      <c r="F32" s="39" t="inlineStr">
        <is>
          <t>"Pháo tên lửa phòng không" khó hiểu; bảng DPS đã gọi "PK hỗn hợp".</t>
        </is>
      </c>
    </row>
    <row r="33" ht="15" customHeight="1" s="32">
      <c r="A33" s="41" t="inlineStr">
        <is>
          <t>iron_beam</t>
        </is>
      </c>
      <c r="B33" s="41" t="inlineStr">
        <is>
          <t>La-de phòng không</t>
        </is>
      </c>
      <c r="C33" s="41" t="inlineStr">
        <is>
          <t>Xe la-de phòng không</t>
        </is>
      </c>
      <c r="D33" s="41" t="inlineStr">
        <is>
          <t>La-de PK</t>
        </is>
      </c>
      <c r="E33" s="41" t="inlineStr">
        <is>
          <t>Laser AA</t>
        </is>
      </c>
      <c r="F33" s="41" t="inlineStr">
        <is>
          <t>Giữ.</t>
        </is>
      </c>
    </row>
    <row r="34" ht="15" customHeight="1" s="32">
      <c r="A34" s="39" t="inlineStr">
        <is>
          <t>long_sam</t>
        </is>
      </c>
      <c r="B34" s="39" t="inlineStr">
        <is>
          <t>Tên lửa phòng không tầm xa</t>
        </is>
      </c>
      <c r="C34" s="39" t="inlineStr">
        <is>
          <t>Xe tên lửa phòng không tầm xa</t>
        </is>
      </c>
      <c r="D34" s="39" t="inlineStr">
        <is>
          <t>PK tầm xa</t>
        </is>
      </c>
      <c r="E34" s="39" t="inlineStr">
        <is>
          <t>Long-range SAM</t>
        </is>
      </c>
      <c r="F34" s="39" t="inlineStr">
        <is>
          <t>Giữ nghĩa, thống nhất với tầm trung.</t>
        </is>
      </c>
    </row>
    <row r="35" ht="15" customHeight="1" s="32">
      <c r="A35" s="41" t="inlineStr">
        <is>
          <t>scout_heli</t>
        </is>
      </c>
      <c r="B35" s="41" t="inlineStr">
        <is>
          <t>Trực thăng trinh sát</t>
        </is>
      </c>
      <c r="C35" s="41" t="inlineStr">
        <is>
          <t>Trực thăng trinh sát vũ trang</t>
        </is>
      </c>
      <c r="D35" s="41" t="inlineStr">
        <is>
          <t>TT trinh sát</t>
        </is>
      </c>
      <c r="E35" s="41" t="inlineStr">
        <is>
          <t>Armed Scout Helicopter</t>
        </is>
      </c>
      <c r="F35" s="41" t="inlineStr">
        <is>
          <t>Nói rõ nó có vũ khí.</t>
        </is>
      </c>
    </row>
    <row r="36" ht="15" customHeight="1" s="32">
      <c r="A36" s="39" t="inlineStr">
        <is>
          <t>recon_drone</t>
        </is>
      </c>
      <c r="B36" s="39" t="inlineStr">
        <is>
          <t>UAV trinh sát</t>
        </is>
      </c>
      <c r="C36" s="39" t="inlineStr">
        <is>
          <t>UAV trinh sát</t>
        </is>
      </c>
      <c r="D36" s="39" t="inlineStr">
        <is>
          <t>UAV trinh sát</t>
        </is>
      </c>
      <c r="E36" s="39" t="inlineStr">
        <is>
          <t>Recon UAV</t>
        </is>
      </c>
      <c r="F36" s="39" t="inlineStr">
        <is>
          <t>Giữ.</t>
        </is>
      </c>
    </row>
    <row r="37" ht="15" customHeight="1" s="32">
      <c r="A37" s="41"/>
      <c r="B37" s="41"/>
      <c r="C37" s="41"/>
      <c r="D37" s="41"/>
      <c r="E37" s="41"/>
      <c r="F37" s="41"/>
    </row>
    <row r="38" ht="15" customHeight="1" s="32">
      <c r="A38" s="39" t="inlineStr">
        <is>
          <t>strike_drone</t>
        </is>
      </c>
      <c r="B38" s="39" t="inlineStr">
        <is>
          <t>UAV tấn công</t>
        </is>
      </c>
      <c r="C38" s="39" t="inlineStr">
        <is>
          <t>UAV tấn công</t>
        </is>
      </c>
      <c r="D38" s="39" t="inlineStr">
        <is>
          <t>UAV tấn công</t>
        </is>
      </c>
      <c r="E38" s="39" t="inlineStr">
        <is>
          <t>Strike UAV</t>
        </is>
      </c>
      <c r="F38" s="39" t="inlineStr">
        <is>
          <t>Giữ.</t>
        </is>
      </c>
    </row>
    <row r="39" ht="15" customHeight="1" s="32">
      <c r="A39" s="41" t="inlineStr">
        <is>
          <t>swarm_carrier</t>
        </is>
      </c>
      <c r="B39" s="41" t="inlineStr">
        <is>
          <t>Máy bay mẹ thả drone</t>
        </is>
      </c>
      <c r="C39" s="41" t="inlineStr">
        <is>
          <t>Máy bay mẹ thả drone</t>
        </is>
      </c>
      <c r="D39" s="41" t="inlineStr">
        <is>
          <t>Máy bay mẹ</t>
        </is>
      </c>
      <c r="E39" s="41" t="inlineStr">
        <is>
          <t>Drone Mothership Aircraft</t>
        </is>
      </c>
      <c r="F39" s="41" t="inlineStr">
        <is>
          <t>Giữ.</t>
        </is>
      </c>
    </row>
    <row r="40" ht="15" customHeight="1" s="32">
      <c r="A40" s="39" t="inlineStr">
        <is>
          <t>attack_helicopter</t>
        </is>
      </c>
      <c r="B40" s="39" t="inlineStr">
        <is>
          <t>Trực thăng tấn công</t>
        </is>
      </c>
      <c r="C40" s="39" t="inlineStr">
        <is>
          <t>Trực thăng tấn công</t>
        </is>
      </c>
      <c r="D40" s="39" t="inlineStr">
        <is>
          <t>TT tấn công</t>
        </is>
      </c>
      <c r="E40" s="39" t="inlineStr">
        <is>
          <t>Attack Helicopter</t>
        </is>
      </c>
      <c r="F40" s="39" t="inlineStr">
        <is>
          <t>Giữ.</t>
        </is>
      </c>
    </row>
    <row r="41" ht="15" customHeight="1" s="32">
      <c r="A41" s="41" t="inlineStr">
        <is>
          <t>fighter_jet</t>
        </is>
      </c>
      <c r="B41" s="41" t="inlineStr">
        <is>
          <t>Tiêm kích</t>
        </is>
      </c>
      <c r="C41" s="41" t="inlineStr">
        <is>
          <t>Tiêm kích</t>
        </is>
      </c>
      <c r="D41" s="41" t="inlineStr">
        <is>
          <t>Tiêm kích</t>
        </is>
      </c>
      <c r="E41" s="41" t="inlineStr">
        <is>
          <t>Fighter</t>
        </is>
      </c>
      <c r="F41" s="41" t="inlineStr">
        <is>
          <t>Giữ.</t>
        </is>
      </c>
    </row>
    <row r="42" ht="15" customHeight="1" s="32">
      <c r="A42" s="39" t="inlineStr">
        <is>
          <t>stealth_fighter</t>
        </is>
      </c>
      <c r="B42" s="39" t="inlineStr">
        <is>
          <t>Tiêm kích tàng hình</t>
        </is>
      </c>
      <c r="C42" s="39" t="inlineStr">
        <is>
          <t>Tiêm kích tàng hình</t>
        </is>
      </c>
      <c r="D42" s="39" t="inlineStr">
        <is>
          <t>TK tàng hình</t>
        </is>
      </c>
      <c r="E42" s="39" t="inlineStr">
        <is>
          <t>Stealth Fighter</t>
        </is>
      </c>
      <c r="F42" s="39" t="inlineStr">
        <is>
          <t>Giữ.</t>
        </is>
      </c>
    </row>
    <row r="43" ht="21.75" customHeight="1" s="32">
      <c r="A43" s="41"/>
      <c r="B43" s="41"/>
      <c r="C43" s="41"/>
      <c r="D43" s="41"/>
      <c r="E43" s="41"/>
      <c r="F43" s="41"/>
    </row>
    <row r="44" ht="15" customHeight="1" s="32">
      <c r="A44" s="39" t="inlineStr">
        <is>
          <t>attack_jet</t>
        </is>
      </c>
      <c r="B44" s="39" t="inlineStr">
        <is>
          <t>Máy bay cường kích</t>
        </is>
      </c>
      <c r="C44" s="39" t="inlineStr">
        <is>
          <t>Máy bay cường kích</t>
        </is>
      </c>
      <c r="D44" s="39" t="inlineStr">
        <is>
          <t>Cường kích</t>
        </is>
      </c>
      <c r="E44" s="39" t="inlineStr">
        <is>
          <t>Attack Jet</t>
        </is>
      </c>
      <c r="F44" s="39" t="inlineStr">
        <is>
          <t>Giữ.</t>
        </is>
      </c>
    </row>
    <row r="45" ht="15" customHeight="1" s="32">
      <c r="A45" s="41" t="inlineStr">
        <is>
          <t>stealth_bomber</t>
        </is>
      </c>
      <c r="B45" s="41" t="inlineStr">
        <is>
          <t>Máy bay ném bom tàng hình</t>
        </is>
      </c>
      <c r="C45" s="41" t="inlineStr">
        <is>
          <t>Oanh tạc cơ tàng hình</t>
        </is>
      </c>
      <c r="D45" s="41" t="inlineStr">
        <is>
          <t>OTC tàng hình</t>
        </is>
      </c>
      <c r="E45" s="41" t="inlineStr">
        <is>
          <t>Stealth Bomber</t>
        </is>
      </c>
      <c r="F45" s="41" t="inlineStr">
        <is>
          <t>Thống nhất gốc "oanh tạc cơ" với Oanh tạc cơ.</t>
        </is>
      </c>
    </row>
    <row r="46" ht="15" customHeight="1" s="32">
      <c r="A46" s="39" t="inlineStr">
        <is>
          <t>heavy_bomber</t>
        </is>
      </c>
      <c r="B46" s="39" t="inlineStr">
        <is>
          <t>Oanh tạc cơ hạng nặng</t>
        </is>
      </c>
      <c r="C46" s="39" t="inlineStr">
        <is>
          <t>Oanh tạc cơ chiến lược</t>
        </is>
      </c>
      <c r="D46" s="39" t="inlineStr">
        <is>
          <t>Oanh tạc cơ</t>
        </is>
      </c>
      <c r="E46" s="39" t="inlineStr">
        <is>
          <t>Strategic Bomber</t>
        </is>
      </c>
      <c r="F46" s="39" t="inlineStr">
        <is>
          <t>"Chiến lược" đúng phân loại B-52.</t>
        </is>
      </c>
    </row>
    <row r="47" ht="15" customHeight="1" s="32">
      <c r="A47" s="41" t="inlineStr">
        <is>
          <t>sky_gunship</t>
        </is>
      </c>
      <c r="B47" s="41" t="inlineStr">
        <is>
          <t>Pháo hạm AC-130</t>
        </is>
      </c>
      <c r="C47" s="41" t="inlineStr">
        <is>
          <t>Pháo hạm bay</t>
        </is>
      </c>
      <c r="D47" s="41" t="inlineStr">
        <is>
          <t>Pháo hạm</t>
        </is>
      </c>
      <c r="E47" s="41" t="inlineStr">
        <is>
          <t>Airborne Gunship</t>
        </is>
      </c>
      <c r="F47" s="41" t="inlineStr">
        <is>
          <t>Bỏ tên thật "AC-130" khỏi tên thẻ (đưa vào dòng phụ).</t>
        </is>
      </c>
    </row>
    <row r="48" ht="15" customHeight="1" s="32">
      <c r="A48" s="39"/>
      <c r="B48" s="39"/>
      <c r="C48" s="39"/>
      <c r="D48" s="39"/>
      <c r="E48" s="39"/>
      <c r="F48" s="39"/>
    </row>
    <row r="49" ht="15" customHeight="1" s="32">
      <c r="A49" s="41" t="inlineStr">
        <is>
          <t>armored_bulldozer</t>
        </is>
      </c>
      <c r="B49" s="41" t="inlineStr">
        <is>
          <t>Xe ủi bọc thép</t>
        </is>
      </c>
      <c r="C49" s="41" t="inlineStr">
        <is>
          <t>Xe ủi bọc thép</t>
        </is>
      </c>
      <c r="D49" s="41" t="inlineStr">
        <is>
          <t>Xe ủi</t>
        </is>
      </c>
      <c r="E49" s="41" t="inlineStr">
        <is>
          <t>Armored Bulldozer</t>
        </is>
      </c>
      <c r="F49" s="41" t="inlineStr">
        <is>
          <t>Giữ.</t>
        </is>
      </c>
    </row>
    <row r="50" ht="15" customHeight="1" s="32">
      <c r="A50" s="39" t="inlineStr">
        <is>
          <t>main_battle_tank</t>
        </is>
      </c>
      <c r="B50" s="39" t="inlineStr">
        <is>
          <t>Tăng chủ lực</t>
        </is>
      </c>
      <c r="C50" s="39" t="inlineStr">
        <is>
          <t>Tăng chủ lực</t>
        </is>
      </c>
      <c r="D50" s="39" t="inlineStr">
        <is>
          <t>Tăng chủ lực</t>
        </is>
      </c>
      <c r="E50" s="39" t="inlineStr">
        <is>
          <t>Main Battle Tank</t>
        </is>
      </c>
      <c r="F50" s="39" t="inlineStr">
        <is>
          <t>Giữ.</t>
        </is>
      </c>
    </row>
    <row r="51" ht="15" customHeight="1" s="32">
      <c r="A51" s="41" t="inlineStr">
        <is>
          <t>twin_tank</t>
        </is>
      </c>
      <c r="B51" s="41" t="inlineStr">
        <is>
          <t>Tăng hai nòng</t>
        </is>
      </c>
      <c r="C51" s="41" t="inlineStr">
        <is>
          <t>Tăng hai nòng</t>
        </is>
      </c>
      <c r="D51" s="41" t="inlineStr">
        <is>
          <t>Hai nòng</t>
        </is>
      </c>
      <c r="E51" s="41" t="inlineStr">
        <is>
          <t>Twin-Gun Tank</t>
        </is>
      </c>
      <c r="F51" s="41" t="inlineStr">
        <is>
          <t>Giữ.</t>
        </is>
      </c>
    </row>
    <row r="52" ht="15" customHeight="1" s="32">
      <c r="A52" s="39" t="inlineStr">
        <is>
          <t>heavy_tank</t>
        </is>
      </c>
      <c r="B52" s="39" t="inlineStr">
        <is>
          <t>Tăng hạng nặng</t>
        </is>
      </c>
      <c r="C52" s="39" t="inlineStr">
        <is>
          <t>Tăng hạng nặng</t>
        </is>
      </c>
      <c r="D52" s="39" t="inlineStr">
        <is>
          <t>Tăng nặng</t>
        </is>
      </c>
      <c r="E52" s="39" t="inlineStr">
        <is>
          <t>Heavy Tank</t>
        </is>
      </c>
      <c r="F52" s="39" t="inlineStr">
        <is>
          <t>Giữ.</t>
        </is>
      </c>
    </row>
    <row r="53" ht="15" customHeight="1" s="32">
      <c r="A53" s="41" t="inlineStr">
        <is>
          <t>titan_tank</t>
        </is>
      </c>
      <c r="B53" s="41" t="inlineStr">
        <is>
          <t>Siêu tăng Titan</t>
        </is>
      </c>
      <c r="C53" s="41" t="inlineStr">
        <is>
          <t>Siêu tăng</t>
        </is>
      </c>
      <c r="D53" s="41" t="inlineStr">
        <is>
          <t>Siêu tăng</t>
        </is>
      </c>
      <c r="E53" s="41" t="inlineStr">
        <is>
          <t>Super-Heavy Tank</t>
        </is>
      </c>
      <c r="F53" s="41" t="inlineStr">
        <is>
          <t>"Titan" trùng biệt danh tướng Thorne ("Titan"); bỏ để tránh nhầm.</t>
        </is>
      </c>
    </row>
    <row r="54" ht="15" customHeight="1" s="32">
      <c r="A54" s="39" t="inlineStr">
        <is>
          <t>fpv_carrier</t>
        </is>
      </c>
      <c r="B54" s="39" t="inlineStr">
        <is>
          <t>Xe phóng drone FPV</t>
        </is>
      </c>
      <c r="C54" s="39" t="inlineStr">
        <is>
          <t>Xe phóng drone FPV</t>
        </is>
      </c>
      <c r="D54" s="39" t="inlineStr">
        <is>
          <t>Drone FPV</t>
        </is>
      </c>
      <c r="E54" s="39" t="inlineStr">
        <is>
          <t>FPV Drone Carrier</t>
        </is>
      </c>
      <c r="F54" s="39" t="inlineStr">
        <is>
          <t>Giữ.</t>
        </is>
      </c>
    </row>
    <row r="55" ht="15" customHeight="1" s="32">
      <c r="A55" s="41"/>
      <c r="B55" s="41"/>
      <c r="C55" s="41"/>
      <c r="D55" s="41"/>
      <c r="E55" s="41"/>
      <c r="F55" s="41"/>
    </row>
    <row r="56" ht="15" customHeight="1" s="32">
      <c r="A56" s="39" t="inlineStr">
        <is>
          <t>wheeled_gun</t>
        </is>
      </c>
      <c r="B56" s="39" t="inlineStr">
        <is>
          <t>Pháo bánh lốp diệt tăng</t>
        </is>
      </c>
      <c r="C56" s="39" t="inlineStr">
        <is>
          <t>Pháo xung kích bánh lốp</t>
        </is>
      </c>
      <c r="D56" s="39" t="inlineStr">
        <is>
          <t>Bánh lốp diệt tăng</t>
        </is>
      </c>
      <c r="E56" s="39" t="inlineStr">
        <is>
          <t>Wheeled Tank Destroyer</t>
        </is>
      </c>
      <c r="F56" s="39" t="inlineStr">
        <is>
          <t>Tên hiện dài và lặp "pháo"; "xung kích" nói rõ vai trò đánh nhanh.</t>
        </is>
      </c>
    </row>
    <row r="57" ht="15" customHeight="1" s="32">
      <c r="A57" s="41" t="inlineStr">
        <is>
          <t>tank_destroyer</t>
        </is>
      </c>
      <c r="B57" s="41" t="inlineStr">
        <is>
          <t>Pháo chống tăng</t>
        </is>
      </c>
      <c r="C57" s="41" t="inlineStr">
        <is>
          <t>Pháo chống tăng tự hành</t>
        </is>
      </c>
      <c r="D57" s="41" t="inlineStr">
        <is>
          <t>Chống tăng</t>
        </is>
      </c>
      <c r="E57" s="41" t="inlineStr">
        <is>
          <t>Tank Destroyer</t>
        </is>
      </c>
      <c r="F57" s="41" t="inlineStr">
        <is>
          <t>Giữ nghĩa.</t>
        </is>
      </c>
    </row>
    <row r="58" ht="15" customHeight="1" s="32">
      <c r="A58" s="39" t="inlineStr">
        <is>
          <t>railgun_truck</t>
        </is>
      </c>
      <c r="B58" s="39" t="inlineStr">
        <is>
          <t>Xe súng điện từ</t>
        </is>
      </c>
      <c r="C58" s="39" t="inlineStr">
        <is>
          <t>Xe pháo điện từ</t>
        </is>
      </c>
      <c r="D58" s="39" t="inlineStr">
        <is>
          <t>Pháo điện từ</t>
        </is>
      </c>
      <c r="E58" s="39" t="inlineStr">
        <is>
          <t>Railgun Truck</t>
        </is>
      </c>
      <c r="F58" s="39" t="inlineStr">
        <is>
          <t>Thẻ ghi "Xe súng điện từ", bảng DPS ghi "Pháo điện từ": thống nhất.</t>
        </is>
      </c>
    </row>
    <row r="59" ht="15" customHeight="1" s="32">
      <c r="A59" s="41" t="inlineStr">
        <is>
          <t>laser_tank</t>
        </is>
      </c>
      <c r="B59" s="41" t="inlineStr">
        <is>
          <t>Xe la-de tập trung</t>
        </is>
      </c>
      <c r="C59" s="41" t="inlineStr">
        <is>
          <t>Xe la-de diệt tăng</t>
        </is>
      </c>
      <c r="D59" s="41" t="inlineStr">
        <is>
          <t>La-de diệt tăng</t>
        </is>
      </c>
      <c r="E59" s="41" t="inlineStr">
        <is>
          <t>Laser Tank Destroyer</t>
        </is>
      </c>
      <c r="F59" s="41" t="inlineStr">
        <is>
          <t>"Tập trung" không nói lên vai trò.</t>
        </is>
      </c>
    </row>
    <row r="60" ht="15" customHeight="1" s="32">
      <c r="A60" s="39" t="inlineStr">
        <is>
          <t>c_ram</t>
        </is>
      </c>
      <c r="B60" s="39" t="inlineStr">
        <is>
          <t>Trạm C-RAM</t>
        </is>
      </c>
      <c r="C60" s="39" t="inlineStr">
        <is>
          <t>Trạm đánh chặn C-RAM</t>
        </is>
      </c>
      <c r="D60" s="39" t="inlineStr">
        <is>
          <t>C-RAM</t>
        </is>
      </c>
      <c r="E60" s="39" t="inlineStr">
        <is>
          <t>C-RAM Interceptor</t>
        </is>
      </c>
      <c r="F60" s="39" t="inlineStr">
        <is>
          <t>Giữ nghĩa.</t>
        </is>
      </c>
    </row>
    <row r="61" ht="15" customHeight="1" s="32">
      <c r="A61" s="41" t="inlineStr">
        <is>
          <t>drone_hangar</t>
        </is>
      </c>
      <c r="B61" s="41" t="inlineStr">
        <is>
          <t>Nhà chứa drone</t>
        </is>
      </c>
      <c r="C61" s="41" t="inlineStr">
        <is>
          <t>Nhà chứa drone</t>
        </is>
      </c>
      <c r="D61" s="41" t="inlineStr">
        <is>
          <t>Nhà chứa drone</t>
        </is>
      </c>
      <c r="E61" s="41" t="inlineStr">
        <is>
          <t>Drone Hangar</t>
        </is>
      </c>
      <c r="F61" s="41" t="inlineStr">
        <is>
          <t>Giữ.</t>
        </is>
      </c>
    </row>
    <row r="62" ht="15" customHeight="1" s="32">
      <c r="A62" s="39" t="inlineStr">
        <is>
          <t>heavy_turret</t>
        </is>
      </c>
      <c r="B62" s="39" t="inlineStr">
        <is>
          <t>Pháo đài hạng nặng</t>
        </is>
      </c>
      <c r="C62" s="39" t="inlineStr">
        <is>
          <t>Tháp pháo hạng nặng</t>
        </is>
      </c>
      <c r="D62" s="39" t="inlineStr">
        <is>
          <t>Pháo hạng nặng</t>
        </is>
      </c>
      <c r="E62" s="39" t="inlineStr">
        <is>
          <t>Heavy Gun Turret</t>
        </is>
      </c>
      <c r="F62" s="39" t="inlineStr">
        <is>
          <t>"Pháo đài" dễ nhầm với boss Bastion và pháo đài trong Công thành.</t>
        </is>
      </c>
    </row>
    <row r="63" ht="15" customHeight="1" s="32">
      <c r="A63" s="41" t="inlineStr">
        <is>
          <t>missile_battery</t>
        </is>
      </c>
      <c r="B63" s="41" t="inlineStr">
        <is>
          <t>Tên lửa Patriot tầm xa</t>
        </is>
      </c>
      <c r="C63" s="41" t="inlineStr">
        <is>
          <t>Trạm tên lửa phòng không tầm xa</t>
        </is>
      </c>
      <c r="D63" s="41" t="inlineStr">
        <is>
          <t>PK tầm xa</t>
        </is>
      </c>
      <c r="E63" s="41" t="inlineStr">
        <is>
          <t>Long-range SAM Site</t>
        </is>
      </c>
      <c r="F63" s="41" t="inlineStr">
        <is>
          <t>Bỏ tên thật "Patriot" khỏi tên thẻ.</t>
        </is>
      </c>
    </row>
    <row r="64" ht="15" customHeight="1" s="32">
      <c r="A64" s="39" t="inlineStr">
        <is>
          <t>bulwark_post</t>
        </is>
      </c>
      <c r="B64" s="39" t="inlineStr">
        <is>
          <t>Ụ súng tạm</t>
        </is>
      </c>
      <c r="C64" s="39" t="inlineStr">
        <is>
          <t>Ụ súng dã chiến</t>
        </is>
      </c>
      <c r="D64" s="39" t="inlineStr">
        <is>
          <t>Ụ súng</t>
        </is>
      </c>
      <c r="E64" s="39" t="inlineStr">
        <is>
          <t>Field Gun Post</t>
        </is>
      </c>
      <c r="F64" s="39" t="inlineStr">
        <is>
          <t>"Tạm" nghe như lỗi.</t>
        </is>
      </c>
    </row>
    <row r="65" ht="15" customHeight="1" s="32">
      <c r="A65" s="41" t="inlineStr">
        <is>
          <t>spawn_bastion</t>
        </is>
      </c>
      <c r="B65" s="41" t="inlineStr">
        <is>
          <t>Tháp căn cứ</t>
        </is>
      </c>
      <c r="C65" s="41" t="inlineStr">
        <is>
          <t>(kiểm tra còn dùng không)</t>
        </is>
      </c>
      <c r="D65" s="41" t="inlineStr">
        <is>
          <t>—</t>
        </is>
      </c>
      <c r="E65" s="41" t="inlineStr">
        <is>
          <t>—</t>
        </is>
      </c>
      <c r="F65" s="41" t="inlineStr">
        <is>
          <t>Tên của hệ căn cứ cũ.</t>
        </is>
      </c>
    </row>
  </sheetData>
  <autoFilter ref="A1:F6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J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0" customWidth="1" style="31" min="2" max="2"/>
    <col width="12" customWidth="1" style="31" min="3" max="3"/>
    <col width="8" customWidth="1" style="31" min="4" max="5"/>
    <col width="9" customWidth="1" style="31" min="6" max="6"/>
    <col width="8" customWidth="1" style="31" min="7" max="7"/>
    <col width="9" customWidth="1" style="31" min="8" max="8"/>
    <col width="32" customWidth="1" style="31" min="9" max="9"/>
    <col width="70" customWidth="1" style="31" min="10" max="10"/>
  </cols>
  <sheetData>
    <row r="1" ht="42" customHeight="1" s="32">
      <c r="A1" s="37" t="inlineStr">
        <is>
          <t>id</t>
        </is>
      </c>
      <c r="B1" s="37" t="inlineStr">
        <is>
          <t>Đơn vị</t>
        </is>
      </c>
      <c r="C1" s="37" t="inlineStr">
        <is>
          <t>Nhóm</t>
        </is>
      </c>
      <c r="D1" s="37" t="inlineStr">
        <is>
          <t>Dài model (m)</t>
        </is>
      </c>
      <c r="E1" s="37" t="inlineStr">
        <is>
          <t>Rộng model (m)</t>
        </is>
      </c>
      <c r="F1" s="37" t="inlineStr">
        <is>
          <t>Diện tích (m²)</t>
        </is>
      </c>
      <c r="G1" s="45" t="inlineStr">
        <is>
          <t>CP sau đề xuất</t>
        </is>
      </c>
      <c r="H1" s="37" t="inlineStr">
        <is>
          <t>CP / 10 m²</t>
        </is>
      </c>
      <c r="I1" s="37" t="inlineStr">
        <is>
          <t>Giá ngoài đời (ước lượng)</t>
        </is>
      </c>
      <c r="J1" s="37" t="inlineStr">
        <is>
          <t>Nhận xét</t>
        </is>
      </c>
    </row>
    <row r="2" ht="15" customHeight="1" s="32">
      <c r="A2" s="39" t="inlineStr">
        <is>
          <t>hover_gunboat</t>
        </is>
      </c>
      <c r="B2" s="39" t="inlineStr">
        <is>
          <t>Xuồng cao tốc đệm khí</t>
        </is>
      </c>
      <c r="C2" s="39" t="inlineStr">
        <is>
          <t>Mặt đất</t>
        </is>
      </c>
      <c r="D2" s="42" t="n">
        <v>14</v>
      </c>
      <c r="E2" s="42" t="n">
        <v>3.9</v>
      </c>
      <c r="F2" s="50">
        <f>IFERROR(D2*E2,"")</f>
        <v/>
      </c>
      <c r="G2" s="52" t="n">
        <v>0</v>
      </c>
      <c r="H2" s="50">
        <f>IFERROR(G2/F2*10,"")</f>
        <v/>
      </c>
      <c r="I2" s="39" t="inlineStr">
        <is>
          <t>—</t>
        </is>
      </c>
      <c r="J2" s="39" t="n"/>
    </row>
    <row r="3" ht="15" customHeight="1" s="32">
      <c r="A3" s="41" t="inlineStr">
        <is>
          <t>armored_car</t>
        </is>
      </c>
      <c r="B3" s="41" t="inlineStr">
        <is>
          <t>Xe bọc thép</t>
        </is>
      </c>
      <c r="C3" s="41" t="inlineStr">
        <is>
          <t>Mặt đất</t>
        </is>
      </c>
      <c r="D3" s="43" t="n">
        <v>5.9</v>
      </c>
      <c r="E3" s="43" t="n">
        <v>2.3</v>
      </c>
      <c r="F3" s="51">
        <f>IFERROR(D3*E3,"")</f>
        <v/>
      </c>
      <c r="G3" s="53" t="n">
        <v>3</v>
      </c>
      <c r="H3" s="51">
        <f>IFERROR(G3/F3*10,"")</f>
        <v/>
      </c>
      <c r="I3" s="41" t="inlineStr">
        <is>
          <t>~1,5 triệu</t>
        </is>
      </c>
      <c r="J3" s="41" t="n"/>
    </row>
    <row r="4" ht="15" customHeight="1" s="32">
      <c r="A4" s="39" t="inlineStr">
        <is>
          <t>ifv</t>
        </is>
      </c>
      <c r="B4" s="39" t="inlineStr">
        <is>
          <t>Xe chiến đấu bộ binh</t>
        </is>
      </c>
      <c r="C4" s="39" t="inlineStr">
        <is>
          <t>Mặt đất</t>
        </is>
      </c>
      <c r="D4" s="42" t="n">
        <v>6.2</v>
      </c>
      <c r="E4" s="42" t="n">
        <v>2.7</v>
      </c>
      <c r="F4" s="50">
        <f>IFERROR(D4*E4,"")</f>
        <v/>
      </c>
      <c r="G4" s="52" t="n">
        <v>6</v>
      </c>
      <c r="H4" s="50">
        <f>IFERROR(G4/F4*10,"")</f>
        <v/>
      </c>
      <c r="I4" s="39" t="inlineStr">
        <is>
          <t>~2–4 triệu (BMP-3 / Bradley)</t>
        </is>
      </c>
      <c r="J4" s="39" t="n"/>
    </row>
    <row r="5" ht="15" customHeight="1" s="32">
      <c r="A5" s="41" t="inlineStr">
        <is>
          <t>supply_truck</t>
        </is>
      </c>
      <c r="B5" s="41" t="inlineStr">
        <is>
          <t>Xe tiếp tế</t>
        </is>
      </c>
      <c r="C5" s="41" t="inlineStr">
        <is>
          <t>Mặt đất</t>
        </is>
      </c>
      <c r="D5" s="43" t="n">
        <v>7.6</v>
      </c>
      <c r="E5" s="43" t="n">
        <v>2.7</v>
      </c>
      <c r="F5" s="51">
        <f>IFERROR(D5*E5,"")</f>
        <v/>
      </c>
      <c r="G5" s="53" t="n">
        <v>0</v>
      </c>
      <c r="H5" s="51">
        <f>IFERROR(G5/F5*10,"")</f>
        <v/>
      </c>
      <c r="I5" s="41" t="inlineStr">
        <is>
          <t>~0,5 triệu</t>
        </is>
      </c>
      <c r="J5" s="41" t="inlineStr">
        <is>
          <t>Xe nhiệm vụ, không vào bộ bài.</t>
        </is>
      </c>
    </row>
    <row r="6" ht="15" customHeight="1" s="32">
      <c r="A6" s="39" t="inlineStr">
        <is>
          <t>engineer_vehicle</t>
        </is>
      </c>
      <c r="B6" s="39" t="inlineStr">
        <is>
          <t>Xe công binh</t>
        </is>
      </c>
      <c r="C6" s="39" t="inlineStr">
        <is>
          <t>Mặt đất</t>
        </is>
      </c>
      <c r="D6" s="42" t="n">
        <v>6.3</v>
      </c>
      <c r="E6" s="42" t="n">
        <v>2.8</v>
      </c>
      <c r="F6" s="50">
        <f>IFERROR(D6*E6,"")</f>
        <v/>
      </c>
      <c r="G6" s="52" t="n">
        <v>3</v>
      </c>
      <c r="H6" s="50">
        <f>IFERROR(G6/F6*10,"")</f>
        <v/>
      </c>
      <c r="I6" s="39" t="inlineStr">
        <is>
          <t>~3 triệu (M88A2)</t>
        </is>
      </c>
      <c r="J6" s="39" t="n"/>
    </row>
    <row r="7" ht="15" customHeight="1" s="32">
      <c r="A7" s="41"/>
      <c r="B7" s="41"/>
      <c r="C7" s="41"/>
      <c r="D7" s="43"/>
      <c r="E7" s="43"/>
      <c r="F7" s="51"/>
      <c r="G7" s="53"/>
      <c r="H7" s="51"/>
      <c r="I7" s="41"/>
      <c r="J7" s="41"/>
    </row>
    <row r="8" ht="15" customHeight="1" s="32">
      <c r="A8" s="39" t="inlineStr">
        <is>
          <t>ammo_carrier</t>
        </is>
      </c>
      <c r="B8" s="39" t="inlineStr">
        <is>
          <t>Xe tiếp đạn</t>
        </is>
      </c>
      <c r="C8" s="39" t="inlineStr">
        <is>
          <t>Mặt đất</t>
        </is>
      </c>
      <c r="D8" s="42" t="n">
        <v>6.9</v>
      </c>
      <c r="E8" s="42" t="n">
        <v>2.4</v>
      </c>
      <c r="F8" s="50">
        <f>IFERROR(D8*E8,"")</f>
        <v/>
      </c>
      <c r="G8" s="52" t="n">
        <v>4</v>
      </c>
      <c r="H8" s="50">
        <f>IFERROR(G8/F8*10,"")</f>
        <v/>
      </c>
      <c r="I8" s="39" t="inlineStr">
        <is>
          <t>~0,5 triệu</t>
        </is>
      </c>
      <c r="J8" s="39" t="inlineStr">
        <is>
          <t>Xe tải to nhưng rẻ là đúng ngoài đời.</t>
        </is>
      </c>
    </row>
    <row r="9" ht="15" customHeight="1" s="32">
      <c r="A9" s="41"/>
      <c r="B9" s="41"/>
      <c r="C9" s="41"/>
      <c r="D9" s="43"/>
      <c r="E9" s="43"/>
      <c r="F9" s="51"/>
      <c r="G9" s="53"/>
      <c r="H9" s="51"/>
      <c r="I9" s="41"/>
      <c r="J9" s="41"/>
    </row>
    <row r="10" ht="15" customHeight="1" s="32">
      <c r="A10" s="39" t="inlineStr">
        <is>
          <t>ew_jammer</t>
        </is>
      </c>
      <c r="B10" s="39" t="inlineStr">
        <is>
          <t>Xe tác chiến điện tử</t>
        </is>
      </c>
      <c r="C10" s="39" t="inlineStr">
        <is>
          <t>Mặt đất</t>
        </is>
      </c>
      <c r="D10" s="42" t="n">
        <v>7.9</v>
      </c>
      <c r="E10" s="42" t="n">
        <v>2.9</v>
      </c>
      <c r="F10" s="50">
        <f>IFERROR(D10*E10,"")</f>
        <v/>
      </c>
      <c r="G10" s="52" t="n">
        <v>5</v>
      </c>
      <c r="H10" s="50">
        <f>IFERROR(G10/F10*10,"")</f>
        <v/>
      </c>
      <c r="I10" s="39" t="inlineStr">
        <is>
          <t>~10–20 triệu (ước lượng)</t>
        </is>
      </c>
      <c r="J10" s="39" t="n"/>
    </row>
    <row r="11" ht="15" customHeight="1" s="32">
      <c r="A11" s="41" t="inlineStr">
        <is>
          <t>mine_layer</t>
        </is>
      </c>
      <c r="B11" s="41" t="inlineStr">
        <is>
          <t>Xe rải mìn</t>
        </is>
      </c>
      <c r="C11" s="41" t="inlineStr">
        <is>
          <t>Mặt đất</t>
        </is>
      </c>
      <c r="D11" s="43" t="n">
        <v>6.6</v>
      </c>
      <c r="E11" s="43" t="n">
        <v>2.6</v>
      </c>
      <c r="F11" s="51">
        <f>IFERROR(D11*E11,"")</f>
        <v/>
      </c>
      <c r="G11" s="53" t="n">
        <v>5</v>
      </c>
      <c r="H11" s="51">
        <f>IFERROR(G11/F11*10,"")</f>
        <v/>
      </c>
      <c r="I11" s="41" t="inlineStr">
        <is>
          <t>~1 triệu</t>
        </is>
      </c>
      <c r="J11" s="41" t="n"/>
    </row>
    <row r="12" ht="15" customHeight="1" s="32">
      <c r="A12" s="39" t="inlineStr">
        <is>
          <t>command_vehicle</t>
        </is>
      </c>
      <c r="B12" s="39" t="inlineStr">
        <is>
          <t>Xe chỉ huy</t>
        </is>
      </c>
      <c r="C12" s="39" t="inlineStr">
        <is>
          <t>Mặt đất</t>
        </is>
      </c>
      <c r="D12" s="42" t="n">
        <v>6.7</v>
      </c>
      <c r="E12" s="42" t="n">
        <v>2.5</v>
      </c>
      <c r="F12" s="50">
        <f>IFERROR(D12*E12,"")</f>
        <v/>
      </c>
      <c r="G12" s="52" t="n">
        <v>6</v>
      </c>
      <c r="H12" s="50">
        <f>IFERROR(G12/F12*10,"")</f>
        <v/>
      </c>
      <c r="I12" s="39" t="inlineStr">
        <is>
          <t>~4 triệu</t>
        </is>
      </c>
      <c r="J12" s="39" t="n"/>
    </row>
    <row r="13" ht="15" customHeight="1" s="32">
      <c r="A13" s="41" t="inlineStr">
        <is>
          <t>shield_carrier</t>
        </is>
      </c>
      <c r="B13" s="41" t="inlineStr">
        <is>
          <t>Xe phát khiên</t>
        </is>
      </c>
      <c r="C13" s="41" t="inlineStr">
        <is>
          <t>Mặt đất</t>
        </is>
      </c>
      <c r="D13" s="43" t="n">
        <v>7.4</v>
      </c>
      <c r="E13" s="43" t="n">
        <v>2.5</v>
      </c>
      <c r="F13" s="51">
        <f>IFERROR(D13*E13,"")</f>
        <v/>
      </c>
      <c r="G13" s="53" t="n">
        <v>7</v>
      </c>
      <c r="H13" s="51">
        <f>IFERROR(G13/F13*10,"")</f>
        <v/>
      </c>
      <c r="I13" s="41" t="inlineStr">
        <is>
          <t>— (giả tưởng)</t>
        </is>
      </c>
      <c r="J13" s="41" t="n"/>
    </row>
    <row r="14" ht="15" customHeight="1" s="32">
      <c r="A14" s="39" t="inlineStr">
        <is>
          <t>scout_jeep</t>
        </is>
      </c>
      <c r="B14" s="39" t="inlineStr">
        <is>
          <t>Xe trinh sát</t>
        </is>
      </c>
      <c r="C14" s="39" t="inlineStr">
        <is>
          <t>Mặt đất</t>
        </is>
      </c>
      <c r="D14" s="42" t="n">
        <v>3.7</v>
      </c>
      <c r="E14" s="42" t="n">
        <v>1.9</v>
      </c>
      <c r="F14" s="50">
        <f>IFERROR(D14*E14,"")</f>
        <v/>
      </c>
      <c r="G14" s="52" t="n">
        <v>2</v>
      </c>
      <c r="H14" s="50">
        <f>IFERROR(G14/F14*10,"")</f>
        <v/>
      </c>
      <c r="I14" s="39" t="inlineStr">
        <is>
          <t>~0,1 triệu</t>
        </is>
      </c>
      <c r="J14" s="39" t="inlineStr">
        <is>
          <t>Nhỏ nhất, rẻ nhất: hợp lý.</t>
        </is>
      </c>
    </row>
    <row r="15" ht="15" customHeight="1" s="32">
      <c r="A15" s="41" t="inlineStr">
        <is>
          <t>vbied</t>
        </is>
      </c>
      <c r="B15" s="41" t="inlineStr">
        <is>
          <t>Xe bom tự sát bọc thép</t>
        </is>
      </c>
      <c r="C15" s="41" t="inlineStr">
        <is>
          <t>Mặt đất</t>
        </is>
      </c>
      <c r="D15" s="43" t="n">
        <v>4.4</v>
      </c>
      <c r="E15" s="43" t="n">
        <v>1.9</v>
      </c>
      <c r="F15" s="51">
        <f>IFERROR(D15*E15,"")</f>
        <v/>
      </c>
      <c r="G15" s="53" t="n">
        <v>3</v>
      </c>
      <c r="H15" s="51">
        <f>IFERROR(G15/F15*10,"")</f>
        <v/>
      </c>
      <c r="I15" s="41" t="inlineStr">
        <is>
          <t>&lt;0,05 triệu</t>
        </is>
      </c>
      <c r="J15" s="41" t="n"/>
    </row>
    <row r="16" ht="15" customHeight="1" s="32">
      <c r="A16" s="39" t="inlineStr">
        <is>
          <t>light_tank</t>
        </is>
      </c>
      <c r="B16" s="39" t="inlineStr">
        <is>
          <t>Tăng hạng nhẹ</t>
        </is>
      </c>
      <c r="C16" s="39" t="inlineStr">
        <is>
          <t>Mặt đất</t>
        </is>
      </c>
      <c r="D16" s="42" t="n">
        <v>6.2</v>
      </c>
      <c r="E16" s="42" t="n">
        <v>2.3</v>
      </c>
      <c r="F16" s="50">
        <f>IFERROR(D16*E16,"")</f>
        <v/>
      </c>
      <c r="G16" s="52" t="n">
        <v>3</v>
      </c>
      <c r="H16" s="50">
        <f>IFERROR(G16/F16*10,"")</f>
        <v/>
      </c>
      <c r="I16" s="39" t="inlineStr">
        <is>
          <t>~2 triệu</t>
        </is>
      </c>
      <c r="J16" s="39" t="n"/>
    </row>
    <row r="17" ht="15" customHeight="1" s="32">
      <c r="A17" s="41" t="inlineStr">
        <is>
          <t>flame_tank</t>
        </is>
      </c>
      <c r="B17" s="41" t="inlineStr">
        <is>
          <t>Tăng phun lửa</t>
        </is>
      </c>
      <c r="C17" s="41" t="inlineStr">
        <is>
          <t>Mặt đất</t>
        </is>
      </c>
      <c r="D17" s="43" t="n">
        <v>5</v>
      </c>
      <c r="E17" s="43" t="n">
        <v>2.8</v>
      </c>
      <c r="F17" s="51">
        <f>IFERROR(D17*E17,"")</f>
        <v/>
      </c>
      <c r="G17" s="53" t="n">
        <v>5</v>
      </c>
      <c r="H17" s="51">
        <f>IFERROR(G17/F17*10,"")</f>
        <v/>
      </c>
      <c r="I17" s="41" t="inlineStr">
        <is>
          <t>~2 triệu</t>
        </is>
      </c>
      <c r="J17" s="41" t="n"/>
    </row>
    <row r="18" ht="15" customHeight="1" s="32">
      <c r="A18" s="39"/>
      <c r="B18" s="39"/>
      <c r="C18" s="39"/>
      <c r="D18" s="42"/>
      <c r="E18" s="42"/>
      <c r="F18" s="50"/>
      <c r="G18" s="52"/>
      <c r="H18" s="50"/>
      <c r="I18" s="39"/>
      <c r="J18" s="39"/>
    </row>
    <row r="19" ht="15" customHeight="1" s="32">
      <c r="A19" s="41"/>
      <c r="B19" s="41"/>
      <c r="C19" s="41"/>
      <c r="D19" s="43"/>
      <c r="E19" s="43"/>
      <c r="F19" s="51"/>
      <c r="G19" s="53"/>
      <c r="H19" s="51"/>
      <c r="I19" s="41"/>
      <c r="J19" s="41"/>
    </row>
    <row r="20" ht="15" customHeight="1" s="32">
      <c r="A20" s="39" t="inlineStr">
        <is>
          <t>rocket_technical</t>
        </is>
      </c>
      <c r="B20" s="39" t="inlineStr">
        <is>
          <t>Bán tải rốc-két</t>
        </is>
      </c>
      <c r="C20" s="39" t="inlineStr">
        <is>
          <t>Mặt đất</t>
        </is>
      </c>
      <c r="D20" s="42" t="n">
        <v>4.6</v>
      </c>
      <c r="E20" s="42" t="n">
        <v>1.8</v>
      </c>
      <c r="F20" s="50">
        <f>IFERROR(D20*E20,"")</f>
        <v/>
      </c>
      <c r="G20" s="52" t="n">
        <v>3</v>
      </c>
      <c r="H20" s="50">
        <f>IFERROR(G20/F20*10,"")</f>
        <v/>
      </c>
      <c r="I20" s="39" t="inlineStr">
        <is>
          <t>~0,05 triệu</t>
        </is>
      </c>
      <c r="J20" s="39" t="n"/>
    </row>
    <row r="21" ht="15" customHeight="1" s="32">
      <c r="A21" s="41" t="inlineStr">
        <is>
          <t>mortar_carrier</t>
        </is>
      </c>
      <c r="B21" s="41" t="inlineStr">
        <is>
          <t>Xe súng cối</t>
        </is>
      </c>
      <c r="C21" s="41" t="inlineStr">
        <is>
          <t>Mặt đất</t>
        </is>
      </c>
      <c r="D21" s="43" t="n">
        <v>4.4</v>
      </c>
      <c r="E21" s="43" t="n">
        <v>2.5</v>
      </c>
      <c r="F21" s="51">
        <f>IFERROR(D21*E21,"")</f>
        <v/>
      </c>
      <c r="G21" s="53" t="n">
        <v>4</v>
      </c>
      <c r="H21" s="51">
        <f>IFERROR(G21/F21*10,"")</f>
        <v/>
      </c>
      <c r="I21" s="41" t="inlineStr">
        <is>
          <t>~1 triệu</t>
        </is>
      </c>
      <c r="J21" s="41" t="n"/>
    </row>
    <row r="22" ht="15" customHeight="1" s="32">
      <c r="A22" s="39" t="inlineStr">
        <is>
          <t>artillery</t>
        </is>
      </c>
      <c r="B22" s="39" t="inlineStr">
        <is>
          <t>Pháo tự hành</t>
        </is>
      </c>
      <c r="C22" s="39" t="inlineStr">
        <is>
          <t>Mặt đất</t>
        </is>
      </c>
      <c r="D22" s="42" t="n">
        <v>8.1</v>
      </c>
      <c r="E22" s="42" t="n">
        <v>2.3</v>
      </c>
      <c r="F22" s="50">
        <f>IFERROR(D22*E22,"")</f>
        <v/>
      </c>
      <c r="G22" s="52" t="n">
        <v>6</v>
      </c>
      <c r="H22" s="50">
        <f>IFERROR(G22/F22*10,"")</f>
        <v/>
      </c>
      <c r="I22" s="39" t="inlineStr">
        <is>
          <t>~5–14 triệu (CAESAR / M109A7)</t>
        </is>
      </c>
      <c r="J22" s="39" t="n"/>
    </row>
    <row r="23" ht="15" customHeight="1" s="32">
      <c r="A23" s="41" t="inlineStr">
        <is>
          <t>mlrs</t>
        </is>
      </c>
      <c r="B23" s="41" t="inlineStr">
        <is>
          <t>Pháo phản lực</t>
        </is>
      </c>
      <c r="C23" s="41" t="inlineStr">
        <is>
          <t>Mặt đất</t>
        </is>
      </c>
      <c r="D23" s="43" t="n">
        <v>6.4</v>
      </c>
      <c r="E23" s="43" t="n">
        <v>2.3</v>
      </c>
      <c r="F23" s="51">
        <f>IFERROR(D23*E23,"")</f>
        <v/>
      </c>
      <c r="G23" s="53" t="n">
        <v>7</v>
      </c>
      <c r="H23" s="51">
        <f>IFERROR(G23/F23*10,"")</f>
        <v/>
      </c>
      <c r="I23" s="41" t="inlineStr">
        <is>
          <t>~5 triệu bệ + 0,16 triệu/rốc-két</t>
        </is>
      </c>
      <c r="J23" s="41" t="n"/>
    </row>
    <row r="24" ht="15" customHeight="1" s="32">
      <c r="A24" s="39" t="inlineStr">
        <is>
          <t>shahed_truck</t>
        </is>
      </c>
      <c r="B24" s="39" t="inlineStr">
        <is>
          <t>Xe phóng Shahed</t>
        </is>
      </c>
      <c r="C24" s="39" t="inlineStr">
        <is>
          <t>Mặt đất</t>
        </is>
      </c>
      <c r="D24" s="42" t="n">
        <v>6.9</v>
      </c>
      <c r="E24" s="42" t="n">
        <v>2.6</v>
      </c>
      <c r="F24" s="50">
        <f>IFERROR(D24*E24,"")</f>
        <v/>
      </c>
      <c r="G24" s="52" t="n">
        <v>8</v>
      </c>
      <c r="H24" s="50">
        <f>IFERROR(G24/F24*10,"")</f>
        <v/>
      </c>
      <c r="I24" s="39" t="inlineStr">
        <is>
          <t>~0,5 triệu xe + 0,02–0,05 triệu/drone</t>
        </is>
      </c>
      <c r="J24" s="39" t="n"/>
    </row>
    <row r="25" ht="15" customHeight="1" s="32">
      <c r="A25" s="41" t="inlineStr">
        <is>
          <t>thermobaric_launcher</t>
        </is>
      </c>
      <c r="B25" s="41" t="inlineStr">
        <is>
          <t>Pháo phản lực nhiệt áp</t>
        </is>
      </c>
      <c r="C25" s="41" t="inlineStr">
        <is>
          <t>Mặt đất</t>
        </is>
      </c>
      <c r="D25" s="43" t="n">
        <v>6.3</v>
      </c>
      <c r="E25" s="43" t="n">
        <v>3.1</v>
      </c>
      <c r="F25" s="51">
        <f>IFERROR(D25*E25,"")</f>
        <v/>
      </c>
      <c r="G25" s="53" t="n">
        <v>9</v>
      </c>
      <c r="H25" s="51">
        <f>IFERROR(G25/F25*10,"")</f>
        <v/>
      </c>
      <c r="I25" s="41" t="inlineStr">
        <is>
          <t>~5–10 triệu (ước lượng)</t>
        </is>
      </c>
      <c r="J25" s="41" t="n"/>
    </row>
    <row r="26" ht="15" customHeight="1" s="32">
      <c r="A26" s="39" t="inlineStr">
        <is>
          <t>ballistic_launcher</t>
        </is>
      </c>
      <c r="B26" s="39" t="inlineStr">
        <is>
          <t>Xe phóng tên lửa đạn đạo</t>
        </is>
      </c>
      <c r="C26" s="39" t="inlineStr">
        <is>
          <t>Mặt đất</t>
        </is>
      </c>
      <c r="D26" s="42" t="n">
        <v>10.9</v>
      </c>
      <c r="E26" s="42" t="n">
        <v>2.6</v>
      </c>
      <c r="F26" s="50">
        <f>IFERROR(D26*E26,"")</f>
        <v/>
      </c>
      <c r="G26" s="52" t="n">
        <v>11</v>
      </c>
      <c r="H26" s="50">
        <f>IFERROR(G26/F26*10,"")</f>
        <v/>
      </c>
      <c r="I26" s="39" t="inlineStr">
        <is>
          <t>~20 triệu bệ + ~3 triệu/tên lửa</t>
        </is>
      </c>
      <c r="J26" s="39" t="inlineStr">
        <is>
          <t>Dài nhất nhóm pháo binh, giá 11 CP hợp lý.</t>
        </is>
      </c>
    </row>
    <row r="27" ht="15" customHeight="1" s="32">
      <c r="A27" s="41" t="inlineStr">
        <is>
          <t>heavy_rocket_artillery</t>
        </is>
      </c>
      <c r="B27" s="41" t="inlineStr">
        <is>
          <t>Pháo phản lực hạng nặng</t>
        </is>
      </c>
      <c r="C27" s="41" t="inlineStr">
        <is>
          <t>Mặt đất</t>
        </is>
      </c>
      <c r="D27" s="43" t="n">
        <v>10.5</v>
      </c>
      <c r="E27" s="43" t="n">
        <v>2.7</v>
      </c>
      <c r="F27" s="51">
        <f>IFERROR(D27*E27,"")</f>
        <v/>
      </c>
      <c r="G27" s="53" t="n">
        <v>12</v>
      </c>
      <c r="H27" s="51">
        <f>IFERROR(G27/F27*10,"")</f>
        <v/>
      </c>
      <c r="I27" s="41" t="inlineStr">
        <is>
          <t>~12 triệu</t>
        </is>
      </c>
      <c r="J27" s="41" t="n"/>
    </row>
    <row r="28" ht="15" customHeight="1" s="32">
      <c r="A28" s="39" t="inlineStr">
        <is>
          <t>siege_tank</t>
        </is>
      </c>
      <c r="B28" s="39" t="inlineStr">
        <is>
          <t>Tăng công thành</t>
        </is>
      </c>
      <c r="C28" s="39" t="inlineStr">
        <is>
          <t>Mặt đất</t>
        </is>
      </c>
      <c r="D28" s="42" t="n">
        <v>7.7</v>
      </c>
      <c r="E28" s="42" t="n">
        <v>3.4</v>
      </c>
      <c r="F28" s="50">
        <f>IFERROR(D28*E28,"")</f>
        <v/>
      </c>
      <c r="G28" s="52" t="n">
        <v>12</v>
      </c>
      <c r="H28" s="50">
        <f>IFERROR(G28/F28*10,"")</f>
        <v/>
      </c>
      <c r="I28" s="39" t="inlineStr">
        <is>
          <t>~3–5 triệu (2S4 / 2S7)</t>
        </is>
      </c>
      <c r="J28" s="39" t="n"/>
    </row>
    <row r="29" ht="15" customHeight="1" s="32">
      <c r="A29" s="41" t="inlineStr">
        <is>
          <t>zu23_technical</t>
        </is>
      </c>
      <c r="B29" s="41" t="inlineStr">
        <is>
          <t>Bán tải ZU-23</t>
        </is>
      </c>
      <c r="C29" s="41" t="inlineStr">
        <is>
          <t>Mặt đất</t>
        </is>
      </c>
      <c r="D29" s="43" t="n">
        <v>4.5</v>
      </c>
      <c r="E29" s="43" t="n">
        <v>1.8</v>
      </c>
      <c r="F29" s="51">
        <f>IFERROR(D29*E29,"")</f>
        <v/>
      </c>
      <c r="G29" s="53" t="n">
        <v>3</v>
      </c>
      <c r="H29" s="51">
        <f>IFERROR(G29/F29*10,"")</f>
        <v/>
      </c>
      <c r="I29" s="41" t="inlineStr">
        <is>
          <t>~0,1 triệu</t>
        </is>
      </c>
      <c r="J29" s="41" t="n"/>
    </row>
    <row r="30" ht="15" customHeight="1" s="32">
      <c r="A30" s="39" t="inlineStr">
        <is>
          <t>aa_vehicle</t>
        </is>
      </c>
      <c r="B30" s="39" t="inlineStr">
        <is>
          <t>Xe phòng không</t>
        </is>
      </c>
      <c r="C30" s="39" t="inlineStr">
        <is>
          <t>Mặt đất</t>
        </is>
      </c>
      <c r="D30" s="42" t="n">
        <v>5.6</v>
      </c>
      <c r="E30" s="42" t="n">
        <v>2.7</v>
      </c>
      <c r="F30" s="50">
        <f>IFERROR(D30*E30,"")</f>
        <v/>
      </c>
      <c r="G30" s="52" t="n">
        <v>4</v>
      </c>
      <c r="H30" s="50">
        <f>IFERROR(G30/F30*10,"")</f>
        <v/>
      </c>
      <c r="I30" s="39" t="inlineStr">
        <is>
          <t>~3 triệu</t>
        </is>
      </c>
      <c r="J30" s="39" t="n"/>
    </row>
    <row r="31" ht="15" customHeight="1" s="32">
      <c r="A31" s="41" t="inlineStr">
        <is>
          <t>sam_launcher</t>
        </is>
      </c>
      <c r="B31" s="41" t="inlineStr">
        <is>
          <t>Tên lửa phòng không</t>
        </is>
      </c>
      <c r="C31" s="41" t="inlineStr">
        <is>
          <t>Mặt đất</t>
        </is>
      </c>
      <c r="D31" s="43" t="n">
        <v>6.1</v>
      </c>
      <c r="E31" s="43" t="n">
        <v>3.1</v>
      </c>
      <c r="F31" s="51">
        <f>IFERROR(D31*E31,"")</f>
        <v/>
      </c>
      <c r="G31" s="53" t="n">
        <v>7</v>
      </c>
      <c r="H31" s="51">
        <f>IFERROR(G31/F31*10,"")</f>
        <v/>
      </c>
      <c r="I31" s="41" t="inlineStr">
        <is>
          <t>~10–15 triệu (TELAR)</t>
        </is>
      </c>
      <c r="J31" s="41" t="n"/>
    </row>
    <row r="32" ht="15" customHeight="1" s="32">
      <c r="A32" s="39" t="inlineStr">
        <is>
          <t>heavy_aa</t>
        </is>
      </c>
      <c r="B32" s="39" t="inlineStr">
        <is>
          <t>Pháo tên lửa phòng không</t>
        </is>
      </c>
      <c r="C32" s="39" t="inlineStr">
        <is>
          <t>Mặt đất</t>
        </is>
      </c>
      <c r="D32" s="42" t="n">
        <v>7</v>
      </c>
      <c r="E32" s="42" t="n">
        <v>2.5</v>
      </c>
      <c r="F32" s="50">
        <f>IFERROR(D32*E32,"")</f>
        <v/>
      </c>
      <c r="G32" s="52" t="n">
        <v>7</v>
      </c>
      <c r="H32" s="50">
        <f>IFERROR(G32/F32*10,"")</f>
        <v/>
      </c>
      <c r="I32" s="39" t="inlineStr">
        <is>
          <t>~13–15 triệu</t>
        </is>
      </c>
      <c r="J32" s="39" t="inlineStr">
        <is>
          <t>Đã tăng 6 → 7 CP cho ngang Buk.</t>
        </is>
      </c>
    </row>
    <row r="33" ht="15" customHeight="1" s="32">
      <c r="A33" s="41" t="inlineStr">
        <is>
          <t>iron_beam</t>
        </is>
      </c>
      <c r="B33" s="41" t="inlineStr">
        <is>
          <t>La-de phòng không</t>
        </is>
      </c>
      <c r="C33" s="41" t="inlineStr">
        <is>
          <t>Mặt đất</t>
        </is>
      </c>
      <c r="D33" s="43" t="n">
        <v>7.8</v>
      </c>
      <c r="E33" s="43" t="n">
        <v>2.7</v>
      </c>
      <c r="F33" s="51">
        <f>IFERROR(D33*E33,"")</f>
        <v/>
      </c>
      <c r="G33" s="53" t="n">
        <v>6</v>
      </c>
      <c r="H33" s="51">
        <f>IFERROR(G33/F33*10,"")</f>
        <v/>
      </c>
      <c r="I33" s="41" t="inlineStr">
        <is>
          <t>~? (hệ thống đắt, mỗi phát ~2 USD)</t>
        </is>
      </c>
      <c r="J33" s="41" t="n"/>
    </row>
    <row r="34" ht="15" customHeight="1" s="32">
      <c r="A34" s="39" t="inlineStr">
        <is>
          <t>long_sam</t>
        </is>
      </c>
      <c r="B34" s="39" t="inlineStr">
        <is>
          <t>Tên lửa phòng không tầm xa</t>
        </is>
      </c>
      <c r="C34" s="39" t="inlineStr">
        <is>
          <t>Mặt đất</t>
        </is>
      </c>
      <c r="D34" s="42" t="n">
        <v>9.800000000000001</v>
      </c>
      <c r="E34" s="42" t="n">
        <v>3.1</v>
      </c>
      <c r="F34" s="50">
        <f>IFERROR(D34*E34,"")</f>
        <v/>
      </c>
      <c r="G34" s="52" t="n">
        <v>14</v>
      </c>
      <c r="H34" s="50">
        <f>IFERROR(G34/F34*10,"")</f>
        <v/>
      </c>
      <c r="I34" s="39" t="inlineStr">
        <is>
          <t>~50 triệu mỗi bệ (tiểu đoàn ~500 triệu)</t>
        </is>
      </c>
      <c r="J34" s="39" t="inlineStr">
        <is>
          <t>Xe dài, giá tăng 11 → 14 CP, khớp giá S-400 rất cao.</t>
        </is>
      </c>
    </row>
    <row r="35" ht="15" customHeight="1" s="32">
      <c r="A35" s="41" t="inlineStr">
        <is>
          <t>scout_heli</t>
        </is>
      </c>
      <c r="B35" s="41" t="inlineStr">
        <is>
          <t>Trực thăng trinh sát</t>
        </is>
      </c>
      <c r="C35" s="41" t="inlineStr">
        <is>
          <t>Trên không</t>
        </is>
      </c>
      <c r="D35" s="43" t="n">
        <v>4.3</v>
      </c>
      <c r="E35" s="43" t="n">
        <v>3.9</v>
      </c>
      <c r="F35" s="51">
        <f>IFERROR(D35*E35,"")</f>
        <v/>
      </c>
      <c r="G35" s="53" t="n">
        <v>5</v>
      </c>
      <c r="H35" s="51">
        <f>IFERROR(G35/F35*10,"")</f>
        <v/>
      </c>
      <c r="I35" s="41" t="inlineStr">
        <is>
          <t>~5 triệu</t>
        </is>
      </c>
      <c r="J35" s="41" t="n"/>
    </row>
    <row r="36" ht="15" customHeight="1" s="32">
      <c r="A36" s="39" t="inlineStr">
        <is>
          <t>recon_drone</t>
        </is>
      </c>
      <c r="B36" s="39" t="inlineStr">
        <is>
          <t>UAV trinh sát</t>
        </is>
      </c>
      <c r="C36" s="39" t="inlineStr">
        <is>
          <t>Trên không</t>
        </is>
      </c>
      <c r="D36" s="42" t="n">
        <v>2.9</v>
      </c>
      <c r="E36" s="42" t="n">
        <v>5</v>
      </c>
      <c r="F36" s="50">
        <f>IFERROR(D36*E36,"")</f>
        <v/>
      </c>
      <c r="G36" s="52" t="n">
        <v>6</v>
      </c>
      <c r="H36" s="50">
        <f>IFERROR(G36/F36*10,"")</f>
        <v/>
      </c>
      <c r="I36" s="39" t="inlineStr">
        <is>
          <t>~5 triệu</t>
        </is>
      </c>
      <c r="J36" s="39" t="n"/>
    </row>
    <row r="37" ht="15" customHeight="1" s="32">
      <c r="A37" s="41"/>
      <c r="B37" s="41"/>
      <c r="C37" s="41"/>
      <c r="D37" s="43"/>
      <c r="E37" s="43"/>
      <c r="F37" s="51"/>
      <c r="G37" s="53"/>
      <c r="H37" s="51"/>
      <c r="I37" s="41"/>
      <c r="J37" s="41"/>
    </row>
    <row r="38" ht="15" customHeight="1" s="32">
      <c r="A38" s="39" t="inlineStr">
        <is>
          <t>strike_drone</t>
        </is>
      </c>
      <c r="B38" s="39" t="inlineStr">
        <is>
          <t>UAV tấn công</t>
        </is>
      </c>
      <c r="C38" s="39" t="inlineStr">
        <is>
          <t>Trên không</t>
        </is>
      </c>
      <c r="D38" s="42" t="n">
        <v>4.5</v>
      </c>
      <c r="E38" s="42" t="n">
        <v>7.4</v>
      </c>
      <c r="F38" s="50">
        <f>IFERROR(D38*E38,"")</f>
        <v/>
      </c>
      <c r="G38" s="52" t="n">
        <v>9</v>
      </c>
      <c r="H38" s="50">
        <f>IFERROR(G38/F38*10,"")</f>
        <v/>
      </c>
      <c r="I38" s="39" t="inlineStr">
        <is>
          <t>~30 triệu</t>
        </is>
      </c>
      <c r="J38" s="39" t="n"/>
    </row>
    <row r="39" ht="21.75" customHeight="1" s="32">
      <c r="A39" s="41" t="inlineStr">
        <is>
          <t>swarm_carrier</t>
        </is>
      </c>
      <c r="B39" s="41" t="inlineStr">
        <is>
          <t>Máy bay mẹ thả drone</t>
        </is>
      </c>
      <c r="C39" s="41" t="inlineStr">
        <is>
          <t>Trên không</t>
        </is>
      </c>
      <c r="D39" s="43" t="n">
        <v>16.4</v>
      </c>
      <c r="E39" s="43" t="n">
        <v>18.8</v>
      </c>
      <c r="F39" s="51">
        <f>IFERROR(D39*E39,"")</f>
        <v/>
      </c>
      <c r="G39" s="53" t="n">
        <v>13</v>
      </c>
      <c r="H39" s="51">
        <f>IFERROR(G39/F39*10,"")</f>
        <v/>
      </c>
      <c r="I39" s="41" t="inlineStr">
        <is>
          <t>~70 triệu</t>
        </is>
      </c>
      <c r="J39" s="41" t="inlineStr">
        <is>
          <t>Khung C-130 to bằng Pháo hạm bay: đã tăng 8 → 13 CP và thêm tên lửa hành trình Rapid Dragon.</t>
        </is>
      </c>
    </row>
    <row r="40" ht="21.75" customHeight="1" s="32">
      <c r="A40" s="39" t="inlineStr">
        <is>
          <t>attack_helicopter</t>
        </is>
      </c>
      <c r="B40" s="39" t="inlineStr">
        <is>
          <t>Trực thăng tấn công</t>
        </is>
      </c>
      <c r="C40" s="39" t="inlineStr">
        <is>
          <t>Trên không</t>
        </is>
      </c>
      <c r="D40" s="42" t="n">
        <v>6</v>
      </c>
      <c r="E40" s="42" t="n">
        <v>4</v>
      </c>
      <c r="F40" s="50">
        <f>IFERROR(D40*E40,"")</f>
        <v/>
      </c>
      <c r="G40" s="52" t="n">
        <v>9</v>
      </c>
      <c r="H40" s="50">
        <f>IFERROR(G40/F40*10,"")</f>
        <v/>
      </c>
      <c r="I40" s="39" t="inlineStr">
        <is>
          <t>~35 triệu</t>
        </is>
      </c>
      <c r="J40" s="39" t="inlineStr">
        <is>
          <t>Apache ngoài đời đắt hơn Su-25, nhưng giá game theo hiệu quả (trực thăng đang yếu); giữ 9 CP.</t>
        </is>
      </c>
    </row>
    <row r="41" ht="15" customHeight="1" s="32">
      <c r="A41" s="41" t="inlineStr">
        <is>
          <t>fighter_jet</t>
        </is>
      </c>
      <c r="B41" s="41" t="inlineStr">
        <is>
          <t>Tiêm kích</t>
        </is>
      </c>
      <c r="C41" s="41" t="inlineStr">
        <is>
          <t>Trên không</t>
        </is>
      </c>
      <c r="D41" s="43" t="n">
        <v>6.4</v>
      </c>
      <c r="E41" s="43" t="n">
        <v>4.2</v>
      </c>
      <c r="F41" s="51">
        <f>IFERROR(D41*E41,"")</f>
        <v/>
      </c>
      <c r="G41" s="53" t="n">
        <v>12</v>
      </c>
      <c r="H41" s="51">
        <f>IFERROR(G41/F41*10,"")</f>
        <v/>
      </c>
      <c r="I41" s="41" t="inlineStr">
        <is>
          <t>~30–40 triệu (Su-27)</t>
        </is>
      </c>
      <c r="J41" s="41" t="n"/>
    </row>
    <row r="42" ht="15" customHeight="1" s="32">
      <c r="A42" s="39" t="inlineStr">
        <is>
          <t>stealth_fighter</t>
        </is>
      </c>
      <c r="B42" s="39" t="inlineStr">
        <is>
          <t>Tiêm kích tàng hình</t>
        </is>
      </c>
      <c r="C42" s="39" t="inlineStr">
        <is>
          <t>Trên không</t>
        </is>
      </c>
      <c r="D42" s="42" t="n">
        <v>6.1</v>
      </c>
      <c r="E42" s="42" t="n">
        <v>4.2</v>
      </c>
      <c r="F42" s="50">
        <f>IFERROR(D42*E42,"")</f>
        <v/>
      </c>
      <c r="G42" s="52" t="n">
        <v>13</v>
      </c>
      <c r="H42" s="50">
        <f>IFERROR(G42/F42*10,"")</f>
        <v/>
      </c>
      <c r="I42" s="39" t="inlineStr">
        <is>
          <t>~40–80 triệu (Su-57 / F-35)</t>
        </is>
      </c>
      <c r="J42" s="39" t="n"/>
    </row>
    <row r="43" ht="15" customHeight="1" s="32">
      <c r="A43" s="41"/>
      <c r="B43" s="41"/>
      <c r="C43" s="41"/>
      <c r="D43" s="43"/>
      <c r="E43" s="43"/>
      <c r="F43" s="51"/>
      <c r="G43" s="53"/>
      <c r="H43" s="51"/>
      <c r="I43" s="41"/>
      <c r="J43" s="41"/>
    </row>
    <row r="44" ht="15" customHeight="1" s="32">
      <c r="A44" s="39" t="inlineStr">
        <is>
          <t>attack_jet</t>
        </is>
      </c>
      <c r="B44" s="39" t="inlineStr">
        <is>
          <t>Máy bay cường kích</t>
        </is>
      </c>
      <c r="C44" s="39" t="inlineStr">
        <is>
          <t>Trên không</t>
        </is>
      </c>
      <c r="D44" s="42" t="n">
        <v>6.4</v>
      </c>
      <c r="E44" s="42" t="n">
        <v>6</v>
      </c>
      <c r="F44" s="50">
        <f>IFERROR(D44*E44,"")</f>
        <v/>
      </c>
      <c r="G44" s="52" t="n">
        <v>18</v>
      </c>
      <c r="H44" s="50">
        <f>IFERROR(G44/F44*10,"")</f>
        <v/>
      </c>
      <c r="I44" s="39" t="inlineStr">
        <is>
          <t>~11–19 triệu</t>
        </is>
      </c>
      <c r="J44" s="39" t="n"/>
    </row>
    <row r="45" ht="15" customHeight="1" s="32">
      <c r="A45" s="41" t="inlineStr">
        <is>
          <t>stealth_bomber</t>
        </is>
      </c>
      <c r="B45" s="41" t="inlineStr">
        <is>
          <t>Máy bay ném bom tàng hình</t>
        </is>
      </c>
      <c r="C45" s="41" t="inlineStr">
        <is>
          <t>Trên không</t>
        </is>
      </c>
      <c r="D45" s="43" t="n">
        <v>7</v>
      </c>
      <c r="E45" s="43" t="n">
        <v>17.6</v>
      </c>
      <c r="F45" s="51">
        <f>IFERROR(D45*E45,"")</f>
        <v/>
      </c>
      <c r="G45" s="53" t="n">
        <v>21</v>
      </c>
      <c r="H45" s="51">
        <f>IFERROR(G45/F45*10,"")</f>
        <v/>
      </c>
      <c r="I45" s="41" t="inlineStr">
        <is>
          <t>~2 tỷ</t>
        </is>
      </c>
      <c r="J45" s="41" t="inlineStr">
        <is>
          <t>Đã tăng 18 → 21 CP (B-2 đắt nhất thế giới lại rẻ hơn B-52).</t>
        </is>
      </c>
    </row>
    <row r="46" ht="15" customHeight="1" s="32">
      <c r="A46" s="39" t="inlineStr">
        <is>
          <t>heavy_bomber</t>
        </is>
      </c>
      <c r="B46" s="39" t="inlineStr">
        <is>
          <t>Oanh tạc cơ hạng nặng</t>
        </is>
      </c>
      <c r="C46" s="39" t="inlineStr">
        <is>
          <t>Trên không</t>
        </is>
      </c>
      <c r="D46" s="42" t="n">
        <v>17.9</v>
      </c>
      <c r="E46" s="42" t="n">
        <v>18.7</v>
      </c>
      <c r="F46" s="50">
        <f>IFERROR(D46*E46,"")</f>
        <v/>
      </c>
      <c r="G46" s="52" t="n">
        <v>22</v>
      </c>
      <c r="H46" s="50">
        <f>IFERROR(G46/F46*10,"")</f>
        <v/>
      </c>
      <c r="I46" s="39" t="inlineStr">
        <is>
          <t>~85 triệu (thời giá gốc)</t>
        </is>
      </c>
      <c r="J46" s="39" t="inlineStr">
        <is>
          <t>Máy bay lớn nhất của người chơi, giá cao nhất: hợp lý.</t>
        </is>
      </c>
    </row>
    <row r="47" ht="15" customHeight="1" s="32">
      <c r="A47" s="41" t="inlineStr">
        <is>
          <t>sky_gunship</t>
        </is>
      </c>
      <c r="B47" s="41" t="inlineStr">
        <is>
          <t>Pháo hạm AC-130</t>
        </is>
      </c>
      <c r="C47" s="41" t="inlineStr">
        <is>
          <t>Trên không</t>
        </is>
      </c>
      <c r="D47" s="43" t="n">
        <v>12.2</v>
      </c>
      <c r="E47" s="43" t="n">
        <v>15.4</v>
      </c>
      <c r="F47" s="51">
        <f>IFERROR(D47*E47,"")</f>
        <v/>
      </c>
      <c r="G47" s="53" t="n">
        <v>22</v>
      </c>
      <c r="H47" s="51">
        <f>IFERROR(G47/F47*10,"")</f>
        <v/>
      </c>
      <c r="I47" s="41" t="inlineStr">
        <is>
          <t>~165 triệu (AC-130J)</t>
        </is>
      </c>
      <c r="J47" s="41" t="inlineStr">
        <is>
          <t>Cùng khung với máy bay mẹ; 22 CP hợp với 3 khẩu pháo.</t>
        </is>
      </c>
    </row>
    <row r="48" ht="15" customHeight="1" s="32">
      <c r="A48" s="39"/>
      <c r="B48" s="39"/>
      <c r="C48" s="39"/>
      <c r="D48" s="42"/>
      <c r="E48" s="42"/>
      <c r="F48" s="50"/>
      <c r="G48" s="52"/>
      <c r="H48" s="50"/>
      <c r="I48" s="39"/>
      <c r="J48" s="39"/>
    </row>
    <row r="49" ht="15" customHeight="1" s="32">
      <c r="A49" s="41" t="inlineStr">
        <is>
          <t>armored_bulldozer</t>
        </is>
      </c>
      <c r="B49" s="41" t="inlineStr">
        <is>
          <t>Xe ủi bọc thép</t>
        </is>
      </c>
      <c r="C49" s="41" t="inlineStr">
        <is>
          <t>Mặt đất</t>
        </is>
      </c>
      <c r="D49" s="43" t="n">
        <v>6.7</v>
      </c>
      <c r="E49" s="43" t="n">
        <v>3.7</v>
      </c>
      <c r="F49" s="51">
        <f>IFERROR(D49*E49,"")</f>
        <v/>
      </c>
      <c r="G49" s="53" t="n">
        <v>7</v>
      </c>
      <c r="H49" s="51">
        <f>IFERROR(G49/F49*10,"")</f>
        <v/>
      </c>
      <c r="I49" s="41" t="inlineStr">
        <is>
          <t>~1–2 triệu</t>
        </is>
      </c>
      <c r="J49" s="41" t="n"/>
    </row>
    <row r="50" ht="15" customHeight="1" s="32">
      <c r="A50" s="39" t="inlineStr">
        <is>
          <t>main_battle_tank</t>
        </is>
      </c>
      <c r="B50" s="39" t="inlineStr">
        <is>
          <t>Tăng chủ lực</t>
        </is>
      </c>
      <c r="C50" s="39" t="inlineStr">
        <is>
          <t>Mặt đất</t>
        </is>
      </c>
      <c r="D50" s="42" t="n">
        <v>6.3</v>
      </c>
      <c r="E50" s="42" t="n">
        <v>2.9</v>
      </c>
      <c r="F50" s="50">
        <f>IFERROR(D50*E50,"")</f>
        <v/>
      </c>
      <c r="G50" s="52" t="n">
        <v>7</v>
      </c>
      <c r="H50" s="50">
        <f>IFERROR(G50/F50*10,"")</f>
        <v/>
      </c>
      <c r="I50" s="39" t="inlineStr">
        <is>
          <t>~6–9 triệu</t>
        </is>
      </c>
      <c r="J50" s="39" t="n"/>
    </row>
    <row r="51" ht="15" customHeight="1" s="32">
      <c r="A51" s="41" t="inlineStr">
        <is>
          <t>twin_tank</t>
        </is>
      </c>
      <c r="B51" s="41" t="inlineStr">
        <is>
          <t>Tăng hai nòng</t>
        </is>
      </c>
      <c r="C51" s="41" t="inlineStr">
        <is>
          <t>Mặt đất</t>
        </is>
      </c>
      <c r="D51" s="43" t="n">
        <v>6.9</v>
      </c>
      <c r="E51" s="43" t="n">
        <v>3</v>
      </c>
      <c r="F51" s="51">
        <f>IFERROR(D51*E51,"")</f>
        <v/>
      </c>
      <c r="G51" s="53" t="n">
        <v>9</v>
      </c>
      <c r="H51" s="51">
        <f>IFERROR(G51/F51*10,"")</f>
        <v/>
      </c>
      <c r="I51" s="41" t="inlineStr">
        <is>
          <t>— (giả tưởng)</t>
        </is>
      </c>
      <c r="J51" s="41" t="n"/>
    </row>
    <row r="52" ht="15" customHeight="1" s="32">
      <c r="A52" s="39" t="inlineStr">
        <is>
          <t>heavy_tank</t>
        </is>
      </c>
      <c r="B52" s="39" t="inlineStr">
        <is>
          <t>Tăng hạng nặng</t>
        </is>
      </c>
      <c r="C52" s="39" t="inlineStr">
        <is>
          <t>Mặt đất</t>
        </is>
      </c>
      <c r="D52" s="42" t="n">
        <v>8.800000000000001</v>
      </c>
      <c r="E52" s="42" t="n">
        <v>3.2</v>
      </c>
      <c r="F52" s="50">
        <f>IFERROR(D52*E52,"")</f>
        <v/>
      </c>
      <c r="G52" s="52" t="n">
        <v>13</v>
      </c>
      <c r="H52" s="50">
        <f>IFERROR(G52/F52*10,"")</f>
        <v/>
      </c>
      <c r="I52" s="39" t="inlineStr">
        <is>
          <t>~10 triệu (nguyên mẫu)</t>
        </is>
      </c>
      <c r="J52" s="39" t="n"/>
    </row>
    <row r="53" ht="15" customHeight="1" s="32">
      <c r="A53" s="41" t="inlineStr">
        <is>
          <t>titan_tank</t>
        </is>
      </c>
      <c r="B53" s="41" t="inlineStr">
        <is>
          <t>Siêu tăng Titan</t>
        </is>
      </c>
      <c r="C53" s="41" t="inlineStr">
        <is>
          <t>Mặt đất</t>
        </is>
      </c>
      <c r="D53" s="43" t="n">
        <v>10.4</v>
      </c>
      <c r="E53" s="43" t="n">
        <v>3.6</v>
      </c>
      <c r="F53" s="51">
        <f>IFERROR(D53*E53,"")</f>
        <v/>
      </c>
      <c r="G53" s="53" t="n">
        <v>18</v>
      </c>
      <c r="H53" s="51">
        <f>IFERROR(G53/F53*10,"")</f>
        <v/>
      </c>
      <c r="I53" s="41" t="inlineStr">
        <is>
          <t>— (giả tưởng)</t>
        </is>
      </c>
      <c r="J53" s="41" t="inlineStr">
        <is>
          <t>Siêu tăng to nhất mặt đất, đã tăng 16 → 18 CP.</t>
        </is>
      </c>
    </row>
    <row r="54" ht="15" customHeight="1" s="32">
      <c r="A54" s="39" t="inlineStr">
        <is>
          <t>fpv_carrier</t>
        </is>
      </c>
      <c r="B54" s="39" t="inlineStr">
        <is>
          <t>Xe phóng drone FPV</t>
        </is>
      </c>
      <c r="C54" s="39" t="inlineStr">
        <is>
          <t>Mặt đất</t>
        </is>
      </c>
      <c r="D54" s="42" t="n">
        <v>7</v>
      </c>
      <c r="E54" s="42" t="n">
        <v>2.6</v>
      </c>
      <c r="F54" s="50">
        <f>IFERROR(D54*E54,"")</f>
        <v/>
      </c>
      <c r="G54" s="52" t="n">
        <v>6</v>
      </c>
      <c r="H54" s="50">
        <f>IFERROR(G54/F54*10,"")</f>
        <v/>
      </c>
      <c r="I54" s="39" t="inlineStr">
        <is>
          <t>~0,6 triệu xe + ~500 USD/drone</t>
        </is>
      </c>
      <c r="J54" s="39" t="n"/>
    </row>
    <row r="55" ht="15" customHeight="1" s="32">
      <c r="A55" s="41"/>
      <c r="B55" s="41"/>
      <c r="C55" s="41"/>
      <c r="D55" s="43"/>
      <c r="E55" s="43"/>
      <c r="F55" s="51"/>
      <c r="G55" s="53"/>
      <c r="H55" s="51"/>
      <c r="I55" s="41"/>
      <c r="J55" s="41"/>
    </row>
    <row r="56" ht="15" customHeight="1" s="32">
      <c r="A56" s="39" t="inlineStr">
        <is>
          <t>wheeled_gun</t>
        </is>
      </c>
      <c r="B56" s="39" t="inlineStr">
        <is>
          <t>Pháo bánh lốp diệt tăng</t>
        </is>
      </c>
      <c r="C56" s="39" t="inlineStr">
        <is>
          <t>Mặt đất</t>
        </is>
      </c>
      <c r="D56" s="42" t="n">
        <v>9.4</v>
      </c>
      <c r="E56" s="42" t="n">
        <v>2.6</v>
      </c>
      <c r="F56" s="50">
        <f>IFERROR(D56*E56,"")</f>
        <v/>
      </c>
      <c r="G56" s="52" t="n">
        <v>6</v>
      </c>
      <c r="H56" s="50">
        <f>IFERROR(G56/F56*10,"")</f>
        <v/>
      </c>
      <c r="I56" s="39" t="inlineStr">
        <is>
          <t>~9 triệu</t>
        </is>
      </c>
      <c r="J56" s="39" t="n"/>
    </row>
    <row r="57" ht="15" customHeight="1" s="32">
      <c r="A57" s="41" t="inlineStr">
        <is>
          <t>tank_destroyer</t>
        </is>
      </c>
      <c r="B57" s="41" t="inlineStr">
        <is>
          <t>Pháo chống tăng</t>
        </is>
      </c>
      <c r="C57" s="41" t="inlineStr">
        <is>
          <t>Mặt đất</t>
        </is>
      </c>
      <c r="D57" s="43" t="n">
        <v>9.199999999999999</v>
      </c>
      <c r="E57" s="43" t="n">
        <v>2.7</v>
      </c>
      <c r="F57" s="51">
        <f>IFERROR(D57*E57,"")</f>
        <v/>
      </c>
      <c r="G57" s="53" t="n">
        <v>6</v>
      </c>
      <c r="H57" s="51">
        <f>IFERROR(G57/F57*10,"")</f>
        <v/>
      </c>
      <c r="I57" s="41" t="inlineStr">
        <is>
          <t>~3–4 triệu</t>
        </is>
      </c>
      <c r="J57" s="41" t="n"/>
    </row>
    <row r="58" ht="15" customHeight="1" s="32">
      <c r="A58" s="39" t="inlineStr">
        <is>
          <t>railgun_truck</t>
        </is>
      </c>
      <c r="B58" s="39" t="inlineStr">
        <is>
          <t>Xe súng điện từ</t>
        </is>
      </c>
      <c r="C58" s="39" t="inlineStr">
        <is>
          <t>Mặt đất</t>
        </is>
      </c>
      <c r="D58" s="42" t="n">
        <v>9.699999999999999</v>
      </c>
      <c r="E58" s="42" t="n">
        <v>2.9</v>
      </c>
      <c r="F58" s="50">
        <f>IFERROR(D58*E58,"")</f>
        <v/>
      </c>
      <c r="G58" s="52" t="n">
        <v>10</v>
      </c>
      <c r="H58" s="50">
        <f>IFERROR(G58/F58*10,"")</f>
        <v/>
      </c>
      <c r="I58" s="39" t="inlineStr">
        <is>
          <t>— (giả tưởng)</t>
        </is>
      </c>
      <c r="J58" s="39" t="n"/>
    </row>
    <row r="59" ht="15" customHeight="1" s="32">
      <c r="A59" s="41" t="inlineStr">
        <is>
          <t>laser_tank</t>
        </is>
      </c>
      <c r="B59" s="41" t="inlineStr">
        <is>
          <t>Xe la-de tập trung</t>
        </is>
      </c>
      <c r="C59" s="41" t="inlineStr">
        <is>
          <t>Mặt đất</t>
        </is>
      </c>
      <c r="D59" s="43" t="n">
        <v>6.3</v>
      </c>
      <c r="E59" s="43" t="n">
        <v>2.7</v>
      </c>
      <c r="F59" s="51">
        <f>IFERROR(D59*E59,"")</f>
        <v/>
      </c>
      <c r="G59" s="53" t="n">
        <v>9</v>
      </c>
      <c r="H59" s="51">
        <f>IFERROR(G59/F59*10,"")</f>
        <v/>
      </c>
      <c r="I59" s="41" t="inlineStr">
        <is>
          <t>— (giả tưởng)</t>
        </is>
      </c>
      <c r="J59" s="41" t="n"/>
    </row>
  </sheetData>
  <autoFilter ref="A1:J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AO15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4" customWidth="1" style="31" min="2" max="2"/>
    <col width="20" customWidth="1" style="31" min="3" max="3"/>
    <col width="26" customWidth="1" style="31" min="4" max="4"/>
    <col width="10" customWidth="1" style="31" min="5" max="5"/>
    <col width="12" customWidth="1" style="31" min="6" max="6"/>
    <col width="8" customWidth="1" style="31" min="7" max="7"/>
    <col width="6" customWidth="1" style="31" min="8" max="9"/>
    <col width="8" customWidth="1" style="31" min="10" max="11"/>
    <col width="9" customWidth="1" style="31" min="12" max="13"/>
    <col width="7" customWidth="1" style="31" min="14" max="15"/>
    <col width="8" customWidth="1" style="31" min="16" max="19"/>
    <col width="7" customWidth="1" style="31" min="20" max="23"/>
    <col width="8" customWidth="1" style="31" min="24" max="24"/>
    <col width="7" customWidth="1" style="31" min="25" max="26"/>
    <col width="8" customWidth="1" style="31" min="27" max="29"/>
    <col width="7" customWidth="1" style="31" min="30" max="35"/>
    <col width="8" customWidth="1" style="31" min="36" max="36"/>
    <col width="40" customWidth="1" style="31" min="37" max="38"/>
    <col width="34" customWidth="1" style="31" min="39" max="39"/>
    <col width="55" customWidth="1" style="31" min="40" max="40"/>
    <col width="8" customWidth="1" style="31" min="41" max="41"/>
  </cols>
  <sheetData>
    <row r="1" ht="42" customHeight="1" s="32">
      <c r="A1" s="37" t="inlineStr">
        <is>
          <t>id</t>
        </is>
      </c>
      <c r="B1" s="37" t="inlineStr">
        <is>
          <t>Tên thật</t>
        </is>
      </c>
      <c r="C1" s="37" t="inlineStr">
        <is>
          <t>Nhóm</t>
        </is>
      </c>
      <c r="D1" s="37" t="inlineStr">
        <is>
          <t>Dùng bởi</t>
        </is>
      </c>
      <c r="E1" s="37" t="inlineStr">
        <is>
          <t>Loại</t>
        </is>
      </c>
      <c r="F1" s="37" t="inlineStr">
        <is>
          <t>Dạng</t>
        </is>
      </c>
      <c r="G1" s="37" t="inlineStr">
        <is>
          <t>Cỡ (mm/kg)</t>
        </is>
      </c>
      <c r="H1" s="44" t="inlineStr">
        <is>
          <t>Xuyên hiện</t>
        </is>
      </c>
      <c r="I1" s="45" t="inlineStr">
        <is>
          <t>Xuyên đề xuất</t>
        </is>
      </c>
      <c r="J1" s="44" t="inlineStr">
        <is>
          <t>Sát thương/phát hiện</t>
        </is>
      </c>
      <c r="K1" s="45" t="inlineStr">
        <is>
          <t>Sát thương/phát đề xuất</t>
        </is>
      </c>
      <c r="L1" s="44" t="inlineStr">
        <is>
          <t>Chế độ hiện</t>
        </is>
      </c>
      <c r="M1" s="45" t="inlineStr">
        <is>
          <t>Chế độ đề xuất</t>
        </is>
      </c>
      <c r="N1" s="44" t="inlineStr">
        <is>
          <t>Viên/s hiện</t>
        </is>
      </c>
      <c r="O1" s="45" t="inlineStr">
        <is>
          <t>Viên/s đề xuất</t>
        </is>
      </c>
      <c r="P1" s="44" t="inlineStr">
        <is>
          <t>Viên mỗi băng/loạt hiện</t>
        </is>
      </c>
      <c r="Q1" s="45" t="inlineStr">
        <is>
          <t>Viên mỗi băng/loạt đề xuất</t>
        </is>
      </c>
      <c r="R1" s="44" t="inlineStr">
        <is>
          <t>Nạp/nghỉ hiện (s)</t>
        </is>
      </c>
      <c r="S1" s="45" t="inlineStr">
        <is>
          <t>Nạp/nghỉ đề xuất (s)</t>
        </is>
      </c>
      <c r="T1" s="44" t="inlineStr">
        <is>
          <t>Tầm hiện (m)</t>
        </is>
      </c>
      <c r="U1" s="45" t="inlineStr">
        <is>
          <t>Tầm đề xuất (m)</t>
        </is>
      </c>
      <c r="V1" s="44" t="inlineStr">
        <is>
          <t>Tốc độ đạn hiện</t>
        </is>
      </c>
      <c r="W1" s="45" t="inlineStr">
        <is>
          <t>Tốc độ đạn đề xuất</t>
        </is>
      </c>
      <c r="X1" s="37" t="inlineStr">
        <is>
          <t>Thời gian bay tới tầm tối đa (s)</t>
        </is>
      </c>
      <c r="Y1" s="44" t="inlineStr">
        <is>
          <t>Nổ lan hiện (m)</t>
        </is>
      </c>
      <c r="Z1" s="45" t="inlineStr">
        <is>
          <t>Nổ lan đề xuất (m)</t>
        </is>
      </c>
      <c r="AA1" s="44" t="inlineStr">
        <is>
          <t>DPS duy trì hiện</t>
        </is>
      </c>
      <c r="AB1" s="45" t="inlineStr">
        <is>
          <t>DPS duy trì đề xuất</t>
        </is>
      </c>
      <c r="AC1" s="45" t="inlineStr">
        <is>
          <t>DPS đề xuất vs giáp 0</t>
        </is>
      </c>
      <c r="AD1" s="37" t="inlineStr">
        <is>
          <t>giáp 1</t>
        </is>
      </c>
      <c r="AE1" s="37" t="inlineStr">
        <is>
          <t>giáp 2</t>
        </is>
      </c>
      <c r="AF1" s="37" t="inlineStr">
        <is>
          <t>giáp 3</t>
        </is>
      </c>
      <c r="AG1" s="37" t="inlineStr">
        <is>
          <t>giáp 4</t>
        </is>
      </c>
      <c r="AH1" s="37" t="inlineStr">
        <is>
          <t>giáp 5</t>
        </is>
      </c>
      <c r="AI1" s="37" t="inlineStr">
        <is>
          <t>trên không</t>
        </is>
      </c>
      <c r="AJ1" s="37" t="inlineStr">
        <is>
          <t>công trình</t>
        </is>
      </c>
      <c r="AK1" s="37" t="inlineStr">
        <is>
          <t>Hành vi</t>
        </is>
      </c>
      <c r="AL1" s="37" t="inlineStr">
        <is>
          <t>Loại đạn thay thế gợi ý</t>
        </is>
      </c>
      <c r="AM1" s="37" t="inlineStr">
        <is>
          <t>Ngoài đời</t>
        </is>
      </c>
      <c r="AN1" s="46" t="inlineStr">
        <is>
          <t>Lý do thay đổi</t>
        </is>
      </c>
      <c r="AO1" s="46" t="inlineStr">
        <is>
          <t>Ưu tiên</t>
        </is>
      </c>
    </row>
    <row r="2" ht="32.25" customHeight="1" s="32">
      <c r="A2" s="39" t="inlineStr">
        <is>
          <t>aa_25_triple</t>
        </is>
      </c>
      <c r="B2" s="39" t="inlineStr">
        <is>
          <t>Type 96 25 mm (triple)</t>
        </is>
      </c>
      <c r="C2" s="39" t="inlineStr">
        <is>
          <t>Pháo tự động / cao xạ 20–40 mm</t>
        </is>
      </c>
      <c r="D2" s="39" t="inlineStr">
        <is>
          <t>Leviathan</t>
        </is>
      </c>
      <c r="E2" s="39" t="inlineStr">
        <is>
          <t>Mảnh</t>
        </is>
      </c>
      <c r="F2" s="39" t="inlineStr">
        <is>
          <t>Airburst</t>
        </is>
      </c>
      <c r="G2" s="42" t="n">
        <v>25</v>
      </c>
      <c r="H2" s="42" t="n">
        <v>1</v>
      </c>
      <c r="I2" s="42" t="n">
        <v>1</v>
      </c>
      <c r="J2" s="42" t="n">
        <v>17</v>
      </c>
      <c r="K2" s="42" t="n">
        <v>17</v>
      </c>
      <c r="L2" s="39" t="inlineStr">
        <is>
          <t>băng</t>
        </is>
      </c>
      <c r="M2" s="39" t="inlineStr">
        <is>
          <t>băng</t>
        </is>
      </c>
      <c r="N2" s="42" t="n">
        <v>20</v>
      </c>
      <c r="O2" s="42" t="n">
        <v>20</v>
      </c>
      <c r="P2" s="42" t="n">
        <v>15</v>
      </c>
      <c r="Q2" s="42" t="n">
        <v>15</v>
      </c>
      <c r="R2" s="42" t="n">
        <v>2.4</v>
      </c>
      <c r="S2" s="42" t="n">
        <v>2.4</v>
      </c>
      <c r="T2" s="42" t="n">
        <v>42</v>
      </c>
      <c r="U2" s="42" t="n">
        <v>42</v>
      </c>
      <c r="V2" s="42" t="n">
        <v>240</v>
      </c>
      <c r="W2" s="42" t="n">
        <v>240</v>
      </c>
      <c r="X2" s="50">
        <f>IFERROR(U2/W2,"")</f>
        <v/>
      </c>
      <c r="Y2" s="50" t="n"/>
      <c r="Z2" s="50" t="n"/>
      <c r="AA2" s="50">
        <f>IFERROR(IF(L2="từng phát",J2*N2,J2*P2/(P2/N2+R2)),"")</f>
        <v/>
      </c>
      <c r="AB2" s="50">
        <f>IFERROR(IF(M2="từng phát",K2*O2,K2*Q2/(Q2/O2+S2)),"")</f>
        <v/>
      </c>
      <c r="AC2" s="50">
        <f>IFERROR(AB2*VLOOKUP(E2,'Hệ số'!$A$2:$D$8,2,0)*IF((I2-0)&gt;=2,1.2,IF((I2-0)=1,1,IF((I2-0)=0,0.85,IF((I2-0)=-1,0.5,IF((I2-0)=-2,0.25,0.1))))),"")</f>
        <v/>
      </c>
      <c r="AD2" s="50">
        <f>IFERROR(AB2*VLOOKUP(E2,'Hệ số'!$A$2:$D$8,2,0)*IF((I2-1)&gt;=2,1.2,IF((I2-1)=1,1,IF((I2-1)=0,0.85,IF((I2-1)=-1,0.5,IF((I2-1)=-2,0.25,0.1))))),"")</f>
        <v/>
      </c>
      <c r="AE2" s="50">
        <f>IFERROR(AB2*VLOOKUP(E2,'Hệ số'!$A$2:$D$8,2,0)*IF((I2-2)&gt;=2,1.2,IF((I2-2)=1,1,IF((I2-2)=0,0.85,IF((I2-2)=-1,0.5,IF((I2-2)=-2,0.25,0.1))))),"")</f>
        <v/>
      </c>
      <c r="AF2" s="50">
        <f>IFERROR(AB2*VLOOKUP(E2,'Hệ số'!$A$2:$D$8,2,0)*IF((I2-3)&gt;=2,1.2,IF((I2-3)=1,1,IF((I2-3)=0,0.85,IF((I2-3)=-1,0.5,IF((I2-3)=-2,0.25,0.1))))),"")</f>
        <v/>
      </c>
      <c r="AG2" s="50">
        <f>IFERROR(AB2*VLOOKUP(E2,'Hệ số'!$A$2:$D$8,2,0)*IF((I2-4)&gt;=2,1.2,IF((I2-4)=1,1,IF((I2-4)=0,0.85,IF((I2-4)=-1,0.5,IF((I2-4)=-2,0.25,0.1))))),"")</f>
        <v/>
      </c>
      <c r="AH2" s="50">
        <f>IFERROR(AB2*VLOOKUP(E2,'Hệ số'!$A$2:$D$8,2,0)*IF((I2-5)&gt;=2,1.2,IF((I2-5)=1,1,IF((I2-5)=0,0.85,IF((I2-5)=-1,0.5,IF((I2-5)=-2,0.25,0.1))))),"")</f>
        <v/>
      </c>
      <c r="AI2" s="50">
        <f>IFERROR(AB2*VLOOKUP(E2,'Hệ số'!$A$2:$D$8,3,0),"")</f>
        <v/>
      </c>
      <c r="AJ2" s="50">
        <f>IFERROR(AB2*VLOOKUP(E2,'Hệ số'!$A$2:$D$8,4,0)*IF((I2-2)&gt;=2,1.2,IF((I2-2)=1,1,IF((I2-2)=0,0.85,IF((I2-2)=-1,0.5,IF((I2-2)=-2,0.25,0.1))))),"")</f>
        <v/>
      </c>
      <c r="AK2" s="39" t="inlineStr">
        <is>
          <t>Bắn loạt; đạn nổ trên không (Mảnh) mạnh với máy bay và drone, yếu với giáp; đạn xuyên (Động năng) mạnh với giáp 0–2.</t>
        </is>
      </c>
      <c r="AL2" s="39" t="inlineStr">
        <is>
          <t>Tự đổi: đạn xuyên (Động năng) với xe, đạn nổ trên không (Mảnh) với máy bay/drone.</t>
        </is>
      </c>
      <c r="AM2" s="39" t="inlineStr">
        <is>
          <t>Type 96 25 mm: 220–260 mỗi nòng</t>
        </is>
      </c>
      <c r="AN2" s="39" t="inlineStr">
        <is>
          <t>Giữ.</t>
        </is>
      </c>
      <c r="AO2" s="39" t="n"/>
    </row>
    <row r="3" ht="15" customHeight="1" s="32">
      <c r="A3" s="41" t="inlineStr">
        <is>
          <t>agl_40</t>
        </is>
      </c>
      <c r="B3" s="41" t="inlineStr">
        <is>
          <t>Mk 19 40 mm</t>
        </is>
      </c>
      <c r="C3" s="41" t="inlineStr">
        <is>
          <t>Khác</t>
        </is>
      </c>
      <c r="D3" s="41" t="inlineStr">
        <is>
          <t>BMPT</t>
        </is>
      </c>
      <c r="E3" s="41" t="inlineStr">
        <is>
          <t>Nổ mạnh</t>
        </is>
      </c>
      <c r="F3" s="41" t="inlineStr">
        <is>
          <t>Grenade</t>
        </is>
      </c>
      <c r="G3" s="43" t="n">
        <v>40</v>
      </c>
      <c r="H3" s="43" t="n">
        <v>2</v>
      </c>
      <c r="I3" s="43" t="n">
        <v>2</v>
      </c>
      <c r="J3" s="43" t="n">
        <v>26</v>
      </c>
      <c r="K3" s="43" t="n">
        <v>26</v>
      </c>
      <c r="L3" s="41" t="inlineStr">
        <is>
          <t>loạt</t>
        </is>
      </c>
      <c r="M3" s="41" t="inlineStr">
        <is>
          <t>loạt</t>
        </is>
      </c>
      <c r="N3" s="43" t="n">
        <v>5</v>
      </c>
      <c r="O3" s="43" t="n">
        <v>5</v>
      </c>
      <c r="P3" s="43" t="n">
        <v>3</v>
      </c>
      <c r="Q3" s="43" t="n">
        <v>6</v>
      </c>
      <c r="R3" s="43" t="n">
        <v>9.247</v>
      </c>
      <c r="S3" s="43" t="n">
        <v>3</v>
      </c>
      <c r="T3" s="43" t="n">
        <v>30</v>
      </c>
      <c r="U3" s="43" t="n">
        <v>30</v>
      </c>
      <c r="V3" s="43" t="n">
        <v>70</v>
      </c>
      <c r="W3" s="43" t="n">
        <v>70</v>
      </c>
      <c r="X3" s="51">
        <f>IFERROR(U3/W3,"")</f>
        <v/>
      </c>
      <c r="Y3" s="53" t="n">
        <v>2</v>
      </c>
      <c r="Z3" s="53" t="n">
        <v>2</v>
      </c>
      <c r="AA3" s="51">
        <f>IFERROR(IF(L3="từng phát",J3*N3,J3*P3/(P3/N3+R3)),"")</f>
        <v/>
      </c>
      <c r="AB3" s="51">
        <f>IFERROR(IF(M3="từng phát",K3*O3,K3*Q3/(Q3/O3+S3)),"")</f>
        <v/>
      </c>
      <c r="AC3" s="51">
        <f>IFERROR(AB3*VLOOKUP(E3,'Hệ số'!$A$2:$D$8,2,0)*IF((I3-0)&gt;=2,1.2,IF((I3-0)=1,1,IF((I3-0)=0,0.85,IF((I3-0)=-1,0.5,IF((I3-0)=-2,0.25,0.1))))),"")</f>
        <v/>
      </c>
      <c r="AD3" s="51">
        <f>IFERROR(AB3*VLOOKUP(E3,'Hệ số'!$A$2:$D$8,2,0)*IF((I3-1)&gt;=2,1.2,IF((I3-1)=1,1,IF((I3-1)=0,0.85,IF((I3-1)=-1,0.5,IF((I3-1)=-2,0.25,0.1))))),"")</f>
        <v/>
      </c>
      <c r="AE3" s="51">
        <f>IFERROR(AB3*VLOOKUP(E3,'Hệ số'!$A$2:$D$8,2,0)*IF((I3-2)&gt;=2,1.2,IF((I3-2)=1,1,IF((I3-2)=0,0.85,IF((I3-2)=-1,0.5,IF((I3-2)=-2,0.25,0.1))))),"")</f>
        <v/>
      </c>
      <c r="AF3" s="51">
        <f>IFERROR(AB3*VLOOKUP(E3,'Hệ số'!$A$2:$D$8,2,0)*IF((I3-3)&gt;=2,1.2,IF((I3-3)=1,1,IF((I3-3)=0,0.85,IF((I3-3)=-1,0.5,IF((I3-3)=-2,0.25,0.1))))),"")</f>
        <v/>
      </c>
      <c r="AG3" s="51">
        <f>IFERROR(AB3*VLOOKUP(E3,'Hệ số'!$A$2:$D$8,2,0)*IF((I3-4)&gt;=2,1.2,IF((I3-4)=1,1,IF((I3-4)=0,0.85,IF((I3-4)=-1,0.5,IF((I3-4)=-2,0.25,0.1))))),"")</f>
        <v/>
      </c>
      <c r="AH3" s="51">
        <f>IFERROR(AB3*VLOOKUP(E3,'Hệ số'!$A$2:$D$8,2,0)*IF((I3-5)&gt;=2,1.2,IF((I3-5)=1,1,IF((I3-5)=0,0.85,IF((I3-5)=-1,0.5,IF((I3-5)=-2,0.25,0.1))))),"")</f>
        <v/>
      </c>
      <c r="AI3" s="51">
        <f>IFERROR(AB3*VLOOKUP(E3,'Hệ số'!$A$2:$D$8,3,0),"")</f>
        <v/>
      </c>
      <c r="AJ3" s="51">
        <f>IFERROR(AB3*VLOOKUP(E3,'Hệ số'!$A$2:$D$8,4,0)*IF((I3-2)&gt;=2,1.2,IF((I3-2)=1,1,IF((I3-2)=0,0.85,IF((I3-2)=-1,0.5,IF((I3-2)=-2,0.25,0.1))))),"")</f>
        <v/>
      </c>
      <c r="AK3" s="41" t="n"/>
      <c r="AL3" s="41" t="n"/>
      <c r="AM3" s="41" t="inlineStr">
        <is>
          <t>Mk 19: 325–375 phát/phút liên tục</t>
        </is>
      </c>
      <c r="AN3" s="41" t="inlineStr">
        <is>
          <t>Mk 19 bắn liên tục 325–375 phát/phút; DPS duy trì hiện chỉ 8.</t>
        </is>
      </c>
      <c r="AO3" s="48" t="inlineStr">
        <is>
          <t>Trung</t>
        </is>
      </c>
    </row>
    <row r="4" ht="21.75" customHeight="1" s="32">
      <c r="A4" s="39" t="inlineStr">
        <is>
          <t>aim9</t>
        </is>
      </c>
      <c r="B4" s="39" t="inlineStr">
        <is>
          <t>AIM-9 Sidewinder</t>
        </is>
      </c>
      <c r="C4" s="39" t="inlineStr">
        <is>
          <t>Tên lửa phòng không / không đối không</t>
        </is>
      </c>
      <c r="D4" s="39" t="inlineStr">
        <is>
          <t>Drone hộ vệ</t>
        </is>
      </c>
      <c r="E4" s="39" t="inlineStr">
        <is>
          <t>Mảnh</t>
        </is>
      </c>
      <c r="F4" s="39" t="inlineStr">
        <is>
          <t>Sam</t>
        </is>
      </c>
      <c r="G4" s="42" t="n">
        <v>9.4</v>
      </c>
      <c r="H4" s="42" t="n">
        <v>2</v>
      </c>
      <c r="I4" s="42" t="n">
        <v>2</v>
      </c>
      <c r="J4" s="42" t="n">
        <v>236</v>
      </c>
      <c r="K4" s="42" t="n">
        <v>236</v>
      </c>
      <c r="L4" s="39" t="inlineStr">
        <is>
          <t>từng phát</t>
        </is>
      </c>
      <c r="M4" s="39" t="inlineStr">
        <is>
          <t>từng phát</t>
        </is>
      </c>
      <c r="N4" s="42" t="n">
        <v>0.12</v>
      </c>
      <c r="O4" s="42" t="n">
        <v>0.12</v>
      </c>
      <c r="P4" s="42" t="n">
        <v>1</v>
      </c>
      <c r="Q4" s="42" t="n">
        <v>1</v>
      </c>
      <c r="R4" s="42" t="n">
        <v>8.33333333333333</v>
      </c>
      <c r="S4" s="42" t="n">
        <v>8.33333333333333</v>
      </c>
      <c r="T4" s="42" t="n">
        <v>30</v>
      </c>
      <c r="U4" s="42" t="n">
        <v>30</v>
      </c>
      <c r="V4" s="42" t="n">
        <v>24</v>
      </c>
      <c r="W4" s="42" t="n">
        <v>55</v>
      </c>
      <c r="X4" s="50">
        <f>IFERROR(U4/W4,"")</f>
        <v/>
      </c>
      <c r="Y4" s="52" t="n">
        <v>1.5</v>
      </c>
      <c r="Z4" s="52" t="n">
        <v>1.5</v>
      </c>
      <c r="AA4" s="50">
        <f>IFERROR(IF(L4="từng phát",J4*N4,J4*P4/(P4/N4+R4)),"")</f>
        <v/>
      </c>
      <c r="AB4" s="50">
        <f>IFERROR(IF(M4="từng phát",K4*O4,K4*Q4/(Q4/O4+S4)),"")</f>
        <v/>
      </c>
      <c r="AC4" s="50">
        <f>IFERROR(AB4*VLOOKUP(E4,'Hệ số'!$A$2:$D$8,2,0)*IF((I4-0)&gt;=2,1.2,IF((I4-0)=1,1,IF((I4-0)=0,0.85,IF((I4-0)=-1,0.5,IF((I4-0)=-2,0.25,0.1))))),"")</f>
        <v/>
      </c>
      <c r="AD4" s="50">
        <f>IFERROR(AB4*VLOOKUP(E4,'Hệ số'!$A$2:$D$8,2,0)*IF((I4-1)&gt;=2,1.2,IF((I4-1)=1,1,IF((I4-1)=0,0.85,IF((I4-1)=-1,0.5,IF((I4-1)=-2,0.25,0.1))))),"")</f>
        <v/>
      </c>
      <c r="AE4" s="50">
        <f>IFERROR(AB4*VLOOKUP(E4,'Hệ số'!$A$2:$D$8,2,0)*IF((I4-2)&gt;=2,1.2,IF((I4-2)=1,1,IF((I4-2)=0,0.85,IF((I4-2)=-1,0.5,IF((I4-2)=-2,0.25,0.1))))),"")</f>
        <v/>
      </c>
      <c r="AF4" s="50">
        <f>IFERROR(AB4*VLOOKUP(E4,'Hệ số'!$A$2:$D$8,2,0)*IF((I4-3)&gt;=2,1.2,IF((I4-3)=1,1,IF((I4-3)=0,0.85,IF((I4-3)=-1,0.5,IF((I4-3)=-2,0.25,0.1))))),"")</f>
        <v/>
      </c>
      <c r="AG4" s="50">
        <f>IFERROR(AB4*VLOOKUP(E4,'Hệ số'!$A$2:$D$8,2,0)*IF((I4-4)&gt;=2,1.2,IF((I4-4)=1,1,IF((I4-4)=0,0.85,IF((I4-4)=-1,0.5,IF((I4-4)=-2,0.25,0.1))))),"")</f>
        <v/>
      </c>
      <c r="AH4" s="50">
        <f>IFERROR(AB4*VLOOKUP(E4,'Hệ số'!$A$2:$D$8,2,0)*IF((I4-5)&gt;=2,1.2,IF((I4-5)=1,1,IF((I4-5)=0,0.85,IF((I4-5)=-1,0.5,IF((I4-5)=-2,0.25,0.1))))),"")</f>
        <v/>
      </c>
      <c r="AI4" s="50">
        <f>IFERROR(AB4*VLOOKUP(E4,'Hệ số'!$A$2:$D$8,3,0),"")</f>
        <v/>
      </c>
      <c r="AJ4" s="50">
        <f>IFERROR(AB4*VLOOKUP(E4,'Hệ số'!$A$2:$D$8,4,0)*IF((I4-2)&gt;=2,1.2,IF((I4-2)=1,1,IF((I4-2)=0,0.85,IF((I4-2)=-1,0.5,IF((I4-2)=-2,0.25,0.1))))),"")</f>
        <v/>
      </c>
      <c r="AK4" s="39" t="inlineStr">
        <is>
          <t>Dẫn đường; bị pháo sáng đánh lừa theo độ kháng; phải nhanh hơn mục tiêu.</t>
        </is>
      </c>
      <c r="AL4" s="39" t="n"/>
      <c r="AM4" s="39" t="inlineStr">
        <is>
          <t>AIM-9: 18–35 km, Mach 2,5</t>
        </is>
      </c>
      <c r="AN4" s="39" t="inlineStr">
        <is>
          <t>Tốc độ bay 24→55 m/s: Phải nhanh hơn máy bay nhanh nhất (drone hộ vệ 46 m/s).</t>
        </is>
      </c>
      <c r="AO4" s="48" t="inlineStr">
        <is>
          <t>Trung</t>
        </is>
      </c>
    </row>
    <row r="5" ht="32.25" customHeight="1" s="32">
      <c r="A5" s="41" t="inlineStr">
        <is>
          <t>air_cruise_missile</t>
        </is>
      </c>
      <c r="B5" s="41" t="inlineStr">
        <is>
          <t>Kh-101 (400 kg)</t>
        </is>
      </c>
      <c r="C5" s="41" t="inlineStr">
        <is>
          <t>Tên lửa hành trình / đạn đạo</t>
        </is>
      </c>
      <c r="D5" s="41" t="inlineStr">
        <is>
          <t>Oanh tạc cơ</t>
        </is>
      </c>
      <c r="E5" s="41" t="inlineStr">
        <is>
          <t>Nổ mạnh</t>
        </is>
      </c>
      <c r="F5" s="41" t="inlineStr">
        <is>
          <t>Cruise</t>
        </is>
      </c>
      <c r="G5" s="43" t="n">
        <v>400</v>
      </c>
      <c r="H5" s="43" t="n">
        <v>3</v>
      </c>
      <c r="I5" s="43" t="n">
        <v>3</v>
      </c>
      <c r="J5" s="43" t="n">
        <v>378</v>
      </c>
      <c r="K5" s="43" t="n">
        <v>378</v>
      </c>
      <c r="L5" s="41" t="inlineStr">
        <is>
          <t>từng phát</t>
        </is>
      </c>
      <c r="M5" s="41" t="inlineStr">
        <is>
          <t>từng phát</t>
        </is>
      </c>
      <c r="N5" s="43" t="n">
        <v>0.09</v>
      </c>
      <c r="O5" s="43" t="n">
        <v>0.09</v>
      </c>
      <c r="P5" s="43" t="n">
        <v>1</v>
      </c>
      <c r="Q5" s="43" t="n">
        <v>1</v>
      </c>
      <c r="R5" s="43" t="n">
        <v>11.1111111111111</v>
      </c>
      <c r="S5" s="43" t="n">
        <v>11.1111111111111</v>
      </c>
      <c r="T5" s="43" t="n">
        <v>110</v>
      </c>
      <c r="U5" s="43" t="n">
        <v>110</v>
      </c>
      <c r="V5" s="43" t="n">
        <v>17</v>
      </c>
      <c r="W5" s="43" t="n">
        <v>22</v>
      </c>
      <c r="X5" s="51">
        <f>IFERROR(U5/W5,"")</f>
        <v/>
      </c>
      <c r="Y5" s="53" t="n">
        <v>6</v>
      </c>
      <c r="Z5" s="53" t="n">
        <v>9</v>
      </c>
      <c r="AA5" s="51">
        <f>IFERROR(IF(L5="từng phát",J5*N5,J5*P5/(P5/N5+R5)),"")</f>
        <v/>
      </c>
      <c r="AB5" s="51">
        <f>IFERROR(IF(M5="từng phát",K5*O5,K5*Q5/(Q5/O5+S5)),"")</f>
        <v/>
      </c>
      <c r="AC5" s="51">
        <f>IFERROR(AB5*VLOOKUP(E5,'Hệ số'!$A$2:$D$8,2,0)*IF((I5-0)&gt;=2,1.2,IF((I5-0)=1,1,IF((I5-0)=0,0.85,IF((I5-0)=-1,0.5,IF((I5-0)=-2,0.25,0.1))))),"")</f>
        <v/>
      </c>
      <c r="AD5" s="51">
        <f>IFERROR(AB5*VLOOKUP(E5,'Hệ số'!$A$2:$D$8,2,0)*IF((I5-1)&gt;=2,1.2,IF((I5-1)=1,1,IF((I5-1)=0,0.85,IF((I5-1)=-1,0.5,IF((I5-1)=-2,0.25,0.1))))),"")</f>
        <v/>
      </c>
      <c r="AE5" s="51">
        <f>IFERROR(AB5*VLOOKUP(E5,'Hệ số'!$A$2:$D$8,2,0)*IF((I5-2)&gt;=2,1.2,IF((I5-2)=1,1,IF((I5-2)=0,0.85,IF((I5-2)=-1,0.5,IF((I5-2)=-2,0.25,0.1))))),"")</f>
        <v/>
      </c>
      <c r="AF5" s="51">
        <f>IFERROR(AB5*VLOOKUP(E5,'Hệ số'!$A$2:$D$8,2,0)*IF((I5-3)&gt;=2,1.2,IF((I5-3)=1,1,IF((I5-3)=0,0.85,IF((I5-3)=-1,0.5,IF((I5-3)=-2,0.25,0.1))))),"")</f>
        <v/>
      </c>
      <c r="AG5" s="51">
        <f>IFERROR(AB5*VLOOKUP(E5,'Hệ số'!$A$2:$D$8,2,0)*IF((I5-4)&gt;=2,1.2,IF((I5-4)=1,1,IF((I5-4)=0,0.85,IF((I5-4)=-1,0.5,IF((I5-4)=-2,0.25,0.1))))),"")</f>
        <v/>
      </c>
      <c r="AH5" s="51">
        <f>IFERROR(AB5*VLOOKUP(E5,'Hệ số'!$A$2:$D$8,2,0)*IF((I5-5)&gt;=2,1.2,IF((I5-5)=1,1,IF((I5-5)=0,0.85,IF((I5-5)=-1,0.5,IF((I5-5)=-2,0.25,0.1))))),"")</f>
        <v/>
      </c>
      <c r="AI5" s="51">
        <f>IFERROR(AB5*VLOOKUP(E5,'Hệ số'!$A$2:$D$8,3,0),"")</f>
        <v/>
      </c>
      <c r="AJ5" s="51">
        <f>IFERROR(AB5*VLOOKUP(E5,'Hệ số'!$A$2:$D$8,4,0)*IF((I5-2)&gt;=2,1.2,IF((I5-2)=1,1,IF((I5-2)=0,0.85,IF((I5-2)=-1,0.5,IF((I5-2)=-2,0.25,0.1))))),"")</f>
        <v/>
      </c>
      <c r="AK5" s="41" t="inlineStr">
        <is>
          <t>Hành trình: bay chậm, thấp, bắn hạ được bởi phòng không; đạn đạo: bay nhanh, chỉ PAC-3 và Vòm Sắt bắn hạ.</t>
        </is>
      </c>
      <c r="AL5" s="41" t="n"/>
      <c r="AM5" s="41" t="inlineStr">
        <is>
          <t>Kh-101: đầu nổ 400 kg</t>
        </is>
      </c>
      <c r="AN5" s="41" t="inlineStr">
        <is>
          <t>Đầu nổ 400 kg nổ nhỏ hơn FAB-250. Tốc độ bay 17→22 m/s: Tên lửa hành trình: chậm có chủ đích (~5 s) để bị đánh chặn.</t>
        </is>
      </c>
      <c r="AO5" s="48" t="inlineStr">
        <is>
          <t>Trung</t>
        </is>
      </c>
    </row>
    <row r="6" ht="21.75" customHeight="1" s="32">
      <c r="A6" s="39" t="inlineStr">
        <is>
          <t>air_to_air</t>
        </is>
      </c>
      <c r="B6" s="39" t="inlineStr">
        <is>
          <t>AIM-120 AMRAAM</t>
        </is>
      </c>
      <c r="C6" s="39" t="inlineStr">
        <is>
          <t>Tên lửa phòng không / không đối không</t>
        </is>
      </c>
      <c r="D6" s="39" t="inlineStr">
        <is>
          <t>Morrigan, TK tàng hình,</t>
        </is>
      </c>
      <c r="E6" s="39" t="inlineStr">
        <is>
          <t>Mảnh</t>
        </is>
      </c>
      <c r="F6" s="39" t="inlineStr">
        <is>
          <t>Sam</t>
        </is>
      </c>
      <c r="G6" s="42" t="n">
        <v>20</v>
      </c>
      <c r="H6" s="42" t="n">
        <v>3</v>
      </c>
      <c r="I6" s="42" t="n">
        <v>3</v>
      </c>
      <c r="J6" s="42" t="n">
        <v>294</v>
      </c>
      <c r="K6" s="42" t="n">
        <v>294</v>
      </c>
      <c r="L6" s="39" t="inlineStr">
        <is>
          <t>từng phát</t>
        </is>
      </c>
      <c r="M6" s="39" t="inlineStr">
        <is>
          <t>từng phát</t>
        </is>
      </c>
      <c r="N6" s="42" t="n">
        <v>0.25</v>
      </c>
      <c r="O6" s="42" t="n">
        <v>0.25</v>
      </c>
      <c r="P6" s="42" t="n">
        <v>1</v>
      </c>
      <c r="Q6" s="42" t="n">
        <v>1</v>
      </c>
      <c r="R6" s="42" t="n">
        <v>4</v>
      </c>
      <c r="S6" s="42" t="n">
        <v>4</v>
      </c>
      <c r="T6" s="42" t="n">
        <v>60</v>
      </c>
      <c r="U6" s="42" t="n">
        <v>60</v>
      </c>
      <c r="V6" s="42" t="n">
        <v>24</v>
      </c>
      <c r="W6" s="42" t="n">
        <v>60</v>
      </c>
      <c r="X6" s="50">
        <f>IFERROR(U6/W6,"")</f>
        <v/>
      </c>
      <c r="Y6" s="52" t="n">
        <v>2</v>
      </c>
      <c r="Z6" s="52" t="n">
        <v>2</v>
      </c>
      <c r="AA6" s="50">
        <f>IFERROR(IF(L6="từng phát",J6*N6,J6*P6/(P6/N6+R6)),"")</f>
        <v/>
      </c>
      <c r="AB6" s="50">
        <f>IFERROR(IF(M6="từng phát",K6*O6,K6*Q6/(Q6/O6+S6)),"")</f>
        <v/>
      </c>
      <c r="AC6" s="50">
        <f>IFERROR(AB6*VLOOKUP(E6,'Hệ số'!$A$2:$D$8,2,0)*IF((I6-0)&gt;=2,1.2,IF((I6-0)=1,1,IF((I6-0)=0,0.85,IF((I6-0)=-1,0.5,IF((I6-0)=-2,0.25,0.1))))),"")</f>
        <v/>
      </c>
      <c r="AD6" s="50">
        <f>IFERROR(AB6*VLOOKUP(E6,'Hệ số'!$A$2:$D$8,2,0)*IF((I6-1)&gt;=2,1.2,IF((I6-1)=1,1,IF((I6-1)=0,0.85,IF((I6-1)=-1,0.5,IF((I6-1)=-2,0.25,0.1))))),"")</f>
        <v/>
      </c>
      <c r="AE6" s="50">
        <f>IFERROR(AB6*VLOOKUP(E6,'Hệ số'!$A$2:$D$8,2,0)*IF((I6-2)&gt;=2,1.2,IF((I6-2)=1,1,IF((I6-2)=0,0.85,IF((I6-2)=-1,0.5,IF((I6-2)=-2,0.25,0.1))))),"")</f>
        <v/>
      </c>
      <c r="AF6" s="50">
        <f>IFERROR(AB6*VLOOKUP(E6,'Hệ số'!$A$2:$D$8,2,0)*IF((I6-3)&gt;=2,1.2,IF((I6-3)=1,1,IF((I6-3)=0,0.85,IF((I6-3)=-1,0.5,IF((I6-3)=-2,0.25,0.1))))),"")</f>
        <v/>
      </c>
      <c r="AG6" s="50">
        <f>IFERROR(AB6*VLOOKUP(E6,'Hệ số'!$A$2:$D$8,2,0)*IF((I6-4)&gt;=2,1.2,IF((I6-4)=1,1,IF((I6-4)=0,0.85,IF((I6-4)=-1,0.5,IF((I6-4)=-2,0.25,0.1))))),"")</f>
        <v/>
      </c>
      <c r="AH6" s="50">
        <f>IFERROR(AB6*VLOOKUP(E6,'Hệ số'!$A$2:$D$8,2,0)*IF((I6-5)&gt;=2,1.2,IF((I6-5)=1,1,IF((I6-5)=0,0.85,IF((I6-5)=-1,0.5,IF((I6-5)=-2,0.25,0.1))))),"")</f>
        <v/>
      </c>
      <c r="AI6" s="50">
        <f>IFERROR(AB6*VLOOKUP(E6,'Hệ số'!$A$2:$D$8,3,0),"")</f>
        <v/>
      </c>
      <c r="AJ6" s="50">
        <f>IFERROR(AB6*VLOOKUP(E6,'Hệ số'!$A$2:$D$8,4,0)*IF((I6-2)&gt;=2,1.2,IF((I6-2)=1,1,IF((I6-2)=0,0.85,IF((I6-2)=-1,0.5,IF((I6-2)=-2,0.25,0.1))))),"")</f>
        <v/>
      </c>
      <c r="AK6" s="39" t="inlineStr">
        <is>
          <t>Dẫn đường; bị pháo sáng đánh lừa theo độ kháng; phải nhanh hơn mục tiêu.</t>
        </is>
      </c>
      <c r="AL6" s="39" t="n"/>
      <c r="AM6" s="39" t="inlineStr">
        <is>
          <t>AIM-120: 100+ km, Mach 4</t>
        </is>
      </c>
      <c r="AN6" s="39" t="inlineStr">
        <is>
          <t>Tốc độ bay 24→60 m/s: Tên lửa tầm trung: nhanh hơn tên lửa tầm gần, bay ~1 s ở tầm 60.</t>
        </is>
      </c>
      <c r="AO6" s="47" t="inlineStr">
        <is>
          <t>Cao</t>
        </is>
      </c>
    </row>
    <row r="7" ht="21.75" customHeight="1" s="32">
      <c r="A7" s="41" t="inlineStr">
        <is>
          <t>airship_drones</t>
        </is>
      </c>
      <c r="B7" s="41" t="inlineStr">
        <is>
          <t>FPV drone (1.5 kg)</t>
        </is>
      </c>
      <c r="C7" s="41" t="inlineStr">
        <is>
          <t>Drone / đạn lảng vảng</t>
        </is>
      </c>
      <c r="D7" s="41" t="inlineStr">
        <is>
          <t>Roc</t>
        </is>
      </c>
      <c r="E7" s="41" t="inlineStr">
        <is>
          <t>Nổ lõm</t>
        </is>
      </c>
      <c r="F7" s="41" t="inlineStr">
        <is>
          <t>Fpv</t>
        </is>
      </c>
      <c r="G7" s="43" t="n">
        <v>1.5</v>
      </c>
      <c r="H7" s="43" t="n">
        <v>3</v>
      </c>
      <c r="I7" s="43" t="n">
        <v>3</v>
      </c>
      <c r="J7" s="43" t="n">
        <v>140</v>
      </c>
      <c r="K7" s="43" t="n">
        <v>140</v>
      </c>
      <c r="L7" s="41" t="inlineStr">
        <is>
          <t>loạt</t>
        </is>
      </c>
      <c r="M7" s="41" t="inlineStr">
        <is>
          <t>loạt</t>
        </is>
      </c>
      <c r="N7" s="43" t="n">
        <v>2.86</v>
      </c>
      <c r="O7" s="43" t="n">
        <v>2.86</v>
      </c>
      <c r="P7" s="43" t="n">
        <v>3</v>
      </c>
      <c r="Q7" s="43" t="n">
        <v>3</v>
      </c>
      <c r="R7" s="43" t="n">
        <v>8</v>
      </c>
      <c r="S7" s="43" t="n">
        <v>8</v>
      </c>
      <c r="T7" s="43" t="n">
        <v>70</v>
      </c>
      <c r="U7" s="43" t="n">
        <v>70</v>
      </c>
      <c r="V7" s="43" t="n">
        <v>26</v>
      </c>
      <c r="W7" s="43" t="n">
        <v>26</v>
      </c>
      <c r="X7" s="51">
        <f>IFERROR(U7/W7,"")</f>
        <v/>
      </c>
      <c r="Y7" s="53" t="n">
        <v>2.5</v>
      </c>
      <c r="Z7" s="53" t="n">
        <v>2.5</v>
      </c>
      <c r="AA7" s="51">
        <f>IFERROR(IF(L7="từng phát",J7*N7,J7*P7/(P7/N7+R7)),"")</f>
        <v/>
      </c>
      <c r="AB7" s="51">
        <f>IFERROR(IF(M7="từng phát",K7*O7,K7*Q7/(Q7/O7+S7)),"")</f>
        <v/>
      </c>
      <c r="AC7" s="51">
        <f>IFERROR(AB7*VLOOKUP(E7,'Hệ số'!$A$2:$D$8,2,0)*IF((I7-0)&gt;=2,1.2,IF((I7-0)=1,1,IF((I7-0)=0,0.85,IF((I7-0)=-1,0.5,IF((I7-0)=-2,0.25,0.1))))),"")</f>
        <v/>
      </c>
      <c r="AD7" s="51">
        <f>IFERROR(AB7*VLOOKUP(E7,'Hệ số'!$A$2:$D$8,2,0)*IF((I7-1)&gt;=2,1.2,IF((I7-1)=1,1,IF((I7-1)=0,0.85,IF((I7-1)=-1,0.5,IF((I7-1)=-2,0.25,0.1))))),"")</f>
        <v/>
      </c>
      <c r="AE7" s="51">
        <f>IFERROR(AB7*VLOOKUP(E7,'Hệ số'!$A$2:$D$8,2,0)*IF((I7-2)&gt;=2,1.2,IF((I7-2)=1,1,IF((I7-2)=0,0.85,IF((I7-2)=-1,0.5,IF((I7-2)=-2,0.25,0.1))))),"")</f>
        <v/>
      </c>
      <c r="AF7" s="51">
        <f>IFERROR(AB7*VLOOKUP(E7,'Hệ số'!$A$2:$D$8,2,0)*IF((I7-3)&gt;=2,1.2,IF((I7-3)=1,1,IF((I7-3)=0,0.85,IF((I7-3)=-1,0.5,IF((I7-3)=-2,0.25,0.1))))),"")</f>
        <v/>
      </c>
      <c r="AG7" s="51">
        <f>IFERROR(AB7*VLOOKUP(E7,'Hệ số'!$A$2:$D$8,2,0)*IF((I7-4)&gt;=2,1.2,IF((I7-4)=1,1,IF((I7-4)=0,0.85,IF((I7-4)=-1,0.5,IF((I7-4)=-2,0.25,0.1))))),"")</f>
        <v/>
      </c>
      <c r="AH7" s="51">
        <f>IFERROR(AB7*VLOOKUP(E7,'Hệ số'!$A$2:$D$8,2,0)*IF((I7-5)&gt;=2,1.2,IF((I7-5)=1,1,IF((I7-5)=0,0.85,IF((I7-5)=-1,0.5,IF((I7-5)=-2,0.25,0.1))))),"")</f>
        <v/>
      </c>
      <c r="AI7" s="51">
        <f>IFERROR(AB7*VLOOKUP(E7,'Hệ số'!$A$2:$D$8,3,0),"")</f>
        <v/>
      </c>
      <c r="AJ7" s="51">
        <f>IFERROR(AB7*VLOOKUP(E7,'Hệ số'!$A$2:$D$8,4,0)*IF((I7-2)&gt;=2,1.2,IF((I7-2)=1,1,IF((I7-2)=0,0.85,IF((I7-2)=-1,0.5,IF((I7-2)=-2,0.25,0.1))))),"")</f>
        <v/>
      </c>
      <c r="AK7" s="41" t="inlineStr">
        <is>
          <t>Bay chậm, lượn tìm mục tiêu, đánh nóc; bị EW, APS, C-RAM, La-de PK và súng máy bắn hạ.</t>
        </is>
      </c>
      <c r="AL7" s="41" t="n"/>
      <c r="AM7" s="41" t="inlineStr">
        <is>
          <t>FPV</t>
        </is>
      </c>
      <c r="AN7" s="41" t="inlineStr">
        <is>
          <t>Giữ.</t>
        </is>
      </c>
      <c r="AO7" s="41" t="n"/>
    </row>
    <row r="8" ht="21.75" customHeight="1" s="32">
      <c r="A8" s="39" t="inlineStr">
        <is>
          <t>airship_flak</t>
        </is>
      </c>
      <c r="B8" s="39" t="inlineStr">
        <is>
          <t>S-60 57 mm</t>
        </is>
      </c>
      <c r="C8" s="39" t="inlineStr">
        <is>
          <t>Pháo tự động 57 mm</t>
        </is>
      </c>
      <c r="D8" s="39" t="inlineStr">
        <is>
          <t>Argus, Roc</t>
        </is>
      </c>
      <c r="E8" s="39" t="inlineStr">
        <is>
          <t>Mảnh</t>
        </is>
      </c>
      <c r="F8" s="39" t="inlineStr">
        <is>
          <t>Airburst</t>
        </is>
      </c>
      <c r="G8" s="42" t="n">
        <v>57</v>
      </c>
      <c r="H8" s="42" t="n">
        <v>2</v>
      </c>
      <c r="I8" s="42" t="n">
        <v>2</v>
      </c>
      <c r="J8" s="42" t="n">
        <v>70</v>
      </c>
      <c r="K8" s="42" t="n">
        <v>70</v>
      </c>
      <c r="L8" s="39" t="inlineStr">
        <is>
          <t>băng</t>
        </is>
      </c>
      <c r="M8" s="39" t="inlineStr">
        <is>
          <t>băng</t>
        </is>
      </c>
      <c r="N8" s="42" t="n">
        <v>2</v>
      </c>
      <c r="O8" s="42" t="n">
        <v>2</v>
      </c>
      <c r="P8" s="42" t="n">
        <v>8</v>
      </c>
      <c r="Q8" s="42" t="n">
        <v>8</v>
      </c>
      <c r="R8" s="42" t="n">
        <v>0.88</v>
      </c>
      <c r="S8" s="42" t="n">
        <v>0.88</v>
      </c>
      <c r="T8" s="42" t="n">
        <v>48</v>
      </c>
      <c r="U8" s="42" t="n">
        <v>48</v>
      </c>
      <c r="V8" s="42" t="n">
        <v>280</v>
      </c>
      <c r="W8" s="42" t="n">
        <v>280</v>
      </c>
      <c r="X8" s="50">
        <f>IFERROR(U8/W8,"")</f>
        <v/>
      </c>
      <c r="Y8" s="52" t="n">
        <v>3</v>
      </c>
      <c r="Z8" s="52" t="n">
        <v>3</v>
      </c>
      <c r="AA8" s="50">
        <f>IFERROR(IF(L8="từng phát",J8*N8,J8*P8/(P8/N8+R8)),"")</f>
        <v/>
      </c>
      <c r="AB8" s="50">
        <f>IFERROR(IF(M8="từng phát",K8*O8,K8*Q8/(Q8/O8+S8)),"")</f>
        <v/>
      </c>
      <c r="AC8" s="50">
        <f>IFERROR(AB8*VLOOKUP(E8,'Hệ số'!$A$2:$D$8,2,0)*IF((I8-0)&gt;=2,1.2,IF((I8-0)=1,1,IF((I8-0)=0,0.85,IF((I8-0)=-1,0.5,IF((I8-0)=-2,0.25,0.1))))),"")</f>
        <v/>
      </c>
      <c r="AD8" s="50">
        <f>IFERROR(AB8*VLOOKUP(E8,'Hệ số'!$A$2:$D$8,2,0)*IF((I8-1)&gt;=2,1.2,IF((I8-1)=1,1,IF((I8-1)=0,0.85,IF((I8-1)=-1,0.5,IF((I8-1)=-2,0.25,0.1))))),"")</f>
        <v/>
      </c>
      <c r="AE8" s="50">
        <f>IFERROR(AB8*VLOOKUP(E8,'Hệ số'!$A$2:$D$8,2,0)*IF((I8-2)&gt;=2,1.2,IF((I8-2)=1,1,IF((I8-2)=0,0.85,IF((I8-2)=-1,0.5,IF((I8-2)=-2,0.25,0.1))))),"")</f>
        <v/>
      </c>
      <c r="AF8" s="50">
        <f>IFERROR(AB8*VLOOKUP(E8,'Hệ số'!$A$2:$D$8,2,0)*IF((I8-3)&gt;=2,1.2,IF((I8-3)=1,1,IF((I8-3)=0,0.85,IF((I8-3)=-1,0.5,IF((I8-3)=-2,0.25,0.1))))),"")</f>
        <v/>
      </c>
      <c r="AG8" s="50">
        <f>IFERROR(AB8*VLOOKUP(E8,'Hệ số'!$A$2:$D$8,2,0)*IF((I8-4)&gt;=2,1.2,IF((I8-4)=1,1,IF((I8-4)=0,0.85,IF((I8-4)=-1,0.5,IF((I8-4)=-2,0.25,0.1))))),"")</f>
        <v/>
      </c>
      <c r="AH8" s="50">
        <f>IFERROR(AB8*VLOOKUP(E8,'Hệ số'!$A$2:$D$8,2,0)*IF((I8-5)&gt;=2,1.2,IF((I8-5)=1,1,IF((I8-5)=0,0.85,IF((I8-5)=-1,0.5,IF((I8-5)=-2,0.25,0.1))))),"")</f>
        <v/>
      </c>
      <c r="AI8" s="50">
        <f>IFERROR(AB8*VLOOKUP(E8,'Hệ số'!$A$2:$D$8,3,0),"")</f>
        <v/>
      </c>
      <c r="AJ8" s="50">
        <f>IFERROR(AB8*VLOOKUP(E8,'Hệ số'!$A$2:$D$8,4,0)*IF((I8-2)&gt;=2,1.2,IF((I8-2)=1,1,IF((I8-2)=0,0.85,IF((I8-2)=-1,0.5,IF((I8-2)=-2,0.25,0.1))))),"")</f>
        <v/>
      </c>
      <c r="AK8" s="39" t="inlineStr">
        <is>
          <t>Bắn loạt ngắn; đạn lập trình nổ trên không; bắn được xe bọc thép nhẹ.</t>
        </is>
      </c>
      <c r="AL8" s="39" t="n"/>
      <c r="AM8" s="39" t="inlineStr">
        <is>
          <t>S-60: 105–120 phát/phút</t>
        </is>
      </c>
      <c r="AN8" s="39" t="inlineStr">
        <is>
          <t>Giữ.</t>
        </is>
      </c>
      <c r="AO8" s="39" t="n"/>
    </row>
    <row r="9" ht="21.75" customHeight="1" s="32">
      <c r="A9" s="41" t="inlineStr">
        <is>
          <t>ataka</t>
        </is>
      </c>
      <c r="B9" s="41" t="inlineStr">
        <is>
          <t>9M120 Ataka</t>
        </is>
      </c>
      <c r="C9" s="41" t="inlineStr">
        <is>
          <t>Tên lửa chống tăng / không đối đất</t>
        </is>
      </c>
      <c r="D9" s="41" t="inlineStr">
        <is>
          <t>BMPT</t>
        </is>
      </c>
      <c r="E9" s="41" t="inlineStr">
        <is>
          <t>Nổ lõm</t>
        </is>
      </c>
      <c r="F9" s="41" t="inlineStr">
        <is>
          <t>Atgm</t>
        </is>
      </c>
      <c r="G9" s="43" t="n">
        <v>42</v>
      </c>
      <c r="H9" s="43" t="n">
        <v>4</v>
      </c>
      <c r="I9" s="43" t="n">
        <v>4</v>
      </c>
      <c r="J9" s="43" t="n">
        <v>247</v>
      </c>
      <c r="K9" s="43" t="n">
        <v>247</v>
      </c>
      <c r="L9" s="41" t="inlineStr">
        <is>
          <t>loạt</t>
        </is>
      </c>
      <c r="M9" s="41" t="inlineStr">
        <is>
          <t>loạt</t>
        </is>
      </c>
      <c r="N9" s="43" t="n">
        <v>2</v>
      </c>
      <c r="O9" s="43" t="n">
        <v>2</v>
      </c>
      <c r="P9" s="43" t="n">
        <v>2</v>
      </c>
      <c r="Q9" s="43" t="n">
        <v>2</v>
      </c>
      <c r="R9" s="43" t="n">
        <v>10.42</v>
      </c>
      <c r="S9" s="43" t="n">
        <v>10.42</v>
      </c>
      <c r="T9" s="43" t="n">
        <v>40</v>
      </c>
      <c r="U9" s="43" t="n">
        <v>40</v>
      </c>
      <c r="V9" s="43" t="n">
        <v>19</v>
      </c>
      <c r="W9" s="43" t="n">
        <v>26</v>
      </c>
      <c r="X9" s="51">
        <f>IFERROR(U9/W9,"")</f>
        <v/>
      </c>
      <c r="Y9" s="51" t="n"/>
      <c r="Z9" s="51" t="n"/>
      <c r="AA9" s="51">
        <f>IFERROR(IF(L9="từng phát",J9*N9,J9*P9/(P9/N9+R9)),"")</f>
        <v/>
      </c>
      <c r="AB9" s="51">
        <f>IFERROR(IF(M9="từng phát",K9*O9,K9*Q9/(Q9/O9+S9)),"")</f>
        <v/>
      </c>
      <c r="AC9" s="51">
        <f>IFERROR(AB9*VLOOKUP(E9,'Hệ số'!$A$2:$D$8,2,0)*IF((I9-0)&gt;=2,1.2,IF((I9-0)=1,1,IF((I9-0)=0,0.85,IF((I9-0)=-1,0.5,IF((I9-0)=-2,0.25,0.1))))),"")</f>
        <v/>
      </c>
      <c r="AD9" s="51">
        <f>IFERROR(AB9*VLOOKUP(E9,'Hệ số'!$A$2:$D$8,2,0)*IF((I9-1)&gt;=2,1.2,IF((I9-1)=1,1,IF((I9-1)=0,0.85,IF((I9-1)=-1,0.5,IF((I9-1)=-2,0.25,0.1))))),"")</f>
        <v/>
      </c>
      <c r="AE9" s="51">
        <f>IFERROR(AB9*VLOOKUP(E9,'Hệ số'!$A$2:$D$8,2,0)*IF((I9-2)&gt;=2,1.2,IF((I9-2)=1,1,IF((I9-2)=0,0.85,IF((I9-2)=-1,0.5,IF((I9-2)=-2,0.25,0.1))))),"")</f>
        <v/>
      </c>
      <c r="AF9" s="51">
        <f>IFERROR(AB9*VLOOKUP(E9,'Hệ số'!$A$2:$D$8,2,0)*IF((I9-3)&gt;=2,1.2,IF((I9-3)=1,1,IF((I9-3)=0,0.85,IF((I9-3)=-1,0.5,IF((I9-3)=-2,0.25,0.1))))),"")</f>
        <v/>
      </c>
      <c r="AG9" s="51">
        <f>IFERROR(AB9*VLOOKUP(E9,'Hệ số'!$A$2:$D$8,2,0)*IF((I9-4)&gt;=2,1.2,IF((I9-4)=1,1,IF((I9-4)=0,0.85,IF((I9-4)=-1,0.5,IF((I9-4)=-2,0.25,0.1))))),"")</f>
        <v/>
      </c>
      <c r="AH9" s="51">
        <f>IFERROR(AB9*VLOOKUP(E9,'Hệ số'!$A$2:$D$8,2,0)*IF((I9-5)&gt;=2,1.2,IF((I9-5)=1,1,IF((I9-5)=0,0.85,IF((I9-5)=-1,0.5,IF((I9-5)=-2,0.25,0.1))))),"")</f>
        <v/>
      </c>
      <c r="AI9" s="51">
        <f>IFERROR(AB9*VLOOKUP(E9,'Hệ số'!$A$2:$D$8,3,0),"")</f>
        <v/>
      </c>
      <c r="AJ9" s="51">
        <f>IFERROR(AB9*VLOOKUP(E9,'Hệ số'!$A$2:$D$8,4,0)*IF((I9-2)&gt;=2,1.2,IF((I9-2)=1,1,IF((I9-2)=0,0.85,IF((I9-2)=-1,0.5,IF((I9-2)=-2,0.25,0.1))))),"")</f>
        <v/>
      </c>
      <c r="AK9" s="41" t="inlineStr">
        <is>
          <t>Dẫn đường; bị APS và giáp phản ứng nổ giảm (đầu nổ lõm); bay chậm nên né và khói có tác dụng.</t>
        </is>
      </c>
      <c r="AL9" s="41" t="n"/>
      <c r="AM9" s="41" t="inlineStr">
        <is>
          <t>9M120 Ataka: 6 km, Mach 1,5</t>
        </is>
      </c>
      <c r="AN9" s="41" t="inlineStr">
        <is>
          <t>Tốc độ bay 19→26 m/s: Nhanh hơn Kornet (Mach 1,5 ngoài đời).</t>
        </is>
      </c>
      <c r="AO9" s="48" t="inlineStr">
        <is>
          <t>Trung</t>
        </is>
      </c>
    </row>
    <row r="10" ht="21.75" customHeight="1" s="32">
      <c r="A10" s="39" t="inlineStr">
        <is>
          <t>atgm</t>
        </is>
      </c>
      <c r="B10" s="39" t="inlineStr">
        <is>
          <t>BGM-71 TOW-2</t>
        </is>
      </c>
      <c r="C10" s="39" t="inlineStr">
        <is>
          <t>Tên lửa chống tăng / không đối đất</t>
        </is>
      </c>
      <c r="D10" s="39" t="inlineStr">
        <is>
          <t>Bọc thép TN, Siêu tăng, Xe</t>
        </is>
      </c>
      <c r="E10" s="39" t="inlineStr">
        <is>
          <t>Nổ lõm</t>
        </is>
      </c>
      <c r="F10" s="39" t="inlineStr">
        <is>
          <t>Atgm</t>
        </is>
      </c>
      <c r="G10" s="42" t="n">
        <v>22.6</v>
      </c>
      <c r="H10" s="42" t="n">
        <v>4</v>
      </c>
      <c r="I10" s="42" t="n">
        <v>4</v>
      </c>
      <c r="J10" s="42" t="n">
        <v>190</v>
      </c>
      <c r="K10" s="42" t="n">
        <v>190</v>
      </c>
      <c r="L10" s="39" t="inlineStr">
        <is>
          <t>từng phát</t>
        </is>
      </c>
      <c r="M10" s="39" t="inlineStr">
        <is>
          <t>từng phát</t>
        </is>
      </c>
      <c r="N10" s="42" t="n">
        <v>0.08110300081103</v>
      </c>
      <c r="O10" s="42" t="n">
        <v>0.08110300081103</v>
      </c>
      <c r="P10" s="42" t="n">
        <v>1</v>
      </c>
      <c r="Q10" s="42" t="n">
        <v>1</v>
      </c>
      <c r="R10" s="42" t="n">
        <v>12.33</v>
      </c>
      <c r="S10" s="42" t="n">
        <v>12.33</v>
      </c>
      <c r="T10" s="42" t="n">
        <v>34</v>
      </c>
      <c r="U10" s="42" t="n">
        <v>40</v>
      </c>
      <c r="V10" s="42" t="n">
        <v>19</v>
      </c>
      <c r="W10" s="42" t="n">
        <v>20</v>
      </c>
      <c r="X10" s="50">
        <f>IFERROR(U10/W10,"")</f>
        <v/>
      </c>
      <c r="Y10" s="50" t="n"/>
      <c r="Z10" s="50" t="n"/>
      <c r="AA10" s="50">
        <f>IFERROR(IF(L10="từng phát",J10*N10,J10*P10/(P10/N10+R10)),"")</f>
        <v/>
      </c>
      <c r="AB10" s="50">
        <f>IFERROR(IF(M10="từng phát",K10*O10,K10*Q10/(Q10/O10+S10)),"")</f>
        <v/>
      </c>
      <c r="AC10" s="50">
        <f>IFERROR(AB10*VLOOKUP(E10,'Hệ số'!$A$2:$D$8,2,0)*IF((I10-0)&gt;=2,1.2,IF((I10-0)=1,1,IF((I10-0)=0,0.85,IF((I10-0)=-1,0.5,IF((I10-0)=-2,0.25,0.1))))),"")</f>
        <v/>
      </c>
      <c r="AD10" s="50">
        <f>IFERROR(AB10*VLOOKUP(E10,'Hệ số'!$A$2:$D$8,2,0)*IF((I10-1)&gt;=2,1.2,IF((I10-1)=1,1,IF((I10-1)=0,0.85,IF((I10-1)=-1,0.5,IF((I10-1)=-2,0.25,0.1))))),"")</f>
        <v/>
      </c>
      <c r="AE10" s="50">
        <f>IFERROR(AB10*VLOOKUP(E10,'Hệ số'!$A$2:$D$8,2,0)*IF((I10-2)&gt;=2,1.2,IF((I10-2)=1,1,IF((I10-2)=0,0.85,IF((I10-2)=-1,0.5,IF((I10-2)=-2,0.25,0.1))))),"")</f>
        <v/>
      </c>
      <c r="AF10" s="50">
        <f>IFERROR(AB10*VLOOKUP(E10,'Hệ số'!$A$2:$D$8,2,0)*IF((I10-3)&gt;=2,1.2,IF((I10-3)=1,1,IF((I10-3)=0,0.85,IF((I10-3)=-1,0.5,IF((I10-3)=-2,0.25,0.1))))),"")</f>
        <v/>
      </c>
      <c r="AG10" s="50">
        <f>IFERROR(AB10*VLOOKUP(E10,'Hệ số'!$A$2:$D$8,2,0)*IF((I10-4)&gt;=2,1.2,IF((I10-4)=1,1,IF((I10-4)=0,0.85,IF((I10-4)=-1,0.5,IF((I10-4)=-2,0.25,0.1))))),"")</f>
        <v/>
      </c>
      <c r="AH10" s="50">
        <f>IFERROR(AB10*VLOOKUP(E10,'Hệ số'!$A$2:$D$8,2,0)*IF((I10-5)&gt;=2,1.2,IF((I10-5)=1,1,IF((I10-5)=0,0.85,IF((I10-5)=-1,0.5,IF((I10-5)=-2,0.25,0.1))))),"")</f>
        <v/>
      </c>
      <c r="AI10" s="50">
        <f>IFERROR(AB10*VLOOKUP(E10,'Hệ số'!$A$2:$D$8,3,0),"")</f>
        <v/>
      </c>
      <c r="AJ10" s="50">
        <f>IFERROR(AB10*VLOOKUP(E10,'Hệ số'!$A$2:$D$8,4,0)*IF((I10-2)&gt;=2,1.2,IF((I10-2)=1,1,IF((I10-2)=0,0.85,IF((I10-2)=-1,0.5,IF((I10-2)=-2,0.25,0.1))))),"")</f>
        <v/>
      </c>
      <c r="AK10" s="39" t="inlineStr">
        <is>
          <t>Dẫn đường; bị APS và giáp phản ứng nổ giảm (đầu nổ lõm); bay chậm nên né và khói có tác dụng.</t>
        </is>
      </c>
      <c r="AL10" s="39" t="n"/>
      <c r="AM10" s="39" t="inlineStr">
        <is>
          <t>TOW-2: tầm 3,75 km, ~280 m/s, bay ~13 s tới tầm tối đa</t>
        </is>
      </c>
      <c r="AN10" s="39" t="inlineStr">
        <is>
          <t>TOW phải bắn xa hơn pháo tăng (34 m). Tốc độ bay 19→20 m/s: Tên lửa lái bằng dây: chậm có chủ đích (~2 s) để APS, khói và né có tác dụng.</t>
        </is>
      </c>
      <c r="AO10" s="48" t="inlineStr">
        <is>
          <t>Trung</t>
        </is>
      </c>
    </row>
    <row r="11" ht="32.25" customHeight="1" s="32">
      <c r="A11" s="41" t="inlineStr">
        <is>
          <t>autocannon_25</t>
        </is>
      </c>
      <c r="B11" s="41" t="inlineStr">
        <is>
          <t>M242 Bushmaster 25</t>
        </is>
      </c>
      <c r="C11" s="41" t="inlineStr">
        <is>
          <t>Pháo tự động / cao xạ 20–40 mm</t>
        </is>
      </c>
      <c r="D11" s="41" t="inlineStr">
        <is>
          <t>Bọc thép</t>
        </is>
      </c>
      <c r="E11" s="41" t="inlineStr">
        <is>
          <t>Động năng</t>
        </is>
      </c>
      <c r="F11" s="41" t="inlineStr">
        <is>
          <t>BeltedAutocannon</t>
        </is>
      </c>
      <c r="G11" s="43" t="n">
        <v>25</v>
      </c>
      <c r="H11" s="43" t="n">
        <v>2</v>
      </c>
      <c r="I11" s="43" t="n">
        <v>2</v>
      </c>
      <c r="J11" s="43" t="n">
        <v>17</v>
      </c>
      <c r="K11" s="43" t="n">
        <v>17</v>
      </c>
      <c r="L11" s="41" t="inlineStr">
        <is>
          <t>băng</t>
        </is>
      </c>
      <c r="M11" s="41" t="inlineStr">
        <is>
          <t>loạt</t>
        </is>
      </c>
      <c r="N11" s="43" t="n">
        <v>4</v>
      </c>
      <c r="O11" s="43" t="n">
        <v>6</v>
      </c>
      <c r="P11" s="43" t="n">
        <v>19</v>
      </c>
      <c r="Q11" s="43" t="n">
        <v>8</v>
      </c>
      <c r="R11" s="43" t="n">
        <v>1</v>
      </c>
      <c r="S11" s="43" t="n">
        <v>1.3</v>
      </c>
      <c r="T11" s="43" t="n">
        <v>30</v>
      </c>
      <c r="U11" s="43" t="n">
        <v>30</v>
      </c>
      <c r="V11" s="43" t="n">
        <v>210</v>
      </c>
      <c r="W11" s="43" t="n">
        <v>210</v>
      </c>
      <c r="X11" s="51">
        <f>IFERROR(U11/W11,"")</f>
        <v/>
      </c>
      <c r="Y11" s="51" t="n"/>
      <c r="Z11" s="51" t="n"/>
      <c r="AA11" s="51">
        <f>IFERROR(IF(L11="từng phát",J11*N11,J11*P11/(P11/N11+R11)),"")</f>
        <v/>
      </c>
      <c r="AB11" s="51">
        <f>IFERROR(IF(M11="từng phát",K11*O11,K11*Q11/(Q11/O11+S11)),"")</f>
        <v/>
      </c>
      <c r="AC11" s="51">
        <f>IFERROR(AB11*VLOOKUP(E11,'Hệ số'!$A$2:$D$8,2,0)*IF((I11-0)&gt;=2,1.2,IF((I11-0)=1,1,IF((I11-0)=0,0.85,IF((I11-0)=-1,0.5,IF((I11-0)=-2,0.25,0.1))))),"")</f>
        <v/>
      </c>
      <c r="AD11" s="51">
        <f>IFERROR(AB11*VLOOKUP(E11,'Hệ số'!$A$2:$D$8,2,0)*IF((I11-1)&gt;=2,1.2,IF((I11-1)=1,1,IF((I11-1)=0,0.85,IF((I11-1)=-1,0.5,IF((I11-1)=-2,0.25,0.1))))),"")</f>
        <v/>
      </c>
      <c r="AE11" s="51">
        <f>IFERROR(AB11*VLOOKUP(E11,'Hệ số'!$A$2:$D$8,2,0)*IF((I11-2)&gt;=2,1.2,IF((I11-2)=1,1,IF((I11-2)=0,0.85,IF((I11-2)=-1,0.5,IF((I11-2)=-2,0.25,0.1))))),"")</f>
        <v/>
      </c>
      <c r="AF11" s="51">
        <f>IFERROR(AB11*VLOOKUP(E11,'Hệ số'!$A$2:$D$8,2,0)*IF((I11-3)&gt;=2,1.2,IF((I11-3)=1,1,IF((I11-3)=0,0.85,IF((I11-3)=-1,0.5,IF((I11-3)=-2,0.25,0.1))))),"")</f>
        <v/>
      </c>
      <c r="AG11" s="51">
        <f>IFERROR(AB11*VLOOKUP(E11,'Hệ số'!$A$2:$D$8,2,0)*IF((I11-4)&gt;=2,1.2,IF((I11-4)=1,1,IF((I11-4)=0,0.85,IF((I11-4)=-1,0.5,IF((I11-4)=-2,0.25,0.1))))),"")</f>
        <v/>
      </c>
      <c r="AH11" s="51">
        <f>IFERROR(AB11*VLOOKUP(E11,'Hệ số'!$A$2:$D$8,2,0)*IF((I11-5)&gt;=2,1.2,IF((I11-5)=1,1,IF((I11-5)=0,0.85,IF((I11-5)=-1,0.5,IF((I11-5)=-2,0.25,0.1))))),"")</f>
        <v/>
      </c>
      <c r="AI11" s="51">
        <f>IFERROR(AB11*VLOOKUP(E11,'Hệ số'!$A$2:$D$8,3,0),"")</f>
        <v/>
      </c>
      <c r="AJ11" s="51">
        <f>IFERROR(AB11*VLOOKUP(E11,'Hệ số'!$A$2:$D$8,4,0)*IF((I11-2)&gt;=2,1.2,IF((I11-2)=1,1,IF((I11-2)=0,0.85,IF((I11-2)=-1,0.5,IF((I11-2)=-2,0.25,0.1))))),"")</f>
        <v/>
      </c>
      <c r="AK11" s="41" t="inlineStr">
        <is>
          <t>Bắn loạt; đạn nổ trên không (Mảnh) mạnh với máy bay và drone, yếu với giáp; đạn xuyên (Động năng) mạnh với giáp 0–2.</t>
        </is>
      </c>
      <c r="AL11" s="41" t="inlineStr">
        <is>
          <t>Tự đổi: đạn xuyên (Động năng) với xe, đạn nổ trên không (Mảnh) với máy bay/drone.</t>
        </is>
      </c>
      <c r="AM11" s="41" t="inlineStr">
        <is>
          <t>M242: 200 phát/phút (chậm) hoặc 500 (nhanh); tầm ~2,5–3 km</t>
        </is>
      </c>
      <c r="AN11" s="41" t="inlineStr">
        <is>
          <t>M242 bắn loạt ngắn ở chế độ nhanh.</t>
        </is>
      </c>
      <c r="AO11" s="48" t="inlineStr">
        <is>
          <t>Trung</t>
        </is>
      </c>
    </row>
    <row r="12" ht="32.25" customHeight="1" s="32">
      <c r="A12" s="39" t="inlineStr">
        <is>
          <t>autocannon_30</t>
        </is>
      </c>
      <c r="B12" s="39" t="inlineStr">
        <is>
          <t>2A42 30 mm</t>
        </is>
      </c>
      <c r="C12" s="39" t="inlineStr">
        <is>
          <t>Pháo tự động / cao xạ 20–40 mm</t>
        </is>
      </c>
      <c r="D12" s="39" t="inlineStr">
        <is>
          <t>Bọc thép TN, Daedalus,</t>
        </is>
      </c>
      <c r="E12" s="39" t="inlineStr">
        <is>
          <t>Động năng</t>
        </is>
      </c>
      <c r="F12" s="39" t="inlineStr">
        <is>
          <t>BeltedAutocannon</t>
        </is>
      </c>
      <c r="G12" s="42" t="n">
        <v>30</v>
      </c>
      <c r="H12" s="42" t="n">
        <v>2</v>
      </c>
      <c r="I12" s="42" t="n">
        <v>2</v>
      </c>
      <c r="J12" s="42" t="n">
        <v>22</v>
      </c>
      <c r="K12" s="42" t="n">
        <v>22</v>
      </c>
      <c r="L12" s="39" t="inlineStr">
        <is>
          <t>băng</t>
        </is>
      </c>
      <c r="M12" s="39" t="inlineStr">
        <is>
          <t>loạt</t>
        </is>
      </c>
      <c r="N12" s="42" t="n">
        <v>3</v>
      </c>
      <c r="O12" s="42" t="n">
        <v>9</v>
      </c>
      <c r="P12" s="42" t="n">
        <v>18</v>
      </c>
      <c r="Q12" s="42" t="n">
        <v>10</v>
      </c>
      <c r="R12" s="42" t="n">
        <v>1</v>
      </c>
      <c r="S12" s="42" t="n">
        <v>1.5</v>
      </c>
      <c r="T12" s="42" t="n">
        <v>30</v>
      </c>
      <c r="U12" s="42" t="n">
        <v>30</v>
      </c>
      <c r="V12" s="42" t="n">
        <v>200</v>
      </c>
      <c r="W12" s="42" t="n">
        <v>200</v>
      </c>
      <c r="X12" s="50">
        <f>IFERROR(U12/W12,"")</f>
        <v/>
      </c>
      <c r="Y12" s="50" t="n"/>
      <c r="Z12" s="50" t="n"/>
      <c r="AA12" s="50">
        <f>IFERROR(IF(L12="từng phát",J12*N12,J12*P12/(P12/N12+R12)),"")</f>
        <v/>
      </c>
      <c r="AB12" s="50">
        <f>IFERROR(IF(M12="từng phát",K12*O12,K12*Q12/(Q12/O12+S12)),"")</f>
        <v/>
      </c>
      <c r="AC12" s="50">
        <f>IFERROR(AB12*VLOOKUP(E12,'Hệ số'!$A$2:$D$8,2,0)*IF((I12-0)&gt;=2,1.2,IF((I12-0)=1,1,IF((I12-0)=0,0.85,IF((I12-0)=-1,0.5,IF((I12-0)=-2,0.25,0.1))))),"")</f>
        <v/>
      </c>
      <c r="AD12" s="50">
        <f>IFERROR(AB12*VLOOKUP(E12,'Hệ số'!$A$2:$D$8,2,0)*IF((I12-1)&gt;=2,1.2,IF((I12-1)=1,1,IF((I12-1)=0,0.85,IF((I12-1)=-1,0.5,IF((I12-1)=-2,0.25,0.1))))),"")</f>
        <v/>
      </c>
      <c r="AE12" s="50">
        <f>IFERROR(AB12*VLOOKUP(E12,'Hệ số'!$A$2:$D$8,2,0)*IF((I12-2)&gt;=2,1.2,IF((I12-2)=1,1,IF((I12-2)=0,0.85,IF((I12-2)=-1,0.5,IF((I12-2)=-2,0.25,0.1))))),"")</f>
        <v/>
      </c>
      <c r="AF12" s="50">
        <f>IFERROR(AB12*VLOOKUP(E12,'Hệ số'!$A$2:$D$8,2,0)*IF((I12-3)&gt;=2,1.2,IF((I12-3)=1,1,IF((I12-3)=0,0.85,IF((I12-3)=-1,0.5,IF((I12-3)=-2,0.25,0.1))))),"")</f>
        <v/>
      </c>
      <c r="AG12" s="50">
        <f>IFERROR(AB12*VLOOKUP(E12,'Hệ số'!$A$2:$D$8,2,0)*IF((I12-4)&gt;=2,1.2,IF((I12-4)=1,1,IF((I12-4)=0,0.85,IF((I12-4)=-1,0.5,IF((I12-4)=-2,0.25,0.1))))),"")</f>
        <v/>
      </c>
      <c r="AH12" s="50">
        <f>IFERROR(AB12*VLOOKUP(E12,'Hệ số'!$A$2:$D$8,2,0)*IF((I12-5)&gt;=2,1.2,IF((I12-5)=1,1,IF((I12-5)=0,0.85,IF((I12-5)=-1,0.5,IF((I12-5)=-2,0.25,0.1))))),"")</f>
        <v/>
      </c>
      <c r="AI12" s="50">
        <f>IFERROR(AB12*VLOOKUP(E12,'Hệ số'!$A$2:$D$8,3,0),"")</f>
        <v/>
      </c>
      <c r="AJ12" s="50">
        <f>IFERROR(AB12*VLOOKUP(E12,'Hệ số'!$A$2:$D$8,4,0)*IF((I12-2)&gt;=2,1.2,IF((I12-2)=1,1,IF((I12-2)=0,0.85,IF((I12-2)=-1,0.5,IF((I12-2)=-2,0.25,0.1))))),"")</f>
        <v/>
      </c>
      <c r="AK12" s="39" t="inlineStr">
        <is>
          <t>Bắn loạt; đạn nổ trên không (Mảnh) mạnh với máy bay và drone, yếu với giáp; đạn xuyên (Động năng) mạnh với giáp 0–2.</t>
        </is>
      </c>
      <c r="AL12" s="39" t="inlineStr">
        <is>
          <t>Tự đổi: đạn xuyên (Động năng) với xe, đạn nổ trên không (Mảnh) với máy bay/drone.</t>
        </is>
      </c>
      <c r="AM12" s="39" t="inlineStr">
        <is>
          <t>2A42: 200–300 (chậm) / 550–800 phát/phút (nhanh); tầm ~4 km</t>
        </is>
      </c>
      <c r="AN12" s="39" t="inlineStr">
        <is>
          <t>Như 2A42.</t>
        </is>
      </c>
      <c r="AO12" s="48" t="inlineStr">
        <is>
          <t>Trung</t>
        </is>
      </c>
    </row>
    <row r="13" ht="32.25" customHeight="1" s="32">
      <c r="A13" s="41" t="inlineStr">
        <is>
          <t>autocannon_40</t>
        </is>
      </c>
      <c r="B13" s="41" t="inlineStr">
        <is>
          <t>Bofors 40 mm</t>
        </is>
      </c>
      <c r="C13" s="41" t="inlineStr">
        <is>
          <t>Pháo tự động / cao xạ 20–40 mm</t>
        </is>
      </c>
      <c r="D13" s="41" t="inlineStr">
        <is>
          <t>Bastion, Bastion Mk.0,</t>
        </is>
      </c>
      <c r="E13" s="41" t="inlineStr">
        <is>
          <t>Động năng</t>
        </is>
      </c>
      <c r="F13" s="41" t="inlineStr">
        <is>
          <t>BeltedAutocannon</t>
        </is>
      </c>
      <c r="G13" s="43" t="n">
        <v>40</v>
      </c>
      <c r="H13" s="43" t="n">
        <v>2</v>
      </c>
      <c r="I13" s="43" t="n">
        <v>2</v>
      </c>
      <c r="J13" s="43" t="n">
        <v>30</v>
      </c>
      <c r="K13" s="43" t="n">
        <v>30</v>
      </c>
      <c r="L13" s="41" t="inlineStr">
        <is>
          <t>băng</t>
        </is>
      </c>
      <c r="M13" s="41" t="inlineStr">
        <is>
          <t>băng</t>
        </is>
      </c>
      <c r="N13" s="43" t="n">
        <v>5</v>
      </c>
      <c r="O13" s="43" t="n">
        <v>5</v>
      </c>
      <c r="P13" s="43" t="n">
        <v>10</v>
      </c>
      <c r="Q13" s="43" t="n">
        <v>10</v>
      </c>
      <c r="R13" s="43" t="n">
        <v>1.52</v>
      </c>
      <c r="S13" s="43" t="n">
        <v>1.52</v>
      </c>
      <c r="T13" s="43" t="n">
        <v>28</v>
      </c>
      <c r="U13" s="43" t="n">
        <v>28</v>
      </c>
      <c r="V13" s="43" t="n">
        <v>210</v>
      </c>
      <c r="W13" s="43" t="n">
        <v>210</v>
      </c>
      <c r="X13" s="51">
        <f>IFERROR(U13/W13,"")</f>
        <v/>
      </c>
      <c r="Y13" s="53" t="n">
        <v>1</v>
      </c>
      <c r="Z13" s="53" t="n">
        <v>1</v>
      </c>
      <c r="AA13" s="51">
        <f>IFERROR(IF(L13="từng phát",J13*N13,J13*P13/(P13/N13+R13)),"")</f>
        <v/>
      </c>
      <c r="AB13" s="51">
        <f>IFERROR(IF(M13="từng phát",K13*O13,K13*Q13/(Q13/O13+S13)),"")</f>
        <v/>
      </c>
      <c r="AC13" s="51">
        <f>IFERROR(AB13*VLOOKUP(E13,'Hệ số'!$A$2:$D$8,2,0)*IF((I13-0)&gt;=2,1.2,IF((I13-0)=1,1,IF((I13-0)=0,0.85,IF((I13-0)=-1,0.5,IF((I13-0)=-2,0.25,0.1))))),"")</f>
        <v/>
      </c>
      <c r="AD13" s="51">
        <f>IFERROR(AB13*VLOOKUP(E13,'Hệ số'!$A$2:$D$8,2,0)*IF((I13-1)&gt;=2,1.2,IF((I13-1)=1,1,IF((I13-1)=0,0.85,IF((I13-1)=-1,0.5,IF((I13-1)=-2,0.25,0.1))))),"")</f>
        <v/>
      </c>
      <c r="AE13" s="51">
        <f>IFERROR(AB13*VLOOKUP(E13,'Hệ số'!$A$2:$D$8,2,0)*IF((I13-2)&gt;=2,1.2,IF((I13-2)=1,1,IF((I13-2)=0,0.85,IF((I13-2)=-1,0.5,IF((I13-2)=-2,0.25,0.1))))),"")</f>
        <v/>
      </c>
      <c r="AF13" s="51">
        <f>IFERROR(AB13*VLOOKUP(E13,'Hệ số'!$A$2:$D$8,2,0)*IF((I13-3)&gt;=2,1.2,IF((I13-3)=1,1,IF((I13-3)=0,0.85,IF((I13-3)=-1,0.5,IF((I13-3)=-2,0.25,0.1))))),"")</f>
        <v/>
      </c>
      <c r="AG13" s="51">
        <f>IFERROR(AB13*VLOOKUP(E13,'Hệ số'!$A$2:$D$8,2,0)*IF((I13-4)&gt;=2,1.2,IF((I13-4)=1,1,IF((I13-4)=0,0.85,IF((I13-4)=-1,0.5,IF((I13-4)=-2,0.25,0.1))))),"")</f>
        <v/>
      </c>
      <c r="AH13" s="51">
        <f>IFERROR(AB13*VLOOKUP(E13,'Hệ số'!$A$2:$D$8,2,0)*IF((I13-5)&gt;=2,1.2,IF((I13-5)=1,1,IF((I13-5)=0,0.85,IF((I13-5)=-1,0.5,IF((I13-5)=-2,0.25,0.1))))),"")</f>
        <v/>
      </c>
      <c r="AI13" s="51">
        <f>IFERROR(AB13*VLOOKUP(E13,'Hệ số'!$A$2:$D$8,3,0),"")</f>
        <v/>
      </c>
      <c r="AJ13" s="51">
        <f>IFERROR(AB13*VLOOKUP(E13,'Hệ số'!$A$2:$D$8,4,0)*IF((I13-2)&gt;=2,1.2,IF((I13-2)=1,1,IF((I13-2)=0,0.85,IF((I13-2)=-1,0.5,IF((I13-2)=-2,0.25,0.1))))),"")</f>
        <v/>
      </c>
      <c r="AK13" s="41" t="inlineStr">
        <is>
          <t>Bắn loạt; đạn nổ trên không (Mảnh) mạnh với máy bay và drone, yếu với giáp; đạn xuyên (Động năng) mạnh với giáp 0–2.</t>
        </is>
      </c>
      <c r="AL13" s="41" t="inlineStr">
        <is>
          <t>Tự đổi: đạn xuyên (Động năng) với xe, đạn nổ trên không (Mảnh) với máy bay/drone.</t>
        </is>
      </c>
      <c r="AM13" s="41" t="inlineStr">
        <is>
          <t>Bofors L/70: 240–330 phát/phút</t>
        </is>
      </c>
      <c r="AN13" s="41" t="inlineStr">
        <is>
          <t>Giữ.</t>
        </is>
      </c>
      <c r="AO13" s="41" t="n"/>
    </row>
    <row r="14" ht="32.25" customHeight="1" s="32">
      <c r="A14" s="39" t="inlineStr">
        <is>
          <t>ballistic_missile</t>
        </is>
      </c>
      <c r="B14" s="39" t="inlineStr">
        <is>
          <t>9M723 Iskander (700</t>
        </is>
      </c>
      <c r="C14" s="39" t="inlineStr">
        <is>
          <t>Tên lửa hành trình / đạn đạo</t>
        </is>
      </c>
      <c r="D14" s="39" t="inlineStr">
        <is>
          <t>Đạn đạo</t>
        </is>
      </c>
      <c r="E14" s="39" t="inlineStr">
        <is>
          <t>Nổ mạnh</t>
        </is>
      </c>
      <c r="F14" s="39" t="inlineStr">
        <is>
          <t>Ballistic</t>
        </is>
      </c>
      <c r="G14" s="42" t="n">
        <v>700</v>
      </c>
      <c r="H14" s="42" t="n">
        <v>4</v>
      </c>
      <c r="I14" s="42" t="n">
        <v>4</v>
      </c>
      <c r="J14" s="42" t="n">
        <v>630</v>
      </c>
      <c r="K14" s="42" t="n">
        <v>630</v>
      </c>
      <c r="L14" s="39" t="inlineStr">
        <is>
          <t>loạt</t>
        </is>
      </c>
      <c r="M14" s="39" t="inlineStr">
        <is>
          <t>loạt</t>
        </is>
      </c>
      <c r="N14" s="42" t="n">
        <v>0.67</v>
      </c>
      <c r="O14" s="42" t="n">
        <v>0.67</v>
      </c>
      <c r="P14" s="42" t="n">
        <v>2</v>
      </c>
      <c r="Q14" s="42" t="n">
        <v>2</v>
      </c>
      <c r="R14" s="42" t="n">
        <v>21.21</v>
      </c>
      <c r="S14" s="42" t="n">
        <v>21.21</v>
      </c>
      <c r="T14" s="42" t="n">
        <v>180</v>
      </c>
      <c r="U14" s="42" t="n">
        <v>180</v>
      </c>
      <c r="V14" s="42" t="n">
        <v>24</v>
      </c>
      <c r="W14" s="42" t="n">
        <v>50</v>
      </c>
      <c r="X14" s="50">
        <f>IFERROR(U14/W14,"")</f>
        <v/>
      </c>
      <c r="Y14" s="52" t="n">
        <v>12</v>
      </c>
      <c r="Z14" s="52" t="n">
        <v>10</v>
      </c>
      <c r="AA14" s="50">
        <f>IFERROR(IF(L14="từng phát",J14*N14,J14*P14/(P14/N14+R14)),"")</f>
        <v/>
      </c>
      <c r="AB14" s="50">
        <f>IFERROR(IF(M14="từng phát",K14*O14,K14*Q14/(Q14/O14+S14)),"")</f>
        <v/>
      </c>
      <c r="AC14" s="50">
        <f>IFERROR(AB14*VLOOKUP(E14,'Hệ số'!$A$2:$D$8,2,0)*IF((I14-0)&gt;=2,1.2,IF((I14-0)=1,1,IF((I14-0)=0,0.85,IF((I14-0)=-1,0.5,IF((I14-0)=-2,0.25,0.1))))),"")</f>
        <v/>
      </c>
      <c r="AD14" s="50">
        <f>IFERROR(AB14*VLOOKUP(E14,'Hệ số'!$A$2:$D$8,2,0)*IF((I14-1)&gt;=2,1.2,IF((I14-1)=1,1,IF((I14-1)=0,0.85,IF((I14-1)=-1,0.5,IF((I14-1)=-2,0.25,0.1))))),"")</f>
        <v/>
      </c>
      <c r="AE14" s="50">
        <f>IFERROR(AB14*VLOOKUP(E14,'Hệ số'!$A$2:$D$8,2,0)*IF((I14-2)&gt;=2,1.2,IF((I14-2)=1,1,IF((I14-2)=0,0.85,IF((I14-2)=-1,0.5,IF((I14-2)=-2,0.25,0.1))))),"")</f>
        <v/>
      </c>
      <c r="AF14" s="50">
        <f>IFERROR(AB14*VLOOKUP(E14,'Hệ số'!$A$2:$D$8,2,0)*IF((I14-3)&gt;=2,1.2,IF((I14-3)=1,1,IF((I14-3)=0,0.85,IF((I14-3)=-1,0.5,IF((I14-3)=-2,0.25,0.1))))),"")</f>
        <v/>
      </c>
      <c r="AG14" s="50">
        <f>IFERROR(AB14*VLOOKUP(E14,'Hệ số'!$A$2:$D$8,2,0)*IF((I14-4)&gt;=2,1.2,IF((I14-4)=1,1,IF((I14-4)=0,0.85,IF((I14-4)=-1,0.5,IF((I14-4)=-2,0.25,0.1))))),"")</f>
        <v/>
      </c>
      <c r="AH14" s="50">
        <f>IFERROR(AB14*VLOOKUP(E14,'Hệ số'!$A$2:$D$8,2,0)*IF((I14-5)&gt;=2,1.2,IF((I14-5)=1,1,IF((I14-5)=0,0.85,IF((I14-5)=-1,0.5,IF((I14-5)=-2,0.25,0.1))))),"")</f>
        <v/>
      </c>
      <c r="AI14" s="50">
        <f>IFERROR(AB14*VLOOKUP(E14,'Hệ số'!$A$2:$D$8,3,0),"")</f>
        <v/>
      </c>
      <c r="AJ14" s="50">
        <f>IFERROR(AB14*VLOOKUP(E14,'Hệ số'!$A$2:$D$8,4,0)*IF((I14-2)&gt;=2,1.2,IF((I14-2)=1,1,IF((I14-2)=0,0.85,IF((I14-2)=-1,0.5,IF((I14-2)=-2,0.25,0.1))))),"")</f>
        <v/>
      </c>
      <c r="AK14" s="39" t="inlineStr">
        <is>
          <t>Hành trình: bay chậm, thấp, bắn hạ được bởi phòng không; đạn đạo: bay nhanh, chỉ PAC-3 và Vòm Sắt bắn hạ.</t>
        </is>
      </c>
      <c r="AL14" s="39" t="n"/>
      <c r="AM14" s="39" t="inlineStr">
        <is>
          <t>Iskander 9M723: đầu nổ ~480 kg</t>
        </is>
      </c>
      <c r="AN14" s="39" t="inlineStr">
        <is>
          <t>Đầu nổ ~480 kg theo thang. Tốc độ bay 24→50 m/s: Đạn đạo nhanh nhất (~3,6 s ở 180 m), vẫn trong tầm đánh chặn của PAC-3 (65).</t>
        </is>
      </c>
      <c r="AO14" s="48" t="inlineStr">
        <is>
          <t>Trung</t>
        </is>
      </c>
    </row>
    <row r="15" ht="32.25" customHeight="1" s="32">
      <c r="A15" s="41" t="inlineStr">
        <is>
          <t>bastion_gun</t>
        </is>
      </c>
      <c r="B15" s="41" t="inlineStr">
        <is>
          <t>2A83 152 mm (twin)</t>
        </is>
      </c>
      <c r="C15" s="41" t="inlineStr">
        <is>
          <t>Pháo xe tăng / diệt tăng</t>
        </is>
      </c>
      <c r="D15" s="41" t="inlineStr">
        <is>
          <t>Sở chỉ huy, Tháp căn cứ</t>
        </is>
      </c>
      <c r="E15" s="41" t="inlineStr">
        <is>
          <t>Động năng</t>
        </is>
      </c>
      <c r="F15" s="41" t="inlineStr">
        <is>
          <t>DoubleDart</t>
        </is>
      </c>
      <c r="G15" s="43" t="n">
        <v>152</v>
      </c>
      <c r="H15" s="43" t="n">
        <v>4</v>
      </c>
      <c r="I15" s="43" t="n">
        <v>4</v>
      </c>
      <c r="J15" s="43" t="n">
        <v>320</v>
      </c>
      <c r="K15" s="43" t="n">
        <v>320</v>
      </c>
      <c r="L15" s="41" t="inlineStr">
        <is>
          <t>loạt</t>
        </is>
      </c>
      <c r="M15" s="41" t="inlineStr">
        <is>
          <t>loạt</t>
        </is>
      </c>
      <c r="N15" s="43" t="n">
        <v>20</v>
      </c>
      <c r="O15" s="43" t="n">
        <v>20</v>
      </c>
      <c r="P15" s="43" t="n">
        <v>2</v>
      </c>
      <c r="Q15" s="43" t="n">
        <v>2</v>
      </c>
      <c r="R15" s="43" t="n">
        <v>5.16</v>
      </c>
      <c r="S15" s="43" t="n">
        <v>5.16</v>
      </c>
      <c r="T15" s="43" t="n">
        <v>40</v>
      </c>
      <c r="U15" s="43" t="n">
        <v>40</v>
      </c>
      <c r="V15" s="43" t="n">
        <v>200</v>
      </c>
      <c r="W15" s="43" t="n">
        <v>200</v>
      </c>
      <c r="X15" s="51">
        <f>IFERROR(U15/W15,"")</f>
        <v/>
      </c>
      <c r="Y15" s="53" t="n">
        <v>2.5</v>
      </c>
      <c r="Z15" s="53" t="n">
        <v>2.5</v>
      </c>
      <c r="AA15" s="51">
        <f>IFERROR(IF(L15="từng phát",J15*N15,J15*P15/(P15/N15+R15)),"")</f>
        <v/>
      </c>
      <c r="AB15" s="51">
        <f>IFERROR(IF(M15="từng phát",K15*O15,K15*Q15/(Q15/O15+S15)),"")</f>
        <v/>
      </c>
      <c r="AC15" s="51">
        <f>IFERROR(AB15*VLOOKUP(E15,'Hệ số'!$A$2:$D$8,2,0)*IF((I15-0)&gt;=2,1.2,IF((I15-0)=1,1,IF((I15-0)=0,0.85,IF((I15-0)=-1,0.5,IF((I15-0)=-2,0.25,0.1))))),"")</f>
        <v/>
      </c>
      <c r="AD15" s="51">
        <f>IFERROR(AB15*VLOOKUP(E15,'Hệ số'!$A$2:$D$8,2,0)*IF((I15-1)&gt;=2,1.2,IF((I15-1)=1,1,IF((I15-1)=0,0.85,IF((I15-1)=-1,0.5,IF((I15-1)=-2,0.25,0.1))))),"")</f>
        <v/>
      </c>
      <c r="AE15" s="51">
        <f>IFERROR(AB15*VLOOKUP(E15,'Hệ số'!$A$2:$D$8,2,0)*IF((I15-2)&gt;=2,1.2,IF((I15-2)=1,1,IF((I15-2)=0,0.85,IF((I15-2)=-1,0.5,IF((I15-2)=-2,0.25,0.1))))),"")</f>
        <v/>
      </c>
      <c r="AF15" s="51">
        <f>IFERROR(AB15*VLOOKUP(E15,'Hệ số'!$A$2:$D$8,2,0)*IF((I15-3)&gt;=2,1.2,IF((I15-3)=1,1,IF((I15-3)=0,0.85,IF((I15-3)=-1,0.5,IF((I15-3)=-2,0.25,0.1))))),"")</f>
        <v/>
      </c>
      <c r="AG15" s="51">
        <f>IFERROR(AB15*VLOOKUP(E15,'Hệ số'!$A$2:$D$8,2,0)*IF((I15-4)&gt;=2,1.2,IF((I15-4)=1,1,IF((I15-4)=0,0.85,IF((I15-4)=-1,0.5,IF((I15-4)=-2,0.25,0.1))))),"")</f>
        <v/>
      </c>
      <c r="AH15" s="51">
        <f>IFERROR(AB15*VLOOKUP(E15,'Hệ số'!$A$2:$D$8,2,0)*IF((I15-5)&gt;=2,1.2,IF((I15-5)=1,1,IF((I15-5)=0,0.85,IF((I15-5)=-1,0.5,IF((I15-5)=-2,0.25,0.1))))),"")</f>
        <v/>
      </c>
      <c r="AI15" s="51">
        <f>IFERROR(AB15*VLOOKUP(E15,'Hệ số'!$A$2:$D$8,3,0),"")</f>
        <v/>
      </c>
      <c r="AJ15" s="51">
        <f>IFERROR(AB15*VLOOKUP(E15,'Hệ số'!$A$2:$D$8,4,0)*IF((I15-2)&gt;=2,1.2,IF((I15-2)=1,1,IF((I15-2)=0,0.85,IF((I15-2)=-1,0.5,IF((I15-2)=-2,0.25,0.1))))),"")</f>
        <v/>
      </c>
      <c r="AK15" s="41" t="inlineStr">
        <is>
          <t>Phát đơn, sơ tốc cao; không bị APS chặn (đạn động năng); bị lệch theo tầm và khi xe đang chạy.</t>
        </is>
      </c>
      <c r="AL15" s="41" t="inlineStr">
        <is>
          <t>Tự đổi: đạn xuyên (Động năng) với xe giáp, đạn nổ mạnh (HE, xuyên 2, nổ lan 3 m) với xe nhẹ và công trình.</t>
        </is>
      </c>
      <c r="AM15" s="41" t="n"/>
      <c r="AN15" s="41" t="inlineStr">
        <is>
          <t>Giữ.</t>
        </is>
      </c>
      <c r="AO15" s="41" t="n"/>
    </row>
    <row r="16" ht="21.75" customHeight="1" s="32">
      <c r="A16" s="39" t="inlineStr">
        <is>
          <t>boat_rockets</t>
        </is>
      </c>
      <c r="B16" s="39" t="inlineStr">
        <is>
          <t>S-8 80 mm</t>
        </is>
      </c>
      <c r="C16" s="39" t="inlineStr">
        <is>
          <t>Rốc-két</t>
        </is>
      </c>
      <c r="D16" s="39" t="inlineStr">
        <is>
          <t>Xuồng tên lửa</t>
        </is>
      </c>
      <c r="E16" s="39" t="inlineStr">
        <is>
          <t>Nổ mạnh</t>
        </is>
      </c>
      <c r="F16" s="39" t="inlineStr">
        <is>
          <t>RocketSmall</t>
        </is>
      </c>
      <c r="G16" s="42" t="n">
        <v>80</v>
      </c>
      <c r="H16" s="42" t="n">
        <v>2</v>
      </c>
      <c r="I16" s="42" t="n">
        <v>2</v>
      </c>
      <c r="J16" s="42" t="n">
        <v>32</v>
      </c>
      <c r="K16" s="42" t="n">
        <v>32</v>
      </c>
      <c r="L16" s="39" t="inlineStr">
        <is>
          <t>loạt</t>
        </is>
      </c>
      <c r="M16" s="39" t="inlineStr">
        <is>
          <t>loạt</t>
        </is>
      </c>
      <c r="N16" s="42" t="n">
        <v>8.33</v>
      </c>
      <c r="O16" s="42" t="n">
        <v>8.33</v>
      </c>
      <c r="P16" s="42" t="n">
        <v>10</v>
      </c>
      <c r="Q16" s="42" t="n">
        <v>10</v>
      </c>
      <c r="R16" s="42" t="n">
        <v>7</v>
      </c>
      <c r="S16" s="42" t="n">
        <v>7</v>
      </c>
      <c r="T16" s="42" t="n">
        <v>55</v>
      </c>
      <c r="U16" s="42" t="n">
        <v>55</v>
      </c>
      <c r="V16" s="42" t="n">
        <v>48</v>
      </c>
      <c r="W16" s="42" t="n">
        <v>40</v>
      </c>
      <c r="X16" s="50">
        <f>IFERROR(U16/W16,"")</f>
        <v/>
      </c>
      <c r="Y16" s="52" t="n">
        <v>3</v>
      </c>
      <c r="Z16" s="52" t="n">
        <v>3</v>
      </c>
      <c r="AA16" s="50">
        <f>IFERROR(IF(L16="từng phát",J16*N16,J16*P16/(P16/N16+R16)),"")</f>
        <v/>
      </c>
      <c r="AB16" s="50">
        <f>IFERROR(IF(M16="từng phát",K16*O16,K16*Q16/(Q16/O16+S16)),"")</f>
        <v/>
      </c>
      <c r="AC16" s="50">
        <f>IFERROR(AB16*VLOOKUP(E16,'Hệ số'!$A$2:$D$8,2,0)*IF((I16-0)&gt;=2,1.2,IF((I16-0)=1,1,IF((I16-0)=0,0.85,IF((I16-0)=-1,0.5,IF((I16-0)=-2,0.25,0.1))))),"")</f>
        <v/>
      </c>
      <c r="AD16" s="50">
        <f>IFERROR(AB16*VLOOKUP(E16,'Hệ số'!$A$2:$D$8,2,0)*IF((I16-1)&gt;=2,1.2,IF((I16-1)=1,1,IF((I16-1)=0,0.85,IF((I16-1)=-1,0.5,IF((I16-1)=-2,0.25,0.1))))),"")</f>
        <v/>
      </c>
      <c r="AE16" s="50">
        <f>IFERROR(AB16*VLOOKUP(E16,'Hệ số'!$A$2:$D$8,2,0)*IF((I16-2)&gt;=2,1.2,IF((I16-2)=1,1,IF((I16-2)=0,0.85,IF((I16-2)=-1,0.5,IF((I16-2)=-2,0.25,0.1))))),"")</f>
        <v/>
      </c>
      <c r="AF16" s="50">
        <f>IFERROR(AB16*VLOOKUP(E16,'Hệ số'!$A$2:$D$8,2,0)*IF((I16-3)&gt;=2,1.2,IF((I16-3)=1,1,IF((I16-3)=0,0.85,IF((I16-3)=-1,0.5,IF((I16-3)=-2,0.25,0.1))))),"")</f>
        <v/>
      </c>
      <c r="AG16" s="50">
        <f>IFERROR(AB16*VLOOKUP(E16,'Hệ số'!$A$2:$D$8,2,0)*IF((I16-4)&gt;=2,1.2,IF((I16-4)=1,1,IF((I16-4)=0,0.85,IF((I16-4)=-1,0.5,IF((I16-4)=-2,0.25,0.1))))),"")</f>
        <v/>
      </c>
      <c r="AH16" s="50">
        <f>IFERROR(AB16*VLOOKUP(E16,'Hệ số'!$A$2:$D$8,2,0)*IF((I16-5)&gt;=2,1.2,IF((I16-5)=1,1,IF((I16-5)=0,0.85,IF((I16-5)=-1,0.5,IF((I16-5)=-2,0.25,0.1))))),"")</f>
        <v/>
      </c>
      <c r="AI16" s="50">
        <f>IFERROR(AB16*VLOOKUP(E16,'Hệ số'!$A$2:$D$8,3,0),"")</f>
        <v/>
      </c>
      <c r="AJ16" s="50">
        <f>IFERROR(AB16*VLOOKUP(E16,'Hệ số'!$A$2:$D$8,4,0)*IF((I16-2)&gt;=2,1.2,IF((I16-2)=1,1,IF((I16-2)=0,0.85,IF((I16-2)=-1,0.5,IF((I16-2)=-2,0.25,0.1))))),"")</f>
        <v/>
      </c>
      <c r="AK16" s="39" t="inlineStr">
        <is>
          <t>Bắn loạt phủ vùng, tản mát; C-RAM, Vòm Sắt và La-de PK bắn hạ được từng quả.</t>
        </is>
      </c>
      <c r="AL16" s="39" t="n"/>
      <c r="AM16" s="39" t="inlineStr">
        <is>
          <t>S-8</t>
        </is>
      </c>
      <c r="AN16" s="39" t="inlineStr">
        <is>
          <t>Tốc độ bay 48→40 m/s: Thống nhất tốc độ rốc-két nhỏ ở mọi đơn vị (40 m/s).</t>
        </is>
      </c>
      <c r="AO16" s="48" t="inlineStr">
        <is>
          <t>Trung</t>
        </is>
      </c>
    </row>
    <row r="17" ht="32.25" customHeight="1" s="32">
      <c r="A17" s="41" t="inlineStr">
        <is>
          <t>bomber_payload</t>
        </is>
      </c>
      <c r="B17" s="41" t="inlineStr">
        <is>
          <t>FAB-500 (500 kg)</t>
        </is>
      </c>
      <c r="C17" s="41" t="inlineStr">
        <is>
          <t>Bom</t>
        </is>
      </c>
      <c r="D17" s="41" t="inlineStr">
        <is>
          <t>Oanh tạc cơ</t>
        </is>
      </c>
      <c r="E17" s="41" t="inlineStr">
        <is>
          <t>Nổ mạnh</t>
        </is>
      </c>
      <c r="F17" s="41" t="inlineStr">
        <is>
          <t>Bomb</t>
        </is>
      </c>
      <c r="G17" s="43" t="n">
        <v>500</v>
      </c>
      <c r="H17" s="43" t="n">
        <v>3</v>
      </c>
      <c r="I17" s="43" t="n">
        <v>3</v>
      </c>
      <c r="J17" s="43" t="n">
        <v>420</v>
      </c>
      <c r="K17" s="43" t="n">
        <v>420</v>
      </c>
      <c r="L17" s="41" t="inlineStr">
        <is>
          <t>loạt</t>
        </is>
      </c>
      <c r="M17" s="41" t="inlineStr">
        <is>
          <t>loạt</t>
        </is>
      </c>
      <c r="N17" s="43" t="n">
        <v>5</v>
      </c>
      <c r="O17" s="43" t="n">
        <v>5</v>
      </c>
      <c r="P17" s="43" t="n">
        <v>9</v>
      </c>
      <c r="Q17" s="43" t="n">
        <v>7</v>
      </c>
      <c r="R17" s="43" t="n">
        <v>11</v>
      </c>
      <c r="S17" s="43" t="n">
        <v>11</v>
      </c>
      <c r="T17" s="43" t="n">
        <v>28</v>
      </c>
      <c r="U17" s="43" t="n">
        <v>28</v>
      </c>
      <c r="V17" s="43" t="n">
        <v>35</v>
      </c>
      <c r="W17" s="43" t="n">
        <v>35</v>
      </c>
      <c r="X17" s="51">
        <f>IFERROR(U17/W17,"")</f>
        <v/>
      </c>
      <c r="Y17" s="53" t="n">
        <v>10</v>
      </c>
      <c r="Z17" s="53" t="n">
        <v>10</v>
      </c>
      <c r="AA17" s="51">
        <f>IFERROR(IF(L17="từng phát",J17*N17,J17*P17/(P17/N17+R17)),"")</f>
        <v/>
      </c>
      <c r="AB17" s="51">
        <f>IFERROR(IF(M17="từng phát",K17*O17,K17*Q17/(Q17/O17+S17)),"")</f>
        <v/>
      </c>
      <c r="AC17" s="51">
        <f>IFERROR(AB17*VLOOKUP(E17,'Hệ số'!$A$2:$D$8,2,0)*IF((I17-0)&gt;=2,1.2,IF((I17-0)=1,1,IF((I17-0)=0,0.85,IF((I17-0)=-1,0.5,IF((I17-0)=-2,0.25,0.1))))),"")</f>
        <v/>
      </c>
      <c r="AD17" s="51">
        <f>IFERROR(AB17*VLOOKUP(E17,'Hệ số'!$A$2:$D$8,2,0)*IF((I17-1)&gt;=2,1.2,IF((I17-1)=1,1,IF((I17-1)=0,0.85,IF((I17-1)=-1,0.5,IF((I17-1)=-2,0.25,0.1))))),"")</f>
        <v/>
      </c>
      <c r="AE17" s="51">
        <f>IFERROR(AB17*VLOOKUP(E17,'Hệ số'!$A$2:$D$8,2,0)*IF((I17-2)&gt;=2,1.2,IF((I17-2)=1,1,IF((I17-2)=0,0.85,IF((I17-2)=-1,0.5,IF((I17-2)=-2,0.25,0.1))))),"")</f>
        <v/>
      </c>
      <c r="AF17" s="51">
        <f>IFERROR(AB17*VLOOKUP(E17,'Hệ số'!$A$2:$D$8,2,0)*IF((I17-3)&gt;=2,1.2,IF((I17-3)=1,1,IF((I17-3)=0,0.85,IF((I17-3)=-1,0.5,IF((I17-3)=-2,0.25,0.1))))),"")</f>
        <v/>
      </c>
      <c r="AG17" s="51">
        <f>IFERROR(AB17*VLOOKUP(E17,'Hệ số'!$A$2:$D$8,2,0)*IF((I17-4)&gt;=2,1.2,IF((I17-4)=1,1,IF((I17-4)=0,0.85,IF((I17-4)=-1,0.5,IF((I17-4)=-2,0.25,0.1))))),"")</f>
        <v/>
      </c>
      <c r="AH17" s="51">
        <f>IFERROR(AB17*VLOOKUP(E17,'Hệ số'!$A$2:$D$8,2,0)*IF((I17-5)&gt;=2,1.2,IF((I17-5)=1,1,IF((I17-5)=0,0.85,IF((I17-5)=-1,0.5,IF((I17-5)=-2,0.25,0.1))))),"")</f>
        <v/>
      </c>
      <c r="AI17" s="51">
        <f>IFERROR(AB17*VLOOKUP(E17,'Hệ số'!$A$2:$D$8,3,0),"")</f>
        <v/>
      </c>
      <c r="AJ17" s="51">
        <f>IFERROR(AB17*VLOOKUP(E17,'Hệ số'!$A$2:$D$8,4,0)*IF((I17-2)&gt;=2,1.2,IF((I17-2)=1,1,IF((I17-2)=0,0.85,IF((I17-2)=-1,0.5,IF((I17-2)=-2,0.25,0.1))))),"")</f>
        <v/>
      </c>
      <c r="AK17" s="41" t="inlineStr">
        <is>
          <t>Bom thường rơi tự do, tản mát 2–3 m, không bắn hạ được; bom dẫn đường chính xác; bom lượn bay chậm và bắn hạ được.</t>
        </is>
      </c>
      <c r="AL17" s="41" t="n"/>
      <c r="AM17" s="41" t="inlineStr">
        <is>
          <t>FAB-500: ~200 kg thuốc nổ</t>
        </is>
      </c>
      <c r="AN17" s="41" t="inlineStr">
        <is>
          <t>Lần cân bằng 2: Oanh tạc cơ vẫn mạnh; 9 → 7 quả FAB-500 mỗi lượt.</t>
        </is>
      </c>
      <c r="AO17" s="48" t="inlineStr">
        <is>
          <t>Trung</t>
        </is>
      </c>
    </row>
    <row r="18" ht="21.75" customHeight="1" s="32">
      <c r="A18" s="39" t="inlineStr">
        <is>
          <t>bomber_tail_guns</t>
        </is>
      </c>
      <c r="B18" s="39" t="inlineStr">
        <is>
          <t>M3 12.7 mm (quad</t>
        </is>
      </c>
      <c r="C18" s="39" t="inlineStr">
        <is>
          <t>Súng máy 12,7 mm</t>
        </is>
      </c>
      <c r="D18" s="39" t="inlineStr">
        <is>
          <t>Oanh tạc cơ</t>
        </is>
      </c>
      <c r="E18" s="39" t="inlineStr">
        <is>
          <t>Động năng</t>
        </is>
      </c>
      <c r="F18" s="39" t="inlineStr">
        <is>
          <t>BulletBig</t>
        </is>
      </c>
      <c r="G18" s="42" t="n">
        <v>12.7</v>
      </c>
      <c r="H18" s="42" t="n">
        <v>1</v>
      </c>
      <c r="I18" s="42" t="n">
        <v>1</v>
      </c>
      <c r="J18" s="42" t="n">
        <v>9.5</v>
      </c>
      <c r="K18" s="42" t="n">
        <v>9.5</v>
      </c>
      <c r="L18" s="39" t="inlineStr">
        <is>
          <t>băng</t>
        </is>
      </c>
      <c r="M18" s="39" t="inlineStr">
        <is>
          <t>băng</t>
        </is>
      </c>
      <c r="N18" s="42" t="n">
        <v>60</v>
      </c>
      <c r="O18" s="42" t="n">
        <v>60</v>
      </c>
      <c r="P18" s="42" t="n">
        <v>26</v>
      </c>
      <c r="Q18" s="42" t="n">
        <v>26</v>
      </c>
      <c r="R18" s="42" t="n">
        <v>2.78</v>
      </c>
      <c r="S18" s="42" t="n">
        <v>2.78</v>
      </c>
      <c r="T18" s="42" t="n">
        <v>30</v>
      </c>
      <c r="U18" s="42" t="n">
        <v>30</v>
      </c>
      <c r="V18" s="42" t="n">
        <v>240</v>
      </c>
      <c r="W18" s="42" t="n">
        <v>240</v>
      </c>
      <c r="X18" s="50">
        <f>IFERROR(U18/W18,"")</f>
        <v/>
      </c>
      <c r="Y18" s="50" t="n"/>
      <c r="Z18" s="50" t="n"/>
      <c r="AA18" s="50">
        <f>IFERROR(IF(L18="từng phát",J18*N18,J18*P18/(P18/N18+R18)),"")</f>
        <v/>
      </c>
      <c r="AB18" s="50">
        <f>IFERROR(IF(M18="từng phát",K18*O18,K18*Q18/(Q18/O18+S18)),"")</f>
        <v/>
      </c>
      <c r="AC18" s="50">
        <f>IFERROR(AB18*VLOOKUP(E18,'Hệ số'!$A$2:$D$8,2,0)*IF((I18-0)&gt;=2,1.2,IF((I18-0)=1,1,IF((I18-0)=0,0.85,IF((I18-0)=-1,0.5,IF((I18-0)=-2,0.25,0.1))))),"")</f>
        <v/>
      </c>
      <c r="AD18" s="50">
        <f>IFERROR(AB18*VLOOKUP(E18,'Hệ số'!$A$2:$D$8,2,0)*IF((I18-1)&gt;=2,1.2,IF((I18-1)=1,1,IF((I18-1)=0,0.85,IF((I18-1)=-1,0.5,IF((I18-1)=-2,0.25,0.1))))),"")</f>
        <v/>
      </c>
      <c r="AE18" s="50">
        <f>IFERROR(AB18*VLOOKUP(E18,'Hệ số'!$A$2:$D$8,2,0)*IF((I18-2)&gt;=2,1.2,IF((I18-2)=1,1,IF((I18-2)=0,0.85,IF((I18-2)=-1,0.5,IF((I18-2)=-2,0.25,0.1))))),"")</f>
        <v/>
      </c>
      <c r="AF18" s="50">
        <f>IFERROR(AB18*VLOOKUP(E18,'Hệ số'!$A$2:$D$8,2,0)*IF((I18-3)&gt;=2,1.2,IF((I18-3)=1,1,IF((I18-3)=0,0.85,IF((I18-3)=-1,0.5,IF((I18-3)=-2,0.25,0.1))))),"")</f>
        <v/>
      </c>
      <c r="AG18" s="50">
        <f>IFERROR(AB18*VLOOKUP(E18,'Hệ số'!$A$2:$D$8,2,0)*IF((I18-4)&gt;=2,1.2,IF((I18-4)=1,1,IF((I18-4)=0,0.85,IF((I18-4)=-1,0.5,IF((I18-4)=-2,0.25,0.1))))),"")</f>
        <v/>
      </c>
      <c r="AH18" s="50">
        <f>IFERROR(AB18*VLOOKUP(E18,'Hệ số'!$A$2:$D$8,2,0)*IF((I18-5)&gt;=2,1.2,IF((I18-5)=1,1,IF((I18-5)=0,0.85,IF((I18-5)=-1,0.5,IF((I18-5)=-2,0.25,0.1))))),"")</f>
        <v/>
      </c>
      <c r="AI18" s="50">
        <f>IFERROR(AB18*VLOOKUP(E18,'Hệ số'!$A$2:$D$8,3,0),"")</f>
        <v/>
      </c>
      <c r="AJ18" s="50">
        <f>IFERROR(AB18*VLOOKUP(E18,'Hệ số'!$A$2:$D$8,4,0)*IF((I18-2)&gt;=2,1.2,IF((I18-2)=1,1,IF((I18-2)=0,0.85,IF((I18-2)=-1,0.5,IF((I18-2)=-2,0.25,0.1))))),"")</f>
        <v/>
      </c>
      <c r="AK18" s="39" t="inlineStr">
        <is>
          <t>Bắn cả khi chạy; mạnh với xe không giáp, drone, trực thăng; nảy khỏi giáp từ cấp 2.</t>
        </is>
      </c>
      <c r="AL18" s="39" t="inlineStr">
        <is>
          <t>Đạn xuyên API (xuyên 2) cho bản tinh nhuệ.</t>
        </is>
      </c>
      <c r="AM18" s="39" t="inlineStr">
        <is>
          <t>M3 12,7 mm: 1.200</t>
        </is>
      </c>
      <c r="AN18" s="39" t="inlineStr">
        <is>
          <t>Giữ.</t>
        </is>
      </c>
      <c r="AO18" s="39" t="n"/>
    </row>
    <row r="19" ht="32.25" customHeight="1" s="32">
      <c r="A19" s="41" t="inlineStr">
        <is>
          <t>borer_cannon</t>
        </is>
      </c>
      <c r="B19" s="41" t="inlineStr">
        <is>
          <t>2A70 100/76 mm</t>
        </is>
      </c>
      <c r="C19" s="41" t="inlineStr">
        <is>
          <t>Pháo xe tăng / diệt tăng</t>
        </is>
      </c>
      <c r="D19" s="41" t="inlineStr">
        <is>
          <t>Ixion, Tartarus</t>
        </is>
      </c>
      <c r="E19" s="41" t="inlineStr">
        <is>
          <t>Động năng</t>
        </is>
      </c>
      <c r="F19" s="41" t="inlineStr">
        <is>
          <t>Dart</t>
        </is>
      </c>
      <c r="G19" s="43" t="n">
        <v>76</v>
      </c>
      <c r="H19" s="43" t="n">
        <v>3</v>
      </c>
      <c r="I19" s="43" t="n">
        <v>3</v>
      </c>
      <c r="J19" s="43" t="n">
        <v>120</v>
      </c>
      <c r="K19" s="43" t="n">
        <v>120</v>
      </c>
      <c r="L19" s="41" t="inlineStr">
        <is>
          <t>từng phát</t>
        </is>
      </c>
      <c r="M19" s="41" t="inlineStr">
        <is>
          <t>từng phát</t>
        </is>
      </c>
      <c r="N19" s="43" t="n">
        <v>0.480769230769231</v>
      </c>
      <c r="O19" s="43" t="n">
        <v>0.480769230769231</v>
      </c>
      <c r="P19" s="43" t="n">
        <v>1</v>
      </c>
      <c r="Q19" s="43" t="n">
        <v>1</v>
      </c>
      <c r="R19" s="43" t="n">
        <v>2.08</v>
      </c>
      <c r="S19" s="43" t="n">
        <v>2.08</v>
      </c>
      <c r="T19" s="43" t="n">
        <v>34</v>
      </c>
      <c r="U19" s="43" t="n">
        <v>34</v>
      </c>
      <c r="V19" s="43" t="n">
        <v>170</v>
      </c>
      <c r="W19" s="43" t="n">
        <v>170</v>
      </c>
      <c r="X19" s="51">
        <f>IFERROR(U19/W19,"")</f>
        <v/>
      </c>
      <c r="Y19" s="53" t="n">
        <v>1.5</v>
      </c>
      <c r="Z19" s="53" t="n">
        <v>1.5</v>
      </c>
      <c r="AA19" s="51">
        <f>IFERROR(IF(L19="từng phát",J19*N19,J19*P19/(P19/N19+R19)),"")</f>
        <v/>
      </c>
      <c r="AB19" s="51">
        <f>IFERROR(IF(M19="từng phát",K19*O19,K19*Q19/(Q19/O19+S19)),"")</f>
        <v/>
      </c>
      <c r="AC19" s="51">
        <f>IFERROR(AB19*VLOOKUP(E19,'Hệ số'!$A$2:$D$8,2,0)*IF((I19-0)&gt;=2,1.2,IF((I19-0)=1,1,IF((I19-0)=0,0.85,IF((I19-0)=-1,0.5,IF((I19-0)=-2,0.25,0.1))))),"")</f>
        <v/>
      </c>
      <c r="AD19" s="51">
        <f>IFERROR(AB19*VLOOKUP(E19,'Hệ số'!$A$2:$D$8,2,0)*IF((I19-1)&gt;=2,1.2,IF((I19-1)=1,1,IF((I19-1)=0,0.85,IF((I19-1)=-1,0.5,IF((I19-1)=-2,0.25,0.1))))),"")</f>
        <v/>
      </c>
      <c r="AE19" s="51">
        <f>IFERROR(AB19*VLOOKUP(E19,'Hệ số'!$A$2:$D$8,2,0)*IF((I19-2)&gt;=2,1.2,IF((I19-2)=1,1,IF((I19-2)=0,0.85,IF((I19-2)=-1,0.5,IF((I19-2)=-2,0.25,0.1))))),"")</f>
        <v/>
      </c>
      <c r="AF19" s="51">
        <f>IFERROR(AB19*VLOOKUP(E19,'Hệ số'!$A$2:$D$8,2,0)*IF((I19-3)&gt;=2,1.2,IF((I19-3)=1,1,IF((I19-3)=0,0.85,IF((I19-3)=-1,0.5,IF((I19-3)=-2,0.25,0.1))))),"")</f>
        <v/>
      </c>
      <c r="AG19" s="51">
        <f>IFERROR(AB19*VLOOKUP(E19,'Hệ số'!$A$2:$D$8,2,0)*IF((I19-4)&gt;=2,1.2,IF((I19-4)=1,1,IF((I19-4)=0,0.85,IF((I19-4)=-1,0.5,IF((I19-4)=-2,0.25,0.1))))),"")</f>
        <v/>
      </c>
      <c r="AH19" s="51">
        <f>IFERROR(AB19*VLOOKUP(E19,'Hệ số'!$A$2:$D$8,2,0)*IF((I19-5)&gt;=2,1.2,IF((I19-5)=1,1,IF((I19-5)=0,0.85,IF((I19-5)=-1,0.5,IF((I19-5)=-2,0.25,0.1))))),"")</f>
        <v/>
      </c>
      <c r="AI19" s="51">
        <f>IFERROR(AB19*VLOOKUP(E19,'Hệ số'!$A$2:$D$8,3,0),"")</f>
        <v/>
      </c>
      <c r="AJ19" s="51">
        <f>IFERROR(AB19*VLOOKUP(E19,'Hệ số'!$A$2:$D$8,4,0)*IF((I19-2)&gt;=2,1.2,IF((I19-2)=1,1,IF((I19-2)=0,0.85,IF((I19-2)=-1,0.5,IF((I19-2)=-2,0.25,0.1))))),"")</f>
        <v/>
      </c>
      <c r="AK19" s="41" t="inlineStr">
        <is>
          <t>Phát đơn, sơ tốc cao; không bị APS chặn (đạn động năng); bị lệch theo tầm và khi xe đang chạy.</t>
        </is>
      </c>
      <c r="AL19" s="41" t="inlineStr">
        <is>
          <t>Tự đổi: đạn xuyên (Động năng) với xe giáp, đạn nổ mạnh (HE, xuyên 2, nổ lan 3 m) với xe nhẹ và công trình.</t>
        </is>
      </c>
      <c r="AM19" s="41" t="n"/>
      <c r="AN19" s="41" t="inlineStr">
        <is>
          <t>Giữ.</t>
        </is>
      </c>
      <c r="AO19" s="41" t="n"/>
    </row>
    <row r="20" ht="15" customHeight="1" s="32">
      <c r="A20" s="39" t="inlineStr">
        <is>
          <t>borer_drill</t>
        </is>
      </c>
      <c r="B20" s="39" t="inlineStr">
        <is>
          <t>drill head</t>
        </is>
      </c>
      <c r="C20" s="39" t="inlineStr">
        <is>
          <t>Khác</t>
        </is>
      </c>
      <c r="D20" s="39" t="inlineStr">
        <is>
          <t>Tartarus</t>
        </is>
      </c>
      <c r="E20" s="39" t="inlineStr">
        <is>
          <t>Động năng</t>
        </is>
      </c>
      <c r="F20" s="39" t="inlineStr">
        <is>
          <t>Drill</t>
        </is>
      </c>
      <c r="G20" s="42" t="n">
        <v>2</v>
      </c>
      <c r="H20" s="42" t="n">
        <v>4</v>
      </c>
      <c r="I20" s="42" t="n">
        <v>4</v>
      </c>
      <c r="J20" s="42" t="n">
        <v>260</v>
      </c>
      <c r="K20" s="42" t="n">
        <v>260</v>
      </c>
      <c r="L20" s="39" t="inlineStr">
        <is>
          <t>từng phát</t>
        </is>
      </c>
      <c r="M20" s="39" t="inlineStr">
        <is>
          <t>từng phát</t>
        </is>
      </c>
      <c r="N20" s="42" t="n">
        <v>0.666666666666667</v>
      </c>
      <c r="O20" s="42" t="n">
        <v>0.666666666666667</v>
      </c>
      <c r="P20" s="42" t="n">
        <v>1</v>
      </c>
      <c r="Q20" s="42" t="n">
        <v>1</v>
      </c>
      <c r="R20" s="42" t="n">
        <v>1.5</v>
      </c>
      <c r="S20" s="42" t="n">
        <v>1.5</v>
      </c>
      <c r="T20" s="42" t="n">
        <v>7</v>
      </c>
      <c r="U20" s="42" t="n">
        <v>7</v>
      </c>
      <c r="V20" s="42" t="n">
        <v>400</v>
      </c>
      <c r="W20" s="42" t="n">
        <v>400</v>
      </c>
      <c r="X20" s="50">
        <f>IFERROR(U20/W20,"")</f>
        <v/>
      </c>
      <c r="Y20" s="50" t="n"/>
      <c r="Z20" s="50" t="n"/>
      <c r="AA20" s="50">
        <f>IFERROR(IF(L20="từng phát",J20*N20,J20*P20/(P20/N20+R20)),"")</f>
        <v/>
      </c>
      <c r="AB20" s="50">
        <f>IFERROR(IF(M20="từng phát",K20*O20,K20*Q20/(Q20/O20+S20)),"")</f>
        <v/>
      </c>
      <c r="AC20" s="50">
        <f>IFERROR(AB20*VLOOKUP(E20,'Hệ số'!$A$2:$D$8,2,0)*IF((I20-0)&gt;=2,1.2,IF((I20-0)=1,1,IF((I20-0)=0,0.85,IF((I20-0)=-1,0.5,IF((I20-0)=-2,0.25,0.1))))),"")</f>
        <v/>
      </c>
      <c r="AD20" s="50">
        <f>IFERROR(AB20*VLOOKUP(E20,'Hệ số'!$A$2:$D$8,2,0)*IF((I20-1)&gt;=2,1.2,IF((I20-1)=1,1,IF((I20-1)=0,0.85,IF((I20-1)=-1,0.5,IF((I20-1)=-2,0.25,0.1))))),"")</f>
        <v/>
      </c>
      <c r="AE20" s="50">
        <f>IFERROR(AB20*VLOOKUP(E20,'Hệ số'!$A$2:$D$8,2,0)*IF((I20-2)&gt;=2,1.2,IF((I20-2)=1,1,IF((I20-2)=0,0.85,IF((I20-2)=-1,0.5,IF((I20-2)=-2,0.25,0.1))))),"")</f>
        <v/>
      </c>
      <c r="AF20" s="50">
        <f>IFERROR(AB20*VLOOKUP(E20,'Hệ số'!$A$2:$D$8,2,0)*IF((I20-3)&gt;=2,1.2,IF((I20-3)=1,1,IF((I20-3)=0,0.85,IF((I20-3)=-1,0.5,IF((I20-3)=-2,0.25,0.1))))),"")</f>
        <v/>
      </c>
      <c r="AG20" s="50">
        <f>IFERROR(AB20*VLOOKUP(E20,'Hệ số'!$A$2:$D$8,2,0)*IF((I20-4)&gt;=2,1.2,IF((I20-4)=1,1,IF((I20-4)=0,0.85,IF((I20-4)=-1,0.5,IF((I20-4)=-2,0.25,0.1))))),"")</f>
        <v/>
      </c>
      <c r="AH20" s="50">
        <f>IFERROR(AB20*VLOOKUP(E20,'Hệ số'!$A$2:$D$8,2,0)*IF((I20-5)&gt;=2,1.2,IF((I20-5)=1,1,IF((I20-5)=0,0.85,IF((I20-5)=-1,0.5,IF((I20-5)=-2,0.25,0.1))))),"")</f>
        <v/>
      </c>
      <c r="AI20" s="50">
        <f>IFERROR(AB20*VLOOKUP(E20,'Hệ số'!$A$2:$D$8,3,0),"")</f>
        <v/>
      </c>
      <c r="AJ20" s="50">
        <f>IFERROR(AB20*VLOOKUP(E20,'Hệ số'!$A$2:$D$8,4,0)*IF((I20-2)&gt;=2,1.2,IF((I20-2)=1,1,IF((I20-2)=0,0.85,IF((I20-2)=-1,0.5,IF((I20-2)=-2,0.25,0.1))))),"")</f>
        <v/>
      </c>
      <c r="AK20" s="39" t="n"/>
      <c r="AL20" s="39" t="n"/>
      <c r="AM20" s="39" t="n"/>
      <c r="AN20" s="39" t="inlineStr">
        <is>
          <t>Giữ.</t>
        </is>
      </c>
      <c r="AO20" s="39" t="n"/>
    </row>
    <row r="21" ht="32.25" customHeight="1" s="32">
      <c r="A21" s="41" t="inlineStr">
        <is>
          <t>boss_flak</t>
        </is>
      </c>
      <c r="B21" s="41" t="inlineStr">
        <is>
          <t>Oerlikon 35 mm (twin)</t>
        </is>
      </c>
      <c r="C21" s="41" t="inlineStr">
        <is>
          <t>Pháo tự động / cao xạ 20–40 mm</t>
        </is>
      </c>
      <c r="D21" s="41" t="inlineStr">
        <is>
          <t>Behemoth, Behemoth Mk.II,</t>
        </is>
      </c>
      <c r="E21" s="41" t="inlineStr">
        <is>
          <t>Mảnh</t>
        </is>
      </c>
      <c r="F21" s="41" t="inlineStr">
        <is>
          <t>Airburst</t>
        </is>
      </c>
      <c r="G21" s="43" t="n">
        <v>35</v>
      </c>
      <c r="H21" s="43" t="n">
        <v>2</v>
      </c>
      <c r="I21" s="43" t="n">
        <v>2</v>
      </c>
      <c r="J21" s="43" t="n">
        <v>25</v>
      </c>
      <c r="K21" s="43" t="n">
        <v>25</v>
      </c>
      <c r="L21" s="41" t="inlineStr">
        <is>
          <t>băng</t>
        </is>
      </c>
      <c r="M21" s="41" t="inlineStr">
        <is>
          <t>băng</t>
        </is>
      </c>
      <c r="N21" s="43" t="n">
        <v>20</v>
      </c>
      <c r="O21" s="43" t="n">
        <v>20</v>
      </c>
      <c r="P21" s="43" t="n">
        <v>41</v>
      </c>
      <c r="Q21" s="43" t="n">
        <v>41</v>
      </c>
      <c r="R21" s="43" t="n">
        <v>3.38</v>
      </c>
      <c r="S21" s="43" t="n">
        <v>3.38</v>
      </c>
      <c r="T21" s="43" t="n">
        <v>40</v>
      </c>
      <c r="U21" s="43" t="n">
        <v>40</v>
      </c>
      <c r="V21" s="43" t="n">
        <v>260</v>
      </c>
      <c r="W21" s="43" t="n">
        <v>260</v>
      </c>
      <c r="X21" s="51">
        <f>IFERROR(U21/W21,"")</f>
        <v/>
      </c>
      <c r="Y21" s="53" t="n">
        <v>2.5</v>
      </c>
      <c r="Z21" s="53" t="n">
        <v>2.5</v>
      </c>
      <c r="AA21" s="51">
        <f>IFERROR(IF(L21="từng phát",J21*N21,J21*P21/(P21/N21+R21)),"")</f>
        <v/>
      </c>
      <c r="AB21" s="51">
        <f>IFERROR(IF(M21="từng phát",K21*O21,K21*Q21/(Q21/O21+S21)),"")</f>
        <v/>
      </c>
      <c r="AC21" s="51">
        <f>IFERROR(AB21*VLOOKUP(E21,'Hệ số'!$A$2:$D$8,2,0)*IF((I21-0)&gt;=2,1.2,IF((I21-0)=1,1,IF((I21-0)=0,0.85,IF((I21-0)=-1,0.5,IF((I21-0)=-2,0.25,0.1))))),"")</f>
        <v/>
      </c>
      <c r="AD21" s="51">
        <f>IFERROR(AB21*VLOOKUP(E21,'Hệ số'!$A$2:$D$8,2,0)*IF((I21-1)&gt;=2,1.2,IF((I21-1)=1,1,IF((I21-1)=0,0.85,IF((I21-1)=-1,0.5,IF((I21-1)=-2,0.25,0.1))))),"")</f>
        <v/>
      </c>
      <c r="AE21" s="51">
        <f>IFERROR(AB21*VLOOKUP(E21,'Hệ số'!$A$2:$D$8,2,0)*IF((I21-2)&gt;=2,1.2,IF((I21-2)=1,1,IF((I21-2)=0,0.85,IF((I21-2)=-1,0.5,IF((I21-2)=-2,0.25,0.1))))),"")</f>
        <v/>
      </c>
      <c r="AF21" s="51">
        <f>IFERROR(AB21*VLOOKUP(E21,'Hệ số'!$A$2:$D$8,2,0)*IF((I21-3)&gt;=2,1.2,IF((I21-3)=1,1,IF((I21-3)=0,0.85,IF((I21-3)=-1,0.5,IF((I21-3)=-2,0.25,0.1))))),"")</f>
        <v/>
      </c>
      <c r="AG21" s="51">
        <f>IFERROR(AB21*VLOOKUP(E21,'Hệ số'!$A$2:$D$8,2,0)*IF((I21-4)&gt;=2,1.2,IF((I21-4)=1,1,IF((I21-4)=0,0.85,IF((I21-4)=-1,0.5,IF((I21-4)=-2,0.25,0.1))))),"")</f>
        <v/>
      </c>
      <c r="AH21" s="51">
        <f>IFERROR(AB21*VLOOKUP(E21,'Hệ số'!$A$2:$D$8,2,0)*IF((I21-5)&gt;=2,1.2,IF((I21-5)=1,1,IF((I21-5)=0,0.85,IF((I21-5)=-1,0.5,IF((I21-5)=-2,0.25,0.1))))),"")</f>
        <v/>
      </c>
      <c r="AI21" s="51">
        <f>IFERROR(AB21*VLOOKUP(E21,'Hệ số'!$A$2:$D$8,3,0),"")</f>
        <v/>
      </c>
      <c r="AJ21" s="51">
        <f>IFERROR(AB21*VLOOKUP(E21,'Hệ số'!$A$2:$D$8,4,0)*IF((I21-2)&gt;=2,1.2,IF((I21-2)=1,1,IF((I21-2)=0,0.85,IF((I21-2)=-1,0.5,IF((I21-2)=-2,0.25,0.1))))),"")</f>
        <v/>
      </c>
      <c r="AK21" s="41" t="inlineStr">
        <is>
          <t>Bắn loạt; đạn nổ trên không (Mảnh) mạnh với máy bay và drone, yếu với giáp; đạn xuyên (Động năng) mạnh với giáp 0–2.</t>
        </is>
      </c>
      <c r="AL21" s="41" t="inlineStr">
        <is>
          <t>Tự đổi: đạn xuyên (Động năng) với xe, đạn nổ trên không (Mảnh) với máy bay/drone.</t>
        </is>
      </c>
      <c r="AM21" s="41" t="inlineStr">
        <is>
          <t>Oerlikon 35 mm đôi: 1.100 phát/phút</t>
        </is>
      </c>
      <c r="AN21" s="41" t="inlineStr">
        <is>
          <t>Giữ.</t>
        </is>
      </c>
      <c r="AO21" s="41" t="n"/>
    </row>
    <row r="22" ht="21.75" customHeight="1" s="32">
      <c r="A22" s="39" t="inlineStr">
        <is>
          <t>boss_flamer</t>
        </is>
      </c>
      <c r="B22" s="39" t="inlineStr">
        <is>
          <t>flamethrower (heavy)</t>
        </is>
      </c>
      <c r="C22" s="39" t="inlineStr">
        <is>
          <t>Phun lửa</t>
        </is>
      </c>
      <c r="D22" s="39" t="inlineStr">
        <is>
          <t>Inferno</t>
        </is>
      </c>
      <c r="E22" s="39" t="inlineStr">
        <is>
          <t>Lửa</t>
        </is>
      </c>
      <c r="F22" s="39" t="inlineStr">
        <is>
          <t>Flame</t>
        </is>
      </c>
      <c r="G22" s="42" t="n">
        <v>3</v>
      </c>
      <c r="H22" s="42" t="n">
        <v>2</v>
      </c>
      <c r="I22" s="42" t="n">
        <v>2</v>
      </c>
      <c r="J22" s="42" t="n">
        <v>30</v>
      </c>
      <c r="K22" s="42" t="n">
        <v>30</v>
      </c>
      <c r="L22" s="39" t="inlineStr">
        <is>
          <t>từng phát</t>
        </is>
      </c>
      <c r="M22" s="39" t="inlineStr">
        <is>
          <t>từng phát</t>
        </is>
      </c>
      <c r="N22" s="42" t="n">
        <v>4</v>
      </c>
      <c r="O22" s="42" t="n">
        <v>4</v>
      </c>
      <c r="P22" s="42" t="n">
        <v>1</v>
      </c>
      <c r="Q22" s="42" t="n">
        <v>1</v>
      </c>
      <c r="R22" s="42" t="n">
        <v>0.25</v>
      </c>
      <c r="S22" s="42" t="n">
        <v>0.25</v>
      </c>
      <c r="T22" s="42" t="n">
        <v>20</v>
      </c>
      <c r="U22" s="42" t="n">
        <v>20</v>
      </c>
      <c r="V22" s="42" t="n">
        <v>38</v>
      </c>
      <c r="W22" s="42" t="n">
        <v>38</v>
      </c>
      <c r="X22" s="50">
        <f>IFERROR(U22/W22,"")</f>
        <v/>
      </c>
      <c r="Y22" s="52" t="n">
        <v>3.5</v>
      </c>
      <c r="Z22" s="52" t="n">
        <v>3.5</v>
      </c>
      <c r="AA22" s="50">
        <f>IFERROR(IF(L22="từng phát",J22*N22,J22*P22/(P22/N22+R22)),"")</f>
        <v/>
      </c>
      <c r="AB22" s="50">
        <f>IFERROR(IF(M22="từng phát",K22*O22,K22*Q22/(Q22/O22+S22)),"")</f>
        <v/>
      </c>
      <c r="AC22" s="50">
        <f>IFERROR(AB22*VLOOKUP(E22,'Hệ số'!$A$2:$D$8,2,0)*IF((I22-0)&gt;=2,1.2,IF((I22-0)=1,1,IF((I22-0)=0,0.85,IF((I22-0)=-1,0.5,IF((I22-0)=-2,0.25,0.1))))),"")</f>
        <v/>
      </c>
      <c r="AD22" s="50">
        <f>IFERROR(AB22*VLOOKUP(E22,'Hệ số'!$A$2:$D$8,2,0)*IF((I22-1)&gt;=2,1.2,IF((I22-1)=1,1,IF((I22-1)=0,0.85,IF((I22-1)=-1,0.5,IF((I22-1)=-2,0.25,0.1))))),"")</f>
        <v/>
      </c>
      <c r="AE22" s="50">
        <f>IFERROR(AB22*VLOOKUP(E22,'Hệ số'!$A$2:$D$8,2,0)*IF((I22-2)&gt;=2,1.2,IF((I22-2)=1,1,IF((I22-2)=0,0.85,IF((I22-2)=-1,0.5,IF((I22-2)=-2,0.25,0.1))))),"")</f>
        <v/>
      </c>
      <c r="AF22" s="50">
        <f>IFERROR(AB22*VLOOKUP(E22,'Hệ số'!$A$2:$D$8,2,0)*IF((I22-3)&gt;=2,1.2,IF((I22-3)=1,1,IF((I22-3)=0,0.85,IF((I22-3)=-1,0.5,IF((I22-3)=-2,0.25,0.1))))),"")</f>
        <v/>
      </c>
      <c r="AG22" s="50">
        <f>IFERROR(AB22*VLOOKUP(E22,'Hệ số'!$A$2:$D$8,2,0)*IF((I22-4)&gt;=2,1.2,IF((I22-4)=1,1,IF((I22-4)=0,0.85,IF((I22-4)=-1,0.5,IF((I22-4)=-2,0.25,0.1))))),"")</f>
        <v/>
      </c>
      <c r="AH22" s="50">
        <f>IFERROR(AB22*VLOOKUP(E22,'Hệ số'!$A$2:$D$8,2,0)*IF((I22-5)&gt;=2,1.2,IF((I22-5)=1,1,IF((I22-5)=0,0.85,IF((I22-5)=-1,0.5,IF((I22-5)=-2,0.25,0.1))))),"")</f>
        <v/>
      </c>
      <c r="AI22" s="50">
        <f>IFERROR(AB22*VLOOKUP(E22,'Hệ số'!$A$2:$D$8,3,0),"")</f>
        <v/>
      </c>
      <c r="AJ22" s="50">
        <f>IFERROR(AB22*VLOOKUP(E22,'Hệ số'!$A$2:$D$8,4,0)*IF((I22-2)&gt;=2,1.2,IF((I22-2)=1,1,IF((I22-2)=0,0.85,IF((I22-2)=-1,0.5,IF((I22-2)=-2,0.25,0.1))))),"")</f>
        <v/>
      </c>
      <c r="AK22" s="39" t="inlineStr">
        <is>
          <t>Tầm rất ngắn; gây cháy; không bị APS; mạnh với xe nhẹ và công trình có người.</t>
        </is>
      </c>
      <c r="AL22" s="39" t="n"/>
      <c r="AM22" s="39" t="inlineStr">
        <is>
          <t>phun lửa</t>
        </is>
      </c>
      <c r="AN22" s="39" t="inlineStr">
        <is>
          <t>Giữ.</t>
        </is>
      </c>
      <c r="AO22" s="39" t="n"/>
    </row>
    <row r="23" ht="32.25" customHeight="1" s="32">
      <c r="A23" s="41" t="inlineStr">
        <is>
          <t>boss_heli_gun</t>
        </is>
      </c>
      <c r="B23" s="41" t="inlineStr">
        <is>
          <t>M230 30 mm</t>
        </is>
      </c>
      <c r="C23" s="41" t="inlineStr">
        <is>
          <t>Pháo tự động / cao xạ 20–40 mm</t>
        </is>
      </c>
      <c r="D23" s="41" t="inlineStr">
        <is>
          <t>Harpy</t>
        </is>
      </c>
      <c r="E23" s="41" t="inlineStr">
        <is>
          <t>Động năng</t>
        </is>
      </c>
      <c r="F23" s="41" t="inlineStr">
        <is>
          <t>BeltedAutocannon</t>
        </is>
      </c>
      <c r="G23" s="43" t="n">
        <v>30</v>
      </c>
      <c r="H23" s="43" t="n">
        <v>2</v>
      </c>
      <c r="I23" s="43" t="n">
        <v>2</v>
      </c>
      <c r="J23" s="43" t="n">
        <v>22</v>
      </c>
      <c r="K23" s="43" t="n">
        <v>22</v>
      </c>
      <c r="L23" s="41" t="inlineStr">
        <is>
          <t>băng</t>
        </is>
      </c>
      <c r="M23" s="41" t="inlineStr">
        <is>
          <t>băng</t>
        </is>
      </c>
      <c r="N23" s="43" t="n">
        <v>10</v>
      </c>
      <c r="O23" s="43" t="n">
        <v>6</v>
      </c>
      <c r="P23" s="43" t="n">
        <v>13</v>
      </c>
      <c r="Q23" s="43" t="n">
        <v>40</v>
      </c>
      <c r="R23" s="43" t="n">
        <v>5.36</v>
      </c>
      <c r="S23" s="43" t="n">
        <v>3</v>
      </c>
      <c r="T23" s="43" t="n">
        <v>26</v>
      </c>
      <c r="U23" s="43" t="n">
        <v>26</v>
      </c>
      <c r="V23" s="43" t="n">
        <v>220</v>
      </c>
      <c r="W23" s="43" t="n">
        <v>220</v>
      </c>
      <c r="X23" s="51">
        <f>IFERROR(U23/W23,"")</f>
        <v/>
      </c>
      <c r="Y23" s="51" t="n"/>
      <c r="Z23" s="51" t="n"/>
      <c r="AA23" s="51">
        <f>IFERROR(IF(L23="từng phát",J23*N23,J23*P23/(P23/N23+R23)),"")</f>
        <v/>
      </c>
      <c r="AB23" s="51">
        <f>IFERROR(IF(M23="từng phát",K23*O23,K23*Q23/(Q23/O23+S23)),"")</f>
        <v/>
      </c>
      <c r="AC23" s="51">
        <f>IFERROR(AB23*VLOOKUP(E23,'Hệ số'!$A$2:$D$8,2,0)*IF((I23-0)&gt;=2,1.2,IF((I23-0)=1,1,IF((I23-0)=0,0.85,IF((I23-0)=-1,0.5,IF((I23-0)=-2,0.25,0.1))))),"")</f>
        <v/>
      </c>
      <c r="AD23" s="51">
        <f>IFERROR(AB23*VLOOKUP(E23,'Hệ số'!$A$2:$D$8,2,0)*IF((I23-1)&gt;=2,1.2,IF((I23-1)=1,1,IF((I23-1)=0,0.85,IF((I23-1)=-1,0.5,IF((I23-1)=-2,0.25,0.1))))),"")</f>
        <v/>
      </c>
      <c r="AE23" s="51">
        <f>IFERROR(AB23*VLOOKUP(E23,'Hệ số'!$A$2:$D$8,2,0)*IF((I23-2)&gt;=2,1.2,IF((I23-2)=1,1,IF((I23-2)=0,0.85,IF((I23-2)=-1,0.5,IF((I23-2)=-2,0.25,0.1))))),"")</f>
        <v/>
      </c>
      <c r="AF23" s="51">
        <f>IFERROR(AB23*VLOOKUP(E23,'Hệ số'!$A$2:$D$8,2,0)*IF((I23-3)&gt;=2,1.2,IF((I23-3)=1,1,IF((I23-3)=0,0.85,IF((I23-3)=-1,0.5,IF((I23-3)=-2,0.25,0.1))))),"")</f>
        <v/>
      </c>
      <c r="AG23" s="51">
        <f>IFERROR(AB23*VLOOKUP(E23,'Hệ số'!$A$2:$D$8,2,0)*IF((I23-4)&gt;=2,1.2,IF((I23-4)=1,1,IF((I23-4)=0,0.85,IF((I23-4)=-1,0.5,IF((I23-4)=-2,0.25,0.1))))),"")</f>
        <v/>
      </c>
      <c r="AH23" s="51">
        <f>IFERROR(AB23*VLOOKUP(E23,'Hệ số'!$A$2:$D$8,2,0)*IF((I23-5)&gt;=2,1.2,IF((I23-5)=1,1,IF((I23-5)=0,0.85,IF((I23-5)=-1,0.5,IF((I23-5)=-2,0.25,0.1))))),"")</f>
        <v/>
      </c>
      <c r="AI23" s="51">
        <f>IFERROR(AB23*VLOOKUP(E23,'Hệ số'!$A$2:$D$8,3,0),"")</f>
        <v/>
      </c>
      <c r="AJ23" s="51">
        <f>IFERROR(AB23*VLOOKUP(E23,'Hệ số'!$A$2:$D$8,4,0)*IF((I23-2)&gt;=2,1.2,IF((I23-2)=1,1,IF((I23-2)=0,0.85,IF((I23-2)=-1,0.5,IF((I23-2)=-2,0.25,0.1))))),"")</f>
        <v/>
      </c>
      <c r="AK23" s="41" t="inlineStr">
        <is>
          <t>Bắn loạt; đạn nổ trên không (Mảnh) mạnh với máy bay và drone, yếu với giáp; đạn xuyên (Động năng) mạnh với giáp 0–2.</t>
        </is>
      </c>
      <c r="AL23" s="41" t="inlineStr">
        <is>
          <t>Tự đổi: đạn xuyên (Động năng) với xe, đạn nổ trên không (Mảnh) với máy bay/drone.</t>
        </is>
      </c>
      <c r="AM23" s="41" t="inlineStr">
        <is>
          <t>M230: 625</t>
        </is>
      </c>
      <c r="AN23" s="41" t="inlineStr">
        <is>
          <t>Như M230.</t>
        </is>
      </c>
      <c r="AO23" s="48" t="inlineStr">
        <is>
          <t>Trung</t>
        </is>
      </c>
    </row>
    <row r="24" ht="21.75" customHeight="1" s="32">
      <c r="A24" s="39" t="inlineStr">
        <is>
          <t>boss_hmg</t>
        </is>
      </c>
      <c r="B24" s="39" t="inlineStr">
        <is>
          <t>NSV 12.7 mm</t>
        </is>
      </c>
      <c r="C24" s="39" t="inlineStr">
        <is>
          <t>Súng máy 12,7 mm</t>
        </is>
      </c>
      <c r="D24" s="39" t="inlineStr">
        <is>
          <t>Atlas, Juggernaut</t>
        </is>
      </c>
      <c r="E24" s="39" t="inlineStr">
        <is>
          <t>Động năng</t>
        </is>
      </c>
      <c r="F24" s="39" t="inlineStr">
        <is>
          <t>BulletBig</t>
        </is>
      </c>
      <c r="G24" s="42" t="n">
        <v>12.7</v>
      </c>
      <c r="H24" s="42" t="n">
        <v>1</v>
      </c>
      <c r="I24" s="42" t="n">
        <v>1</v>
      </c>
      <c r="J24" s="42" t="n">
        <v>9.5</v>
      </c>
      <c r="K24" s="42" t="n">
        <v>9.5</v>
      </c>
      <c r="L24" s="39" t="inlineStr">
        <is>
          <t>băng</t>
        </is>
      </c>
      <c r="M24" s="39" t="inlineStr">
        <is>
          <t>băng</t>
        </is>
      </c>
      <c r="N24" s="42" t="n">
        <v>12</v>
      </c>
      <c r="O24" s="42" t="n">
        <v>12</v>
      </c>
      <c r="P24" s="42" t="n">
        <v>10</v>
      </c>
      <c r="Q24" s="42" t="n">
        <v>100</v>
      </c>
      <c r="R24" s="42" t="n">
        <v>5.78</v>
      </c>
      <c r="S24" s="42" t="n">
        <v>5</v>
      </c>
      <c r="T24" s="42" t="n">
        <v>30</v>
      </c>
      <c r="U24" s="42" t="n">
        <v>30</v>
      </c>
      <c r="V24" s="42" t="n">
        <v>230</v>
      </c>
      <c r="W24" s="42" t="n">
        <v>230</v>
      </c>
      <c r="X24" s="50">
        <f>IFERROR(U24/W24,"")</f>
        <v/>
      </c>
      <c r="Y24" s="50" t="n"/>
      <c r="Z24" s="50" t="n"/>
      <c r="AA24" s="50">
        <f>IFERROR(IF(L24="từng phát",J24*N24,J24*P24/(P24/N24+R24)),"")</f>
        <v/>
      </c>
      <c r="AB24" s="50">
        <f>IFERROR(IF(M24="từng phát",K24*O24,K24*Q24/(Q24/O24+S24)),"")</f>
        <v/>
      </c>
      <c r="AC24" s="50">
        <f>IFERROR(AB24*VLOOKUP(E24,'Hệ số'!$A$2:$D$8,2,0)*IF((I24-0)&gt;=2,1.2,IF((I24-0)=1,1,IF((I24-0)=0,0.85,IF((I24-0)=-1,0.5,IF((I24-0)=-2,0.25,0.1))))),"")</f>
        <v/>
      </c>
      <c r="AD24" s="50">
        <f>IFERROR(AB24*VLOOKUP(E24,'Hệ số'!$A$2:$D$8,2,0)*IF((I24-1)&gt;=2,1.2,IF((I24-1)=1,1,IF((I24-1)=0,0.85,IF((I24-1)=-1,0.5,IF((I24-1)=-2,0.25,0.1))))),"")</f>
        <v/>
      </c>
      <c r="AE24" s="50">
        <f>IFERROR(AB24*VLOOKUP(E24,'Hệ số'!$A$2:$D$8,2,0)*IF((I24-2)&gt;=2,1.2,IF((I24-2)=1,1,IF((I24-2)=0,0.85,IF((I24-2)=-1,0.5,IF((I24-2)=-2,0.25,0.1))))),"")</f>
        <v/>
      </c>
      <c r="AF24" s="50">
        <f>IFERROR(AB24*VLOOKUP(E24,'Hệ số'!$A$2:$D$8,2,0)*IF((I24-3)&gt;=2,1.2,IF((I24-3)=1,1,IF((I24-3)=0,0.85,IF((I24-3)=-1,0.5,IF((I24-3)=-2,0.25,0.1))))),"")</f>
        <v/>
      </c>
      <c r="AG24" s="50">
        <f>IFERROR(AB24*VLOOKUP(E24,'Hệ số'!$A$2:$D$8,2,0)*IF((I24-4)&gt;=2,1.2,IF((I24-4)=1,1,IF((I24-4)=0,0.85,IF((I24-4)=-1,0.5,IF((I24-4)=-2,0.25,0.1))))),"")</f>
        <v/>
      </c>
      <c r="AH24" s="50">
        <f>IFERROR(AB24*VLOOKUP(E24,'Hệ số'!$A$2:$D$8,2,0)*IF((I24-5)&gt;=2,1.2,IF((I24-5)=1,1,IF((I24-5)=0,0.85,IF((I24-5)=-1,0.5,IF((I24-5)=-2,0.25,0.1))))),"")</f>
        <v/>
      </c>
      <c r="AI24" s="50">
        <f>IFERROR(AB24*VLOOKUP(E24,'Hệ số'!$A$2:$D$8,3,0),"")</f>
        <v/>
      </c>
      <c r="AJ24" s="50">
        <f>IFERROR(AB24*VLOOKUP(E24,'Hệ số'!$A$2:$D$8,4,0)*IF((I24-2)&gt;=2,1.2,IF((I24-2)=1,1,IF((I24-2)=0,0.85,IF((I24-2)=-1,0.5,IF((I24-2)=-2,0.25,0.1))))),"")</f>
        <v/>
      </c>
      <c r="AK24" s="39" t="inlineStr">
        <is>
          <t>Bắn cả khi chạy; mạnh với xe không giáp, drone, trực thăng; nảy khỏi giáp từ cấp 2.</t>
        </is>
      </c>
      <c r="AL24" s="39" t="inlineStr">
        <is>
          <t>Đạn xuyên API (xuyên 2) cho bản tinh nhuệ.</t>
        </is>
      </c>
      <c r="AM24" s="39" t="inlineStr">
        <is>
          <t>NSV: 700–800</t>
        </is>
      </c>
      <c r="AN24" s="39" t="inlineStr">
        <is>
          <t>Như NSV.</t>
        </is>
      </c>
      <c r="AO24" s="48" t="inlineStr">
        <is>
          <t>Trung</t>
        </is>
      </c>
    </row>
    <row r="25" ht="32.25" customHeight="1" s="32">
      <c r="A25" s="41" t="inlineStr">
        <is>
          <t>boss_howitzer</t>
        </is>
      </c>
      <c r="B25" s="41" t="inlineStr">
        <is>
          <t>2A44 203 mm</t>
        </is>
      </c>
      <c r="C25" s="41" t="inlineStr">
        <is>
          <t>Đạn pháo nổ mạnh</t>
        </is>
      </c>
      <c r="D25" s="41" t="inlineStr">
        <is>
          <t>Jötunn</t>
        </is>
      </c>
      <c r="E25" s="41" t="inlineStr">
        <is>
          <t>Nổ mạnh</t>
        </is>
      </c>
      <c r="F25" s="41" t="inlineStr">
        <is>
          <t>HeShell</t>
        </is>
      </c>
      <c r="G25" s="43" t="n">
        <v>203</v>
      </c>
      <c r="H25" s="43" t="n">
        <v>4</v>
      </c>
      <c r="I25" s="43" t="n">
        <v>4</v>
      </c>
      <c r="J25" s="43" t="n">
        <v>420</v>
      </c>
      <c r="K25" s="43" t="n">
        <v>420</v>
      </c>
      <c r="L25" s="41" t="inlineStr">
        <is>
          <t>từng phát</t>
        </is>
      </c>
      <c r="M25" s="41" t="inlineStr">
        <is>
          <t>từng phát</t>
        </is>
      </c>
      <c r="N25" s="43" t="n">
        <v>0.105932203389831</v>
      </c>
      <c r="O25" s="43" t="n">
        <v>0.105932203389831</v>
      </c>
      <c r="P25" s="43" t="n">
        <v>1</v>
      </c>
      <c r="Q25" s="43" t="n">
        <v>1</v>
      </c>
      <c r="R25" s="43" t="n">
        <v>9.44</v>
      </c>
      <c r="S25" s="43" t="n">
        <v>9.44</v>
      </c>
      <c r="T25" s="43" t="n">
        <v>60</v>
      </c>
      <c r="U25" s="43" t="n">
        <v>60</v>
      </c>
      <c r="V25" s="43" t="n">
        <v>60</v>
      </c>
      <c r="W25" s="43" t="n">
        <v>60</v>
      </c>
      <c r="X25" s="51">
        <f>IFERROR(U25/W25,"")</f>
        <v/>
      </c>
      <c r="Y25" s="53" t="n">
        <v>9</v>
      </c>
      <c r="Z25" s="53" t="n">
        <v>8</v>
      </c>
      <c r="AA25" s="51">
        <f>IFERROR(IF(L25="từng phát",J25*N25,J25*P25/(P25/N25+R25)),"")</f>
        <v/>
      </c>
      <c r="AB25" s="51">
        <f>IFERROR(IF(M25="từng phát",K25*O25,K25*Q25/(Q25/O25+S25)),"")</f>
        <v/>
      </c>
      <c r="AC25" s="51">
        <f>IFERROR(AB25*VLOOKUP(E25,'Hệ số'!$A$2:$D$8,2,0)*IF((I25-0)&gt;=2,1.2,IF((I25-0)=1,1,IF((I25-0)=0,0.85,IF((I25-0)=-1,0.5,IF((I25-0)=-2,0.25,0.1))))),"")</f>
        <v/>
      </c>
      <c r="AD25" s="51">
        <f>IFERROR(AB25*VLOOKUP(E25,'Hệ số'!$A$2:$D$8,2,0)*IF((I25-1)&gt;=2,1.2,IF((I25-1)=1,1,IF((I25-1)=0,0.85,IF((I25-1)=-1,0.5,IF((I25-1)=-2,0.25,0.1))))),"")</f>
        <v/>
      </c>
      <c r="AE25" s="51">
        <f>IFERROR(AB25*VLOOKUP(E25,'Hệ số'!$A$2:$D$8,2,0)*IF((I25-2)&gt;=2,1.2,IF((I25-2)=1,1,IF((I25-2)=0,0.85,IF((I25-2)=-1,0.5,IF((I25-2)=-2,0.25,0.1))))),"")</f>
        <v/>
      </c>
      <c r="AF25" s="51">
        <f>IFERROR(AB25*VLOOKUP(E25,'Hệ số'!$A$2:$D$8,2,0)*IF((I25-3)&gt;=2,1.2,IF((I25-3)=1,1,IF((I25-3)=0,0.85,IF((I25-3)=-1,0.5,IF((I25-3)=-2,0.25,0.1))))),"")</f>
        <v/>
      </c>
      <c r="AG25" s="51">
        <f>IFERROR(AB25*VLOOKUP(E25,'Hệ số'!$A$2:$D$8,2,0)*IF((I25-4)&gt;=2,1.2,IF((I25-4)=1,1,IF((I25-4)=0,0.85,IF((I25-4)=-1,0.5,IF((I25-4)=-2,0.25,0.1))))),"")</f>
        <v/>
      </c>
      <c r="AH25" s="51">
        <f>IFERROR(AB25*VLOOKUP(E25,'Hệ số'!$A$2:$D$8,2,0)*IF((I25-5)&gt;=2,1.2,IF((I25-5)=1,1,IF((I25-5)=0,0.85,IF((I25-5)=-1,0.5,IF((I25-5)=-2,0.25,0.1))))),"")</f>
        <v/>
      </c>
      <c r="AI25" s="51">
        <f>IFERROR(AB25*VLOOKUP(E25,'Hệ số'!$A$2:$D$8,3,0),"")</f>
        <v/>
      </c>
      <c r="AJ25" s="51">
        <f>IFERROR(AB25*VLOOKUP(E25,'Hệ số'!$A$2:$D$8,4,0)*IF((I25-2)&gt;=2,1.2,IF((I25-2)=1,1,IF((I25-2)=0,0.85,IF((I25-2)=-1,0.5,IF((I25-2)=-2,0.25,0.1))))),"")</f>
        <v/>
      </c>
      <c r="AK25" s="41" t="inlineStr">
        <is>
          <t>Bắn cầu vồng hoặc bắn thẳng tùy pháo; nổ lan; C-RAM chặn được một phần; mạnh với công trình (×1,5).</t>
        </is>
      </c>
      <c r="AL25" s="41" t="inlineStr">
        <is>
          <t>Thêm đạn dẫn đường (Excalibur/Krasnopol: 1 phát, không tản mát) cho nhánh hạng 7 hoặc thẻ hỗ trợ.</t>
        </is>
      </c>
      <c r="AM25" s="41" t="inlineStr">
        <is>
          <t>2A44 203 mm (2S7): 1,5–2,5 phát/phút</t>
        </is>
      </c>
      <c r="AN25" s="41" t="inlineStr">
        <is>
          <t>Thống nhất 203 mm.</t>
        </is>
      </c>
      <c r="AO25" s="48" t="inlineStr">
        <is>
          <t>Trung</t>
        </is>
      </c>
    </row>
    <row r="26" ht="21.75" customHeight="1" s="32">
      <c r="A26" s="39" t="inlineStr">
        <is>
          <t>boss_minigun</t>
        </is>
      </c>
      <c r="B26" s="39" t="inlineStr">
        <is>
          <t>GShG 7.62 mm</t>
        </is>
      </c>
      <c r="C26" s="39" t="inlineStr">
        <is>
          <t>Súng máy 7,62 mm</t>
        </is>
      </c>
      <c r="D26" s="39" t="inlineStr">
        <is>
          <t>Harpy</t>
        </is>
      </c>
      <c r="E26" s="39" t="inlineStr">
        <is>
          <t>Động năng</t>
        </is>
      </c>
      <c r="F26" s="39" t="inlineStr">
        <is>
          <t>BulletSmall</t>
        </is>
      </c>
      <c r="G26" s="42" t="n">
        <v>7.6</v>
      </c>
      <c r="H26" s="42" t="n">
        <v>0</v>
      </c>
      <c r="I26" s="42" t="n">
        <v>0</v>
      </c>
      <c r="J26" s="42" t="n">
        <v>5.5</v>
      </c>
      <c r="K26" s="42" t="n">
        <v>5.5</v>
      </c>
      <c r="L26" s="39" t="inlineStr">
        <is>
          <t>băng</t>
        </is>
      </c>
      <c r="M26" s="39" t="inlineStr">
        <is>
          <t>băng</t>
        </is>
      </c>
      <c r="N26" s="42" t="n">
        <v>58</v>
      </c>
      <c r="O26" s="42" t="n">
        <v>58</v>
      </c>
      <c r="P26" s="42" t="n">
        <v>40</v>
      </c>
      <c r="Q26" s="42" t="n">
        <v>40</v>
      </c>
      <c r="R26" s="42" t="n">
        <v>6.09</v>
      </c>
      <c r="S26" s="42" t="n">
        <v>6.09</v>
      </c>
      <c r="T26" s="42" t="n">
        <v>24</v>
      </c>
      <c r="U26" s="42" t="n">
        <v>24</v>
      </c>
      <c r="V26" s="42" t="n">
        <v>240</v>
      </c>
      <c r="W26" s="42" t="n">
        <v>240</v>
      </c>
      <c r="X26" s="50">
        <f>IFERROR(U26/W26,"")</f>
        <v/>
      </c>
      <c r="Y26" s="50" t="n"/>
      <c r="Z26" s="50" t="n"/>
      <c r="AA26" s="50">
        <f>IFERROR(IF(L26="từng phát",J26*N26,J26*P26/(P26/N26+R26)),"")</f>
        <v/>
      </c>
      <c r="AB26" s="50">
        <f>IFERROR(IF(M26="từng phát",K26*O26,K26*Q26/(Q26/O26+S26)),"")</f>
        <v/>
      </c>
      <c r="AC26" s="50">
        <f>IFERROR(AB26*VLOOKUP(E26,'Hệ số'!$A$2:$D$8,2,0)*IF((I26-0)&gt;=2,1.2,IF((I26-0)=1,1,IF((I26-0)=0,0.85,IF((I26-0)=-1,0.5,IF((I26-0)=-2,0.25,0.1))))),"")</f>
        <v/>
      </c>
      <c r="AD26" s="50">
        <f>IFERROR(AB26*VLOOKUP(E26,'Hệ số'!$A$2:$D$8,2,0)*IF((I26-1)&gt;=2,1.2,IF((I26-1)=1,1,IF((I26-1)=0,0.85,IF((I26-1)=-1,0.5,IF((I26-1)=-2,0.25,0.1))))),"")</f>
        <v/>
      </c>
      <c r="AE26" s="50">
        <f>IFERROR(AB26*VLOOKUP(E26,'Hệ số'!$A$2:$D$8,2,0)*IF((I26-2)&gt;=2,1.2,IF((I26-2)=1,1,IF((I26-2)=0,0.85,IF((I26-2)=-1,0.5,IF((I26-2)=-2,0.25,0.1))))),"")</f>
        <v/>
      </c>
      <c r="AF26" s="50">
        <f>IFERROR(AB26*VLOOKUP(E26,'Hệ số'!$A$2:$D$8,2,0)*IF((I26-3)&gt;=2,1.2,IF((I26-3)=1,1,IF((I26-3)=0,0.85,IF((I26-3)=-1,0.5,IF((I26-3)=-2,0.25,0.1))))),"")</f>
        <v/>
      </c>
      <c r="AG26" s="50">
        <f>IFERROR(AB26*VLOOKUP(E26,'Hệ số'!$A$2:$D$8,2,0)*IF((I26-4)&gt;=2,1.2,IF((I26-4)=1,1,IF((I26-4)=0,0.85,IF((I26-4)=-1,0.5,IF((I26-4)=-2,0.25,0.1))))),"")</f>
        <v/>
      </c>
      <c r="AH26" s="50">
        <f>IFERROR(AB26*VLOOKUP(E26,'Hệ số'!$A$2:$D$8,2,0)*IF((I26-5)&gt;=2,1.2,IF((I26-5)=1,1,IF((I26-5)=0,0.85,IF((I26-5)=-1,0.5,IF((I26-5)=-2,0.25,0.1))))),"")</f>
        <v/>
      </c>
      <c r="AI26" s="50">
        <f>IFERROR(AB26*VLOOKUP(E26,'Hệ số'!$A$2:$D$8,3,0),"")</f>
        <v/>
      </c>
      <c r="AJ26" s="50">
        <f>IFERROR(AB26*VLOOKUP(E26,'Hệ số'!$A$2:$D$8,4,0)*IF((I26-2)&gt;=2,1.2,IF((I26-2)=1,1,IF((I26-2)=0,0.85,IF((I26-2)=-1,0.5,IF((I26-2)=-2,0.25,0.1))))),"")</f>
        <v/>
      </c>
      <c r="AK26" s="39" t="inlineStr">
        <is>
          <t>Bắn cả khi chạy; bắn cả mục tiêu bay thấp; đạn nảy khỏi giáp từ cấp 1.</t>
        </is>
      </c>
      <c r="AL26" s="39" t="n"/>
      <c r="AM26" s="39" t="inlineStr">
        <is>
          <t>GShG: ~6.000</t>
        </is>
      </c>
      <c r="AN26" s="39" t="inlineStr">
        <is>
          <t>Giữ.</t>
        </is>
      </c>
      <c r="AO26" s="39" t="n"/>
    </row>
    <row r="27" ht="21.75" customHeight="1" s="32">
      <c r="A27" s="41" t="inlineStr">
        <is>
          <t>boss_missiles</t>
        </is>
      </c>
      <c r="B27" s="41" t="inlineStr">
        <is>
          <t>9M133 Kornet</t>
        </is>
      </c>
      <c r="C27" s="41" t="inlineStr">
        <is>
          <t>Tên lửa chống tăng / không đối đất</t>
        </is>
      </c>
      <c r="D27" s="41" t="inlineStr">
        <is>
          <t>Behemoth, Behemoth của</t>
        </is>
      </c>
      <c r="E27" s="41" t="inlineStr">
        <is>
          <t>Nổ lõm</t>
        </is>
      </c>
      <c r="F27" s="41" t="inlineStr">
        <is>
          <t>Atgm</t>
        </is>
      </c>
      <c r="G27" s="43" t="n">
        <v>29</v>
      </c>
      <c r="H27" s="43" t="n">
        <v>4</v>
      </c>
      <c r="I27" s="43" t="n">
        <v>4</v>
      </c>
      <c r="J27" s="43" t="n">
        <v>230</v>
      </c>
      <c r="K27" s="43" t="n">
        <v>230</v>
      </c>
      <c r="L27" s="41" t="inlineStr">
        <is>
          <t>từng phát</t>
        </is>
      </c>
      <c r="M27" s="41" t="inlineStr">
        <is>
          <t>từng phát</t>
        </is>
      </c>
      <c r="N27" s="43" t="n">
        <v>0.156494522691706</v>
      </c>
      <c r="O27" s="43" t="n">
        <v>0.156494522691706</v>
      </c>
      <c r="P27" s="43" t="n">
        <v>1</v>
      </c>
      <c r="Q27" s="43" t="n">
        <v>1</v>
      </c>
      <c r="R27" s="43" t="n">
        <v>6.39</v>
      </c>
      <c r="S27" s="43" t="n">
        <v>6.39</v>
      </c>
      <c r="T27" s="43" t="n">
        <v>45</v>
      </c>
      <c r="U27" s="43" t="n">
        <v>45</v>
      </c>
      <c r="V27" s="43" t="n">
        <v>19</v>
      </c>
      <c r="W27" s="43" t="n">
        <v>22</v>
      </c>
      <c r="X27" s="51">
        <f>IFERROR(U27/W27,"")</f>
        <v/>
      </c>
      <c r="Y27" s="51" t="n"/>
      <c r="Z27" s="51" t="n"/>
      <c r="AA27" s="51">
        <f>IFERROR(IF(L27="từng phát",J27*N27,J27*P27/(P27/N27+R27)),"")</f>
        <v/>
      </c>
      <c r="AB27" s="51">
        <f>IFERROR(IF(M27="từng phát",K27*O27,K27*Q27/(Q27/O27+S27)),"")</f>
        <v/>
      </c>
      <c r="AC27" s="51">
        <f>IFERROR(AB27*VLOOKUP(E27,'Hệ số'!$A$2:$D$8,2,0)*IF((I27-0)&gt;=2,1.2,IF((I27-0)=1,1,IF((I27-0)=0,0.85,IF((I27-0)=-1,0.5,IF((I27-0)=-2,0.25,0.1))))),"")</f>
        <v/>
      </c>
      <c r="AD27" s="51">
        <f>IFERROR(AB27*VLOOKUP(E27,'Hệ số'!$A$2:$D$8,2,0)*IF((I27-1)&gt;=2,1.2,IF((I27-1)=1,1,IF((I27-1)=0,0.85,IF((I27-1)=-1,0.5,IF((I27-1)=-2,0.25,0.1))))),"")</f>
        <v/>
      </c>
      <c r="AE27" s="51">
        <f>IFERROR(AB27*VLOOKUP(E27,'Hệ số'!$A$2:$D$8,2,0)*IF((I27-2)&gt;=2,1.2,IF((I27-2)=1,1,IF((I27-2)=0,0.85,IF((I27-2)=-1,0.5,IF((I27-2)=-2,0.25,0.1))))),"")</f>
        <v/>
      </c>
      <c r="AF27" s="51">
        <f>IFERROR(AB27*VLOOKUP(E27,'Hệ số'!$A$2:$D$8,2,0)*IF((I27-3)&gt;=2,1.2,IF((I27-3)=1,1,IF((I27-3)=0,0.85,IF((I27-3)=-1,0.5,IF((I27-3)=-2,0.25,0.1))))),"")</f>
        <v/>
      </c>
      <c r="AG27" s="51">
        <f>IFERROR(AB27*VLOOKUP(E27,'Hệ số'!$A$2:$D$8,2,0)*IF((I27-4)&gt;=2,1.2,IF((I27-4)=1,1,IF((I27-4)=0,0.85,IF((I27-4)=-1,0.5,IF((I27-4)=-2,0.25,0.1))))),"")</f>
        <v/>
      </c>
      <c r="AH27" s="51">
        <f>IFERROR(AB27*VLOOKUP(E27,'Hệ số'!$A$2:$D$8,2,0)*IF((I27-5)&gt;=2,1.2,IF((I27-5)=1,1,IF((I27-5)=0,0.85,IF((I27-5)=-1,0.5,IF((I27-5)=-2,0.25,0.1))))),"")</f>
        <v/>
      </c>
      <c r="AI27" s="51">
        <f>IFERROR(AB27*VLOOKUP(E27,'Hệ số'!$A$2:$D$8,3,0),"")</f>
        <v/>
      </c>
      <c r="AJ27" s="51">
        <f>IFERROR(AB27*VLOOKUP(E27,'Hệ số'!$A$2:$D$8,4,0)*IF((I27-2)&gt;=2,1.2,IF((I27-2)=1,1,IF((I27-2)=0,0.85,IF((I27-2)=-1,0.5,IF((I27-2)=-2,0.25,0.1))))),"")</f>
        <v/>
      </c>
      <c r="AK27" s="41" t="inlineStr">
        <is>
          <t>Dẫn đường; bị APS và giáp phản ứng nổ giảm (đầu nổ lõm); bay chậm nên né và khói có tác dụng.</t>
        </is>
      </c>
      <c r="AL27" s="41" t="n"/>
      <c r="AM27" s="41" t="inlineStr">
        <is>
          <t>Kornet</t>
        </is>
      </c>
      <c r="AN27" s="41" t="inlineStr">
        <is>
          <t>Tốc độ bay 19→22 m/s: Thống nhất tốc độ Kornet ở mọi đơn vị (22 m/s).</t>
        </is>
      </c>
      <c r="AO27" s="48" t="inlineStr">
        <is>
          <t>Trung</t>
        </is>
      </c>
    </row>
    <row r="28" ht="21.75" customHeight="1" s="32">
      <c r="A28" s="39" t="inlineStr">
        <is>
          <t>boss_mortar</t>
        </is>
      </c>
      <c r="B28" s="39" t="inlineStr">
        <is>
          <t>2B8 240 mm</t>
        </is>
      </c>
      <c r="C28" s="39" t="inlineStr">
        <is>
          <t>Đạn cối</t>
        </is>
      </c>
      <c r="D28" s="39" t="inlineStr">
        <is>
          <t>Bastion, Bastion Mk.0</t>
        </is>
      </c>
      <c r="E28" s="39" t="inlineStr">
        <is>
          <t>Nổ mạnh</t>
        </is>
      </c>
      <c r="F28" s="39" t="inlineStr">
        <is>
          <t>MortarBomb</t>
        </is>
      </c>
      <c r="G28" s="42" t="n">
        <v>240</v>
      </c>
      <c r="H28" s="42" t="n">
        <v>4</v>
      </c>
      <c r="I28" s="42" t="n">
        <v>4</v>
      </c>
      <c r="J28" s="42" t="n">
        <v>450</v>
      </c>
      <c r="K28" s="42" t="n">
        <v>450</v>
      </c>
      <c r="L28" s="39" t="inlineStr">
        <is>
          <t>từng phát</t>
        </is>
      </c>
      <c r="M28" s="39" t="inlineStr">
        <is>
          <t>từng phát</t>
        </is>
      </c>
      <c r="N28" s="42" t="n">
        <v>0.1</v>
      </c>
      <c r="O28" s="42" t="n">
        <v>0.1</v>
      </c>
      <c r="P28" s="42" t="n">
        <v>1</v>
      </c>
      <c r="Q28" s="42" t="n">
        <v>1</v>
      </c>
      <c r="R28" s="42" t="n">
        <v>10</v>
      </c>
      <c r="S28" s="42" t="n">
        <v>10</v>
      </c>
      <c r="T28" s="42" t="n">
        <v>80</v>
      </c>
      <c r="U28" s="42" t="n">
        <v>80</v>
      </c>
      <c r="V28" s="42" t="n">
        <v>36</v>
      </c>
      <c r="W28" s="42" t="n">
        <v>36</v>
      </c>
      <c r="X28" s="50">
        <f>IFERROR(U28/W28,"")</f>
        <v/>
      </c>
      <c r="Y28" s="52" t="n">
        <v>9</v>
      </c>
      <c r="Z28" s="52" t="n">
        <v>9</v>
      </c>
      <c r="AA28" s="50">
        <f>IFERROR(IF(L28="từng phát",J28*N28,J28*P28/(P28/N28+R28)),"")</f>
        <v/>
      </c>
      <c r="AB28" s="50">
        <f>IFERROR(IF(M28="từng phát",K28*O28,K28*Q28/(Q28/O28+S28)),"")</f>
        <v/>
      </c>
      <c r="AC28" s="50">
        <f>IFERROR(AB28*VLOOKUP(E28,'Hệ số'!$A$2:$D$8,2,0)*IF((I28-0)&gt;=2,1.2,IF((I28-0)=1,1,IF((I28-0)=0,0.85,IF((I28-0)=-1,0.5,IF((I28-0)=-2,0.25,0.1))))),"")</f>
        <v/>
      </c>
      <c r="AD28" s="50">
        <f>IFERROR(AB28*VLOOKUP(E28,'Hệ số'!$A$2:$D$8,2,0)*IF((I28-1)&gt;=2,1.2,IF((I28-1)=1,1,IF((I28-1)=0,0.85,IF((I28-1)=-1,0.5,IF((I28-1)=-2,0.25,0.1))))),"")</f>
        <v/>
      </c>
      <c r="AE28" s="50">
        <f>IFERROR(AB28*VLOOKUP(E28,'Hệ số'!$A$2:$D$8,2,0)*IF((I28-2)&gt;=2,1.2,IF((I28-2)=1,1,IF((I28-2)=0,0.85,IF((I28-2)=-1,0.5,IF((I28-2)=-2,0.25,0.1))))),"")</f>
        <v/>
      </c>
      <c r="AF28" s="50">
        <f>IFERROR(AB28*VLOOKUP(E28,'Hệ số'!$A$2:$D$8,2,0)*IF((I28-3)&gt;=2,1.2,IF((I28-3)=1,1,IF((I28-3)=0,0.85,IF((I28-3)=-1,0.5,IF((I28-3)=-2,0.25,0.1))))),"")</f>
        <v/>
      </c>
      <c r="AG28" s="50">
        <f>IFERROR(AB28*VLOOKUP(E28,'Hệ số'!$A$2:$D$8,2,0)*IF((I28-4)&gt;=2,1.2,IF((I28-4)=1,1,IF((I28-4)=0,0.85,IF((I28-4)=-1,0.5,IF((I28-4)=-2,0.25,0.1))))),"")</f>
        <v/>
      </c>
      <c r="AH28" s="50">
        <f>IFERROR(AB28*VLOOKUP(E28,'Hệ số'!$A$2:$D$8,2,0)*IF((I28-5)&gt;=2,1.2,IF((I28-5)=1,1,IF((I28-5)=0,0.85,IF((I28-5)=-1,0.5,IF((I28-5)=-2,0.25,0.1))))),"")</f>
        <v/>
      </c>
      <c r="AI28" s="50">
        <f>IFERROR(AB28*VLOOKUP(E28,'Hệ số'!$A$2:$D$8,3,0),"")</f>
        <v/>
      </c>
      <c r="AJ28" s="50">
        <f>IFERROR(AB28*VLOOKUP(E28,'Hệ số'!$A$2:$D$8,4,0)*IF((I28-2)&gt;=2,1.2,IF((I28-2)=1,1,IF((I28-2)=0,0.85,IF((I28-2)=-1,0.5,IF((I28-2)=-2,0.25,0.1))))),"")</f>
        <v/>
      </c>
      <c r="AK28" s="39" t="inlineStr">
        <is>
          <t>Bắn cầu vồng dốc, qua được tường; có tầm tối thiểu; C-RAM và Vòm Sắt bắn hạ được.</t>
        </is>
      </c>
      <c r="AL28" s="39" t="n"/>
      <c r="AM28" s="39" t="inlineStr">
        <is>
          <t>2B8 240 mm: ~1 phát/phút</t>
        </is>
      </c>
      <c r="AN28" s="39" t="inlineStr">
        <is>
          <t>Giữ.</t>
        </is>
      </c>
      <c r="AO28" s="39" t="n"/>
    </row>
    <row r="29" ht="21.75" customHeight="1" s="32">
      <c r="A29" s="41" t="inlineStr">
        <is>
          <t>boss_railgun</t>
        </is>
      </c>
      <c r="B29" s="41" t="inlineStr">
        <is>
          <t>railgun (64 MJ)</t>
        </is>
      </c>
      <c r="C29" s="41" t="inlineStr">
        <is>
          <t>Điện từ</t>
        </is>
      </c>
      <c r="D29" s="41" t="inlineStr">
        <is>
          <t>Tempest</t>
        </is>
      </c>
      <c r="E29" s="41" t="inlineStr">
        <is>
          <t>Động năng</t>
        </is>
      </c>
      <c r="F29" s="41" t="inlineStr">
        <is>
          <t>Rail</t>
        </is>
      </c>
      <c r="G29" s="43" t="n">
        <v>64</v>
      </c>
      <c r="H29" s="43" t="n">
        <v>4</v>
      </c>
      <c r="I29" s="43" t="n">
        <v>4</v>
      </c>
      <c r="J29" s="43" t="n">
        <v>720</v>
      </c>
      <c r="K29" s="43" t="n">
        <v>720</v>
      </c>
      <c r="L29" s="41" t="inlineStr">
        <is>
          <t>từng phát</t>
        </is>
      </c>
      <c r="M29" s="41" t="inlineStr">
        <is>
          <t>từng phát</t>
        </is>
      </c>
      <c r="N29" s="43" t="n">
        <v>0.125</v>
      </c>
      <c r="O29" s="43" t="n">
        <v>0.125</v>
      </c>
      <c r="P29" s="43" t="n">
        <v>1</v>
      </c>
      <c r="Q29" s="43" t="n">
        <v>1</v>
      </c>
      <c r="R29" s="43" t="n">
        <v>8</v>
      </c>
      <c r="S29" s="43" t="n">
        <v>8</v>
      </c>
      <c r="T29" s="43" t="n">
        <v>80</v>
      </c>
      <c r="U29" s="43" t="n">
        <v>80</v>
      </c>
      <c r="V29" s="43" t="n">
        <v>700</v>
      </c>
      <c r="W29" s="43" t="n">
        <v>700</v>
      </c>
      <c r="X29" s="51">
        <f>IFERROR(U29/W29,"")</f>
        <v/>
      </c>
      <c r="Y29" s="51" t="n"/>
      <c r="Z29" s="51" t="n"/>
      <c r="AA29" s="51">
        <f>IFERROR(IF(L29="từng phát",J29*N29,J29*P29/(P29/N29+R29)),"")</f>
        <v/>
      </c>
      <c r="AB29" s="51">
        <f>IFERROR(IF(M29="từng phát",K29*O29,K29*Q29/(Q29/O29+S29)),"")</f>
        <v/>
      </c>
      <c r="AC29" s="51">
        <f>IFERROR(AB29*VLOOKUP(E29,'Hệ số'!$A$2:$D$8,2,0)*IF((I29-0)&gt;=2,1.2,IF((I29-0)=1,1,IF((I29-0)=0,0.85,IF((I29-0)=-1,0.5,IF((I29-0)=-2,0.25,0.1))))),"")</f>
        <v/>
      </c>
      <c r="AD29" s="51">
        <f>IFERROR(AB29*VLOOKUP(E29,'Hệ số'!$A$2:$D$8,2,0)*IF((I29-1)&gt;=2,1.2,IF((I29-1)=1,1,IF((I29-1)=0,0.85,IF((I29-1)=-1,0.5,IF((I29-1)=-2,0.25,0.1))))),"")</f>
        <v/>
      </c>
      <c r="AE29" s="51">
        <f>IFERROR(AB29*VLOOKUP(E29,'Hệ số'!$A$2:$D$8,2,0)*IF((I29-2)&gt;=2,1.2,IF((I29-2)=1,1,IF((I29-2)=0,0.85,IF((I29-2)=-1,0.5,IF((I29-2)=-2,0.25,0.1))))),"")</f>
        <v/>
      </c>
      <c r="AF29" s="51">
        <f>IFERROR(AB29*VLOOKUP(E29,'Hệ số'!$A$2:$D$8,2,0)*IF((I29-3)&gt;=2,1.2,IF((I29-3)=1,1,IF((I29-3)=0,0.85,IF((I29-3)=-1,0.5,IF((I29-3)=-2,0.25,0.1))))),"")</f>
        <v/>
      </c>
      <c r="AG29" s="51">
        <f>IFERROR(AB29*VLOOKUP(E29,'Hệ số'!$A$2:$D$8,2,0)*IF((I29-4)&gt;=2,1.2,IF((I29-4)=1,1,IF((I29-4)=0,0.85,IF((I29-4)=-1,0.5,IF((I29-4)=-2,0.25,0.1))))),"")</f>
        <v/>
      </c>
      <c r="AH29" s="51">
        <f>IFERROR(AB29*VLOOKUP(E29,'Hệ số'!$A$2:$D$8,2,0)*IF((I29-5)&gt;=2,1.2,IF((I29-5)=1,1,IF((I29-5)=0,0.85,IF((I29-5)=-1,0.5,IF((I29-5)=-2,0.25,0.1))))),"")</f>
        <v/>
      </c>
      <c r="AI29" s="51">
        <f>IFERROR(AB29*VLOOKUP(E29,'Hệ số'!$A$2:$D$8,3,0),"")</f>
        <v/>
      </c>
      <c r="AJ29" s="51">
        <f>IFERROR(AB29*VLOOKUP(E29,'Hệ số'!$A$2:$D$8,4,0)*IF((I29-2)&gt;=2,1.2,IF((I29-2)=1,1,IF((I29-2)=0,0.85,IF((I29-2)=-1,0.5,IF((I29-2)=-2,0.25,0.1))))),"")</f>
        <v/>
      </c>
      <c r="AK29" s="41" t="inlineStr">
        <is>
          <t>Đạn xuyên thẳng qua nhiều mục tiêu; không bị APS; cần đồng đội soi mục tiêu ở tầm xa.</t>
        </is>
      </c>
      <c r="AL29" s="41" t="n"/>
      <c r="AM29" s="41" t="inlineStr">
        <is>
          <t>railgun 64 MJ (giả tưởng)</t>
        </is>
      </c>
      <c r="AN29" s="41" t="inlineStr">
        <is>
          <t>Giữ.</t>
        </is>
      </c>
      <c r="AO29" s="41" t="n"/>
    </row>
    <row r="30" ht="21.75" customHeight="1" s="32">
      <c r="A30" s="39" t="inlineStr">
        <is>
          <t>boss_rockets</t>
        </is>
      </c>
      <c r="B30" s="39" t="inlineStr">
        <is>
          <t>BM-21 Grad 122 mm</t>
        </is>
      </c>
      <c r="C30" s="39" t="inlineStr">
        <is>
          <t>Rốc-két</t>
        </is>
      </c>
      <c r="D30" s="39" t="inlineStr">
        <is>
          <t>Behemoth, Behemoth Mk.0,</t>
        </is>
      </c>
      <c r="E30" s="39" t="inlineStr">
        <is>
          <t>Nổ mạnh</t>
        </is>
      </c>
      <c r="F30" s="39" t="inlineStr">
        <is>
          <t>RocketSmall</t>
        </is>
      </c>
      <c r="G30" s="42" t="n">
        <v>122</v>
      </c>
      <c r="H30" s="42" t="n">
        <v>2</v>
      </c>
      <c r="I30" s="42" t="n">
        <v>2</v>
      </c>
      <c r="J30" s="42" t="n">
        <v>57</v>
      </c>
      <c r="K30" s="42" t="n">
        <v>57</v>
      </c>
      <c r="L30" s="39" t="inlineStr">
        <is>
          <t>loạt</t>
        </is>
      </c>
      <c r="M30" s="39" t="inlineStr">
        <is>
          <t>loạt</t>
        </is>
      </c>
      <c r="N30" s="42" t="n">
        <v>2</v>
      </c>
      <c r="O30" s="42" t="n">
        <v>2</v>
      </c>
      <c r="P30" s="42" t="n">
        <v>13</v>
      </c>
      <c r="Q30" s="42" t="n">
        <v>13</v>
      </c>
      <c r="R30" s="42" t="n">
        <v>2.44</v>
      </c>
      <c r="S30" s="42" t="n">
        <v>2.44</v>
      </c>
      <c r="T30" s="42" t="n">
        <v>45</v>
      </c>
      <c r="U30" s="42" t="n">
        <v>45</v>
      </c>
      <c r="V30" s="42" t="n">
        <v>55</v>
      </c>
      <c r="W30" s="42" t="n">
        <v>45</v>
      </c>
      <c r="X30" s="50">
        <f>IFERROR(U30/W30,"")</f>
        <v/>
      </c>
      <c r="Y30" s="52" t="n">
        <v>4</v>
      </c>
      <c r="Z30" s="52" t="n">
        <v>4</v>
      </c>
      <c r="AA30" s="50">
        <f>IFERROR(IF(L30="từng phát",J30*N30,J30*P30/(P30/N30+R30)),"")</f>
        <v/>
      </c>
      <c r="AB30" s="50">
        <f>IFERROR(IF(M30="từng phát",K30*O30,K30*Q30/(Q30/O30+S30)),"")</f>
        <v/>
      </c>
      <c r="AC30" s="50">
        <f>IFERROR(AB30*VLOOKUP(E30,'Hệ số'!$A$2:$D$8,2,0)*IF((I30-0)&gt;=2,1.2,IF((I30-0)=1,1,IF((I30-0)=0,0.85,IF((I30-0)=-1,0.5,IF((I30-0)=-2,0.25,0.1))))),"")</f>
        <v/>
      </c>
      <c r="AD30" s="50">
        <f>IFERROR(AB30*VLOOKUP(E30,'Hệ số'!$A$2:$D$8,2,0)*IF((I30-1)&gt;=2,1.2,IF((I30-1)=1,1,IF((I30-1)=0,0.85,IF((I30-1)=-1,0.5,IF((I30-1)=-2,0.25,0.1))))),"")</f>
        <v/>
      </c>
      <c r="AE30" s="50">
        <f>IFERROR(AB30*VLOOKUP(E30,'Hệ số'!$A$2:$D$8,2,0)*IF((I30-2)&gt;=2,1.2,IF((I30-2)=1,1,IF((I30-2)=0,0.85,IF((I30-2)=-1,0.5,IF((I30-2)=-2,0.25,0.1))))),"")</f>
        <v/>
      </c>
      <c r="AF30" s="50">
        <f>IFERROR(AB30*VLOOKUP(E30,'Hệ số'!$A$2:$D$8,2,0)*IF((I30-3)&gt;=2,1.2,IF((I30-3)=1,1,IF((I30-3)=0,0.85,IF((I30-3)=-1,0.5,IF((I30-3)=-2,0.25,0.1))))),"")</f>
        <v/>
      </c>
      <c r="AG30" s="50">
        <f>IFERROR(AB30*VLOOKUP(E30,'Hệ số'!$A$2:$D$8,2,0)*IF((I30-4)&gt;=2,1.2,IF((I30-4)=1,1,IF((I30-4)=0,0.85,IF((I30-4)=-1,0.5,IF((I30-4)=-2,0.25,0.1))))),"")</f>
        <v/>
      </c>
      <c r="AH30" s="50">
        <f>IFERROR(AB30*VLOOKUP(E30,'Hệ số'!$A$2:$D$8,2,0)*IF((I30-5)&gt;=2,1.2,IF((I30-5)=1,1,IF((I30-5)=0,0.85,IF((I30-5)=-1,0.5,IF((I30-5)=-2,0.25,0.1))))),"")</f>
        <v/>
      </c>
      <c r="AI30" s="50">
        <f>IFERROR(AB30*VLOOKUP(E30,'Hệ số'!$A$2:$D$8,3,0),"")</f>
        <v/>
      </c>
      <c r="AJ30" s="50">
        <f>IFERROR(AB30*VLOOKUP(E30,'Hệ số'!$A$2:$D$8,4,0)*IF((I30-2)&gt;=2,1.2,IF((I30-2)=1,1,IF((I30-2)=0,0.85,IF((I30-2)=-1,0.5,IF((I30-2)=-2,0.25,0.1))))),"")</f>
        <v/>
      </c>
      <c r="AK30" s="39" t="inlineStr">
        <is>
          <t>Bắn loạt phủ vùng, tản mát; C-RAM, Vòm Sắt và La-de PK bắn hạ được từng quả.</t>
        </is>
      </c>
      <c r="AL30" s="39" t="n"/>
      <c r="AM30" s="39" t="inlineStr">
        <is>
          <t>BM-21</t>
        </is>
      </c>
      <c r="AN30" s="39" t="inlineStr">
        <is>
          <t>Thống nhất bán kính Grad. Tốc độ bay 55→45 m/s: Thống nhất tốc độ Grad ở mọi đơn vị (45 m/s).</t>
        </is>
      </c>
      <c r="AO30" s="48" t="inlineStr">
        <is>
          <t>Trung</t>
        </is>
      </c>
    </row>
    <row r="31" ht="21.75" customHeight="1" s="32">
      <c r="A31" s="41" t="inlineStr">
        <is>
          <t>boss_thermo</t>
        </is>
      </c>
      <c r="B31" s="41" t="inlineStr">
        <is>
          <t>TOS-1A 220 mm</t>
        </is>
      </c>
      <c r="C31" s="41" t="inlineStr">
        <is>
          <t>Rốc-két</t>
        </is>
      </c>
      <c r="D31" s="41" t="inlineStr">
        <is>
          <t>Inferno</t>
        </is>
      </c>
      <c r="E31" s="41" t="inlineStr">
        <is>
          <t>Nổ mạnh</t>
        </is>
      </c>
      <c r="F31" s="41" t="inlineStr">
        <is>
          <t>RocketBig</t>
        </is>
      </c>
      <c r="G31" s="43" t="n">
        <v>220</v>
      </c>
      <c r="H31" s="43" t="n">
        <v>3</v>
      </c>
      <c r="I31" s="43" t="n">
        <v>3</v>
      </c>
      <c r="J31" s="43" t="n">
        <v>97</v>
      </c>
      <c r="K31" s="43" t="n">
        <v>97</v>
      </c>
      <c r="L31" s="41" t="inlineStr">
        <is>
          <t>loạt</t>
        </is>
      </c>
      <c r="M31" s="41" t="inlineStr">
        <is>
          <t>loạt</t>
        </is>
      </c>
      <c r="N31" s="43" t="n">
        <v>3.33</v>
      </c>
      <c r="O31" s="43" t="n">
        <v>3.33</v>
      </c>
      <c r="P31" s="43" t="n">
        <v>6</v>
      </c>
      <c r="Q31" s="43" t="n">
        <v>6</v>
      </c>
      <c r="R31" s="43" t="n">
        <v>12.51</v>
      </c>
      <c r="S31" s="43" t="n">
        <v>12.51</v>
      </c>
      <c r="T31" s="43" t="n">
        <v>46</v>
      </c>
      <c r="U31" s="43" t="n">
        <v>46</v>
      </c>
      <c r="V31" s="43" t="n">
        <v>45</v>
      </c>
      <c r="W31" s="43" t="n">
        <v>35</v>
      </c>
      <c r="X31" s="51">
        <f>IFERROR(U31/W31,"")</f>
        <v/>
      </c>
      <c r="Y31" s="53" t="n">
        <v>7</v>
      </c>
      <c r="Z31" s="53" t="n">
        <v>7</v>
      </c>
      <c r="AA31" s="51">
        <f>IFERROR(IF(L31="từng phát",J31*N31,J31*P31/(P31/N31+R31)),"")</f>
        <v/>
      </c>
      <c r="AB31" s="51">
        <f>IFERROR(IF(M31="từng phát",K31*O31,K31*Q31/(Q31/O31+S31)),"")</f>
        <v/>
      </c>
      <c r="AC31" s="51">
        <f>IFERROR(AB31*VLOOKUP(E31,'Hệ số'!$A$2:$D$8,2,0)*IF((I31-0)&gt;=2,1.2,IF((I31-0)=1,1,IF((I31-0)=0,0.85,IF((I31-0)=-1,0.5,IF((I31-0)=-2,0.25,0.1))))),"")</f>
        <v/>
      </c>
      <c r="AD31" s="51">
        <f>IFERROR(AB31*VLOOKUP(E31,'Hệ số'!$A$2:$D$8,2,0)*IF((I31-1)&gt;=2,1.2,IF((I31-1)=1,1,IF((I31-1)=0,0.85,IF((I31-1)=-1,0.5,IF((I31-1)=-2,0.25,0.1))))),"")</f>
        <v/>
      </c>
      <c r="AE31" s="51">
        <f>IFERROR(AB31*VLOOKUP(E31,'Hệ số'!$A$2:$D$8,2,0)*IF((I31-2)&gt;=2,1.2,IF((I31-2)=1,1,IF((I31-2)=0,0.85,IF((I31-2)=-1,0.5,IF((I31-2)=-2,0.25,0.1))))),"")</f>
        <v/>
      </c>
      <c r="AF31" s="51">
        <f>IFERROR(AB31*VLOOKUP(E31,'Hệ số'!$A$2:$D$8,2,0)*IF((I31-3)&gt;=2,1.2,IF((I31-3)=1,1,IF((I31-3)=0,0.85,IF((I31-3)=-1,0.5,IF((I31-3)=-2,0.25,0.1))))),"")</f>
        <v/>
      </c>
      <c r="AG31" s="51">
        <f>IFERROR(AB31*VLOOKUP(E31,'Hệ số'!$A$2:$D$8,2,0)*IF((I31-4)&gt;=2,1.2,IF((I31-4)=1,1,IF((I31-4)=0,0.85,IF((I31-4)=-1,0.5,IF((I31-4)=-2,0.25,0.1))))),"")</f>
        <v/>
      </c>
      <c r="AH31" s="51">
        <f>IFERROR(AB31*VLOOKUP(E31,'Hệ số'!$A$2:$D$8,2,0)*IF((I31-5)&gt;=2,1.2,IF((I31-5)=1,1,IF((I31-5)=0,0.85,IF((I31-5)=-1,0.5,IF((I31-5)=-2,0.25,0.1))))),"")</f>
        <v/>
      </c>
      <c r="AI31" s="51">
        <f>IFERROR(AB31*VLOOKUP(E31,'Hệ số'!$A$2:$D$8,3,0),"")</f>
        <v/>
      </c>
      <c r="AJ31" s="51">
        <f>IFERROR(AB31*VLOOKUP(E31,'Hệ số'!$A$2:$D$8,4,0)*IF((I31-2)&gt;=2,1.2,IF((I31-2)=1,1,IF((I31-2)=0,0.85,IF((I31-2)=-1,0.5,IF((I31-2)=-2,0.25,0.1))))),"")</f>
        <v/>
      </c>
      <c r="AK31" s="41" t="inlineStr">
        <is>
          <t>Bắn loạt phủ vùng, tản mát; C-RAM, Vòm Sắt và La-de PK bắn hạ được từng quả.</t>
        </is>
      </c>
      <c r="AL31" s="41" t="n"/>
      <c r="AM31" s="41" t="inlineStr">
        <is>
          <t>TOS-1A</t>
        </is>
      </c>
      <c r="AN31" s="41" t="inlineStr">
        <is>
          <t>Tốc độ bay 45→35 m/s: Thống nhất tốc độ TOS ở mọi đơn vị (35 m/s).</t>
        </is>
      </c>
      <c r="AO31" s="48" t="inlineStr">
        <is>
          <t>Trung</t>
        </is>
      </c>
    </row>
    <row r="32" ht="21.75" customHeight="1" s="32">
      <c r="A32" s="39" t="inlineStr">
        <is>
          <t>buk_launcher</t>
        </is>
      </c>
      <c r="B32" s="39" t="inlineStr">
        <is>
          <t>9M317 Buk</t>
        </is>
      </c>
      <c r="C32" s="39" t="inlineStr">
        <is>
          <t>Tên lửa phòng không / không đối không</t>
        </is>
      </c>
      <c r="D32" s="39" t="inlineStr">
        <is>
          <t>Tên lửa PK</t>
        </is>
      </c>
      <c r="E32" s="39" t="inlineStr">
        <is>
          <t>Mảnh</t>
        </is>
      </c>
      <c r="F32" s="39" t="inlineStr">
        <is>
          <t>Sam</t>
        </is>
      </c>
      <c r="G32" s="42" t="n">
        <v>70</v>
      </c>
      <c r="H32" s="42" t="n">
        <v>3</v>
      </c>
      <c r="I32" s="42" t="n">
        <v>3</v>
      </c>
      <c r="J32" s="42" t="n">
        <v>320</v>
      </c>
      <c r="K32" s="42" t="n">
        <v>320</v>
      </c>
      <c r="L32" s="39" t="inlineStr">
        <is>
          <t>loạt</t>
        </is>
      </c>
      <c r="M32" s="39" t="inlineStr">
        <is>
          <t>loạt</t>
        </is>
      </c>
      <c r="N32" s="42" t="n">
        <v>2</v>
      </c>
      <c r="O32" s="42" t="n">
        <v>2</v>
      </c>
      <c r="P32" s="42" t="n">
        <v>2</v>
      </c>
      <c r="Q32" s="42" t="n">
        <v>2</v>
      </c>
      <c r="R32" s="42" t="n">
        <v>2.3</v>
      </c>
      <c r="S32" s="42" t="n">
        <v>2.3</v>
      </c>
      <c r="T32" s="42" t="n">
        <v>55</v>
      </c>
      <c r="U32" s="42" t="n">
        <v>55</v>
      </c>
      <c r="V32" s="42" t="n">
        <v>24</v>
      </c>
      <c r="W32" s="42" t="n">
        <v>50</v>
      </c>
      <c r="X32" s="50">
        <f>IFERROR(U32/W32,"")</f>
        <v/>
      </c>
      <c r="Y32" s="52" t="n">
        <v>2</v>
      </c>
      <c r="Z32" s="52" t="n">
        <v>2</v>
      </c>
      <c r="AA32" s="50">
        <f>IFERROR(IF(L32="từng phát",J32*N32,J32*P32/(P32/N32+R32)),"")</f>
        <v/>
      </c>
      <c r="AB32" s="50">
        <f>IFERROR(IF(M32="từng phát",K32*O32,K32*Q32/(Q32/O32+S32)),"")</f>
        <v/>
      </c>
      <c r="AC32" s="50">
        <f>IFERROR(AB32*VLOOKUP(E32,'Hệ số'!$A$2:$D$8,2,0)*IF((I32-0)&gt;=2,1.2,IF((I32-0)=1,1,IF((I32-0)=0,0.85,IF((I32-0)=-1,0.5,IF((I32-0)=-2,0.25,0.1))))),"")</f>
        <v/>
      </c>
      <c r="AD32" s="50">
        <f>IFERROR(AB32*VLOOKUP(E32,'Hệ số'!$A$2:$D$8,2,0)*IF((I32-1)&gt;=2,1.2,IF((I32-1)=1,1,IF((I32-1)=0,0.85,IF((I32-1)=-1,0.5,IF((I32-1)=-2,0.25,0.1))))),"")</f>
        <v/>
      </c>
      <c r="AE32" s="50">
        <f>IFERROR(AB32*VLOOKUP(E32,'Hệ số'!$A$2:$D$8,2,0)*IF((I32-2)&gt;=2,1.2,IF((I32-2)=1,1,IF((I32-2)=0,0.85,IF((I32-2)=-1,0.5,IF((I32-2)=-2,0.25,0.1))))),"")</f>
        <v/>
      </c>
      <c r="AF32" s="50">
        <f>IFERROR(AB32*VLOOKUP(E32,'Hệ số'!$A$2:$D$8,2,0)*IF((I32-3)&gt;=2,1.2,IF((I32-3)=1,1,IF((I32-3)=0,0.85,IF((I32-3)=-1,0.5,IF((I32-3)=-2,0.25,0.1))))),"")</f>
        <v/>
      </c>
      <c r="AG32" s="50">
        <f>IFERROR(AB32*VLOOKUP(E32,'Hệ số'!$A$2:$D$8,2,0)*IF((I32-4)&gt;=2,1.2,IF((I32-4)=1,1,IF((I32-4)=0,0.85,IF((I32-4)=-1,0.5,IF((I32-4)=-2,0.25,0.1))))),"")</f>
        <v/>
      </c>
      <c r="AH32" s="50">
        <f>IFERROR(AB32*VLOOKUP(E32,'Hệ số'!$A$2:$D$8,2,0)*IF((I32-5)&gt;=2,1.2,IF((I32-5)=1,1,IF((I32-5)=0,0.85,IF((I32-5)=-1,0.5,IF((I32-5)=-2,0.25,0.1))))),"")</f>
        <v/>
      </c>
      <c r="AI32" s="50">
        <f>IFERROR(AB32*VLOOKUP(E32,'Hệ số'!$A$2:$D$8,3,0),"")</f>
        <v/>
      </c>
      <c r="AJ32" s="50">
        <f>IFERROR(AB32*VLOOKUP(E32,'Hệ số'!$A$2:$D$8,4,0)*IF((I32-2)&gt;=2,1.2,IF((I32-2)=1,1,IF((I32-2)=0,0.85,IF((I32-2)=-1,0.5,IF((I32-2)=-2,0.25,0.1))))),"")</f>
        <v/>
      </c>
      <c r="AK32" s="39" t="inlineStr">
        <is>
          <t>Dẫn đường; bị pháo sáng đánh lừa theo độ kháng; phải nhanh hơn mục tiêu.</t>
        </is>
      </c>
      <c r="AL32" s="39" t="n"/>
      <c r="AM32" s="39" t="inlineStr">
        <is>
          <t>9M317 Buk: 50 km, Mach 4</t>
        </is>
      </c>
      <c r="AN32" s="39" t="inlineStr">
        <is>
          <t>Tốc độ bay 24→50 m/s: Tên lửa phòng không tầm trung: bắt được tiêm kích, bay ~1,1 s.</t>
        </is>
      </c>
      <c r="AO32" s="47" t="inlineStr">
        <is>
          <t>Cao</t>
        </is>
      </c>
    </row>
    <row r="33" ht="21.75" customHeight="1" s="32">
      <c r="A33" s="41" t="inlineStr">
        <is>
          <t>bunker_flame</t>
        </is>
      </c>
      <c r="B33" s="41" t="inlineStr">
        <is>
          <t>flamethrower (bunker)</t>
        </is>
      </c>
      <c r="C33" s="41" t="inlineStr">
        <is>
          <t>Phun lửa</t>
        </is>
      </c>
      <c r="D33" s="41" t="inlineStr">
        <is>
          <t>Lô cốt lửa</t>
        </is>
      </c>
      <c r="E33" s="41" t="inlineStr">
        <is>
          <t>Lửa</t>
        </is>
      </c>
      <c r="F33" s="41" t="inlineStr">
        <is>
          <t>Flame</t>
        </is>
      </c>
      <c r="G33" s="43" t="n">
        <v>2</v>
      </c>
      <c r="H33" s="43" t="n">
        <v>1</v>
      </c>
      <c r="I33" s="43" t="n">
        <v>1</v>
      </c>
      <c r="J33" s="43" t="n">
        <v>26</v>
      </c>
      <c r="K33" s="43" t="n">
        <v>26</v>
      </c>
      <c r="L33" s="41" t="inlineStr">
        <is>
          <t>từng phát</t>
        </is>
      </c>
      <c r="M33" s="41" t="inlineStr">
        <is>
          <t>từng phát</t>
        </is>
      </c>
      <c r="N33" s="43" t="n">
        <v>5.12820512820513</v>
      </c>
      <c r="O33" s="43" t="n">
        <v>5.12820512820513</v>
      </c>
      <c r="P33" s="43" t="n">
        <v>1</v>
      </c>
      <c r="Q33" s="43" t="n">
        <v>1</v>
      </c>
      <c r="R33" s="43" t="n">
        <v>0.195</v>
      </c>
      <c r="S33" s="43" t="n">
        <v>0.195</v>
      </c>
      <c r="T33" s="43" t="n">
        <v>16</v>
      </c>
      <c r="U33" s="43" t="n">
        <v>16</v>
      </c>
      <c r="V33" s="43" t="n">
        <v>36</v>
      </c>
      <c r="W33" s="43" t="n">
        <v>36</v>
      </c>
      <c r="X33" s="51">
        <f>IFERROR(U33/W33,"")</f>
        <v/>
      </c>
      <c r="Y33" s="53" t="n">
        <v>4.5</v>
      </c>
      <c r="Z33" s="53" t="n">
        <v>4.5</v>
      </c>
      <c r="AA33" s="51">
        <f>IFERROR(IF(L33="từng phát",J33*N33,J33*P33/(P33/N33+R33)),"")</f>
        <v/>
      </c>
      <c r="AB33" s="51">
        <f>IFERROR(IF(M33="từng phát",K33*O33,K33*Q33/(Q33/O33+S33)),"")</f>
        <v/>
      </c>
      <c r="AC33" s="51">
        <f>IFERROR(AB33*VLOOKUP(E33,'Hệ số'!$A$2:$D$8,2,0)*IF((I33-0)&gt;=2,1.2,IF((I33-0)=1,1,IF((I33-0)=0,0.85,IF((I33-0)=-1,0.5,IF((I33-0)=-2,0.25,0.1))))),"")</f>
        <v/>
      </c>
      <c r="AD33" s="51">
        <f>IFERROR(AB33*VLOOKUP(E33,'Hệ số'!$A$2:$D$8,2,0)*IF((I33-1)&gt;=2,1.2,IF((I33-1)=1,1,IF((I33-1)=0,0.85,IF((I33-1)=-1,0.5,IF((I33-1)=-2,0.25,0.1))))),"")</f>
        <v/>
      </c>
      <c r="AE33" s="51">
        <f>IFERROR(AB33*VLOOKUP(E33,'Hệ số'!$A$2:$D$8,2,0)*IF((I33-2)&gt;=2,1.2,IF((I33-2)=1,1,IF((I33-2)=0,0.85,IF((I33-2)=-1,0.5,IF((I33-2)=-2,0.25,0.1))))),"")</f>
        <v/>
      </c>
      <c r="AF33" s="51">
        <f>IFERROR(AB33*VLOOKUP(E33,'Hệ số'!$A$2:$D$8,2,0)*IF((I33-3)&gt;=2,1.2,IF((I33-3)=1,1,IF((I33-3)=0,0.85,IF((I33-3)=-1,0.5,IF((I33-3)=-2,0.25,0.1))))),"")</f>
        <v/>
      </c>
      <c r="AG33" s="51">
        <f>IFERROR(AB33*VLOOKUP(E33,'Hệ số'!$A$2:$D$8,2,0)*IF((I33-4)&gt;=2,1.2,IF((I33-4)=1,1,IF((I33-4)=0,0.85,IF((I33-4)=-1,0.5,IF((I33-4)=-2,0.25,0.1))))),"")</f>
        <v/>
      </c>
      <c r="AH33" s="51">
        <f>IFERROR(AB33*VLOOKUP(E33,'Hệ số'!$A$2:$D$8,2,0)*IF((I33-5)&gt;=2,1.2,IF((I33-5)=1,1,IF((I33-5)=0,0.85,IF((I33-5)=-1,0.5,IF((I33-5)=-2,0.25,0.1))))),"")</f>
        <v/>
      </c>
      <c r="AI33" s="51">
        <f>IFERROR(AB33*VLOOKUP(E33,'Hệ số'!$A$2:$D$8,3,0),"")</f>
        <v/>
      </c>
      <c r="AJ33" s="51">
        <f>IFERROR(AB33*VLOOKUP(E33,'Hệ số'!$A$2:$D$8,4,0)*IF((I33-2)&gt;=2,1.2,IF((I33-2)=1,1,IF((I33-2)=0,0.85,IF((I33-2)=-1,0.5,IF((I33-2)=-2,0.25,0.1))))),"")</f>
        <v/>
      </c>
      <c r="AK33" s="41" t="inlineStr">
        <is>
          <t>Tầm rất ngắn; gây cháy; không bị APS; mạnh với xe nhẹ và công trình có người.</t>
        </is>
      </c>
      <c r="AL33" s="41" t="n"/>
      <c r="AM33" s="41" t="inlineStr">
        <is>
          <t>phun lửa</t>
        </is>
      </c>
      <c r="AN33" s="41" t="inlineStr">
        <is>
          <t>Giữ.</t>
        </is>
      </c>
      <c r="AO33" s="41" t="n"/>
    </row>
    <row r="34" ht="21.75" customHeight="1" s="32">
      <c r="A34" s="39" t="inlineStr">
        <is>
          <t>bunker_hmg</t>
        </is>
      </c>
      <c r="B34" s="39" t="inlineStr">
        <is>
          <t>NSV 12.7 mm</t>
        </is>
      </c>
      <c r="C34" s="39" t="inlineStr">
        <is>
          <t>Súng máy 12,7 mm</t>
        </is>
      </c>
      <c r="D34" s="39" t="inlineStr">
        <is>
          <t>Lô cốt, Ụ súng tạm</t>
        </is>
      </c>
      <c r="E34" s="39" t="inlineStr">
        <is>
          <t>Động năng</t>
        </is>
      </c>
      <c r="F34" s="39" t="inlineStr">
        <is>
          <t>BulletBig</t>
        </is>
      </c>
      <c r="G34" s="42" t="n">
        <v>12.7</v>
      </c>
      <c r="H34" s="42" t="n">
        <v>1</v>
      </c>
      <c r="I34" s="42" t="n">
        <v>1</v>
      </c>
      <c r="J34" s="42" t="n">
        <v>9.5</v>
      </c>
      <c r="K34" s="42" t="n">
        <v>9.5</v>
      </c>
      <c r="L34" s="39" t="inlineStr">
        <is>
          <t>băng</t>
        </is>
      </c>
      <c r="M34" s="39" t="inlineStr">
        <is>
          <t>băng</t>
        </is>
      </c>
      <c r="N34" s="42" t="n">
        <v>16</v>
      </c>
      <c r="O34" s="42" t="n">
        <v>16</v>
      </c>
      <c r="P34" s="42" t="n">
        <v>45</v>
      </c>
      <c r="Q34" s="42" t="n">
        <v>150</v>
      </c>
      <c r="R34" s="42" t="n">
        <v>0.85</v>
      </c>
      <c r="S34" s="42" t="n">
        <v>4</v>
      </c>
      <c r="T34" s="42" t="n">
        <v>32</v>
      </c>
      <c r="U34" s="42" t="n">
        <v>32</v>
      </c>
      <c r="V34" s="42" t="n">
        <v>240</v>
      </c>
      <c r="W34" s="42" t="n">
        <v>240</v>
      </c>
      <c r="X34" s="50">
        <f>IFERROR(U34/W34,"")</f>
        <v/>
      </c>
      <c r="Y34" s="50" t="n"/>
      <c r="Z34" s="50" t="n"/>
      <c r="AA34" s="50">
        <f>IFERROR(IF(L34="từng phát",J34*N34,J34*P34/(P34/N34+R34)),"")</f>
        <v/>
      </c>
      <c r="AB34" s="50">
        <f>IFERROR(IF(M34="từng phát",K34*O34,K34*Q34/(Q34/O34+S34)),"")</f>
        <v/>
      </c>
      <c r="AC34" s="50">
        <f>IFERROR(AB34*VLOOKUP(E34,'Hệ số'!$A$2:$D$8,2,0)*IF((I34-0)&gt;=2,1.2,IF((I34-0)=1,1,IF((I34-0)=0,0.85,IF((I34-0)=-1,0.5,IF((I34-0)=-2,0.25,0.1))))),"")</f>
        <v/>
      </c>
      <c r="AD34" s="50">
        <f>IFERROR(AB34*VLOOKUP(E34,'Hệ số'!$A$2:$D$8,2,0)*IF((I34-1)&gt;=2,1.2,IF((I34-1)=1,1,IF((I34-1)=0,0.85,IF((I34-1)=-1,0.5,IF((I34-1)=-2,0.25,0.1))))),"")</f>
        <v/>
      </c>
      <c r="AE34" s="50">
        <f>IFERROR(AB34*VLOOKUP(E34,'Hệ số'!$A$2:$D$8,2,0)*IF((I34-2)&gt;=2,1.2,IF((I34-2)=1,1,IF((I34-2)=0,0.85,IF((I34-2)=-1,0.5,IF((I34-2)=-2,0.25,0.1))))),"")</f>
        <v/>
      </c>
      <c r="AF34" s="50">
        <f>IFERROR(AB34*VLOOKUP(E34,'Hệ số'!$A$2:$D$8,2,0)*IF((I34-3)&gt;=2,1.2,IF((I34-3)=1,1,IF((I34-3)=0,0.85,IF((I34-3)=-1,0.5,IF((I34-3)=-2,0.25,0.1))))),"")</f>
        <v/>
      </c>
      <c r="AG34" s="50">
        <f>IFERROR(AB34*VLOOKUP(E34,'Hệ số'!$A$2:$D$8,2,0)*IF((I34-4)&gt;=2,1.2,IF((I34-4)=1,1,IF((I34-4)=0,0.85,IF((I34-4)=-1,0.5,IF((I34-4)=-2,0.25,0.1))))),"")</f>
        <v/>
      </c>
      <c r="AH34" s="50">
        <f>IFERROR(AB34*VLOOKUP(E34,'Hệ số'!$A$2:$D$8,2,0)*IF((I34-5)&gt;=2,1.2,IF((I34-5)=1,1,IF((I34-5)=0,0.85,IF((I34-5)=-1,0.5,IF((I34-5)=-2,0.25,0.1))))),"")</f>
        <v/>
      </c>
      <c r="AI34" s="50">
        <f>IFERROR(AB34*VLOOKUP(E34,'Hệ số'!$A$2:$D$8,3,0),"")</f>
        <v/>
      </c>
      <c r="AJ34" s="50">
        <f>IFERROR(AB34*VLOOKUP(E34,'Hệ số'!$A$2:$D$8,4,0)*IF((I34-2)&gt;=2,1.2,IF((I34-2)=1,1,IF((I34-2)=0,0.85,IF((I34-2)=-1,0.5,IF((I34-2)=-2,0.25,0.1))))),"")</f>
        <v/>
      </c>
      <c r="AK34" s="39" t="inlineStr">
        <is>
          <t>Bắn cả khi chạy; mạnh với xe không giáp, drone, trực thăng; nảy khỏi giáp từ cấp 2.</t>
        </is>
      </c>
      <c r="AL34" s="39" t="inlineStr">
        <is>
          <t>Đạn xuyên API (xuyên 2) cho bản tinh nhuệ.</t>
        </is>
      </c>
      <c r="AM34" s="39" t="inlineStr">
        <is>
          <t>NSV: 700–800</t>
        </is>
      </c>
      <c r="AN34" s="39" t="inlineStr">
        <is>
          <t>NSV trong lô cốt dùng dây đạn dài.</t>
        </is>
      </c>
      <c r="AO34" s="48" t="inlineStr">
        <is>
          <t>Trung</t>
        </is>
      </c>
    </row>
    <row r="35" ht="21.75" customHeight="1" s="32">
      <c r="A35" s="41" t="inlineStr">
        <is>
          <t>bunker_hmg_twin</t>
        </is>
      </c>
      <c r="B35" s="41" t="inlineStr">
        <is>
          <t>NSV 12.7 mm (twin)</t>
        </is>
      </c>
      <c r="C35" s="41" t="inlineStr">
        <is>
          <t>Súng máy 12,7 mm</t>
        </is>
      </c>
      <c r="D35" s="41" t="inlineStr">
        <is>
          <t>Súng máy đôi</t>
        </is>
      </c>
      <c r="E35" s="41" t="inlineStr">
        <is>
          <t>Động năng</t>
        </is>
      </c>
      <c r="F35" s="41" t="inlineStr">
        <is>
          <t>BulletBig</t>
        </is>
      </c>
      <c r="G35" s="43" t="n">
        <v>12.7</v>
      </c>
      <c r="H35" s="43" t="n">
        <v>1</v>
      </c>
      <c r="I35" s="43" t="n">
        <v>1</v>
      </c>
      <c r="J35" s="43" t="n">
        <v>9.5</v>
      </c>
      <c r="K35" s="43" t="n">
        <v>9.5</v>
      </c>
      <c r="L35" s="41" t="inlineStr">
        <is>
          <t>băng</t>
        </is>
      </c>
      <c r="M35" s="41" t="inlineStr">
        <is>
          <t>băng</t>
        </is>
      </c>
      <c r="N35" s="43" t="n">
        <v>20</v>
      </c>
      <c r="O35" s="43" t="n">
        <v>20</v>
      </c>
      <c r="P35" s="43" t="n">
        <v>51</v>
      </c>
      <c r="Q35" s="43" t="n">
        <v>150</v>
      </c>
      <c r="R35" s="43" t="n">
        <v>0.87</v>
      </c>
      <c r="S35" s="43" t="n">
        <v>4</v>
      </c>
      <c r="T35" s="43" t="n">
        <v>28</v>
      </c>
      <c r="U35" s="43" t="n">
        <v>28</v>
      </c>
      <c r="V35" s="43" t="n">
        <v>240</v>
      </c>
      <c r="W35" s="43" t="n">
        <v>240</v>
      </c>
      <c r="X35" s="51">
        <f>IFERROR(U35/W35,"")</f>
        <v/>
      </c>
      <c r="Y35" s="51" t="n"/>
      <c r="Z35" s="51" t="n"/>
      <c r="AA35" s="51">
        <f>IFERROR(IF(L35="từng phát",J35*N35,J35*P35/(P35/N35+R35)),"")</f>
        <v/>
      </c>
      <c r="AB35" s="51">
        <f>IFERROR(IF(M35="từng phát",K35*O35,K35*Q35/(Q35/O35+S35)),"")</f>
        <v/>
      </c>
      <c r="AC35" s="51">
        <f>IFERROR(AB35*VLOOKUP(E35,'Hệ số'!$A$2:$D$8,2,0)*IF((I35-0)&gt;=2,1.2,IF((I35-0)=1,1,IF((I35-0)=0,0.85,IF((I35-0)=-1,0.5,IF((I35-0)=-2,0.25,0.1))))),"")</f>
        <v/>
      </c>
      <c r="AD35" s="51">
        <f>IFERROR(AB35*VLOOKUP(E35,'Hệ số'!$A$2:$D$8,2,0)*IF((I35-1)&gt;=2,1.2,IF((I35-1)=1,1,IF((I35-1)=0,0.85,IF((I35-1)=-1,0.5,IF((I35-1)=-2,0.25,0.1))))),"")</f>
        <v/>
      </c>
      <c r="AE35" s="51">
        <f>IFERROR(AB35*VLOOKUP(E35,'Hệ số'!$A$2:$D$8,2,0)*IF((I35-2)&gt;=2,1.2,IF((I35-2)=1,1,IF((I35-2)=0,0.85,IF((I35-2)=-1,0.5,IF((I35-2)=-2,0.25,0.1))))),"")</f>
        <v/>
      </c>
      <c r="AF35" s="51">
        <f>IFERROR(AB35*VLOOKUP(E35,'Hệ số'!$A$2:$D$8,2,0)*IF((I35-3)&gt;=2,1.2,IF((I35-3)=1,1,IF((I35-3)=0,0.85,IF((I35-3)=-1,0.5,IF((I35-3)=-2,0.25,0.1))))),"")</f>
        <v/>
      </c>
      <c r="AG35" s="51">
        <f>IFERROR(AB35*VLOOKUP(E35,'Hệ số'!$A$2:$D$8,2,0)*IF((I35-4)&gt;=2,1.2,IF((I35-4)=1,1,IF((I35-4)=0,0.85,IF((I35-4)=-1,0.5,IF((I35-4)=-2,0.25,0.1))))),"")</f>
        <v/>
      </c>
      <c r="AH35" s="51">
        <f>IFERROR(AB35*VLOOKUP(E35,'Hệ số'!$A$2:$D$8,2,0)*IF((I35-5)&gt;=2,1.2,IF((I35-5)=1,1,IF((I35-5)=0,0.85,IF((I35-5)=-1,0.5,IF((I35-5)=-2,0.25,0.1))))),"")</f>
        <v/>
      </c>
      <c r="AI35" s="51">
        <f>IFERROR(AB35*VLOOKUP(E35,'Hệ số'!$A$2:$D$8,3,0),"")</f>
        <v/>
      </c>
      <c r="AJ35" s="51">
        <f>IFERROR(AB35*VLOOKUP(E35,'Hệ số'!$A$2:$D$8,4,0)*IF((I35-2)&gt;=2,1.2,IF((I35-2)=1,1,IF((I35-2)=0,0.85,IF((I35-2)=-1,0.5,IF((I35-2)=-2,0.25,0.1))))),"")</f>
        <v/>
      </c>
      <c r="AK35" s="41" t="inlineStr">
        <is>
          <t>Bắn cả khi chạy; mạnh với xe không giáp, drone, trực thăng; nảy khỏi giáp từ cấp 2.</t>
        </is>
      </c>
      <c r="AL35" s="41" t="inlineStr">
        <is>
          <t>Đạn xuyên API (xuyên 2) cho bản tinh nhuệ.</t>
        </is>
      </c>
      <c r="AM35" s="41" t="inlineStr">
        <is>
          <t>NSV đôi</t>
        </is>
      </c>
      <c r="AN35" s="41" t="inlineStr">
        <is>
          <t>Như trên.</t>
        </is>
      </c>
      <c r="AO35" s="48" t="inlineStr">
        <is>
          <t>Trung</t>
        </is>
      </c>
    </row>
    <row r="36" ht="32.25" customHeight="1" s="32">
      <c r="A36" s="39" t="inlineStr">
        <is>
          <t>c_ram_gatling</t>
        </is>
      </c>
      <c r="B36" s="39" t="inlineStr">
        <is>
          <t>Phalanx M61 20 mm</t>
        </is>
      </c>
      <c r="C36" s="39" t="inlineStr">
        <is>
          <t>Pháo tự động / cao xạ 20–40 mm</t>
        </is>
      </c>
      <c r="D36" s="39" t="inlineStr">
        <is>
          <t>C-RAM, Centurion</t>
        </is>
      </c>
      <c r="E36" s="39" t="inlineStr">
        <is>
          <t>Mảnh</t>
        </is>
      </c>
      <c r="F36" s="39" t="inlineStr">
        <is>
          <t>Airburst</t>
        </is>
      </c>
      <c r="G36" s="42" t="n">
        <v>20</v>
      </c>
      <c r="H36" s="42" t="n">
        <v>1</v>
      </c>
      <c r="I36" s="42" t="n">
        <v>1</v>
      </c>
      <c r="J36" s="42" t="n">
        <v>13</v>
      </c>
      <c r="K36" s="42" t="n">
        <v>2</v>
      </c>
      <c r="L36" s="39" t="inlineStr">
        <is>
          <t>băng</t>
        </is>
      </c>
      <c r="M36" s="39" t="inlineStr">
        <is>
          <t>băng</t>
        </is>
      </c>
      <c r="N36" s="42" t="n">
        <v>8</v>
      </c>
      <c r="O36" s="42" t="n">
        <v>50</v>
      </c>
      <c r="P36" s="42" t="n">
        <v>23</v>
      </c>
      <c r="Q36" s="42" t="n">
        <v>200</v>
      </c>
      <c r="R36" s="42" t="n">
        <v>1</v>
      </c>
      <c r="S36" s="42" t="n">
        <v>3</v>
      </c>
      <c r="T36" s="42" t="n">
        <v>32</v>
      </c>
      <c r="U36" s="42" t="n">
        <v>32</v>
      </c>
      <c r="V36" s="42" t="n">
        <v>380</v>
      </c>
      <c r="W36" s="42" t="n">
        <v>380</v>
      </c>
      <c r="X36" s="50">
        <f>IFERROR(U36/W36,"")</f>
        <v/>
      </c>
      <c r="Y36" s="52" t="n">
        <v>1.2</v>
      </c>
      <c r="Z36" s="52" t="n">
        <v>1.2</v>
      </c>
      <c r="AA36" s="50">
        <f>IFERROR(IF(L36="từng phát",J36*N36,J36*P36/(P36/N36+R36)),"")</f>
        <v/>
      </c>
      <c r="AB36" s="50">
        <f>IFERROR(IF(M36="từng phát",K36*O36,K36*Q36/(Q36/O36+S36)),"")</f>
        <v/>
      </c>
      <c r="AC36" s="50">
        <f>IFERROR(AB36*VLOOKUP(E36,'Hệ số'!$A$2:$D$8,2,0)*IF((I36-0)&gt;=2,1.2,IF((I36-0)=1,1,IF((I36-0)=0,0.85,IF((I36-0)=-1,0.5,IF((I36-0)=-2,0.25,0.1))))),"")</f>
        <v/>
      </c>
      <c r="AD36" s="50">
        <f>IFERROR(AB36*VLOOKUP(E36,'Hệ số'!$A$2:$D$8,2,0)*IF((I36-1)&gt;=2,1.2,IF((I36-1)=1,1,IF((I36-1)=0,0.85,IF((I36-1)=-1,0.5,IF((I36-1)=-2,0.25,0.1))))),"")</f>
        <v/>
      </c>
      <c r="AE36" s="50">
        <f>IFERROR(AB36*VLOOKUP(E36,'Hệ số'!$A$2:$D$8,2,0)*IF((I36-2)&gt;=2,1.2,IF((I36-2)=1,1,IF((I36-2)=0,0.85,IF((I36-2)=-1,0.5,IF((I36-2)=-2,0.25,0.1))))),"")</f>
        <v/>
      </c>
      <c r="AF36" s="50">
        <f>IFERROR(AB36*VLOOKUP(E36,'Hệ số'!$A$2:$D$8,2,0)*IF((I36-3)&gt;=2,1.2,IF((I36-3)=1,1,IF((I36-3)=0,0.85,IF((I36-3)=-1,0.5,IF((I36-3)=-2,0.25,0.1))))),"")</f>
        <v/>
      </c>
      <c r="AG36" s="50">
        <f>IFERROR(AB36*VLOOKUP(E36,'Hệ số'!$A$2:$D$8,2,0)*IF((I36-4)&gt;=2,1.2,IF((I36-4)=1,1,IF((I36-4)=0,0.85,IF((I36-4)=-1,0.5,IF((I36-4)=-2,0.25,0.1))))),"")</f>
        <v/>
      </c>
      <c r="AH36" s="50">
        <f>IFERROR(AB36*VLOOKUP(E36,'Hệ số'!$A$2:$D$8,2,0)*IF((I36-5)&gt;=2,1.2,IF((I36-5)=1,1,IF((I36-5)=0,0.85,IF((I36-5)=-1,0.5,IF((I36-5)=-2,0.25,0.1))))),"")</f>
        <v/>
      </c>
      <c r="AI36" s="50">
        <f>IFERROR(AB36*VLOOKUP(E36,'Hệ số'!$A$2:$D$8,3,0),"")</f>
        <v/>
      </c>
      <c r="AJ36" s="50">
        <f>IFERROR(AB36*VLOOKUP(E36,'Hệ số'!$A$2:$D$8,4,0)*IF((I36-2)&gt;=2,1.2,IF((I36-2)=1,1,IF((I36-2)=0,0.85,IF((I36-2)=-1,0.5,IF((I36-2)=-2,0.25,0.1))))),"")</f>
        <v/>
      </c>
      <c r="AK36" s="39" t="inlineStr">
        <is>
          <t>Bắn loạt; đạn nổ trên không (Mảnh) mạnh với máy bay và drone, yếu với giáp; đạn xuyên (Động năng) mạnh với giáp 0–2.</t>
        </is>
      </c>
      <c r="AL36" s="39" t="inlineStr">
        <is>
          <t>Tự đổi: đạn xuyên (Động năng) với xe, đạn nổ trên không (Mảnh) với máy bay/drone.</t>
        </is>
      </c>
      <c r="AM36" s="39" t="inlineStr">
        <is>
          <t>Phalanx 20 mm: 4.500 phát/phút; tầm hiệu quả ~1,5 km</t>
        </is>
      </c>
      <c r="AN36" s="39" t="inlineStr">
        <is>
          <t>Phalanx thật 4.500 phát/phút; tạo luồng đạn CIWS, giữ khả năng đánh chặn.</t>
        </is>
      </c>
      <c r="AO36" s="47" t="inlineStr">
        <is>
          <t>Cao</t>
        </is>
      </c>
    </row>
    <row r="37" ht="32.25" customHeight="1" s="32">
      <c r="A37" s="41" t="inlineStr">
        <is>
          <t>casemate_155</t>
        </is>
      </c>
      <c r="B37" s="41" t="inlineStr">
        <is>
          <t>M284 155 mm</t>
        </is>
      </c>
      <c r="C37" s="41" t="inlineStr">
        <is>
          <t>Đạn pháo nổ mạnh</t>
        </is>
      </c>
      <c r="D37" s="41" t="inlineStr">
        <is>
          <t>Bastion</t>
        </is>
      </c>
      <c r="E37" s="41" t="inlineStr">
        <is>
          <t>Nổ mạnh</t>
        </is>
      </c>
      <c r="F37" s="41" t="inlineStr">
        <is>
          <t>HeShell</t>
        </is>
      </c>
      <c r="G37" s="43" t="n">
        <v>155</v>
      </c>
      <c r="H37" s="43" t="n">
        <v>3</v>
      </c>
      <c r="I37" s="43" t="n">
        <v>3</v>
      </c>
      <c r="J37" s="43" t="n">
        <v>320</v>
      </c>
      <c r="K37" s="43" t="n">
        <v>320</v>
      </c>
      <c r="L37" s="41" t="inlineStr">
        <is>
          <t>từng phát</t>
        </is>
      </c>
      <c r="M37" s="41" t="inlineStr">
        <is>
          <t>từng phát</t>
        </is>
      </c>
      <c r="N37" s="43" t="n">
        <v>0.08</v>
      </c>
      <c r="O37" s="43" t="n">
        <v>0.08</v>
      </c>
      <c r="P37" s="43" t="n">
        <v>1</v>
      </c>
      <c r="Q37" s="43" t="n">
        <v>1</v>
      </c>
      <c r="R37" s="43" t="n">
        <v>12.5</v>
      </c>
      <c r="S37" s="43" t="n">
        <v>12.5</v>
      </c>
      <c r="T37" s="43" t="n">
        <v>75</v>
      </c>
      <c r="U37" s="43" t="n">
        <v>75</v>
      </c>
      <c r="V37" s="43" t="n">
        <v>50</v>
      </c>
      <c r="W37" s="43" t="n">
        <v>50</v>
      </c>
      <c r="X37" s="51">
        <f>IFERROR(U37/W37,"")</f>
        <v/>
      </c>
      <c r="Y37" s="53" t="n">
        <v>8</v>
      </c>
      <c r="Z37" s="53" t="n">
        <v>7</v>
      </c>
      <c r="AA37" s="51">
        <f>IFERROR(IF(L37="từng phát",J37*N37,J37*P37/(P37/N37+R37)),"")</f>
        <v/>
      </c>
      <c r="AB37" s="51">
        <f>IFERROR(IF(M37="từng phát",K37*O37,K37*Q37/(Q37/O37+S37)),"")</f>
        <v/>
      </c>
      <c r="AC37" s="51">
        <f>IFERROR(AB37*VLOOKUP(E37,'Hệ số'!$A$2:$D$8,2,0)*IF((I37-0)&gt;=2,1.2,IF((I37-0)=1,1,IF((I37-0)=0,0.85,IF((I37-0)=-1,0.5,IF((I37-0)=-2,0.25,0.1))))),"")</f>
        <v/>
      </c>
      <c r="AD37" s="51">
        <f>IFERROR(AB37*VLOOKUP(E37,'Hệ số'!$A$2:$D$8,2,0)*IF((I37-1)&gt;=2,1.2,IF((I37-1)=1,1,IF((I37-1)=0,0.85,IF((I37-1)=-1,0.5,IF((I37-1)=-2,0.25,0.1))))),"")</f>
        <v/>
      </c>
      <c r="AE37" s="51">
        <f>IFERROR(AB37*VLOOKUP(E37,'Hệ số'!$A$2:$D$8,2,0)*IF((I37-2)&gt;=2,1.2,IF((I37-2)=1,1,IF((I37-2)=0,0.85,IF((I37-2)=-1,0.5,IF((I37-2)=-2,0.25,0.1))))),"")</f>
        <v/>
      </c>
      <c r="AF37" s="51">
        <f>IFERROR(AB37*VLOOKUP(E37,'Hệ số'!$A$2:$D$8,2,0)*IF((I37-3)&gt;=2,1.2,IF((I37-3)=1,1,IF((I37-3)=0,0.85,IF((I37-3)=-1,0.5,IF((I37-3)=-2,0.25,0.1))))),"")</f>
        <v/>
      </c>
      <c r="AG37" s="51">
        <f>IFERROR(AB37*VLOOKUP(E37,'Hệ số'!$A$2:$D$8,2,0)*IF((I37-4)&gt;=2,1.2,IF((I37-4)=1,1,IF((I37-4)=0,0.85,IF((I37-4)=-1,0.5,IF((I37-4)=-2,0.25,0.1))))),"")</f>
        <v/>
      </c>
      <c r="AH37" s="51">
        <f>IFERROR(AB37*VLOOKUP(E37,'Hệ số'!$A$2:$D$8,2,0)*IF((I37-5)&gt;=2,1.2,IF((I37-5)=1,1,IF((I37-5)=0,0.85,IF((I37-5)=-1,0.5,IF((I37-5)=-2,0.25,0.1))))),"")</f>
        <v/>
      </c>
      <c r="AI37" s="51">
        <f>IFERROR(AB37*VLOOKUP(E37,'Hệ số'!$A$2:$D$8,3,0),"")</f>
        <v/>
      </c>
      <c r="AJ37" s="51">
        <f>IFERROR(AB37*VLOOKUP(E37,'Hệ số'!$A$2:$D$8,4,0)*IF((I37-2)&gt;=2,1.2,IF((I37-2)=1,1,IF((I37-2)=0,0.85,IF((I37-2)=-1,0.5,IF((I37-2)=-2,0.25,0.1))))),"")</f>
        <v/>
      </c>
      <c r="AK37" s="41" t="inlineStr">
        <is>
          <t>Bắn cầu vồng hoặc bắn thẳng tùy pháo; nổ lan; C-RAM chặn được một phần; mạnh với công trình (×1,5).</t>
        </is>
      </c>
      <c r="AL37" s="41" t="inlineStr">
        <is>
          <t>Thêm đạn dẫn đường (Excalibur/Krasnopol: 1 phát, không tản mát) cho nhánh hạng 7 hoặc thẻ hỗ trợ.</t>
        </is>
      </c>
      <c r="AM37" s="41" t="inlineStr">
        <is>
          <t>M284 155 mm</t>
        </is>
      </c>
      <c r="AN37" s="41" t="inlineStr">
        <is>
          <t>Như trên.</t>
        </is>
      </c>
      <c r="AO37" s="48" t="inlineStr">
        <is>
          <t>Trung</t>
        </is>
      </c>
    </row>
    <row r="38" ht="32.25" customHeight="1" s="32">
      <c r="A38" s="39" t="inlineStr">
        <is>
          <t>ciws_aa</t>
        </is>
      </c>
      <c r="B38" s="39" t="inlineStr">
        <is>
          <t>AK-630 30 mm</t>
        </is>
      </c>
      <c r="C38" s="39" t="inlineStr">
        <is>
          <t>Pháo tự động / cao xạ 20–40 mm</t>
        </is>
      </c>
      <c r="D38" s="39" t="inlineStr">
        <is>
          <t>Charybdis, Gungnir</t>
        </is>
      </c>
      <c r="E38" s="39" t="inlineStr">
        <is>
          <t>Động năng</t>
        </is>
      </c>
      <c r="F38" s="39" t="inlineStr">
        <is>
          <t>BeltedAutocannon</t>
        </is>
      </c>
      <c r="G38" s="42" t="n">
        <v>30</v>
      </c>
      <c r="H38" s="42" t="n">
        <v>2</v>
      </c>
      <c r="I38" s="42" t="n">
        <v>2</v>
      </c>
      <c r="J38" s="42" t="n">
        <v>22</v>
      </c>
      <c r="K38" s="42" t="n">
        <v>12</v>
      </c>
      <c r="L38" s="39" t="inlineStr">
        <is>
          <t>băng</t>
        </is>
      </c>
      <c r="M38" s="39" t="inlineStr">
        <is>
          <t>băng</t>
        </is>
      </c>
      <c r="N38" s="42" t="n">
        <v>60</v>
      </c>
      <c r="O38" s="42" t="n">
        <v>60</v>
      </c>
      <c r="P38" s="42" t="n">
        <v>15</v>
      </c>
      <c r="Q38" s="42" t="n">
        <v>60</v>
      </c>
      <c r="R38" s="42" t="n">
        <v>14.71</v>
      </c>
      <c r="S38" s="42" t="n">
        <v>5</v>
      </c>
      <c r="T38" s="42" t="n">
        <v>34</v>
      </c>
      <c r="U38" s="42" t="n">
        <v>34</v>
      </c>
      <c r="V38" s="42" t="n">
        <v>300</v>
      </c>
      <c r="W38" s="42" t="n">
        <v>300</v>
      </c>
      <c r="X38" s="50">
        <f>IFERROR(U38/W38,"")</f>
        <v/>
      </c>
      <c r="Y38" s="50" t="n"/>
      <c r="Z38" s="50" t="n"/>
      <c r="AA38" s="50">
        <f>IFERROR(IF(L38="từng phát",J38*N38,J38*P38/(P38/N38+R38)),"")</f>
        <v/>
      </c>
      <c r="AB38" s="50">
        <f>IFERROR(IF(M38="từng phát",K38*O38,K38*Q38/(Q38/O38+S38)),"")</f>
        <v/>
      </c>
      <c r="AC38" s="50">
        <f>IFERROR(AB38*VLOOKUP(E38,'Hệ số'!$A$2:$D$8,2,0)*IF((I38-0)&gt;=2,1.2,IF((I38-0)=1,1,IF((I38-0)=0,0.85,IF((I38-0)=-1,0.5,IF((I38-0)=-2,0.25,0.1))))),"")</f>
        <v/>
      </c>
      <c r="AD38" s="50">
        <f>IFERROR(AB38*VLOOKUP(E38,'Hệ số'!$A$2:$D$8,2,0)*IF((I38-1)&gt;=2,1.2,IF((I38-1)=1,1,IF((I38-1)=0,0.85,IF((I38-1)=-1,0.5,IF((I38-1)=-2,0.25,0.1))))),"")</f>
        <v/>
      </c>
      <c r="AE38" s="50">
        <f>IFERROR(AB38*VLOOKUP(E38,'Hệ số'!$A$2:$D$8,2,0)*IF((I38-2)&gt;=2,1.2,IF((I38-2)=1,1,IF((I38-2)=0,0.85,IF((I38-2)=-1,0.5,IF((I38-2)=-2,0.25,0.1))))),"")</f>
        <v/>
      </c>
      <c r="AF38" s="50">
        <f>IFERROR(AB38*VLOOKUP(E38,'Hệ số'!$A$2:$D$8,2,0)*IF((I38-3)&gt;=2,1.2,IF((I38-3)=1,1,IF((I38-3)=0,0.85,IF((I38-3)=-1,0.5,IF((I38-3)=-2,0.25,0.1))))),"")</f>
        <v/>
      </c>
      <c r="AG38" s="50">
        <f>IFERROR(AB38*VLOOKUP(E38,'Hệ số'!$A$2:$D$8,2,0)*IF((I38-4)&gt;=2,1.2,IF((I38-4)=1,1,IF((I38-4)=0,0.85,IF((I38-4)=-1,0.5,IF((I38-4)=-2,0.25,0.1))))),"")</f>
        <v/>
      </c>
      <c r="AH38" s="50">
        <f>IFERROR(AB38*VLOOKUP(E38,'Hệ số'!$A$2:$D$8,2,0)*IF((I38-5)&gt;=2,1.2,IF((I38-5)=1,1,IF((I38-5)=0,0.85,IF((I38-5)=-1,0.5,IF((I38-5)=-2,0.25,0.1))))),"")</f>
        <v/>
      </c>
      <c r="AI38" s="50">
        <f>IFERROR(AB38*VLOOKUP(E38,'Hệ số'!$A$2:$D$8,3,0),"")</f>
        <v/>
      </c>
      <c r="AJ38" s="50">
        <f>IFERROR(AB38*VLOOKUP(E38,'Hệ số'!$A$2:$D$8,4,0)*IF((I38-2)&gt;=2,1.2,IF((I38-2)=1,1,IF((I38-2)=0,0.85,IF((I38-2)=-1,0.5,IF((I38-2)=-2,0.25,0.1))))),"")</f>
        <v/>
      </c>
      <c r="AK38" s="39" t="inlineStr">
        <is>
          <t>Bắn loạt; đạn nổ trên không (Mảnh) mạnh với máy bay và drone, yếu với giáp; đạn xuyên (Động năng) mạnh với giáp 0–2.</t>
        </is>
      </c>
      <c r="AL38" s="39" t="inlineStr">
        <is>
          <t>Tự đổi: đạn xuyên (Động năng) với xe, đạn nổ trên không (Mảnh) với máy bay/drone.</t>
        </is>
      </c>
      <c r="AM38" s="39" t="inlineStr">
        <is>
          <t>AK-630: 4.000–5.000 phát/phút, băng 2.000 viên</t>
        </is>
      </c>
      <c r="AN38" s="39" t="inlineStr">
        <is>
          <t>AK-630 băng 15 nạp 14,7 s bắn cụt; thật 4.000–5.000 phát/phút.</t>
        </is>
      </c>
      <c r="AO38" s="48" t="inlineStr">
        <is>
          <t>Trung</t>
        </is>
      </c>
    </row>
    <row r="39" ht="21.75" customHeight="1" s="32">
      <c r="A39" s="41" t="inlineStr">
        <is>
          <t>coilgun</t>
        </is>
      </c>
      <c r="B39" s="41" t="inlineStr">
        <is>
          <t>coilgun (10 MJ)</t>
        </is>
      </c>
      <c r="C39" s="41" t="inlineStr">
        <is>
          <t>Điện từ</t>
        </is>
      </c>
      <c r="D39" s="41" t="inlineStr">
        <is>
          <t>Tempest</t>
        </is>
      </c>
      <c r="E39" s="41" t="inlineStr">
        <is>
          <t>Động năng</t>
        </is>
      </c>
      <c r="F39" s="41" t="inlineStr">
        <is>
          <t>Rail</t>
        </is>
      </c>
      <c r="G39" s="43" t="n">
        <v>10</v>
      </c>
      <c r="H39" s="43" t="n">
        <v>4</v>
      </c>
      <c r="I39" s="43" t="n">
        <v>4</v>
      </c>
      <c r="J39" s="43" t="n">
        <v>250</v>
      </c>
      <c r="K39" s="43" t="n">
        <v>250</v>
      </c>
      <c r="L39" s="41" t="inlineStr">
        <is>
          <t>loạt</t>
        </is>
      </c>
      <c r="M39" s="41" t="inlineStr">
        <is>
          <t>loạt</t>
        </is>
      </c>
      <c r="N39" s="43" t="n">
        <v>4</v>
      </c>
      <c r="O39" s="43" t="n">
        <v>4</v>
      </c>
      <c r="P39" s="43" t="n">
        <v>2</v>
      </c>
      <c r="Q39" s="43" t="n">
        <v>2</v>
      </c>
      <c r="R39" s="43" t="n">
        <v>4.29</v>
      </c>
      <c r="S39" s="43" t="n">
        <v>4.29</v>
      </c>
      <c r="T39" s="43" t="n">
        <v>55</v>
      </c>
      <c r="U39" s="43" t="n">
        <v>55</v>
      </c>
      <c r="V39" s="43" t="n">
        <v>420</v>
      </c>
      <c r="W39" s="43" t="n">
        <v>420</v>
      </c>
      <c r="X39" s="51">
        <f>IFERROR(U39/W39,"")</f>
        <v/>
      </c>
      <c r="Y39" s="51" t="n"/>
      <c r="Z39" s="51" t="n"/>
      <c r="AA39" s="51">
        <f>IFERROR(IF(L39="từng phát",J39*N39,J39*P39/(P39/N39+R39)),"")</f>
        <v/>
      </c>
      <c r="AB39" s="51">
        <f>IFERROR(IF(M39="từng phát",K39*O39,K39*Q39/(Q39/O39+S39)),"")</f>
        <v/>
      </c>
      <c r="AC39" s="51">
        <f>IFERROR(AB39*VLOOKUP(E39,'Hệ số'!$A$2:$D$8,2,0)*IF((I39-0)&gt;=2,1.2,IF((I39-0)=1,1,IF((I39-0)=0,0.85,IF((I39-0)=-1,0.5,IF((I39-0)=-2,0.25,0.1))))),"")</f>
        <v/>
      </c>
      <c r="AD39" s="51">
        <f>IFERROR(AB39*VLOOKUP(E39,'Hệ số'!$A$2:$D$8,2,0)*IF((I39-1)&gt;=2,1.2,IF((I39-1)=1,1,IF((I39-1)=0,0.85,IF((I39-1)=-1,0.5,IF((I39-1)=-2,0.25,0.1))))),"")</f>
        <v/>
      </c>
      <c r="AE39" s="51">
        <f>IFERROR(AB39*VLOOKUP(E39,'Hệ số'!$A$2:$D$8,2,0)*IF((I39-2)&gt;=2,1.2,IF((I39-2)=1,1,IF((I39-2)=0,0.85,IF((I39-2)=-1,0.5,IF((I39-2)=-2,0.25,0.1))))),"")</f>
        <v/>
      </c>
      <c r="AF39" s="51">
        <f>IFERROR(AB39*VLOOKUP(E39,'Hệ số'!$A$2:$D$8,2,0)*IF((I39-3)&gt;=2,1.2,IF((I39-3)=1,1,IF((I39-3)=0,0.85,IF((I39-3)=-1,0.5,IF((I39-3)=-2,0.25,0.1))))),"")</f>
        <v/>
      </c>
      <c r="AG39" s="51">
        <f>IFERROR(AB39*VLOOKUP(E39,'Hệ số'!$A$2:$D$8,2,0)*IF((I39-4)&gt;=2,1.2,IF((I39-4)=1,1,IF((I39-4)=0,0.85,IF((I39-4)=-1,0.5,IF((I39-4)=-2,0.25,0.1))))),"")</f>
        <v/>
      </c>
      <c r="AH39" s="51">
        <f>IFERROR(AB39*VLOOKUP(E39,'Hệ số'!$A$2:$D$8,2,0)*IF((I39-5)&gt;=2,1.2,IF((I39-5)=1,1,IF((I39-5)=0,0.85,IF((I39-5)=-1,0.5,IF((I39-5)=-2,0.25,0.1))))),"")</f>
        <v/>
      </c>
      <c r="AI39" s="51">
        <f>IFERROR(AB39*VLOOKUP(E39,'Hệ số'!$A$2:$D$8,3,0),"")</f>
        <v/>
      </c>
      <c r="AJ39" s="51">
        <f>IFERROR(AB39*VLOOKUP(E39,'Hệ số'!$A$2:$D$8,4,0)*IF((I39-2)&gt;=2,1.2,IF((I39-2)=1,1,IF((I39-2)=0,0.85,IF((I39-2)=-1,0.5,IF((I39-2)=-2,0.25,0.1))))),"")</f>
        <v/>
      </c>
      <c r="AK39" s="41" t="inlineStr">
        <is>
          <t>Đạn xuyên thẳng qua nhiều mục tiêu; không bị APS; cần đồng đội soi mục tiêu ở tầm xa.</t>
        </is>
      </c>
      <c r="AL39" s="41" t="n"/>
      <c r="AM39" s="41" t="inlineStr">
        <is>
          <t>coilgun (giả tưởng)</t>
        </is>
      </c>
      <c r="AN39" s="41" t="inlineStr">
        <is>
          <t>Giữ.</t>
        </is>
      </c>
      <c r="AO39" s="41" t="n"/>
    </row>
    <row r="40" ht="32.25" customHeight="1" s="32">
      <c r="A40" s="39" t="inlineStr">
        <is>
          <t>cruiser_203</t>
        </is>
      </c>
      <c r="B40" s="39" t="inlineStr">
        <is>
          <t>Mk 71 203 mm (twin)</t>
        </is>
      </c>
      <c r="C40" s="39" t="inlineStr">
        <is>
          <t>Đạn pháo nổ mạnh</t>
        </is>
      </c>
      <c r="D40" s="39" t="inlineStr">
        <is>
          <t>Tuần dương hạm</t>
        </is>
      </c>
      <c r="E40" s="39" t="inlineStr">
        <is>
          <t>Nổ mạnh</t>
        </is>
      </c>
      <c r="F40" s="39" t="inlineStr">
        <is>
          <t>HeShell</t>
        </is>
      </c>
      <c r="G40" s="42" t="n">
        <v>203</v>
      </c>
      <c r="H40" s="42" t="n">
        <v>4</v>
      </c>
      <c r="I40" s="42" t="n">
        <v>4</v>
      </c>
      <c r="J40" s="42" t="n">
        <v>420</v>
      </c>
      <c r="K40" s="42" t="n">
        <v>420</v>
      </c>
      <c r="L40" s="39" t="inlineStr">
        <is>
          <t>loạt</t>
        </is>
      </c>
      <c r="M40" s="39" t="inlineStr">
        <is>
          <t>loạt</t>
        </is>
      </c>
      <c r="N40" s="42" t="n">
        <v>2.5</v>
      </c>
      <c r="O40" s="42" t="n">
        <v>2.5</v>
      </c>
      <c r="P40" s="42" t="n">
        <v>2</v>
      </c>
      <c r="Q40" s="42" t="n">
        <v>2</v>
      </c>
      <c r="R40" s="42" t="n">
        <v>11</v>
      </c>
      <c r="S40" s="42" t="n">
        <v>11</v>
      </c>
      <c r="T40" s="42" t="n">
        <v>105</v>
      </c>
      <c r="U40" s="42" t="n">
        <v>105</v>
      </c>
      <c r="V40" s="42" t="n">
        <v>70</v>
      </c>
      <c r="W40" s="42" t="n">
        <v>70</v>
      </c>
      <c r="X40" s="50">
        <f>IFERROR(U40/W40,"")</f>
        <v/>
      </c>
      <c r="Y40" s="52" t="n">
        <v>5.5</v>
      </c>
      <c r="Z40" s="52" t="n">
        <v>8</v>
      </c>
      <c r="AA40" s="50">
        <f>IFERROR(IF(L40="từng phát",J40*N40,J40*P40/(P40/N40+R40)),"")</f>
        <v/>
      </c>
      <c r="AB40" s="50">
        <f>IFERROR(IF(M40="từng phát",K40*O40,K40*Q40/(Q40/O40+S40)),"")</f>
        <v/>
      </c>
      <c r="AC40" s="50">
        <f>IFERROR(AB40*VLOOKUP(E40,'Hệ số'!$A$2:$D$8,2,0)*IF((I40-0)&gt;=2,1.2,IF((I40-0)=1,1,IF((I40-0)=0,0.85,IF((I40-0)=-1,0.5,IF((I40-0)=-2,0.25,0.1))))),"")</f>
        <v/>
      </c>
      <c r="AD40" s="50">
        <f>IFERROR(AB40*VLOOKUP(E40,'Hệ số'!$A$2:$D$8,2,0)*IF((I40-1)&gt;=2,1.2,IF((I40-1)=1,1,IF((I40-1)=0,0.85,IF((I40-1)=-1,0.5,IF((I40-1)=-2,0.25,0.1))))),"")</f>
        <v/>
      </c>
      <c r="AE40" s="50">
        <f>IFERROR(AB40*VLOOKUP(E40,'Hệ số'!$A$2:$D$8,2,0)*IF((I40-2)&gt;=2,1.2,IF((I40-2)=1,1,IF((I40-2)=0,0.85,IF((I40-2)=-1,0.5,IF((I40-2)=-2,0.25,0.1))))),"")</f>
        <v/>
      </c>
      <c r="AF40" s="50">
        <f>IFERROR(AB40*VLOOKUP(E40,'Hệ số'!$A$2:$D$8,2,0)*IF((I40-3)&gt;=2,1.2,IF((I40-3)=1,1,IF((I40-3)=0,0.85,IF((I40-3)=-1,0.5,IF((I40-3)=-2,0.25,0.1))))),"")</f>
        <v/>
      </c>
      <c r="AG40" s="50">
        <f>IFERROR(AB40*VLOOKUP(E40,'Hệ số'!$A$2:$D$8,2,0)*IF((I40-4)&gt;=2,1.2,IF((I40-4)=1,1,IF((I40-4)=0,0.85,IF((I40-4)=-1,0.5,IF((I40-4)=-2,0.25,0.1))))),"")</f>
        <v/>
      </c>
      <c r="AH40" s="50">
        <f>IFERROR(AB40*VLOOKUP(E40,'Hệ số'!$A$2:$D$8,2,0)*IF((I40-5)&gt;=2,1.2,IF((I40-5)=1,1,IF((I40-5)=0,0.85,IF((I40-5)=-1,0.5,IF((I40-5)=-2,0.25,0.1))))),"")</f>
        <v/>
      </c>
      <c r="AI40" s="50">
        <f>IFERROR(AB40*VLOOKUP(E40,'Hệ số'!$A$2:$D$8,3,0),"")</f>
        <v/>
      </c>
      <c r="AJ40" s="50">
        <f>IFERROR(AB40*VLOOKUP(E40,'Hệ số'!$A$2:$D$8,4,0)*IF((I40-2)&gt;=2,1.2,IF((I40-2)=1,1,IF((I40-2)=0,0.85,IF((I40-2)=-1,0.5,IF((I40-2)=-2,0.25,0.1))))),"")</f>
        <v/>
      </c>
      <c r="AK40" s="39" t="inlineStr">
        <is>
          <t>Bắn cầu vồng hoặc bắn thẳng tùy pháo; nổ lan; C-RAM chặn được một phần; mạnh với công trình (×1,5).</t>
        </is>
      </c>
      <c r="AL40" s="39" t="inlineStr">
        <is>
          <t>Thêm đạn dẫn đường (Excalibur/Krasnopol: 1 phát, không tản mát) cho nhánh hạng 7 hoặc thẻ hỗ trợ.</t>
        </is>
      </c>
      <c r="AM40" s="39" t="inlineStr">
        <is>
          <t>Mk 71 203 mm: 12 phát/phút</t>
        </is>
      </c>
      <c r="AN40" s="39" t="inlineStr">
        <is>
          <t>Thống nhất 203 mm.</t>
        </is>
      </c>
      <c r="AO40" s="48" t="inlineStr">
        <is>
          <t>Trung</t>
        </is>
      </c>
    </row>
    <row r="41" ht="15" customHeight="1" s="32">
      <c r="A41" s="41" t="inlineStr">
        <is>
          <t>detonator</t>
        </is>
      </c>
      <c r="B41" s="41" t="inlineStr">
        <is>
          <t>car bomb (900 kg)</t>
        </is>
      </c>
      <c r="C41" s="41" t="inlineStr">
        <is>
          <t>Khác</t>
        </is>
      </c>
      <c r="D41" s="41" t="inlineStr">
        <is>
          <t>Xe bom</t>
        </is>
      </c>
      <c r="E41" s="41" t="inlineStr">
        <is>
          <t>Nổ mạnh</t>
        </is>
      </c>
      <c r="F41" s="41" t="inlineStr">
        <is>
          <t>CarBomb</t>
        </is>
      </c>
      <c r="G41" s="43" t="n">
        <v>900</v>
      </c>
      <c r="H41" s="43" t="n">
        <v>4</v>
      </c>
      <c r="I41" s="43" t="n">
        <v>4</v>
      </c>
      <c r="J41" s="43" t="n">
        <v>770</v>
      </c>
      <c r="K41" s="43" t="n">
        <v>770</v>
      </c>
      <c r="L41" s="41" t="inlineStr">
        <is>
          <t>từng phát</t>
        </is>
      </c>
      <c r="M41" s="41" t="inlineStr">
        <is>
          <t>từng phát</t>
        </is>
      </c>
      <c r="N41" s="43" t="n">
        <v>1</v>
      </c>
      <c r="O41" s="43" t="n">
        <v>1</v>
      </c>
      <c r="P41" s="43" t="n">
        <v>1</v>
      </c>
      <c r="Q41" s="43" t="n">
        <v>1</v>
      </c>
      <c r="R41" s="43" t="n">
        <v>1</v>
      </c>
      <c r="S41" s="43" t="n">
        <v>1</v>
      </c>
      <c r="T41" s="43" t="n">
        <v>3</v>
      </c>
      <c r="U41" s="43" t="n">
        <v>3</v>
      </c>
      <c r="V41" s="43" t="n">
        <v>100</v>
      </c>
      <c r="W41" s="43" t="n">
        <v>100</v>
      </c>
      <c r="X41" s="51">
        <f>IFERROR(U41/W41,"")</f>
        <v/>
      </c>
      <c r="Y41" s="53" t="n">
        <v>7.5</v>
      </c>
      <c r="Z41" s="53" t="n">
        <v>10</v>
      </c>
      <c r="AA41" s="51">
        <f>IFERROR(IF(L41="từng phát",J41*N41,J41*P41/(P41/N41+R41)),"")</f>
        <v/>
      </c>
      <c r="AB41" s="51">
        <f>IFERROR(IF(M41="từng phát",K41*O41,K41*Q41/(Q41/O41+S41)),"")</f>
        <v/>
      </c>
      <c r="AC41" s="51">
        <f>IFERROR(AB41*VLOOKUP(E41,'Hệ số'!$A$2:$D$8,2,0)*IF((I41-0)&gt;=2,1.2,IF((I41-0)=1,1,IF((I41-0)=0,0.85,IF((I41-0)=-1,0.5,IF((I41-0)=-2,0.25,0.1))))),"")</f>
        <v/>
      </c>
      <c r="AD41" s="51">
        <f>IFERROR(AB41*VLOOKUP(E41,'Hệ số'!$A$2:$D$8,2,0)*IF((I41-1)&gt;=2,1.2,IF((I41-1)=1,1,IF((I41-1)=0,0.85,IF((I41-1)=-1,0.5,IF((I41-1)=-2,0.25,0.1))))),"")</f>
        <v/>
      </c>
      <c r="AE41" s="51">
        <f>IFERROR(AB41*VLOOKUP(E41,'Hệ số'!$A$2:$D$8,2,0)*IF((I41-2)&gt;=2,1.2,IF((I41-2)=1,1,IF((I41-2)=0,0.85,IF((I41-2)=-1,0.5,IF((I41-2)=-2,0.25,0.1))))),"")</f>
        <v/>
      </c>
      <c r="AF41" s="51">
        <f>IFERROR(AB41*VLOOKUP(E41,'Hệ số'!$A$2:$D$8,2,0)*IF((I41-3)&gt;=2,1.2,IF((I41-3)=1,1,IF((I41-3)=0,0.85,IF((I41-3)=-1,0.5,IF((I41-3)=-2,0.25,0.1))))),"")</f>
        <v/>
      </c>
      <c r="AG41" s="51">
        <f>IFERROR(AB41*VLOOKUP(E41,'Hệ số'!$A$2:$D$8,2,0)*IF((I41-4)&gt;=2,1.2,IF((I41-4)=1,1,IF((I41-4)=0,0.85,IF((I41-4)=-1,0.5,IF((I41-4)=-2,0.25,0.1))))),"")</f>
        <v/>
      </c>
      <c r="AH41" s="51">
        <f>IFERROR(AB41*VLOOKUP(E41,'Hệ số'!$A$2:$D$8,2,0)*IF((I41-5)&gt;=2,1.2,IF((I41-5)=1,1,IF((I41-5)=0,0.85,IF((I41-5)=-1,0.5,IF((I41-5)=-2,0.25,0.1))))),"")</f>
        <v/>
      </c>
      <c r="AI41" s="51">
        <f>IFERROR(AB41*VLOOKUP(E41,'Hệ số'!$A$2:$D$8,3,0),"")</f>
        <v/>
      </c>
      <c r="AJ41" s="51">
        <f>IFERROR(AB41*VLOOKUP(E41,'Hệ số'!$A$2:$D$8,4,0)*IF((I41-2)&gt;=2,1.2,IF((I41-2)=1,1,IF((I41-2)=0,0.85,IF((I41-2)=-1,0.5,IF((I41-2)=-2,0.25,0.1))))),"")</f>
        <v/>
      </c>
      <c r="AK41" s="41" t="n"/>
      <c r="AL41" s="41" t="n"/>
      <c r="AM41" s="41" t="inlineStr">
        <is>
          <t>VBIED: hàng trăm kg tới hơn 1 tấn thuốc nổ</t>
        </is>
      </c>
      <c r="AN41" s="41" t="inlineStr">
        <is>
          <t>900 kg thuốc nổ.</t>
        </is>
      </c>
      <c r="AO41" s="48" t="inlineStr">
        <is>
          <t>Trung</t>
        </is>
      </c>
    </row>
    <row r="42" ht="21.75" customHeight="1" s="32">
      <c r="A42" s="39" t="inlineStr">
        <is>
          <t>door_gun</t>
        </is>
      </c>
      <c r="B42" s="39" t="inlineStr">
        <is>
          <t>PKT 7.62 mm</t>
        </is>
      </c>
      <c r="C42" s="39" t="inlineStr">
        <is>
          <t>Súng máy 7,62 mm</t>
        </is>
      </c>
      <c r="D42" s="39" t="inlineStr">
        <is>
          <t>TT hỏa lực</t>
        </is>
      </c>
      <c r="E42" s="39" t="inlineStr">
        <is>
          <t>Động năng</t>
        </is>
      </c>
      <c r="F42" s="39" t="inlineStr">
        <is>
          <t>BulletSmall</t>
        </is>
      </c>
      <c r="G42" s="42" t="n">
        <v>7.6</v>
      </c>
      <c r="H42" s="42" t="n">
        <v>0</v>
      </c>
      <c r="I42" s="42" t="n">
        <v>0</v>
      </c>
      <c r="J42" s="42" t="n">
        <v>5.5</v>
      </c>
      <c r="K42" s="42" t="n">
        <v>5.5</v>
      </c>
      <c r="L42" s="39" t="inlineStr">
        <is>
          <t>băng</t>
        </is>
      </c>
      <c r="M42" s="39" t="inlineStr">
        <is>
          <t>băng</t>
        </is>
      </c>
      <c r="N42" s="42" t="n">
        <v>12</v>
      </c>
      <c r="O42" s="42" t="n">
        <v>12</v>
      </c>
      <c r="P42" s="42" t="n">
        <v>46</v>
      </c>
      <c r="Q42" s="42" t="n">
        <v>100</v>
      </c>
      <c r="R42" s="42" t="n">
        <v>0.58</v>
      </c>
      <c r="S42" s="42" t="n">
        <v>4</v>
      </c>
      <c r="T42" s="42" t="n">
        <v>22</v>
      </c>
      <c r="U42" s="42" t="n">
        <v>22</v>
      </c>
      <c r="V42" s="42" t="n">
        <v>220</v>
      </c>
      <c r="W42" s="42" t="n">
        <v>220</v>
      </c>
      <c r="X42" s="50">
        <f>IFERROR(U42/W42,"")</f>
        <v/>
      </c>
      <c r="Y42" s="50" t="n"/>
      <c r="Z42" s="50" t="n"/>
      <c r="AA42" s="50">
        <f>IFERROR(IF(L42="từng phát",J42*N42,J42*P42/(P42/N42+R42)),"")</f>
        <v/>
      </c>
      <c r="AB42" s="50">
        <f>IFERROR(IF(M42="từng phát",K42*O42,K42*Q42/(Q42/O42+S42)),"")</f>
        <v/>
      </c>
      <c r="AC42" s="50">
        <f>IFERROR(AB42*VLOOKUP(E42,'Hệ số'!$A$2:$D$8,2,0)*IF((I42-0)&gt;=2,1.2,IF((I42-0)=1,1,IF((I42-0)=0,0.85,IF((I42-0)=-1,0.5,IF((I42-0)=-2,0.25,0.1))))),"")</f>
        <v/>
      </c>
      <c r="AD42" s="50">
        <f>IFERROR(AB42*VLOOKUP(E42,'Hệ số'!$A$2:$D$8,2,0)*IF((I42-1)&gt;=2,1.2,IF((I42-1)=1,1,IF((I42-1)=0,0.85,IF((I42-1)=-1,0.5,IF((I42-1)=-2,0.25,0.1))))),"")</f>
        <v/>
      </c>
      <c r="AE42" s="50">
        <f>IFERROR(AB42*VLOOKUP(E42,'Hệ số'!$A$2:$D$8,2,0)*IF((I42-2)&gt;=2,1.2,IF((I42-2)=1,1,IF((I42-2)=0,0.85,IF((I42-2)=-1,0.5,IF((I42-2)=-2,0.25,0.1))))),"")</f>
        <v/>
      </c>
      <c r="AF42" s="50">
        <f>IFERROR(AB42*VLOOKUP(E42,'Hệ số'!$A$2:$D$8,2,0)*IF((I42-3)&gt;=2,1.2,IF((I42-3)=1,1,IF((I42-3)=0,0.85,IF((I42-3)=-1,0.5,IF((I42-3)=-2,0.25,0.1))))),"")</f>
        <v/>
      </c>
      <c r="AG42" s="50">
        <f>IFERROR(AB42*VLOOKUP(E42,'Hệ số'!$A$2:$D$8,2,0)*IF((I42-4)&gt;=2,1.2,IF((I42-4)=1,1,IF((I42-4)=0,0.85,IF((I42-4)=-1,0.5,IF((I42-4)=-2,0.25,0.1))))),"")</f>
        <v/>
      </c>
      <c r="AH42" s="50">
        <f>IFERROR(AB42*VLOOKUP(E42,'Hệ số'!$A$2:$D$8,2,0)*IF((I42-5)&gt;=2,1.2,IF((I42-5)=1,1,IF((I42-5)=0,0.85,IF((I42-5)=-1,0.5,IF((I42-5)=-2,0.25,0.1))))),"")</f>
        <v/>
      </c>
      <c r="AI42" s="50">
        <f>IFERROR(AB42*VLOOKUP(E42,'Hệ số'!$A$2:$D$8,3,0),"")</f>
        <v/>
      </c>
      <c r="AJ42" s="50">
        <f>IFERROR(AB42*VLOOKUP(E42,'Hệ số'!$A$2:$D$8,4,0)*IF((I42-2)&gt;=2,1.2,IF((I42-2)=1,1,IF((I42-2)=0,0.85,IF((I42-2)=-1,0.5,IF((I42-2)=-2,0.25,0.1))))),"")</f>
        <v/>
      </c>
      <c r="AK42" s="39" t="inlineStr">
        <is>
          <t>Bắn cả khi chạy; bắn cả mục tiêu bay thấp; đạn nảy khỏi giáp từ cấp 1.</t>
        </is>
      </c>
      <c r="AL42" s="39" t="n"/>
      <c r="AM42" s="39" t="inlineStr">
        <is>
          <t>PKT: 700–800</t>
        </is>
      </c>
      <c r="AN42" s="39" t="inlineStr">
        <is>
          <t>Như PKT đồng trục.</t>
        </is>
      </c>
      <c r="AO42" s="48" t="inlineStr">
        <is>
          <t>Trung</t>
        </is>
      </c>
    </row>
    <row r="43" ht="15" customHeight="1" s="32">
      <c r="A43" s="41" t="inlineStr">
        <is>
          <t>dozer_blade</t>
        </is>
      </c>
      <c r="B43" s="41" t="inlineStr">
        <is>
          <t>dozer blade</t>
        </is>
      </c>
      <c r="C43" s="41" t="inlineStr">
        <is>
          <t>Khác</t>
        </is>
      </c>
      <c r="D43" s="41" t="inlineStr">
        <is>
          <t>Xe ủi</t>
        </is>
      </c>
      <c r="E43" s="41" t="inlineStr">
        <is>
          <t>Động năng</t>
        </is>
      </c>
      <c r="F43" s="41" t="inlineStr">
        <is>
          <t>Blade</t>
        </is>
      </c>
      <c r="G43" s="43" t="n">
        <v>1</v>
      </c>
      <c r="H43" s="43" t="n">
        <v>3</v>
      </c>
      <c r="I43" s="43" t="n">
        <v>3</v>
      </c>
      <c r="J43" s="43" t="n">
        <v>110</v>
      </c>
      <c r="K43" s="43" t="n">
        <v>110</v>
      </c>
      <c r="L43" s="41" t="inlineStr">
        <is>
          <t>từng phát</t>
        </is>
      </c>
      <c r="M43" s="41" t="inlineStr">
        <is>
          <t>từng phát</t>
        </is>
      </c>
      <c r="N43" s="43" t="n">
        <v>0.625</v>
      </c>
      <c r="O43" s="43" t="n">
        <v>0.625</v>
      </c>
      <c r="P43" s="43" t="n">
        <v>1</v>
      </c>
      <c r="Q43" s="43" t="n">
        <v>1</v>
      </c>
      <c r="R43" s="43" t="n">
        <v>1.6</v>
      </c>
      <c r="S43" s="43" t="n">
        <v>1.6</v>
      </c>
      <c r="T43" s="43" t="n">
        <v>4</v>
      </c>
      <c r="U43" s="43" t="n">
        <v>4</v>
      </c>
      <c r="V43" s="43" t="n">
        <v>400</v>
      </c>
      <c r="W43" s="43" t="n">
        <v>400</v>
      </c>
      <c r="X43" s="51">
        <f>IFERROR(U43/W43,"")</f>
        <v/>
      </c>
      <c r="Y43" s="51" t="n"/>
      <c r="Z43" s="51" t="n"/>
      <c r="AA43" s="51">
        <f>IFERROR(IF(L43="từng phát",J43*N43,J43*P43/(P43/N43+R43)),"")</f>
        <v/>
      </c>
      <c r="AB43" s="51">
        <f>IFERROR(IF(M43="từng phát",K43*O43,K43*Q43/(Q43/O43+S43)),"")</f>
        <v/>
      </c>
      <c r="AC43" s="51">
        <f>IFERROR(AB43*VLOOKUP(E43,'Hệ số'!$A$2:$D$8,2,0)*IF((I43-0)&gt;=2,1.2,IF((I43-0)=1,1,IF((I43-0)=0,0.85,IF((I43-0)=-1,0.5,IF((I43-0)=-2,0.25,0.1))))),"")</f>
        <v/>
      </c>
      <c r="AD43" s="51">
        <f>IFERROR(AB43*VLOOKUP(E43,'Hệ số'!$A$2:$D$8,2,0)*IF((I43-1)&gt;=2,1.2,IF((I43-1)=1,1,IF((I43-1)=0,0.85,IF((I43-1)=-1,0.5,IF((I43-1)=-2,0.25,0.1))))),"")</f>
        <v/>
      </c>
      <c r="AE43" s="51">
        <f>IFERROR(AB43*VLOOKUP(E43,'Hệ số'!$A$2:$D$8,2,0)*IF((I43-2)&gt;=2,1.2,IF((I43-2)=1,1,IF((I43-2)=0,0.85,IF((I43-2)=-1,0.5,IF((I43-2)=-2,0.25,0.1))))),"")</f>
        <v/>
      </c>
      <c r="AF43" s="51">
        <f>IFERROR(AB43*VLOOKUP(E43,'Hệ số'!$A$2:$D$8,2,0)*IF((I43-3)&gt;=2,1.2,IF((I43-3)=1,1,IF((I43-3)=0,0.85,IF((I43-3)=-1,0.5,IF((I43-3)=-2,0.25,0.1))))),"")</f>
        <v/>
      </c>
      <c r="AG43" s="51">
        <f>IFERROR(AB43*VLOOKUP(E43,'Hệ số'!$A$2:$D$8,2,0)*IF((I43-4)&gt;=2,1.2,IF((I43-4)=1,1,IF((I43-4)=0,0.85,IF((I43-4)=-1,0.5,IF((I43-4)=-2,0.25,0.1))))),"")</f>
        <v/>
      </c>
      <c r="AH43" s="51">
        <f>IFERROR(AB43*VLOOKUP(E43,'Hệ số'!$A$2:$D$8,2,0)*IF((I43-5)&gt;=2,1.2,IF((I43-5)=1,1,IF((I43-5)=0,0.85,IF((I43-5)=-1,0.5,IF((I43-5)=-2,0.25,0.1))))),"")</f>
        <v/>
      </c>
      <c r="AI43" s="51">
        <f>IFERROR(AB43*VLOOKUP(E43,'Hệ số'!$A$2:$D$8,3,0),"")</f>
        <v/>
      </c>
      <c r="AJ43" s="51">
        <f>IFERROR(AB43*VLOOKUP(E43,'Hệ số'!$A$2:$D$8,4,0)*IF((I43-2)&gt;=2,1.2,IF((I43-2)=1,1,IF((I43-2)=0,0.85,IF((I43-2)=-1,0.5,IF((I43-2)=-2,0.25,0.1))))),"")</f>
        <v/>
      </c>
      <c r="AK43" s="41" t="n"/>
      <c r="AL43" s="41" t="n"/>
      <c r="AM43" s="41" t="n"/>
      <c r="AN43" s="41" t="inlineStr">
        <is>
          <t>Giữ.</t>
        </is>
      </c>
      <c r="AO43" s="41" t="n"/>
    </row>
    <row r="44" ht="21.75" customHeight="1" s="32">
      <c r="A44" s="39" t="inlineStr">
        <is>
          <t>drone_missile</t>
        </is>
      </c>
      <c r="B44" s="39" t="inlineStr">
        <is>
          <t>AGM-114 Hellfire</t>
        </is>
      </c>
      <c r="C44" s="39" t="inlineStr">
        <is>
          <t>Tên lửa chống tăng / không đối đất</t>
        </is>
      </c>
      <c r="D44" s="39" t="inlineStr">
        <is>
          <t>UAV tấn công</t>
        </is>
      </c>
      <c r="E44" s="39" t="inlineStr">
        <is>
          <t>Nổ lõm</t>
        </is>
      </c>
      <c r="F44" s="39" t="inlineStr">
        <is>
          <t>Atgm</t>
        </is>
      </c>
      <c r="G44" s="42" t="n">
        <v>49</v>
      </c>
      <c r="H44" s="42" t="n">
        <v>4</v>
      </c>
      <c r="I44" s="42" t="n">
        <v>4</v>
      </c>
      <c r="J44" s="42" t="n">
        <v>260</v>
      </c>
      <c r="K44" s="42" t="n">
        <v>260</v>
      </c>
      <c r="L44" s="39" t="inlineStr">
        <is>
          <t>từng phát</t>
        </is>
      </c>
      <c r="M44" s="39" t="inlineStr">
        <is>
          <t>từng phát</t>
        </is>
      </c>
      <c r="N44" s="42" t="n">
        <v>0.279329608938548</v>
      </c>
      <c r="O44" s="42" t="n">
        <v>0.279329608938548</v>
      </c>
      <c r="P44" s="42" t="n">
        <v>1</v>
      </c>
      <c r="Q44" s="42" t="n">
        <v>1</v>
      </c>
      <c r="R44" s="42" t="n">
        <v>3.58</v>
      </c>
      <c r="S44" s="42" t="n">
        <v>3.58</v>
      </c>
      <c r="T44" s="42" t="n">
        <v>48</v>
      </c>
      <c r="U44" s="42" t="n">
        <v>48</v>
      </c>
      <c r="V44" s="42" t="n">
        <v>21</v>
      </c>
      <c r="W44" s="42" t="n">
        <v>26</v>
      </c>
      <c r="X44" s="50">
        <f>IFERROR(U44/W44,"")</f>
        <v/>
      </c>
      <c r="Y44" s="50" t="n"/>
      <c r="Z44" s="50" t="n"/>
      <c r="AA44" s="50">
        <f>IFERROR(IF(L44="từng phát",J44*N44,J44*P44/(P44/N44+R44)),"")</f>
        <v/>
      </c>
      <c r="AB44" s="50">
        <f>IFERROR(IF(M44="từng phát",K44*O44,K44*Q44/(Q44/O44+S44)),"")</f>
        <v/>
      </c>
      <c r="AC44" s="50">
        <f>IFERROR(AB44*VLOOKUP(E44,'Hệ số'!$A$2:$D$8,2,0)*IF((I44-0)&gt;=2,1.2,IF((I44-0)=1,1,IF((I44-0)=0,0.85,IF((I44-0)=-1,0.5,IF((I44-0)=-2,0.25,0.1))))),"")</f>
        <v/>
      </c>
      <c r="AD44" s="50">
        <f>IFERROR(AB44*VLOOKUP(E44,'Hệ số'!$A$2:$D$8,2,0)*IF((I44-1)&gt;=2,1.2,IF((I44-1)=1,1,IF((I44-1)=0,0.85,IF((I44-1)=-1,0.5,IF((I44-1)=-2,0.25,0.1))))),"")</f>
        <v/>
      </c>
      <c r="AE44" s="50">
        <f>IFERROR(AB44*VLOOKUP(E44,'Hệ số'!$A$2:$D$8,2,0)*IF((I44-2)&gt;=2,1.2,IF((I44-2)=1,1,IF((I44-2)=0,0.85,IF((I44-2)=-1,0.5,IF((I44-2)=-2,0.25,0.1))))),"")</f>
        <v/>
      </c>
      <c r="AF44" s="50">
        <f>IFERROR(AB44*VLOOKUP(E44,'Hệ số'!$A$2:$D$8,2,0)*IF((I44-3)&gt;=2,1.2,IF((I44-3)=1,1,IF((I44-3)=0,0.85,IF((I44-3)=-1,0.5,IF((I44-3)=-2,0.25,0.1))))),"")</f>
        <v/>
      </c>
      <c r="AG44" s="50">
        <f>IFERROR(AB44*VLOOKUP(E44,'Hệ số'!$A$2:$D$8,2,0)*IF((I44-4)&gt;=2,1.2,IF((I44-4)=1,1,IF((I44-4)=0,0.85,IF((I44-4)=-1,0.5,IF((I44-4)=-2,0.25,0.1))))),"")</f>
        <v/>
      </c>
      <c r="AH44" s="50">
        <f>IFERROR(AB44*VLOOKUP(E44,'Hệ số'!$A$2:$D$8,2,0)*IF((I44-5)&gt;=2,1.2,IF((I44-5)=1,1,IF((I44-5)=0,0.85,IF((I44-5)=-1,0.5,IF((I44-5)=-2,0.25,0.1))))),"")</f>
        <v/>
      </c>
      <c r="AI44" s="50">
        <f>IFERROR(AB44*VLOOKUP(E44,'Hệ số'!$A$2:$D$8,3,0),"")</f>
        <v/>
      </c>
      <c r="AJ44" s="50">
        <f>IFERROR(AB44*VLOOKUP(E44,'Hệ số'!$A$2:$D$8,4,0)*IF((I44-2)&gt;=2,1.2,IF((I44-2)=1,1,IF((I44-2)=0,0.85,IF((I44-2)=-1,0.5,IF((I44-2)=-2,0.25,0.1))))),"")</f>
        <v/>
      </c>
      <c r="AK44" s="39" t="inlineStr">
        <is>
          <t>Dẫn đường; bị APS và giáp phản ứng nổ giảm (đầu nổ lõm); bay chậm nên né và khói có tác dụng.</t>
        </is>
      </c>
      <c r="AL44" s="39" t="n"/>
      <c r="AM44" s="39" t="inlineStr">
        <is>
          <t>Hellfire</t>
        </is>
      </c>
      <c r="AN44" s="39" t="inlineStr">
        <is>
          <t>Tốc độ bay 21→26 m/s: Thống nhất Hellfire.</t>
        </is>
      </c>
      <c r="AO44" s="48" t="inlineStr">
        <is>
          <t>Trung</t>
        </is>
      </c>
    </row>
    <row r="45" ht="32.25" customHeight="1" s="32">
      <c r="A45" s="41" t="inlineStr">
        <is>
          <t>fighter_cannon</t>
        </is>
      </c>
      <c r="B45" s="41" t="inlineStr">
        <is>
          <t>GAU-22/A 25 mm</t>
        </is>
      </c>
      <c r="C45" s="41" t="inlineStr">
        <is>
          <t>Pháo tự động / cao xạ 20–40 mm</t>
        </is>
      </c>
      <c r="D45" s="41" t="inlineStr">
        <is>
          <t>Morrigan, TK tàng hình,</t>
        </is>
      </c>
      <c r="E45" s="41" t="inlineStr">
        <is>
          <t>Mảnh</t>
        </is>
      </c>
      <c r="F45" s="41" t="inlineStr">
        <is>
          <t>BeltedAutocannon</t>
        </is>
      </c>
      <c r="G45" s="43" t="n">
        <v>25</v>
      </c>
      <c r="H45" s="43" t="n">
        <v>2</v>
      </c>
      <c r="I45" s="43" t="n">
        <v>2</v>
      </c>
      <c r="J45" s="43" t="n">
        <v>18</v>
      </c>
      <c r="K45" s="43" t="n">
        <v>18</v>
      </c>
      <c r="L45" s="41" t="inlineStr">
        <is>
          <t>băng</t>
        </is>
      </c>
      <c r="M45" s="41" t="inlineStr">
        <is>
          <t>băng</t>
        </is>
      </c>
      <c r="N45" s="43" t="n">
        <v>9</v>
      </c>
      <c r="O45" s="43" t="n">
        <v>9</v>
      </c>
      <c r="P45" s="43" t="n">
        <v>44</v>
      </c>
      <c r="Q45" s="43" t="n">
        <v>44</v>
      </c>
      <c r="R45" s="43" t="n">
        <v>1</v>
      </c>
      <c r="S45" s="43" t="n">
        <v>1</v>
      </c>
      <c r="T45" s="43" t="n">
        <v>30</v>
      </c>
      <c r="U45" s="43" t="n">
        <v>30</v>
      </c>
      <c r="V45" s="43" t="n">
        <v>320</v>
      </c>
      <c r="W45" s="43" t="n">
        <v>320</v>
      </c>
      <c r="X45" s="51">
        <f>IFERROR(U45/W45,"")</f>
        <v/>
      </c>
      <c r="Y45" s="51" t="n"/>
      <c r="Z45" s="51" t="n"/>
      <c r="AA45" s="51">
        <f>IFERROR(IF(L45="từng phát",J45*N45,J45*P45/(P45/N45+R45)),"")</f>
        <v/>
      </c>
      <c r="AB45" s="51">
        <f>IFERROR(IF(M45="từng phát",K45*O45,K45*Q45/(Q45/O45+S45)),"")</f>
        <v/>
      </c>
      <c r="AC45" s="51">
        <f>IFERROR(AB45*VLOOKUP(E45,'Hệ số'!$A$2:$D$8,2,0)*IF((I45-0)&gt;=2,1.2,IF((I45-0)=1,1,IF((I45-0)=0,0.85,IF((I45-0)=-1,0.5,IF((I45-0)=-2,0.25,0.1))))),"")</f>
        <v/>
      </c>
      <c r="AD45" s="51">
        <f>IFERROR(AB45*VLOOKUP(E45,'Hệ số'!$A$2:$D$8,2,0)*IF((I45-1)&gt;=2,1.2,IF((I45-1)=1,1,IF((I45-1)=0,0.85,IF((I45-1)=-1,0.5,IF((I45-1)=-2,0.25,0.1))))),"")</f>
        <v/>
      </c>
      <c r="AE45" s="51">
        <f>IFERROR(AB45*VLOOKUP(E45,'Hệ số'!$A$2:$D$8,2,0)*IF((I45-2)&gt;=2,1.2,IF((I45-2)=1,1,IF((I45-2)=0,0.85,IF((I45-2)=-1,0.5,IF((I45-2)=-2,0.25,0.1))))),"")</f>
        <v/>
      </c>
      <c r="AF45" s="51">
        <f>IFERROR(AB45*VLOOKUP(E45,'Hệ số'!$A$2:$D$8,2,0)*IF((I45-3)&gt;=2,1.2,IF((I45-3)=1,1,IF((I45-3)=0,0.85,IF((I45-3)=-1,0.5,IF((I45-3)=-2,0.25,0.1))))),"")</f>
        <v/>
      </c>
      <c r="AG45" s="51">
        <f>IFERROR(AB45*VLOOKUP(E45,'Hệ số'!$A$2:$D$8,2,0)*IF((I45-4)&gt;=2,1.2,IF((I45-4)=1,1,IF((I45-4)=0,0.85,IF((I45-4)=-1,0.5,IF((I45-4)=-2,0.25,0.1))))),"")</f>
        <v/>
      </c>
      <c r="AH45" s="51">
        <f>IFERROR(AB45*VLOOKUP(E45,'Hệ số'!$A$2:$D$8,2,0)*IF((I45-5)&gt;=2,1.2,IF((I45-5)=1,1,IF((I45-5)=0,0.85,IF((I45-5)=-1,0.5,IF((I45-5)=-2,0.25,0.1))))),"")</f>
        <v/>
      </c>
      <c r="AI45" s="51">
        <f>IFERROR(AB45*VLOOKUP(E45,'Hệ số'!$A$2:$D$8,3,0),"")</f>
        <v/>
      </c>
      <c r="AJ45" s="51">
        <f>IFERROR(AB45*VLOOKUP(E45,'Hệ số'!$A$2:$D$8,4,0)*IF((I45-2)&gt;=2,1.2,IF((I45-2)=1,1,IF((I45-2)=0,0.85,IF((I45-2)=-1,0.5,IF((I45-2)=-2,0.25,0.1))))),"")</f>
        <v/>
      </c>
      <c r="AK45" s="41" t="inlineStr">
        <is>
          <t>Bắn loạt; đạn nổ trên không (Mảnh) mạnh với máy bay và drone, yếu với giáp; đạn xuyên (Động năng) mạnh với giáp 0–2.</t>
        </is>
      </c>
      <c r="AL45" s="41" t="inlineStr">
        <is>
          <t>Tự đổi: đạn xuyên (Động năng) với xe, đạn nổ trên không (Mảnh) với máy bay/drone.</t>
        </is>
      </c>
      <c r="AM45" s="41" t="inlineStr">
        <is>
          <t>GAU-22/A: 3.300</t>
        </is>
      </c>
      <c r="AN45" s="41" t="inlineStr">
        <is>
          <t>Giữ.</t>
        </is>
      </c>
      <c r="AO45" s="41" t="n"/>
    </row>
    <row r="46" ht="32.25" customHeight="1" s="32">
      <c r="A46" s="39" t="inlineStr">
        <is>
          <t>flak_35</t>
        </is>
      </c>
      <c r="B46" s="39" t="inlineStr">
        <is>
          <t>Oerlikon KDA 35 mm</t>
        </is>
      </c>
      <c r="C46" s="39" t="inlineStr">
        <is>
          <t>Pháo tự động / cao xạ 20–40 mm</t>
        </is>
      </c>
      <c r="D46" s="39" t="inlineStr">
        <is>
          <t>Phòng không</t>
        </is>
      </c>
      <c r="E46" s="39" t="inlineStr">
        <is>
          <t>Mảnh</t>
        </is>
      </c>
      <c r="F46" s="39" t="inlineStr">
        <is>
          <t>Airburst</t>
        </is>
      </c>
      <c r="G46" s="42" t="n">
        <v>35</v>
      </c>
      <c r="H46" s="42" t="n">
        <v>2</v>
      </c>
      <c r="I46" s="42" t="n">
        <v>2</v>
      </c>
      <c r="J46" s="42" t="n">
        <v>26</v>
      </c>
      <c r="K46" s="42" t="n">
        <v>26</v>
      </c>
      <c r="L46" s="39" t="inlineStr">
        <is>
          <t>băng</t>
        </is>
      </c>
      <c r="M46" s="39" t="inlineStr">
        <is>
          <t>băng</t>
        </is>
      </c>
      <c r="N46" s="42" t="n">
        <v>4</v>
      </c>
      <c r="O46" s="42" t="n">
        <v>4</v>
      </c>
      <c r="P46" s="42" t="n">
        <v>22</v>
      </c>
      <c r="Q46" s="42" t="n">
        <v>22</v>
      </c>
      <c r="R46" s="42" t="n">
        <v>1</v>
      </c>
      <c r="S46" s="42" t="n">
        <v>1</v>
      </c>
      <c r="T46" s="42" t="n">
        <v>36</v>
      </c>
      <c r="U46" s="42" t="n">
        <v>36</v>
      </c>
      <c r="V46" s="42" t="n">
        <v>260</v>
      </c>
      <c r="W46" s="42" t="n">
        <v>260</v>
      </c>
      <c r="X46" s="50">
        <f>IFERROR(U46/W46,"")</f>
        <v/>
      </c>
      <c r="Y46" s="52" t="n">
        <v>2.5</v>
      </c>
      <c r="Z46" s="52" t="n">
        <v>2.5</v>
      </c>
      <c r="AA46" s="50">
        <f>IFERROR(IF(L46="từng phát",J46*N46,J46*P46/(P46/N46+R46)),"")</f>
        <v/>
      </c>
      <c r="AB46" s="50">
        <f>IFERROR(IF(M46="từng phát",K46*O46,K46*Q46/(Q46/O46+S46)),"")</f>
        <v/>
      </c>
      <c r="AC46" s="50">
        <f>IFERROR(AB46*VLOOKUP(E46,'Hệ số'!$A$2:$D$8,2,0)*IF((I46-0)&gt;=2,1.2,IF((I46-0)=1,1,IF((I46-0)=0,0.85,IF((I46-0)=-1,0.5,IF((I46-0)=-2,0.25,0.1))))),"")</f>
        <v/>
      </c>
      <c r="AD46" s="50">
        <f>IFERROR(AB46*VLOOKUP(E46,'Hệ số'!$A$2:$D$8,2,0)*IF((I46-1)&gt;=2,1.2,IF((I46-1)=1,1,IF((I46-1)=0,0.85,IF((I46-1)=-1,0.5,IF((I46-1)=-2,0.25,0.1))))),"")</f>
        <v/>
      </c>
      <c r="AE46" s="50">
        <f>IFERROR(AB46*VLOOKUP(E46,'Hệ số'!$A$2:$D$8,2,0)*IF((I46-2)&gt;=2,1.2,IF((I46-2)=1,1,IF((I46-2)=0,0.85,IF((I46-2)=-1,0.5,IF((I46-2)=-2,0.25,0.1))))),"")</f>
        <v/>
      </c>
      <c r="AF46" s="50">
        <f>IFERROR(AB46*VLOOKUP(E46,'Hệ số'!$A$2:$D$8,2,0)*IF((I46-3)&gt;=2,1.2,IF((I46-3)=1,1,IF((I46-3)=0,0.85,IF((I46-3)=-1,0.5,IF((I46-3)=-2,0.25,0.1))))),"")</f>
        <v/>
      </c>
      <c r="AG46" s="50">
        <f>IFERROR(AB46*VLOOKUP(E46,'Hệ số'!$A$2:$D$8,2,0)*IF((I46-4)&gt;=2,1.2,IF((I46-4)=1,1,IF((I46-4)=0,0.85,IF((I46-4)=-1,0.5,IF((I46-4)=-2,0.25,0.1))))),"")</f>
        <v/>
      </c>
      <c r="AH46" s="50">
        <f>IFERROR(AB46*VLOOKUP(E46,'Hệ số'!$A$2:$D$8,2,0)*IF((I46-5)&gt;=2,1.2,IF((I46-5)=1,1,IF((I46-5)=0,0.85,IF((I46-5)=-1,0.5,IF((I46-5)=-2,0.25,0.1))))),"")</f>
        <v/>
      </c>
      <c r="AI46" s="50">
        <f>IFERROR(AB46*VLOOKUP(E46,'Hệ số'!$A$2:$D$8,3,0),"")</f>
        <v/>
      </c>
      <c r="AJ46" s="50">
        <f>IFERROR(AB46*VLOOKUP(E46,'Hệ số'!$A$2:$D$8,4,0)*IF((I46-2)&gt;=2,1.2,IF((I46-2)=1,1,IF((I46-2)=0,0.85,IF((I46-2)=-1,0.5,IF((I46-2)=-2,0.25,0.1))))),"")</f>
        <v/>
      </c>
      <c r="AK46" s="39" t="inlineStr">
        <is>
          <t>Bắn loạt; đạn nổ trên không (Mảnh) mạnh với máy bay và drone, yếu với giáp; đạn xuyên (Động năng) mạnh với giáp 0–2.</t>
        </is>
      </c>
      <c r="AL46" s="39" t="inlineStr">
        <is>
          <t>Tự đổi: đạn xuyên (Động năng) với xe, đạn nổ trên không (Mảnh) với máy bay/drone.</t>
        </is>
      </c>
      <c r="AM46" s="39" t="inlineStr">
        <is>
          <t>KDA 35 mm: 550 phát/phút mỗi nòng</t>
        </is>
      </c>
      <c r="AN46" s="39" t="inlineStr">
        <is>
          <t>Giữ.</t>
        </is>
      </c>
      <c r="AO46" s="39" t="n"/>
    </row>
    <row r="47" ht="32.25" customHeight="1" s="32">
      <c r="A47" s="41" t="inlineStr">
        <is>
          <t>flak_quad</t>
        </is>
      </c>
      <c r="B47" s="41" t="inlineStr">
        <is>
          <t>ZSU-23-4 23 mm</t>
        </is>
      </c>
      <c r="C47" s="41" t="inlineStr">
        <is>
          <t>Pháo tự động / cao xạ 20–40 mm</t>
        </is>
      </c>
      <c r="D47" s="41" t="inlineStr">
        <is>
          <t>Tháp cao xạ</t>
        </is>
      </c>
      <c r="E47" s="41" t="inlineStr">
        <is>
          <t>Mảnh</t>
        </is>
      </c>
      <c r="F47" s="41" t="inlineStr">
        <is>
          <t>Airburst</t>
        </is>
      </c>
      <c r="G47" s="43" t="n">
        <v>23</v>
      </c>
      <c r="H47" s="43" t="n">
        <v>1</v>
      </c>
      <c r="I47" s="43" t="n">
        <v>1</v>
      </c>
      <c r="J47" s="43" t="n">
        <v>14</v>
      </c>
      <c r="K47" s="43" t="n">
        <v>14</v>
      </c>
      <c r="L47" s="41" t="inlineStr">
        <is>
          <t>băng</t>
        </is>
      </c>
      <c r="M47" s="41" t="inlineStr">
        <is>
          <t>băng</t>
        </is>
      </c>
      <c r="N47" s="43" t="n">
        <v>31</v>
      </c>
      <c r="O47" s="43" t="n">
        <v>31</v>
      </c>
      <c r="P47" s="43" t="n">
        <v>54</v>
      </c>
      <c r="Q47" s="43" t="n">
        <v>54</v>
      </c>
      <c r="R47" s="43" t="n">
        <v>1.5</v>
      </c>
      <c r="S47" s="43" t="n">
        <v>1.5</v>
      </c>
      <c r="T47" s="43" t="n">
        <v>46</v>
      </c>
      <c r="U47" s="43" t="n">
        <v>46</v>
      </c>
      <c r="V47" s="43" t="n">
        <v>300</v>
      </c>
      <c r="W47" s="43" t="n">
        <v>300</v>
      </c>
      <c r="X47" s="51">
        <f>IFERROR(U47/W47,"")</f>
        <v/>
      </c>
      <c r="Y47" s="53" t="n">
        <v>3.5</v>
      </c>
      <c r="Z47" s="53" t="n">
        <v>3.5</v>
      </c>
      <c r="AA47" s="51">
        <f>IFERROR(IF(L47="từng phát",J47*N47,J47*P47/(P47/N47+R47)),"")</f>
        <v/>
      </c>
      <c r="AB47" s="51">
        <f>IFERROR(IF(M47="từng phát",K47*O47,K47*Q47/(Q47/O47+S47)),"")</f>
        <v/>
      </c>
      <c r="AC47" s="51">
        <f>IFERROR(AB47*VLOOKUP(E47,'Hệ số'!$A$2:$D$8,2,0)*IF((I47-0)&gt;=2,1.2,IF((I47-0)=1,1,IF((I47-0)=0,0.85,IF((I47-0)=-1,0.5,IF((I47-0)=-2,0.25,0.1))))),"")</f>
        <v/>
      </c>
      <c r="AD47" s="51">
        <f>IFERROR(AB47*VLOOKUP(E47,'Hệ số'!$A$2:$D$8,2,0)*IF((I47-1)&gt;=2,1.2,IF((I47-1)=1,1,IF((I47-1)=0,0.85,IF((I47-1)=-1,0.5,IF((I47-1)=-2,0.25,0.1))))),"")</f>
        <v/>
      </c>
      <c r="AE47" s="51">
        <f>IFERROR(AB47*VLOOKUP(E47,'Hệ số'!$A$2:$D$8,2,0)*IF((I47-2)&gt;=2,1.2,IF((I47-2)=1,1,IF((I47-2)=0,0.85,IF((I47-2)=-1,0.5,IF((I47-2)=-2,0.25,0.1))))),"")</f>
        <v/>
      </c>
      <c r="AF47" s="51">
        <f>IFERROR(AB47*VLOOKUP(E47,'Hệ số'!$A$2:$D$8,2,0)*IF((I47-3)&gt;=2,1.2,IF((I47-3)=1,1,IF((I47-3)=0,0.85,IF((I47-3)=-1,0.5,IF((I47-3)=-2,0.25,0.1))))),"")</f>
        <v/>
      </c>
      <c r="AG47" s="51">
        <f>IFERROR(AB47*VLOOKUP(E47,'Hệ số'!$A$2:$D$8,2,0)*IF((I47-4)&gt;=2,1.2,IF((I47-4)=1,1,IF((I47-4)=0,0.85,IF((I47-4)=-1,0.5,IF((I47-4)=-2,0.25,0.1))))),"")</f>
        <v/>
      </c>
      <c r="AH47" s="51">
        <f>IFERROR(AB47*VLOOKUP(E47,'Hệ số'!$A$2:$D$8,2,0)*IF((I47-5)&gt;=2,1.2,IF((I47-5)=1,1,IF((I47-5)=0,0.85,IF((I47-5)=-1,0.5,IF((I47-5)=-2,0.25,0.1))))),"")</f>
        <v/>
      </c>
      <c r="AI47" s="51">
        <f>IFERROR(AB47*VLOOKUP(E47,'Hệ số'!$A$2:$D$8,3,0),"")</f>
        <v/>
      </c>
      <c r="AJ47" s="51">
        <f>IFERROR(AB47*VLOOKUP(E47,'Hệ số'!$A$2:$D$8,4,0)*IF((I47-2)&gt;=2,1.2,IF((I47-2)=1,1,IF((I47-2)=0,0.85,IF((I47-2)=-1,0.5,IF((I47-2)=-2,0.25,0.1))))),"")</f>
        <v/>
      </c>
      <c r="AK47" s="41" t="inlineStr">
        <is>
          <t>Bắn loạt; đạn nổ trên không (Mảnh) mạnh với máy bay và drone, yếu với giáp; đạn xuyên (Động năng) mạnh với giáp 0–2.</t>
        </is>
      </c>
      <c r="AL47" s="41" t="inlineStr">
        <is>
          <t>Tự đổi: đạn xuyên (Động năng) với xe, đạn nổ trên không (Mảnh) với máy bay/drone.</t>
        </is>
      </c>
      <c r="AM47" s="41" t="inlineStr">
        <is>
          <t>ZSU-23-4: 3.400–4.000 phát/phút</t>
        </is>
      </c>
      <c r="AN47" s="41" t="inlineStr">
        <is>
          <t>Giữ.</t>
        </is>
      </c>
      <c r="AO47" s="41" t="n"/>
    </row>
    <row r="48" ht="21.75" customHeight="1" s="32">
      <c r="A48" s="39" t="inlineStr">
        <is>
          <t>flamethrower</t>
        </is>
      </c>
      <c r="B48" s="39" t="inlineStr">
        <is>
          <t>flamethrower</t>
        </is>
      </c>
      <c r="C48" s="39" t="inlineStr">
        <is>
          <t>Phun lửa</t>
        </is>
      </c>
      <c r="D48" s="39" t="inlineStr">
        <is>
          <t>Phun lửa</t>
        </is>
      </c>
      <c r="E48" s="39" t="inlineStr">
        <is>
          <t>Lửa</t>
        </is>
      </c>
      <c r="F48" s="39" t="inlineStr">
        <is>
          <t>Flame</t>
        </is>
      </c>
      <c r="G48" s="42" t="n">
        <v>1</v>
      </c>
      <c r="H48" s="42" t="n">
        <v>1</v>
      </c>
      <c r="I48" s="42" t="n">
        <v>1</v>
      </c>
      <c r="J48" s="42" t="n">
        <v>23.5</v>
      </c>
      <c r="K48" s="42" t="n">
        <v>21</v>
      </c>
      <c r="L48" s="39" t="inlineStr">
        <is>
          <t>từng phát</t>
        </is>
      </c>
      <c r="M48" s="39" t="inlineStr">
        <is>
          <t>từng phát</t>
        </is>
      </c>
      <c r="N48" s="42" t="n">
        <v>4</v>
      </c>
      <c r="O48" s="42" t="n">
        <v>4</v>
      </c>
      <c r="P48" s="42" t="n">
        <v>1</v>
      </c>
      <c r="Q48" s="42" t="n">
        <v>1</v>
      </c>
      <c r="R48" s="42" t="n">
        <v>0.25</v>
      </c>
      <c r="S48" s="42" t="n">
        <v>0.25</v>
      </c>
      <c r="T48" s="42" t="n">
        <v>13</v>
      </c>
      <c r="U48" s="42" t="n">
        <v>13</v>
      </c>
      <c r="V48" s="42" t="n">
        <v>36</v>
      </c>
      <c r="W48" s="42" t="n">
        <v>36</v>
      </c>
      <c r="X48" s="50">
        <f>IFERROR(U48/W48,"")</f>
        <v/>
      </c>
      <c r="Y48" s="52" t="n">
        <v>2.5</v>
      </c>
      <c r="Z48" s="52" t="n">
        <v>2.5</v>
      </c>
      <c r="AA48" s="50">
        <f>IFERROR(IF(L48="từng phát",J48*N48,J48*P48/(P48/N48+R48)),"")</f>
        <v/>
      </c>
      <c r="AB48" s="50">
        <f>IFERROR(IF(M48="từng phát",K48*O48,K48*Q48/(Q48/O48+S48)),"")</f>
        <v/>
      </c>
      <c r="AC48" s="50">
        <f>IFERROR(AB48*VLOOKUP(E48,'Hệ số'!$A$2:$D$8,2,0)*IF((I48-0)&gt;=2,1.2,IF((I48-0)=1,1,IF((I48-0)=0,0.85,IF((I48-0)=-1,0.5,IF((I48-0)=-2,0.25,0.1))))),"")</f>
        <v/>
      </c>
      <c r="AD48" s="50">
        <f>IFERROR(AB48*VLOOKUP(E48,'Hệ số'!$A$2:$D$8,2,0)*IF((I48-1)&gt;=2,1.2,IF((I48-1)=1,1,IF((I48-1)=0,0.85,IF((I48-1)=-1,0.5,IF((I48-1)=-2,0.25,0.1))))),"")</f>
        <v/>
      </c>
      <c r="AE48" s="50">
        <f>IFERROR(AB48*VLOOKUP(E48,'Hệ số'!$A$2:$D$8,2,0)*IF((I48-2)&gt;=2,1.2,IF((I48-2)=1,1,IF((I48-2)=0,0.85,IF((I48-2)=-1,0.5,IF((I48-2)=-2,0.25,0.1))))),"")</f>
        <v/>
      </c>
      <c r="AF48" s="50">
        <f>IFERROR(AB48*VLOOKUP(E48,'Hệ số'!$A$2:$D$8,2,0)*IF((I48-3)&gt;=2,1.2,IF((I48-3)=1,1,IF((I48-3)=0,0.85,IF((I48-3)=-1,0.5,IF((I48-3)=-2,0.25,0.1))))),"")</f>
        <v/>
      </c>
      <c r="AG48" s="50">
        <f>IFERROR(AB48*VLOOKUP(E48,'Hệ số'!$A$2:$D$8,2,0)*IF((I48-4)&gt;=2,1.2,IF((I48-4)=1,1,IF((I48-4)=0,0.85,IF((I48-4)=-1,0.5,IF((I48-4)=-2,0.25,0.1))))),"")</f>
        <v/>
      </c>
      <c r="AH48" s="50">
        <f>IFERROR(AB48*VLOOKUP(E48,'Hệ số'!$A$2:$D$8,2,0)*IF((I48-5)&gt;=2,1.2,IF((I48-5)=1,1,IF((I48-5)=0,0.85,IF((I48-5)=-1,0.5,IF((I48-5)=-2,0.25,0.1))))),"")</f>
        <v/>
      </c>
      <c r="AI48" s="50">
        <f>IFERROR(AB48*VLOOKUP(E48,'Hệ số'!$A$2:$D$8,3,0),"")</f>
        <v/>
      </c>
      <c r="AJ48" s="50">
        <f>IFERROR(AB48*VLOOKUP(E48,'Hệ số'!$A$2:$D$8,4,0)*IF((I48-2)&gt;=2,1.2,IF((I48-2)=1,1,IF((I48-2)=0,0.85,IF((I48-2)=-1,0.5,IF((I48-2)=-2,0.25,0.1))))),"")</f>
        <v/>
      </c>
      <c r="AK48" s="39" t="inlineStr">
        <is>
          <t>Tầm rất ngắn; gây cháy; không bị APS; mạnh với xe nhẹ và công trình có người.</t>
        </is>
      </c>
      <c r="AL48" s="39" t="n"/>
      <c r="AM48" s="39" t="inlineStr">
        <is>
          <t>Súng phun lửa xe tăng: tầm 100–150 m</t>
        </is>
      </c>
      <c r="AN48" s="39" t="inlineStr">
        <is>
          <t>Tăng phun lửa mạnh nhất theo CP khi đánh xe nhẹ.</t>
        </is>
      </c>
      <c r="AO48" s="48" t="inlineStr">
        <is>
          <t>Trung</t>
        </is>
      </c>
    </row>
    <row r="49" ht="21.75" customHeight="1" s="32">
      <c r="A49" s="41" t="inlineStr">
        <is>
          <t>focus_laser</t>
        </is>
      </c>
      <c r="B49" s="41" t="inlineStr">
        <is>
          <t>focused laser (300 kW)</t>
        </is>
      </c>
      <c r="C49" s="41" t="inlineStr">
        <is>
          <t>Năng lượng</t>
        </is>
      </c>
      <c r="D49" s="41" t="inlineStr">
        <is>
          <t>Xe la-de</t>
        </is>
      </c>
      <c r="E49" s="41" t="inlineStr">
        <is>
          <t>Năng lượng</t>
        </is>
      </c>
      <c r="F49" s="41" t="inlineStr">
        <is>
          <t>Energy</t>
        </is>
      </c>
      <c r="G49" s="43" t="n">
        <v>300</v>
      </c>
      <c r="H49" s="43" t="n">
        <v>4</v>
      </c>
      <c r="I49" s="43" t="n">
        <v>4</v>
      </c>
      <c r="J49" s="43" t="n">
        <v>12.5</v>
      </c>
      <c r="K49" s="43" t="n">
        <v>12.5</v>
      </c>
      <c r="L49" s="41" t="inlineStr">
        <is>
          <t>băng</t>
        </is>
      </c>
      <c r="M49" s="41" t="inlineStr">
        <is>
          <t>băng</t>
        </is>
      </c>
      <c r="N49" s="43" t="n">
        <v>10</v>
      </c>
      <c r="O49" s="43" t="n">
        <v>10</v>
      </c>
      <c r="P49" s="43" t="n">
        <v>80</v>
      </c>
      <c r="Q49" s="43" t="n">
        <v>80</v>
      </c>
      <c r="R49" s="43" t="n">
        <v>1.5</v>
      </c>
      <c r="S49" s="43" t="n">
        <v>1.5</v>
      </c>
      <c r="T49" s="43" t="n">
        <v>40</v>
      </c>
      <c r="U49" s="43" t="n">
        <v>40</v>
      </c>
      <c r="V49" s="43" t="n">
        <v>3000</v>
      </c>
      <c r="W49" s="43" t="n">
        <v>3000</v>
      </c>
      <c r="X49" s="51">
        <f>IFERROR(U49/W49,"")</f>
        <v/>
      </c>
      <c r="Y49" s="51" t="n"/>
      <c r="Z49" s="51" t="n"/>
      <c r="AA49" s="51">
        <f>IFERROR(IF(L49="từng phát",J49*N49,J49*P49/(P49/N49+R49)),"")</f>
        <v/>
      </c>
      <c r="AB49" s="51">
        <f>IFERROR(IF(M49="từng phát",K49*O49,K49*Q49/(Q49/O49+S49)),"")</f>
        <v/>
      </c>
      <c r="AC49" s="51">
        <f>IFERROR(AB49*VLOOKUP(E49,'Hệ số'!$A$2:$D$8,2,0)*IF((I49-0)&gt;=2,1.2,IF((I49-0)=1,1,IF((I49-0)=0,0.85,IF((I49-0)=-1,0.5,IF((I49-0)=-2,0.25,0.1))))),"")</f>
        <v/>
      </c>
      <c r="AD49" s="51">
        <f>IFERROR(AB49*VLOOKUP(E49,'Hệ số'!$A$2:$D$8,2,0)*IF((I49-1)&gt;=2,1.2,IF((I49-1)=1,1,IF((I49-1)=0,0.85,IF((I49-1)=-1,0.5,IF((I49-1)=-2,0.25,0.1))))),"")</f>
        <v/>
      </c>
      <c r="AE49" s="51">
        <f>IFERROR(AB49*VLOOKUP(E49,'Hệ số'!$A$2:$D$8,2,0)*IF((I49-2)&gt;=2,1.2,IF((I49-2)=1,1,IF((I49-2)=0,0.85,IF((I49-2)=-1,0.5,IF((I49-2)=-2,0.25,0.1))))),"")</f>
        <v/>
      </c>
      <c r="AF49" s="51">
        <f>IFERROR(AB49*VLOOKUP(E49,'Hệ số'!$A$2:$D$8,2,0)*IF((I49-3)&gt;=2,1.2,IF((I49-3)=1,1,IF((I49-3)=0,0.85,IF((I49-3)=-1,0.5,IF((I49-3)=-2,0.25,0.1))))),"")</f>
        <v/>
      </c>
      <c r="AG49" s="51">
        <f>IFERROR(AB49*VLOOKUP(E49,'Hệ số'!$A$2:$D$8,2,0)*IF((I49-4)&gt;=2,1.2,IF((I49-4)=1,1,IF((I49-4)=0,0.85,IF((I49-4)=-1,0.5,IF((I49-4)=-2,0.25,0.1))))),"")</f>
        <v/>
      </c>
      <c r="AH49" s="51">
        <f>IFERROR(AB49*VLOOKUP(E49,'Hệ số'!$A$2:$D$8,2,0)*IF((I49-5)&gt;=2,1.2,IF((I49-5)=1,1,IF((I49-5)=0,0.85,IF((I49-5)=-1,0.5,IF((I49-5)=-2,0.25,0.1))))),"")</f>
        <v/>
      </c>
      <c r="AI49" s="51">
        <f>IFERROR(AB49*VLOOKUP(E49,'Hệ số'!$A$2:$D$8,3,0),"")</f>
        <v/>
      </c>
      <c r="AJ49" s="51">
        <f>IFERROR(AB49*VLOOKUP(E49,'Hệ số'!$A$2:$D$8,4,0)*IF((I49-2)&gt;=2,1.2,IF((I49-2)=1,1,IF((I49-2)=0,0.85,IF((I49-2)=-1,0.5,IF((I49-2)=-2,0.25,0.1))))),"")</f>
        <v/>
      </c>
      <c r="AK49" s="41" t="inlineStr">
        <is>
          <t>Tia tức thời; không bị APS chặn; bị khói giảm 80%; mạnh với máy bay (×1,5).</t>
        </is>
      </c>
      <c r="AL49" s="41" t="n"/>
      <c r="AM49" s="41" t="inlineStr">
        <is>
          <t>Laser 300 kW (HELIOS, DE M-SHORAD cấp cao)</t>
        </is>
      </c>
      <c r="AN49" s="41" t="inlineStr">
        <is>
          <t>Giữ.</t>
        </is>
      </c>
      <c r="AO49" s="41" t="n"/>
    </row>
    <row r="50" ht="21.75" customHeight="1" s="32">
      <c r="A50" s="39" t="inlineStr">
        <is>
          <t>fpv_hangar</t>
        </is>
      </c>
      <c r="B50" s="39" t="inlineStr">
        <is>
          <t>FPV drone (1.5 kg)</t>
        </is>
      </c>
      <c r="C50" s="39" t="inlineStr">
        <is>
          <t>Drone / đạn lảng vảng</t>
        </is>
      </c>
      <c r="D50" s="39" t="inlineStr">
        <is>
          <t>Nhà chứa drone</t>
        </is>
      </c>
      <c r="E50" s="39" t="inlineStr">
        <is>
          <t>Nổ lõm</t>
        </is>
      </c>
      <c r="F50" s="39" t="inlineStr">
        <is>
          <t>Fpv</t>
        </is>
      </c>
      <c r="G50" s="42" t="n">
        <v>1.5</v>
      </c>
      <c r="H50" s="42" t="n">
        <v>3</v>
      </c>
      <c r="I50" s="42" t="n">
        <v>3</v>
      </c>
      <c r="J50" s="42" t="n">
        <v>140</v>
      </c>
      <c r="K50" s="42" t="n">
        <v>140</v>
      </c>
      <c r="L50" s="39" t="inlineStr">
        <is>
          <t>loạt</t>
        </is>
      </c>
      <c r="M50" s="39" t="inlineStr">
        <is>
          <t>loạt</t>
        </is>
      </c>
      <c r="N50" s="42" t="n">
        <v>1</v>
      </c>
      <c r="O50" s="42" t="n">
        <v>1</v>
      </c>
      <c r="P50" s="42" t="n">
        <v>4</v>
      </c>
      <c r="Q50" s="42" t="n">
        <v>4</v>
      </c>
      <c r="R50" s="42" t="n">
        <v>6.5</v>
      </c>
      <c r="S50" s="42" t="n">
        <v>6.5</v>
      </c>
      <c r="T50" s="42" t="n">
        <v>70</v>
      </c>
      <c r="U50" s="42" t="n">
        <v>70</v>
      </c>
      <c r="V50" s="42" t="n">
        <v>26</v>
      </c>
      <c r="W50" s="42" t="n">
        <v>26</v>
      </c>
      <c r="X50" s="50">
        <f>IFERROR(U50/W50,"")</f>
        <v/>
      </c>
      <c r="Y50" s="52" t="n">
        <v>2.5</v>
      </c>
      <c r="Z50" s="52" t="n">
        <v>2.5</v>
      </c>
      <c r="AA50" s="50">
        <f>IFERROR(IF(L50="từng phát",J50*N50,J50*P50/(P50/N50+R50)),"")</f>
        <v/>
      </c>
      <c r="AB50" s="50">
        <f>IFERROR(IF(M50="từng phát",K50*O50,K50*Q50/(Q50/O50+S50)),"")</f>
        <v/>
      </c>
      <c r="AC50" s="50">
        <f>IFERROR(AB50*VLOOKUP(E50,'Hệ số'!$A$2:$D$8,2,0)*IF((I50-0)&gt;=2,1.2,IF((I50-0)=1,1,IF((I50-0)=0,0.85,IF((I50-0)=-1,0.5,IF((I50-0)=-2,0.25,0.1))))),"")</f>
        <v/>
      </c>
      <c r="AD50" s="50">
        <f>IFERROR(AB50*VLOOKUP(E50,'Hệ số'!$A$2:$D$8,2,0)*IF((I50-1)&gt;=2,1.2,IF((I50-1)=1,1,IF((I50-1)=0,0.85,IF((I50-1)=-1,0.5,IF((I50-1)=-2,0.25,0.1))))),"")</f>
        <v/>
      </c>
      <c r="AE50" s="50">
        <f>IFERROR(AB50*VLOOKUP(E50,'Hệ số'!$A$2:$D$8,2,0)*IF((I50-2)&gt;=2,1.2,IF((I50-2)=1,1,IF((I50-2)=0,0.85,IF((I50-2)=-1,0.5,IF((I50-2)=-2,0.25,0.1))))),"")</f>
        <v/>
      </c>
      <c r="AF50" s="50">
        <f>IFERROR(AB50*VLOOKUP(E50,'Hệ số'!$A$2:$D$8,2,0)*IF((I50-3)&gt;=2,1.2,IF((I50-3)=1,1,IF((I50-3)=0,0.85,IF((I50-3)=-1,0.5,IF((I50-3)=-2,0.25,0.1))))),"")</f>
        <v/>
      </c>
      <c r="AG50" s="50">
        <f>IFERROR(AB50*VLOOKUP(E50,'Hệ số'!$A$2:$D$8,2,0)*IF((I50-4)&gt;=2,1.2,IF((I50-4)=1,1,IF((I50-4)=0,0.85,IF((I50-4)=-1,0.5,IF((I50-4)=-2,0.25,0.1))))),"")</f>
        <v/>
      </c>
      <c r="AH50" s="50">
        <f>IFERROR(AB50*VLOOKUP(E50,'Hệ số'!$A$2:$D$8,2,0)*IF((I50-5)&gt;=2,1.2,IF((I50-5)=1,1,IF((I50-5)=0,0.85,IF((I50-5)=-1,0.5,IF((I50-5)=-2,0.25,0.1))))),"")</f>
        <v/>
      </c>
      <c r="AI50" s="50">
        <f>IFERROR(AB50*VLOOKUP(E50,'Hệ số'!$A$2:$D$8,3,0),"")</f>
        <v/>
      </c>
      <c r="AJ50" s="50">
        <f>IFERROR(AB50*VLOOKUP(E50,'Hệ số'!$A$2:$D$8,4,0)*IF((I50-2)&gt;=2,1.2,IF((I50-2)=1,1,IF((I50-2)=0,0.85,IF((I50-2)=-1,0.5,IF((I50-2)=-2,0.25,0.1))))),"")</f>
        <v/>
      </c>
      <c r="AK50" s="39" t="inlineStr">
        <is>
          <t>Bay chậm, lượn tìm mục tiêu, đánh nóc; bị EW, APS, C-RAM, La-de PK và súng máy bắn hạ.</t>
        </is>
      </c>
      <c r="AL50" s="39" t="n"/>
      <c r="AM50" s="39" t="inlineStr">
        <is>
          <t>FPV</t>
        </is>
      </c>
      <c r="AN50" s="39" t="inlineStr">
        <is>
          <t>Giữ.</t>
        </is>
      </c>
      <c r="AO50" s="39" t="n"/>
    </row>
    <row r="51" ht="21.75" customHeight="1" s="32">
      <c r="A51" s="41" t="inlineStr">
        <is>
          <t>fpv_hangar_swarm</t>
        </is>
      </c>
      <c r="B51" s="41" t="inlineStr">
        <is>
          <t>FPV drone (1.5 kg)</t>
        </is>
      </c>
      <c r="C51" s="41" t="inlineStr">
        <is>
          <t>Drone / đạn lảng vảng</t>
        </is>
      </c>
      <c r="D51" s="41" t="inlineStr">
        <is>
          <t>Bầy đàn</t>
        </is>
      </c>
      <c r="E51" s="41" t="inlineStr">
        <is>
          <t>Nổ lõm</t>
        </is>
      </c>
      <c r="F51" s="41" t="inlineStr">
        <is>
          <t>Fpv</t>
        </is>
      </c>
      <c r="G51" s="43" t="n">
        <v>1.5</v>
      </c>
      <c r="H51" s="43" t="n">
        <v>3</v>
      </c>
      <c r="I51" s="43" t="n">
        <v>3</v>
      </c>
      <c r="J51" s="43" t="n">
        <v>140</v>
      </c>
      <c r="K51" s="43" t="n">
        <v>140</v>
      </c>
      <c r="L51" s="41" t="inlineStr">
        <is>
          <t>loạt</t>
        </is>
      </c>
      <c r="M51" s="41" t="inlineStr">
        <is>
          <t>loạt</t>
        </is>
      </c>
      <c r="N51" s="43" t="n">
        <v>1.67</v>
      </c>
      <c r="O51" s="43" t="n">
        <v>1.67</v>
      </c>
      <c r="P51" s="43" t="n">
        <v>4</v>
      </c>
      <c r="Q51" s="43" t="n">
        <v>4</v>
      </c>
      <c r="R51" s="43" t="n">
        <v>5.5</v>
      </c>
      <c r="S51" s="43" t="n">
        <v>5.5</v>
      </c>
      <c r="T51" s="43" t="n">
        <v>70</v>
      </c>
      <c r="U51" s="43" t="n">
        <v>70</v>
      </c>
      <c r="V51" s="43" t="n">
        <v>26</v>
      </c>
      <c r="W51" s="43" t="n">
        <v>26</v>
      </c>
      <c r="X51" s="51">
        <f>IFERROR(U51/W51,"")</f>
        <v/>
      </c>
      <c r="Y51" s="53" t="n">
        <v>2.5</v>
      </c>
      <c r="Z51" s="53" t="n">
        <v>2.5</v>
      </c>
      <c r="AA51" s="51">
        <f>IFERROR(IF(L51="từng phát",J51*N51,J51*P51/(P51/N51+R51)),"")</f>
        <v/>
      </c>
      <c r="AB51" s="51">
        <f>IFERROR(IF(M51="từng phát",K51*O51,K51*Q51/(Q51/O51+S51)),"")</f>
        <v/>
      </c>
      <c r="AC51" s="51">
        <f>IFERROR(AB51*VLOOKUP(E51,'Hệ số'!$A$2:$D$8,2,0)*IF((I51-0)&gt;=2,1.2,IF((I51-0)=1,1,IF((I51-0)=0,0.85,IF((I51-0)=-1,0.5,IF((I51-0)=-2,0.25,0.1))))),"")</f>
        <v/>
      </c>
      <c r="AD51" s="51">
        <f>IFERROR(AB51*VLOOKUP(E51,'Hệ số'!$A$2:$D$8,2,0)*IF((I51-1)&gt;=2,1.2,IF((I51-1)=1,1,IF((I51-1)=0,0.85,IF((I51-1)=-1,0.5,IF((I51-1)=-2,0.25,0.1))))),"")</f>
        <v/>
      </c>
      <c r="AE51" s="51">
        <f>IFERROR(AB51*VLOOKUP(E51,'Hệ số'!$A$2:$D$8,2,0)*IF((I51-2)&gt;=2,1.2,IF((I51-2)=1,1,IF((I51-2)=0,0.85,IF((I51-2)=-1,0.5,IF((I51-2)=-2,0.25,0.1))))),"")</f>
        <v/>
      </c>
      <c r="AF51" s="51">
        <f>IFERROR(AB51*VLOOKUP(E51,'Hệ số'!$A$2:$D$8,2,0)*IF((I51-3)&gt;=2,1.2,IF((I51-3)=1,1,IF((I51-3)=0,0.85,IF((I51-3)=-1,0.5,IF((I51-3)=-2,0.25,0.1))))),"")</f>
        <v/>
      </c>
      <c r="AG51" s="51">
        <f>IFERROR(AB51*VLOOKUP(E51,'Hệ số'!$A$2:$D$8,2,0)*IF((I51-4)&gt;=2,1.2,IF((I51-4)=1,1,IF((I51-4)=0,0.85,IF((I51-4)=-1,0.5,IF((I51-4)=-2,0.25,0.1))))),"")</f>
        <v/>
      </c>
      <c r="AH51" s="51">
        <f>IFERROR(AB51*VLOOKUP(E51,'Hệ số'!$A$2:$D$8,2,0)*IF((I51-5)&gt;=2,1.2,IF((I51-5)=1,1,IF((I51-5)=0,0.85,IF((I51-5)=-1,0.5,IF((I51-5)=-2,0.25,0.1))))),"")</f>
        <v/>
      </c>
      <c r="AI51" s="51">
        <f>IFERROR(AB51*VLOOKUP(E51,'Hệ số'!$A$2:$D$8,3,0),"")</f>
        <v/>
      </c>
      <c r="AJ51" s="51">
        <f>IFERROR(AB51*VLOOKUP(E51,'Hệ số'!$A$2:$D$8,4,0)*IF((I51-2)&gt;=2,1.2,IF((I51-2)=1,1,IF((I51-2)=0,0.85,IF((I51-2)=-1,0.5,IF((I51-2)=-2,0.25,0.1))))),"")</f>
        <v/>
      </c>
      <c r="AK51" s="41" t="inlineStr">
        <is>
          <t>Bay chậm, lượn tìm mục tiêu, đánh nóc; bị EW, APS, C-RAM, La-de PK và súng máy bắn hạ.</t>
        </is>
      </c>
      <c r="AL51" s="41" t="n"/>
      <c r="AM51" s="41" t="inlineStr">
        <is>
          <t>FPV</t>
        </is>
      </c>
      <c r="AN51" s="41" t="inlineStr">
        <is>
          <t>Giữ.</t>
        </is>
      </c>
      <c r="AO51" s="41" t="n"/>
    </row>
    <row r="52" ht="21.75" customHeight="1" s="32">
      <c r="A52" s="39" t="inlineStr">
        <is>
          <t>fpv_swarm</t>
        </is>
      </c>
      <c r="B52" s="39" t="inlineStr">
        <is>
          <t>FPV drone (1.5 kg)</t>
        </is>
      </c>
      <c r="C52" s="39" t="inlineStr">
        <is>
          <t>Drone / đạn lảng vảng</t>
        </is>
      </c>
      <c r="D52" s="39" t="inlineStr">
        <is>
          <t>Drone FPV, Drone FPV TN</t>
        </is>
      </c>
      <c r="E52" s="39" t="inlineStr">
        <is>
          <t>Nổ lõm</t>
        </is>
      </c>
      <c r="F52" s="39" t="inlineStr">
        <is>
          <t>Fpv</t>
        </is>
      </c>
      <c r="G52" s="42" t="n">
        <v>1.5</v>
      </c>
      <c r="H52" s="42" t="n">
        <v>3</v>
      </c>
      <c r="I52" s="42" t="n">
        <v>3</v>
      </c>
      <c r="J52" s="42" t="n">
        <v>140</v>
      </c>
      <c r="K52" s="42" t="n">
        <v>140</v>
      </c>
      <c r="L52" s="39" t="inlineStr">
        <is>
          <t>từng phát</t>
        </is>
      </c>
      <c r="M52" s="39" t="inlineStr">
        <is>
          <t>từng phát</t>
        </is>
      </c>
      <c r="N52" s="42" t="n">
        <v>0.36</v>
      </c>
      <c r="O52" s="42" t="n">
        <v>0.36</v>
      </c>
      <c r="P52" s="42" t="n">
        <v>1</v>
      </c>
      <c r="Q52" s="42" t="n">
        <v>1</v>
      </c>
      <c r="R52" s="42" t="n">
        <v>2.77777777777778</v>
      </c>
      <c r="S52" s="42" t="n">
        <v>2.77777777777778</v>
      </c>
      <c r="T52" s="42" t="n">
        <v>75</v>
      </c>
      <c r="U52" s="42" t="n">
        <v>75</v>
      </c>
      <c r="V52" s="42" t="n">
        <v>26</v>
      </c>
      <c r="W52" s="42" t="n">
        <v>26</v>
      </c>
      <c r="X52" s="50">
        <f>IFERROR(U52/W52,"")</f>
        <v/>
      </c>
      <c r="Y52" s="52" t="n">
        <v>2.5</v>
      </c>
      <c r="Z52" s="52" t="n">
        <v>2.5</v>
      </c>
      <c r="AA52" s="50">
        <f>IFERROR(IF(L52="từng phát",J52*N52,J52*P52/(P52/N52+R52)),"")</f>
        <v/>
      </c>
      <c r="AB52" s="50">
        <f>IFERROR(IF(M52="từng phát",K52*O52,K52*Q52/(Q52/O52+S52)),"")</f>
        <v/>
      </c>
      <c r="AC52" s="50">
        <f>IFERROR(AB52*VLOOKUP(E52,'Hệ số'!$A$2:$D$8,2,0)*IF((I52-0)&gt;=2,1.2,IF((I52-0)=1,1,IF((I52-0)=0,0.85,IF((I52-0)=-1,0.5,IF((I52-0)=-2,0.25,0.1))))),"")</f>
        <v/>
      </c>
      <c r="AD52" s="50">
        <f>IFERROR(AB52*VLOOKUP(E52,'Hệ số'!$A$2:$D$8,2,0)*IF((I52-1)&gt;=2,1.2,IF((I52-1)=1,1,IF((I52-1)=0,0.85,IF((I52-1)=-1,0.5,IF((I52-1)=-2,0.25,0.1))))),"")</f>
        <v/>
      </c>
      <c r="AE52" s="50">
        <f>IFERROR(AB52*VLOOKUP(E52,'Hệ số'!$A$2:$D$8,2,0)*IF((I52-2)&gt;=2,1.2,IF((I52-2)=1,1,IF((I52-2)=0,0.85,IF((I52-2)=-1,0.5,IF((I52-2)=-2,0.25,0.1))))),"")</f>
        <v/>
      </c>
      <c r="AF52" s="50">
        <f>IFERROR(AB52*VLOOKUP(E52,'Hệ số'!$A$2:$D$8,2,0)*IF((I52-3)&gt;=2,1.2,IF((I52-3)=1,1,IF((I52-3)=0,0.85,IF((I52-3)=-1,0.5,IF((I52-3)=-2,0.25,0.1))))),"")</f>
        <v/>
      </c>
      <c r="AG52" s="50">
        <f>IFERROR(AB52*VLOOKUP(E52,'Hệ số'!$A$2:$D$8,2,0)*IF((I52-4)&gt;=2,1.2,IF((I52-4)=1,1,IF((I52-4)=0,0.85,IF((I52-4)=-1,0.5,IF((I52-4)=-2,0.25,0.1))))),"")</f>
        <v/>
      </c>
      <c r="AH52" s="50">
        <f>IFERROR(AB52*VLOOKUP(E52,'Hệ số'!$A$2:$D$8,2,0)*IF((I52-5)&gt;=2,1.2,IF((I52-5)=1,1,IF((I52-5)=0,0.85,IF((I52-5)=-1,0.5,IF((I52-5)=-2,0.25,0.1))))),"")</f>
        <v/>
      </c>
      <c r="AI52" s="50">
        <f>IFERROR(AB52*VLOOKUP(E52,'Hệ số'!$A$2:$D$8,3,0),"")</f>
        <v/>
      </c>
      <c r="AJ52" s="50">
        <f>IFERROR(AB52*VLOOKUP(E52,'Hệ số'!$A$2:$D$8,4,0)*IF((I52-2)&gt;=2,1.2,IF((I52-2)=1,1,IF((I52-2)=0,0.85,IF((I52-2)=-1,0.5,IF((I52-2)=-2,0.25,0.1))))),"")</f>
        <v/>
      </c>
      <c r="AK52" s="39" t="inlineStr">
        <is>
          <t>Bay chậm, lượn tìm mục tiêu, đánh nóc; bị EW, APS, C-RAM, La-de PK và súng máy bắn hạ.</t>
        </is>
      </c>
      <c r="AL52" s="39" t="n"/>
      <c r="AM52" s="39" t="inlineStr">
        <is>
          <t>FPV: 1–2 kg đầu nổ; tầm 5–10 km</t>
        </is>
      </c>
      <c r="AN52" s="39" t="inlineStr">
        <is>
          <t>Giữ.</t>
        </is>
      </c>
      <c r="AO52" s="39" t="n"/>
    </row>
    <row r="53" ht="21.75" customHeight="1" s="32">
      <c r="A53" s="41" t="inlineStr">
        <is>
          <t>grad_cluster</t>
        </is>
      </c>
      <c r="B53" s="41" t="inlineStr">
        <is>
          <t>BM-21 Grad 122 mm</t>
        </is>
      </c>
      <c r="C53" s="41" t="inlineStr">
        <is>
          <t>Rốc-két</t>
        </is>
      </c>
      <c r="D53" s="41" t="inlineStr">
        <is>
          <t>Grad TN</t>
        </is>
      </c>
      <c r="E53" s="41" t="inlineStr">
        <is>
          <t>Nổ mạnh</t>
        </is>
      </c>
      <c r="F53" s="41" t="inlineStr">
        <is>
          <t>Cluster</t>
        </is>
      </c>
      <c r="G53" s="43" t="n">
        <v>122</v>
      </c>
      <c r="H53" s="43" t="n">
        <v>2</v>
      </c>
      <c r="I53" s="43" t="n">
        <v>2</v>
      </c>
      <c r="J53" s="43" t="n">
        <v>57</v>
      </c>
      <c r="K53" s="43" t="n">
        <v>57</v>
      </c>
      <c r="L53" s="41" t="inlineStr">
        <is>
          <t>loạt</t>
        </is>
      </c>
      <c r="M53" s="41" t="inlineStr">
        <is>
          <t>loạt</t>
        </is>
      </c>
      <c r="N53" s="43" t="n">
        <v>2</v>
      </c>
      <c r="O53" s="43" t="n">
        <v>2</v>
      </c>
      <c r="P53" s="43" t="n">
        <v>11</v>
      </c>
      <c r="Q53" s="43" t="n">
        <v>11</v>
      </c>
      <c r="R53" s="43" t="n">
        <v>7.5</v>
      </c>
      <c r="S53" s="43" t="n">
        <v>7.5</v>
      </c>
      <c r="T53" s="43" t="n">
        <v>78</v>
      </c>
      <c r="U53" s="43" t="n">
        <v>78</v>
      </c>
      <c r="V53" s="43" t="n">
        <v>52</v>
      </c>
      <c r="W53" s="43" t="n">
        <v>45</v>
      </c>
      <c r="X53" s="51">
        <f>IFERROR(U53/W53,"")</f>
        <v/>
      </c>
      <c r="Y53" s="53" t="n">
        <v>3</v>
      </c>
      <c r="Z53" s="53" t="n">
        <v>4</v>
      </c>
      <c r="AA53" s="51">
        <f>IFERROR(IF(L53="từng phát",J53*N53,J53*P53/(P53/N53+R53)),"")</f>
        <v/>
      </c>
      <c r="AB53" s="51">
        <f>IFERROR(IF(M53="từng phát",K53*O53,K53*Q53/(Q53/O53+S53)),"")</f>
        <v/>
      </c>
      <c r="AC53" s="51">
        <f>IFERROR(AB53*VLOOKUP(E53,'Hệ số'!$A$2:$D$8,2,0)*IF((I53-0)&gt;=2,1.2,IF((I53-0)=1,1,IF((I53-0)=0,0.85,IF((I53-0)=-1,0.5,IF((I53-0)=-2,0.25,0.1))))),"")</f>
        <v/>
      </c>
      <c r="AD53" s="51">
        <f>IFERROR(AB53*VLOOKUP(E53,'Hệ số'!$A$2:$D$8,2,0)*IF((I53-1)&gt;=2,1.2,IF((I53-1)=1,1,IF((I53-1)=0,0.85,IF((I53-1)=-1,0.5,IF((I53-1)=-2,0.25,0.1))))),"")</f>
        <v/>
      </c>
      <c r="AE53" s="51">
        <f>IFERROR(AB53*VLOOKUP(E53,'Hệ số'!$A$2:$D$8,2,0)*IF((I53-2)&gt;=2,1.2,IF((I53-2)=1,1,IF((I53-2)=0,0.85,IF((I53-2)=-1,0.5,IF((I53-2)=-2,0.25,0.1))))),"")</f>
        <v/>
      </c>
      <c r="AF53" s="51">
        <f>IFERROR(AB53*VLOOKUP(E53,'Hệ số'!$A$2:$D$8,2,0)*IF((I53-3)&gt;=2,1.2,IF((I53-3)=1,1,IF((I53-3)=0,0.85,IF((I53-3)=-1,0.5,IF((I53-3)=-2,0.25,0.1))))),"")</f>
        <v/>
      </c>
      <c r="AG53" s="51">
        <f>IFERROR(AB53*VLOOKUP(E53,'Hệ số'!$A$2:$D$8,2,0)*IF((I53-4)&gt;=2,1.2,IF((I53-4)=1,1,IF((I53-4)=0,0.85,IF((I53-4)=-1,0.5,IF((I53-4)=-2,0.25,0.1))))),"")</f>
        <v/>
      </c>
      <c r="AH53" s="51">
        <f>IFERROR(AB53*VLOOKUP(E53,'Hệ số'!$A$2:$D$8,2,0)*IF((I53-5)&gt;=2,1.2,IF((I53-5)=1,1,IF((I53-5)=0,0.85,IF((I53-5)=-1,0.5,IF((I53-5)=-2,0.25,0.1))))),"")</f>
        <v/>
      </c>
      <c r="AI53" s="51">
        <f>IFERROR(AB53*VLOOKUP(E53,'Hệ số'!$A$2:$D$8,3,0),"")</f>
        <v/>
      </c>
      <c r="AJ53" s="51">
        <f>IFERROR(AB53*VLOOKUP(E53,'Hệ số'!$A$2:$D$8,4,0)*IF((I53-2)&gt;=2,1.2,IF((I53-2)=1,1,IF((I53-2)=0,0.85,IF((I53-2)=-1,0.5,IF((I53-2)=-2,0.25,0.1))))),"")</f>
        <v/>
      </c>
      <c r="AK53" s="41" t="inlineStr">
        <is>
          <t>Bắn loạt phủ vùng, tản mát; C-RAM, Vòm Sắt và La-de PK bắn hạ được từng quả.</t>
        </is>
      </c>
      <c r="AL53" s="41" t="n"/>
      <c r="AM53" s="41" t="inlineStr">
        <is>
          <t>BM-21</t>
        </is>
      </c>
      <c r="AN53" s="41" t="inlineStr">
        <is>
          <t>Như trên. Tốc độ bay 52→45 m/s: Thống nhất tốc độ Grad ở mọi đơn vị (45 m/s).</t>
        </is>
      </c>
      <c r="AO53" s="48" t="inlineStr">
        <is>
          <t>Trung</t>
        </is>
      </c>
    </row>
    <row r="54" ht="21.75" customHeight="1" s="32">
      <c r="A54" s="39"/>
      <c r="B54" s="39"/>
      <c r="C54" s="39"/>
      <c r="D54" s="39"/>
      <c r="E54" s="39"/>
      <c r="F54" s="39"/>
      <c r="G54" s="42"/>
      <c r="H54" s="42"/>
      <c r="I54" s="42"/>
      <c r="J54" s="42"/>
      <c r="K54" s="42"/>
      <c r="L54" s="39"/>
      <c r="M54" s="39"/>
      <c r="N54" s="42"/>
      <c r="O54" s="42"/>
      <c r="P54" s="42"/>
      <c r="Q54" s="42"/>
      <c r="R54" s="42"/>
      <c r="S54" s="42"/>
      <c r="T54" s="42"/>
      <c r="U54" s="42"/>
      <c r="V54" s="42"/>
      <c r="W54" s="42"/>
      <c r="X54" s="50"/>
      <c r="Y54" s="50"/>
      <c r="Z54" s="50"/>
      <c r="AA54" s="50"/>
      <c r="AB54" s="50"/>
      <c r="AC54" s="50"/>
      <c r="AD54" s="50"/>
      <c r="AE54" s="50"/>
      <c r="AF54" s="50"/>
      <c r="AG54" s="50"/>
      <c r="AH54" s="50"/>
      <c r="AI54" s="50"/>
      <c r="AJ54" s="50"/>
      <c r="AK54" s="39"/>
      <c r="AL54" s="39"/>
      <c r="AM54" s="39"/>
      <c r="AN54" s="39"/>
      <c r="AO54" s="48"/>
    </row>
    <row r="55" ht="32.25" customHeight="1" s="32">
      <c r="A55" s="41" t="inlineStr">
        <is>
          <t>gsh30k</t>
        </is>
      </c>
      <c r="B55" s="41" t="inlineStr">
        <is>
          <t>GSh-30K 30 mm</t>
        </is>
      </c>
      <c r="C55" s="41" t="inlineStr">
        <is>
          <t>Pháo tự động / cao xạ 20–40 mm</t>
        </is>
      </c>
      <c r="D55" s="41" t="inlineStr">
        <is>
          <t>TT hỏa lực</t>
        </is>
      </c>
      <c r="E55" s="41" t="inlineStr">
        <is>
          <t>Động năng</t>
        </is>
      </c>
      <c r="F55" s="41" t="inlineStr">
        <is>
          <t>BeltedAutocannon</t>
        </is>
      </c>
      <c r="G55" s="43" t="n">
        <v>30</v>
      </c>
      <c r="H55" s="43" t="n">
        <v>2</v>
      </c>
      <c r="I55" s="43" t="n">
        <v>2</v>
      </c>
      <c r="J55" s="43" t="n">
        <v>23</v>
      </c>
      <c r="K55" s="43" t="n">
        <v>23</v>
      </c>
      <c r="L55" s="41" t="inlineStr">
        <is>
          <t>băng</t>
        </is>
      </c>
      <c r="M55" s="41" t="inlineStr">
        <is>
          <t>băng</t>
        </is>
      </c>
      <c r="N55" s="43" t="n">
        <v>7</v>
      </c>
      <c r="O55" s="43" t="n">
        <v>7</v>
      </c>
      <c r="P55" s="43" t="n">
        <v>37</v>
      </c>
      <c r="Q55" s="43" t="n">
        <v>37</v>
      </c>
      <c r="R55" s="43" t="n">
        <v>1</v>
      </c>
      <c r="S55" s="43" t="n">
        <v>1</v>
      </c>
      <c r="T55" s="43" t="n">
        <v>28</v>
      </c>
      <c r="U55" s="43" t="n">
        <v>28</v>
      </c>
      <c r="V55" s="43" t="n">
        <v>300</v>
      </c>
      <c r="W55" s="43" t="n">
        <v>300</v>
      </c>
      <c r="X55" s="51">
        <f>IFERROR(U55/W55,"")</f>
        <v/>
      </c>
      <c r="Y55" s="51" t="n"/>
      <c r="Z55" s="51" t="n"/>
      <c r="AA55" s="51">
        <f>IFERROR(IF(L55="từng phát",J55*N55,J55*P55/(P55/N55+R55)),"")</f>
        <v/>
      </c>
      <c r="AB55" s="51">
        <f>IFERROR(IF(M55="từng phát",K55*O55,K55*Q55/(Q55/O55+S55)),"")</f>
        <v/>
      </c>
      <c r="AC55" s="51">
        <f>IFERROR(AB55*VLOOKUP(E55,'Hệ số'!$A$2:$D$8,2,0)*IF((I55-0)&gt;=2,1.2,IF((I55-0)=1,1,IF((I55-0)=0,0.85,IF((I55-0)=-1,0.5,IF((I55-0)=-2,0.25,0.1))))),"")</f>
        <v/>
      </c>
      <c r="AD55" s="51">
        <f>IFERROR(AB55*VLOOKUP(E55,'Hệ số'!$A$2:$D$8,2,0)*IF((I55-1)&gt;=2,1.2,IF((I55-1)=1,1,IF((I55-1)=0,0.85,IF((I55-1)=-1,0.5,IF((I55-1)=-2,0.25,0.1))))),"")</f>
        <v/>
      </c>
      <c r="AE55" s="51">
        <f>IFERROR(AB55*VLOOKUP(E55,'Hệ số'!$A$2:$D$8,2,0)*IF((I55-2)&gt;=2,1.2,IF((I55-2)=1,1,IF((I55-2)=0,0.85,IF((I55-2)=-1,0.5,IF((I55-2)=-2,0.25,0.1))))),"")</f>
        <v/>
      </c>
      <c r="AF55" s="51">
        <f>IFERROR(AB55*VLOOKUP(E55,'Hệ số'!$A$2:$D$8,2,0)*IF((I55-3)&gt;=2,1.2,IF((I55-3)=1,1,IF((I55-3)=0,0.85,IF((I55-3)=-1,0.5,IF((I55-3)=-2,0.25,0.1))))),"")</f>
        <v/>
      </c>
      <c r="AG55" s="51">
        <f>IFERROR(AB55*VLOOKUP(E55,'Hệ số'!$A$2:$D$8,2,0)*IF((I55-4)&gt;=2,1.2,IF((I55-4)=1,1,IF((I55-4)=0,0.85,IF((I55-4)=-1,0.5,IF((I55-4)=-2,0.25,0.1))))),"")</f>
        <v/>
      </c>
      <c r="AH55" s="51">
        <f>IFERROR(AB55*VLOOKUP(E55,'Hệ số'!$A$2:$D$8,2,0)*IF((I55-5)&gt;=2,1.2,IF((I55-5)=1,1,IF((I55-5)=0,0.85,IF((I55-5)=-1,0.5,IF((I55-5)=-2,0.25,0.1))))),"")</f>
        <v/>
      </c>
      <c r="AI55" s="51">
        <f>IFERROR(AB55*VLOOKUP(E55,'Hệ số'!$A$2:$D$8,3,0),"")</f>
        <v/>
      </c>
      <c r="AJ55" s="51">
        <f>IFERROR(AB55*VLOOKUP(E55,'Hệ số'!$A$2:$D$8,4,0)*IF((I55-2)&gt;=2,1.2,IF((I55-2)=1,1,IF((I55-2)=0,0.85,IF((I55-2)=-1,0.5,IF((I55-2)=-2,0.25,0.1))))),"")</f>
        <v/>
      </c>
      <c r="AK55" s="41" t="inlineStr">
        <is>
          <t>Bắn loạt; đạn nổ trên không (Mảnh) mạnh với máy bay và drone, yếu với giáp; đạn xuyên (Động năng) mạnh với giáp 0–2.</t>
        </is>
      </c>
      <c r="AL55" s="41" t="inlineStr">
        <is>
          <t>Tự đổi: đạn xuyên (Động năng) với xe, đạn nổ trên không (Mảnh) với máy bay/drone.</t>
        </is>
      </c>
      <c r="AM55" s="41" t="inlineStr">
        <is>
          <t>GSh-30K: 2.000–2.600</t>
        </is>
      </c>
      <c r="AN55" s="41" t="inlineStr">
        <is>
          <t>Giữ.</t>
        </is>
      </c>
      <c r="AO55" s="41" t="n"/>
    </row>
    <row r="56" ht="32.25" customHeight="1" s="32">
      <c r="A56" s="39" t="inlineStr">
        <is>
          <t>guided_bomb</t>
        </is>
      </c>
      <c r="B56" s="39" t="inlineStr">
        <is>
          <t>GBU-39 SDB (110 kg)</t>
        </is>
      </c>
      <c r="C56" s="39" t="inlineStr">
        <is>
          <t>Bom</t>
        </is>
      </c>
      <c r="D56" s="39" t="inlineStr">
        <is>
          <t>Morrigan, Máy bay mẹ, TK</t>
        </is>
      </c>
      <c r="E56" s="39" t="inlineStr">
        <is>
          <t>Nổ mạnh</t>
        </is>
      </c>
      <c r="F56" s="39" t="inlineStr">
        <is>
          <t>GuidedBomb</t>
        </is>
      </c>
      <c r="G56" s="42" t="n">
        <v>110</v>
      </c>
      <c r="H56" s="42" t="n">
        <v>3</v>
      </c>
      <c r="I56" s="42" t="n">
        <v>3</v>
      </c>
      <c r="J56" s="42" t="n">
        <v>210</v>
      </c>
      <c r="K56" s="42" t="n">
        <v>210</v>
      </c>
      <c r="L56" s="39" t="inlineStr">
        <is>
          <t>từng phát</t>
        </is>
      </c>
      <c r="M56" s="39" t="inlineStr">
        <is>
          <t>từng phát</t>
        </is>
      </c>
      <c r="N56" s="42" t="n">
        <v>0.15</v>
      </c>
      <c r="O56" s="42" t="n">
        <v>0.15</v>
      </c>
      <c r="P56" s="42" t="n">
        <v>1</v>
      </c>
      <c r="Q56" s="42" t="n">
        <v>1</v>
      </c>
      <c r="R56" s="42" t="n">
        <v>6.66666666666667</v>
      </c>
      <c r="S56" s="42" t="n">
        <v>6.66666666666667</v>
      </c>
      <c r="T56" s="42" t="n">
        <v>30</v>
      </c>
      <c r="U56" s="42" t="n">
        <v>30</v>
      </c>
      <c r="V56" s="42" t="n">
        <v>40</v>
      </c>
      <c r="W56" s="42" t="n">
        <v>40</v>
      </c>
      <c r="X56" s="50">
        <f>IFERROR(U56/W56,"")</f>
        <v/>
      </c>
      <c r="Y56" s="52" t="n">
        <v>6</v>
      </c>
      <c r="Z56" s="52" t="n">
        <v>4</v>
      </c>
      <c r="AA56" s="50">
        <f>IFERROR(IF(L56="từng phát",J56*N56,J56*P56/(P56/N56+R56)),"")</f>
        <v/>
      </c>
      <c r="AB56" s="50">
        <f>IFERROR(IF(M56="từng phát",K56*O56,K56*Q56/(Q56/O56+S56)),"")</f>
        <v/>
      </c>
      <c r="AC56" s="50">
        <f>IFERROR(AB56*VLOOKUP(E56,'Hệ số'!$A$2:$D$8,2,0)*IF((I56-0)&gt;=2,1.2,IF((I56-0)=1,1,IF((I56-0)=0,0.85,IF((I56-0)=-1,0.5,IF((I56-0)=-2,0.25,0.1))))),"")</f>
        <v/>
      </c>
      <c r="AD56" s="50">
        <f>IFERROR(AB56*VLOOKUP(E56,'Hệ số'!$A$2:$D$8,2,0)*IF((I56-1)&gt;=2,1.2,IF((I56-1)=1,1,IF((I56-1)=0,0.85,IF((I56-1)=-1,0.5,IF((I56-1)=-2,0.25,0.1))))),"")</f>
        <v/>
      </c>
      <c r="AE56" s="50">
        <f>IFERROR(AB56*VLOOKUP(E56,'Hệ số'!$A$2:$D$8,2,0)*IF((I56-2)&gt;=2,1.2,IF((I56-2)=1,1,IF((I56-2)=0,0.85,IF((I56-2)=-1,0.5,IF((I56-2)=-2,0.25,0.1))))),"")</f>
        <v/>
      </c>
      <c r="AF56" s="50">
        <f>IFERROR(AB56*VLOOKUP(E56,'Hệ số'!$A$2:$D$8,2,0)*IF((I56-3)&gt;=2,1.2,IF((I56-3)=1,1,IF((I56-3)=0,0.85,IF((I56-3)=-1,0.5,IF((I56-3)=-2,0.25,0.1))))),"")</f>
        <v/>
      </c>
      <c r="AG56" s="50">
        <f>IFERROR(AB56*VLOOKUP(E56,'Hệ số'!$A$2:$D$8,2,0)*IF((I56-4)&gt;=2,1.2,IF((I56-4)=1,1,IF((I56-4)=0,0.85,IF((I56-4)=-1,0.5,IF((I56-4)=-2,0.25,0.1))))),"")</f>
        <v/>
      </c>
      <c r="AH56" s="50">
        <f>IFERROR(AB56*VLOOKUP(E56,'Hệ số'!$A$2:$D$8,2,0)*IF((I56-5)&gt;=2,1.2,IF((I56-5)=1,1,IF((I56-5)=0,0.85,IF((I56-5)=-1,0.5,IF((I56-5)=-2,0.25,0.1))))),"")</f>
        <v/>
      </c>
      <c r="AI56" s="50">
        <f>IFERROR(AB56*VLOOKUP(E56,'Hệ số'!$A$2:$D$8,3,0),"")</f>
        <v/>
      </c>
      <c r="AJ56" s="50">
        <f>IFERROR(AB56*VLOOKUP(E56,'Hệ số'!$A$2:$D$8,4,0)*IF((I56-2)&gt;=2,1.2,IF((I56-2)=1,1,IF((I56-2)=0,0.85,IF((I56-2)=-1,0.5,IF((I56-2)=-2,0.25,0.1))))),"")</f>
        <v/>
      </c>
      <c r="AK56" s="39" t="inlineStr">
        <is>
          <t>Bom thường rơi tự do, tản mát 2–3 m, không bắn hạ được; bom dẫn đường chính xác; bom lượn bay chậm và bắn hạ được.</t>
        </is>
      </c>
      <c r="AL56" s="39" t="n"/>
      <c r="AM56" s="39" t="inlineStr">
        <is>
          <t>GBU-39 SDB: chỉ ~17 kg thuốc nổ (bom nhỏ, sát thương gọn)</t>
        </is>
      </c>
      <c r="AN56" s="39" t="inlineStr">
        <is>
          <t>SDB chỉ ~17 kg thuốc nổ.</t>
        </is>
      </c>
      <c r="AO56" s="48" t="inlineStr">
        <is>
          <t>Trung</t>
        </is>
      </c>
    </row>
    <row r="57" ht="32.25" customHeight="1" s="32">
      <c r="A57" s="41" t="inlineStr">
        <is>
          <t>gun_105_apfsds</t>
        </is>
      </c>
      <c r="B57" s="41" t="inlineStr">
        <is>
          <t>2A75 125 mm APFSDS</t>
        </is>
      </c>
      <c r="C57" s="41" t="inlineStr">
        <is>
          <t>Pháo xe tăng / diệt tăng</t>
        </is>
      </c>
      <c r="D57" s="41" t="inlineStr">
        <is>
          <t>Chống tăng TN</t>
        </is>
      </c>
      <c r="E57" s="41" t="inlineStr">
        <is>
          <t>Động năng</t>
        </is>
      </c>
      <c r="F57" s="41" t="inlineStr">
        <is>
          <t>DoubleDart</t>
        </is>
      </c>
      <c r="G57" s="43" t="n">
        <v>125</v>
      </c>
      <c r="H57" s="43" t="n">
        <v>4</v>
      </c>
      <c r="I57" s="43" t="n">
        <v>4</v>
      </c>
      <c r="J57" s="43" t="n">
        <v>260</v>
      </c>
      <c r="K57" s="43" t="n">
        <v>260</v>
      </c>
      <c r="L57" s="41" t="inlineStr">
        <is>
          <t>từng phát</t>
        </is>
      </c>
      <c r="M57" s="41" t="inlineStr">
        <is>
          <t>từng phát</t>
        </is>
      </c>
      <c r="N57" s="43" t="n">
        <v>0.26</v>
      </c>
      <c r="O57" s="43" t="n">
        <v>0.26</v>
      </c>
      <c r="P57" s="43" t="n">
        <v>1</v>
      </c>
      <c r="Q57" s="43" t="n">
        <v>1</v>
      </c>
      <c r="R57" s="43" t="n">
        <v>3.84615384615385</v>
      </c>
      <c r="S57" s="43" t="n">
        <v>3.84615384615385</v>
      </c>
      <c r="T57" s="43" t="n">
        <v>46</v>
      </c>
      <c r="U57" s="43" t="n">
        <v>46</v>
      </c>
      <c r="V57" s="43" t="n">
        <v>260</v>
      </c>
      <c r="W57" s="43" t="n">
        <v>260</v>
      </c>
      <c r="X57" s="51">
        <f>IFERROR(U57/W57,"")</f>
        <v/>
      </c>
      <c r="Y57" s="51" t="n"/>
      <c r="Z57" s="51" t="n"/>
      <c r="AA57" s="51">
        <f>IFERROR(IF(L57="từng phát",J57*N57,J57*P57/(P57/N57+R57)),"")</f>
        <v/>
      </c>
      <c r="AB57" s="51">
        <f>IFERROR(IF(M57="từng phát",K57*O57,K57*Q57/(Q57/O57+S57)),"")</f>
        <v/>
      </c>
      <c r="AC57" s="51">
        <f>IFERROR(AB57*VLOOKUP(E57,'Hệ số'!$A$2:$D$8,2,0)*IF((I57-0)&gt;=2,1.2,IF((I57-0)=1,1,IF((I57-0)=0,0.85,IF((I57-0)=-1,0.5,IF((I57-0)=-2,0.25,0.1))))),"")</f>
        <v/>
      </c>
      <c r="AD57" s="51">
        <f>IFERROR(AB57*VLOOKUP(E57,'Hệ số'!$A$2:$D$8,2,0)*IF((I57-1)&gt;=2,1.2,IF((I57-1)=1,1,IF((I57-1)=0,0.85,IF((I57-1)=-1,0.5,IF((I57-1)=-2,0.25,0.1))))),"")</f>
        <v/>
      </c>
      <c r="AE57" s="51">
        <f>IFERROR(AB57*VLOOKUP(E57,'Hệ số'!$A$2:$D$8,2,0)*IF((I57-2)&gt;=2,1.2,IF((I57-2)=1,1,IF((I57-2)=0,0.85,IF((I57-2)=-1,0.5,IF((I57-2)=-2,0.25,0.1))))),"")</f>
        <v/>
      </c>
      <c r="AF57" s="51">
        <f>IFERROR(AB57*VLOOKUP(E57,'Hệ số'!$A$2:$D$8,2,0)*IF((I57-3)&gt;=2,1.2,IF((I57-3)=1,1,IF((I57-3)=0,0.85,IF((I57-3)=-1,0.5,IF((I57-3)=-2,0.25,0.1))))),"")</f>
        <v/>
      </c>
      <c r="AG57" s="51">
        <f>IFERROR(AB57*VLOOKUP(E57,'Hệ số'!$A$2:$D$8,2,0)*IF((I57-4)&gt;=2,1.2,IF((I57-4)=1,1,IF((I57-4)=0,0.85,IF((I57-4)=-1,0.5,IF((I57-4)=-2,0.25,0.1))))),"")</f>
        <v/>
      </c>
      <c r="AH57" s="51">
        <f>IFERROR(AB57*VLOOKUP(E57,'Hệ số'!$A$2:$D$8,2,0)*IF((I57-5)&gt;=2,1.2,IF((I57-5)=1,1,IF((I57-5)=0,0.85,IF((I57-5)=-1,0.5,IF((I57-5)=-2,0.25,0.1))))),"")</f>
        <v/>
      </c>
      <c r="AI57" s="51">
        <f>IFERROR(AB57*VLOOKUP(E57,'Hệ số'!$A$2:$D$8,3,0),"")</f>
        <v/>
      </c>
      <c r="AJ57" s="51">
        <f>IFERROR(AB57*VLOOKUP(E57,'Hệ số'!$A$2:$D$8,4,0)*IF((I57-2)&gt;=2,1.2,IF((I57-2)=1,1,IF((I57-2)=0,0.85,IF((I57-2)=-1,0.5,IF((I57-2)=-2,0.25,0.1))))),"")</f>
        <v/>
      </c>
      <c r="AK57" s="41" t="inlineStr">
        <is>
          <t>Phát đơn, sơ tốc cao; không bị APS chặn (đạn động năng); bị lệch theo tầm và khi xe đang chạy.</t>
        </is>
      </c>
      <c r="AL57" s="41" t="inlineStr">
        <is>
          <t>Tự đổi: đạn xuyên (Động năng) với xe giáp, đạn nổ mạnh (HE, xuyên 2, nổ lan 3 m) với xe nhẹ và công trình.</t>
        </is>
      </c>
      <c r="AM57" s="41" t="inlineStr">
        <is>
          <t>2A75: ~7 phát/phút</t>
        </is>
      </c>
      <c r="AN57" s="41" t="inlineStr">
        <is>
          <t>Giữ.</t>
        </is>
      </c>
      <c r="AO57" s="41" t="n"/>
    </row>
    <row r="58" ht="32.25" customHeight="1" s="32">
      <c r="A58" s="39" t="inlineStr">
        <is>
          <t>gun_105_bunker</t>
        </is>
      </c>
      <c r="B58" s="39" t="inlineStr">
        <is>
          <t>L7 105 mm</t>
        </is>
      </c>
      <c r="C58" s="39" t="inlineStr">
        <is>
          <t>Pháo xe tăng / diệt tăng</t>
        </is>
      </c>
      <c r="D58" s="39" t="inlineStr">
        <is>
          <t>Xe công sự</t>
        </is>
      </c>
      <c r="E58" s="39" t="inlineStr">
        <is>
          <t>Động năng</t>
        </is>
      </c>
      <c r="F58" s="39" t="inlineStr">
        <is>
          <t>Dart</t>
        </is>
      </c>
      <c r="G58" s="42" t="n">
        <v>105</v>
      </c>
      <c r="H58" s="42" t="n">
        <v>3</v>
      </c>
      <c r="I58" s="42" t="n">
        <v>3</v>
      </c>
      <c r="J58" s="42" t="n">
        <v>212</v>
      </c>
      <c r="K58" s="42" t="n">
        <v>212</v>
      </c>
      <c r="L58" s="39" t="inlineStr">
        <is>
          <t>từng phát</t>
        </is>
      </c>
      <c r="M58" s="39" t="inlineStr">
        <is>
          <t>từng phát</t>
        </is>
      </c>
      <c r="N58" s="42" t="n">
        <v>0.220458553791887</v>
      </c>
      <c r="O58" s="42" t="n">
        <v>0.220458553791887</v>
      </c>
      <c r="P58" s="42" t="n">
        <v>1</v>
      </c>
      <c r="Q58" s="42" t="n">
        <v>1</v>
      </c>
      <c r="R58" s="42" t="n">
        <v>4.536</v>
      </c>
      <c r="S58" s="42" t="n">
        <v>4.536</v>
      </c>
      <c r="T58" s="42" t="n">
        <v>34</v>
      </c>
      <c r="U58" s="42" t="n">
        <v>34</v>
      </c>
      <c r="V58" s="42" t="n">
        <v>190</v>
      </c>
      <c r="W58" s="42" t="n">
        <v>190</v>
      </c>
      <c r="X58" s="50">
        <f>IFERROR(U58/W58,"")</f>
        <v/>
      </c>
      <c r="Y58" s="52" t="n">
        <v>1.5</v>
      </c>
      <c r="Z58" s="52" t="n">
        <v>1.5</v>
      </c>
      <c r="AA58" s="50">
        <f>IFERROR(IF(L58="từng phát",J58*N58,J58*P58/(P58/N58+R58)),"")</f>
        <v/>
      </c>
      <c r="AB58" s="50">
        <f>IFERROR(IF(M58="từng phát",K58*O58,K58*Q58/(Q58/O58+S58)),"")</f>
        <v/>
      </c>
      <c r="AC58" s="50">
        <f>IFERROR(AB58*VLOOKUP(E58,'Hệ số'!$A$2:$D$8,2,0)*IF((I58-0)&gt;=2,1.2,IF((I58-0)=1,1,IF((I58-0)=0,0.85,IF((I58-0)=-1,0.5,IF((I58-0)=-2,0.25,0.1))))),"")</f>
        <v/>
      </c>
      <c r="AD58" s="50">
        <f>IFERROR(AB58*VLOOKUP(E58,'Hệ số'!$A$2:$D$8,2,0)*IF((I58-1)&gt;=2,1.2,IF((I58-1)=1,1,IF((I58-1)=0,0.85,IF((I58-1)=-1,0.5,IF((I58-1)=-2,0.25,0.1))))),"")</f>
        <v/>
      </c>
      <c r="AE58" s="50">
        <f>IFERROR(AB58*VLOOKUP(E58,'Hệ số'!$A$2:$D$8,2,0)*IF((I58-2)&gt;=2,1.2,IF((I58-2)=1,1,IF((I58-2)=0,0.85,IF((I58-2)=-1,0.5,IF((I58-2)=-2,0.25,0.1))))),"")</f>
        <v/>
      </c>
      <c r="AF58" s="50">
        <f>IFERROR(AB58*VLOOKUP(E58,'Hệ số'!$A$2:$D$8,2,0)*IF((I58-3)&gt;=2,1.2,IF((I58-3)=1,1,IF((I58-3)=0,0.85,IF((I58-3)=-1,0.5,IF((I58-3)=-2,0.25,0.1))))),"")</f>
        <v/>
      </c>
      <c r="AG58" s="50">
        <f>IFERROR(AB58*VLOOKUP(E58,'Hệ số'!$A$2:$D$8,2,0)*IF((I58-4)&gt;=2,1.2,IF((I58-4)=1,1,IF((I58-4)=0,0.85,IF((I58-4)=-1,0.5,IF((I58-4)=-2,0.25,0.1))))),"")</f>
        <v/>
      </c>
      <c r="AH58" s="50">
        <f>IFERROR(AB58*VLOOKUP(E58,'Hệ số'!$A$2:$D$8,2,0)*IF((I58-5)&gt;=2,1.2,IF((I58-5)=1,1,IF((I58-5)=0,0.85,IF((I58-5)=-1,0.5,IF((I58-5)=-2,0.25,0.1))))),"")</f>
        <v/>
      </c>
      <c r="AI58" s="50">
        <f>IFERROR(AB58*VLOOKUP(E58,'Hệ số'!$A$2:$D$8,3,0),"")</f>
        <v/>
      </c>
      <c r="AJ58" s="50">
        <f>IFERROR(AB58*VLOOKUP(E58,'Hệ số'!$A$2:$D$8,4,0)*IF((I58-2)&gt;=2,1.2,IF((I58-2)=1,1,IF((I58-2)=0,0.85,IF((I58-2)=-1,0.5,IF((I58-2)=-2,0.25,0.1))))),"")</f>
        <v/>
      </c>
      <c r="AK58" s="39" t="inlineStr">
        <is>
          <t>Phát đơn, sơ tốc cao; không bị APS chặn (đạn động năng); bị lệch theo tầm và khi xe đang chạy.</t>
        </is>
      </c>
      <c r="AL58" s="39" t="inlineStr">
        <is>
          <t>Tự đổi: đạn xuyên (Động năng) với xe giáp, đạn nổ mạnh (HE, xuyên 2, nổ lan 3 m) với xe nhẹ và công trình.</t>
        </is>
      </c>
      <c r="AM58" s="39" t="inlineStr">
        <is>
          <t>L7 105 mm: 6–10 phát/phút</t>
        </is>
      </c>
      <c r="AN58" s="39" t="inlineStr">
        <is>
          <t>Giữ.</t>
        </is>
      </c>
      <c r="AO58" s="39" t="n"/>
    </row>
    <row r="59" ht="32.25" customHeight="1" s="32">
      <c r="A59" s="41" t="inlineStr">
        <is>
          <t>gun_105_long</t>
        </is>
      </c>
      <c r="B59" s="41" t="inlineStr">
        <is>
          <t>2A75 125 mm (2S25</t>
        </is>
      </c>
      <c r="C59" s="41" t="inlineStr">
        <is>
          <t>Pháo xe tăng / diệt tăng</t>
        </is>
      </c>
      <c r="D59" s="41" t="inlineStr">
        <is>
          <t>Chống tăng</t>
        </is>
      </c>
      <c r="E59" s="41" t="inlineStr">
        <is>
          <t>Động năng</t>
        </is>
      </c>
      <c r="F59" s="41" t="inlineStr">
        <is>
          <t>DoubleDart</t>
        </is>
      </c>
      <c r="G59" s="43" t="n">
        <v>125</v>
      </c>
      <c r="H59" s="43" t="n">
        <v>4</v>
      </c>
      <c r="I59" s="43" t="n">
        <v>4</v>
      </c>
      <c r="J59" s="43" t="n">
        <v>260</v>
      </c>
      <c r="K59" s="43" t="n">
        <v>260</v>
      </c>
      <c r="L59" s="41" t="inlineStr">
        <is>
          <t>từng phát</t>
        </is>
      </c>
      <c r="M59" s="41" t="inlineStr">
        <is>
          <t>từng phát</t>
        </is>
      </c>
      <c r="N59" s="43" t="n">
        <v>0.265041081367612</v>
      </c>
      <c r="O59" s="43" t="n">
        <v>0.3</v>
      </c>
      <c r="P59" s="43" t="n">
        <v>1</v>
      </c>
      <c r="Q59" s="43" t="n">
        <v>1</v>
      </c>
      <c r="R59" s="43" t="n">
        <v>3.773</v>
      </c>
      <c r="S59" s="43" t="n">
        <v>3.773</v>
      </c>
      <c r="T59" s="43" t="n">
        <v>40</v>
      </c>
      <c r="U59" s="43" t="n">
        <v>46</v>
      </c>
      <c r="V59" s="43" t="n">
        <v>220</v>
      </c>
      <c r="W59" s="43" t="n">
        <v>220</v>
      </c>
      <c r="X59" s="51">
        <f>IFERROR(U59/W59,"")</f>
        <v/>
      </c>
      <c r="Y59" s="51" t="n"/>
      <c r="Z59" s="51" t="n"/>
      <c r="AA59" s="51">
        <f>IFERROR(IF(L59="từng phát",J59*N59,J59*P59/(P59/N59+R59)),"")</f>
        <v/>
      </c>
      <c r="AB59" s="51">
        <f>IFERROR(IF(M59="từng phát",K59*O59,K59*Q59/(Q59/O59+S59)),"")</f>
        <v/>
      </c>
      <c r="AC59" s="51">
        <f>IFERROR(AB59*VLOOKUP(E59,'Hệ số'!$A$2:$D$8,2,0)*IF((I59-0)&gt;=2,1.2,IF((I59-0)=1,1,IF((I59-0)=0,0.85,IF((I59-0)=-1,0.5,IF((I59-0)=-2,0.25,0.1))))),"")</f>
        <v/>
      </c>
      <c r="AD59" s="51">
        <f>IFERROR(AB59*VLOOKUP(E59,'Hệ số'!$A$2:$D$8,2,0)*IF((I59-1)&gt;=2,1.2,IF((I59-1)=1,1,IF((I59-1)=0,0.85,IF((I59-1)=-1,0.5,IF((I59-1)=-2,0.25,0.1))))),"")</f>
        <v/>
      </c>
      <c r="AE59" s="51">
        <f>IFERROR(AB59*VLOOKUP(E59,'Hệ số'!$A$2:$D$8,2,0)*IF((I59-2)&gt;=2,1.2,IF((I59-2)=1,1,IF((I59-2)=0,0.85,IF((I59-2)=-1,0.5,IF((I59-2)=-2,0.25,0.1))))),"")</f>
        <v/>
      </c>
      <c r="AF59" s="51">
        <f>IFERROR(AB59*VLOOKUP(E59,'Hệ số'!$A$2:$D$8,2,0)*IF((I59-3)&gt;=2,1.2,IF((I59-3)=1,1,IF((I59-3)=0,0.85,IF((I59-3)=-1,0.5,IF((I59-3)=-2,0.25,0.1))))),"")</f>
        <v/>
      </c>
      <c r="AG59" s="51">
        <f>IFERROR(AB59*VLOOKUP(E59,'Hệ số'!$A$2:$D$8,2,0)*IF((I59-4)&gt;=2,1.2,IF((I59-4)=1,1,IF((I59-4)=0,0.85,IF((I59-4)=-1,0.5,IF((I59-4)=-2,0.25,0.1))))),"")</f>
        <v/>
      </c>
      <c r="AH59" s="51">
        <f>IFERROR(AB59*VLOOKUP(E59,'Hệ số'!$A$2:$D$8,2,0)*IF((I59-5)&gt;=2,1.2,IF((I59-5)=1,1,IF((I59-5)=0,0.85,IF((I59-5)=-1,0.5,IF((I59-5)=-2,0.25,0.1))))),"")</f>
        <v/>
      </c>
      <c r="AI59" s="51">
        <f>IFERROR(AB59*VLOOKUP(E59,'Hệ số'!$A$2:$D$8,3,0),"")</f>
        <v/>
      </c>
      <c r="AJ59" s="51">
        <f>IFERROR(AB59*VLOOKUP(E59,'Hệ số'!$A$2:$D$8,4,0)*IF((I59-2)&gt;=2,1.2,IF((I59-2)=1,1,IF((I59-2)=0,0.85,IF((I59-2)=-1,0.5,IF((I59-2)=-2,0.25,0.1))))),"")</f>
        <v/>
      </c>
      <c r="AK59" s="41" t="inlineStr">
        <is>
          <t>Phát đơn, sơ tốc cao; không bị APS chặn (đạn động năng); bị lệch theo tầm và khi xe đang chạy.</t>
        </is>
      </c>
      <c r="AL59" s="41" t="inlineStr">
        <is>
          <t>Tự đổi: đạn xuyên (Động năng) với xe giáp, đạn nổ mạnh (HE, xuyên 2, nổ lan 3 m) với xe nhẹ và công trình.</t>
        </is>
      </c>
      <c r="AM59" s="41" t="inlineStr">
        <is>
          <t>2A75 (2S25 Sprut) nạp tự động: ~7 phát/phút</t>
        </is>
      </c>
      <c r="AN59" s="41" t="inlineStr">
        <is>
          <t>Bù giáp mỏng của 2S25 bằng tầm bắn tỉa.</t>
        </is>
      </c>
      <c r="AO59" s="48" t="inlineStr">
        <is>
          <t>Trung</t>
        </is>
      </c>
    </row>
    <row r="60" ht="32.25" customHeight="1" s="32">
      <c r="A60" s="39" t="inlineStr">
        <is>
          <t>gun_105_wheeled</t>
        </is>
      </c>
      <c r="B60" s="39" t="inlineStr">
        <is>
          <t>Centauro II 120 mm</t>
        </is>
      </c>
      <c r="C60" s="39" t="inlineStr">
        <is>
          <t>Pháo xe tăng / diệt tăng</t>
        </is>
      </c>
      <c r="D60" s="39" t="inlineStr">
        <is>
          <t>Pháo bánh lốp</t>
        </is>
      </c>
      <c r="E60" s="39" t="inlineStr">
        <is>
          <t>Động năng</t>
        </is>
      </c>
      <c r="F60" s="39" t="inlineStr">
        <is>
          <t>DoubleDart</t>
        </is>
      </c>
      <c r="G60" s="42" t="n">
        <v>120</v>
      </c>
      <c r="H60" s="42" t="n">
        <v>4</v>
      </c>
      <c r="I60" s="42" t="n">
        <v>4</v>
      </c>
      <c r="J60" s="42" t="n">
        <v>258</v>
      </c>
      <c r="K60" s="42" t="n">
        <v>258</v>
      </c>
      <c r="L60" s="39" t="inlineStr">
        <is>
          <t>từng phát</t>
        </is>
      </c>
      <c r="M60" s="39" t="inlineStr">
        <is>
          <t>từng phát</t>
        </is>
      </c>
      <c r="N60" s="42" t="n">
        <v>0.363636363636364</v>
      </c>
      <c r="O60" s="42" t="n">
        <v>0.27</v>
      </c>
      <c r="P60" s="42" t="n">
        <v>1</v>
      </c>
      <c r="Q60" s="42" t="n">
        <v>1</v>
      </c>
      <c r="R60" s="42" t="n">
        <v>2.75</v>
      </c>
      <c r="S60" s="42" t="n">
        <v>2.75</v>
      </c>
      <c r="T60" s="42" t="n">
        <v>38</v>
      </c>
      <c r="U60" s="42" t="n">
        <v>38</v>
      </c>
      <c r="V60" s="42" t="n">
        <v>230</v>
      </c>
      <c r="W60" s="42" t="n">
        <v>230</v>
      </c>
      <c r="X60" s="50">
        <f>IFERROR(U60/W60,"")</f>
        <v/>
      </c>
      <c r="Y60" s="50" t="n"/>
      <c r="Z60" s="50" t="n"/>
      <c r="AA60" s="50">
        <f>IFERROR(IF(L60="từng phát",J60*N60,J60*P60/(P60/N60+R60)),"")</f>
        <v/>
      </c>
      <c r="AB60" s="50">
        <f>IFERROR(IF(M60="từng phát",K60*O60,K60*Q60/(Q60/O60+S60)),"")</f>
        <v/>
      </c>
      <c r="AC60" s="50">
        <f>IFERROR(AB60*VLOOKUP(E60,'Hệ số'!$A$2:$D$8,2,0)*IF((I60-0)&gt;=2,1.2,IF((I60-0)=1,1,IF((I60-0)=0,0.85,IF((I60-0)=-1,0.5,IF((I60-0)=-2,0.25,0.1))))),"")</f>
        <v/>
      </c>
      <c r="AD60" s="50">
        <f>IFERROR(AB60*VLOOKUP(E60,'Hệ số'!$A$2:$D$8,2,0)*IF((I60-1)&gt;=2,1.2,IF((I60-1)=1,1,IF((I60-1)=0,0.85,IF((I60-1)=-1,0.5,IF((I60-1)=-2,0.25,0.1))))),"")</f>
        <v/>
      </c>
      <c r="AE60" s="50">
        <f>IFERROR(AB60*VLOOKUP(E60,'Hệ số'!$A$2:$D$8,2,0)*IF((I60-2)&gt;=2,1.2,IF((I60-2)=1,1,IF((I60-2)=0,0.85,IF((I60-2)=-1,0.5,IF((I60-2)=-2,0.25,0.1))))),"")</f>
        <v/>
      </c>
      <c r="AF60" s="50">
        <f>IFERROR(AB60*VLOOKUP(E60,'Hệ số'!$A$2:$D$8,2,0)*IF((I60-3)&gt;=2,1.2,IF((I60-3)=1,1,IF((I60-3)=0,0.85,IF((I60-3)=-1,0.5,IF((I60-3)=-2,0.25,0.1))))),"")</f>
        <v/>
      </c>
      <c r="AG60" s="50">
        <f>IFERROR(AB60*VLOOKUP(E60,'Hệ số'!$A$2:$D$8,2,0)*IF((I60-4)&gt;=2,1.2,IF((I60-4)=1,1,IF((I60-4)=0,0.85,IF((I60-4)=-1,0.5,IF((I60-4)=-2,0.25,0.1))))),"")</f>
        <v/>
      </c>
      <c r="AH60" s="50">
        <f>IFERROR(AB60*VLOOKUP(E60,'Hệ số'!$A$2:$D$8,2,0)*IF((I60-5)&gt;=2,1.2,IF((I60-5)=1,1,IF((I60-5)=0,0.85,IF((I60-5)=-1,0.5,IF((I60-5)=-2,0.25,0.1))))),"")</f>
        <v/>
      </c>
      <c r="AI60" s="50">
        <f>IFERROR(AB60*VLOOKUP(E60,'Hệ số'!$A$2:$D$8,3,0),"")</f>
        <v/>
      </c>
      <c r="AJ60" s="50">
        <f>IFERROR(AB60*VLOOKUP(E60,'Hệ số'!$A$2:$D$8,4,0)*IF((I60-2)&gt;=2,1.2,IF((I60-2)=1,1,IF((I60-2)=0,0.85,IF((I60-2)=-1,0.5,IF((I60-2)=-2,0.25,0.1))))),"")</f>
        <v/>
      </c>
      <c r="AK60" s="39" t="inlineStr">
        <is>
          <t>Phát đơn, sơ tốc cao; không bị APS chặn (đạn động năng); bị lệch theo tầm và khi xe đang chạy.</t>
        </is>
      </c>
      <c r="AL60" s="39" t="inlineStr">
        <is>
          <t>Tự đổi: đạn xuyên (Động năng) với xe giáp, đạn nổ mạnh (HE, xuyên 2, nổ lan 3 m) với xe nhẹ và công trình.</t>
        </is>
      </c>
      <c r="AM60" s="39" t="inlineStr">
        <is>
          <t>Centauro II 120 mm nạp tay: ~6–8 phát/phút</t>
        </is>
      </c>
      <c r="AN60" s="39" t="inlineStr">
        <is>
          <t>Centauro II nạp tay không thể nhanh hơn tăng chủ lực.</t>
        </is>
      </c>
      <c r="AO60" s="47" t="inlineStr">
        <is>
          <t>Cao</t>
        </is>
      </c>
    </row>
    <row r="61" ht="32.25" customHeight="1" s="32">
      <c r="A61" s="41" t="inlineStr">
        <is>
          <t>gun_120_twin</t>
        </is>
      </c>
      <c r="B61" s="41" t="inlineStr">
        <is>
          <t>Rh-120 L/44 120 mm</t>
        </is>
      </c>
      <c r="C61" s="41" t="inlineStr">
        <is>
          <t>Pháo xe tăng / diệt tăng</t>
        </is>
      </c>
      <c r="D61" s="41" t="inlineStr">
        <is>
          <t>Hai nòng</t>
        </is>
      </c>
      <c r="E61" s="41" t="inlineStr">
        <is>
          <t>Động năng</t>
        </is>
      </c>
      <c r="F61" s="41" t="inlineStr">
        <is>
          <t>DoubleDart</t>
        </is>
      </c>
      <c r="G61" s="43" t="n">
        <v>120</v>
      </c>
      <c r="H61" s="43" t="n">
        <v>4</v>
      </c>
      <c r="I61" s="43" t="n">
        <v>4</v>
      </c>
      <c r="J61" s="43" t="n">
        <v>240</v>
      </c>
      <c r="K61" s="43" t="n">
        <v>240</v>
      </c>
      <c r="L61" s="41" t="inlineStr">
        <is>
          <t>loạt</t>
        </is>
      </c>
      <c r="M61" s="41" t="inlineStr">
        <is>
          <t>loạt</t>
        </is>
      </c>
      <c r="N61" s="43" t="n">
        <v>20</v>
      </c>
      <c r="O61" s="43" t="n">
        <v>20</v>
      </c>
      <c r="P61" s="43" t="n">
        <v>2</v>
      </c>
      <c r="Q61" s="43" t="n">
        <v>2</v>
      </c>
      <c r="R61" s="43" t="n">
        <v>5.113</v>
      </c>
      <c r="S61" s="43" t="n">
        <v>5.113</v>
      </c>
      <c r="T61" s="43" t="n">
        <v>34</v>
      </c>
      <c r="U61" s="43" t="n">
        <v>34</v>
      </c>
      <c r="V61" s="43" t="n">
        <v>170</v>
      </c>
      <c r="W61" s="43" t="n">
        <v>170</v>
      </c>
      <c r="X61" s="51">
        <f>IFERROR(U61/W61,"")</f>
        <v/>
      </c>
      <c r="Y61" s="53" t="n">
        <v>1.5</v>
      </c>
      <c r="Z61" s="53" t="n">
        <v>1.5</v>
      </c>
      <c r="AA61" s="51">
        <f>IFERROR(IF(L61="từng phát",J61*N61,J61*P61/(P61/N61+R61)),"")</f>
        <v/>
      </c>
      <c r="AB61" s="51">
        <f>IFERROR(IF(M61="từng phát",K61*O61,K61*Q61/(Q61/O61+S61)),"")</f>
        <v/>
      </c>
      <c r="AC61" s="51">
        <f>IFERROR(AB61*VLOOKUP(E61,'Hệ số'!$A$2:$D$8,2,0)*IF((I61-0)&gt;=2,1.2,IF((I61-0)=1,1,IF((I61-0)=0,0.85,IF((I61-0)=-1,0.5,IF((I61-0)=-2,0.25,0.1))))),"")</f>
        <v/>
      </c>
      <c r="AD61" s="51">
        <f>IFERROR(AB61*VLOOKUP(E61,'Hệ số'!$A$2:$D$8,2,0)*IF((I61-1)&gt;=2,1.2,IF((I61-1)=1,1,IF((I61-1)=0,0.85,IF((I61-1)=-1,0.5,IF((I61-1)=-2,0.25,0.1))))),"")</f>
        <v/>
      </c>
      <c r="AE61" s="51">
        <f>IFERROR(AB61*VLOOKUP(E61,'Hệ số'!$A$2:$D$8,2,0)*IF((I61-2)&gt;=2,1.2,IF((I61-2)=1,1,IF((I61-2)=0,0.85,IF((I61-2)=-1,0.5,IF((I61-2)=-2,0.25,0.1))))),"")</f>
        <v/>
      </c>
      <c r="AF61" s="51">
        <f>IFERROR(AB61*VLOOKUP(E61,'Hệ số'!$A$2:$D$8,2,0)*IF((I61-3)&gt;=2,1.2,IF((I61-3)=1,1,IF((I61-3)=0,0.85,IF((I61-3)=-1,0.5,IF((I61-3)=-2,0.25,0.1))))),"")</f>
        <v/>
      </c>
      <c r="AG61" s="51">
        <f>IFERROR(AB61*VLOOKUP(E61,'Hệ số'!$A$2:$D$8,2,0)*IF((I61-4)&gt;=2,1.2,IF((I61-4)=1,1,IF((I61-4)=0,0.85,IF((I61-4)=-1,0.5,IF((I61-4)=-2,0.25,0.1))))),"")</f>
        <v/>
      </c>
      <c r="AH61" s="51">
        <f>IFERROR(AB61*VLOOKUP(E61,'Hệ số'!$A$2:$D$8,2,0)*IF((I61-5)&gt;=2,1.2,IF((I61-5)=1,1,IF((I61-5)=0,0.85,IF((I61-5)=-1,0.5,IF((I61-5)=-2,0.25,0.1))))),"")</f>
        <v/>
      </c>
      <c r="AI61" s="51">
        <f>IFERROR(AB61*VLOOKUP(E61,'Hệ số'!$A$2:$D$8,3,0),"")</f>
        <v/>
      </c>
      <c r="AJ61" s="51">
        <f>IFERROR(AB61*VLOOKUP(E61,'Hệ số'!$A$2:$D$8,4,0)*IF((I61-2)&gt;=2,1.2,IF((I61-2)=1,1,IF((I61-2)=0,0.85,IF((I61-2)=-1,0.5,IF((I61-2)=-2,0.25,0.1))))),"")</f>
        <v/>
      </c>
      <c r="AK61" s="41" t="inlineStr">
        <is>
          <t>Phát đơn, sơ tốc cao; không bị APS chặn (đạn động năng); bị lệch theo tầm và khi xe đang chạy.</t>
        </is>
      </c>
      <c r="AL61" s="41" t="inlineStr">
        <is>
          <t>Tự đổi: đạn xuyên (Động năng) với xe giáp, đạn nổ mạnh (HE, xuyên 2, nổ lan 3 m) với xe nhẹ và công trình.</t>
        </is>
      </c>
      <c r="AM61" s="41" t="inlineStr">
        <is>
          <t>Rh-120</t>
        </is>
      </c>
      <c r="AN61" s="41" t="inlineStr">
        <is>
          <t>Giữ.</t>
        </is>
      </c>
      <c r="AO61" s="41" t="n"/>
    </row>
    <row r="62" ht="32.25" customHeight="1" s="32">
      <c r="A62" s="39" t="inlineStr">
        <is>
          <t>gun_120mm</t>
        </is>
      </c>
      <c r="B62" s="39" t="inlineStr">
        <is>
          <t>Rh-120 L/44 120 mm</t>
        </is>
      </c>
      <c r="C62" s="39" t="inlineStr">
        <is>
          <t>Pháo xe tăng / diệt tăng</t>
        </is>
      </c>
      <c r="D62" s="39" t="inlineStr">
        <is>
          <t>Behemoth, Behemoth Mk.0,</t>
        </is>
      </c>
      <c r="E62" s="39" t="inlineStr">
        <is>
          <t>Động năng</t>
        </is>
      </c>
      <c r="F62" s="39" t="inlineStr">
        <is>
          <t>DoubleDart</t>
        </is>
      </c>
      <c r="G62" s="42" t="n">
        <v>120</v>
      </c>
      <c r="H62" s="42" t="n">
        <v>4</v>
      </c>
      <c r="I62" s="42" t="n">
        <v>4</v>
      </c>
      <c r="J62" s="42" t="n">
        <v>240</v>
      </c>
      <c r="K62" s="42" t="n">
        <v>240</v>
      </c>
      <c r="L62" s="39" t="inlineStr">
        <is>
          <t>từng phát</t>
        </is>
      </c>
      <c r="M62" s="39" t="inlineStr">
        <is>
          <t>từng phát</t>
        </is>
      </c>
      <c r="N62" s="42" t="n">
        <v>0.196155355041193</v>
      </c>
      <c r="O62" s="42" t="n">
        <v>0.196155355041193</v>
      </c>
      <c r="P62" s="42" t="n">
        <v>1</v>
      </c>
      <c r="Q62" s="42" t="n">
        <v>1</v>
      </c>
      <c r="R62" s="42" t="n">
        <v>5.098</v>
      </c>
      <c r="S62" s="42" t="n">
        <v>5.098</v>
      </c>
      <c r="T62" s="42" t="n">
        <v>32</v>
      </c>
      <c r="U62" s="42" t="n">
        <v>32</v>
      </c>
      <c r="V62" s="42" t="n">
        <v>170</v>
      </c>
      <c r="W62" s="42" t="n">
        <v>170</v>
      </c>
      <c r="X62" s="50">
        <f>IFERROR(U62/W62,"")</f>
        <v/>
      </c>
      <c r="Y62" s="52" t="n">
        <v>1.5</v>
      </c>
      <c r="Z62" s="52" t="n">
        <v>1.5</v>
      </c>
      <c r="AA62" s="50">
        <f>IFERROR(IF(L62="từng phát",J62*N62,J62*P62/(P62/N62+R62)),"")</f>
        <v/>
      </c>
      <c r="AB62" s="50">
        <f>IFERROR(IF(M62="từng phát",K62*O62,K62*Q62/(Q62/O62+S62)),"")</f>
        <v/>
      </c>
      <c r="AC62" s="50">
        <f>IFERROR(AB62*VLOOKUP(E62,'Hệ số'!$A$2:$D$8,2,0)*IF((I62-0)&gt;=2,1.2,IF((I62-0)=1,1,IF((I62-0)=0,0.85,IF((I62-0)=-1,0.5,IF((I62-0)=-2,0.25,0.1))))),"")</f>
        <v/>
      </c>
      <c r="AD62" s="50">
        <f>IFERROR(AB62*VLOOKUP(E62,'Hệ số'!$A$2:$D$8,2,0)*IF((I62-1)&gt;=2,1.2,IF((I62-1)=1,1,IF((I62-1)=0,0.85,IF((I62-1)=-1,0.5,IF((I62-1)=-2,0.25,0.1))))),"")</f>
        <v/>
      </c>
      <c r="AE62" s="50">
        <f>IFERROR(AB62*VLOOKUP(E62,'Hệ số'!$A$2:$D$8,2,0)*IF((I62-2)&gt;=2,1.2,IF((I62-2)=1,1,IF((I62-2)=0,0.85,IF((I62-2)=-1,0.5,IF((I62-2)=-2,0.25,0.1))))),"")</f>
        <v/>
      </c>
      <c r="AF62" s="50">
        <f>IFERROR(AB62*VLOOKUP(E62,'Hệ số'!$A$2:$D$8,2,0)*IF((I62-3)&gt;=2,1.2,IF((I62-3)=1,1,IF((I62-3)=0,0.85,IF((I62-3)=-1,0.5,IF((I62-3)=-2,0.25,0.1))))),"")</f>
        <v/>
      </c>
      <c r="AG62" s="50">
        <f>IFERROR(AB62*VLOOKUP(E62,'Hệ số'!$A$2:$D$8,2,0)*IF((I62-4)&gt;=2,1.2,IF((I62-4)=1,1,IF((I62-4)=0,0.85,IF((I62-4)=-1,0.5,IF((I62-4)=-2,0.25,0.1))))),"")</f>
        <v/>
      </c>
      <c r="AH62" s="50">
        <f>IFERROR(AB62*VLOOKUP(E62,'Hệ số'!$A$2:$D$8,2,0)*IF((I62-5)&gt;=2,1.2,IF((I62-5)=1,1,IF((I62-5)=0,0.85,IF((I62-5)=-1,0.5,IF((I62-5)=-2,0.25,0.1))))),"")</f>
        <v/>
      </c>
      <c r="AI62" s="50">
        <f>IFERROR(AB62*VLOOKUP(E62,'Hệ số'!$A$2:$D$8,3,0),"")</f>
        <v/>
      </c>
      <c r="AJ62" s="50">
        <f>IFERROR(AB62*VLOOKUP(E62,'Hệ số'!$A$2:$D$8,4,0)*IF((I62-2)&gt;=2,1.2,IF((I62-2)=1,1,IF((I62-2)=0,0.85,IF((I62-2)=-1,0.5,IF((I62-2)=-2,0.25,0.1))))),"")</f>
        <v/>
      </c>
      <c r="AK62" s="39" t="inlineStr">
        <is>
          <t>Phát đơn, sơ tốc cao; không bị APS chặn (đạn động năng); bị lệch theo tầm và khi xe đang chạy.</t>
        </is>
      </c>
      <c r="AL62" s="39" t="inlineStr">
        <is>
          <t>Tự đổi: đạn xuyên (Động năng) với xe giáp, đạn nổ mạnh (HE, xuyên 2, nổ lan 3 m) với xe nhẹ và công trình.</t>
        </is>
      </c>
      <c r="AM62" s="39" t="inlineStr">
        <is>
          <t>Rh-120: 6–8 phát/phút</t>
        </is>
      </c>
      <c r="AN62" s="39" t="inlineStr">
        <is>
          <t>Giữ.</t>
        </is>
      </c>
      <c r="AO62" s="39" t="n"/>
    </row>
    <row r="63" ht="32.25" customHeight="1" s="32">
      <c r="A63" s="41" t="inlineStr">
        <is>
          <t>gun_125_elite</t>
        </is>
      </c>
      <c r="B63" s="41" t="inlineStr">
        <is>
          <t>2A46M-5 125 mm</t>
        </is>
      </c>
      <c r="C63" s="41" t="inlineStr">
        <is>
          <t>Pháo xe tăng / diệt tăng</t>
        </is>
      </c>
      <c r="D63" s="41" t="inlineStr">
        <is>
          <t>Tăng tinh nhuệ</t>
        </is>
      </c>
      <c r="E63" s="41" t="inlineStr">
        <is>
          <t>Động năng</t>
        </is>
      </c>
      <c r="F63" s="41" t="inlineStr">
        <is>
          <t>DoubleDart</t>
        </is>
      </c>
      <c r="G63" s="43" t="n">
        <v>125</v>
      </c>
      <c r="H63" s="43" t="n">
        <v>4</v>
      </c>
      <c r="I63" s="43" t="n">
        <v>4</v>
      </c>
      <c r="J63" s="43" t="n">
        <v>260</v>
      </c>
      <c r="K63" s="43" t="n">
        <v>260</v>
      </c>
      <c r="L63" s="41" t="inlineStr">
        <is>
          <t>từng phát</t>
        </is>
      </c>
      <c r="M63" s="41" t="inlineStr">
        <is>
          <t>từng phát</t>
        </is>
      </c>
      <c r="N63" s="43" t="n">
        <v>0.18</v>
      </c>
      <c r="O63" s="43" t="n">
        <v>0.18</v>
      </c>
      <c r="P63" s="43" t="n">
        <v>1</v>
      </c>
      <c r="Q63" s="43" t="n">
        <v>1</v>
      </c>
      <c r="R63" s="43" t="n">
        <v>5.55555555555556</v>
      </c>
      <c r="S63" s="43" t="n">
        <v>5.55555555555556</v>
      </c>
      <c r="T63" s="43" t="n">
        <v>34</v>
      </c>
      <c r="U63" s="43" t="n">
        <v>34</v>
      </c>
      <c r="V63" s="43" t="n">
        <v>190</v>
      </c>
      <c r="W63" s="43" t="n">
        <v>190</v>
      </c>
      <c r="X63" s="51">
        <f>IFERROR(U63/W63,"")</f>
        <v/>
      </c>
      <c r="Y63" s="53" t="n">
        <v>1.5</v>
      </c>
      <c r="Z63" s="53" t="n">
        <v>1.5</v>
      </c>
      <c r="AA63" s="51">
        <f>IFERROR(IF(L63="từng phát",J63*N63,J63*P63/(P63/N63+R63)),"")</f>
        <v/>
      </c>
      <c r="AB63" s="51">
        <f>IFERROR(IF(M63="từng phát",K63*O63,K63*Q63/(Q63/O63+S63)),"")</f>
        <v/>
      </c>
      <c r="AC63" s="51">
        <f>IFERROR(AB63*VLOOKUP(E63,'Hệ số'!$A$2:$D$8,2,0)*IF((I63-0)&gt;=2,1.2,IF((I63-0)=1,1,IF((I63-0)=0,0.85,IF((I63-0)=-1,0.5,IF((I63-0)=-2,0.25,0.1))))),"")</f>
        <v/>
      </c>
      <c r="AD63" s="51">
        <f>IFERROR(AB63*VLOOKUP(E63,'Hệ số'!$A$2:$D$8,2,0)*IF((I63-1)&gt;=2,1.2,IF((I63-1)=1,1,IF((I63-1)=0,0.85,IF((I63-1)=-1,0.5,IF((I63-1)=-2,0.25,0.1))))),"")</f>
        <v/>
      </c>
      <c r="AE63" s="51">
        <f>IFERROR(AB63*VLOOKUP(E63,'Hệ số'!$A$2:$D$8,2,0)*IF((I63-2)&gt;=2,1.2,IF((I63-2)=1,1,IF((I63-2)=0,0.85,IF((I63-2)=-1,0.5,IF((I63-2)=-2,0.25,0.1))))),"")</f>
        <v/>
      </c>
      <c r="AF63" s="51">
        <f>IFERROR(AB63*VLOOKUP(E63,'Hệ số'!$A$2:$D$8,2,0)*IF((I63-3)&gt;=2,1.2,IF((I63-3)=1,1,IF((I63-3)=0,0.85,IF((I63-3)=-1,0.5,IF((I63-3)=-2,0.25,0.1))))),"")</f>
        <v/>
      </c>
      <c r="AG63" s="51">
        <f>IFERROR(AB63*VLOOKUP(E63,'Hệ số'!$A$2:$D$8,2,0)*IF((I63-4)&gt;=2,1.2,IF((I63-4)=1,1,IF((I63-4)=0,0.85,IF((I63-4)=-1,0.5,IF((I63-4)=-2,0.25,0.1))))),"")</f>
        <v/>
      </c>
      <c r="AH63" s="51">
        <f>IFERROR(AB63*VLOOKUP(E63,'Hệ số'!$A$2:$D$8,2,0)*IF((I63-5)&gt;=2,1.2,IF((I63-5)=1,1,IF((I63-5)=0,0.85,IF((I63-5)=-1,0.5,IF((I63-5)=-2,0.25,0.1))))),"")</f>
        <v/>
      </c>
      <c r="AI63" s="51">
        <f>IFERROR(AB63*VLOOKUP(E63,'Hệ số'!$A$2:$D$8,3,0),"")</f>
        <v/>
      </c>
      <c r="AJ63" s="51">
        <f>IFERROR(AB63*VLOOKUP(E63,'Hệ số'!$A$2:$D$8,4,0)*IF((I63-2)&gt;=2,1.2,IF((I63-2)=1,1,IF((I63-2)=0,0.85,IF((I63-2)=-1,0.5,IF((I63-2)=-2,0.25,0.1))))),"")</f>
        <v/>
      </c>
      <c r="AK63" s="41" t="inlineStr">
        <is>
          <t>Phát đơn, sơ tốc cao; không bị APS chặn (đạn động năng); bị lệch theo tầm và khi xe đang chạy.</t>
        </is>
      </c>
      <c r="AL63" s="41" t="inlineStr">
        <is>
          <t>Tự đổi: đạn xuyên (Động năng) với xe giáp, đạn nổ mạnh (HE, xuyên 2, nổ lan 3 m) với xe nhẹ và công trình.</t>
        </is>
      </c>
      <c r="AM63" s="41" t="inlineStr">
        <is>
          <t>2A46M-5: 7–8 phát/phút (nạp tự động)</t>
        </is>
      </c>
      <c r="AN63" s="41" t="inlineStr">
        <is>
          <t>Giữ.</t>
        </is>
      </c>
      <c r="AO63" s="41" t="n"/>
    </row>
    <row r="64" ht="32.25" customHeight="1" s="32">
      <c r="A64" s="39" t="inlineStr">
        <is>
          <t>gun_140_twin</t>
        </is>
      </c>
      <c r="B64" s="39" t="inlineStr">
        <is>
          <t>NPzK 140 mm (twin)</t>
        </is>
      </c>
      <c r="C64" s="39" t="inlineStr">
        <is>
          <t>Pháo xe tăng / diệt tăng</t>
        </is>
      </c>
      <c r="D64" s="39" t="inlineStr">
        <is>
          <t>Siêu tăng</t>
        </is>
      </c>
      <c r="E64" s="39" t="inlineStr">
        <is>
          <t>Động năng</t>
        </is>
      </c>
      <c r="F64" s="39" t="inlineStr">
        <is>
          <t>DoubleDart</t>
        </is>
      </c>
      <c r="G64" s="42" t="n">
        <v>140</v>
      </c>
      <c r="H64" s="42" t="n">
        <v>4</v>
      </c>
      <c r="I64" s="42" t="n">
        <v>4</v>
      </c>
      <c r="J64" s="42" t="n">
        <v>290</v>
      </c>
      <c r="K64" s="42" t="n">
        <v>290</v>
      </c>
      <c r="L64" s="39" t="inlineStr">
        <is>
          <t>loạt</t>
        </is>
      </c>
      <c r="M64" s="39" t="inlineStr">
        <is>
          <t>loạt</t>
        </is>
      </c>
      <c r="N64" s="42" t="n">
        <v>20</v>
      </c>
      <c r="O64" s="42" t="n">
        <v>20</v>
      </c>
      <c r="P64" s="42" t="n">
        <v>2</v>
      </c>
      <c r="Q64" s="42" t="n">
        <v>2</v>
      </c>
      <c r="R64" s="42" t="n">
        <v>4.487</v>
      </c>
      <c r="S64" s="42" t="n">
        <v>4.487</v>
      </c>
      <c r="T64" s="42" t="n">
        <v>40</v>
      </c>
      <c r="U64" s="42" t="n">
        <v>40</v>
      </c>
      <c r="V64" s="42" t="n">
        <v>200</v>
      </c>
      <c r="W64" s="42" t="n">
        <v>200</v>
      </c>
      <c r="X64" s="50">
        <f>IFERROR(U64/W64,"")</f>
        <v/>
      </c>
      <c r="Y64" s="52" t="n">
        <v>2</v>
      </c>
      <c r="Z64" s="52" t="n">
        <v>2</v>
      </c>
      <c r="AA64" s="50">
        <f>IFERROR(IF(L64="từng phát",J64*N64,J64*P64/(P64/N64+R64)),"")</f>
        <v/>
      </c>
      <c r="AB64" s="50">
        <f>IFERROR(IF(M64="từng phát",K64*O64,K64*Q64/(Q64/O64+S64)),"")</f>
        <v/>
      </c>
      <c r="AC64" s="50">
        <f>IFERROR(AB64*VLOOKUP(E64,'Hệ số'!$A$2:$D$8,2,0)*IF((I64-0)&gt;=2,1.2,IF((I64-0)=1,1,IF((I64-0)=0,0.85,IF((I64-0)=-1,0.5,IF((I64-0)=-2,0.25,0.1))))),"")</f>
        <v/>
      </c>
      <c r="AD64" s="50">
        <f>IFERROR(AB64*VLOOKUP(E64,'Hệ số'!$A$2:$D$8,2,0)*IF((I64-1)&gt;=2,1.2,IF((I64-1)=1,1,IF((I64-1)=0,0.85,IF((I64-1)=-1,0.5,IF((I64-1)=-2,0.25,0.1))))),"")</f>
        <v/>
      </c>
      <c r="AE64" s="50">
        <f>IFERROR(AB64*VLOOKUP(E64,'Hệ số'!$A$2:$D$8,2,0)*IF((I64-2)&gt;=2,1.2,IF((I64-2)=1,1,IF((I64-2)=0,0.85,IF((I64-2)=-1,0.5,IF((I64-2)=-2,0.25,0.1))))),"")</f>
        <v/>
      </c>
      <c r="AF64" s="50">
        <f>IFERROR(AB64*VLOOKUP(E64,'Hệ số'!$A$2:$D$8,2,0)*IF((I64-3)&gt;=2,1.2,IF((I64-3)=1,1,IF((I64-3)=0,0.85,IF((I64-3)=-1,0.5,IF((I64-3)=-2,0.25,0.1))))),"")</f>
        <v/>
      </c>
      <c r="AG64" s="50">
        <f>IFERROR(AB64*VLOOKUP(E64,'Hệ số'!$A$2:$D$8,2,0)*IF((I64-4)&gt;=2,1.2,IF((I64-4)=1,1,IF((I64-4)=0,0.85,IF((I64-4)=-1,0.5,IF((I64-4)=-2,0.25,0.1))))),"")</f>
        <v/>
      </c>
      <c r="AH64" s="50">
        <f>IFERROR(AB64*VLOOKUP(E64,'Hệ số'!$A$2:$D$8,2,0)*IF((I64-5)&gt;=2,1.2,IF((I64-5)=1,1,IF((I64-5)=0,0.85,IF((I64-5)=-1,0.5,IF((I64-5)=-2,0.25,0.1))))),"")</f>
        <v/>
      </c>
      <c r="AI64" s="50">
        <f>IFERROR(AB64*VLOOKUP(E64,'Hệ số'!$A$2:$D$8,3,0),"")</f>
        <v/>
      </c>
      <c r="AJ64" s="50">
        <f>IFERROR(AB64*VLOOKUP(E64,'Hệ số'!$A$2:$D$8,4,0)*IF((I64-2)&gt;=2,1.2,IF((I64-2)=1,1,IF((I64-2)=0,0.85,IF((I64-2)=-1,0.5,IF((I64-2)=-2,0.25,0.1))))),"")</f>
        <v/>
      </c>
      <c r="AK64" s="39" t="inlineStr">
        <is>
          <t>Phát đơn, sơ tốc cao; không bị APS chặn (đạn động năng); bị lệch theo tầm và khi xe đang chạy.</t>
        </is>
      </c>
      <c r="AL64" s="39" t="inlineStr">
        <is>
          <t>Tự đổi: đạn xuyên (Động năng) với xe giáp, đạn nổ mạnh (HE, xuyên 2, nổ lan 3 m) với xe nhẹ và công trình.</t>
        </is>
      </c>
      <c r="AM64" s="39" t="inlineStr">
        <is>
          <t>NPzK 140 mm (thử nghiệm)</t>
        </is>
      </c>
      <c r="AN64" s="39" t="inlineStr">
        <is>
          <t>Giữ.</t>
        </is>
      </c>
      <c r="AO64" s="39" t="n"/>
    </row>
    <row r="65" ht="32.25" customHeight="1" s="32">
      <c r="A65" s="41" t="inlineStr">
        <is>
          <t>gun_152</t>
        </is>
      </c>
      <c r="B65" s="41" t="inlineStr">
        <is>
          <t>2A83 152 mm</t>
        </is>
      </c>
      <c r="C65" s="41" t="inlineStr">
        <is>
          <t>Pháo xe tăng / diệt tăng</t>
        </is>
      </c>
      <c r="D65" s="41" t="inlineStr">
        <is>
          <t>Tăng nặng</t>
        </is>
      </c>
      <c r="E65" s="41" t="inlineStr">
        <is>
          <t>Động năng</t>
        </is>
      </c>
      <c r="F65" s="41" t="inlineStr">
        <is>
          <t>DoubleDart</t>
        </is>
      </c>
      <c r="G65" s="43" t="n">
        <v>152</v>
      </c>
      <c r="H65" s="43" t="n">
        <v>4</v>
      </c>
      <c r="I65" s="43" t="n">
        <v>4</v>
      </c>
      <c r="J65" s="43" t="n">
        <v>320</v>
      </c>
      <c r="K65" s="43" t="n">
        <v>320</v>
      </c>
      <c r="L65" s="41" t="inlineStr">
        <is>
          <t>từng phát</t>
        </is>
      </c>
      <c r="M65" s="41" t="inlineStr">
        <is>
          <t>từng phát</t>
        </is>
      </c>
      <c r="N65" s="43" t="n">
        <v>0.175008750437522</v>
      </c>
      <c r="O65" s="43" t="n">
        <v>0.175008750437522</v>
      </c>
      <c r="P65" s="43" t="n">
        <v>1</v>
      </c>
      <c r="Q65" s="43" t="n">
        <v>1</v>
      </c>
      <c r="R65" s="43" t="n">
        <v>5.714</v>
      </c>
      <c r="S65" s="43" t="n">
        <v>5.714</v>
      </c>
      <c r="T65" s="43" t="n">
        <v>34</v>
      </c>
      <c r="U65" s="43" t="n">
        <v>34</v>
      </c>
      <c r="V65" s="43" t="n">
        <v>160</v>
      </c>
      <c r="W65" s="43" t="n">
        <v>160</v>
      </c>
      <c r="X65" s="51">
        <f>IFERROR(U65/W65,"")</f>
        <v/>
      </c>
      <c r="Y65" s="53" t="n">
        <v>2.5</v>
      </c>
      <c r="Z65" s="53" t="n">
        <v>2.5</v>
      </c>
      <c r="AA65" s="51">
        <f>IFERROR(IF(L65="từng phát",J65*N65,J65*P65/(P65/N65+R65)),"")</f>
        <v/>
      </c>
      <c r="AB65" s="51">
        <f>IFERROR(IF(M65="từng phát",K65*O65,K65*Q65/(Q65/O65+S65)),"")</f>
        <v/>
      </c>
      <c r="AC65" s="51">
        <f>IFERROR(AB65*VLOOKUP(E65,'Hệ số'!$A$2:$D$8,2,0)*IF((I65-0)&gt;=2,1.2,IF((I65-0)=1,1,IF((I65-0)=0,0.85,IF((I65-0)=-1,0.5,IF((I65-0)=-2,0.25,0.1))))),"")</f>
        <v/>
      </c>
      <c r="AD65" s="51">
        <f>IFERROR(AB65*VLOOKUP(E65,'Hệ số'!$A$2:$D$8,2,0)*IF((I65-1)&gt;=2,1.2,IF((I65-1)=1,1,IF((I65-1)=0,0.85,IF((I65-1)=-1,0.5,IF((I65-1)=-2,0.25,0.1))))),"")</f>
        <v/>
      </c>
      <c r="AE65" s="51">
        <f>IFERROR(AB65*VLOOKUP(E65,'Hệ số'!$A$2:$D$8,2,0)*IF((I65-2)&gt;=2,1.2,IF((I65-2)=1,1,IF((I65-2)=0,0.85,IF((I65-2)=-1,0.5,IF((I65-2)=-2,0.25,0.1))))),"")</f>
        <v/>
      </c>
      <c r="AF65" s="51">
        <f>IFERROR(AB65*VLOOKUP(E65,'Hệ số'!$A$2:$D$8,2,0)*IF((I65-3)&gt;=2,1.2,IF((I65-3)=1,1,IF((I65-3)=0,0.85,IF((I65-3)=-1,0.5,IF((I65-3)=-2,0.25,0.1))))),"")</f>
        <v/>
      </c>
      <c r="AG65" s="51">
        <f>IFERROR(AB65*VLOOKUP(E65,'Hệ số'!$A$2:$D$8,2,0)*IF((I65-4)&gt;=2,1.2,IF((I65-4)=1,1,IF((I65-4)=0,0.85,IF((I65-4)=-1,0.5,IF((I65-4)=-2,0.25,0.1))))),"")</f>
        <v/>
      </c>
      <c r="AH65" s="51">
        <f>IFERROR(AB65*VLOOKUP(E65,'Hệ số'!$A$2:$D$8,2,0)*IF((I65-5)&gt;=2,1.2,IF((I65-5)=1,1,IF((I65-5)=0,0.85,IF((I65-5)=-1,0.5,IF((I65-5)=-2,0.25,0.1))))),"")</f>
        <v/>
      </c>
      <c r="AI65" s="51">
        <f>IFERROR(AB65*VLOOKUP(E65,'Hệ số'!$A$2:$D$8,3,0),"")</f>
        <v/>
      </c>
      <c r="AJ65" s="51">
        <f>IFERROR(AB65*VLOOKUP(E65,'Hệ số'!$A$2:$D$8,4,0)*IF((I65-2)&gt;=2,1.2,IF((I65-2)=1,1,IF((I65-2)=0,0.85,IF((I65-2)=-1,0.5,IF((I65-2)=-2,0.25,0.1))))),"")</f>
        <v/>
      </c>
      <c r="AK65" s="41" t="inlineStr">
        <is>
          <t>Phát đơn, sơ tốc cao; không bị APS chặn (đạn động năng); bị lệch theo tầm và khi xe đang chạy.</t>
        </is>
      </c>
      <c r="AL65" s="41" t="inlineStr">
        <is>
          <t>Tự đổi: đạn xuyên (Động năng) với xe giáp, đạn nổ mạnh (HE, xuyên 2, nổ lan 3 m) với xe nhẹ và công trình.</t>
        </is>
      </c>
      <c r="AM65" s="41" t="inlineStr">
        <is>
          <t>2A83 152 mm (Object 195): ~10 phát/phút (ước lượng)</t>
        </is>
      </c>
      <c r="AN65" s="41" t="inlineStr">
        <is>
          <t>Giữ.</t>
        </is>
      </c>
      <c r="AO65" s="41" t="n"/>
    </row>
    <row r="66" ht="32.25" customHeight="1" s="32">
      <c r="A66" s="39" t="inlineStr">
        <is>
          <t>gun_152_he</t>
        </is>
      </c>
      <c r="B66" s="39" t="inlineStr">
        <is>
          <t>2A83 152 mm HE-</t>
        </is>
      </c>
      <c r="C66" s="39" t="inlineStr">
        <is>
          <t>Pháo xe tăng / diệt tăng</t>
        </is>
      </c>
      <c r="D66" s="39" t="inlineStr">
        <is>
          <t>Nemesis</t>
        </is>
      </c>
      <c r="E66" s="39" t="inlineStr">
        <is>
          <t>Động năng</t>
        </is>
      </c>
      <c r="F66" s="39" t="inlineStr">
        <is>
          <t>DoubleDart</t>
        </is>
      </c>
      <c r="G66" s="42" t="n">
        <v>152</v>
      </c>
      <c r="H66" s="42" t="n">
        <v>3</v>
      </c>
      <c r="I66" s="42" t="n">
        <v>3</v>
      </c>
      <c r="J66" s="42" t="n">
        <v>320</v>
      </c>
      <c r="K66" s="42" t="n">
        <v>320</v>
      </c>
      <c r="L66" s="39" t="inlineStr">
        <is>
          <t>từng phát</t>
        </is>
      </c>
      <c r="M66" s="39" t="inlineStr">
        <is>
          <t>từng phát</t>
        </is>
      </c>
      <c r="N66" s="42" t="n">
        <v>0.17</v>
      </c>
      <c r="O66" s="42" t="n">
        <v>0.17</v>
      </c>
      <c r="P66" s="42" t="n">
        <v>1</v>
      </c>
      <c r="Q66" s="42" t="n">
        <v>1</v>
      </c>
      <c r="R66" s="42" t="n">
        <v>5.88235294117647</v>
      </c>
      <c r="S66" s="42" t="n">
        <v>5.88235294117647</v>
      </c>
      <c r="T66" s="42" t="n">
        <v>34</v>
      </c>
      <c r="U66" s="42" t="n">
        <v>34</v>
      </c>
      <c r="V66" s="42" t="n">
        <v>150</v>
      </c>
      <c r="W66" s="42" t="n">
        <v>150</v>
      </c>
      <c r="X66" s="50">
        <f>IFERROR(U66/W66,"")</f>
        <v/>
      </c>
      <c r="Y66" s="52" t="n">
        <v>5</v>
      </c>
      <c r="Z66" s="52" t="n">
        <v>6.5</v>
      </c>
      <c r="AA66" s="50">
        <f>IFERROR(IF(L66="từng phát",J66*N66,J66*P66/(P66/N66+R66)),"")</f>
        <v/>
      </c>
      <c r="AB66" s="50">
        <f>IFERROR(IF(M66="từng phát",K66*O66,K66*Q66/(Q66/O66+S66)),"")</f>
        <v/>
      </c>
      <c r="AC66" s="50">
        <f>IFERROR(AB66*VLOOKUP(E66,'Hệ số'!$A$2:$D$8,2,0)*IF((I66-0)&gt;=2,1.2,IF((I66-0)=1,1,IF((I66-0)=0,0.85,IF((I66-0)=-1,0.5,IF((I66-0)=-2,0.25,0.1))))),"")</f>
        <v/>
      </c>
      <c r="AD66" s="50">
        <f>IFERROR(AB66*VLOOKUP(E66,'Hệ số'!$A$2:$D$8,2,0)*IF((I66-1)&gt;=2,1.2,IF((I66-1)=1,1,IF((I66-1)=0,0.85,IF((I66-1)=-1,0.5,IF((I66-1)=-2,0.25,0.1))))),"")</f>
        <v/>
      </c>
      <c r="AE66" s="50">
        <f>IFERROR(AB66*VLOOKUP(E66,'Hệ số'!$A$2:$D$8,2,0)*IF((I66-2)&gt;=2,1.2,IF((I66-2)=1,1,IF((I66-2)=0,0.85,IF((I66-2)=-1,0.5,IF((I66-2)=-2,0.25,0.1))))),"")</f>
        <v/>
      </c>
      <c r="AF66" s="50">
        <f>IFERROR(AB66*VLOOKUP(E66,'Hệ số'!$A$2:$D$8,2,0)*IF((I66-3)&gt;=2,1.2,IF((I66-3)=1,1,IF((I66-3)=0,0.85,IF((I66-3)=-1,0.5,IF((I66-3)=-2,0.25,0.1))))),"")</f>
        <v/>
      </c>
      <c r="AG66" s="50">
        <f>IFERROR(AB66*VLOOKUP(E66,'Hệ số'!$A$2:$D$8,2,0)*IF((I66-4)&gt;=2,1.2,IF((I66-4)=1,1,IF((I66-4)=0,0.85,IF((I66-4)=-1,0.5,IF((I66-4)=-2,0.25,0.1))))),"")</f>
        <v/>
      </c>
      <c r="AH66" s="50">
        <f>IFERROR(AB66*VLOOKUP(E66,'Hệ số'!$A$2:$D$8,2,0)*IF((I66-5)&gt;=2,1.2,IF((I66-5)=1,1,IF((I66-5)=0,0.85,IF((I66-5)=-1,0.5,IF((I66-5)=-2,0.25,0.1))))),"")</f>
        <v/>
      </c>
      <c r="AI66" s="50">
        <f>IFERROR(AB66*VLOOKUP(E66,'Hệ số'!$A$2:$D$8,3,0),"")</f>
        <v/>
      </c>
      <c r="AJ66" s="50">
        <f>IFERROR(AB66*VLOOKUP(E66,'Hệ số'!$A$2:$D$8,4,0)*IF((I66-2)&gt;=2,1.2,IF((I66-2)=1,1,IF((I66-2)=0,0.85,IF((I66-2)=-1,0.5,IF((I66-2)=-2,0.25,0.1))))),"")</f>
        <v/>
      </c>
      <c r="AK66" s="39" t="inlineStr">
        <is>
          <t>Phát đơn, sơ tốc cao; không bị APS chặn (đạn động năng); bị lệch theo tầm và khi xe đang chạy.</t>
        </is>
      </c>
      <c r="AL66" s="39" t="inlineStr">
        <is>
          <t>Tự đổi: đạn xuyên (Động năng) với xe giáp, đạn nổ mạnh (HE, xuyên 2, nổ lan 3 m) với xe nhẹ và công trình.</t>
        </is>
      </c>
      <c r="AM66" s="39" t="inlineStr">
        <is>
          <t>2A83</t>
        </is>
      </c>
      <c r="AN66" s="39" t="inlineStr">
        <is>
          <t>Như trên.</t>
        </is>
      </c>
      <c r="AO66" s="48" t="inlineStr">
        <is>
          <t>Trung</t>
        </is>
      </c>
    </row>
    <row r="67" ht="32.25" customHeight="1" s="32">
      <c r="A67" s="41" t="inlineStr">
        <is>
          <t>gun_152_heat</t>
        </is>
      </c>
      <c r="B67" s="41" t="inlineStr">
        <is>
          <t>2A83 152 mm HEAT</t>
        </is>
      </c>
      <c r="C67" s="41" t="inlineStr">
        <is>
          <t>Pháo xe tăng / diệt tăng</t>
        </is>
      </c>
      <c r="D67" s="41" t="inlineStr">
        <is>
          <t>Tăng nặng TN</t>
        </is>
      </c>
      <c r="E67" s="41" t="inlineStr">
        <is>
          <t>Nổ lõm</t>
        </is>
      </c>
      <c r="F67" s="41" t="inlineStr">
        <is>
          <t>DoubleDart</t>
        </is>
      </c>
      <c r="G67" s="43" t="n">
        <v>152</v>
      </c>
      <c r="H67" s="43" t="n">
        <v>4</v>
      </c>
      <c r="I67" s="43" t="n">
        <v>4</v>
      </c>
      <c r="J67" s="43" t="n">
        <v>336</v>
      </c>
      <c r="K67" s="43" t="n">
        <v>336</v>
      </c>
      <c r="L67" s="41" t="inlineStr">
        <is>
          <t>từng phát</t>
        </is>
      </c>
      <c r="M67" s="41" t="inlineStr">
        <is>
          <t>từng phát</t>
        </is>
      </c>
      <c r="N67" s="43" t="n">
        <v>0.16</v>
      </c>
      <c r="O67" s="43" t="n">
        <v>0.16</v>
      </c>
      <c r="P67" s="43" t="n">
        <v>1</v>
      </c>
      <c r="Q67" s="43" t="n">
        <v>1</v>
      </c>
      <c r="R67" s="43" t="n">
        <v>6.25</v>
      </c>
      <c r="S67" s="43" t="n">
        <v>6.25</v>
      </c>
      <c r="T67" s="43" t="n">
        <v>36</v>
      </c>
      <c r="U67" s="43" t="n">
        <v>36</v>
      </c>
      <c r="V67" s="43" t="n">
        <v>170</v>
      </c>
      <c r="W67" s="43" t="n">
        <v>170</v>
      </c>
      <c r="X67" s="51">
        <f>IFERROR(U67/W67,"")</f>
        <v/>
      </c>
      <c r="Y67" s="53" t="n">
        <v>3.5</v>
      </c>
      <c r="Z67" s="53" t="n">
        <v>3.5</v>
      </c>
      <c r="AA67" s="51">
        <f>IFERROR(IF(L67="từng phát",J67*N67,J67*P67/(P67/N67+R67)),"")</f>
        <v/>
      </c>
      <c r="AB67" s="51">
        <f>IFERROR(IF(M67="từng phát",K67*O67,K67*Q67/(Q67/O67+S67)),"")</f>
        <v/>
      </c>
      <c r="AC67" s="51">
        <f>IFERROR(AB67*VLOOKUP(E67,'Hệ số'!$A$2:$D$8,2,0)*IF((I67-0)&gt;=2,1.2,IF((I67-0)=1,1,IF((I67-0)=0,0.85,IF((I67-0)=-1,0.5,IF((I67-0)=-2,0.25,0.1))))),"")</f>
        <v/>
      </c>
      <c r="AD67" s="51">
        <f>IFERROR(AB67*VLOOKUP(E67,'Hệ số'!$A$2:$D$8,2,0)*IF((I67-1)&gt;=2,1.2,IF((I67-1)=1,1,IF((I67-1)=0,0.85,IF((I67-1)=-1,0.5,IF((I67-1)=-2,0.25,0.1))))),"")</f>
        <v/>
      </c>
      <c r="AE67" s="51">
        <f>IFERROR(AB67*VLOOKUP(E67,'Hệ số'!$A$2:$D$8,2,0)*IF((I67-2)&gt;=2,1.2,IF((I67-2)=1,1,IF((I67-2)=0,0.85,IF((I67-2)=-1,0.5,IF((I67-2)=-2,0.25,0.1))))),"")</f>
        <v/>
      </c>
      <c r="AF67" s="51">
        <f>IFERROR(AB67*VLOOKUP(E67,'Hệ số'!$A$2:$D$8,2,0)*IF((I67-3)&gt;=2,1.2,IF((I67-3)=1,1,IF((I67-3)=0,0.85,IF((I67-3)=-1,0.5,IF((I67-3)=-2,0.25,0.1))))),"")</f>
        <v/>
      </c>
      <c r="AG67" s="51">
        <f>IFERROR(AB67*VLOOKUP(E67,'Hệ số'!$A$2:$D$8,2,0)*IF((I67-4)&gt;=2,1.2,IF((I67-4)=1,1,IF((I67-4)=0,0.85,IF((I67-4)=-1,0.5,IF((I67-4)=-2,0.25,0.1))))),"")</f>
        <v/>
      </c>
      <c r="AH67" s="51">
        <f>IFERROR(AB67*VLOOKUP(E67,'Hệ số'!$A$2:$D$8,2,0)*IF((I67-5)&gt;=2,1.2,IF((I67-5)=1,1,IF((I67-5)=0,0.85,IF((I67-5)=-1,0.5,IF((I67-5)=-2,0.25,0.1))))),"")</f>
        <v/>
      </c>
      <c r="AI67" s="51">
        <f>IFERROR(AB67*VLOOKUP(E67,'Hệ số'!$A$2:$D$8,3,0),"")</f>
        <v/>
      </c>
      <c r="AJ67" s="51">
        <f>IFERROR(AB67*VLOOKUP(E67,'Hệ số'!$A$2:$D$8,4,0)*IF((I67-2)&gt;=2,1.2,IF((I67-2)=1,1,IF((I67-2)=0,0.85,IF((I67-2)=-1,0.5,IF((I67-2)=-2,0.25,0.1))))),"")</f>
        <v/>
      </c>
      <c r="AK67" s="41" t="inlineStr">
        <is>
          <t>Phát đơn, sơ tốc cao; không bị APS chặn (đạn động năng); bị lệch theo tầm và khi xe đang chạy.</t>
        </is>
      </c>
      <c r="AL67" s="41" t="inlineStr">
        <is>
          <t>Tự đổi: đạn xuyên (Động năng) với xe giáp, đạn nổ mạnh (HE, xuyên 2, nổ lan 3 m) với xe nhẹ và công trình.</t>
        </is>
      </c>
      <c r="AM67" s="41" t="inlineStr">
        <is>
          <t>2A83</t>
        </is>
      </c>
      <c r="AN67" s="41" t="inlineStr">
        <is>
          <t>Giữ.</t>
        </is>
      </c>
      <c r="AO67" s="41" t="n"/>
    </row>
    <row r="68" ht="32.25" customHeight="1" s="32">
      <c r="A68" s="39" t="inlineStr">
        <is>
          <t>gun_155_coastal</t>
        </is>
      </c>
      <c r="B68" s="39" t="inlineStr">
        <is>
          <t>M284 155 mm (coastal</t>
        </is>
      </c>
      <c r="C68" s="39" t="inlineStr">
        <is>
          <t>Đạn pháo nổ mạnh</t>
        </is>
      </c>
      <c r="D68" s="39" t="inlineStr">
        <is>
          <t>Pháo bờ biển</t>
        </is>
      </c>
      <c r="E68" s="39" t="inlineStr">
        <is>
          <t>Nổ mạnh</t>
        </is>
      </c>
      <c r="F68" s="39" t="inlineStr">
        <is>
          <t>HeShell</t>
        </is>
      </c>
      <c r="G68" s="42" t="n">
        <v>155</v>
      </c>
      <c r="H68" s="42" t="n">
        <v>3</v>
      </c>
      <c r="I68" s="42" t="n">
        <v>3</v>
      </c>
      <c r="J68" s="42" t="n">
        <v>320</v>
      </c>
      <c r="K68" s="42" t="n">
        <v>320</v>
      </c>
      <c r="L68" s="39" t="inlineStr">
        <is>
          <t>loạt</t>
        </is>
      </c>
      <c r="M68" s="39" t="inlineStr">
        <is>
          <t>loạt</t>
        </is>
      </c>
      <c r="N68" s="42" t="n">
        <v>20</v>
      </c>
      <c r="O68" s="42" t="n">
        <v>20</v>
      </c>
      <c r="P68" s="42" t="n">
        <v>2</v>
      </c>
      <c r="Q68" s="42" t="n">
        <v>2</v>
      </c>
      <c r="R68" s="42" t="n">
        <v>8.789999999999999</v>
      </c>
      <c r="S68" s="42" t="n">
        <v>8.789999999999999</v>
      </c>
      <c r="T68" s="42" t="n">
        <v>135</v>
      </c>
      <c r="U68" s="42" t="n">
        <v>135</v>
      </c>
      <c r="V68" s="42" t="n">
        <v>150</v>
      </c>
      <c r="W68" s="42" t="n">
        <v>150</v>
      </c>
      <c r="X68" s="50">
        <f>IFERROR(U68/W68,"")</f>
        <v/>
      </c>
      <c r="Y68" s="52" t="n">
        <v>4.5</v>
      </c>
      <c r="Z68" s="52" t="n">
        <v>7</v>
      </c>
      <c r="AA68" s="50">
        <f>IFERROR(IF(L68="từng phát",J68*N68,J68*P68/(P68/N68+R68)),"")</f>
        <v/>
      </c>
      <c r="AB68" s="50">
        <f>IFERROR(IF(M68="từng phát",K68*O68,K68*Q68/(Q68/O68+S68)),"")</f>
        <v/>
      </c>
      <c r="AC68" s="50">
        <f>IFERROR(AB68*VLOOKUP(E68,'Hệ số'!$A$2:$D$8,2,0)*IF((I68-0)&gt;=2,1.2,IF((I68-0)=1,1,IF((I68-0)=0,0.85,IF((I68-0)=-1,0.5,IF((I68-0)=-2,0.25,0.1))))),"")</f>
        <v/>
      </c>
      <c r="AD68" s="50">
        <f>IFERROR(AB68*VLOOKUP(E68,'Hệ số'!$A$2:$D$8,2,0)*IF((I68-1)&gt;=2,1.2,IF((I68-1)=1,1,IF((I68-1)=0,0.85,IF((I68-1)=-1,0.5,IF((I68-1)=-2,0.25,0.1))))),"")</f>
        <v/>
      </c>
      <c r="AE68" s="50">
        <f>IFERROR(AB68*VLOOKUP(E68,'Hệ số'!$A$2:$D$8,2,0)*IF((I68-2)&gt;=2,1.2,IF((I68-2)=1,1,IF((I68-2)=0,0.85,IF((I68-2)=-1,0.5,IF((I68-2)=-2,0.25,0.1))))),"")</f>
        <v/>
      </c>
      <c r="AF68" s="50">
        <f>IFERROR(AB68*VLOOKUP(E68,'Hệ số'!$A$2:$D$8,2,0)*IF((I68-3)&gt;=2,1.2,IF((I68-3)=1,1,IF((I68-3)=0,0.85,IF((I68-3)=-1,0.5,IF((I68-3)=-2,0.25,0.1))))),"")</f>
        <v/>
      </c>
      <c r="AG68" s="50">
        <f>IFERROR(AB68*VLOOKUP(E68,'Hệ số'!$A$2:$D$8,2,0)*IF((I68-4)&gt;=2,1.2,IF((I68-4)=1,1,IF((I68-4)=0,0.85,IF((I68-4)=-1,0.5,IF((I68-4)=-2,0.25,0.1))))),"")</f>
        <v/>
      </c>
      <c r="AH68" s="50">
        <f>IFERROR(AB68*VLOOKUP(E68,'Hệ số'!$A$2:$D$8,2,0)*IF((I68-5)&gt;=2,1.2,IF((I68-5)=1,1,IF((I68-5)=0,0.85,IF((I68-5)=-1,0.5,IF((I68-5)=-2,0.25,0.1))))),"")</f>
        <v/>
      </c>
      <c r="AI68" s="50">
        <f>IFERROR(AB68*VLOOKUP(E68,'Hệ số'!$A$2:$D$8,3,0),"")</f>
        <v/>
      </c>
      <c r="AJ68" s="50">
        <f>IFERROR(AB68*VLOOKUP(E68,'Hệ số'!$A$2:$D$8,4,0)*IF((I68-2)&gt;=2,1.2,IF((I68-2)=1,1,IF((I68-2)=0,0.85,IF((I68-2)=-1,0.5,IF((I68-2)=-2,0.25,0.1))))),"")</f>
        <v/>
      </c>
      <c r="AK68" s="39" t="inlineStr">
        <is>
          <t>Bắn cầu vồng hoặc bắn thẳng tùy pháo; nổ lan; C-RAM chặn được một phần; mạnh với công trình (×1,5).</t>
        </is>
      </c>
      <c r="AL68" s="39" t="inlineStr">
        <is>
          <t>Thêm đạn dẫn đường (Excalibur/Krasnopol: 1 phát, không tản mát) cho nhánh hạng 7 hoặc thẻ hỗ trợ.</t>
        </is>
      </c>
      <c r="AM68" s="39" t="inlineStr">
        <is>
          <t>M284 155 mm</t>
        </is>
      </c>
      <c r="AN68" s="39" t="inlineStr">
        <is>
          <t>Như trên.</t>
        </is>
      </c>
      <c r="AO68" s="48" t="inlineStr">
        <is>
          <t>Trung</t>
        </is>
      </c>
    </row>
    <row r="69" ht="32.25" customHeight="1" s="32">
      <c r="A69" s="41" t="inlineStr">
        <is>
          <t>gun_155_twin_coastlr</t>
        </is>
      </c>
      <c r="B69" s="41" t="inlineStr">
        <is>
          <t>M284 155 mm (twin,</t>
        </is>
      </c>
      <c r="C69" s="41" t="inlineStr">
        <is>
          <t>Đạn pháo nổ mạnh</t>
        </is>
      </c>
      <c r="D69" s="41" t="inlineStr">
        <is>
          <t>Pháo bờ biển</t>
        </is>
      </c>
      <c r="E69" s="41" t="inlineStr">
        <is>
          <t>Nổ mạnh</t>
        </is>
      </c>
      <c r="F69" s="41" t="inlineStr">
        <is>
          <t>HeShell</t>
        </is>
      </c>
      <c r="G69" s="43" t="n">
        <v>155</v>
      </c>
      <c r="H69" s="43" t="n">
        <v>3</v>
      </c>
      <c r="I69" s="43" t="n">
        <v>3</v>
      </c>
      <c r="J69" s="43" t="n">
        <v>320</v>
      </c>
      <c r="K69" s="43" t="n">
        <v>320</v>
      </c>
      <c r="L69" s="41" t="inlineStr">
        <is>
          <t>loạt</t>
        </is>
      </c>
      <c r="M69" s="41" t="inlineStr">
        <is>
          <t>loạt</t>
        </is>
      </c>
      <c r="N69" s="43" t="n">
        <v>20</v>
      </c>
      <c r="O69" s="43" t="n">
        <v>20</v>
      </c>
      <c r="P69" s="43" t="n">
        <v>2</v>
      </c>
      <c r="Q69" s="43" t="n">
        <v>2</v>
      </c>
      <c r="R69" s="43" t="n">
        <v>5.5</v>
      </c>
      <c r="S69" s="43" t="n">
        <v>5.5</v>
      </c>
      <c r="T69" s="43" t="n">
        <v>72</v>
      </c>
      <c r="U69" s="43" t="n">
        <v>72</v>
      </c>
      <c r="V69" s="43" t="n">
        <v>150</v>
      </c>
      <c r="W69" s="43" t="n">
        <v>150</v>
      </c>
      <c r="X69" s="51">
        <f>IFERROR(U69/W69,"")</f>
        <v/>
      </c>
      <c r="Y69" s="53" t="n">
        <v>4.5</v>
      </c>
      <c r="Z69" s="53" t="n">
        <v>7</v>
      </c>
      <c r="AA69" s="51">
        <f>IFERROR(IF(L69="từng phát",J69*N69,J69*P69/(P69/N69+R69)),"")</f>
        <v/>
      </c>
      <c r="AB69" s="51">
        <f>IFERROR(IF(M69="từng phát",K69*O69,K69*Q69/(Q69/O69+S69)),"")</f>
        <v/>
      </c>
      <c r="AC69" s="51">
        <f>IFERROR(AB69*VLOOKUP(E69,'Hệ số'!$A$2:$D$8,2,0)*IF((I69-0)&gt;=2,1.2,IF((I69-0)=1,1,IF((I69-0)=0,0.85,IF((I69-0)=-1,0.5,IF((I69-0)=-2,0.25,0.1))))),"")</f>
        <v/>
      </c>
      <c r="AD69" s="51">
        <f>IFERROR(AB69*VLOOKUP(E69,'Hệ số'!$A$2:$D$8,2,0)*IF((I69-1)&gt;=2,1.2,IF((I69-1)=1,1,IF((I69-1)=0,0.85,IF((I69-1)=-1,0.5,IF((I69-1)=-2,0.25,0.1))))),"")</f>
        <v/>
      </c>
      <c r="AE69" s="51">
        <f>IFERROR(AB69*VLOOKUP(E69,'Hệ số'!$A$2:$D$8,2,0)*IF((I69-2)&gt;=2,1.2,IF((I69-2)=1,1,IF((I69-2)=0,0.85,IF((I69-2)=-1,0.5,IF((I69-2)=-2,0.25,0.1))))),"")</f>
        <v/>
      </c>
      <c r="AF69" s="51">
        <f>IFERROR(AB69*VLOOKUP(E69,'Hệ số'!$A$2:$D$8,2,0)*IF((I69-3)&gt;=2,1.2,IF((I69-3)=1,1,IF((I69-3)=0,0.85,IF((I69-3)=-1,0.5,IF((I69-3)=-2,0.25,0.1))))),"")</f>
        <v/>
      </c>
      <c r="AG69" s="51">
        <f>IFERROR(AB69*VLOOKUP(E69,'Hệ số'!$A$2:$D$8,2,0)*IF((I69-4)&gt;=2,1.2,IF((I69-4)=1,1,IF((I69-4)=0,0.85,IF((I69-4)=-1,0.5,IF((I69-4)=-2,0.25,0.1))))),"")</f>
        <v/>
      </c>
      <c r="AH69" s="51">
        <f>IFERROR(AB69*VLOOKUP(E69,'Hệ số'!$A$2:$D$8,2,0)*IF((I69-5)&gt;=2,1.2,IF((I69-5)=1,1,IF((I69-5)=0,0.85,IF((I69-5)=-1,0.5,IF((I69-5)=-2,0.25,0.1))))),"")</f>
        <v/>
      </c>
      <c r="AI69" s="51">
        <f>IFERROR(AB69*VLOOKUP(E69,'Hệ số'!$A$2:$D$8,3,0),"")</f>
        <v/>
      </c>
      <c r="AJ69" s="51">
        <f>IFERROR(AB69*VLOOKUP(E69,'Hệ số'!$A$2:$D$8,4,0)*IF((I69-2)&gt;=2,1.2,IF((I69-2)=1,1,IF((I69-2)=0,0.85,IF((I69-2)=-1,0.5,IF((I69-2)=-2,0.25,0.1))))),"")</f>
        <v/>
      </c>
      <c r="AK69" s="41" t="inlineStr">
        <is>
          <t>Bắn cầu vồng hoặc bắn thẳng tùy pháo; nổ lan; C-RAM chặn được một phần; mạnh với công trình (×1,5).</t>
        </is>
      </c>
      <c r="AL69" s="41" t="inlineStr">
        <is>
          <t>Thêm đạn dẫn đường (Excalibur/Krasnopol: 1 phát, không tản mát) cho nhánh hạng 7 hoặc thẻ hỗ trợ.</t>
        </is>
      </c>
      <c r="AM69" s="41" t="inlineStr">
        <is>
          <t>M284 155 mm</t>
        </is>
      </c>
      <c r="AN69" s="41" t="inlineStr">
        <is>
          <t>Như trên.</t>
        </is>
      </c>
      <c r="AO69" s="48" t="inlineStr">
        <is>
          <t>Trung</t>
        </is>
      </c>
    </row>
    <row r="70" ht="32.25" customHeight="1" s="32">
      <c r="A70" s="39" t="inlineStr">
        <is>
          <t>gun_155_twin_fort</t>
        </is>
      </c>
      <c r="B70" s="39" t="inlineStr">
        <is>
          <t>M284 155 mm (twin)</t>
        </is>
      </c>
      <c r="C70" s="39" t="inlineStr">
        <is>
          <t>Đạn pháo nổ mạnh</t>
        </is>
      </c>
      <c r="D70" s="39" t="inlineStr">
        <is>
          <t>Pháo đài, Pháo đài thép</t>
        </is>
      </c>
      <c r="E70" s="39" t="inlineStr">
        <is>
          <t>Nổ mạnh</t>
        </is>
      </c>
      <c r="F70" s="39" t="inlineStr">
        <is>
          <t>HeShell</t>
        </is>
      </c>
      <c r="G70" s="42" t="n">
        <v>155</v>
      </c>
      <c r="H70" s="42" t="n">
        <v>3</v>
      </c>
      <c r="I70" s="42" t="n">
        <v>3</v>
      </c>
      <c r="J70" s="42" t="n">
        <v>320</v>
      </c>
      <c r="K70" s="42" t="n">
        <v>320</v>
      </c>
      <c r="L70" s="39" t="inlineStr">
        <is>
          <t>loạt</t>
        </is>
      </c>
      <c r="M70" s="39" t="inlineStr">
        <is>
          <t>loạt</t>
        </is>
      </c>
      <c r="N70" s="42" t="n">
        <v>20</v>
      </c>
      <c r="O70" s="42" t="n">
        <v>20</v>
      </c>
      <c r="P70" s="42" t="n">
        <v>2</v>
      </c>
      <c r="Q70" s="42" t="n">
        <v>2</v>
      </c>
      <c r="R70" s="42" t="n">
        <v>5.5</v>
      </c>
      <c r="S70" s="42" t="n">
        <v>5.5</v>
      </c>
      <c r="T70" s="42" t="n">
        <v>50</v>
      </c>
      <c r="U70" s="42" t="n">
        <v>50</v>
      </c>
      <c r="V70" s="42" t="n">
        <v>150</v>
      </c>
      <c r="W70" s="42" t="n">
        <v>150</v>
      </c>
      <c r="X70" s="50">
        <f>IFERROR(U70/W70,"")</f>
        <v/>
      </c>
      <c r="Y70" s="52" t="n">
        <v>4.5</v>
      </c>
      <c r="Z70" s="52" t="n">
        <v>7</v>
      </c>
      <c r="AA70" s="50">
        <f>IFERROR(IF(L70="từng phát",J70*N70,J70*P70/(P70/N70+R70)),"")</f>
        <v/>
      </c>
      <c r="AB70" s="50">
        <f>IFERROR(IF(M70="từng phát",K70*O70,K70*Q70/(Q70/O70+S70)),"")</f>
        <v/>
      </c>
      <c r="AC70" s="50">
        <f>IFERROR(AB70*VLOOKUP(E70,'Hệ số'!$A$2:$D$8,2,0)*IF((I70-0)&gt;=2,1.2,IF((I70-0)=1,1,IF((I70-0)=0,0.85,IF((I70-0)=-1,0.5,IF((I70-0)=-2,0.25,0.1))))),"")</f>
        <v/>
      </c>
      <c r="AD70" s="50">
        <f>IFERROR(AB70*VLOOKUP(E70,'Hệ số'!$A$2:$D$8,2,0)*IF((I70-1)&gt;=2,1.2,IF((I70-1)=1,1,IF((I70-1)=0,0.85,IF((I70-1)=-1,0.5,IF((I70-1)=-2,0.25,0.1))))),"")</f>
        <v/>
      </c>
      <c r="AE70" s="50">
        <f>IFERROR(AB70*VLOOKUP(E70,'Hệ số'!$A$2:$D$8,2,0)*IF((I70-2)&gt;=2,1.2,IF((I70-2)=1,1,IF((I70-2)=0,0.85,IF((I70-2)=-1,0.5,IF((I70-2)=-2,0.25,0.1))))),"")</f>
        <v/>
      </c>
      <c r="AF70" s="50">
        <f>IFERROR(AB70*VLOOKUP(E70,'Hệ số'!$A$2:$D$8,2,0)*IF((I70-3)&gt;=2,1.2,IF((I70-3)=1,1,IF((I70-3)=0,0.85,IF((I70-3)=-1,0.5,IF((I70-3)=-2,0.25,0.1))))),"")</f>
        <v/>
      </c>
      <c r="AG70" s="50">
        <f>IFERROR(AB70*VLOOKUP(E70,'Hệ số'!$A$2:$D$8,2,0)*IF((I70-4)&gt;=2,1.2,IF((I70-4)=1,1,IF((I70-4)=0,0.85,IF((I70-4)=-1,0.5,IF((I70-4)=-2,0.25,0.1))))),"")</f>
        <v/>
      </c>
      <c r="AH70" s="50">
        <f>IFERROR(AB70*VLOOKUP(E70,'Hệ số'!$A$2:$D$8,2,0)*IF((I70-5)&gt;=2,1.2,IF((I70-5)=1,1,IF((I70-5)=0,0.85,IF((I70-5)=-1,0.5,IF((I70-5)=-2,0.25,0.1))))),"")</f>
        <v/>
      </c>
      <c r="AI70" s="50">
        <f>IFERROR(AB70*VLOOKUP(E70,'Hệ số'!$A$2:$D$8,3,0),"")</f>
        <v/>
      </c>
      <c r="AJ70" s="50">
        <f>IFERROR(AB70*VLOOKUP(E70,'Hệ số'!$A$2:$D$8,4,0)*IF((I70-2)&gt;=2,1.2,IF((I70-2)=1,1,IF((I70-2)=0,0.85,IF((I70-2)=-1,0.5,IF((I70-2)=-2,0.25,0.1))))),"")</f>
        <v/>
      </c>
      <c r="AK70" s="39" t="inlineStr">
        <is>
          <t>Bắn cầu vồng hoặc bắn thẳng tùy pháo; nổ lan; C-RAM chặn được một phần; mạnh với công trình (×1,5).</t>
        </is>
      </c>
      <c r="AL70" s="39" t="inlineStr">
        <is>
          <t>Thêm đạn dẫn đường (Excalibur/Krasnopol: 1 phát, không tản mát) cho nhánh hạng 7 hoặc thẻ hỗ trợ.</t>
        </is>
      </c>
      <c r="AM70" s="39" t="inlineStr">
        <is>
          <t>M284 155 mm</t>
        </is>
      </c>
      <c r="AN70" s="39" t="inlineStr">
        <is>
          <t>Thống nhất bán kính nổ 155 mm.</t>
        </is>
      </c>
      <c r="AO70" s="48" t="inlineStr">
        <is>
          <t>Trung</t>
        </is>
      </c>
    </row>
    <row r="71" ht="21.75" customHeight="1" s="32">
      <c r="A71" s="41" t="inlineStr">
        <is>
          <t>gun_57_auto</t>
        </is>
      </c>
      <c r="B71" s="41" t="inlineStr">
        <is>
          <t>AU-220 57 mm (tower)</t>
        </is>
      </c>
      <c r="C71" s="41" t="inlineStr">
        <is>
          <t>Pháo tự động 57 mm</t>
        </is>
      </c>
      <c r="D71" s="41" t="inlineStr">
        <is>
          <t>Pháo 57 mm</t>
        </is>
      </c>
      <c r="E71" s="41" t="inlineStr">
        <is>
          <t>Động năng</t>
        </is>
      </c>
      <c r="F71" s="41" t="inlineStr">
        <is>
          <t>BeltedAutocannon</t>
        </is>
      </c>
      <c r="G71" s="43" t="n">
        <v>57</v>
      </c>
      <c r="H71" s="43" t="n">
        <v>2</v>
      </c>
      <c r="I71" s="43" t="n">
        <v>2</v>
      </c>
      <c r="J71" s="43" t="n">
        <v>70</v>
      </c>
      <c r="K71" s="43" t="n">
        <v>70</v>
      </c>
      <c r="L71" s="41" t="inlineStr">
        <is>
          <t>băng</t>
        </is>
      </c>
      <c r="M71" s="41" t="inlineStr">
        <is>
          <t>băng</t>
        </is>
      </c>
      <c r="N71" s="43" t="n">
        <v>2</v>
      </c>
      <c r="O71" s="43" t="n">
        <v>2</v>
      </c>
      <c r="P71" s="43" t="n">
        <v>6</v>
      </c>
      <c r="Q71" s="43" t="n">
        <v>6</v>
      </c>
      <c r="R71" s="43" t="n">
        <v>2.4</v>
      </c>
      <c r="S71" s="43" t="n">
        <v>2.4</v>
      </c>
      <c r="T71" s="43" t="n">
        <v>40</v>
      </c>
      <c r="U71" s="43" t="n">
        <v>40</v>
      </c>
      <c r="V71" s="43" t="n">
        <v>260</v>
      </c>
      <c r="W71" s="43" t="n">
        <v>260</v>
      </c>
      <c r="X71" s="51">
        <f>IFERROR(U71/W71,"")</f>
        <v/>
      </c>
      <c r="Y71" s="53" t="n">
        <v>1.5</v>
      </c>
      <c r="Z71" s="53" t="n">
        <v>1.5</v>
      </c>
      <c r="AA71" s="51">
        <f>IFERROR(IF(L71="từng phát",J71*N71,J71*P71/(P71/N71+R71)),"")</f>
        <v/>
      </c>
      <c r="AB71" s="51">
        <f>IFERROR(IF(M71="từng phát",K71*O71,K71*Q71/(Q71/O71+S71)),"")</f>
        <v/>
      </c>
      <c r="AC71" s="51">
        <f>IFERROR(AB71*VLOOKUP(E71,'Hệ số'!$A$2:$D$8,2,0)*IF((I71-0)&gt;=2,1.2,IF((I71-0)=1,1,IF((I71-0)=0,0.85,IF((I71-0)=-1,0.5,IF((I71-0)=-2,0.25,0.1))))),"")</f>
        <v/>
      </c>
      <c r="AD71" s="51">
        <f>IFERROR(AB71*VLOOKUP(E71,'Hệ số'!$A$2:$D$8,2,0)*IF((I71-1)&gt;=2,1.2,IF((I71-1)=1,1,IF((I71-1)=0,0.85,IF((I71-1)=-1,0.5,IF((I71-1)=-2,0.25,0.1))))),"")</f>
        <v/>
      </c>
      <c r="AE71" s="51">
        <f>IFERROR(AB71*VLOOKUP(E71,'Hệ số'!$A$2:$D$8,2,0)*IF((I71-2)&gt;=2,1.2,IF((I71-2)=1,1,IF((I71-2)=0,0.85,IF((I71-2)=-1,0.5,IF((I71-2)=-2,0.25,0.1))))),"")</f>
        <v/>
      </c>
      <c r="AF71" s="51">
        <f>IFERROR(AB71*VLOOKUP(E71,'Hệ số'!$A$2:$D$8,2,0)*IF((I71-3)&gt;=2,1.2,IF((I71-3)=1,1,IF((I71-3)=0,0.85,IF((I71-3)=-1,0.5,IF((I71-3)=-2,0.25,0.1))))),"")</f>
        <v/>
      </c>
      <c r="AG71" s="51">
        <f>IFERROR(AB71*VLOOKUP(E71,'Hệ số'!$A$2:$D$8,2,0)*IF((I71-4)&gt;=2,1.2,IF((I71-4)=1,1,IF((I71-4)=0,0.85,IF((I71-4)=-1,0.5,IF((I71-4)=-2,0.25,0.1))))),"")</f>
        <v/>
      </c>
      <c r="AH71" s="51">
        <f>IFERROR(AB71*VLOOKUP(E71,'Hệ số'!$A$2:$D$8,2,0)*IF((I71-5)&gt;=2,1.2,IF((I71-5)=1,1,IF((I71-5)=0,0.85,IF((I71-5)=-1,0.5,IF((I71-5)=-2,0.25,0.1))))),"")</f>
        <v/>
      </c>
      <c r="AI71" s="51">
        <f>IFERROR(AB71*VLOOKUP(E71,'Hệ số'!$A$2:$D$8,3,0),"")</f>
        <v/>
      </c>
      <c r="AJ71" s="51">
        <f>IFERROR(AB71*VLOOKUP(E71,'Hệ số'!$A$2:$D$8,4,0)*IF((I71-2)&gt;=2,1.2,IF((I71-2)=1,1,IF((I71-2)=0,0.85,IF((I71-2)=-1,0.5,IF((I71-2)=-2,0.25,0.1))))),"")</f>
        <v/>
      </c>
      <c r="AK71" s="41" t="inlineStr">
        <is>
          <t>Bắn loạt ngắn; đạn lập trình nổ trên không; bắn được xe bọc thép nhẹ.</t>
        </is>
      </c>
      <c r="AL71" s="41" t="n"/>
      <c r="AM71" s="41" t="inlineStr">
        <is>
          <t>AU-220M 57 mm: 120 phát/phút</t>
        </is>
      </c>
      <c r="AN71" s="41" t="inlineStr">
        <is>
          <t>Giữ.</t>
        </is>
      </c>
      <c r="AO71" s="41" t="n"/>
    </row>
    <row r="72" ht="32.25" customHeight="1" s="32">
      <c r="A72" s="39" t="inlineStr">
        <is>
          <t>gun_57mm</t>
        </is>
      </c>
      <c r="B72" s="39" t="inlineStr">
        <is>
          <t>S-60 57 mm (2A91)</t>
        </is>
      </c>
      <c r="C72" s="39" t="inlineStr">
        <is>
          <t>Pháo xe tăng / diệt tăng</t>
        </is>
      </c>
      <c r="D72" s="39" t="inlineStr">
        <is>
          <t>Tăng nhẹ</t>
        </is>
      </c>
      <c r="E72" s="39" t="inlineStr">
        <is>
          <t>Động năng</t>
        </is>
      </c>
      <c r="F72" s="39" t="inlineStr">
        <is>
          <t>Dart</t>
        </is>
      </c>
      <c r="G72" s="42" t="n">
        <v>57</v>
      </c>
      <c r="H72" s="42" t="n">
        <v>2</v>
      </c>
      <c r="I72" s="42" t="n">
        <v>2</v>
      </c>
      <c r="J72" s="42" t="n">
        <v>77</v>
      </c>
      <c r="K72" s="42" t="n">
        <v>77</v>
      </c>
      <c r="L72" s="39" t="inlineStr">
        <is>
          <t>từng phát</t>
        </is>
      </c>
      <c r="M72" s="39" t="inlineStr">
        <is>
          <t>loạt</t>
        </is>
      </c>
      <c r="N72" s="42" t="n">
        <v>0.395256916996048</v>
      </c>
      <c r="O72" s="42" t="n">
        <v>2</v>
      </c>
      <c r="P72" s="42" t="n">
        <v>1</v>
      </c>
      <c r="Q72" s="42" t="n">
        <v>2</v>
      </c>
      <c r="R72" s="42" t="n">
        <v>2.53</v>
      </c>
      <c r="S72" s="42" t="n">
        <v>3.5</v>
      </c>
      <c r="T72" s="42" t="n">
        <v>28</v>
      </c>
      <c r="U72" s="42" t="n">
        <v>28</v>
      </c>
      <c r="V72" s="42" t="n">
        <v>150</v>
      </c>
      <c r="W72" s="42" t="n">
        <v>150</v>
      </c>
      <c r="X72" s="50">
        <f>IFERROR(U72/W72,"")</f>
        <v/>
      </c>
      <c r="Y72" s="50" t="n"/>
      <c r="Z72" s="50" t="n"/>
      <c r="AA72" s="50">
        <f>IFERROR(IF(L72="từng phát",J72*N72,J72*P72/(P72/N72+R72)),"")</f>
        <v/>
      </c>
      <c r="AB72" s="50">
        <f>IFERROR(IF(M72="từng phát",K72*O72,K72*Q72/(Q72/O72+S72)),"")</f>
        <v/>
      </c>
      <c r="AC72" s="50">
        <f>IFERROR(AB72*VLOOKUP(E72,'Hệ số'!$A$2:$D$8,2,0)*IF((I72-0)&gt;=2,1.2,IF((I72-0)=1,1,IF((I72-0)=0,0.85,IF((I72-0)=-1,0.5,IF((I72-0)=-2,0.25,0.1))))),"")</f>
        <v/>
      </c>
      <c r="AD72" s="50">
        <f>IFERROR(AB72*VLOOKUP(E72,'Hệ số'!$A$2:$D$8,2,0)*IF((I72-1)&gt;=2,1.2,IF((I72-1)=1,1,IF((I72-1)=0,0.85,IF((I72-1)=-1,0.5,IF((I72-1)=-2,0.25,0.1))))),"")</f>
        <v/>
      </c>
      <c r="AE72" s="50">
        <f>IFERROR(AB72*VLOOKUP(E72,'Hệ số'!$A$2:$D$8,2,0)*IF((I72-2)&gt;=2,1.2,IF((I72-2)=1,1,IF((I72-2)=0,0.85,IF((I72-2)=-1,0.5,IF((I72-2)=-2,0.25,0.1))))),"")</f>
        <v/>
      </c>
      <c r="AF72" s="50">
        <f>IFERROR(AB72*VLOOKUP(E72,'Hệ số'!$A$2:$D$8,2,0)*IF((I72-3)&gt;=2,1.2,IF((I72-3)=1,1,IF((I72-3)=0,0.85,IF((I72-3)=-1,0.5,IF((I72-3)=-2,0.25,0.1))))),"")</f>
        <v/>
      </c>
      <c r="AG72" s="50">
        <f>IFERROR(AB72*VLOOKUP(E72,'Hệ số'!$A$2:$D$8,2,0)*IF((I72-4)&gt;=2,1.2,IF((I72-4)=1,1,IF((I72-4)=0,0.85,IF((I72-4)=-1,0.5,IF((I72-4)=-2,0.25,0.1))))),"")</f>
        <v/>
      </c>
      <c r="AH72" s="50">
        <f>IFERROR(AB72*VLOOKUP(E72,'Hệ số'!$A$2:$D$8,2,0)*IF((I72-5)&gt;=2,1.2,IF((I72-5)=1,1,IF((I72-5)=0,0.85,IF((I72-5)=-1,0.5,IF((I72-5)=-2,0.25,0.1))))),"")</f>
        <v/>
      </c>
      <c r="AI72" s="50">
        <f>IFERROR(AB72*VLOOKUP(E72,'Hệ số'!$A$2:$D$8,3,0),"")</f>
        <v/>
      </c>
      <c r="AJ72" s="50">
        <f>IFERROR(AB72*VLOOKUP(E72,'Hệ số'!$A$2:$D$8,4,0)*IF((I72-2)&gt;=2,1.2,IF((I72-2)=1,1,IF((I72-2)=0,0.85,IF((I72-2)=-1,0.5,IF((I72-2)=-2,0.25,0.1))))),"")</f>
        <v/>
      </c>
      <c r="AK72" s="39" t="inlineStr">
        <is>
          <t>Phát đơn, sơ tốc cao; không bị APS chặn (đạn động năng); bị lệch theo tầm và khi xe đang chạy.</t>
        </is>
      </c>
      <c r="AL72" s="39" t="inlineStr">
        <is>
          <t>Tự đổi: đạn xuyên (Động năng) với xe giáp, đạn nổ mạnh (HE, xuyên 2, nổ lan 3 m) với xe nhẹ và công trình.</t>
        </is>
      </c>
      <c r="AM72" s="39" t="inlineStr">
        <is>
          <t>S-60/2A91 57 mm: tự động 120 phát/phút</t>
        </is>
      </c>
      <c r="AN72" s="39" t="inlineStr">
        <is>
          <t>Pháo 57 mm tự động mà bắn như pháo nạp tay.</t>
        </is>
      </c>
      <c r="AO72" s="48" t="inlineStr">
        <is>
          <t>Trung</t>
        </is>
      </c>
    </row>
    <row r="73" ht="32.25" customHeight="1" s="32">
      <c r="A73" s="41" t="inlineStr">
        <is>
          <t>gun_behemoth</t>
        </is>
      </c>
      <c r="B73" s="41" t="inlineStr">
        <is>
          <t>2A65 152 mm (twin)</t>
        </is>
      </c>
      <c r="C73" s="41" t="inlineStr">
        <is>
          <t>Đạn pháo nổ mạnh</t>
        </is>
      </c>
      <c r="D73" s="41" t="inlineStr">
        <is>
          <t>Behemoth, Behemoth Mk.0,</t>
        </is>
      </c>
      <c r="E73" s="41" t="inlineStr">
        <is>
          <t>Nổ mạnh</t>
        </is>
      </c>
      <c r="F73" s="41" t="inlineStr">
        <is>
          <t>HeShell</t>
        </is>
      </c>
      <c r="G73" s="43" t="n">
        <v>152</v>
      </c>
      <c r="H73" s="43" t="n">
        <v>3</v>
      </c>
      <c r="I73" s="43" t="n">
        <v>3</v>
      </c>
      <c r="J73" s="43" t="n">
        <v>320</v>
      </c>
      <c r="K73" s="43" t="n">
        <v>320</v>
      </c>
      <c r="L73" s="41" t="inlineStr">
        <is>
          <t>loạt</t>
        </is>
      </c>
      <c r="M73" s="41" t="inlineStr">
        <is>
          <t>loạt</t>
        </is>
      </c>
      <c r="N73" s="43" t="n">
        <v>20</v>
      </c>
      <c r="O73" s="43" t="n">
        <v>20</v>
      </c>
      <c r="P73" s="43" t="n">
        <v>2</v>
      </c>
      <c r="Q73" s="43" t="n">
        <v>2</v>
      </c>
      <c r="R73" s="43" t="n">
        <v>8.93</v>
      </c>
      <c r="S73" s="43" t="n">
        <v>8.93</v>
      </c>
      <c r="T73" s="43" t="n">
        <v>40</v>
      </c>
      <c r="U73" s="43" t="n">
        <v>40</v>
      </c>
      <c r="V73" s="43" t="n">
        <v>150</v>
      </c>
      <c r="W73" s="43" t="n">
        <v>150</v>
      </c>
      <c r="X73" s="51">
        <f>IFERROR(U73/W73,"")</f>
        <v/>
      </c>
      <c r="Y73" s="53" t="n">
        <v>5</v>
      </c>
      <c r="Z73" s="53" t="n">
        <v>6.5</v>
      </c>
      <c r="AA73" s="51">
        <f>IFERROR(IF(L73="từng phát",J73*N73,J73*P73/(P73/N73+R73)),"")</f>
        <v/>
      </c>
      <c r="AB73" s="51">
        <f>IFERROR(IF(M73="từng phát",K73*O73,K73*Q73/(Q73/O73+S73)),"")</f>
        <v/>
      </c>
      <c r="AC73" s="51">
        <f>IFERROR(AB73*VLOOKUP(E73,'Hệ số'!$A$2:$D$8,2,0)*IF((I73-0)&gt;=2,1.2,IF((I73-0)=1,1,IF((I73-0)=0,0.85,IF((I73-0)=-1,0.5,IF((I73-0)=-2,0.25,0.1))))),"")</f>
        <v/>
      </c>
      <c r="AD73" s="51">
        <f>IFERROR(AB73*VLOOKUP(E73,'Hệ số'!$A$2:$D$8,2,0)*IF((I73-1)&gt;=2,1.2,IF((I73-1)=1,1,IF((I73-1)=0,0.85,IF((I73-1)=-1,0.5,IF((I73-1)=-2,0.25,0.1))))),"")</f>
        <v/>
      </c>
      <c r="AE73" s="51">
        <f>IFERROR(AB73*VLOOKUP(E73,'Hệ số'!$A$2:$D$8,2,0)*IF((I73-2)&gt;=2,1.2,IF((I73-2)=1,1,IF((I73-2)=0,0.85,IF((I73-2)=-1,0.5,IF((I73-2)=-2,0.25,0.1))))),"")</f>
        <v/>
      </c>
      <c r="AF73" s="51">
        <f>IFERROR(AB73*VLOOKUP(E73,'Hệ số'!$A$2:$D$8,2,0)*IF((I73-3)&gt;=2,1.2,IF((I73-3)=1,1,IF((I73-3)=0,0.85,IF((I73-3)=-1,0.5,IF((I73-3)=-2,0.25,0.1))))),"")</f>
        <v/>
      </c>
      <c r="AG73" s="51">
        <f>IFERROR(AB73*VLOOKUP(E73,'Hệ số'!$A$2:$D$8,2,0)*IF((I73-4)&gt;=2,1.2,IF((I73-4)=1,1,IF((I73-4)=0,0.85,IF((I73-4)=-1,0.5,IF((I73-4)=-2,0.25,0.1))))),"")</f>
        <v/>
      </c>
      <c r="AH73" s="51">
        <f>IFERROR(AB73*VLOOKUP(E73,'Hệ số'!$A$2:$D$8,2,0)*IF((I73-5)&gt;=2,1.2,IF((I73-5)=1,1,IF((I73-5)=0,0.85,IF((I73-5)=-1,0.5,IF((I73-5)=-2,0.25,0.1))))),"")</f>
        <v/>
      </c>
      <c r="AI73" s="51">
        <f>IFERROR(AB73*VLOOKUP(E73,'Hệ số'!$A$2:$D$8,3,0),"")</f>
        <v/>
      </c>
      <c r="AJ73" s="51">
        <f>IFERROR(AB73*VLOOKUP(E73,'Hệ số'!$A$2:$D$8,4,0)*IF((I73-2)&gt;=2,1.2,IF((I73-2)=1,1,IF((I73-2)=0,0.85,IF((I73-2)=-1,0.5,IF((I73-2)=-2,0.25,0.1))))),"")</f>
        <v/>
      </c>
      <c r="AK73" s="41" t="inlineStr">
        <is>
          <t>Bắn cầu vồng hoặc bắn thẳng tùy pháo; nổ lan; C-RAM chặn được một phần; mạnh với công trình (×1,5).</t>
        </is>
      </c>
      <c r="AL73" s="41" t="inlineStr">
        <is>
          <t>Thêm đạn dẫn đường (Excalibur/Krasnopol: 1 phát, không tản mát) cho nhánh hạng 7 hoặc thẻ hỗ trợ.</t>
        </is>
      </c>
      <c r="AM73" s="41" t="n"/>
      <c r="AN73" s="41" t="inlineStr">
        <is>
          <t>152 mm nổ mạnh: gần 155 mm.</t>
        </is>
      </c>
      <c r="AO73" s="48" t="inlineStr">
        <is>
          <t>Trung</t>
        </is>
      </c>
    </row>
    <row r="74" ht="32.25" customHeight="1" s="32">
      <c r="A74" s="39" t="inlineStr">
        <is>
          <t>gunship_105</t>
        </is>
      </c>
      <c r="B74" s="39" t="inlineStr">
        <is>
          <t>M102 105 mm</t>
        </is>
      </c>
      <c r="C74" s="39" t="inlineStr">
        <is>
          <t>Đạn pháo nổ mạnh</t>
        </is>
      </c>
      <c r="D74" s="39" t="inlineStr">
        <is>
          <t>Pháo hạm AC-130, Roc,</t>
        </is>
      </c>
      <c r="E74" s="39" t="inlineStr">
        <is>
          <t>Nổ mạnh</t>
        </is>
      </c>
      <c r="F74" s="39" t="inlineStr">
        <is>
          <t>HeShell</t>
        </is>
      </c>
      <c r="G74" s="42" t="n">
        <v>105</v>
      </c>
      <c r="H74" s="42" t="n">
        <v>2</v>
      </c>
      <c r="I74" s="42" t="n">
        <v>2</v>
      </c>
      <c r="J74" s="42" t="n">
        <v>200</v>
      </c>
      <c r="K74" s="42" t="n">
        <v>200</v>
      </c>
      <c r="L74" s="39" t="inlineStr">
        <is>
          <t>từng phát</t>
        </is>
      </c>
      <c r="M74" s="39" t="inlineStr">
        <is>
          <t>từng phát</t>
        </is>
      </c>
      <c r="N74" s="42" t="n">
        <v>0.364564345607</v>
      </c>
      <c r="O74" s="42" t="n">
        <v>0.364564345607</v>
      </c>
      <c r="P74" s="42" t="n">
        <v>1</v>
      </c>
      <c r="Q74" s="42" t="n">
        <v>1</v>
      </c>
      <c r="R74" s="42" t="n">
        <v>2.743</v>
      </c>
      <c r="S74" s="42" t="n">
        <v>2.743</v>
      </c>
      <c r="T74" s="42" t="n">
        <v>58</v>
      </c>
      <c r="U74" s="42" t="n">
        <v>58</v>
      </c>
      <c r="V74" s="42" t="n">
        <v>120</v>
      </c>
      <c r="W74" s="42" t="n">
        <v>120</v>
      </c>
      <c r="X74" s="50">
        <f>IFERROR(U74/W74,"")</f>
        <v/>
      </c>
      <c r="Y74" s="52" t="n">
        <v>6.5</v>
      </c>
      <c r="Z74" s="52" t="n">
        <v>5.5</v>
      </c>
      <c r="AA74" s="50">
        <f>IFERROR(IF(L74="từng phát",J74*N74,J74*P74/(P74/N74+R74)),"")</f>
        <v/>
      </c>
      <c r="AB74" s="50">
        <f>IFERROR(IF(M74="từng phát",K74*O74,K74*Q74/(Q74/O74+S74)),"")</f>
        <v/>
      </c>
      <c r="AC74" s="50">
        <f>IFERROR(AB74*VLOOKUP(E74,'Hệ số'!$A$2:$D$8,2,0)*IF((I74-0)&gt;=2,1.2,IF((I74-0)=1,1,IF((I74-0)=0,0.85,IF((I74-0)=-1,0.5,IF((I74-0)=-2,0.25,0.1))))),"")</f>
        <v/>
      </c>
      <c r="AD74" s="50">
        <f>IFERROR(AB74*VLOOKUP(E74,'Hệ số'!$A$2:$D$8,2,0)*IF((I74-1)&gt;=2,1.2,IF((I74-1)=1,1,IF((I74-1)=0,0.85,IF((I74-1)=-1,0.5,IF((I74-1)=-2,0.25,0.1))))),"")</f>
        <v/>
      </c>
      <c r="AE74" s="50">
        <f>IFERROR(AB74*VLOOKUP(E74,'Hệ số'!$A$2:$D$8,2,0)*IF((I74-2)&gt;=2,1.2,IF((I74-2)=1,1,IF((I74-2)=0,0.85,IF((I74-2)=-1,0.5,IF((I74-2)=-2,0.25,0.1))))),"")</f>
        <v/>
      </c>
      <c r="AF74" s="50">
        <f>IFERROR(AB74*VLOOKUP(E74,'Hệ số'!$A$2:$D$8,2,0)*IF((I74-3)&gt;=2,1.2,IF((I74-3)=1,1,IF((I74-3)=0,0.85,IF((I74-3)=-1,0.5,IF((I74-3)=-2,0.25,0.1))))),"")</f>
        <v/>
      </c>
      <c r="AG74" s="50">
        <f>IFERROR(AB74*VLOOKUP(E74,'Hệ số'!$A$2:$D$8,2,0)*IF((I74-4)&gt;=2,1.2,IF((I74-4)=1,1,IF((I74-4)=0,0.85,IF((I74-4)=-1,0.5,IF((I74-4)=-2,0.25,0.1))))),"")</f>
        <v/>
      </c>
      <c r="AH74" s="50">
        <f>IFERROR(AB74*VLOOKUP(E74,'Hệ số'!$A$2:$D$8,2,0)*IF((I74-5)&gt;=2,1.2,IF((I74-5)=1,1,IF((I74-5)=0,0.85,IF((I74-5)=-1,0.5,IF((I74-5)=-2,0.25,0.1))))),"")</f>
        <v/>
      </c>
      <c r="AI74" s="50">
        <f>IFERROR(AB74*VLOOKUP(E74,'Hệ số'!$A$2:$D$8,3,0),"")</f>
        <v/>
      </c>
      <c r="AJ74" s="50">
        <f>IFERROR(AB74*VLOOKUP(E74,'Hệ số'!$A$2:$D$8,4,0)*IF((I74-2)&gt;=2,1.2,IF((I74-2)=1,1,IF((I74-2)=0,0.85,IF((I74-2)=-1,0.5,IF((I74-2)=-2,0.25,0.1))))),"")</f>
        <v/>
      </c>
      <c r="AK74" s="39" t="inlineStr">
        <is>
          <t>Bắn cầu vồng hoặc bắn thẳng tùy pháo; nổ lan; C-RAM chặn được một phần; mạnh với công trình (×1,5).</t>
        </is>
      </c>
      <c r="AL74" s="39" t="inlineStr">
        <is>
          <t>Thêm đạn dẫn đường (Excalibur/Krasnopol: 1 phát, không tản mát) cho nhánh hạng 7 hoặc thẻ hỗ trợ.</t>
        </is>
      </c>
      <c r="AM74" s="39" t="inlineStr">
        <is>
          <t>M102 105 mm: 10 phát/phút</t>
        </is>
      </c>
      <c r="AN74" s="39" t="inlineStr">
        <is>
          <t>105 mm nhỏ hơn 155 mm (7 m).</t>
        </is>
      </c>
      <c r="AO74" s="48" t="inlineStr">
        <is>
          <t>Trung</t>
        </is>
      </c>
    </row>
    <row r="75" ht="32.25" customHeight="1" s="32">
      <c r="A75" s="41" t="inlineStr">
        <is>
          <t>gunship_25mm</t>
        </is>
      </c>
      <c r="B75" s="41" t="inlineStr">
        <is>
          <t>GAU-12 Equalizer 25</t>
        </is>
      </c>
      <c r="C75" s="41" t="inlineStr">
        <is>
          <t>Pháo tự động / cao xạ 20–40 mm</t>
        </is>
      </c>
      <c r="D75" s="41" t="inlineStr">
        <is>
          <t>Pháo hạm AC-130, Spectre</t>
        </is>
      </c>
      <c r="E75" s="41" t="inlineStr">
        <is>
          <t>Động năng</t>
        </is>
      </c>
      <c r="F75" s="41" t="inlineStr">
        <is>
          <t>BeltedAutocannon</t>
        </is>
      </c>
      <c r="G75" s="43" t="n">
        <v>25</v>
      </c>
      <c r="H75" s="43" t="n">
        <v>2</v>
      </c>
      <c r="I75" s="43" t="n">
        <v>2</v>
      </c>
      <c r="J75" s="43" t="n">
        <v>17</v>
      </c>
      <c r="K75" s="43" t="n">
        <v>17</v>
      </c>
      <c r="L75" s="41" t="inlineStr">
        <is>
          <t>băng</t>
        </is>
      </c>
      <c r="M75" s="41" t="inlineStr">
        <is>
          <t>băng</t>
        </is>
      </c>
      <c r="N75" s="43" t="n">
        <v>11</v>
      </c>
      <c r="O75" s="43" t="n">
        <v>11</v>
      </c>
      <c r="P75" s="43" t="n">
        <v>56</v>
      </c>
      <c r="Q75" s="43" t="n">
        <v>56</v>
      </c>
      <c r="R75" s="43" t="n">
        <v>1</v>
      </c>
      <c r="S75" s="43" t="n">
        <v>1</v>
      </c>
      <c r="T75" s="43" t="n">
        <v>50</v>
      </c>
      <c r="U75" s="43" t="n">
        <v>50</v>
      </c>
      <c r="V75" s="43" t="n">
        <v>280</v>
      </c>
      <c r="W75" s="43" t="n">
        <v>280</v>
      </c>
      <c r="X75" s="51">
        <f>IFERROR(U75/W75,"")</f>
        <v/>
      </c>
      <c r="Y75" s="51" t="n"/>
      <c r="Z75" s="51" t="n"/>
      <c r="AA75" s="51">
        <f>IFERROR(IF(L75="từng phát",J75*N75,J75*P75/(P75/N75+R75)),"")</f>
        <v/>
      </c>
      <c r="AB75" s="51">
        <f>IFERROR(IF(M75="từng phát",K75*O75,K75*Q75/(Q75/O75+S75)),"")</f>
        <v/>
      </c>
      <c r="AC75" s="51">
        <f>IFERROR(AB75*VLOOKUP(E75,'Hệ số'!$A$2:$D$8,2,0)*IF((I75-0)&gt;=2,1.2,IF((I75-0)=1,1,IF((I75-0)=0,0.85,IF((I75-0)=-1,0.5,IF((I75-0)=-2,0.25,0.1))))),"")</f>
        <v/>
      </c>
      <c r="AD75" s="51">
        <f>IFERROR(AB75*VLOOKUP(E75,'Hệ số'!$A$2:$D$8,2,0)*IF((I75-1)&gt;=2,1.2,IF((I75-1)=1,1,IF((I75-1)=0,0.85,IF((I75-1)=-1,0.5,IF((I75-1)=-2,0.25,0.1))))),"")</f>
        <v/>
      </c>
      <c r="AE75" s="51">
        <f>IFERROR(AB75*VLOOKUP(E75,'Hệ số'!$A$2:$D$8,2,0)*IF((I75-2)&gt;=2,1.2,IF((I75-2)=1,1,IF((I75-2)=0,0.85,IF((I75-2)=-1,0.5,IF((I75-2)=-2,0.25,0.1))))),"")</f>
        <v/>
      </c>
      <c r="AF75" s="51">
        <f>IFERROR(AB75*VLOOKUP(E75,'Hệ số'!$A$2:$D$8,2,0)*IF((I75-3)&gt;=2,1.2,IF((I75-3)=1,1,IF((I75-3)=0,0.85,IF((I75-3)=-1,0.5,IF((I75-3)=-2,0.25,0.1))))),"")</f>
        <v/>
      </c>
      <c r="AG75" s="51">
        <f>IFERROR(AB75*VLOOKUP(E75,'Hệ số'!$A$2:$D$8,2,0)*IF((I75-4)&gt;=2,1.2,IF((I75-4)=1,1,IF((I75-4)=0,0.85,IF((I75-4)=-1,0.5,IF((I75-4)=-2,0.25,0.1))))),"")</f>
        <v/>
      </c>
      <c r="AH75" s="51">
        <f>IFERROR(AB75*VLOOKUP(E75,'Hệ số'!$A$2:$D$8,2,0)*IF((I75-5)&gt;=2,1.2,IF((I75-5)=1,1,IF((I75-5)=0,0.85,IF((I75-5)=-1,0.5,IF((I75-5)=-2,0.25,0.1))))),"")</f>
        <v/>
      </c>
      <c r="AI75" s="51">
        <f>IFERROR(AB75*VLOOKUP(E75,'Hệ số'!$A$2:$D$8,3,0),"")</f>
        <v/>
      </c>
      <c r="AJ75" s="51">
        <f>IFERROR(AB75*VLOOKUP(E75,'Hệ số'!$A$2:$D$8,4,0)*IF((I75-2)&gt;=2,1.2,IF((I75-2)=1,1,IF((I75-2)=0,0.85,IF((I75-2)=-1,0.5,IF((I75-2)=-2,0.25,0.1))))),"")</f>
        <v/>
      </c>
      <c r="AK75" s="41" t="inlineStr">
        <is>
          <t>Bắn loạt; đạn nổ trên không (Mảnh) mạnh với máy bay và drone, yếu với giáp; đạn xuyên (Động năng) mạnh với giáp 0–2.</t>
        </is>
      </c>
      <c r="AL75" s="41" t="inlineStr">
        <is>
          <t>Tự đổi: đạn xuyên (Động năng) với xe, đạn nổ trên không (Mảnh) với máy bay/drone.</t>
        </is>
      </c>
      <c r="AM75" s="41" t="inlineStr">
        <is>
          <t>GAU-12: 3.600–4.200</t>
        </is>
      </c>
      <c r="AN75" s="41" t="inlineStr">
        <is>
          <t>Giữ.</t>
        </is>
      </c>
      <c r="AO75" s="41" t="n"/>
    </row>
    <row r="76" ht="32.25" customHeight="1" s="32">
      <c r="A76" s="39" t="inlineStr">
        <is>
          <t>gunship_40mm</t>
        </is>
      </c>
      <c r="B76" s="39" t="inlineStr">
        <is>
          <t>Bofors L/60 40 mm</t>
        </is>
      </c>
      <c r="C76" s="39" t="inlineStr">
        <is>
          <t>Pháo tự động / cao xạ 20–40 mm</t>
        </is>
      </c>
      <c r="D76" s="39" t="inlineStr">
        <is>
          <t>Pháo hạm AC-130, Spectre</t>
        </is>
      </c>
      <c r="E76" s="39" t="inlineStr">
        <is>
          <t>Nổ mạnh</t>
        </is>
      </c>
      <c r="F76" s="39" t="inlineStr">
        <is>
          <t>BeltedAutocannon</t>
        </is>
      </c>
      <c r="G76" s="42" t="n">
        <v>40</v>
      </c>
      <c r="H76" s="42" t="n">
        <v>2</v>
      </c>
      <c r="I76" s="42" t="n">
        <v>2</v>
      </c>
      <c r="J76" s="42" t="n">
        <v>30</v>
      </c>
      <c r="K76" s="42" t="n">
        <v>30</v>
      </c>
      <c r="L76" s="39" t="inlineStr">
        <is>
          <t>băng</t>
        </is>
      </c>
      <c r="M76" s="39" t="inlineStr">
        <is>
          <t>băng</t>
        </is>
      </c>
      <c r="N76" s="42" t="n">
        <v>6</v>
      </c>
      <c r="O76" s="42" t="n">
        <v>6</v>
      </c>
      <c r="P76" s="42" t="n">
        <v>29</v>
      </c>
      <c r="Q76" s="42" t="n">
        <v>29</v>
      </c>
      <c r="R76" s="42" t="n">
        <v>1</v>
      </c>
      <c r="S76" s="42" t="n">
        <v>1</v>
      </c>
      <c r="T76" s="42" t="n">
        <v>55</v>
      </c>
      <c r="U76" s="42" t="n">
        <v>55</v>
      </c>
      <c r="V76" s="42" t="n">
        <v>200</v>
      </c>
      <c r="W76" s="42" t="n">
        <v>200</v>
      </c>
      <c r="X76" s="50">
        <f>IFERROR(U76/W76,"")</f>
        <v/>
      </c>
      <c r="Y76" s="52" t="n">
        <v>3</v>
      </c>
      <c r="Z76" s="52" t="n">
        <v>3</v>
      </c>
      <c r="AA76" s="50">
        <f>IFERROR(IF(L76="từng phát",J76*N76,J76*P76/(P76/N76+R76)),"")</f>
        <v/>
      </c>
      <c r="AB76" s="50">
        <f>IFERROR(IF(M76="từng phát",K76*O76,K76*Q76/(Q76/O76+S76)),"")</f>
        <v/>
      </c>
      <c r="AC76" s="50">
        <f>IFERROR(AB76*VLOOKUP(E76,'Hệ số'!$A$2:$D$8,2,0)*IF((I76-0)&gt;=2,1.2,IF((I76-0)=1,1,IF((I76-0)=0,0.85,IF((I76-0)=-1,0.5,IF((I76-0)=-2,0.25,0.1))))),"")</f>
        <v/>
      </c>
      <c r="AD76" s="50">
        <f>IFERROR(AB76*VLOOKUP(E76,'Hệ số'!$A$2:$D$8,2,0)*IF((I76-1)&gt;=2,1.2,IF((I76-1)=1,1,IF((I76-1)=0,0.85,IF((I76-1)=-1,0.5,IF((I76-1)=-2,0.25,0.1))))),"")</f>
        <v/>
      </c>
      <c r="AE76" s="50">
        <f>IFERROR(AB76*VLOOKUP(E76,'Hệ số'!$A$2:$D$8,2,0)*IF((I76-2)&gt;=2,1.2,IF((I76-2)=1,1,IF((I76-2)=0,0.85,IF((I76-2)=-1,0.5,IF((I76-2)=-2,0.25,0.1))))),"")</f>
        <v/>
      </c>
      <c r="AF76" s="50">
        <f>IFERROR(AB76*VLOOKUP(E76,'Hệ số'!$A$2:$D$8,2,0)*IF((I76-3)&gt;=2,1.2,IF((I76-3)=1,1,IF((I76-3)=0,0.85,IF((I76-3)=-1,0.5,IF((I76-3)=-2,0.25,0.1))))),"")</f>
        <v/>
      </c>
      <c r="AG76" s="50">
        <f>IFERROR(AB76*VLOOKUP(E76,'Hệ số'!$A$2:$D$8,2,0)*IF((I76-4)&gt;=2,1.2,IF((I76-4)=1,1,IF((I76-4)=0,0.85,IF((I76-4)=-1,0.5,IF((I76-4)=-2,0.25,0.1))))),"")</f>
        <v/>
      </c>
      <c r="AH76" s="50">
        <f>IFERROR(AB76*VLOOKUP(E76,'Hệ số'!$A$2:$D$8,2,0)*IF((I76-5)&gt;=2,1.2,IF((I76-5)=1,1,IF((I76-5)=0,0.85,IF((I76-5)=-1,0.5,IF((I76-5)=-2,0.25,0.1))))),"")</f>
        <v/>
      </c>
      <c r="AI76" s="50">
        <f>IFERROR(AB76*VLOOKUP(E76,'Hệ số'!$A$2:$D$8,3,0),"")</f>
        <v/>
      </c>
      <c r="AJ76" s="50">
        <f>IFERROR(AB76*VLOOKUP(E76,'Hệ số'!$A$2:$D$8,4,0)*IF((I76-2)&gt;=2,1.2,IF((I76-2)=1,1,IF((I76-2)=0,0.85,IF((I76-2)=-1,0.5,IF((I76-2)=-2,0.25,0.1))))),"")</f>
        <v/>
      </c>
      <c r="AK76" s="39" t="inlineStr">
        <is>
          <t>Bắn loạt; đạn nổ trên không (Mảnh) mạnh với máy bay và drone, yếu với giáp; đạn xuyên (Động năng) mạnh với giáp 0–2.</t>
        </is>
      </c>
      <c r="AL76" s="39" t="inlineStr">
        <is>
          <t>Tự đổi: đạn xuyên (Động năng) với xe, đạn nổ trên không (Mảnh) với máy bay/drone.</t>
        </is>
      </c>
      <c r="AM76" s="39" t="inlineStr">
        <is>
          <t>Bofors L/60: 120 phát/phút</t>
        </is>
      </c>
      <c r="AN76" s="39" t="inlineStr">
        <is>
          <t>Giữ.</t>
        </is>
      </c>
      <c r="AO76" s="39" t="n"/>
    </row>
    <row r="77" ht="21.75" customHeight="1" s="32">
      <c r="A77" s="41" t="inlineStr">
        <is>
          <t>gunship_rockets</t>
        </is>
      </c>
      <c r="B77" s="41" t="inlineStr">
        <is>
          <t>S-8 80 mm</t>
        </is>
      </c>
      <c r="C77" s="41" t="inlineStr">
        <is>
          <t>Rốc-két</t>
        </is>
      </c>
      <c r="D77" s="41" t="inlineStr">
        <is>
          <t>Harpy, TT hỏa lực</t>
        </is>
      </c>
      <c r="E77" s="41" t="inlineStr">
        <is>
          <t>Nổ mạnh</t>
        </is>
      </c>
      <c r="F77" s="41" t="inlineStr">
        <is>
          <t>RocketSmall</t>
        </is>
      </c>
      <c r="G77" s="43" t="n">
        <v>80</v>
      </c>
      <c r="H77" s="43" t="n">
        <v>2</v>
      </c>
      <c r="I77" s="43" t="n">
        <v>2</v>
      </c>
      <c r="J77" s="43" t="n">
        <v>32</v>
      </c>
      <c r="K77" s="43" t="n">
        <v>32</v>
      </c>
      <c r="L77" s="41" t="inlineStr">
        <is>
          <t>loạt</t>
        </is>
      </c>
      <c r="M77" s="41" t="inlineStr">
        <is>
          <t>loạt</t>
        </is>
      </c>
      <c r="N77" s="43" t="n">
        <v>10</v>
      </c>
      <c r="O77" s="43" t="n">
        <v>10</v>
      </c>
      <c r="P77" s="43" t="n">
        <v>16</v>
      </c>
      <c r="Q77" s="43" t="n">
        <v>16</v>
      </c>
      <c r="R77" s="43" t="n">
        <v>8.271000000000001</v>
      </c>
      <c r="S77" s="43" t="n">
        <v>8.271000000000001</v>
      </c>
      <c r="T77" s="43" t="n">
        <v>34</v>
      </c>
      <c r="U77" s="43" t="n">
        <v>34</v>
      </c>
      <c r="V77" s="43" t="n">
        <v>27</v>
      </c>
      <c r="W77" s="43" t="n">
        <v>40</v>
      </c>
      <c r="X77" s="51">
        <f>IFERROR(U77/W77,"")</f>
        <v/>
      </c>
      <c r="Y77" s="53" t="n">
        <v>3.2</v>
      </c>
      <c r="Z77" s="53" t="n">
        <v>3.2</v>
      </c>
      <c r="AA77" s="51">
        <f>IFERROR(IF(L77="từng phát",J77*N77,J77*P77/(P77/N77+R77)),"")</f>
        <v/>
      </c>
      <c r="AB77" s="51">
        <f>IFERROR(IF(M77="từng phát",K77*O77,K77*Q77/(Q77/O77+S77)),"")</f>
        <v/>
      </c>
      <c r="AC77" s="51">
        <f>IFERROR(AB77*VLOOKUP(E77,'Hệ số'!$A$2:$D$8,2,0)*IF((I77-0)&gt;=2,1.2,IF((I77-0)=1,1,IF((I77-0)=0,0.85,IF((I77-0)=-1,0.5,IF((I77-0)=-2,0.25,0.1))))),"")</f>
        <v/>
      </c>
      <c r="AD77" s="51">
        <f>IFERROR(AB77*VLOOKUP(E77,'Hệ số'!$A$2:$D$8,2,0)*IF((I77-1)&gt;=2,1.2,IF((I77-1)=1,1,IF((I77-1)=0,0.85,IF((I77-1)=-1,0.5,IF((I77-1)=-2,0.25,0.1))))),"")</f>
        <v/>
      </c>
      <c r="AE77" s="51">
        <f>IFERROR(AB77*VLOOKUP(E77,'Hệ số'!$A$2:$D$8,2,0)*IF((I77-2)&gt;=2,1.2,IF((I77-2)=1,1,IF((I77-2)=0,0.85,IF((I77-2)=-1,0.5,IF((I77-2)=-2,0.25,0.1))))),"")</f>
        <v/>
      </c>
      <c r="AF77" s="51">
        <f>IFERROR(AB77*VLOOKUP(E77,'Hệ số'!$A$2:$D$8,2,0)*IF((I77-3)&gt;=2,1.2,IF((I77-3)=1,1,IF((I77-3)=0,0.85,IF((I77-3)=-1,0.5,IF((I77-3)=-2,0.25,0.1))))),"")</f>
        <v/>
      </c>
      <c r="AG77" s="51">
        <f>IFERROR(AB77*VLOOKUP(E77,'Hệ số'!$A$2:$D$8,2,0)*IF((I77-4)&gt;=2,1.2,IF((I77-4)=1,1,IF((I77-4)=0,0.85,IF((I77-4)=-1,0.5,IF((I77-4)=-2,0.25,0.1))))),"")</f>
        <v/>
      </c>
      <c r="AH77" s="51">
        <f>IFERROR(AB77*VLOOKUP(E77,'Hệ số'!$A$2:$D$8,2,0)*IF((I77-5)&gt;=2,1.2,IF((I77-5)=1,1,IF((I77-5)=0,0.85,IF((I77-5)=-1,0.5,IF((I77-5)=-2,0.25,0.1))))),"")</f>
        <v/>
      </c>
      <c r="AI77" s="51">
        <f>IFERROR(AB77*VLOOKUP(E77,'Hệ số'!$A$2:$D$8,3,0),"")</f>
        <v/>
      </c>
      <c r="AJ77" s="51">
        <f>IFERROR(AB77*VLOOKUP(E77,'Hệ số'!$A$2:$D$8,4,0)*IF((I77-2)&gt;=2,1.2,IF((I77-2)=1,1,IF((I77-2)=0,0.85,IF((I77-2)=-1,0.5,IF((I77-2)=-2,0.25,0.1))))),"")</f>
        <v/>
      </c>
      <c r="AK77" s="41" t="inlineStr">
        <is>
          <t>Bắn loạt phủ vùng, tản mát; C-RAM, Vòm Sắt và La-de PK bắn hạ được từng quả.</t>
        </is>
      </c>
      <c r="AL77" s="41" t="n"/>
      <c r="AM77" s="41" t="inlineStr">
        <is>
          <t>S-8 80 mm</t>
        </is>
      </c>
      <c r="AN77" s="41" t="inlineStr">
        <is>
          <t>Tốc độ bay 27→40 m/s: Thống nhất tốc độ rốc-két nhỏ ở mọi đơn vị (40 m/s).</t>
        </is>
      </c>
      <c r="AO77" s="48" t="inlineStr">
        <is>
          <t>Trung</t>
        </is>
      </c>
    </row>
    <row r="78" ht="21.75" customHeight="1" s="32">
      <c r="A78" s="39" t="inlineStr">
        <is>
          <t>hel_beam</t>
        </is>
      </c>
      <c r="B78" s="39" t="inlineStr">
        <is>
          <t>Iron Beam laser (100</t>
        </is>
      </c>
      <c r="C78" s="39" t="inlineStr">
        <is>
          <t>Năng lượng</t>
        </is>
      </c>
      <c r="D78" s="39" t="inlineStr">
        <is>
          <t>La-de PK</t>
        </is>
      </c>
      <c r="E78" s="39" t="inlineStr">
        <is>
          <t>Năng lượng</t>
        </is>
      </c>
      <c r="F78" s="39" t="inlineStr">
        <is>
          <t>Energy</t>
        </is>
      </c>
      <c r="G78" s="42" t="n">
        <v>100</v>
      </c>
      <c r="H78" s="42" t="n">
        <v>2</v>
      </c>
      <c r="I78" s="42" t="n">
        <v>2</v>
      </c>
      <c r="J78" s="42" t="n">
        <v>7.5</v>
      </c>
      <c r="K78" s="42" t="n">
        <v>10</v>
      </c>
      <c r="L78" s="39" t="inlineStr">
        <is>
          <t>từng phát</t>
        </is>
      </c>
      <c r="M78" s="39" t="inlineStr">
        <is>
          <t>từng phát</t>
        </is>
      </c>
      <c r="N78" s="42" t="n">
        <v>19.0476190476191</v>
      </c>
      <c r="O78" s="42" t="n">
        <v>19.0476190476191</v>
      </c>
      <c r="P78" s="42" t="n">
        <v>1</v>
      </c>
      <c r="Q78" s="42" t="n">
        <v>1</v>
      </c>
      <c r="R78" s="42" t="n">
        <v>0.0525</v>
      </c>
      <c r="S78" s="42" t="n">
        <v>0.0525</v>
      </c>
      <c r="T78" s="42" t="n">
        <v>45</v>
      </c>
      <c r="U78" s="42" t="n">
        <v>45</v>
      </c>
      <c r="V78" s="42" t="n">
        <v>3000</v>
      </c>
      <c r="W78" s="42" t="n">
        <v>3000</v>
      </c>
      <c r="X78" s="50">
        <f>IFERROR(U78/W78,"")</f>
        <v/>
      </c>
      <c r="Y78" s="50" t="n"/>
      <c r="Z78" s="50" t="n"/>
      <c r="AA78" s="50">
        <f>IFERROR(IF(L78="từng phát",J78*N78,J78*P78/(P78/N78+R78)),"")</f>
        <v/>
      </c>
      <c r="AB78" s="50">
        <f>IFERROR(IF(M78="từng phát",K78*O78,K78*Q78/(Q78/O78+S78)),"")</f>
        <v/>
      </c>
      <c r="AC78" s="50">
        <f>IFERROR(AB78*VLOOKUP(E78,'Hệ số'!$A$2:$D$8,2,0)*IF((I78-0)&gt;=2,1.2,IF((I78-0)=1,1,IF((I78-0)=0,0.85,IF((I78-0)=-1,0.5,IF((I78-0)=-2,0.25,0.1))))),"")</f>
        <v/>
      </c>
      <c r="AD78" s="50">
        <f>IFERROR(AB78*VLOOKUP(E78,'Hệ số'!$A$2:$D$8,2,0)*IF((I78-1)&gt;=2,1.2,IF((I78-1)=1,1,IF((I78-1)=0,0.85,IF((I78-1)=-1,0.5,IF((I78-1)=-2,0.25,0.1))))),"")</f>
        <v/>
      </c>
      <c r="AE78" s="50">
        <f>IFERROR(AB78*VLOOKUP(E78,'Hệ số'!$A$2:$D$8,2,0)*IF((I78-2)&gt;=2,1.2,IF((I78-2)=1,1,IF((I78-2)=0,0.85,IF((I78-2)=-1,0.5,IF((I78-2)=-2,0.25,0.1))))),"")</f>
        <v/>
      </c>
      <c r="AF78" s="50">
        <f>IFERROR(AB78*VLOOKUP(E78,'Hệ số'!$A$2:$D$8,2,0)*IF((I78-3)&gt;=2,1.2,IF((I78-3)=1,1,IF((I78-3)=0,0.85,IF((I78-3)=-1,0.5,IF((I78-3)=-2,0.25,0.1))))),"")</f>
        <v/>
      </c>
      <c r="AG78" s="50">
        <f>IFERROR(AB78*VLOOKUP(E78,'Hệ số'!$A$2:$D$8,2,0)*IF((I78-4)&gt;=2,1.2,IF((I78-4)=1,1,IF((I78-4)=0,0.85,IF((I78-4)=-1,0.5,IF((I78-4)=-2,0.25,0.1))))),"")</f>
        <v/>
      </c>
      <c r="AH78" s="50">
        <f>IFERROR(AB78*VLOOKUP(E78,'Hệ số'!$A$2:$D$8,2,0)*IF((I78-5)&gt;=2,1.2,IF((I78-5)=1,1,IF((I78-5)=0,0.85,IF((I78-5)=-1,0.5,IF((I78-5)=-2,0.25,0.1))))),"")</f>
        <v/>
      </c>
      <c r="AI78" s="50">
        <f>IFERROR(AB78*VLOOKUP(E78,'Hệ số'!$A$2:$D$8,3,0),"")</f>
        <v/>
      </c>
      <c r="AJ78" s="50">
        <f>IFERROR(AB78*VLOOKUP(E78,'Hệ số'!$A$2:$D$8,4,0)*IF((I78-2)&gt;=2,1.2,IF((I78-2)=1,1,IF((I78-2)=0,0.85,IF((I78-2)=-1,0.5,IF((I78-2)=-2,0.25,0.1))))),"")</f>
        <v/>
      </c>
      <c r="AK78" s="39" t="inlineStr">
        <is>
          <t>Tia tức thời; không bị APS chặn; bị khói giảm 80%; mạnh với máy bay (×1,5).</t>
        </is>
      </c>
      <c r="AL78" s="39" t="n"/>
      <c r="AM78" s="39" t="inlineStr">
        <is>
          <t>Iron Beam: laser 100 kW, chủ yếu đánh chặn drone, rốc-két, cối</t>
        </is>
      </c>
      <c r="AN78" s="39" t="inlineStr">
        <is>
          <t>La-de PK gần như vô dụng; Iron Beam thật chuyên chặn drone, rốc-két, cối.</t>
        </is>
      </c>
      <c r="AO78" s="47" t="inlineStr">
        <is>
          <t>Cao</t>
        </is>
      </c>
    </row>
    <row r="79" ht="21.75" customHeight="1" s="32">
      <c r="A79" s="41" t="inlineStr">
        <is>
          <t>heli_atgm</t>
        </is>
      </c>
      <c r="B79" s="41" t="inlineStr">
        <is>
          <t>AGM-114 Hellfire</t>
        </is>
      </c>
      <c r="C79" s="41" t="inlineStr">
        <is>
          <t>Tên lửa chống tăng / không đối đất</t>
        </is>
      </c>
      <c r="D79" s="41" t="inlineStr">
        <is>
          <t>TT hỏa lực</t>
        </is>
      </c>
      <c r="E79" s="41" t="inlineStr">
        <is>
          <t>Nổ lõm</t>
        </is>
      </c>
      <c r="F79" s="41" t="inlineStr">
        <is>
          <t>Atgm</t>
        </is>
      </c>
      <c r="G79" s="43" t="n">
        <v>49</v>
      </c>
      <c r="H79" s="43" t="n">
        <v>4</v>
      </c>
      <c r="I79" s="43" t="n">
        <v>4</v>
      </c>
      <c r="J79" s="43" t="n">
        <v>260</v>
      </c>
      <c r="K79" s="43" t="n">
        <v>260</v>
      </c>
      <c r="L79" s="41" t="inlineStr">
        <is>
          <t>từng phát</t>
        </is>
      </c>
      <c r="M79" s="41" t="inlineStr">
        <is>
          <t>từng phát</t>
        </is>
      </c>
      <c r="N79" s="43" t="n">
        <v>0.204918032786885</v>
      </c>
      <c r="O79" s="43" t="n">
        <v>0.204918032786885</v>
      </c>
      <c r="P79" s="43" t="n">
        <v>1</v>
      </c>
      <c r="Q79" s="43" t="n">
        <v>1</v>
      </c>
      <c r="R79" s="43" t="n">
        <v>4.88</v>
      </c>
      <c r="S79" s="43" t="n">
        <v>4.88</v>
      </c>
      <c r="T79" s="43" t="n">
        <v>34</v>
      </c>
      <c r="U79" s="43" t="n">
        <v>45</v>
      </c>
      <c r="V79" s="43" t="n">
        <v>12</v>
      </c>
      <c r="W79" s="43" t="n">
        <v>26</v>
      </c>
      <c r="X79" s="51">
        <f>IFERROR(U79/W79,"")</f>
        <v/>
      </c>
      <c r="Y79" s="51" t="n"/>
      <c r="Z79" s="51" t="n"/>
      <c r="AA79" s="51">
        <f>IFERROR(IF(L79="từng phát",J79*N79,J79*P79/(P79/N79+R79)),"")</f>
        <v/>
      </c>
      <c r="AB79" s="51">
        <f>IFERROR(IF(M79="từng phát",K79*O79,K79*Q79/(Q79/O79+S79)),"")</f>
        <v/>
      </c>
      <c r="AC79" s="51">
        <f>IFERROR(AB79*VLOOKUP(E79,'Hệ số'!$A$2:$D$8,2,0)*IF((I79-0)&gt;=2,1.2,IF((I79-0)=1,1,IF((I79-0)=0,0.85,IF((I79-0)=-1,0.5,IF((I79-0)=-2,0.25,0.1))))),"")</f>
        <v/>
      </c>
      <c r="AD79" s="51">
        <f>IFERROR(AB79*VLOOKUP(E79,'Hệ số'!$A$2:$D$8,2,0)*IF((I79-1)&gt;=2,1.2,IF((I79-1)=1,1,IF((I79-1)=0,0.85,IF((I79-1)=-1,0.5,IF((I79-1)=-2,0.25,0.1))))),"")</f>
        <v/>
      </c>
      <c r="AE79" s="51">
        <f>IFERROR(AB79*VLOOKUP(E79,'Hệ số'!$A$2:$D$8,2,0)*IF((I79-2)&gt;=2,1.2,IF((I79-2)=1,1,IF((I79-2)=0,0.85,IF((I79-2)=-1,0.5,IF((I79-2)=-2,0.25,0.1))))),"")</f>
        <v/>
      </c>
      <c r="AF79" s="51">
        <f>IFERROR(AB79*VLOOKUP(E79,'Hệ số'!$A$2:$D$8,2,0)*IF((I79-3)&gt;=2,1.2,IF((I79-3)=1,1,IF((I79-3)=0,0.85,IF((I79-3)=-1,0.5,IF((I79-3)=-2,0.25,0.1))))),"")</f>
        <v/>
      </c>
      <c r="AG79" s="51">
        <f>IFERROR(AB79*VLOOKUP(E79,'Hệ số'!$A$2:$D$8,2,0)*IF((I79-4)&gt;=2,1.2,IF((I79-4)=1,1,IF((I79-4)=0,0.85,IF((I79-4)=-1,0.5,IF((I79-4)=-2,0.25,0.1))))),"")</f>
        <v/>
      </c>
      <c r="AH79" s="51">
        <f>IFERROR(AB79*VLOOKUP(E79,'Hệ số'!$A$2:$D$8,2,0)*IF((I79-5)&gt;=2,1.2,IF((I79-5)=1,1,IF((I79-5)=0,0.85,IF((I79-5)=-1,0.5,IF((I79-5)=-2,0.25,0.1))))),"")</f>
        <v/>
      </c>
      <c r="AI79" s="51">
        <f>IFERROR(AB79*VLOOKUP(E79,'Hệ số'!$A$2:$D$8,3,0),"")</f>
        <v/>
      </c>
      <c r="AJ79" s="51">
        <f>IFERROR(AB79*VLOOKUP(E79,'Hệ số'!$A$2:$D$8,4,0)*IF((I79-2)&gt;=2,1.2,IF((I79-2)=1,1,IF((I79-2)=0,0.85,IF((I79-2)=-1,0.5,IF((I79-2)=-2,0.25,0.1))))),"")</f>
        <v/>
      </c>
      <c r="AK79" s="41" t="inlineStr">
        <is>
          <t>Dẫn đường; bị APS và giáp phản ứng nổ giảm (đầu nổ lõm); bay chậm nên né và khói có tác dụng.</t>
        </is>
      </c>
      <c r="AL79" s="41" t="n"/>
      <c r="AM79" s="41" t="inlineStr">
        <is>
          <t>Hellfire: 8 km, Mach 1,3</t>
        </is>
      </c>
      <c r="AN79" s="41" t="inlineStr">
        <is>
          <t>Tầm 34 thấp hơn các Hellfire khác. Tốc độ bay 12→26 m/s: Hellfire thống nhất 26 m/s mọi nơi (đang 12 ở đây, chậm nhất game).</t>
        </is>
      </c>
      <c r="AO79" s="47" t="inlineStr">
        <is>
          <t>Cao</t>
        </is>
      </c>
    </row>
    <row r="80" ht="32.25" customHeight="1" s="32">
      <c r="A80" s="39" t="inlineStr">
        <is>
          <t>heli_gun</t>
        </is>
      </c>
      <c r="B80" s="39" t="inlineStr">
        <is>
          <t>M230 30 mm</t>
        </is>
      </c>
      <c r="C80" s="39" t="inlineStr">
        <is>
          <t>Pháo tự động / cao xạ 20–40 mm</t>
        </is>
      </c>
      <c r="D80" s="39" t="inlineStr">
        <is>
          <t>Trực thăng, Trực thăng TN</t>
        </is>
      </c>
      <c r="E80" s="39" t="inlineStr">
        <is>
          <t>Động năng</t>
        </is>
      </c>
      <c r="F80" s="39" t="inlineStr">
        <is>
          <t>BeltedAutocannon</t>
        </is>
      </c>
      <c r="G80" s="42" t="n">
        <v>30</v>
      </c>
      <c r="H80" s="42" t="n">
        <v>2</v>
      </c>
      <c r="I80" s="42" t="n">
        <v>2</v>
      </c>
      <c r="J80" s="42" t="n">
        <v>22</v>
      </c>
      <c r="K80" s="42" t="n">
        <v>22</v>
      </c>
      <c r="L80" s="39" t="inlineStr">
        <is>
          <t>băng</t>
        </is>
      </c>
      <c r="M80" s="39" t="inlineStr">
        <is>
          <t>băng</t>
        </is>
      </c>
      <c r="N80" s="42" t="n">
        <v>4</v>
      </c>
      <c r="O80" s="42" t="n">
        <v>6</v>
      </c>
      <c r="P80" s="42" t="n">
        <v>21</v>
      </c>
      <c r="Q80" s="42" t="n">
        <v>40</v>
      </c>
      <c r="R80" s="42" t="n">
        <v>1</v>
      </c>
      <c r="S80" s="42" t="n">
        <v>3</v>
      </c>
      <c r="T80" s="42" t="n">
        <v>26</v>
      </c>
      <c r="U80" s="42" t="n">
        <v>26</v>
      </c>
      <c r="V80" s="42" t="n">
        <v>220</v>
      </c>
      <c r="W80" s="42" t="n">
        <v>220</v>
      </c>
      <c r="X80" s="50">
        <f>IFERROR(U80/W80,"")</f>
        <v/>
      </c>
      <c r="Y80" s="50" t="n"/>
      <c r="Z80" s="50" t="n"/>
      <c r="AA80" s="50">
        <f>IFERROR(IF(L80="từng phát",J80*N80,J80*P80/(P80/N80+R80)),"")</f>
        <v/>
      </c>
      <c r="AB80" s="50">
        <f>IFERROR(IF(M80="từng phát",K80*O80,K80*Q80/(Q80/O80+S80)),"")</f>
        <v/>
      </c>
      <c r="AC80" s="50">
        <f>IFERROR(AB80*VLOOKUP(E80,'Hệ số'!$A$2:$D$8,2,0)*IF((I80-0)&gt;=2,1.2,IF((I80-0)=1,1,IF((I80-0)=0,0.85,IF((I80-0)=-1,0.5,IF((I80-0)=-2,0.25,0.1))))),"")</f>
        <v/>
      </c>
      <c r="AD80" s="50">
        <f>IFERROR(AB80*VLOOKUP(E80,'Hệ số'!$A$2:$D$8,2,0)*IF((I80-1)&gt;=2,1.2,IF((I80-1)=1,1,IF((I80-1)=0,0.85,IF((I80-1)=-1,0.5,IF((I80-1)=-2,0.25,0.1))))),"")</f>
        <v/>
      </c>
      <c r="AE80" s="50">
        <f>IFERROR(AB80*VLOOKUP(E80,'Hệ số'!$A$2:$D$8,2,0)*IF((I80-2)&gt;=2,1.2,IF((I80-2)=1,1,IF((I80-2)=0,0.85,IF((I80-2)=-1,0.5,IF((I80-2)=-2,0.25,0.1))))),"")</f>
        <v/>
      </c>
      <c r="AF80" s="50">
        <f>IFERROR(AB80*VLOOKUP(E80,'Hệ số'!$A$2:$D$8,2,0)*IF((I80-3)&gt;=2,1.2,IF((I80-3)=1,1,IF((I80-3)=0,0.85,IF((I80-3)=-1,0.5,IF((I80-3)=-2,0.25,0.1))))),"")</f>
        <v/>
      </c>
      <c r="AG80" s="50">
        <f>IFERROR(AB80*VLOOKUP(E80,'Hệ số'!$A$2:$D$8,2,0)*IF((I80-4)&gt;=2,1.2,IF((I80-4)=1,1,IF((I80-4)=0,0.85,IF((I80-4)=-1,0.5,IF((I80-4)=-2,0.25,0.1))))),"")</f>
        <v/>
      </c>
      <c r="AH80" s="50">
        <f>IFERROR(AB80*VLOOKUP(E80,'Hệ số'!$A$2:$D$8,2,0)*IF((I80-5)&gt;=2,1.2,IF((I80-5)=1,1,IF((I80-5)=0,0.85,IF((I80-5)=-1,0.5,IF((I80-5)=-2,0.25,0.1))))),"")</f>
        <v/>
      </c>
      <c r="AI80" s="50">
        <f>IFERROR(AB80*VLOOKUP(E80,'Hệ số'!$A$2:$D$8,3,0),"")</f>
        <v/>
      </c>
      <c r="AJ80" s="50">
        <f>IFERROR(AB80*VLOOKUP(E80,'Hệ số'!$A$2:$D$8,4,0)*IF((I80-2)&gt;=2,1.2,IF((I80-2)=1,1,IF((I80-2)=0,0.85,IF((I80-2)=-1,0.5,IF((I80-2)=-2,0.25,0.1))))),"")</f>
        <v/>
      </c>
      <c r="AK80" s="39" t="inlineStr">
        <is>
          <t>Bắn loạt; đạn nổ trên không (Mảnh) mạnh với máy bay và drone, yếu với giáp; đạn xuyên (Động năng) mạnh với giáp 0–2.</t>
        </is>
      </c>
      <c r="AL80" s="39" t="inlineStr">
        <is>
          <t>Tự đổi: đạn xuyên (Động năng) với xe, đạn nổ trên không (Mảnh) với máy bay/drone.</t>
        </is>
      </c>
      <c r="AM80" s="39" t="inlineStr">
        <is>
          <t>M230: 625</t>
        </is>
      </c>
      <c r="AN80" s="39" t="inlineStr">
        <is>
          <t>M230 thật 625 phát/phút, 1.200 viên; hiện băng 21 viên. Tăng nhẹ DPS vì Trực thăng tấn công đang yếu so với giá.</t>
        </is>
      </c>
      <c r="AO80" s="48" t="inlineStr">
        <is>
          <t>Trung</t>
        </is>
      </c>
    </row>
    <row r="81" ht="21.75" customHeight="1" s="32">
      <c r="A81" s="41" t="inlineStr">
        <is>
          <t>heli_rockets</t>
        </is>
      </c>
      <c r="B81" s="41" t="inlineStr">
        <is>
          <t>Hydra 70 mm</t>
        </is>
      </c>
      <c r="C81" s="41" t="inlineStr">
        <is>
          <t>Rốc-két</t>
        </is>
      </c>
      <c r="D81" s="41" t="inlineStr">
        <is>
          <t>Trực thăng, Trực thăng TN</t>
        </is>
      </c>
      <c r="E81" s="41" t="inlineStr">
        <is>
          <t>Nổ mạnh</t>
        </is>
      </c>
      <c r="F81" s="41" t="inlineStr">
        <is>
          <t>RocketSmall</t>
        </is>
      </c>
      <c r="G81" s="43" t="n">
        <v>70</v>
      </c>
      <c r="H81" s="43" t="n">
        <v>2</v>
      </c>
      <c r="I81" s="43" t="n">
        <v>2</v>
      </c>
      <c r="J81" s="43" t="n">
        <v>30</v>
      </c>
      <c r="K81" s="43" t="n">
        <v>30</v>
      </c>
      <c r="L81" s="41" t="inlineStr">
        <is>
          <t>loạt</t>
        </is>
      </c>
      <c r="M81" s="41" t="inlineStr">
        <is>
          <t>loạt</t>
        </is>
      </c>
      <c r="N81" s="43" t="n">
        <v>8.33</v>
      </c>
      <c r="O81" s="43" t="n">
        <v>8.33</v>
      </c>
      <c r="P81" s="43" t="n">
        <v>11</v>
      </c>
      <c r="Q81" s="43" t="n">
        <v>11</v>
      </c>
      <c r="R81" s="43" t="n">
        <v>7.31</v>
      </c>
      <c r="S81" s="43" t="n">
        <v>7.31</v>
      </c>
      <c r="T81" s="43" t="n">
        <v>30</v>
      </c>
      <c r="U81" s="43" t="n">
        <v>30</v>
      </c>
      <c r="V81" s="43" t="n">
        <v>48</v>
      </c>
      <c r="W81" s="43" t="n">
        <v>40</v>
      </c>
      <c r="X81" s="51">
        <f>IFERROR(U81/W81,"")</f>
        <v/>
      </c>
      <c r="Y81" s="53" t="n">
        <v>3</v>
      </c>
      <c r="Z81" s="53" t="n">
        <v>3</v>
      </c>
      <c r="AA81" s="51">
        <f>IFERROR(IF(L81="từng phát",J81*N81,J81*P81/(P81/N81+R81)),"")</f>
        <v/>
      </c>
      <c r="AB81" s="51">
        <f>IFERROR(IF(M81="từng phát",K81*O81,K81*Q81/(Q81/O81+S81)),"")</f>
        <v/>
      </c>
      <c r="AC81" s="51">
        <f>IFERROR(AB81*VLOOKUP(E81,'Hệ số'!$A$2:$D$8,2,0)*IF((I81-0)&gt;=2,1.2,IF((I81-0)=1,1,IF((I81-0)=0,0.85,IF((I81-0)=-1,0.5,IF((I81-0)=-2,0.25,0.1))))),"")</f>
        <v/>
      </c>
      <c r="AD81" s="51">
        <f>IFERROR(AB81*VLOOKUP(E81,'Hệ số'!$A$2:$D$8,2,0)*IF((I81-1)&gt;=2,1.2,IF((I81-1)=1,1,IF((I81-1)=0,0.85,IF((I81-1)=-1,0.5,IF((I81-1)=-2,0.25,0.1))))),"")</f>
        <v/>
      </c>
      <c r="AE81" s="51">
        <f>IFERROR(AB81*VLOOKUP(E81,'Hệ số'!$A$2:$D$8,2,0)*IF((I81-2)&gt;=2,1.2,IF((I81-2)=1,1,IF((I81-2)=0,0.85,IF((I81-2)=-1,0.5,IF((I81-2)=-2,0.25,0.1))))),"")</f>
        <v/>
      </c>
      <c r="AF81" s="51">
        <f>IFERROR(AB81*VLOOKUP(E81,'Hệ số'!$A$2:$D$8,2,0)*IF((I81-3)&gt;=2,1.2,IF((I81-3)=1,1,IF((I81-3)=0,0.85,IF((I81-3)=-1,0.5,IF((I81-3)=-2,0.25,0.1))))),"")</f>
        <v/>
      </c>
      <c r="AG81" s="51">
        <f>IFERROR(AB81*VLOOKUP(E81,'Hệ số'!$A$2:$D$8,2,0)*IF((I81-4)&gt;=2,1.2,IF((I81-4)=1,1,IF((I81-4)=0,0.85,IF((I81-4)=-1,0.5,IF((I81-4)=-2,0.25,0.1))))),"")</f>
        <v/>
      </c>
      <c r="AH81" s="51">
        <f>IFERROR(AB81*VLOOKUP(E81,'Hệ số'!$A$2:$D$8,2,0)*IF((I81-5)&gt;=2,1.2,IF((I81-5)=1,1,IF((I81-5)=0,0.85,IF((I81-5)=-1,0.5,IF((I81-5)=-2,0.25,0.1))))),"")</f>
        <v/>
      </c>
      <c r="AI81" s="51">
        <f>IFERROR(AB81*VLOOKUP(E81,'Hệ số'!$A$2:$D$8,3,0),"")</f>
        <v/>
      </c>
      <c r="AJ81" s="51">
        <f>IFERROR(AB81*VLOOKUP(E81,'Hệ số'!$A$2:$D$8,4,0)*IF((I81-2)&gt;=2,1.2,IF((I81-2)=1,1,IF((I81-2)=0,0.85,IF((I81-2)=-1,0.5,IF((I81-2)=-2,0.25,0.1))))),"")</f>
        <v/>
      </c>
      <c r="AK81" s="41" t="inlineStr">
        <is>
          <t>Bắn loạt phủ vùng, tản mát; C-RAM, Vòm Sắt và La-de PK bắn hạ được từng quả.</t>
        </is>
      </c>
      <c r="AL81" s="41" t="n"/>
      <c r="AM81" s="41" t="inlineStr">
        <is>
          <t>Hydra 70</t>
        </is>
      </c>
      <c r="AN81" s="41" t="inlineStr">
        <is>
          <t>Tốc độ bay 48→40 m/s: Thống nhất tốc độ rốc-két nhỏ ở mọi đơn vị (40 m/s).</t>
        </is>
      </c>
      <c r="AO81" s="48" t="inlineStr">
        <is>
          <t>Trung</t>
        </is>
      </c>
    </row>
    <row r="82" ht="21.75" customHeight="1" s="32">
      <c r="A82" s="39" t="inlineStr">
        <is>
          <t>hellfire_standoff</t>
        </is>
      </c>
      <c r="B82" s="39" t="inlineStr">
        <is>
          <t>AGM-114L Hellfire</t>
        </is>
      </c>
      <c r="C82" s="39" t="inlineStr">
        <is>
          <t>Tên lửa chống tăng / không đối đất</t>
        </is>
      </c>
      <c r="D82" s="39" t="inlineStr">
        <is>
          <t>Trực thăng</t>
        </is>
      </c>
      <c r="E82" s="39" t="inlineStr">
        <is>
          <t>Nổ lõm</t>
        </is>
      </c>
      <c r="F82" s="39" t="inlineStr">
        <is>
          <t>Atgm</t>
        </is>
      </c>
      <c r="G82" s="42" t="n">
        <v>49</v>
      </c>
      <c r="H82" s="42" t="n">
        <v>4</v>
      </c>
      <c r="I82" s="42" t="n">
        <v>4</v>
      </c>
      <c r="J82" s="42" t="n">
        <v>260</v>
      </c>
      <c r="K82" s="42" t="n">
        <v>260</v>
      </c>
      <c r="L82" s="39" t="inlineStr">
        <is>
          <t>loạt</t>
        </is>
      </c>
      <c r="M82" s="39" t="inlineStr">
        <is>
          <t>loạt</t>
        </is>
      </c>
      <c r="N82" s="42" t="n">
        <v>2.22</v>
      </c>
      <c r="O82" s="42" t="n">
        <v>2.22</v>
      </c>
      <c r="P82" s="42" t="n">
        <v>2</v>
      </c>
      <c r="Q82" s="42" t="n">
        <v>2</v>
      </c>
      <c r="R82" s="42" t="n">
        <v>7.1</v>
      </c>
      <c r="S82" s="42" t="n">
        <v>7.1</v>
      </c>
      <c r="T82" s="42" t="n">
        <v>55</v>
      </c>
      <c r="U82" s="42" t="n">
        <v>55</v>
      </c>
      <c r="V82" s="42" t="n">
        <v>24</v>
      </c>
      <c r="W82" s="42" t="n">
        <v>26</v>
      </c>
      <c r="X82" s="50">
        <f>IFERROR(U82/W82,"")</f>
        <v/>
      </c>
      <c r="Y82" s="50" t="n"/>
      <c r="Z82" s="50" t="n"/>
      <c r="AA82" s="50">
        <f>IFERROR(IF(L82="từng phát",J82*N82,J82*P82/(P82/N82+R82)),"")</f>
        <v/>
      </c>
      <c r="AB82" s="50">
        <f>IFERROR(IF(M82="từng phát",K82*O82,K82*Q82/(Q82/O82+S82)),"")</f>
        <v/>
      </c>
      <c r="AC82" s="50">
        <f>IFERROR(AB82*VLOOKUP(E82,'Hệ số'!$A$2:$D$8,2,0)*IF((I82-0)&gt;=2,1.2,IF((I82-0)=1,1,IF((I82-0)=0,0.85,IF((I82-0)=-1,0.5,IF((I82-0)=-2,0.25,0.1))))),"")</f>
        <v/>
      </c>
      <c r="AD82" s="50">
        <f>IFERROR(AB82*VLOOKUP(E82,'Hệ số'!$A$2:$D$8,2,0)*IF((I82-1)&gt;=2,1.2,IF((I82-1)=1,1,IF((I82-1)=0,0.85,IF((I82-1)=-1,0.5,IF((I82-1)=-2,0.25,0.1))))),"")</f>
        <v/>
      </c>
      <c r="AE82" s="50">
        <f>IFERROR(AB82*VLOOKUP(E82,'Hệ số'!$A$2:$D$8,2,0)*IF((I82-2)&gt;=2,1.2,IF((I82-2)=1,1,IF((I82-2)=0,0.85,IF((I82-2)=-1,0.5,IF((I82-2)=-2,0.25,0.1))))),"")</f>
        <v/>
      </c>
      <c r="AF82" s="50">
        <f>IFERROR(AB82*VLOOKUP(E82,'Hệ số'!$A$2:$D$8,2,0)*IF((I82-3)&gt;=2,1.2,IF((I82-3)=1,1,IF((I82-3)=0,0.85,IF((I82-3)=-1,0.5,IF((I82-3)=-2,0.25,0.1))))),"")</f>
        <v/>
      </c>
      <c r="AG82" s="50">
        <f>IFERROR(AB82*VLOOKUP(E82,'Hệ số'!$A$2:$D$8,2,0)*IF((I82-4)&gt;=2,1.2,IF((I82-4)=1,1,IF((I82-4)=0,0.85,IF((I82-4)=-1,0.5,IF((I82-4)=-2,0.25,0.1))))),"")</f>
        <v/>
      </c>
      <c r="AH82" s="50">
        <f>IFERROR(AB82*VLOOKUP(E82,'Hệ số'!$A$2:$D$8,2,0)*IF((I82-5)&gt;=2,1.2,IF((I82-5)=1,1,IF((I82-5)=0,0.85,IF((I82-5)=-1,0.5,IF((I82-5)=-2,0.25,0.1))))),"")</f>
        <v/>
      </c>
      <c r="AI82" s="50">
        <f>IFERROR(AB82*VLOOKUP(E82,'Hệ số'!$A$2:$D$8,3,0),"")</f>
        <v/>
      </c>
      <c r="AJ82" s="50">
        <f>IFERROR(AB82*VLOOKUP(E82,'Hệ số'!$A$2:$D$8,4,0)*IF((I82-2)&gt;=2,1.2,IF((I82-2)=1,1,IF((I82-2)=0,0.85,IF((I82-2)=-1,0.5,IF((I82-2)=-2,0.25,0.1))))),"")</f>
        <v/>
      </c>
      <c r="AK82" s="39" t="inlineStr">
        <is>
          <t>Dẫn đường; bị APS và giáp phản ứng nổ giảm (đầu nổ lõm); bay chậm nên né và khói có tác dụng.</t>
        </is>
      </c>
      <c r="AL82" s="39" t="n"/>
      <c r="AM82" s="39" t="inlineStr">
        <is>
          <t>Hellfire L (radar): 8 km</t>
        </is>
      </c>
      <c r="AN82" s="39" t="inlineStr">
        <is>
          <t>Tốc độ bay 24→26 m/s: Thống nhất Hellfire.</t>
        </is>
      </c>
      <c r="AO82" s="48" t="inlineStr">
        <is>
          <t>Trung</t>
        </is>
      </c>
    </row>
    <row r="83" ht="21.75" customHeight="1" s="32">
      <c r="A83" s="41" t="inlineStr">
        <is>
          <t>hellfire_volley</t>
        </is>
      </c>
      <c r="B83" s="41" t="inlineStr">
        <is>
          <t>AGM-114L Hellfire</t>
        </is>
      </c>
      <c r="C83" s="41" t="inlineStr">
        <is>
          <t>Tên lửa chống tăng / không đối đất</t>
        </is>
      </c>
      <c r="D83" s="41" t="inlineStr">
        <is>
          <t>Trực thăng TN</t>
        </is>
      </c>
      <c r="E83" s="41" t="inlineStr">
        <is>
          <t>Nổ lõm</t>
        </is>
      </c>
      <c r="F83" s="41" t="inlineStr">
        <is>
          <t>Atgm</t>
        </is>
      </c>
      <c r="G83" s="43" t="n">
        <v>49</v>
      </c>
      <c r="H83" s="43" t="n">
        <v>4</v>
      </c>
      <c r="I83" s="43" t="n">
        <v>4</v>
      </c>
      <c r="J83" s="43" t="n">
        <v>260</v>
      </c>
      <c r="K83" s="43" t="n">
        <v>260</v>
      </c>
      <c r="L83" s="41" t="inlineStr">
        <is>
          <t>loạt</t>
        </is>
      </c>
      <c r="M83" s="41" t="inlineStr">
        <is>
          <t>loạt</t>
        </is>
      </c>
      <c r="N83" s="43" t="n">
        <v>2.22</v>
      </c>
      <c r="O83" s="43" t="n">
        <v>2.22</v>
      </c>
      <c r="P83" s="43" t="n">
        <v>2</v>
      </c>
      <c r="Q83" s="43" t="n">
        <v>2</v>
      </c>
      <c r="R83" s="43" t="n">
        <v>10.19</v>
      </c>
      <c r="S83" s="43" t="n">
        <v>10.19</v>
      </c>
      <c r="T83" s="43" t="n">
        <v>34</v>
      </c>
      <c r="U83" s="43" t="n">
        <v>45</v>
      </c>
      <c r="V83" s="43" t="n">
        <v>21</v>
      </c>
      <c r="W83" s="43" t="n">
        <v>26</v>
      </c>
      <c r="X83" s="51">
        <f>IFERROR(U83/W83,"")</f>
        <v/>
      </c>
      <c r="Y83" s="51" t="n"/>
      <c r="Z83" s="51" t="n"/>
      <c r="AA83" s="51">
        <f>IFERROR(IF(L83="từng phát",J83*N83,J83*P83/(P83/N83+R83)),"")</f>
        <v/>
      </c>
      <c r="AB83" s="51">
        <f>IFERROR(IF(M83="từng phát",K83*O83,K83*Q83/(Q83/O83+S83)),"")</f>
        <v/>
      </c>
      <c r="AC83" s="51">
        <f>IFERROR(AB83*VLOOKUP(E83,'Hệ số'!$A$2:$D$8,2,0)*IF((I83-0)&gt;=2,1.2,IF((I83-0)=1,1,IF((I83-0)=0,0.85,IF((I83-0)=-1,0.5,IF((I83-0)=-2,0.25,0.1))))),"")</f>
        <v/>
      </c>
      <c r="AD83" s="51">
        <f>IFERROR(AB83*VLOOKUP(E83,'Hệ số'!$A$2:$D$8,2,0)*IF((I83-1)&gt;=2,1.2,IF((I83-1)=1,1,IF((I83-1)=0,0.85,IF((I83-1)=-1,0.5,IF((I83-1)=-2,0.25,0.1))))),"")</f>
        <v/>
      </c>
      <c r="AE83" s="51">
        <f>IFERROR(AB83*VLOOKUP(E83,'Hệ số'!$A$2:$D$8,2,0)*IF((I83-2)&gt;=2,1.2,IF((I83-2)=1,1,IF((I83-2)=0,0.85,IF((I83-2)=-1,0.5,IF((I83-2)=-2,0.25,0.1))))),"")</f>
        <v/>
      </c>
      <c r="AF83" s="51">
        <f>IFERROR(AB83*VLOOKUP(E83,'Hệ số'!$A$2:$D$8,2,0)*IF((I83-3)&gt;=2,1.2,IF((I83-3)=1,1,IF((I83-3)=0,0.85,IF((I83-3)=-1,0.5,IF((I83-3)=-2,0.25,0.1))))),"")</f>
        <v/>
      </c>
      <c r="AG83" s="51">
        <f>IFERROR(AB83*VLOOKUP(E83,'Hệ số'!$A$2:$D$8,2,0)*IF((I83-4)&gt;=2,1.2,IF((I83-4)=1,1,IF((I83-4)=0,0.85,IF((I83-4)=-1,0.5,IF((I83-4)=-2,0.25,0.1))))),"")</f>
        <v/>
      </c>
      <c r="AH83" s="51">
        <f>IFERROR(AB83*VLOOKUP(E83,'Hệ số'!$A$2:$D$8,2,0)*IF((I83-5)&gt;=2,1.2,IF((I83-5)=1,1,IF((I83-5)=0,0.85,IF((I83-5)=-1,0.5,IF((I83-5)=-2,0.25,0.1))))),"")</f>
        <v/>
      </c>
      <c r="AI83" s="51">
        <f>IFERROR(AB83*VLOOKUP(E83,'Hệ số'!$A$2:$D$8,3,0),"")</f>
        <v/>
      </c>
      <c r="AJ83" s="51">
        <f>IFERROR(AB83*VLOOKUP(E83,'Hệ số'!$A$2:$D$8,4,0)*IF((I83-2)&gt;=2,1.2,IF((I83-2)=1,1,IF((I83-2)=0,0.85,IF((I83-2)=-1,0.5,IF((I83-2)=-2,0.25,0.1))))),"")</f>
        <v/>
      </c>
      <c r="AK83" s="41" t="inlineStr">
        <is>
          <t>Dẫn đường; bị APS và giáp phản ứng nổ giảm (đầu nổ lõm); bay chậm nên né và khói có tác dụng.</t>
        </is>
      </c>
      <c r="AL83" s="41" t="n"/>
      <c r="AM83" s="41" t="inlineStr">
        <is>
          <t>Hellfire L</t>
        </is>
      </c>
      <c r="AN83" s="41" t="inlineStr">
        <is>
          <t>Như trên. Tốc độ bay 21→26 m/s: Thống nhất Hellfire.</t>
        </is>
      </c>
      <c r="AO83" s="48" t="inlineStr">
        <is>
          <t>Trung</t>
        </is>
      </c>
    </row>
    <row r="84" ht="21.75" customHeight="1" s="32">
      <c r="A84" s="39" t="inlineStr">
        <is>
          <t>hmg_roof</t>
        </is>
      </c>
      <c r="B84" s="39" t="inlineStr">
        <is>
          <t>M2 Browning 12.7 mm</t>
        </is>
      </c>
      <c r="C84" s="39" t="inlineStr">
        <is>
          <t>Súng máy 12,7 mm</t>
        </is>
      </c>
      <c r="D84" s="39" t="inlineStr">
        <is>
          <t>Chống tăng, Chống tăng TN,</t>
        </is>
      </c>
      <c r="E84" s="39" t="inlineStr">
        <is>
          <t>Động năng</t>
        </is>
      </c>
      <c r="F84" s="39" t="inlineStr">
        <is>
          <t>BulletBig</t>
        </is>
      </c>
      <c r="G84" s="42" t="n">
        <v>12.7</v>
      </c>
      <c r="H84" s="42" t="n">
        <v>1</v>
      </c>
      <c r="I84" s="42" t="n">
        <v>1</v>
      </c>
      <c r="J84" s="42" t="n">
        <v>9.5</v>
      </c>
      <c r="K84" s="42" t="n">
        <v>9.5</v>
      </c>
      <c r="L84" s="39" t="inlineStr">
        <is>
          <t>băng</t>
        </is>
      </c>
      <c r="M84" s="39" t="inlineStr">
        <is>
          <t>băng</t>
        </is>
      </c>
      <c r="N84" s="42" t="n">
        <v>9</v>
      </c>
      <c r="O84" s="42" t="n">
        <v>9</v>
      </c>
      <c r="P84" s="42" t="n">
        <v>28</v>
      </c>
      <c r="Q84" s="42" t="n">
        <v>100</v>
      </c>
      <c r="R84" s="42" t="n">
        <v>2.02</v>
      </c>
      <c r="S84" s="42" t="n">
        <v>5</v>
      </c>
      <c r="T84" s="42" t="n">
        <v>30</v>
      </c>
      <c r="U84" s="42" t="n">
        <v>30</v>
      </c>
      <c r="V84" s="42" t="n">
        <v>230</v>
      </c>
      <c r="W84" s="42" t="n">
        <v>230</v>
      </c>
      <c r="X84" s="50">
        <f>IFERROR(U84/W84,"")</f>
        <v/>
      </c>
      <c r="Y84" s="50" t="n"/>
      <c r="Z84" s="50" t="n"/>
      <c r="AA84" s="50">
        <f>IFERROR(IF(L84="từng phát",J84*N84,J84*P84/(P84/N84+R84)),"")</f>
        <v/>
      </c>
      <c r="AB84" s="50">
        <f>IFERROR(IF(M84="từng phát",K84*O84,K84*Q84/(Q84/O84+S84)),"")</f>
        <v/>
      </c>
      <c r="AC84" s="50">
        <f>IFERROR(AB84*VLOOKUP(E84,'Hệ số'!$A$2:$D$8,2,0)*IF((I84-0)&gt;=2,1.2,IF((I84-0)=1,1,IF((I84-0)=0,0.85,IF((I84-0)=-1,0.5,IF((I84-0)=-2,0.25,0.1))))),"")</f>
        <v/>
      </c>
      <c r="AD84" s="50">
        <f>IFERROR(AB84*VLOOKUP(E84,'Hệ số'!$A$2:$D$8,2,0)*IF((I84-1)&gt;=2,1.2,IF((I84-1)=1,1,IF((I84-1)=0,0.85,IF((I84-1)=-1,0.5,IF((I84-1)=-2,0.25,0.1))))),"")</f>
        <v/>
      </c>
      <c r="AE84" s="50">
        <f>IFERROR(AB84*VLOOKUP(E84,'Hệ số'!$A$2:$D$8,2,0)*IF((I84-2)&gt;=2,1.2,IF((I84-2)=1,1,IF((I84-2)=0,0.85,IF((I84-2)=-1,0.5,IF((I84-2)=-2,0.25,0.1))))),"")</f>
        <v/>
      </c>
      <c r="AF84" s="50">
        <f>IFERROR(AB84*VLOOKUP(E84,'Hệ số'!$A$2:$D$8,2,0)*IF((I84-3)&gt;=2,1.2,IF((I84-3)=1,1,IF((I84-3)=0,0.85,IF((I84-3)=-1,0.5,IF((I84-3)=-2,0.25,0.1))))),"")</f>
        <v/>
      </c>
      <c r="AG84" s="50">
        <f>IFERROR(AB84*VLOOKUP(E84,'Hệ số'!$A$2:$D$8,2,0)*IF((I84-4)&gt;=2,1.2,IF((I84-4)=1,1,IF((I84-4)=0,0.85,IF((I84-4)=-1,0.5,IF((I84-4)=-2,0.25,0.1))))),"")</f>
        <v/>
      </c>
      <c r="AH84" s="50">
        <f>IFERROR(AB84*VLOOKUP(E84,'Hệ số'!$A$2:$D$8,2,0)*IF((I84-5)&gt;=2,1.2,IF((I84-5)=1,1,IF((I84-5)=0,0.85,IF((I84-5)=-1,0.5,IF((I84-5)=-2,0.25,0.1))))),"")</f>
        <v/>
      </c>
      <c r="AI84" s="50">
        <f>IFERROR(AB84*VLOOKUP(E84,'Hệ số'!$A$2:$D$8,3,0),"")</f>
        <v/>
      </c>
      <c r="AJ84" s="50">
        <f>IFERROR(AB84*VLOOKUP(E84,'Hệ số'!$A$2:$D$8,4,0)*IF((I84-2)&gt;=2,1.2,IF((I84-2)=1,1,IF((I84-2)=0,0.85,IF((I84-2)=-1,0.5,IF((I84-2)=-2,0.25,0.1))))),"")</f>
        <v/>
      </c>
      <c r="AK84" s="39" t="inlineStr">
        <is>
          <t>Bắn cả khi chạy; mạnh với xe không giáp, drone, trực thăng; nảy khỏi giáp từ cấp 2.</t>
        </is>
      </c>
      <c r="AL84" s="39" t="inlineStr">
        <is>
          <t>Đạn xuyên API (xuyên 2) cho bản tinh nhuệ.</t>
        </is>
      </c>
      <c r="AM84" s="39" t="inlineStr">
        <is>
          <t>M2: 450–600 phát/phút</t>
        </is>
      </c>
      <c r="AN84" s="39" t="inlineStr">
        <is>
          <t>Hộp đạn M2 thật 100 viên; hiện băng quá ngắn thay quá nhanh.</t>
        </is>
      </c>
      <c r="AO84" s="48" t="inlineStr">
        <is>
          <t>Trung</t>
        </is>
      </c>
    </row>
    <row r="85" ht="21.75" customHeight="1" s="32">
      <c r="A85" s="41" t="inlineStr">
        <is>
          <t>hmg_selfdef_15</t>
        </is>
      </c>
      <c r="B85" s="41" t="inlineStr">
        <is>
          <t>M2 Browning 12.7 mm</t>
        </is>
      </c>
      <c r="C85" s="41" t="inlineStr">
        <is>
          <t>Súng máy 12,7 mm</t>
        </is>
      </c>
      <c r="D85" s="41" t="inlineStr">
        <is>
          <t>Công binh, Grad TN, Gây</t>
        </is>
      </c>
      <c r="E85" s="41" t="inlineStr">
        <is>
          <t>Động năng</t>
        </is>
      </c>
      <c r="F85" s="41" t="inlineStr">
        <is>
          <t>BulletBig</t>
        </is>
      </c>
      <c r="G85" s="43" t="n">
        <v>12.7</v>
      </c>
      <c r="H85" s="43" t="n">
        <v>1</v>
      </c>
      <c r="I85" s="43" t="n">
        <v>1</v>
      </c>
      <c r="J85" s="43" t="n">
        <v>9.5</v>
      </c>
      <c r="K85" s="43" t="n">
        <v>9.5</v>
      </c>
      <c r="L85" s="41" t="inlineStr">
        <is>
          <t>băng</t>
        </is>
      </c>
      <c r="M85" s="41" t="inlineStr">
        <is>
          <t>băng</t>
        </is>
      </c>
      <c r="N85" s="43" t="n">
        <v>9</v>
      </c>
      <c r="O85" s="43" t="n">
        <v>9</v>
      </c>
      <c r="P85" s="43" t="n">
        <v>28</v>
      </c>
      <c r="Q85" s="43" t="n">
        <v>100</v>
      </c>
      <c r="R85" s="43" t="n">
        <v>2.02</v>
      </c>
      <c r="S85" s="43" t="n">
        <v>5</v>
      </c>
      <c r="T85" s="43" t="n">
        <v>15</v>
      </c>
      <c r="U85" s="43" t="n">
        <v>15</v>
      </c>
      <c r="V85" s="43" t="n">
        <v>230</v>
      </c>
      <c r="W85" s="43" t="n">
        <v>230</v>
      </c>
      <c r="X85" s="51">
        <f>IFERROR(U85/W85,"")</f>
        <v/>
      </c>
      <c r="Y85" s="51" t="n"/>
      <c r="Z85" s="51" t="n"/>
      <c r="AA85" s="51">
        <f>IFERROR(IF(L85="từng phát",J85*N85,J85*P85/(P85/N85+R85)),"")</f>
        <v/>
      </c>
      <c r="AB85" s="51">
        <f>IFERROR(IF(M85="từng phát",K85*O85,K85*Q85/(Q85/O85+S85)),"")</f>
        <v/>
      </c>
      <c r="AC85" s="51">
        <f>IFERROR(AB85*VLOOKUP(E85,'Hệ số'!$A$2:$D$8,2,0)*IF((I85-0)&gt;=2,1.2,IF((I85-0)=1,1,IF((I85-0)=0,0.85,IF((I85-0)=-1,0.5,IF((I85-0)=-2,0.25,0.1))))),"")</f>
        <v/>
      </c>
      <c r="AD85" s="51">
        <f>IFERROR(AB85*VLOOKUP(E85,'Hệ số'!$A$2:$D$8,2,0)*IF((I85-1)&gt;=2,1.2,IF((I85-1)=1,1,IF((I85-1)=0,0.85,IF((I85-1)=-1,0.5,IF((I85-1)=-2,0.25,0.1))))),"")</f>
        <v/>
      </c>
      <c r="AE85" s="51">
        <f>IFERROR(AB85*VLOOKUP(E85,'Hệ số'!$A$2:$D$8,2,0)*IF((I85-2)&gt;=2,1.2,IF((I85-2)=1,1,IF((I85-2)=0,0.85,IF((I85-2)=-1,0.5,IF((I85-2)=-2,0.25,0.1))))),"")</f>
        <v/>
      </c>
      <c r="AF85" s="51">
        <f>IFERROR(AB85*VLOOKUP(E85,'Hệ số'!$A$2:$D$8,2,0)*IF((I85-3)&gt;=2,1.2,IF((I85-3)=1,1,IF((I85-3)=0,0.85,IF((I85-3)=-1,0.5,IF((I85-3)=-2,0.25,0.1))))),"")</f>
        <v/>
      </c>
      <c r="AG85" s="51">
        <f>IFERROR(AB85*VLOOKUP(E85,'Hệ số'!$A$2:$D$8,2,0)*IF((I85-4)&gt;=2,1.2,IF((I85-4)=1,1,IF((I85-4)=0,0.85,IF((I85-4)=-1,0.5,IF((I85-4)=-2,0.25,0.1))))),"")</f>
        <v/>
      </c>
      <c r="AH85" s="51">
        <f>IFERROR(AB85*VLOOKUP(E85,'Hệ số'!$A$2:$D$8,2,0)*IF((I85-5)&gt;=2,1.2,IF((I85-5)=1,1,IF((I85-5)=0,0.85,IF((I85-5)=-1,0.5,IF((I85-5)=-2,0.25,0.1))))),"")</f>
        <v/>
      </c>
      <c r="AI85" s="51">
        <f>IFERROR(AB85*VLOOKUP(E85,'Hệ số'!$A$2:$D$8,3,0),"")</f>
        <v/>
      </c>
      <c r="AJ85" s="51">
        <f>IFERROR(AB85*VLOOKUP(E85,'Hệ số'!$A$2:$D$8,4,0)*IF((I85-2)&gt;=2,1.2,IF((I85-2)=1,1,IF((I85-2)=0,0.85,IF((I85-2)=-1,0.5,IF((I85-2)=-2,0.25,0.1))))),"")</f>
        <v/>
      </c>
      <c r="AK85" s="41" t="inlineStr">
        <is>
          <t>Bắn cả khi chạy; mạnh với xe không giáp, drone, trực thăng; nảy khỏi giáp từ cấp 2.</t>
        </is>
      </c>
      <c r="AL85" s="41" t="inlineStr">
        <is>
          <t>Đạn xuyên API (xuyên 2) cho bản tinh nhuệ.</t>
        </is>
      </c>
      <c r="AM85" s="41" t="n"/>
      <c r="AN85" s="41" t="inlineStr">
        <is>
          <t>Như M2.</t>
        </is>
      </c>
      <c r="AO85" s="48" t="inlineStr">
        <is>
          <t>Trung</t>
        </is>
      </c>
    </row>
    <row r="86" ht="21.75" customHeight="1" s="32">
      <c r="A86" s="39" t="inlineStr">
        <is>
          <t>hmg_selfdef_18</t>
        </is>
      </c>
      <c r="B86" s="39" t="inlineStr">
        <is>
          <t>M2 Browning 12.7 mm</t>
        </is>
      </c>
      <c r="C86" s="39" t="inlineStr">
        <is>
          <t>Súng máy 12,7 mm</t>
        </is>
      </c>
      <c r="D86" s="39" t="inlineStr">
        <is>
          <t>Drone FPV, Drone FPV TN,</t>
        </is>
      </c>
      <c r="E86" s="39" t="inlineStr">
        <is>
          <t>Động năng</t>
        </is>
      </c>
      <c r="F86" s="39" t="inlineStr">
        <is>
          <t>BulletBig</t>
        </is>
      </c>
      <c r="G86" s="42" t="n">
        <v>12.7</v>
      </c>
      <c r="H86" s="42" t="n">
        <v>1</v>
      </c>
      <c r="I86" s="42" t="n">
        <v>1</v>
      </c>
      <c r="J86" s="42" t="n">
        <v>9.5</v>
      </c>
      <c r="K86" s="42" t="n">
        <v>9.5</v>
      </c>
      <c r="L86" s="39" t="inlineStr">
        <is>
          <t>băng</t>
        </is>
      </c>
      <c r="M86" s="39" t="inlineStr">
        <is>
          <t>băng</t>
        </is>
      </c>
      <c r="N86" s="42" t="n">
        <v>9</v>
      </c>
      <c r="O86" s="42" t="n">
        <v>9</v>
      </c>
      <c r="P86" s="42" t="n">
        <v>28</v>
      </c>
      <c r="Q86" s="42" t="n">
        <v>100</v>
      </c>
      <c r="R86" s="42" t="n">
        <v>2.02</v>
      </c>
      <c r="S86" s="42" t="n">
        <v>5</v>
      </c>
      <c r="T86" s="42" t="n">
        <v>18</v>
      </c>
      <c r="U86" s="42" t="n">
        <v>18</v>
      </c>
      <c r="V86" s="42" t="n">
        <v>230</v>
      </c>
      <c r="W86" s="42" t="n">
        <v>230</v>
      </c>
      <c r="X86" s="50">
        <f>IFERROR(U86/W86,"")</f>
        <v/>
      </c>
      <c r="Y86" s="50" t="n"/>
      <c r="Z86" s="50" t="n"/>
      <c r="AA86" s="50">
        <f>IFERROR(IF(L86="từng phát",J86*N86,J86*P86/(P86/N86+R86)),"")</f>
        <v/>
      </c>
      <c r="AB86" s="50">
        <f>IFERROR(IF(M86="từng phát",K86*O86,K86*Q86/(Q86/O86+S86)),"")</f>
        <v/>
      </c>
      <c r="AC86" s="50">
        <f>IFERROR(AB86*VLOOKUP(E86,'Hệ số'!$A$2:$D$8,2,0)*IF((I86-0)&gt;=2,1.2,IF((I86-0)=1,1,IF((I86-0)=0,0.85,IF((I86-0)=-1,0.5,IF((I86-0)=-2,0.25,0.1))))),"")</f>
        <v/>
      </c>
      <c r="AD86" s="50">
        <f>IFERROR(AB86*VLOOKUP(E86,'Hệ số'!$A$2:$D$8,2,0)*IF((I86-1)&gt;=2,1.2,IF((I86-1)=1,1,IF((I86-1)=0,0.85,IF((I86-1)=-1,0.5,IF((I86-1)=-2,0.25,0.1))))),"")</f>
        <v/>
      </c>
      <c r="AE86" s="50">
        <f>IFERROR(AB86*VLOOKUP(E86,'Hệ số'!$A$2:$D$8,2,0)*IF((I86-2)&gt;=2,1.2,IF((I86-2)=1,1,IF((I86-2)=0,0.85,IF((I86-2)=-1,0.5,IF((I86-2)=-2,0.25,0.1))))),"")</f>
        <v/>
      </c>
      <c r="AF86" s="50">
        <f>IFERROR(AB86*VLOOKUP(E86,'Hệ số'!$A$2:$D$8,2,0)*IF((I86-3)&gt;=2,1.2,IF((I86-3)=1,1,IF((I86-3)=0,0.85,IF((I86-3)=-1,0.5,IF((I86-3)=-2,0.25,0.1))))),"")</f>
        <v/>
      </c>
      <c r="AG86" s="50">
        <f>IFERROR(AB86*VLOOKUP(E86,'Hệ số'!$A$2:$D$8,2,0)*IF((I86-4)&gt;=2,1.2,IF((I86-4)=1,1,IF((I86-4)=0,0.85,IF((I86-4)=-1,0.5,IF((I86-4)=-2,0.25,0.1))))),"")</f>
        <v/>
      </c>
      <c r="AH86" s="50">
        <f>IFERROR(AB86*VLOOKUP(E86,'Hệ số'!$A$2:$D$8,2,0)*IF((I86-5)&gt;=2,1.2,IF((I86-5)=1,1,IF((I86-5)=0,0.85,IF((I86-5)=-1,0.5,IF((I86-5)=-2,0.25,0.1))))),"")</f>
        <v/>
      </c>
      <c r="AI86" s="50">
        <f>IFERROR(AB86*VLOOKUP(E86,'Hệ số'!$A$2:$D$8,3,0),"")</f>
        <v/>
      </c>
      <c r="AJ86" s="50">
        <f>IFERROR(AB86*VLOOKUP(E86,'Hệ số'!$A$2:$D$8,4,0)*IF((I86-2)&gt;=2,1.2,IF((I86-2)=1,1,IF((I86-2)=0,0.85,IF((I86-2)=-1,0.5,IF((I86-2)=-2,0.25,0.1))))),"")</f>
        <v/>
      </c>
      <c r="AK86" s="39" t="inlineStr">
        <is>
          <t>Bắn cả khi chạy; mạnh với xe không giáp, drone, trực thăng; nảy khỏi giáp từ cấp 2.</t>
        </is>
      </c>
      <c r="AL86" s="39" t="inlineStr">
        <is>
          <t>Đạn xuyên API (xuyên 2) cho bản tinh nhuệ.</t>
        </is>
      </c>
      <c r="AM86" s="39" t="n"/>
      <c r="AN86" s="39" t="inlineStr">
        <is>
          <t>Như M2.</t>
        </is>
      </c>
      <c r="AO86" s="48" t="inlineStr">
        <is>
          <t>Trung</t>
        </is>
      </c>
    </row>
    <row r="87" ht="21.75" customHeight="1" s="32">
      <c r="A87" s="41" t="inlineStr">
        <is>
          <t>hmg_selfdef_21</t>
        </is>
      </c>
      <c r="B87" s="41" t="inlineStr">
        <is>
          <t>M2 Browning 12.7 mm</t>
        </is>
      </c>
      <c r="C87" s="41" t="inlineStr">
        <is>
          <t>Súng máy 12,7 mm</t>
        </is>
      </c>
      <c r="D87" s="41" t="inlineStr">
        <is>
          <t>Công thành</t>
        </is>
      </c>
      <c r="E87" s="41" t="inlineStr">
        <is>
          <t>Động năng</t>
        </is>
      </c>
      <c r="F87" s="41" t="inlineStr">
        <is>
          <t>BulletBig</t>
        </is>
      </c>
      <c r="G87" s="43" t="n">
        <v>12.7</v>
      </c>
      <c r="H87" s="43" t="n">
        <v>1</v>
      </c>
      <c r="I87" s="43" t="n">
        <v>1</v>
      </c>
      <c r="J87" s="43" t="n">
        <v>9.5</v>
      </c>
      <c r="K87" s="43" t="n">
        <v>9.5</v>
      </c>
      <c r="L87" s="41" t="inlineStr">
        <is>
          <t>băng</t>
        </is>
      </c>
      <c r="M87" s="41" t="inlineStr">
        <is>
          <t>băng</t>
        </is>
      </c>
      <c r="N87" s="43" t="n">
        <v>9</v>
      </c>
      <c r="O87" s="43" t="n">
        <v>9</v>
      </c>
      <c r="P87" s="43" t="n">
        <v>28</v>
      </c>
      <c r="Q87" s="43" t="n">
        <v>100</v>
      </c>
      <c r="R87" s="43" t="n">
        <v>2.02</v>
      </c>
      <c r="S87" s="43" t="n">
        <v>5</v>
      </c>
      <c r="T87" s="43" t="n">
        <v>21</v>
      </c>
      <c r="U87" s="43" t="n">
        <v>21</v>
      </c>
      <c r="V87" s="43" t="n">
        <v>230</v>
      </c>
      <c r="W87" s="43" t="n">
        <v>230</v>
      </c>
      <c r="X87" s="51">
        <f>IFERROR(U87/W87,"")</f>
        <v/>
      </c>
      <c r="Y87" s="51" t="n"/>
      <c r="Z87" s="51" t="n"/>
      <c r="AA87" s="51">
        <f>IFERROR(IF(L87="từng phát",J87*N87,J87*P87/(P87/N87+R87)),"")</f>
        <v/>
      </c>
      <c r="AB87" s="51">
        <f>IFERROR(IF(M87="từng phát",K87*O87,K87*Q87/(Q87/O87+S87)),"")</f>
        <v/>
      </c>
      <c r="AC87" s="51">
        <f>IFERROR(AB87*VLOOKUP(E87,'Hệ số'!$A$2:$D$8,2,0)*IF((I87-0)&gt;=2,1.2,IF((I87-0)=1,1,IF((I87-0)=0,0.85,IF((I87-0)=-1,0.5,IF((I87-0)=-2,0.25,0.1))))),"")</f>
        <v/>
      </c>
      <c r="AD87" s="51">
        <f>IFERROR(AB87*VLOOKUP(E87,'Hệ số'!$A$2:$D$8,2,0)*IF((I87-1)&gt;=2,1.2,IF((I87-1)=1,1,IF((I87-1)=0,0.85,IF((I87-1)=-1,0.5,IF((I87-1)=-2,0.25,0.1))))),"")</f>
        <v/>
      </c>
      <c r="AE87" s="51">
        <f>IFERROR(AB87*VLOOKUP(E87,'Hệ số'!$A$2:$D$8,2,0)*IF((I87-2)&gt;=2,1.2,IF((I87-2)=1,1,IF((I87-2)=0,0.85,IF((I87-2)=-1,0.5,IF((I87-2)=-2,0.25,0.1))))),"")</f>
        <v/>
      </c>
      <c r="AF87" s="51">
        <f>IFERROR(AB87*VLOOKUP(E87,'Hệ số'!$A$2:$D$8,2,0)*IF((I87-3)&gt;=2,1.2,IF((I87-3)=1,1,IF((I87-3)=0,0.85,IF((I87-3)=-1,0.5,IF((I87-3)=-2,0.25,0.1))))),"")</f>
        <v/>
      </c>
      <c r="AG87" s="51">
        <f>IFERROR(AB87*VLOOKUP(E87,'Hệ số'!$A$2:$D$8,2,0)*IF((I87-4)&gt;=2,1.2,IF((I87-4)=1,1,IF((I87-4)=0,0.85,IF((I87-4)=-1,0.5,IF((I87-4)=-2,0.25,0.1))))),"")</f>
        <v/>
      </c>
      <c r="AH87" s="51">
        <f>IFERROR(AB87*VLOOKUP(E87,'Hệ số'!$A$2:$D$8,2,0)*IF((I87-5)&gt;=2,1.2,IF((I87-5)=1,1,IF((I87-5)=0,0.85,IF((I87-5)=-1,0.5,IF((I87-5)=-2,0.25,0.1))))),"")</f>
        <v/>
      </c>
      <c r="AI87" s="51">
        <f>IFERROR(AB87*VLOOKUP(E87,'Hệ số'!$A$2:$D$8,3,0),"")</f>
        <v/>
      </c>
      <c r="AJ87" s="51">
        <f>IFERROR(AB87*VLOOKUP(E87,'Hệ số'!$A$2:$D$8,4,0)*IF((I87-2)&gt;=2,1.2,IF((I87-2)=1,1,IF((I87-2)=0,0.85,IF((I87-2)=-1,0.5,IF((I87-2)=-2,0.25,0.1))))),"")</f>
        <v/>
      </c>
      <c r="AK87" s="41" t="inlineStr">
        <is>
          <t>Bắn cả khi chạy; mạnh với xe không giáp, drone, trực thăng; nảy khỏi giáp từ cấp 2.</t>
        </is>
      </c>
      <c r="AL87" s="41" t="inlineStr">
        <is>
          <t>Đạn xuyên API (xuyên 2) cho bản tinh nhuệ.</t>
        </is>
      </c>
      <c r="AM87" s="41" t="n"/>
      <c r="AN87" s="41" t="inlineStr">
        <is>
          <t>Như M2.</t>
        </is>
      </c>
      <c r="AO87" s="48" t="inlineStr">
        <is>
          <t>Trung</t>
        </is>
      </c>
    </row>
    <row r="88" ht="32.25" customHeight="1" s="32">
      <c r="A88" s="39" t="inlineStr">
        <is>
          <t>hover_ciws</t>
        </is>
      </c>
      <c r="B88" s="39" t="inlineStr">
        <is>
          <t>AK-630 30 mm</t>
        </is>
      </c>
      <c r="C88" s="39" t="inlineStr">
        <is>
          <t>Pháo tự động / cao xạ 20–40 mm</t>
        </is>
      </c>
      <c r="D88" s="39" t="inlineStr">
        <is>
          <t>Caspian, Charybdis,</t>
        </is>
      </c>
      <c r="E88" s="39" t="inlineStr">
        <is>
          <t>Động năng</t>
        </is>
      </c>
      <c r="F88" s="39" t="inlineStr">
        <is>
          <t>BeltedAutocannon</t>
        </is>
      </c>
      <c r="G88" s="42" t="n">
        <v>30</v>
      </c>
      <c r="H88" s="42" t="n">
        <v>2</v>
      </c>
      <c r="I88" s="42" t="n">
        <v>2</v>
      </c>
      <c r="J88" s="42" t="n">
        <v>22</v>
      </c>
      <c r="K88" s="42" t="n">
        <v>12</v>
      </c>
      <c r="L88" s="39" t="inlineStr">
        <is>
          <t>băng</t>
        </is>
      </c>
      <c r="M88" s="39" t="inlineStr">
        <is>
          <t>băng</t>
        </is>
      </c>
      <c r="N88" s="42" t="n">
        <v>60</v>
      </c>
      <c r="O88" s="42" t="n">
        <v>60</v>
      </c>
      <c r="P88" s="42" t="n">
        <v>15</v>
      </c>
      <c r="Q88" s="42" t="n">
        <v>60</v>
      </c>
      <c r="R88" s="42" t="n">
        <v>14.71</v>
      </c>
      <c r="S88" s="42" t="n">
        <v>5</v>
      </c>
      <c r="T88" s="42" t="n">
        <v>34</v>
      </c>
      <c r="U88" s="42" t="n">
        <v>34</v>
      </c>
      <c r="V88" s="42" t="n">
        <v>300</v>
      </c>
      <c r="W88" s="42" t="n">
        <v>300</v>
      </c>
      <c r="X88" s="50">
        <f>IFERROR(U88/W88,"")</f>
        <v/>
      </c>
      <c r="Y88" s="50" t="n"/>
      <c r="Z88" s="50" t="n"/>
      <c r="AA88" s="50">
        <f>IFERROR(IF(L88="từng phát",J88*N88,J88*P88/(P88/N88+R88)),"")</f>
        <v/>
      </c>
      <c r="AB88" s="50">
        <f>IFERROR(IF(M88="từng phát",K88*O88,K88*Q88/(Q88/O88+S88)),"")</f>
        <v/>
      </c>
      <c r="AC88" s="50">
        <f>IFERROR(AB88*VLOOKUP(E88,'Hệ số'!$A$2:$D$8,2,0)*IF((I88-0)&gt;=2,1.2,IF((I88-0)=1,1,IF((I88-0)=0,0.85,IF((I88-0)=-1,0.5,IF((I88-0)=-2,0.25,0.1))))),"")</f>
        <v/>
      </c>
      <c r="AD88" s="50">
        <f>IFERROR(AB88*VLOOKUP(E88,'Hệ số'!$A$2:$D$8,2,0)*IF((I88-1)&gt;=2,1.2,IF((I88-1)=1,1,IF((I88-1)=0,0.85,IF((I88-1)=-1,0.5,IF((I88-1)=-2,0.25,0.1))))),"")</f>
        <v/>
      </c>
      <c r="AE88" s="50">
        <f>IFERROR(AB88*VLOOKUP(E88,'Hệ số'!$A$2:$D$8,2,0)*IF((I88-2)&gt;=2,1.2,IF((I88-2)=1,1,IF((I88-2)=0,0.85,IF((I88-2)=-1,0.5,IF((I88-2)=-2,0.25,0.1))))),"")</f>
        <v/>
      </c>
      <c r="AF88" s="50">
        <f>IFERROR(AB88*VLOOKUP(E88,'Hệ số'!$A$2:$D$8,2,0)*IF((I88-3)&gt;=2,1.2,IF((I88-3)=1,1,IF((I88-3)=0,0.85,IF((I88-3)=-1,0.5,IF((I88-3)=-2,0.25,0.1))))),"")</f>
        <v/>
      </c>
      <c r="AG88" s="50">
        <f>IFERROR(AB88*VLOOKUP(E88,'Hệ số'!$A$2:$D$8,2,0)*IF((I88-4)&gt;=2,1.2,IF((I88-4)=1,1,IF((I88-4)=0,0.85,IF((I88-4)=-1,0.5,IF((I88-4)=-2,0.25,0.1))))),"")</f>
        <v/>
      </c>
      <c r="AH88" s="50">
        <f>IFERROR(AB88*VLOOKUP(E88,'Hệ số'!$A$2:$D$8,2,0)*IF((I88-5)&gt;=2,1.2,IF((I88-5)=1,1,IF((I88-5)=0,0.85,IF((I88-5)=-1,0.5,IF((I88-5)=-2,0.25,0.1))))),"")</f>
        <v/>
      </c>
      <c r="AI88" s="50">
        <f>IFERROR(AB88*VLOOKUP(E88,'Hệ số'!$A$2:$D$8,3,0),"")</f>
        <v/>
      </c>
      <c r="AJ88" s="50">
        <f>IFERROR(AB88*VLOOKUP(E88,'Hệ số'!$A$2:$D$8,4,0)*IF((I88-2)&gt;=2,1.2,IF((I88-2)=1,1,IF((I88-2)=0,0.85,IF((I88-2)=-1,0.5,IF((I88-2)=-2,0.25,0.1))))),"")</f>
        <v/>
      </c>
      <c r="AK88" s="39" t="inlineStr">
        <is>
          <t>Bắn loạt; đạn nổ trên không (Mảnh) mạnh với máy bay và drone, yếu với giáp; đạn xuyên (Động năng) mạnh với giáp 0–2.</t>
        </is>
      </c>
      <c r="AL88" s="39" t="inlineStr">
        <is>
          <t>Tự đổi: đạn xuyên (Động năng) với xe, đạn nổ trên không (Mảnh) với máy bay/drone.</t>
        </is>
      </c>
      <c r="AM88" s="39" t="inlineStr">
        <is>
          <t>AK-630: 4.000–5.000 phát/phút</t>
        </is>
      </c>
      <c r="AN88" s="39" t="inlineStr">
        <is>
          <t>Như AK-630.</t>
        </is>
      </c>
      <c r="AO88" s="48" t="inlineStr">
        <is>
          <t>Trung</t>
        </is>
      </c>
    </row>
    <row r="89" ht="21.75" customHeight="1" s="32">
      <c r="A89" s="41" t="inlineStr">
        <is>
          <t>hover_rockets</t>
        </is>
      </c>
      <c r="B89" s="41" t="inlineStr">
        <is>
          <t>A-22 Ogon 140 mm</t>
        </is>
      </c>
      <c r="C89" s="41" t="inlineStr">
        <is>
          <t>Rốc-két</t>
        </is>
      </c>
      <c r="D89" s="41" t="inlineStr">
        <is>
          <t>Charybdis</t>
        </is>
      </c>
      <c r="E89" s="41" t="inlineStr">
        <is>
          <t>Nổ mạnh</t>
        </is>
      </c>
      <c r="F89" s="41" t="inlineStr">
        <is>
          <t>RocketSmall</t>
        </is>
      </c>
      <c r="G89" s="43" t="n">
        <v>140</v>
      </c>
      <c r="H89" s="43" t="n">
        <v>2</v>
      </c>
      <c r="I89" s="43" t="n">
        <v>2</v>
      </c>
      <c r="J89" s="43" t="n">
        <v>65</v>
      </c>
      <c r="K89" s="43" t="n">
        <v>65</v>
      </c>
      <c r="L89" s="41" t="inlineStr">
        <is>
          <t>loạt</t>
        </is>
      </c>
      <c r="M89" s="41" t="inlineStr">
        <is>
          <t>loạt</t>
        </is>
      </c>
      <c r="N89" s="43" t="n">
        <v>10</v>
      </c>
      <c r="O89" s="43" t="n">
        <v>10</v>
      </c>
      <c r="P89" s="43" t="n">
        <v>11</v>
      </c>
      <c r="Q89" s="43" t="n">
        <v>11</v>
      </c>
      <c r="R89" s="43" t="n">
        <v>22</v>
      </c>
      <c r="S89" s="43" t="n">
        <v>22</v>
      </c>
      <c r="T89" s="43" t="n">
        <v>55</v>
      </c>
      <c r="U89" s="43" t="n">
        <v>55</v>
      </c>
      <c r="V89" s="43" t="n">
        <v>50</v>
      </c>
      <c r="W89" s="43" t="n">
        <v>50</v>
      </c>
      <c r="X89" s="51">
        <f>IFERROR(U89/W89,"")</f>
        <v/>
      </c>
      <c r="Y89" s="53" t="n">
        <v>4</v>
      </c>
      <c r="Z89" s="53" t="n">
        <v>4</v>
      </c>
      <c r="AA89" s="51">
        <f>IFERROR(IF(L89="từng phát",J89*N89,J89*P89/(P89/N89+R89)),"")</f>
        <v/>
      </c>
      <c r="AB89" s="51">
        <f>IFERROR(IF(M89="từng phát",K89*O89,K89*Q89/(Q89/O89+S89)),"")</f>
        <v/>
      </c>
      <c r="AC89" s="51">
        <f>IFERROR(AB89*VLOOKUP(E89,'Hệ số'!$A$2:$D$8,2,0)*IF((I89-0)&gt;=2,1.2,IF((I89-0)=1,1,IF((I89-0)=0,0.85,IF((I89-0)=-1,0.5,IF((I89-0)=-2,0.25,0.1))))),"")</f>
        <v/>
      </c>
      <c r="AD89" s="51">
        <f>IFERROR(AB89*VLOOKUP(E89,'Hệ số'!$A$2:$D$8,2,0)*IF((I89-1)&gt;=2,1.2,IF((I89-1)=1,1,IF((I89-1)=0,0.85,IF((I89-1)=-1,0.5,IF((I89-1)=-2,0.25,0.1))))),"")</f>
        <v/>
      </c>
      <c r="AE89" s="51">
        <f>IFERROR(AB89*VLOOKUP(E89,'Hệ số'!$A$2:$D$8,2,0)*IF((I89-2)&gt;=2,1.2,IF((I89-2)=1,1,IF((I89-2)=0,0.85,IF((I89-2)=-1,0.5,IF((I89-2)=-2,0.25,0.1))))),"")</f>
        <v/>
      </c>
      <c r="AF89" s="51">
        <f>IFERROR(AB89*VLOOKUP(E89,'Hệ số'!$A$2:$D$8,2,0)*IF((I89-3)&gt;=2,1.2,IF((I89-3)=1,1,IF((I89-3)=0,0.85,IF((I89-3)=-1,0.5,IF((I89-3)=-2,0.25,0.1))))),"")</f>
        <v/>
      </c>
      <c r="AG89" s="51">
        <f>IFERROR(AB89*VLOOKUP(E89,'Hệ số'!$A$2:$D$8,2,0)*IF((I89-4)&gt;=2,1.2,IF((I89-4)=1,1,IF((I89-4)=0,0.85,IF((I89-4)=-1,0.5,IF((I89-4)=-2,0.25,0.1))))),"")</f>
        <v/>
      </c>
      <c r="AH89" s="51">
        <f>IFERROR(AB89*VLOOKUP(E89,'Hệ số'!$A$2:$D$8,2,0)*IF((I89-5)&gt;=2,1.2,IF((I89-5)=1,1,IF((I89-5)=0,0.85,IF((I89-5)=-1,0.5,IF((I89-5)=-2,0.25,0.1))))),"")</f>
        <v/>
      </c>
      <c r="AI89" s="51">
        <f>IFERROR(AB89*VLOOKUP(E89,'Hệ số'!$A$2:$D$8,3,0),"")</f>
        <v/>
      </c>
      <c r="AJ89" s="51">
        <f>IFERROR(AB89*VLOOKUP(E89,'Hệ số'!$A$2:$D$8,4,0)*IF((I89-2)&gt;=2,1.2,IF((I89-2)=1,1,IF((I89-2)=0,0.85,IF((I89-2)=-1,0.5,IF((I89-2)=-2,0.25,0.1))))),"")</f>
        <v/>
      </c>
      <c r="AK89" s="41" t="inlineStr">
        <is>
          <t>Bắn loạt phủ vùng, tản mát; C-RAM, Vòm Sắt và La-de PK bắn hạ được từng quả.</t>
        </is>
      </c>
      <c r="AL89" s="41" t="n"/>
      <c r="AM89" s="41" t="inlineStr">
        <is>
          <t>A-22 Ogon 140 mm: 22 quả</t>
        </is>
      </c>
      <c r="AN89" s="41" t="inlineStr">
        <is>
          <t>Giữ.</t>
        </is>
      </c>
      <c r="AO89" s="41" t="n"/>
    </row>
    <row r="90" ht="32.25" customHeight="1" s="32">
      <c r="A90" s="39" t="inlineStr">
        <is>
          <t>howitzer</t>
        </is>
      </c>
      <c r="B90" s="39" t="inlineStr">
        <is>
          <t>M284 155 mm</t>
        </is>
      </c>
      <c r="C90" s="39" t="inlineStr">
        <is>
          <t>Đạn pháo nổ mạnh</t>
        </is>
      </c>
      <c r="D90" s="39" t="inlineStr">
        <is>
          <t>Lựu pháo TN, Pháo tự hành</t>
        </is>
      </c>
      <c r="E90" s="39" t="inlineStr">
        <is>
          <t>Nổ mạnh</t>
        </is>
      </c>
      <c r="F90" s="39" t="inlineStr">
        <is>
          <t>HeShell</t>
        </is>
      </c>
      <c r="G90" s="42" t="n">
        <v>155</v>
      </c>
      <c r="H90" s="42" t="n">
        <v>3</v>
      </c>
      <c r="I90" s="42" t="n">
        <v>3</v>
      </c>
      <c r="J90" s="42" t="n">
        <v>320</v>
      </c>
      <c r="K90" s="42" t="n">
        <v>320</v>
      </c>
      <c r="L90" s="39" t="inlineStr">
        <is>
          <t>từng phát</t>
        </is>
      </c>
      <c r="M90" s="39" t="inlineStr">
        <is>
          <t>từng phát</t>
        </is>
      </c>
      <c r="N90" s="42" t="n">
        <v>0.1</v>
      </c>
      <c r="O90" s="42" t="n">
        <v>0.14</v>
      </c>
      <c r="P90" s="42" t="n">
        <v>1</v>
      </c>
      <c r="Q90" s="42" t="n">
        <v>1</v>
      </c>
      <c r="R90" s="42" t="n">
        <v>10</v>
      </c>
      <c r="S90" s="42" t="n">
        <v>10</v>
      </c>
      <c r="T90" s="42" t="n">
        <v>90</v>
      </c>
      <c r="U90" s="42" t="n">
        <v>90</v>
      </c>
      <c r="V90" s="42" t="n">
        <v>45</v>
      </c>
      <c r="W90" s="42" t="n">
        <v>45</v>
      </c>
      <c r="X90" s="50">
        <f>IFERROR(U90/W90,"")</f>
        <v/>
      </c>
      <c r="Y90" s="52" t="n">
        <v>7</v>
      </c>
      <c r="Z90" s="52" t="n">
        <v>7</v>
      </c>
      <c r="AA90" s="50">
        <f>IFERROR(IF(L90="từng phát",J90*N90,J90*P90/(P90/N90+R90)),"")</f>
        <v/>
      </c>
      <c r="AB90" s="50">
        <f>IFERROR(IF(M90="từng phát",K90*O90,K90*Q90/(Q90/O90+S90)),"")</f>
        <v/>
      </c>
      <c r="AC90" s="50">
        <f>IFERROR(AB90*VLOOKUP(E90,'Hệ số'!$A$2:$D$8,2,0)*IF((I90-0)&gt;=2,1.2,IF((I90-0)=1,1,IF((I90-0)=0,0.85,IF((I90-0)=-1,0.5,IF((I90-0)=-2,0.25,0.1))))),"")</f>
        <v/>
      </c>
      <c r="AD90" s="50">
        <f>IFERROR(AB90*VLOOKUP(E90,'Hệ số'!$A$2:$D$8,2,0)*IF((I90-1)&gt;=2,1.2,IF((I90-1)=1,1,IF((I90-1)=0,0.85,IF((I90-1)=-1,0.5,IF((I90-1)=-2,0.25,0.1))))),"")</f>
        <v/>
      </c>
      <c r="AE90" s="50">
        <f>IFERROR(AB90*VLOOKUP(E90,'Hệ số'!$A$2:$D$8,2,0)*IF((I90-2)&gt;=2,1.2,IF((I90-2)=1,1,IF((I90-2)=0,0.85,IF((I90-2)=-1,0.5,IF((I90-2)=-2,0.25,0.1))))),"")</f>
        <v/>
      </c>
      <c r="AF90" s="50">
        <f>IFERROR(AB90*VLOOKUP(E90,'Hệ số'!$A$2:$D$8,2,0)*IF((I90-3)&gt;=2,1.2,IF((I90-3)=1,1,IF((I90-3)=0,0.85,IF((I90-3)=-1,0.5,IF((I90-3)=-2,0.25,0.1))))),"")</f>
        <v/>
      </c>
      <c r="AG90" s="50">
        <f>IFERROR(AB90*VLOOKUP(E90,'Hệ số'!$A$2:$D$8,2,0)*IF((I90-4)&gt;=2,1.2,IF((I90-4)=1,1,IF((I90-4)=0,0.85,IF((I90-4)=-1,0.5,IF((I90-4)=-2,0.25,0.1))))),"")</f>
        <v/>
      </c>
      <c r="AH90" s="50">
        <f>IFERROR(AB90*VLOOKUP(E90,'Hệ số'!$A$2:$D$8,2,0)*IF((I90-5)&gt;=2,1.2,IF((I90-5)=1,1,IF((I90-5)=0,0.85,IF((I90-5)=-1,0.5,IF((I90-5)=-2,0.25,0.1))))),"")</f>
        <v/>
      </c>
      <c r="AI90" s="50">
        <f>IFERROR(AB90*VLOOKUP(E90,'Hệ số'!$A$2:$D$8,3,0),"")</f>
        <v/>
      </c>
      <c r="AJ90" s="50">
        <f>IFERROR(AB90*VLOOKUP(E90,'Hệ số'!$A$2:$D$8,4,0)*IF((I90-2)&gt;=2,1.2,IF((I90-2)=1,1,IF((I90-2)=0,0.85,IF((I90-2)=-1,0.5,IF((I90-2)=-2,0.25,0.1))))),"")</f>
        <v/>
      </c>
      <c r="AK90" s="39" t="inlineStr">
        <is>
          <t>Bắn cầu vồng hoặc bắn thẳng tùy pháo; nổ lan; C-RAM chặn được một phần; mạnh với công trình (×1,5).</t>
        </is>
      </c>
      <c r="AL90" s="39" t="inlineStr">
        <is>
          <t>Thêm đạn dẫn đường (Excalibur/Krasnopol: 1 phát, không tản mát) cho nhánh hạng 7 hoặc thẻ hỗ trợ.</t>
        </is>
      </c>
      <c r="AM90" s="39" t="inlineStr">
        <is>
          <t>M284 155 mm (M109A7): 4 phát/phút tối đa, 1 phát/phút duy trì; tầm 24–30 km</t>
        </is>
      </c>
      <c r="AN90" s="39" t="inlineStr">
        <is>
          <t>Lựu pháo đang yếu hơn pháo phản lực cùng giá; M109A7 bắn 4 phát/phút.</t>
        </is>
      </c>
      <c r="AO90" s="47" t="inlineStr">
        <is>
          <t>Cao</t>
        </is>
      </c>
    </row>
    <row r="91" ht="32.25" customHeight="1" s="32">
      <c r="A91" s="41" t="inlineStr">
        <is>
          <t>howitzer_cb</t>
        </is>
      </c>
      <c r="B91" s="41" t="inlineStr">
        <is>
          <t>M284 155 mm</t>
        </is>
      </c>
      <c r="C91" s="41" t="inlineStr">
        <is>
          <t>Đạn pháo nổ mạnh</t>
        </is>
      </c>
      <c r="D91" s="41" t="inlineStr">
        <is>
          <t>Phản pháo</t>
        </is>
      </c>
      <c r="E91" s="41" t="inlineStr">
        <is>
          <t>Nổ mạnh</t>
        </is>
      </c>
      <c r="F91" s="41" t="inlineStr">
        <is>
          <t>HeShell</t>
        </is>
      </c>
      <c r="G91" s="43" t="n">
        <v>155</v>
      </c>
      <c r="H91" s="43" t="n">
        <v>3</v>
      </c>
      <c r="I91" s="43" t="n">
        <v>3</v>
      </c>
      <c r="J91" s="43" t="n">
        <v>320</v>
      </c>
      <c r="K91" s="43" t="n">
        <v>320</v>
      </c>
      <c r="L91" s="41" t="inlineStr">
        <is>
          <t>từng phát</t>
        </is>
      </c>
      <c r="M91" s="41" t="inlineStr">
        <is>
          <t>từng phát</t>
        </is>
      </c>
      <c r="N91" s="43" t="n">
        <v>0.26</v>
      </c>
      <c r="O91" s="43" t="n">
        <v>0.26</v>
      </c>
      <c r="P91" s="43" t="n">
        <v>1</v>
      </c>
      <c r="Q91" s="43" t="n">
        <v>1</v>
      </c>
      <c r="R91" s="43" t="n">
        <v>3.84615384615385</v>
      </c>
      <c r="S91" s="43" t="n">
        <v>3.84615384615385</v>
      </c>
      <c r="T91" s="43" t="n">
        <v>90</v>
      </c>
      <c r="U91" s="43" t="n">
        <v>90</v>
      </c>
      <c r="V91" s="43" t="n">
        <v>45</v>
      </c>
      <c r="W91" s="43" t="n">
        <v>45</v>
      </c>
      <c r="X91" s="51">
        <f>IFERROR(U91/W91,"")</f>
        <v/>
      </c>
      <c r="Y91" s="53" t="n">
        <v>7</v>
      </c>
      <c r="Z91" s="53" t="n">
        <v>7</v>
      </c>
      <c r="AA91" s="51">
        <f>IFERROR(IF(L91="từng phát",J91*N91,J91*P91/(P91/N91+R91)),"")</f>
        <v/>
      </c>
      <c r="AB91" s="51">
        <f>IFERROR(IF(M91="từng phát",K91*O91,K91*Q91/(Q91/O91+S91)),"")</f>
        <v/>
      </c>
      <c r="AC91" s="51">
        <f>IFERROR(AB91*VLOOKUP(E91,'Hệ số'!$A$2:$D$8,2,0)*IF((I91-0)&gt;=2,1.2,IF((I91-0)=1,1,IF((I91-0)=0,0.85,IF((I91-0)=-1,0.5,IF((I91-0)=-2,0.25,0.1))))),"")</f>
        <v/>
      </c>
      <c r="AD91" s="51">
        <f>IFERROR(AB91*VLOOKUP(E91,'Hệ số'!$A$2:$D$8,2,0)*IF((I91-1)&gt;=2,1.2,IF((I91-1)=1,1,IF((I91-1)=0,0.85,IF((I91-1)=-1,0.5,IF((I91-1)=-2,0.25,0.1))))),"")</f>
        <v/>
      </c>
      <c r="AE91" s="51">
        <f>IFERROR(AB91*VLOOKUP(E91,'Hệ số'!$A$2:$D$8,2,0)*IF((I91-2)&gt;=2,1.2,IF((I91-2)=1,1,IF((I91-2)=0,0.85,IF((I91-2)=-1,0.5,IF((I91-2)=-2,0.25,0.1))))),"")</f>
        <v/>
      </c>
      <c r="AF91" s="51">
        <f>IFERROR(AB91*VLOOKUP(E91,'Hệ số'!$A$2:$D$8,2,0)*IF((I91-3)&gt;=2,1.2,IF((I91-3)=1,1,IF((I91-3)=0,0.85,IF((I91-3)=-1,0.5,IF((I91-3)=-2,0.25,0.1))))),"")</f>
        <v/>
      </c>
      <c r="AG91" s="51">
        <f>IFERROR(AB91*VLOOKUP(E91,'Hệ số'!$A$2:$D$8,2,0)*IF((I91-4)&gt;=2,1.2,IF((I91-4)=1,1,IF((I91-4)=0,0.85,IF((I91-4)=-1,0.5,IF((I91-4)=-2,0.25,0.1))))),"")</f>
        <v/>
      </c>
      <c r="AH91" s="51">
        <f>IFERROR(AB91*VLOOKUP(E91,'Hệ số'!$A$2:$D$8,2,0)*IF((I91-5)&gt;=2,1.2,IF((I91-5)=1,1,IF((I91-5)=0,0.85,IF((I91-5)=-1,0.5,IF((I91-5)=-2,0.25,0.1))))),"")</f>
        <v/>
      </c>
      <c r="AI91" s="51">
        <f>IFERROR(AB91*VLOOKUP(E91,'Hệ số'!$A$2:$D$8,3,0),"")</f>
        <v/>
      </c>
      <c r="AJ91" s="51">
        <f>IFERROR(AB91*VLOOKUP(E91,'Hệ số'!$A$2:$D$8,4,0)*IF((I91-2)&gt;=2,1.2,IF((I91-2)=1,1,IF((I91-2)=0,0.85,IF((I91-2)=-1,0.5,IF((I91-2)=-2,0.25,0.1))))),"")</f>
        <v/>
      </c>
      <c r="AK91" s="41" t="inlineStr">
        <is>
          <t>Bắn cầu vồng hoặc bắn thẳng tùy pháo; nổ lan; C-RAM chặn được một phần; mạnh với công trình (×1,5).</t>
        </is>
      </c>
      <c r="AL91" s="41" t="inlineStr">
        <is>
          <t>Thêm đạn dẫn đường (Excalibur/Krasnopol: 1 phát, không tản mát) cho nhánh hạng 7 hoặc thẻ hỗ trợ.</t>
        </is>
      </c>
      <c r="AM91" s="41" t="inlineStr">
        <is>
          <t>M284 155 mm</t>
        </is>
      </c>
      <c r="AN91" s="41" t="inlineStr">
        <is>
          <t>Giữ.</t>
        </is>
      </c>
      <c r="AO91" s="41" t="n"/>
    </row>
    <row r="92" ht="32.25" customHeight="1" s="32">
      <c r="A92" s="39" t="inlineStr">
        <is>
          <t>howitzer_fixed</t>
        </is>
      </c>
      <c r="B92" s="39" t="inlineStr">
        <is>
          <t>M284 155 mm</t>
        </is>
      </c>
      <c r="C92" s="39" t="inlineStr">
        <is>
          <t>Đạn pháo nổ mạnh</t>
        </is>
      </c>
      <c r="D92" s="39" t="inlineStr">
        <is>
          <t>Trận địa pháo</t>
        </is>
      </c>
      <c r="E92" s="39" t="inlineStr">
        <is>
          <t>Nổ mạnh</t>
        </is>
      </c>
      <c r="F92" s="39" t="inlineStr">
        <is>
          <t>HeShell</t>
        </is>
      </c>
      <c r="G92" s="42" t="n">
        <v>155</v>
      </c>
      <c r="H92" s="42" t="n">
        <v>3</v>
      </c>
      <c r="I92" s="42" t="n">
        <v>3</v>
      </c>
      <c r="J92" s="42" t="n">
        <v>320</v>
      </c>
      <c r="K92" s="42" t="n">
        <v>320</v>
      </c>
      <c r="L92" s="39" t="inlineStr">
        <is>
          <t>từng phát</t>
        </is>
      </c>
      <c r="M92" s="39" t="inlineStr">
        <is>
          <t>từng phát</t>
        </is>
      </c>
      <c r="N92" s="42" t="n">
        <v>0.26</v>
      </c>
      <c r="O92" s="42" t="n">
        <v>0.26</v>
      </c>
      <c r="P92" s="42" t="n">
        <v>1</v>
      </c>
      <c r="Q92" s="42" t="n">
        <v>1</v>
      </c>
      <c r="R92" s="42" t="n">
        <v>3.84615384615385</v>
      </c>
      <c r="S92" s="42" t="n">
        <v>3.84615384615385</v>
      </c>
      <c r="T92" s="42" t="n">
        <v>90</v>
      </c>
      <c r="U92" s="42" t="n">
        <v>90</v>
      </c>
      <c r="V92" s="42" t="n">
        <v>45</v>
      </c>
      <c r="W92" s="42" t="n">
        <v>45</v>
      </c>
      <c r="X92" s="50">
        <f>IFERROR(U92/W92,"")</f>
        <v/>
      </c>
      <c r="Y92" s="52" t="n">
        <v>7</v>
      </c>
      <c r="Z92" s="52" t="n">
        <v>7</v>
      </c>
      <c r="AA92" s="50">
        <f>IFERROR(IF(L92="từng phát",J92*N92,J92*P92/(P92/N92+R92)),"")</f>
        <v/>
      </c>
      <c r="AB92" s="50">
        <f>IFERROR(IF(M92="từng phát",K92*O92,K92*Q92/(Q92/O92+S92)),"")</f>
        <v/>
      </c>
      <c r="AC92" s="50">
        <f>IFERROR(AB92*VLOOKUP(E92,'Hệ số'!$A$2:$D$8,2,0)*IF((I92-0)&gt;=2,1.2,IF((I92-0)=1,1,IF((I92-0)=0,0.85,IF((I92-0)=-1,0.5,IF((I92-0)=-2,0.25,0.1))))),"")</f>
        <v/>
      </c>
      <c r="AD92" s="50">
        <f>IFERROR(AB92*VLOOKUP(E92,'Hệ số'!$A$2:$D$8,2,0)*IF((I92-1)&gt;=2,1.2,IF((I92-1)=1,1,IF((I92-1)=0,0.85,IF((I92-1)=-1,0.5,IF((I92-1)=-2,0.25,0.1))))),"")</f>
        <v/>
      </c>
      <c r="AE92" s="50">
        <f>IFERROR(AB92*VLOOKUP(E92,'Hệ số'!$A$2:$D$8,2,0)*IF((I92-2)&gt;=2,1.2,IF((I92-2)=1,1,IF((I92-2)=0,0.85,IF((I92-2)=-1,0.5,IF((I92-2)=-2,0.25,0.1))))),"")</f>
        <v/>
      </c>
      <c r="AF92" s="50">
        <f>IFERROR(AB92*VLOOKUP(E92,'Hệ số'!$A$2:$D$8,2,0)*IF((I92-3)&gt;=2,1.2,IF((I92-3)=1,1,IF((I92-3)=0,0.85,IF((I92-3)=-1,0.5,IF((I92-3)=-2,0.25,0.1))))),"")</f>
        <v/>
      </c>
      <c r="AG92" s="50">
        <f>IFERROR(AB92*VLOOKUP(E92,'Hệ số'!$A$2:$D$8,2,0)*IF((I92-4)&gt;=2,1.2,IF((I92-4)=1,1,IF((I92-4)=0,0.85,IF((I92-4)=-1,0.5,IF((I92-4)=-2,0.25,0.1))))),"")</f>
        <v/>
      </c>
      <c r="AH92" s="50">
        <f>IFERROR(AB92*VLOOKUP(E92,'Hệ số'!$A$2:$D$8,2,0)*IF((I92-5)&gt;=2,1.2,IF((I92-5)=1,1,IF((I92-5)=0,0.85,IF((I92-5)=-1,0.5,IF((I92-5)=-2,0.25,0.1))))),"")</f>
        <v/>
      </c>
      <c r="AI92" s="50">
        <f>IFERROR(AB92*VLOOKUP(E92,'Hệ số'!$A$2:$D$8,3,0),"")</f>
        <v/>
      </c>
      <c r="AJ92" s="50">
        <f>IFERROR(AB92*VLOOKUP(E92,'Hệ số'!$A$2:$D$8,4,0)*IF((I92-2)&gt;=2,1.2,IF((I92-2)=1,1,IF((I92-2)=0,0.85,IF((I92-2)=-1,0.5,IF((I92-2)=-2,0.25,0.1))))),"")</f>
        <v/>
      </c>
      <c r="AK92" s="39" t="inlineStr">
        <is>
          <t>Bắn cầu vồng hoặc bắn thẳng tùy pháo; nổ lan; C-RAM chặn được một phần; mạnh với công trình (×1,5).</t>
        </is>
      </c>
      <c r="AL92" s="39" t="inlineStr">
        <is>
          <t>Thêm đạn dẫn đường (Excalibur/Krasnopol: 1 phát, không tản mát) cho nhánh hạng 7 hoặc thẻ hỗ trợ.</t>
        </is>
      </c>
      <c r="AM92" s="39" t="inlineStr">
        <is>
          <t>M284 155 mm</t>
        </is>
      </c>
      <c r="AN92" s="39" t="inlineStr">
        <is>
          <t>Giữ.</t>
        </is>
      </c>
      <c r="AO92" s="39" t="n"/>
    </row>
    <row r="93" ht="32.25" customHeight="1" s="32">
      <c r="A93" s="41" t="inlineStr">
        <is>
          <t>hq_flak</t>
        </is>
      </c>
      <c r="B93" s="41" t="inlineStr">
        <is>
          <t>2A38 30 mm (twin)</t>
        </is>
      </c>
      <c r="C93" s="41" t="inlineStr">
        <is>
          <t>Pháo tự động / cao xạ 20–40 mm</t>
        </is>
      </c>
      <c r="D93" s="41" t="inlineStr">
        <is>
          <t>Sở chỉ huy</t>
        </is>
      </c>
      <c r="E93" s="41" t="inlineStr">
        <is>
          <t>Mảnh</t>
        </is>
      </c>
      <c r="F93" s="41" t="inlineStr">
        <is>
          <t>Airburst</t>
        </is>
      </c>
      <c r="G93" s="43" t="n">
        <v>30</v>
      </c>
      <c r="H93" s="43" t="n">
        <v>2</v>
      </c>
      <c r="I93" s="43" t="n">
        <v>2</v>
      </c>
      <c r="J93" s="43" t="n">
        <v>22</v>
      </c>
      <c r="K93" s="43" t="n">
        <v>7.5</v>
      </c>
      <c r="L93" s="41" t="inlineStr">
        <is>
          <t>băng</t>
        </is>
      </c>
      <c r="M93" s="41" t="inlineStr">
        <is>
          <t>băng</t>
        </is>
      </c>
      <c r="N93" s="43" t="n">
        <v>9</v>
      </c>
      <c r="O93" s="43" t="n">
        <v>35</v>
      </c>
      <c r="P93" s="43" t="n">
        <v>36</v>
      </c>
      <c r="Q93" s="43" t="n">
        <v>120</v>
      </c>
      <c r="R93" s="43" t="n">
        <v>1.21</v>
      </c>
      <c r="S93" s="43" t="n">
        <v>3</v>
      </c>
      <c r="T93" s="43" t="n">
        <v>42</v>
      </c>
      <c r="U93" s="43" t="n">
        <v>42</v>
      </c>
      <c r="V93" s="43" t="n">
        <v>280</v>
      </c>
      <c r="W93" s="43" t="n">
        <v>280</v>
      </c>
      <c r="X93" s="51">
        <f>IFERROR(U93/W93,"")</f>
        <v/>
      </c>
      <c r="Y93" s="53" t="n">
        <v>2.5</v>
      </c>
      <c r="Z93" s="53" t="n">
        <v>2.5</v>
      </c>
      <c r="AA93" s="51">
        <f>IFERROR(IF(L93="từng phát",J93*N93,J93*P93/(P93/N93+R93)),"")</f>
        <v/>
      </c>
      <c r="AB93" s="51">
        <f>IFERROR(IF(M93="từng phát",K93*O93,K93*Q93/(Q93/O93+S93)),"")</f>
        <v/>
      </c>
      <c r="AC93" s="51">
        <f>IFERROR(AB93*VLOOKUP(E93,'Hệ số'!$A$2:$D$8,2,0)*IF((I93-0)&gt;=2,1.2,IF((I93-0)=1,1,IF((I93-0)=0,0.85,IF((I93-0)=-1,0.5,IF((I93-0)=-2,0.25,0.1))))),"")</f>
        <v/>
      </c>
      <c r="AD93" s="51">
        <f>IFERROR(AB93*VLOOKUP(E93,'Hệ số'!$A$2:$D$8,2,0)*IF((I93-1)&gt;=2,1.2,IF((I93-1)=1,1,IF((I93-1)=0,0.85,IF((I93-1)=-1,0.5,IF((I93-1)=-2,0.25,0.1))))),"")</f>
        <v/>
      </c>
      <c r="AE93" s="51">
        <f>IFERROR(AB93*VLOOKUP(E93,'Hệ số'!$A$2:$D$8,2,0)*IF((I93-2)&gt;=2,1.2,IF((I93-2)=1,1,IF((I93-2)=0,0.85,IF((I93-2)=-1,0.5,IF((I93-2)=-2,0.25,0.1))))),"")</f>
        <v/>
      </c>
      <c r="AF93" s="51">
        <f>IFERROR(AB93*VLOOKUP(E93,'Hệ số'!$A$2:$D$8,2,0)*IF((I93-3)&gt;=2,1.2,IF((I93-3)=1,1,IF((I93-3)=0,0.85,IF((I93-3)=-1,0.5,IF((I93-3)=-2,0.25,0.1))))),"")</f>
        <v/>
      </c>
      <c r="AG93" s="51">
        <f>IFERROR(AB93*VLOOKUP(E93,'Hệ số'!$A$2:$D$8,2,0)*IF((I93-4)&gt;=2,1.2,IF((I93-4)=1,1,IF((I93-4)=0,0.85,IF((I93-4)=-1,0.5,IF((I93-4)=-2,0.25,0.1))))),"")</f>
        <v/>
      </c>
      <c r="AH93" s="51">
        <f>IFERROR(AB93*VLOOKUP(E93,'Hệ số'!$A$2:$D$8,2,0)*IF((I93-5)&gt;=2,1.2,IF((I93-5)=1,1,IF((I93-5)=0,0.85,IF((I93-5)=-1,0.5,IF((I93-5)=-2,0.25,0.1))))),"")</f>
        <v/>
      </c>
      <c r="AI93" s="51">
        <f>IFERROR(AB93*VLOOKUP(E93,'Hệ số'!$A$2:$D$8,3,0),"")</f>
        <v/>
      </c>
      <c r="AJ93" s="51">
        <f>IFERROR(AB93*VLOOKUP(E93,'Hệ số'!$A$2:$D$8,4,0)*IF((I93-2)&gt;=2,1.2,IF((I93-2)=1,1,IF((I93-2)=0,0.85,IF((I93-2)=-1,0.5,IF((I93-2)=-2,0.25,0.1))))),"")</f>
        <v/>
      </c>
      <c r="AK93" s="41" t="inlineStr">
        <is>
          <t>Bắn loạt; đạn nổ trên không (Mảnh) mạnh với máy bay và drone, yếu với giáp; đạn xuyên (Động năng) mạnh với giáp 0–2.</t>
        </is>
      </c>
      <c r="AL93" s="41" t="inlineStr">
        <is>
          <t>Tự đổi: đạn xuyên (Động năng) với xe, đạn nổ trên không (Mảnh) với máy bay/drone.</t>
        </is>
      </c>
      <c r="AM93" s="41" t="inlineStr">
        <is>
          <t>2A38M: ~5.000 phát/phút cả cặp</t>
        </is>
      </c>
      <c r="AN93" s="41" t="inlineStr">
        <is>
          <t>Như 2A38.</t>
        </is>
      </c>
      <c r="AO93" s="48" t="inlineStr">
        <is>
          <t>Trung</t>
        </is>
      </c>
    </row>
    <row r="94" ht="32.25" customHeight="1" s="32">
      <c r="A94" s="39" t="inlineStr">
        <is>
          <t>ifv_30</t>
        </is>
      </c>
      <c r="B94" s="39" t="inlineStr">
        <is>
          <t>2A42 30 mm</t>
        </is>
      </c>
      <c r="C94" s="39" t="inlineStr">
        <is>
          <t>Pháo tự động / cao xạ 20–40 mm</t>
        </is>
      </c>
      <c r="D94" s="39" t="inlineStr">
        <is>
          <t>Xe bộ binh</t>
        </is>
      </c>
      <c r="E94" s="39" t="inlineStr">
        <is>
          <t>Động năng</t>
        </is>
      </c>
      <c r="F94" s="39" t="inlineStr">
        <is>
          <t>BeltedAutocannon</t>
        </is>
      </c>
      <c r="G94" s="42" t="n">
        <v>30</v>
      </c>
      <c r="H94" s="42" t="n">
        <v>2</v>
      </c>
      <c r="I94" s="42" t="n">
        <v>2</v>
      </c>
      <c r="J94" s="42" t="n">
        <v>22</v>
      </c>
      <c r="K94" s="42" t="n">
        <v>22</v>
      </c>
      <c r="L94" s="39" t="inlineStr">
        <is>
          <t>băng</t>
        </is>
      </c>
      <c r="M94" s="39" t="inlineStr">
        <is>
          <t>loạt</t>
        </is>
      </c>
      <c r="N94" s="42" t="n">
        <v>5</v>
      </c>
      <c r="O94" s="42" t="n">
        <v>9</v>
      </c>
      <c r="P94" s="42" t="n">
        <v>26</v>
      </c>
      <c r="Q94" s="42" t="n">
        <v>10</v>
      </c>
      <c r="R94" s="42" t="n">
        <v>1</v>
      </c>
      <c r="S94" s="42" t="n">
        <v>1.5</v>
      </c>
      <c r="T94" s="42" t="n">
        <v>30</v>
      </c>
      <c r="U94" s="42" t="n">
        <v>30</v>
      </c>
      <c r="V94" s="42" t="n">
        <v>200</v>
      </c>
      <c r="W94" s="42" t="n">
        <v>200</v>
      </c>
      <c r="X94" s="50">
        <f>IFERROR(U94/W94,"")</f>
        <v/>
      </c>
      <c r="Y94" s="50" t="n"/>
      <c r="Z94" s="50" t="n"/>
      <c r="AA94" s="50">
        <f>IFERROR(IF(L94="từng phát",J94*N94,J94*P94/(P94/N94+R94)),"")</f>
        <v/>
      </c>
      <c r="AB94" s="50">
        <f>IFERROR(IF(M94="từng phát",K94*O94,K94*Q94/(Q94/O94+S94)),"")</f>
        <v/>
      </c>
      <c r="AC94" s="50">
        <f>IFERROR(AB94*VLOOKUP(E94,'Hệ số'!$A$2:$D$8,2,0)*IF((I94-0)&gt;=2,1.2,IF((I94-0)=1,1,IF((I94-0)=0,0.85,IF((I94-0)=-1,0.5,IF((I94-0)=-2,0.25,0.1))))),"")</f>
        <v/>
      </c>
      <c r="AD94" s="50">
        <f>IFERROR(AB94*VLOOKUP(E94,'Hệ số'!$A$2:$D$8,2,0)*IF((I94-1)&gt;=2,1.2,IF((I94-1)=1,1,IF((I94-1)=0,0.85,IF((I94-1)=-1,0.5,IF((I94-1)=-2,0.25,0.1))))),"")</f>
        <v/>
      </c>
      <c r="AE94" s="50">
        <f>IFERROR(AB94*VLOOKUP(E94,'Hệ số'!$A$2:$D$8,2,0)*IF((I94-2)&gt;=2,1.2,IF((I94-2)=1,1,IF((I94-2)=0,0.85,IF((I94-2)=-1,0.5,IF((I94-2)=-2,0.25,0.1))))),"")</f>
        <v/>
      </c>
      <c r="AF94" s="50">
        <f>IFERROR(AB94*VLOOKUP(E94,'Hệ số'!$A$2:$D$8,2,0)*IF((I94-3)&gt;=2,1.2,IF((I94-3)=1,1,IF((I94-3)=0,0.85,IF((I94-3)=-1,0.5,IF((I94-3)=-2,0.25,0.1))))),"")</f>
        <v/>
      </c>
      <c r="AG94" s="50">
        <f>IFERROR(AB94*VLOOKUP(E94,'Hệ số'!$A$2:$D$8,2,0)*IF((I94-4)&gt;=2,1.2,IF((I94-4)=1,1,IF((I94-4)=0,0.85,IF((I94-4)=-1,0.5,IF((I94-4)=-2,0.25,0.1))))),"")</f>
        <v/>
      </c>
      <c r="AH94" s="50">
        <f>IFERROR(AB94*VLOOKUP(E94,'Hệ số'!$A$2:$D$8,2,0)*IF((I94-5)&gt;=2,1.2,IF((I94-5)=1,1,IF((I94-5)=0,0.85,IF((I94-5)=-1,0.5,IF((I94-5)=-2,0.25,0.1))))),"")</f>
        <v/>
      </c>
      <c r="AI94" s="50">
        <f>IFERROR(AB94*VLOOKUP(E94,'Hệ số'!$A$2:$D$8,3,0),"")</f>
        <v/>
      </c>
      <c r="AJ94" s="50">
        <f>IFERROR(AB94*VLOOKUP(E94,'Hệ số'!$A$2:$D$8,4,0)*IF((I94-2)&gt;=2,1.2,IF((I94-2)=1,1,IF((I94-2)=0,0.85,IF((I94-2)=-1,0.5,IF((I94-2)=-2,0.25,0.1))))),"")</f>
        <v/>
      </c>
      <c r="AK94" s="39" t="inlineStr">
        <is>
          <t>Bắn loạt; đạn nổ trên không (Mảnh) mạnh với máy bay và drone, yếu với giáp; đạn xuyên (Động năng) mạnh với giáp 0–2.</t>
        </is>
      </c>
      <c r="AL94" s="39" t="inlineStr">
        <is>
          <t>Tự đổi: đạn xuyên (Động năng) với xe, đạn nổ trên không (Mảnh) với máy bay/drone.</t>
        </is>
      </c>
      <c r="AM94" s="39" t="inlineStr">
        <is>
          <t>2A42: 550–800 phát/phút</t>
        </is>
      </c>
      <c r="AN94" s="39" t="inlineStr">
        <is>
          <t>2A42 bắn loạt nhanh 550–800 phát/phút ngoài đời.</t>
        </is>
      </c>
      <c r="AO94" s="48" t="inlineStr">
        <is>
          <t>Trung</t>
        </is>
      </c>
    </row>
    <row r="95" ht="32.25" customHeight="1" s="32">
      <c r="A95" s="41" t="inlineStr">
        <is>
          <t>jassm</t>
        </is>
      </c>
      <c r="B95" s="41" t="inlineStr">
        <is>
          <t>AGM-158 JASSM (450</t>
        </is>
      </c>
      <c r="C95" s="41" t="inlineStr">
        <is>
          <t>Tên lửa hành trình / đạn đạo</t>
        </is>
      </c>
      <c r="D95" s="41" t="inlineStr">
        <is>
          <t>Tàng hình</t>
        </is>
      </c>
      <c r="E95" s="41" t="inlineStr">
        <is>
          <t>Nổ mạnh</t>
        </is>
      </c>
      <c r="F95" s="41" t="inlineStr">
        <is>
          <t>Cruise</t>
        </is>
      </c>
      <c r="G95" s="43" t="n">
        <v>450</v>
      </c>
      <c r="H95" s="43" t="n">
        <v>3</v>
      </c>
      <c r="I95" s="43" t="n">
        <v>3</v>
      </c>
      <c r="J95" s="43" t="n">
        <v>410</v>
      </c>
      <c r="K95" s="43" t="n">
        <v>410</v>
      </c>
      <c r="L95" s="41" t="inlineStr">
        <is>
          <t>loạt</t>
        </is>
      </c>
      <c r="M95" s="41" t="inlineStr">
        <is>
          <t>loạt</t>
        </is>
      </c>
      <c r="N95" s="43" t="n">
        <v>1.67</v>
      </c>
      <c r="O95" s="43" t="n">
        <v>1.67</v>
      </c>
      <c r="P95" s="43" t="n">
        <v>2</v>
      </c>
      <c r="Q95" s="43" t="n">
        <v>2</v>
      </c>
      <c r="R95" s="43" t="n">
        <v>9.24</v>
      </c>
      <c r="S95" s="43" t="n">
        <v>9.24</v>
      </c>
      <c r="T95" s="43" t="n">
        <v>90</v>
      </c>
      <c r="U95" s="43" t="n">
        <v>90</v>
      </c>
      <c r="V95" s="43" t="n">
        <v>17</v>
      </c>
      <c r="W95" s="43" t="n">
        <v>20</v>
      </c>
      <c r="X95" s="51">
        <f>IFERROR(U95/W95,"")</f>
        <v/>
      </c>
      <c r="Y95" s="53" t="n">
        <v>5</v>
      </c>
      <c r="Z95" s="53" t="n">
        <v>9</v>
      </c>
      <c r="AA95" s="51">
        <f>IFERROR(IF(L95="từng phát",J95*N95,J95*P95/(P95/N95+R95)),"")</f>
        <v/>
      </c>
      <c r="AB95" s="51">
        <f>IFERROR(IF(M95="từng phát",K95*O95,K95*Q95/(Q95/O95+S95)),"")</f>
        <v/>
      </c>
      <c r="AC95" s="51">
        <f>IFERROR(AB95*VLOOKUP(E95,'Hệ số'!$A$2:$D$8,2,0)*IF((I95-0)&gt;=2,1.2,IF((I95-0)=1,1,IF((I95-0)=0,0.85,IF((I95-0)=-1,0.5,IF((I95-0)=-2,0.25,0.1))))),"")</f>
        <v/>
      </c>
      <c r="AD95" s="51">
        <f>IFERROR(AB95*VLOOKUP(E95,'Hệ số'!$A$2:$D$8,2,0)*IF((I95-1)&gt;=2,1.2,IF((I95-1)=1,1,IF((I95-1)=0,0.85,IF((I95-1)=-1,0.5,IF((I95-1)=-2,0.25,0.1))))),"")</f>
        <v/>
      </c>
      <c r="AE95" s="51">
        <f>IFERROR(AB95*VLOOKUP(E95,'Hệ số'!$A$2:$D$8,2,0)*IF((I95-2)&gt;=2,1.2,IF((I95-2)=1,1,IF((I95-2)=0,0.85,IF((I95-2)=-1,0.5,IF((I95-2)=-2,0.25,0.1))))),"")</f>
        <v/>
      </c>
      <c r="AF95" s="51">
        <f>IFERROR(AB95*VLOOKUP(E95,'Hệ số'!$A$2:$D$8,2,0)*IF((I95-3)&gt;=2,1.2,IF((I95-3)=1,1,IF((I95-3)=0,0.85,IF((I95-3)=-1,0.5,IF((I95-3)=-2,0.25,0.1))))),"")</f>
        <v/>
      </c>
      <c r="AG95" s="51">
        <f>IFERROR(AB95*VLOOKUP(E95,'Hệ số'!$A$2:$D$8,2,0)*IF((I95-4)&gt;=2,1.2,IF((I95-4)=1,1,IF((I95-4)=0,0.85,IF((I95-4)=-1,0.5,IF((I95-4)=-2,0.25,0.1))))),"")</f>
        <v/>
      </c>
      <c r="AH95" s="51">
        <f>IFERROR(AB95*VLOOKUP(E95,'Hệ số'!$A$2:$D$8,2,0)*IF((I95-5)&gt;=2,1.2,IF((I95-5)=1,1,IF((I95-5)=0,0.85,IF((I95-5)=-1,0.5,IF((I95-5)=-2,0.25,0.1))))),"")</f>
        <v/>
      </c>
      <c r="AI95" s="51">
        <f>IFERROR(AB95*VLOOKUP(E95,'Hệ số'!$A$2:$D$8,3,0),"")</f>
        <v/>
      </c>
      <c r="AJ95" s="51">
        <f>IFERROR(AB95*VLOOKUP(E95,'Hệ số'!$A$2:$D$8,4,0)*IF((I95-2)&gt;=2,1.2,IF((I95-2)=1,1,IF((I95-2)=0,0.85,IF((I95-2)=-1,0.5,IF((I95-2)=-2,0.25,0.1))))),"")</f>
        <v/>
      </c>
      <c r="AK95" s="41" t="inlineStr">
        <is>
          <t>Hành trình: bay chậm, thấp, bắn hạ được bởi phòng không; đạn đạo: bay nhanh, chỉ PAC-3 và Vòm Sắt bắn hạ.</t>
        </is>
      </c>
      <c r="AL95" s="41" t="n"/>
      <c r="AM95" s="41" t="inlineStr">
        <is>
          <t>JASSM: đầu nổ 450 kg</t>
        </is>
      </c>
      <c r="AN95" s="41" t="inlineStr">
        <is>
          <t>Đầu nổ 450 kg. Tốc độ bay 17→20 m/s: Thống nhất tốc độ tên lửa hành trình ở mọi đơn vị (20 m/s).</t>
        </is>
      </c>
      <c r="AO95" s="48" t="inlineStr">
        <is>
          <t>Trung</t>
        </is>
      </c>
    </row>
    <row r="96" ht="32.25" customHeight="1" s="32">
      <c r="A96" s="39" t="inlineStr">
        <is>
          <t>jet_bombs</t>
        </is>
      </c>
      <c r="B96" s="39" t="inlineStr">
        <is>
          <t>FAB-250 (250 kg)</t>
        </is>
      </c>
      <c r="C96" s="39" t="inlineStr">
        <is>
          <t>Bom</t>
        </is>
      </c>
      <c r="D96" s="39" t="inlineStr">
        <is>
          <t>Cường kích, Cường kích TN</t>
        </is>
      </c>
      <c r="E96" s="39" t="inlineStr">
        <is>
          <t>Nổ mạnh</t>
        </is>
      </c>
      <c r="F96" s="39" t="inlineStr">
        <is>
          <t>Bomb</t>
        </is>
      </c>
      <c r="G96" s="42" t="n">
        <v>250</v>
      </c>
      <c r="H96" s="42" t="n">
        <v>2</v>
      </c>
      <c r="I96" s="42" t="n">
        <v>2</v>
      </c>
      <c r="J96" s="42" t="n">
        <v>310</v>
      </c>
      <c r="K96" s="42" t="n">
        <v>310</v>
      </c>
      <c r="L96" s="39" t="inlineStr">
        <is>
          <t>loạt</t>
        </is>
      </c>
      <c r="M96" s="39" t="inlineStr">
        <is>
          <t>loạt</t>
        </is>
      </c>
      <c r="N96" s="42" t="n">
        <v>4</v>
      </c>
      <c r="O96" s="42" t="n">
        <v>4</v>
      </c>
      <c r="P96" s="42" t="n">
        <v>2</v>
      </c>
      <c r="Q96" s="42" t="n">
        <v>2</v>
      </c>
      <c r="R96" s="42" t="n">
        <v>10.05</v>
      </c>
      <c r="S96" s="42" t="n">
        <v>10.05</v>
      </c>
      <c r="T96" s="42" t="n">
        <v>26</v>
      </c>
      <c r="U96" s="42" t="n">
        <v>26</v>
      </c>
      <c r="V96" s="42" t="n">
        <v>35</v>
      </c>
      <c r="W96" s="42" t="n">
        <v>35</v>
      </c>
      <c r="X96" s="50">
        <f>IFERROR(U96/W96,"")</f>
        <v/>
      </c>
      <c r="Y96" s="52" t="n">
        <v>8</v>
      </c>
      <c r="Z96" s="52" t="n">
        <v>8</v>
      </c>
      <c r="AA96" s="50">
        <f>IFERROR(IF(L96="từng phát",J96*N96,J96*P96/(P96/N96+R96)),"")</f>
        <v/>
      </c>
      <c r="AB96" s="50">
        <f>IFERROR(IF(M96="từng phát",K96*O96,K96*Q96/(Q96/O96+S96)),"")</f>
        <v/>
      </c>
      <c r="AC96" s="50">
        <f>IFERROR(AB96*VLOOKUP(E96,'Hệ số'!$A$2:$D$8,2,0)*IF((I96-0)&gt;=2,1.2,IF((I96-0)=1,1,IF((I96-0)=0,0.85,IF((I96-0)=-1,0.5,IF((I96-0)=-2,0.25,0.1))))),"")</f>
        <v/>
      </c>
      <c r="AD96" s="50">
        <f>IFERROR(AB96*VLOOKUP(E96,'Hệ số'!$A$2:$D$8,2,0)*IF((I96-1)&gt;=2,1.2,IF((I96-1)=1,1,IF((I96-1)=0,0.85,IF((I96-1)=-1,0.5,IF((I96-1)=-2,0.25,0.1))))),"")</f>
        <v/>
      </c>
      <c r="AE96" s="50">
        <f>IFERROR(AB96*VLOOKUP(E96,'Hệ số'!$A$2:$D$8,2,0)*IF((I96-2)&gt;=2,1.2,IF((I96-2)=1,1,IF((I96-2)=0,0.85,IF((I96-2)=-1,0.5,IF((I96-2)=-2,0.25,0.1))))),"")</f>
        <v/>
      </c>
      <c r="AF96" s="50">
        <f>IFERROR(AB96*VLOOKUP(E96,'Hệ số'!$A$2:$D$8,2,0)*IF((I96-3)&gt;=2,1.2,IF((I96-3)=1,1,IF((I96-3)=0,0.85,IF((I96-3)=-1,0.5,IF((I96-3)=-2,0.25,0.1))))),"")</f>
        <v/>
      </c>
      <c r="AG96" s="50">
        <f>IFERROR(AB96*VLOOKUP(E96,'Hệ số'!$A$2:$D$8,2,0)*IF((I96-4)&gt;=2,1.2,IF((I96-4)=1,1,IF((I96-4)=0,0.85,IF((I96-4)=-1,0.5,IF((I96-4)=-2,0.25,0.1))))),"")</f>
        <v/>
      </c>
      <c r="AH96" s="50">
        <f>IFERROR(AB96*VLOOKUP(E96,'Hệ số'!$A$2:$D$8,2,0)*IF((I96-5)&gt;=2,1.2,IF((I96-5)=1,1,IF((I96-5)=0,0.85,IF((I96-5)=-1,0.5,IF((I96-5)=-2,0.25,0.1))))),"")</f>
        <v/>
      </c>
      <c r="AI96" s="50">
        <f>IFERROR(AB96*VLOOKUP(E96,'Hệ số'!$A$2:$D$8,3,0),"")</f>
        <v/>
      </c>
      <c r="AJ96" s="50">
        <f>IFERROR(AB96*VLOOKUP(E96,'Hệ số'!$A$2:$D$8,4,0)*IF((I96-2)&gt;=2,1.2,IF((I96-2)=1,1,IF((I96-2)=0,0.85,IF((I96-2)=-1,0.5,IF((I96-2)=-2,0.25,0.1))))),"")</f>
        <v/>
      </c>
      <c r="AK96" s="39" t="inlineStr">
        <is>
          <t>Bom thường rơi tự do, tản mát 2–3 m, không bắn hạ được; bom dẫn đường chính xác; bom lượn bay chậm và bắn hạ được.</t>
        </is>
      </c>
      <c r="AL96" s="39" t="n"/>
      <c r="AM96" s="39" t="inlineStr">
        <is>
          <t>FAB-250: ~100 kg thuốc nổ</t>
        </is>
      </c>
      <c r="AN96" s="39" t="inlineStr">
        <is>
          <t>Giữ.</t>
        </is>
      </c>
      <c r="AO96" s="39" t="n"/>
    </row>
    <row r="97" ht="32.25" customHeight="1" s="32">
      <c r="A97" s="41" t="inlineStr">
        <is>
          <t>jet_cannon</t>
        </is>
      </c>
      <c r="B97" s="41" t="inlineStr">
        <is>
          <t>GSh-30-2 30 mm</t>
        </is>
      </c>
      <c r="C97" s="41" t="inlineStr">
        <is>
          <t>Pháo tự động / cao xạ 20–40 mm</t>
        </is>
      </c>
      <c r="D97" s="41" t="inlineStr">
        <is>
          <t>Cường kích, Cường kích TN</t>
        </is>
      </c>
      <c r="E97" s="41" t="inlineStr">
        <is>
          <t>Động năng</t>
        </is>
      </c>
      <c r="F97" s="41" t="inlineStr">
        <is>
          <t>BeltedAutocannon</t>
        </is>
      </c>
      <c r="G97" s="43" t="n">
        <v>30</v>
      </c>
      <c r="H97" s="43" t="n">
        <v>2</v>
      </c>
      <c r="I97" s="43" t="n">
        <v>2</v>
      </c>
      <c r="J97" s="43" t="n">
        <v>23</v>
      </c>
      <c r="K97" s="43" t="n">
        <v>23</v>
      </c>
      <c r="L97" s="41" t="inlineStr">
        <is>
          <t>băng</t>
        </is>
      </c>
      <c r="M97" s="41" t="inlineStr">
        <is>
          <t>băng</t>
        </is>
      </c>
      <c r="N97" s="43" t="n">
        <v>19</v>
      </c>
      <c r="O97" s="43" t="n">
        <v>19</v>
      </c>
      <c r="P97" s="43" t="n">
        <v>94</v>
      </c>
      <c r="Q97" s="43" t="n">
        <v>70</v>
      </c>
      <c r="R97" s="43" t="n">
        <v>1</v>
      </c>
      <c r="S97" s="43" t="n">
        <v>1.5</v>
      </c>
      <c r="T97" s="43" t="n">
        <v>30</v>
      </c>
      <c r="U97" s="43" t="n">
        <v>30</v>
      </c>
      <c r="V97" s="43" t="n">
        <v>300</v>
      </c>
      <c r="W97" s="43" t="n">
        <v>300</v>
      </c>
      <c r="X97" s="51">
        <f>IFERROR(U97/W97,"")</f>
        <v/>
      </c>
      <c r="Y97" s="51" t="n"/>
      <c r="Z97" s="51" t="n"/>
      <c r="AA97" s="51">
        <f>IFERROR(IF(L97="từng phát",J97*N97,J97*P97/(P97/N97+R97)),"")</f>
        <v/>
      </c>
      <c r="AB97" s="51">
        <f>IFERROR(IF(M97="từng phát",K97*O97,K97*Q97/(Q97/O97+S97)),"")</f>
        <v/>
      </c>
      <c r="AC97" s="51">
        <f>IFERROR(AB97*VLOOKUP(E97,'Hệ số'!$A$2:$D$8,2,0)*IF((I97-0)&gt;=2,1.2,IF((I97-0)=1,1,IF((I97-0)=0,0.85,IF((I97-0)=-1,0.5,IF((I97-0)=-2,0.25,0.1))))),"")</f>
        <v/>
      </c>
      <c r="AD97" s="51">
        <f>IFERROR(AB97*VLOOKUP(E97,'Hệ số'!$A$2:$D$8,2,0)*IF((I97-1)&gt;=2,1.2,IF((I97-1)=1,1,IF((I97-1)=0,0.85,IF((I97-1)=-1,0.5,IF((I97-1)=-2,0.25,0.1))))),"")</f>
        <v/>
      </c>
      <c r="AE97" s="51">
        <f>IFERROR(AB97*VLOOKUP(E97,'Hệ số'!$A$2:$D$8,2,0)*IF((I97-2)&gt;=2,1.2,IF((I97-2)=1,1,IF((I97-2)=0,0.85,IF((I97-2)=-1,0.5,IF((I97-2)=-2,0.25,0.1))))),"")</f>
        <v/>
      </c>
      <c r="AF97" s="51">
        <f>IFERROR(AB97*VLOOKUP(E97,'Hệ số'!$A$2:$D$8,2,0)*IF((I97-3)&gt;=2,1.2,IF((I97-3)=1,1,IF((I97-3)=0,0.85,IF((I97-3)=-1,0.5,IF((I97-3)=-2,0.25,0.1))))),"")</f>
        <v/>
      </c>
      <c r="AG97" s="51">
        <f>IFERROR(AB97*VLOOKUP(E97,'Hệ số'!$A$2:$D$8,2,0)*IF((I97-4)&gt;=2,1.2,IF((I97-4)=1,1,IF((I97-4)=0,0.85,IF((I97-4)=-1,0.5,IF((I97-4)=-2,0.25,0.1))))),"")</f>
        <v/>
      </c>
      <c r="AH97" s="51">
        <f>IFERROR(AB97*VLOOKUP(E97,'Hệ số'!$A$2:$D$8,2,0)*IF((I97-5)&gt;=2,1.2,IF((I97-5)=1,1,IF((I97-5)=0,0.85,IF((I97-5)=-1,0.5,IF((I97-5)=-2,0.25,0.1))))),"")</f>
        <v/>
      </c>
      <c r="AI97" s="51">
        <f>IFERROR(AB97*VLOOKUP(E97,'Hệ số'!$A$2:$D$8,3,0),"")</f>
        <v/>
      </c>
      <c r="AJ97" s="51">
        <f>IFERROR(AB97*VLOOKUP(E97,'Hệ số'!$A$2:$D$8,4,0)*IF((I97-2)&gt;=2,1.2,IF((I97-2)=1,1,IF((I97-2)=0,0.85,IF((I97-2)=-1,0.5,IF((I97-2)=-2,0.25,0.1))))),"")</f>
        <v/>
      </c>
      <c r="AK97" s="41" t="inlineStr">
        <is>
          <t>Bắn loạt; đạn nổ trên không (Mảnh) mạnh với máy bay và drone, yếu với giáp; đạn xuyên (Động năng) mạnh với giáp 0–2.</t>
        </is>
      </c>
      <c r="AL97" s="41" t="inlineStr">
        <is>
          <t>Tự đổi: đạn xuyên (Động năng) với xe, đạn nổ trên không (Mảnh) với máy bay/drone.</t>
        </is>
      </c>
      <c r="AM97" s="41" t="inlineStr">
        <is>
          <t>GSh-30-2: ~3.000 phát/phút</t>
        </is>
      </c>
      <c r="AN97" s="41" t="inlineStr">
        <is>
          <t>Lần cân bằng 2: Cường kích vẫn mạnh; băng GSh-30-2 94 → 70 viên (Su-25 thật mang 250 viên cho cả lượt bay).</t>
        </is>
      </c>
      <c r="AO97" s="48" t="inlineStr">
        <is>
          <t>Trung</t>
        </is>
      </c>
    </row>
    <row r="98" ht="21.75" customHeight="1" s="32">
      <c r="A98" s="39" t="inlineStr">
        <is>
          <t>kh29</t>
        </is>
      </c>
      <c r="B98" s="39" t="inlineStr">
        <is>
          <t>Kh-29L</t>
        </is>
      </c>
      <c r="C98" s="39" t="inlineStr">
        <is>
          <t>Tên lửa chống tăng / không đối đất</t>
        </is>
      </c>
      <c r="D98" s="39" t="inlineStr">
        <is>
          <t>Cường kích, Cường kích TN</t>
        </is>
      </c>
      <c r="E98" s="39" t="inlineStr">
        <is>
          <t>Nổ lõm</t>
        </is>
      </c>
      <c r="F98" s="39" t="inlineStr">
        <is>
          <t>Atgm</t>
        </is>
      </c>
      <c r="G98" s="42" t="n">
        <v>680</v>
      </c>
      <c r="H98" s="42" t="n">
        <v>4</v>
      </c>
      <c r="I98" s="42" t="n">
        <v>4</v>
      </c>
      <c r="J98" s="42" t="n">
        <v>378</v>
      </c>
      <c r="K98" s="42" t="n">
        <v>378</v>
      </c>
      <c r="L98" s="39" t="inlineStr">
        <is>
          <t>từng phát</t>
        </is>
      </c>
      <c r="M98" s="39" t="inlineStr">
        <is>
          <t>từng phát</t>
        </is>
      </c>
      <c r="N98" s="42" t="n">
        <v>0.127226463104326</v>
      </c>
      <c r="O98" s="42" t="n">
        <v>0.127226463104326</v>
      </c>
      <c r="P98" s="42" t="n">
        <v>1</v>
      </c>
      <c r="Q98" s="42" t="n">
        <v>1</v>
      </c>
      <c r="R98" s="42" t="n">
        <v>7.86</v>
      </c>
      <c r="S98" s="42" t="n">
        <v>7.86</v>
      </c>
      <c r="T98" s="42" t="n">
        <v>40</v>
      </c>
      <c r="U98" s="42" t="n">
        <v>40</v>
      </c>
      <c r="V98" s="42" t="n">
        <v>10</v>
      </c>
      <c r="W98" s="42" t="n">
        <v>32</v>
      </c>
      <c r="X98" s="50">
        <f>IFERROR(U98/W98,"")</f>
        <v/>
      </c>
      <c r="Y98" s="50" t="n"/>
      <c r="Z98" s="50" t="n"/>
      <c r="AA98" s="50">
        <f>IFERROR(IF(L98="từng phát",J98*N98,J98*P98/(P98/N98+R98)),"")</f>
        <v/>
      </c>
      <c r="AB98" s="50">
        <f>IFERROR(IF(M98="từng phát",K98*O98,K98*Q98/(Q98/O98+S98)),"")</f>
        <v/>
      </c>
      <c r="AC98" s="50">
        <f>IFERROR(AB98*VLOOKUP(E98,'Hệ số'!$A$2:$D$8,2,0)*IF((I98-0)&gt;=2,1.2,IF((I98-0)=1,1,IF((I98-0)=0,0.85,IF((I98-0)=-1,0.5,IF((I98-0)=-2,0.25,0.1))))),"")</f>
        <v/>
      </c>
      <c r="AD98" s="50">
        <f>IFERROR(AB98*VLOOKUP(E98,'Hệ số'!$A$2:$D$8,2,0)*IF((I98-1)&gt;=2,1.2,IF((I98-1)=1,1,IF((I98-1)=0,0.85,IF((I98-1)=-1,0.5,IF((I98-1)=-2,0.25,0.1))))),"")</f>
        <v/>
      </c>
      <c r="AE98" s="50">
        <f>IFERROR(AB98*VLOOKUP(E98,'Hệ số'!$A$2:$D$8,2,0)*IF((I98-2)&gt;=2,1.2,IF((I98-2)=1,1,IF((I98-2)=0,0.85,IF((I98-2)=-1,0.5,IF((I98-2)=-2,0.25,0.1))))),"")</f>
        <v/>
      </c>
      <c r="AF98" s="50">
        <f>IFERROR(AB98*VLOOKUP(E98,'Hệ số'!$A$2:$D$8,2,0)*IF((I98-3)&gt;=2,1.2,IF((I98-3)=1,1,IF((I98-3)=0,0.85,IF((I98-3)=-1,0.5,IF((I98-3)=-2,0.25,0.1))))),"")</f>
        <v/>
      </c>
      <c r="AG98" s="50">
        <f>IFERROR(AB98*VLOOKUP(E98,'Hệ số'!$A$2:$D$8,2,0)*IF((I98-4)&gt;=2,1.2,IF((I98-4)=1,1,IF((I98-4)=0,0.85,IF((I98-4)=-1,0.5,IF((I98-4)=-2,0.25,0.1))))),"")</f>
        <v/>
      </c>
      <c r="AH98" s="50">
        <f>IFERROR(AB98*VLOOKUP(E98,'Hệ số'!$A$2:$D$8,2,0)*IF((I98-5)&gt;=2,1.2,IF((I98-5)=1,1,IF((I98-5)=0,0.85,IF((I98-5)=-1,0.5,IF((I98-5)=-2,0.25,0.1))))),"")</f>
        <v/>
      </c>
      <c r="AI98" s="50">
        <f>IFERROR(AB98*VLOOKUP(E98,'Hệ số'!$A$2:$D$8,3,0),"")</f>
        <v/>
      </c>
      <c r="AJ98" s="50">
        <f>IFERROR(AB98*VLOOKUP(E98,'Hệ số'!$A$2:$D$8,4,0)*IF((I98-2)&gt;=2,1.2,IF((I98-2)=1,1,IF((I98-2)=0,0.85,IF((I98-2)=-1,0.5,IF((I98-2)=-2,0.25,0.1))))),"")</f>
        <v/>
      </c>
      <c r="AK98" s="39" t="inlineStr">
        <is>
          <t>Dẫn đường; bị APS và giáp phản ứng nổ giảm (đầu nổ lõm); bay chậm nên né và khói có tác dụng.</t>
        </is>
      </c>
      <c r="AL98" s="39" t="n"/>
      <c r="AM98" s="39" t="inlineStr">
        <is>
          <t>Kh-29L: 10 km, Mach 2,5, đầu nổ 320 kg</t>
        </is>
      </c>
      <c r="AN98" s="39" t="inlineStr">
        <is>
          <t>Tốc độ bay 10→32 m/s: Tên lửa không đối đất nặng Mach 2,5 ngoài đời: đang 10 m/s như drone.</t>
        </is>
      </c>
      <c r="AO98" s="47" t="inlineStr">
        <is>
          <t>Cao</t>
        </is>
      </c>
    </row>
    <row r="99" ht="21.75" customHeight="1" s="32">
      <c r="A99" s="41" t="inlineStr">
        <is>
          <t>kornet_multi</t>
        </is>
      </c>
      <c r="B99" s="41" t="inlineStr">
        <is>
          <t>9M133 Kornet</t>
        </is>
      </c>
      <c r="C99" s="41" t="inlineStr">
        <is>
          <t>Tên lửa chống tăng / không đối đất</t>
        </is>
      </c>
      <c r="D99" s="41" t="inlineStr">
        <is>
          <t>Đa năng</t>
        </is>
      </c>
      <c r="E99" s="41" t="inlineStr">
        <is>
          <t>Nổ lõm</t>
        </is>
      </c>
      <c r="F99" s="41" t="inlineStr">
        <is>
          <t>Atgm</t>
        </is>
      </c>
      <c r="G99" s="43" t="n">
        <v>29</v>
      </c>
      <c r="H99" s="43" t="n">
        <v>4</v>
      </c>
      <c r="I99" s="43" t="n">
        <v>4</v>
      </c>
      <c r="J99" s="43" t="n">
        <v>230</v>
      </c>
      <c r="K99" s="43" t="n">
        <v>230</v>
      </c>
      <c r="L99" s="41" t="inlineStr">
        <is>
          <t>loạt</t>
        </is>
      </c>
      <c r="M99" s="41" t="inlineStr">
        <is>
          <t>loạt</t>
        </is>
      </c>
      <c r="N99" s="43" t="n">
        <v>1.67</v>
      </c>
      <c r="O99" s="43" t="n">
        <v>1.67</v>
      </c>
      <c r="P99" s="43" t="n">
        <v>2</v>
      </c>
      <c r="Q99" s="43" t="n">
        <v>2</v>
      </c>
      <c r="R99" s="43" t="n">
        <v>4.35</v>
      </c>
      <c r="S99" s="43" t="n">
        <v>4.35</v>
      </c>
      <c r="T99" s="43" t="n">
        <v>50</v>
      </c>
      <c r="U99" s="43" t="n">
        <v>50</v>
      </c>
      <c r="V99" s="43" t="n">
        <v>20</v>
      </c>
      <c r="W99" s="43" t="n">
        <v>22</v>
      </c>
      <c r="X99" s="51">
        <f>IFERROR(U99/W99,"")</f>
        <v/>
      </c>
      <c r="Y99" s="51" t="n"/>
      <c r="Z99" s="51" t="n"/>
      <c r="AA99" s="51">
        <f>IFERROR(IF(L99="từng phát",J99*N99,J99*P99/(P99/N99+R99)),"")</f>
        <v/>
      </c>
      <c r="AB99" s="51">
        <f>IFERROR(IF(M99="từng phát",K99*O99,K99*Q99/(Q99/O99+S99)),"")</f>
        <v/>
      </c>
      <c r="AC99" s="51">
        <f>IFERROR(AB99*VLOOKUP(E99,'Hệ số'!$A$2:$D$8,2,0)*IF((I99-0)&gt;=2,1.2,IF((I99-0)=1,1,IF((I99-0)=0,0.85,IF((I99-0)=-1,0.5,IF((I99-0)=-2,0.25,0.1))))),"")</f>
        <v/>
      </c>
      <c r="AD99" s="51">
        <f>IFERROR(AB99*VLOOKUP(E99,'Hệ số'!$A$2:$D$8,2,0)*IF((I99-1)&gt;=2,1.2,IF((I99-1)=1,1,IF((I99-1)=0,0.85,IF((I99-1)=-1,0.5,IF((I99-1)=-2,0.25,0.1))))),"")</f>
        <v/>
      </c>
      <c r="AE99" s="51">
        <f>IFERROR(AB99*VLOOKUP(E99,'Hệ số'!$A$2:$D$8,2,0)*IF((I99-2)&gt;=2,1.2,IF((I99-2)=1,1,IF((I99-2)=0,0.85,IF((I99-2)=-1,0.5,IF((I99-2)=-2,0.25,0.1))))),"")</f>
        <v/>
      </c>
      <c r="AF99" s="51">
        <f>IFERROR(AB99*VLOOKUP(E99,'Hệ số'!$A$2:$D$8,2,0)*IF((I99-3)&gt;=2,1.2,IF((I99-3)=1,1,IF((I99-3)=0,0.85,IF((I99-3)=-1,0.5,IF((I99-3)=-2,0.25,0.1))))),"")</f>
        <v/>
      </c>
      <c r="AG99" s="51">
        <f>IFERROR(AB99*VLOOKUP(E99,'Hệ số'!$A$2:$D$8,2,0)*IF((I99-4)&gt;=2,1.2,IF((I99-4)=1,1,IF((I99-4)=0,0.85,IF((I99-4)=-1,0.5,IF((I99-4)=-2,0.25,0.1))))),"")</f>
        <v/>
      </c>
      <c r="AH99" s="51">
        <f>IFERROR(AB99*VLOOKUP(E99,'Hệ số'!$A$2:$D$8,2,0)*IF((I99-5)&gt;=2,1.2,IF((I99-5)=1,1,IF((I99-5)=0,0.85,IF((I99-5)=-1,0.5,IF((I99-5)=-2,0.25,0.1))))),"")</f>
        <v/>
      </c>
      <c r="AI99" s="51">
        <f>IFERROR(AB99*VLOOKUP(E99,'Hệ số'!$A$2:$D$8,3,0),"")</f>
        <v/>
      </c>
      <c r="AJ99" s="51">
        <f>IFERROR(AB99*VLOOKUP(E99,'Hệ số'!$A$2:$D$8,4,0)*IF((I99-2)&gt;=2,1.2,IF((I99-2)=1,1,IF((I99-2)=0,0.85,IF((I99-2)=-1,0.5,IF((I99-2)=-2,0.25,0.1))))),"")</f>
        <v/>
      </c>
      <c r="AK99" s="41" t="inlineStr">
        <is>
          <t>Dẫn đường; bị APS và giáp phản ứng nổ giảm (đầu nổ lõm); bay chậm nên né và khói có tác dụng.</t>
        </is>
      </c>
      <c r="AL99" s="41" t="n"/>
      <c r="AM99" s="41" t="inlineStr">
        <is>
          <t>Kornet</t>
        </is>
      </c>
      <c r="AN99" s="41" t="inlineStr">
        <is>
          <t>Tốc độ bay 20→22 m/s: Thống nhất tốc độ Kornet ở mọi đơn vị (22 m/s).</t>
        </is>
      </c>
      <c r="AO99" s="48" t="inlineStr">
        <is>
          <t>Trung</t>
        </is>
      </c>
    </row>
    <row r="100" ht="21.75" customHeight="1" s="32">
      <c r="A100" s="39" t="inlineStr">
        <is>
          <t>kornet_top</t>
        </is>
      </c>
      <c r="B100" s="39" t="inlineStr">
        <is>
          <t>9M133 Kornet</t>
        </is>
      </c>
      <c r="C100" s="39" t="inlineStr">
        <is>
          <t>Tên lửa chống tăng / không đối đất</t>
        </is>
      </c>
      <c r="D100" s="39" t="inlineStr">
        <is>
          <t>Đánh từ trên</t>
        </is>
      </c>
      <c r="E100" s="39" t="inlineStr">
        <is>
          <t>Nổ lõm</t>
        </is>
      </c>
      <c r="F100" s="39" t="inlineStr">
        <is>
          <t>Atgm</t>
        </is>
      </c>
      <c r="G100" s="42" t="n">
        <v>29</v>
      </c>
      <c r="H100" s="42" t="n">
        <v>4</v>
      </c>
      <c r="I100" s="42" t="n">
        <v>4</v>
      </c>
      <c r="J100" s="42" t="n">
        <v>230</v>
      </c>
      <c r="K100" s="42" t="n">
        <v>230</v>
      </c>
      <c r="L100" s="39" t="inlineStr">
        <is>
          <t>loạt</t>
        </is>
      </c>
      <c r="M100" s="39" t="inlineStr">
        <is>
          <t>loạt</t>
        </is>
      </c>
      <c r="N100" s="42" t="n">
        <v>1.67</v>
      </c>
      <c r="O100" s="42" t="n">
        <v>1.67</v>
      </c>
      <c r="P100" s="42" t="n">
        <v>2</v>
      </c>
      <c r="Q100" s="42" t="n">
        <v>2</v>
      </c>
      <c r="R100" s="42" t="n">
        <v>4</v>
      </c>
      <c r="S100" s="42" t="n">
        <v>4</v>
      </c>
      <c r="T100" s="42" t="n">
        <v>50</v>
      </c>
      <c r="U100" s="42" t="n">
        <v>50</v>
      </c>
      <c r="V100" s="42" t="n">
        <v>20</v>
      </c>
      <c r="W100" s="42" t="n">
        <v>22</v>
      </c>
      <c r="X100" s="50">
        <f>IFERROR(U100/W100,"")</f>
        <v/>
      </c>
      <c r="Y100" s="50" t="n"/>
      <c r="Z100" s="50" t="n"/>
      <c r="AA100" s="50">
        <f>IFERROR(IF(L100="từng phát",J100*N100,J100*P100/(P100/N100+R100)),"")</f>
        <v/>
      </c>
      <c r="AB100" s="50">
        <f>IFERROR(IF(M100="từng phát",K100*O100,K100*Q100/(Q100/O100+S100)),"")</f>
        <v/>
      </c>
      <c r="AC100" s="50">
        <f>IFERROR(AB100*VLOOKUP(E100,'Hệ số'!$A$2:$D$8,2,0)*IF((I100-0)&gt;=2,1.2,IF((I100-0)=1,1,IF((I100-0)=0,0.85,IF((I100-0)=-1,0.5,IF((I100-0)=-2,0.25,0.1))))),"")</f>
        <v/>
      </c>
      <c r="AD100" s="50">
        <f>IFERROR(AB100*VLOOKUP(E100,'Hệ số'!$A$2:$D$8,2,0)*IF((I100-1)&gt;=2,1.2,IF((I100-1)=1,1,IF((I100-1)=0,0.85,IF((I100-1)=-1,0.5,IF((I100-1)=-2,0.25,0.1))))),"")</f>
        <v/>
      </c>
      <c r="AE100" s="50">
        <f>IFERROR(AB100*VLOOKUP(E100,'Hệ số'!$A$2:$D$8,2,0)*IF((I100-2)&gt;=2,1.2,IF((I100-2)=1,1,IF((I100-2)=0,0.85,IF((I100-2)=-1,0.5,IF((I100-2)=-2,0.25,0.1))))),"")</f>
        <v/>
      </c>
      <c r="AF100" s="50">
        <f>IFERROR(AB100*VLOOKUP(E100,'Hệ số'!$A$2:$D$8,2,0)*IF((I100-3)&gt;=2,1.2,IF((I100-3)=1,1,IF((I100-3)=0,0.85,IF((I100-3)=-1,0.5,IF((I100-3)=-2,0.25,0.1))))),"")</f>
        <v/>
      </c>
      <c r="AG100" s="50">
        <f>IFERROR(AB100*VLOOKUP(E100,'Hệ số'!$A$2:$D$8,2,0)*IF((I100-4)&gt;=2,1.2,IF((I100-4)=1,1,IF((I100-4)=0,0.85,IF((I100-4)=-1,0.5,IF((I100-4)=-2,0.25,0.1))))),"")</f>
        <v/>
      </c>
      <c r="AH100" s="50">
        <f>IFERROR(AB100*VLOOKUP(E100,'Hệ số'!$A$2:$D$8,2,0)*IF((I100-5)&gt;=2,1.2,IF((I100-5)=1,1,IF((I100-5)=0,0.85,IF((I100-5)=-1,0.5,IF((I100-5)=-2,0.25,0.1))))),"")</f>
        <v/>
      </c>
      <c r="AI100" s="50">
        <f>IFERROR(AB100*VLOOKUP(E100,'Hệ số'!$A$2:$D$8,3,0),"")</f>
        <v/>
      </c>
      <c r="AJ100" s="50">
        <f>IFERROR(AB100*VLOOKUP(E100,'Hệ số'!$A$2:$D$8,4,0)*IF((I100-2)&gt;=2,1.2,IF((I100-2)=1,1,IF((I100-2)=0,0.85,IF((I100-2)=-1,0.5,IF((I100-2)=-2,0.25,0.1))))),"")</f>
        <v/>
      </c>
      <c r="AK100" s="39" t="inlineStr">
        <is>
          <t>Dẫn đường; bị APS và giáp phản ứng nổ giảm (đầu nổ lõm); bay chậm nên né và khói có tác dụng.</t>
        </is>
      </c>
      <c r="AL100" s="39" t="n"/>
      <c r="AM100" s="39" t="inlineStr">
        <is>
          <t>Kornet</t>
        </is>
      </c>
      <c r="AN100" s="39" t="inlineStr">
        <is>
          <t>Tốc độ bay 20→22 m/s: Thống nhất tốc độ Kornet ở mọi đơn vị (22 m/s).</t>
        </is>
      </c>
      <c r="AO100" s="48" t="inlineStr">
        <is>
          <t>Trung</t>
        </is>
      </c>
    </row>
    <row r="101" ht="21.75" customHeight="1" s="32">
      <c r="A101" s="41" t="inlineStr">
        <is>
          <t>kornet_twin</t>
        </is>
      </c>
      <c r="B101" s="41" t="inlineStr">
        <is>
          <t>9M133 Kornet</t>
        </is>
      </c>
      <c r="C101" s="41" t="inlineStr">
        <is>
          <t>Tên lửa chống tăng / không đối đất</t>
        </is>
      </c>
      <c r="D101" s="41" t="inlineStr">
        <is>
          <t>Bastion</t>
        </is>
      </c>
      <c r="E101" s="41" t="inlineStr">
        <is>
          <t>Nổ lõm</t>
        </is>
      </c>
      <c r="F101" s="41" t="inlineStr">
        <is>
          <t>Atgm</t>
        </is>
      </c>
      <c r="G101" s="43" t="n">
        <v>29</v>
      </c>
      <c r="H101" s="43" t="n">
        <v>4</v>
      </c>
      <c r="I101" s="43" t="n">
        <v>4</v>
      </c>
      <c r="J101" s="43" t="n">
        <v>230</v>
      </c>
      <c r="K101" s="43" t="n">
        <v>230</v>
      </c>
      <c r="L101" s="41" t="inlineStr">
        <is>
          <t>loạt</t>
        </is>
      </c>
      <c r="M101" s="41" t="inlineStr">
        <is>
          <t>loạt</t>
        </is>
      </c>
      <c r="N101" s="43" t="n">
        <v>1.67</v>
      </c>
      <c r="O101" s="43" t="n">
        <v>1.67</v>
      </c>
      <c r="P101" s="43" t="n">
        <v>2</v>
      </c>
      <c r="Q101" s="43" t="n">
        <v>2</v>
      </c>
      <c r="R101" s="43" t="n">
        <v>9.91</v>
      </c>
      <c r="S101" s="43" t="n">
        <v>9.91</v>
      </c>
      <c r="T101" s="43" t="n">
        <v>50</v>
      </c>
      <c r="U101" s="43" t="n">
        <v>50</v>
      </c>
      <c r="V101" s="43" t="n">
        <v>20</v>
      </c>
      <c r="W101" s="43" t="n">
        <v>22</v>
      </c>
      <c r="X101" s="51">
        <f>IFERROR(U101/W101,"")</f>
        <v/>
      </c>
      <c r="Y101" s="51" t="n"/>
      <c r="Z101" s="51" t="n"/>
      <c r="AA101" s="51">
        <f>IFERROR(IF(L101="từng phát",J101*N101,J101*P101/(P101/N101+R101)),"")</f>
        <v/>
      </c>
      <c r="AB101" s="51">
        <f>IFERROR(IF(M101="từng phát",K101*O101,K101*Q101/(Q101/O101+S101)),"")</f>
        <v/>
      </c>
      <c r="AC101" s="51">
        <f>IFERROR(AB101*VLOOKUP(E101,'Hệ số'!$A$2:$D$8,2,0)*IF((I101-0)&gt;=2,1.2,IF((I101-0)=1,1,IF((I101-0)=0,0.85,IF((I101-0)=-1,0.5,IF((I101-0)=-2,0.25,0.1))))),"")</f>
        <v/>
      </c>
      <c r="AD101" s="51">
        <f>IFERROR(AB101*VLOOKUP(E101,'Hệ số'!$A$2:$D$8,2,0)*IF((I101-1)&gt;=2,1.2,IF((I101-1)=1,1,IF((I101-1)=0,0.85,IF((I101-1)=-1,0.5,IF((I101-1)=-2,0.25,0.1))))),"")</f>
        <v/>
      </c>
      <c r="AE101" s="51">
        <f>IFERROR(AB101*VLOOKUP(E101,'Hệ số'!$A$2:$D$8,2,0)*IF((I101-2)&gt;=2,1.2,IF((I101-2)=1,1,IF((I101-2)=0,0.85,IF((I101-2)=-1,0.5,IF((I101-2)=-2,0.25,0.1))))),"")</f>
        <v/>
      </c>
      <c r="AF101" s="51">
        <f>IFERROR(AB101*VLOOKUP(E101,'Hệ số'!$A$2:$D$8,2,0)*IF((I101-3)&gt;=2,1.2,IF((I101-3)=1,1,IF((I101-3)=0,0.85,IF((I101-3)=-1,0.5,IF((I101-3)=-2,0.25,0.1))))),"")</f>
        <v/>
      </c>
      <c r="AG101" s="51">
        <f>IFERROR(AB101*VLOOKUP(E101,'Hệ số'!$A$2:$D$8,2,0)*IF((I101-4)&gt;=2,1.2,IF((I101-4)=1,1,IF((I101-4)=0,0.85,IF((I101-4)=-1,0.5,IF((I101-4)=-2,0.25,0.1))))),"")</f>
        <v/>
      </c>
      <c r="AH101" s="51">
        <f>IFERROR(AB101*VLOOKUP(E101,'Hệ số'!$A$2:$D$8,2,0)*IF((I101-5)&gt;=2,1.2,IF((I101-5)=1,1,IF((I101-5)=0,0.85,IF((I101-5)=-1,0.5,IF((I101-5)=-2,0.25,0.1))))),"")</f>
        <v/>
      </c>
      <c r="AI101" s="51">
        <f>IFERROR(AB101*VLOOKUP(E101,'Hệ số'!$A$2:$D$8,3,0),"")</f>
        <v/>
      </c>
      <c r="AJ101" s="51">
        <f>IFERROR(AB101*VLOOKUP(E101,'Hệ số'!$A$2:$D$8,4,0)*IF((I101-2)&gt;=2,1.2,IF((I101-2)=1,1,IF((I101-2)=0,0.85,IF((I101-2)=-1,0.5,IF((I101-2)=-2,0.25,0.1))))),"")</f>
        <v/>
      </c>
      <c r="AK101" s="41" t="inlineStr">
        <is>
          <t>Dẫn đường; bị APS và giáp phản ứng nổ giảm (đầu nổ lõm); bay chậm nên né và khói có tác dụng.</t>
        </is>
      </c>
      <c r="AL101" s="41" t="n"/>
      <c r="AM101" s="41" t="inlineStr">
        <is>
          <t>Kornet</t>
        </is>
      </c>
      <c r="AN101" s="41" t="inlineStr">
        <is>
          <t>Tốc độ bay 20→22 m/s: Thống nhất tốc độ Kornet ở mọi đơn vị (22 m/s).</t>
        </is>
      </c>
      <c r="AO101" s="48" t="inlineStr">
        <is>
          <t>Trung</t>
        </is>
      </c>
    </row>
    <row r="102" ht="21.75" customHeight="1" s="32">
      <c r="A102" s="39" t="inlineStr">
        <is>
          <t>lancet</t>
        </is>
      </c>
      <c r="B102" s="39" t="inlineStr">
        <is>
          <t>ZALA Lancet-3 (3 kg)</t>
        </is>
      </c>
      <c r="C102" s="39" t="inlineStr">
        <is>
          <t>Drone / đạn lảng vảng</t>
        </is>
      </c>
      <c r="D102" s="39" t="inlineStr">
        <is>
          <t>Lancet</t>
        </is>
      </c>
      <c r="E102" s="39" t="inlineStr">
        <is>
          <t>Nổ lõm</t>
        </is>
      </c>
      <c r="F102" s="39" t="inlineStr">
        <is>
          <t>Lancet</t>
        </is>
      </c>
      <c r="G102" s="42" t="n">
        <v>3</v>
      </c>
      <c r="H102" s="42" t="n">
        <v>4</v>
      </c>
      <c r="I102" s="42" t="n">
        <v>4</v>
      </c>
      <c r="J102" s="42" t="n">
        <v>240</v>
      </c>
      <c r="K102" s="42" t="n">
        <v>240</v>
      </c>
      <c r="L102" s="39" t="inlineStr">
        <is>
          <t>từng phát</t>
        </is>
      </c>
      <c r="M102" s="39" t="inlineStr">
        <is>
          <t>từng phát</t>
        </is>
      </c>
      <c r="N102" s="42" t="n">
        <v>0.12</v>
      </c>
      <c r="O102" s="42" t="n">
        <v>0.12</v>
      </c>
      <c r="P102" s="42" t="n">
        <v>1</v>
      </c>
      <c r="Q102" s="42" t="n">
        <v>1</v>
      </c>
      <c r="R102" s="42" t="n">
        <v>8.33333333333333</v>
      </c>
      <c r="S102" s="42" t="n">
        <v>8.33333333333333</v>
      </c>
      <c r="T102" s="42" t="n">
        <v>100</v>
      </c>
      <c r="U102" s="42" t="n">
        <v>100</v>
      </c>
      <c r="V102" s="42" t="n">
        <v>28</v>
      </c>
      <c r="W102" s="42" t="n">
        <v>28</v>
      </c>
      <c r="X102" s="50">
        <f>IFERROR(U102/W102,"")</f>
        <v/>
      </c>
      <c r="Y102" s="50" t="n"/>
      <c r="Z102" s="50" t="n"/>
      <c r="AA102" s="50">
        <f>IFERROR(IF(L102="từng phát",J102*N102,J102*P102/(P102/N102+R102)),"")</f>
        <v/>
      </c>
      <c r="AB102" s="50">
        <f>IFERROR(IF(M102="từng phát",K102*O102,K102*Q102/(Q102/O102+S102)),"")</f>
        <v/>
      </c>
      <c r="AC102" s="50">
        <f>IFERROR(AB102*VLOOKUP(E102,'Hệ số'!$A$2:$D$8,2,0)*IF((I102-0)&gt;=2,1.2,IF((I102-0)=1,1,IF((I102-0)=0,0.85,IF((I102-0)=-1,0.5,IF((I102-0)=-2,0.25,0.1))))),"")</f>
        <v/>
      </c>
      <c r="AD102" s="50">
        <f>IFERROR(AB102*VLOOKUP(E102,'Hệ số'!$A$2:$D$8,2,0)*IF((I102-1)&gt;=2,1.2,IF((I102-1)=1,1,IF((I102-1)=0,0.85,IF((I102-1)=-1,0.5,IF((I102-1)=-2,0.25,0.1))))),"")</f>
        <v/>
      </c>
      <c r="AE102" s="50">
        <f>IFERROR(AB102*VLOOKUP(E102,'Hệ số'!$A$2:$D$8,2,0)*IF((I102-2)&gt;=2,1.2,IF((I102-2)=1,1,IF((I102-2)=0,0.85,IF((I102-2)=-1,0.5,IF((I102-2)=-2,0.25,0.1))))),"")</f>
        <v/>
      </c>
      <c r="AF102" s="50">
        <f>IFERROR(AB102*VLOOKUP(E102,'Hệ số'!$A$2:$D$8,2,0)*IF((I102-3)&gt;=2,1.2,IF((I102-3)=1,1,IF((I102-3)=0,0.85,IF((I102-3)=-1,0.5,IF((I102-3)=-2,0.25,0.1))))),"")</f>
        <v/>
      </c>
      <c r="AG102" s="50">
        <f>IFERROR(AB102*VLOOKUP(E102,'Hệ số'!$A$2:$D$8,2,0)*IF((I102-4)&gt;=2,1.2,IF((I102-4)=1,1,IF((I102-4)=0,0.85,IF((I102-4)=-1,0.5,IF((I102-4)=-2,0.25,0.1))))),"")</f>
        <v/>
      </c>
      <c r="AH102" s="50">
        <f>IFERROR(AB102*VLOOKUP(E102,'Hệ số'!$A$2:$D$8,2,0)*IF((I102-5)&gt;=2,1.2,IF((I102-5)=1,1,IF((I102-5)=0,0.85,IF((I102-5)=-1,0.5,IF((I102-5)=-2,0.25,0.1))))),"")</f>
        <v/>
      </c>
      <c r="AI102" s="50">
        <f>IFERROR(AB102*VLOOKUP(E102,'Hệ số'!$A$2:$D$8,3,0),"")</f>
        <v/>
      </c>
      <c r="AJ102" s="50">
        <f>IFERROR(AB102*VLOOKUP(E102,'Hệ số'!$A$2:$D$8,4,0)*IF((I102-2)&gt;=2,1.2,IF((I102-2)=1,1,IF((I102-2)=0,0.85,IF((I102-2)=-1,0.5,IF((I102-2)=-2,0.25,0.1))))),"")</f>
        <v/>
      </c>
      <c r="AK102" s="39" t="inlineStr">
        <is>
          <t>Bay chậm, lượn tìm mục tiêu, đánh nóc; bị EW, APS, C-RAM, La-de PK và súng máy bắn hạ.</t>
        </is>
      </c>
      <c r="AL102" s="39" t="n"/>
      <c r="AM102" s="39" t="inlineStr">
        <is>
          <t>Lancet-3: đầu nổ 3 kg; tầm 40 km</t>
        </is>
      </c>
      <c r="AN102" s="39" t="inlineStr">
        <is>
          <t>Giữ.</t>
        </is>
      </c>
      <c r="AO102" s="39" t="n"/>
    </row>
    <row r="103" ht="21.75" customHeight="1" s="32">
      <c r="A103" s="41" t="inlineStr">
        <is>
          <t>lancet_hangar</t>
        </is>
      </c>
      <c r="B103" s="41" t="inlineStr">
        <is>
          <t>ZALA Lancet-3 (3 kg)</t>
        </is>
      </c>
      <c r="C103" s="41" t="inlineStr">
        <is>
          <t>Drone / đạn lảng vảng</t>
        </is>
      </c>
      <c r="D103" s="41" t="inlineStr">
        <is>
          <t>Lancet</t>
        </is>
      </c>
      <c r="E103" s="41" t="inlineStr">
        <is>
          <t>Nổ lõm</t>
        </is>
      </c>
      <c r="F103" s="41" t="inlineStr">
        <is>
          <t>Lancet</t>
        </is>
      </c>
      <c r="G103" s="43" t="n">
        <v>3</v>
      </c>
      <c r="H103" s="43" t="n">
        <v>4</v>
      </c>
      <c r="I103" s="43" t="n">
        <v>4</v>
      </c>
      <c r="J103" s="43" t="n">
        <v>240</v>
      </c>
      <c r="K103" s="43" t="n">
        <v>240</v>
      </c>
      <c r="L103" s="41" t="inlineStr">
        <is>
          <t>từng phát</t>
        </is>
      </c>
      <c r="M103" s="41" t="inlineStr">
        <is>
          <t>từng phát</t>
        </is>
      </c>
      <c r="N103" s="43" t="n">
        <v>0.28</v>
      </c>
      <c r="O103" s="43" t="n">
        <v>0.28</v>
      </c>
      <c r="P103" s="43" t="n">
        <v>1</v>
      </c>
      <c r="Q103" s="43" t="n">
        <v>1</v>
      </c>
      <c r="R103" s="43" t="n">
        <v>3.57142857142857</v>
      </c>
      <c r="S103" s="43" t="n">
        <v>3.57142857142857</v>
      </c>
      <c r="T103" s="43" t="n">
        <v>100</v>
      </c>
      <c r="U103" s="43" t="n">
        <v>100</v>
      </c>
      <c r="V103" s="43" t="n">
        <v>28</v>
      </c>
      <c r="W103" s="43" t="n">
        <v>28</v>
      </c>
      <c r="X103" s="51">
        <f>IFERROR(U103/W103,"")</f>
        <v/>
      </c>
      <c r="Y103" s="51" t="n"/>
      <c r="Z103" s="51" t="n"/>
      <c r="AA103" s="51">
        <f>IFERROR(IF(L103="từng phát",J103*N103,J103*P103/(P103/N103+R103)),"")</f>
        <v/>
      </c>
      <c r="AB103" s="51">
        <f>IFERROR(IF(M103="từng phát",K103*O103,K103*Q103/(Q103/O103+S103)),"")</f>
        <v/>
      </c>
      <c r="AC103" s="51">
        <f>IFERROR(AB103*VLOOKUP(E103,'Hệ số'!$A$2:$D$8,2,0)*IF((I103-0)&gt;=2,1.2,IF((I103-0)=1,1,IF((I103-0)=0,0.85,IF((I103-0)=-1,0.5,IF((I103-0)=-2,0.25,0.1))))),"")</f>
        <v/>
      </c>
      <c r="AD103" s="51">
        <f>IFERROR(AB103*VLOOKUP(E103,'Hệ số'!$A$2:$D$8,2,0)*IF((I103-1)&gt;=2,1.2,IF((I103-1)=1,1,IF((I103-1)=0,0.85,IF((I103-1)=-1,0.5,IF((I103-1)=-2,0.25,0.1))))),"")</f>
        <v/>
      </c>
      <c r="AE103" s="51">
        <f>IFERROR(AB103*VLOOKUP(E103,'Hệ số'!$A$2:$D$8,2,0)*IF((I103-2)&gt;=2,1.2,IF((I103-2)=1,1,IF((I103-2)=0,0.85,IF((I103-2)=-1,0.5,IF((I103-2)=-2,0.25,0.1))))),"")</f>
        <v/>
      </c>
      <c r="AF103" s="51">
        <f>IFERROR(AB103*VLOOKUP(E103,'Hệ số'!$A$2:$D$8,2,0)*IF((I103-3)&gt;=2,1.2,IF((I103-3)=1,1,IF((I103-3)=0,0.85,IF((I103-3)=-1,0.5,IF((I103-3)=-2,0.25,0.1))))),"")</f>
        <v/>
      </c>
      <c r="AG103" s="51">
        <f>IFERROR(AB103*VLOOKUP(E103,'Hệ số'!$A$2:$D$8,2,0)*IF((I103-4)&gt;=2,1.2,IF((I103-4)=1,1,IF((I103-4)=0,0.85,IF((I103-4)=-1,0.5,IF((I103-4)=-2,0.25,0.1))))),"")</f>
        <v/>
      </c>
      <c r="AH103" s="51">
        <f>IFERROR(AB103*VLOOKUP(E103,'Hệ số'!$A$2:$D$8,2,0)*IF((I103-5)&gt;=2,1.2,IF((I103-5)=1,1,IF((I103-5)=0,0.85,IF((I103-5)=-1,0.5,IF((I103-5)=-2,0.25,0.1))))),"")</f>
        <v/>
      </c>
      <c r="AI103" s="51">
        <f>IFERROR(AB103*VLOOKUP(E103,'Hệ số'!$A$2:$D$8,3,0),"")</f>
        <v/>
      </c>
      <c r="AJ103" s="51">
        <f>IFERROR(AB103*VLOOKUP(E103,'Hệ số'!$A$2:$D$8,4,0)*IF((I103-2)&gt;=2,1.2,IF((I103-2)=1,1,IF((I103-2)=0,0.85,IF((I103-2)=-1,0.5,IF((I103-2)=-2,0.25,0.1))))),"")</f>
        <v/>
      </c>
      <c r="AK103" s="41" t="inlineStr">
        <is>
          <t>Bay chậm, lượn tìm mục tiêu, đánh nóc; bị EW, APS, C-RAM, La-de PK và súng máy bắn hạ.</t>
        </is>
      </c>
      <c r="AL103" s="41" t="n"/>
      <c r="AM103" s="41" t="inlineStr">
        <is>
          <t>Lancet-3</t>
        </is>
      </c>
      <c r="AN103" s="41" t="inlineStr">
        <is>
          <t>Giữ.</t>
        </is>
      </c>
      <c r="AO103" s="41" t="n"/>
    </row>
    <row r="104" ht="32.25" customHeight="1" s="32">
      <c r="A104" s="39" t="inlineStr">
        <is>
          <t>leviathan_460</t>
        </is>
      </c>
      <c r="B104" s="39" t="inlineStr">
        <is>
          <t>Type 94 460 mm/45</t>
        </is>
      </c>
      <c r="C104" s="39" t="inlineStr">
        <is>
          <t>Đạn pháo nổ mạnh</t>
        </is>
      </c>
      <c r="D104" s="39" t="inlineStr">
        <is>
          <t>Leviathan, Scylla</t>
        </is>
      </c>
      <c r="E104" s="39" t="inlineStr">
        <is>
          <t>Nổ mạnh</t>
        </is>
      </c>
      <c r="F104" s="39" t="inlineStr">
        <is>
          <t>HeShell</t>
        </is>
      </c>
      <c r="G104" s="42" t="n">
        <v>460</v>
      </c>
      <c r="H104" s="42" t="n">
        <v>4</v>
      </c>
      <c r="I104" s="42" t="n">
        <v>4</v>
      </c>
      <c r="J104" s="42" t="n">
        <v>950</v>
      </c>
      <c r="K104" s="42" t="n">
        <v>950</v>
      </c>
      <c r="L104" s="39" t="inlineStr">
        <is>
          <t>từng phát</t>
        </is>
      </c>
      <c r="M104" s="39" t="inlineStr">
        <is>
          <t>từng phát</t>
        </is>
      </c>
      <c r="N104" s="42" t="n">
        <v>0.0714285714285714</v>
      </c>
      <c r="O104" s="42" t="n">
        <v>0.0714285714285714</v>
      </c>
      <c r="P104" s="42" t="n">
        <v>1</v>
      </c>
      <c r="Q104" s="42" t="n">
        <v>1</v>
      </c>
      <c r="R104" s="42" t="n">
        <v>14</v>
      </c>
      <c r="S104" s="42" t="n">
        <v>14</v>
      </c>
      <c r="T104" s="42" t="n">
        <v>160</v>
      </c>
      <c r="U104" s="42" t="n">
        <v>160</v>
      </c>
      <c r="V104" s="42" t="n">
        <v>60</v>
      </c>
      <c r="W104" s="42" t="n">
        <v>60</v>
      </c>
      <c r="X104" s="50">
        <f>IFERROR(U104/W104,"")</f>
        <v/>
      </c>
      <c r="Y104" s="52" t="n">
        <v>7</v>
      </c>
      <c r="Z104" s="52" t="n">
        <v>13</v>
      </c>
      <c r="AA104" s="50">
        <f>IFERROR(IF(L104="từng phát",J104*N104,J104*P104/(P104/N104+R104)),"")</f>
        <v/>
      </c>
      <c r="AB104" s="50">
        <f>IFERROR(IF(M104="từng phát",K104*O104,K104*Q104/(Q104/O104+S104)),"")</f>
        <v/>
      </c>
      <c r="AC104" s="50">
        <f>IFERROR(AB104*VLOOKUP(E104,'Hệ số'!$A$2:$D$8,2,0)*IF((I104-0)&gt;=2,1.2,IF((I104-0)=1,1,IF((I104-0)=0,0.85,IF((I104-0)=-1,0.5,IF((I104-0)=-2,0.25,0.1))))),"")</f>
        <v/>
      </c>
      <c r="AD104" s="50">
        <f>IFERROR(AB104*VLOOKUP(E104,'Hệ số'!$A$2:$D$8,2,0)*IF((I104-1)&gt;=2,1.2,IF((I104-1)=1,1,IF((I104-1)=0,0.85,IF((I104-1)=-1,0.5,IF((I104-1)=-2,0.25,0.1))))),"")</f>
        <v/>
      </c>
      <c r="AE104" s="50">
        <f>IFERROR(AB104*VLOOKUP(E104,'Hệ số'!$A$2:$D$8,2,0)*IF((I104-2)&gt;=2,1.2,IF((I104-2)=1,1,IF((I104-2)=0,0.85,IF((I104-2)=-1,0.5,IF((I104-2)=-2,0.25,0.1))))),"")</f>
        <v/>
      </c>
      <c r="AF104" s="50">
        <f>IFERROR(AB104*VLOOKUP(E104,'Hệ số'!$A$2:$D$8,2,0)*IF((I104-3)&gt;=2,1.2,IF((I104-3)=1,1,IF((I104-3)=0,0.85,IF((I104-3)=-1,0.5,IF((I104-3)=-2,0.25,0.1))))),"")</f>
        <v/>
      </c>
      <c r="AG104" s="50">
        <f>IFERROR(AB104*VLOOKUP(E104,'Hệ số'!$A$2:$D$8,2,0)*IF((I104-4)&gt;=2,1.2,IF((I104-4)=1,1,IF((I104-4)=0,0.85,IF((I104-4)=-1,0.5,IF((I104-4)=-2,0.25,0.1))))),"")</f>
        <v/>
      </c>
      <c r="AH104" s="50">
        <f>IFERROR(AB104*VLOOKUP(E104,'Hệ số'!$A$2:$D$8,2,0)*IF((I104-5)&gt;=2,1.2,IF((I104-5)=1,1,IF((I104-5)=0,0.85,IF((I104-5)=-1,0.5,IF((I104-5)=-2,0.25,0.1))))),"")</f>
        <v/>
      </c>
      <c r="AI104" s="50">
        <f>IFERROR(AB104*VLOOKUP(E104,'Hệ số'!$A$2:$D$8,3,0),"")</f>
        <v/>
      </c>
      <c r="AJ104" s="50">
        <f>IFERROR(AB104*VLOOKUP(E104,'Hệ số'!$A$2:$D$8,4,0)*IF((I104-2)&gt;=2,1.2,IF((I104-2)=1,1,IF((I104-2)=0,0.85,IF((I104-2)=-1,0.5,IF((I104-2)=-2,0.25,0.1))))),"")</f>
        <v/>
      </c>
      <c r="AK104" s="39" t="inlineStr">
        <is>
          <t>Bắn cầu vồng hoặc bắn thẳng tùy pháo; nổ lan; C-RAM chặn được một phần; mạnh với công trình (×1,5).</t>
        </is>
      </c>
      <c r="AL104" s="39" t="inlineStr">
        <is>
          <t>Thêm đạn dẫn đường (Excalibur/Krasnopol: 1 phát, không tản mát) cho nhánh hạng 7 hoặc thẻ hỗ trợ.</t>
        </is>
      </c>
      <c r="AM104" s="39" t="inlineStr">
        <is>
          <t>Type 94 460 mm: 1,5–2 phát/phút, đạn 1,46 tấn</t>
        </is>
      </c>
      <c r="AN104" s="39" t="inlineStr">
        <is>
          <t>Đạn 1,46 tấn phải nổ lớn hơn cối 240 mm.</t>
        </is>
      </c>
      <c r="AO104" s="48" t="inlineStr">
        <is>
          <t>Trung</t>
        </is>
      </c>
    </row>
    <row r="105" ht="21.75" customHeight="1" s="32">
      <c r="A105" s="41" t="inlineStr">
        <is>
          <t>mg_coax</t>
        </is>
      </c>
      <c r="B105" s="41" t="inlineStr">
        <is>
          <t>PKT / M240 7.62 mm</t>
        </is>
      </c>
      <c r="C105" s="41" t="inlineStr">
        <is>
          <t>Súng máy 7,62 mm</t>
        </is>
      </c>
      <c r="D105" s="41" t="inlineStr">
        <is>
          <t>BMPT, Bọc thép, Bọc thép</t>
        </is>
      </c>
      <c r="E105" s="41" t="inlineStr">
        <is>
          <t>Động năng</t>
        </is>
      </c>
      <c r="F105" s="41" t="inlineStr">
        <is>
          <t>BulletSmall</t>
        </is>
      </c>
      <c r="G105" s="43" t="n">
        <v>7.6</v>
      </c>
      <c r="H105" s="43" t="n">
        <v>0</v>
      </c>
      <c r="I105" s="43" t="n">
        <v>0</v>
      </c>
      <c r="J105" s="43" t="n">
        <v>5.5</v>
      </c>
      <c r="K105" s="43" t="n">
        <v>5.5</v>
      </c>
      <c r="L105" s="41" t="inlineStr">
        <is>
          <t>băng</t>
        </is>
      </c>
      <c r="M105" s="41" t="inlineStr">
        <is>
          <t>băng</t>
        </is>
      </c>
      <c r="N105" s="43" t="n">
        <v>12</v>
      </c>
      <c r="O105" s="43" t="n">
        <v>12</v>
      </c>
      <c r="P105" s="43" t="n">
        <v>41</v>
      </c>
      <c r="Q105" s="43" t="n">
        <v>100</v>
      </c>
      <c r="R105" s="43" t="n">
        <v>1.59</v>
      </c>
      <c r="S105" s="43" t="n">
        <v>4</v>
      </c>
      <c r="T105" s="43" t="n">
        <v>20</v>
      </c>
      <c r="U105" s="43" t="n">
        <v>20</v>
      </c>
      <c r="V105" s="43" t="n">
        <v>240</v>
      </c>
      <c r="W105" s="43" t="n">
        <v>240</v>
      </c>
      <c r="X105" s="51">
        <f>IFERROR(U105/W105,"")</f>
        <v/>
      </c>
      <c r="Y105" s="51" t="n"/>
      <c r="Z105" s="51" t="n"/>
      <c r="AA105" s="51">
        <f>IFERROR(IF(L105="từng phát",J105*N105,J105*P105/(P105/N105+R105)),"")</f>
        <v/>
      </c>
      <c r="AB105" s="51">
        <f>IFERROR(IF(M105="từng phát",K105*O105,K105*Q105/(Q105/O105+S105)),"")</f>
        <v/>
      </c>
      <c r="AC105" s="51">
        <f>IFERROR(AB105*VLOOKUP(E105,'Hệ số'!$A$2:$D$8,2,0)*IF((I105-0)&gt;=2,1.2,IF((I105-0)=1,1,IF((I105-0)=0,0.85,IF((I105-0)=-1,0.5,IF((I105-0)=-2,0.25,0.1))))),"")</f>
        <v/>
      </c>
      <c r="AD105" s="51">
        <f>IFERROR(AB105*VLOOKUP(E105,'Hệ số'!$A$2:$D$8,2,0)*IF((I105-1)&gt;=2,1.2,IF((I105-1)=1,1,IF((I105-1)=0,0.85,IF((I105-1)=-1,0.5,IF((I105-1)=-2,0.25,0.1))))),"")</f>
        <v/>
      </c>
      <c r="AE105" s="51">
        <f>IFERROR(AB105*VLOOKUP(E105,'Hệ số'!$A$2:$D$8,2,0)*IF((I105-2)&gt;=2,1.2,IF((I105-2)=1,1,IF((I105-2)=0,0.85,IF((I105-2)=-1,0.5,IF((I105-2)=-2,0.25,0.1))))),"")</f>
        <v/>
      </c>
      <c r="AF105" s="51">
        <f>IFERROR(AB105*VLOOKUP(E105,'Hệ số'!$A$2:$D$8,2,0)*IF((I105-3)&gt;=2,1.2,IF((I105-3)=1,1,IF((I105-3)=0,0.85,IF((I105-3)=-1,0.5,IF((I105-3)=-2,0.25,0.1))))),"")</f>
        <v/>
      </c>
      <c r="AG105" s="51">
        <f>IFERROR(AB105*VLOOKUP(E105,'Hệ số'!$A$2:$D$8,2,0)*IF((I105-4)&gt;=2,1.2,IF((I105-4)=1,1,IF((I105-4)=0,0.85,IF((I105-4)=-1,0.5,IF((I105-4)=-2,0.25,0.1))))),"")</f>
        <v/>
      </c>
      <c r="AH105" s="51">
        <f>IFERROR(AB105*VLOOKUP(E105,'Hệ số'!$A$2:$D$8,2,0)*IF((I105-5)&gt;=2,1.2,IF((I105-5)=1,1,IF((I105-5)=0,0.85,IF((I105-5)=-1,0.5,IF((I105-5)=-2,0.25,0.1))))),"")</f>
        <v/>
      </c>
      <c r="AI105" s="51">
        <f>IFERROR(AB105*VLOOKUP(E105,'Hệ số'!$A$2:$D$8,3,0),"")</f>
        <v/>
      </c>
      <c r="AJ105" s="51">
        <f>IFERROR(AB105*VLOOKUP(E105,'Hệ số'!$A$2:$D$8,4,0)*IF((I105-2)&gt;=2,1.2,IF((I105-2)=1,1,IF((I105-2)=0,0.85,IF((I105-2)=-1,0.5,IF((I105-2)=-2,0.25,0.1))))),"")</f>
        <v/>
      </c>
      <c r="AK105" s="41" t="inlineStr">
        <is>
          <t>Bắn cả khi chạy; bắn cả mục tiêu bay thấp; đạn nảy khỏi giáp từ cấp 1.</t>
        </is>
      </c>
      <c r="AL105" s="41" t="n"/>
      <c r="AM105" s="41" t="inlineStr">
        <is>
          <t>PKT/M240: 650–950</t>
        </is>
      </c>
      <c r="AN105" s="41" t="inlineStr">
        <is>
          <t>Băng 41 viên thay 1,6 s quá ngắn; dây đạn PKT/M240 thật 250 viên. Loạt dài hơn, thay lâu hơn, DPS duy trì gần như cũ.</t>
        </is>
      </c>
      <c r="AO105" s="48" t="inlineStr">
        <is>
          <t>Trung</t>
        </is>
      </c>
    </row>
    <row r="106" ht="21.75" customHeight="1" s="32">
      <c r="A106" s="39" t="inlineStr">
        <is>
          <t>mg_jeep</t>
        </is>
      </c>
      <c r="B106" s="39" t="inlineStr">
        <is>
          <t>M2 Browning 12.7 mm</t>
        </is>
      </c>
      <c r="C106" s="39" t="inlineStr">
        <is>
          <t>Súng máy 12,7 mm</t>
        </is>
      </c>
      <c r="D106" s="39" t="inlineStr">
        <is>
          <t>Trinh sát, Xe tiếp tế</t>
        </is>
      </c>
      <c r="E106" s="39" t="inlineStr">
        <is>
          <t>Động năng</t>
        </is>
      </c>
      <c r="F106" s="39" t="inlineStr">
        <is>
          <t>BulletBig</t>
        </is>
      </c>
      <c r="G106" s="42" t="n">
        <v>12.7</v>
      </c>
      <c r="H106" s="42" t="n">
        <v>1</v>
      </c>
      <c r="I106" s="42" t="n">
        <v>1</v>
      </c>
      <c r="J106" s="42" t="n">
        <v>9.5</v>
      </c>
      <c r="K106" s="42" t="n">
        <v>9.5</v>
      </c>
      <c r="L106" s="39" t="inlineStr">
        <is>
          <t>băng</t>
        </is>
      </c>
      <c r="M106" s="39" t="inlineStr">
        <is>
          <t>băng</t>
        </is>
      </c>
      <c r="N106" s="42" t="n">
        <v>9</v>
      </c>
      <c r="O106" s="42" t="n">
        <v>9</v>
      </c>
      <c r="P106" s="42" t="n">
        <v>28</v>
      </c>
      <c r="Q106" s="42" t="n">
        <v>100</v>
      </c>
      <c r="R106" s="42" t="n">
        <v>1.94</v>
      </c>
      <c r="S106" s="42" t="n">
        <v>5</v>
      </c>
      <c r="T106" s="42" t="n">
        <v>22</v>
      </c>
      <c r="U106" s="42" t="n">
        <v>22</v>
      </c>
      <c r="V106" s="42" t="n">
        <v>220</v>
      </c>
      <c r="W106" s="42" t="n">
        <v>220</v>
      </c>
      <c r="X106" s="50">
        <f>IFERROR(U106/W106,"")</f>
        <v/>
      </c>
      <c r="Y106" s="50" t="n"/>
      <c r="Z106" s="50" t="n"/>
      <c r="AA106" s="50">
        <f>IFERROR(IF(L106="từng phát",J106*N106,J106*P106/(P106/N106+R106)),"")</f>
        <v/>
      </c>
      <c r="AB106" s="50">
        <f>IFERROR(IF(M106="từng phát",K106*O106,K106*Q106/(Q106/O106+S106)),"")</f>
        <v/>
      </c>
      <c r="AC106" s="50">
        <f>IFERROR(AB106*VLOOKUP(E106,'Hệ số'!$A$2:$D$8,2,0)*IF((I106-0)&gt;=2,1.2,IF((I106-0)=1,1,IF((I106-0)=0,0.85,IF((I106-0)=-1,0.5,IF((I106-0)=-2,0.25,0.1))))),"")</f>
        <v/>
      </c>
      <c r="AD106" s="50">
        <f>IFERROR(AB106*VLOOKUP(E106,'Hệ số'!$A$2:$D$8,2,0)*IF((I106-1)&gt;=2,1.2,IF((I106-1)=1,1,IF((I106-1)=0,0.85,IF((I106-1)=-1,0.5,IF((I106-1)=-2,0.25,0.1))))),"")</f>
        <v/>
      </c>
      <c r="AE106" s="50">
        <f>IFERROR(AB106*VLOOKUP(E106,'Hệ số'!$A$2:$D$8,2,0)*IF((I106-2)&gt;=2,1.2,IF((I106-2)=1,1,IF((I106-2)=0,0.85,IF((I106-2)=-1,0.5,IF((I106-2)=-2,0.25,0.1))))),"")</f>
        <v/>
      </c>
      <c r="AF106" s="50">
        <f>IFERROR(AB106*VLOOKUP(E106,'Hệ số'!$A$2:$D$8,2,0)*IF((I106-3)&gt;=2,1.2,IF((I106-3)=1,1,IF((I106-3)=0,0.85,IF((I106-3)=-1,0.5,IF((I106-3)=-2,0.25,0.1))))),"")</f>
        <v/>
      </c>
      <c r="AG106" s="50">
        <f>IFERROR(AB106*VLOOKUP(E106,'Hệ số'!$A$2:$D$8,2,0)*IF((I106-4)&gt;=2,1.2,IF((I106-4)=1,1,IF((I106-4)=0,0.85,IF((I106-4)=-1,0.5,IF((I106-4)=-2,0.25,0.1))))),"")</f>
        <v/>
      </c>
      <c r="AH106" s="50">
        <f>IFERROR(AB106*VLOOKUP(E106,'Hệ số'!$A$2:$D$8,2,0)*IF((I106-5)&gt;=2,1.2,IF((I106-5)=1,1,IF((I106-5)=0,0.85,IF((I106-5)=-1,0.5,IF((I106-5)=-2,0.25,0.1))))),"")</f>
        <v/>
      </c>
      <c r="AI106" s="50">
        <f>IFERROR(AB106*VLOOKUP(E106,'Hệ số'!$A$2:$D$8,3,0),"")</f>
        <v/>
      </c>
      <c r="AJ106" s="50">
        <f>IFERROR(AB106*VLOOKUP(E106,'Hệ số'!$A$2:$D$8,4,0)*IF((I106-2)&gt;=2,1.2,IF((I106-2)=1,1,IF((I106-2)=0,0.85,IF((I106-2)=-1,0.5,IF((I106-2)=-2,0.25,0.1))))),"")</f>
        <v/>
      </c>
      <c r="AK106" s="39" t="inlineStr">
        <is>
          <t>Bắn cả khi chạy; mạnh với xe không giáp, drone, trực thăng; nảy khỏi giáp từ cấp 2.</t>
        </is>
      </c>
      <c r="AL106" s="39" t="inlineStr">
        <is>
          <t>Đạn xuyên API (xuyên 2) cho bản tinh nhuệ.</t>
        </is>
      </c>
      <c r="AM106" s="39" t="inlineStr">
        <is>
          <t>M2: 450–600</t>
        </is>
      </c>
      <c r="AN106" s="39" t="inlineStr">
        <is>
          <t>Như M2.</t>
        </is>
      </c>
      <c r="AO106" s="48" t="inlineStr">
        <is>
          <t>Trung</t>
        </is>
      </c>
    </row>
    <row r="107" ht="21.75" customHeight="1" s="32">
      <c r="A107" s="41" t="inlineStr">
        <is>
          <t>mg_jeep_selfdef</t>
        </is>
      </c>
      <c r="B107" s="41" t="inlineStr">
        <is>
          <t>M2 Browning 12.7 mm</t>
        </is>
      </c>
      <c r="C107" s="41" t="inlineStr">
        <is>
          <t>Súng máy 12,7 mm</t>
        </is>
      </c>
      <c r="D107" s="41" t="inlineStr">
        <is>
          <t>Bán tải</t>
        </is>
      </c>
      <c r="E107" s="41" t="inlineStr">
        <is>
          <t>Động năng</t>
        </is>
      </c>
      <c r="F107" s="41" t="inlineStr">
        <is>
          <t>BulletBig</t>
        </is>
      </c>
      <c r="G107" s="43" t="n">
        <v>12.7</v>
      </c>
      <c r="H107" s="43" t="n">
        <v>1</v>
      </c>
      <c r="I107" s="43" t="n">
        <v>1</v>
      </c>
      <c r="J107" s="43" t="n">
        <v>9.5</v>
      </c>
      <c r="K107" s="43" t="n">
        <v>9.5</v>
      </c>
      <c r="L107" s="41" t="inlineStr">
        <is>
          <t>băng</t>
        </is>
      </c>
      <c r="M107" s="41" t="inlineStr">
        <is>
          <t>băng</t>
        </is>
      </c>
      <c r="N107" s="43" t="n">
        <v>9</v>
      </c>
      <c r="O107" s="43" t="n">
        <v>9</v>
      </c>
      <c r="P107" s="43" t="n">
        <v>28</v>
      </c>
      <c r="Q107" s="43" t="n">
        <v>100</v>
      </c>
      <c r="R107" s="43" t="n">
        <v>1.94</v>
      </c>
      <c r="S107" s="43" t="n">
        <v>5</v>
      </c>
      <c r="T107" s="43" t="n">
        <v>13</v>
      </c>
      <c r="U107" s="43" t="n">
        <v>13</v>
      </c>
      <c r="V107" s="43" t="n">
        <v>220</v>
      </c>
      <c r="W107" s="43" t="n">
        <v>220</v>
      </c>
      <c r="X107" s="51">
        <f>IFERROR(U107/W107,"")</f>
        <v/>
      </c>
      <c r="Y107" s="51" t="n"/>
      <c r="Z107" s="51" t="n"/>
      <c r="AA107" s="51">
        <f>IFERROR(IF(L107="từng phát",J107*N107,J107*P107/(P107/N107+R107)),"")</f>
        <v/>
      </c>
      <c r="AB107" s="51">
        <f>IFERROR(IF(M107="từng phát",K107*O107,K107*Q107/(Q107/O107+S107)),"")</f>
        <v/>
      </c>
      <c r="AC107" s="51">
        <f>IFERROR(AB107*VLOOKUP(E107,'Hệ số'!$A$2:$D$8,2,0)*IF((I107-0)&gt;=2,1.2,IF((I107-0)=1,1,IF((I107-0)=0,0.85,IF((I107-0)=-1,0.5,IF((I107-0)=-2,0.25,0.1))))),"")</f>
        <v/>
      </c>
      <c r="AD107" s="51">
        <f>IFERROR(AB107*VLOOKUP(E107,'Hệ số'!$A$2:$D$8,2,0)*IF((I107-1)&gt;=2,1.2,IF((I107-1)=1,1,IF((I107-1)=0,0.85,IF((I107-1)=-1,0.5,IF((I107-1)=-2,0.25,0.1))))),"")</f>
        <v/>
      </c>
      <c r="AE107" s="51">
        <f>IFERROR(AB107*VLOOKUP(E107,'Hệ số'!$A$2:$D$8,2,0)*IF((I107-2)&gt;=2,1.2,IF((I107-2)=1,1,IF((I107-2)=0,0.85,IF((I107-2)=-1,0.5,IF((I107-2)=-2,0.25,0.1))))),"")</f>
        <v/>
      </c>
      <c r="AF107" s="51">
        <f>IFERROR(AB107*VLOOKUP(E107,'Hệ số'!$A$2:$D$8,2,0)*IF((I107-3)&gt;=2,1.2,IF((I107-3)=1,1,IF((I107-3)=0,0.85,IF((I107-3)=-1,0.5,IF((I107-3)=-2,0.25,0.1))))),"")</f>
        <v/>
      </c>
      <c r="AG107" s="51">
        <f>IFERROR(AB107*VLOOKUP(E107,'Hệ số'!$A$2:$D$8,2,0)*IF((I107-4)&gt;=2,1.2,IF((I107-4)=1,1,IF((I107-4)=0,0.85,IF((I107-4)=-1,0.5,IF((I107-4)=-2,0.25,0.1))))),"")</f>
        <v/>
      </c>
      <c r="AH107" s="51">
        <f>IFERROR(AB107*VLOOKUP(E107,'Hệ số'!$A$2:$D$8,2,0)*IF((I107-5)&gt;=2,1.2,IF((I107-5)=1,1,IF((I107-5)=0,0.85,IF((I107-5)=-1,0.5,IF((I107-5)=-2,0.25,0.1))))),"")</f>
        <v/>
      </c>
      <c r="AI107" s="51">
        <f>IFERROR(AB107*VLOOKUP(E107,'Hệ số'!$A$2:$D$8,3,0),"")</f>
        <v/>
      </c>
      <c r="AJ107" s="51">
        <f>IFERROR(AB107*VLOOKUP(E107,'Hệ số'!$A$2:$D$8,4,0)*IF((I107-2)&gt;=2,1.2,IF((I107-2)=1,1,IF((I107-2)=0,0.85,IF((I107-2)=-1,0.5,IF((I107-2)=-2,0.25,0.1))))),"")</f>
        <v/>
      </c>
      <c r="AK107" s="41" t="inlineStr">
        <is>
          <t>Bắn cả khi chạy; mạnh với xe không giáp, drone, trực thăng; nảy khỏi giáp từ cấp 2.</t>
        </is>
      </c>
      <c r="AL107" s="41" t="inlineStr">
        <is>
          <t>Đạn xuyên API (xuyên 2) cho bản tinh nhuệ.</t>
        </is>
      </c>
      <c r="AM107" s="41" t="n"/>
      <c r="AN107" s="41" t="inlineStr">
        <is>
          <t>Như M2.</t>
        </is>
      </c>
      <c r="AO107" s="48" t="inlineStr">
        <is>
          <t>Trung</t>
        </is>
      </c>
    </row>
    <row r="108" ht="21.75" customHeight="1" s="32">
      <c r="A108" s="39" t="inlineStr">
        <is>
          <t>minigun</t>
        </is>
      </c>
      <c r="B108" s="39" t="inlineStr">
        <is>
          <t>M134 Minigun 7.62</t>
        </is>
      </c>
      <c r="C108" s="39" t="inlineStr">
        <is>
          <t>Súng máy 7,62 mm</t>
        </is>
      </c>
      <c r="D108" s="39" t="inlineStr">
        <is>
          <t>TT trinh sát</t>
        </is>
      </c>
      <c r="E108" s="39" t="inlineStr">
        <is>
          <t>Động năng</t>
        </is>
      </c>
      <c r="F108" s="39" t="inlineStr">
        <is>
          <t>BulletSmall</t>
        </is>
      </c>
      <c r="G108" s="42" t="n">
        <v>7.6</v>
      </c>
      <c r="H108" s="42" t="n">
        <v>0</v>
      </c>
      <c r="I108" s="42" t="n">
        <v>0</v>
      </c>
      <c r="J108" s="42" t="n">
        <v>5.5</v>
      </c>
      <c r="K108" s="42" t="n">
        <v>5.5</v>
      </c>
      <c r="L108" s="39" t="inlineStr">
        <is>
          <t>băng</t>
        </is>
      </c>
      <c r="M108" s="39" t="inlineStr">
        <is>
          <t>băng</t>
        </is>
      </c>
      <c r="N108" s="42" t="n">
        <v>50</v>
      </c>
      <c r="O108" s="42" t="n">
        <v>50</v>
      </c>
      <c r="P108" s="42" t="n">
        <v>64</v>
      </c>
      <c r="Q108" s="42" t="n">
        <v>200</v>
      </c>
      <c r="R108" s="42" t="n">
        <v>4.81</v>
      </c>
      <c r="S108" s="42" t="n">
        <v>4</v>
      </c>
      <c r="T108" s="42" t="n">
        <v>24</v>
      </c>
      <c r="U108" s="42" t="n">
        <v>24</v>
      </c>
      <c r="V108" s="42" t="n">
        <v>240</v>
      </c>
      <c r="W108" s="42" t="n">
        <v>240</v>
      </c>
      <c r="X108" s="50">
        <f>IFERROR(U108/W108,"")</f>
        <v/>
      </c>
      <c r="Y108" s="50" t="n"/>
      <c r="Z108" s="50" t="n"/>
      <c r="AA108" s="50">
        <f>IFERROR(IF(L108="từng phát",J108*N108,J108*P108/(P108/N108+R108)),"")</f>
        <v/>
      </c>
      <c r="AB108" s="50">
        <f>IFERROR(IF(M108="từng phát",K108*O108,K108*Q108/(Q108/O108+S108)),"")</f>
        <v/>
      </c>
      <c r="AC108" s="50">
        <f>IFERROR(AB108*VLOOKUP(E108,'Hệ số'!$A$2:$D$8,2,0)*IF((I108-0)&gt;=2,1.2,IF((I108-0)=1,1,IF((I108-0)=0,0.85,IF((I108-0)=-1,0.5,IF((I108-0)=-2,0.25,0.1))))),"")</f>
        <v/>
      </c>
      <c r="AD108" s="50">
        <f>IFERROR(AB108*VLOOKUP(E108,'Hệ số'!$A$2:$D$8,2,0)*IF((I108-1)&gt;=2,1.2,IF((I108-1)=1,1,IF((I108-1)=0,0.85,IF((I108-1)=-1,0.5,IF((I108-1)=-2,0.25,0.1))))),"")</f>
        <v/>
      </c>
      <c r="AE108" s="50">
        <f>IFERROR(AB108*VLOOKUP(E108,'Hệ số'!$A$2:$D$8,2,0)*IF((I108-2)&gt;=2,1.2,IF((I108-2)=1,1,IF((I108-2)=0,0.85,IF((I108-2)=-1,0.5,IF((I108-2)=-2,0.25,0.1))))),"")</f>
        <v/>
      </c>
      <c r="AF108" s="50">
        <f>IFERROR(AB108*VLOOKUP(E108,'Hệ số'!$A$2:$D$8,2,0)*IF((I108-3)&gt;=2,1.2,IF((I108-3)=1,1,IF((I108-3)=0,0.85,IF((I108-3)=-1,0.5,IF((I108-3)=-2,0.25,0.1))))),"")</f>
        <v/>
      </c>
      <c r="AG108" s="50">
        <f>IFERROR(AB108*VLOOKUP(E108,'Hệ số'!$A$2:$D$8,2,0)*IF((I108-4)&gt;=2,1.2,IF((I108-4)=1,1,IF((I108-4)=0,0.85,IF((I108-4)=-1,0.5,IF((I108-4)=-2,0.25,0.1))))),"")</f>
        <v/>
      </c>
      <c r="AH108" s="50">
        <f>IFERROR(AB108*VLOOKUP(E108,'Hệ số'!$A$2:$D$8,2,0)*IF((I108-5)&gt;=2,1.2,IF((I108-5)=1,1,IF((I108-5)=0,0.85,IF((I108-5)=-1,0.5,IF((I108-5)=-2,0.25,0.1))))),"")</f>
        <v/>
      </c>
      <c r="AI108" s="50">
        <f>IFERROR(AB108*VLOOKUP(E108,'Hệ số'!$A$2:$D$8,3,0),"")</f>
        <v/>
      </c>
      <c r="AJ108" s="50">
        <f>IFERROR(AB108*VLOOKUP(E108,'Hệ số'!$A$2:$D$8,4,0)*IF((I108-2)&gt;=2,1.2,IF((I108-2)=1,1,IF((I108-2)=0,0.85,IF((I108-2)=-1,0.5,IF((I108-2)=-2,0.25,0.1))))),"")</f>
        <v/>
      </c>
      <c r="AK108" s="39" t="inlineStr">
        <is>
          <t>Bắn cả khi chạy; bắn cả mục tiêu bay thấp; đạn nảy khỏi giáp từ cấp 1.</t>
        </is>
      </c>
      <c r="AL108" s="39" t="n"/>
      <c r="AM108" s="39" t="inlineStr">
        <is>
          <t>M134: 2.000–6.000</t>
        </is>
      </c>
      <c r="AN108" s="39" t="inlineStr">
        <is>
          <t>M134 bắn luồng dài rồi nghỉ; hiện băng quá ngắn.</t>
        </is>
      </c>
      <c r="AO108" s="48" t="inlineStr">
        <is>
          <t>Trung</t>
        </is>
      </c>
    </row>
    <row r="109" ht="21.75" customHeight="1" s="32">
      <c r="A109" s="41" t="inlineStr">
        <is>
          <t>mlrs_elite</t>
        </is>
      </c>
      <c r="B109" s="41" t="inlineStr">
        <is>
          <t>M30 GMLRS 227 mm</t>
        </is>
      </c>
      <c r="C109" s="41" t="inlineStr">
        <is>
          <t>Rốc-két</t>
        </is>
      </c>
      <c r="D109" s="41" t="inlineStr">
        <is>
          <t>Phản lực TN</t>
        </is>
      </c>
      <c r="E109" s="41" t="inlineStr">
        <is>
          <t>Nổ mạnh</t>
        </is>
      </c>
      <c r="F109" s="41" t="inlineStr">
        <is>
          <t>Cluster</t>
        </is>
      </c>
      <c r="G109" s="43" t="n">
        <v>227</v>
      </c>
      <c r="H109" s="43" t="n">
        <v>3</v>
      </c>
      <c r="I109" s="43" t="n">
        <v>3</v>
      </c>
      <c r="J109" s="43" t="n">
        <v>105</v>
      </c>
      <c r="K109" s="43" t="n">
        <v>105</v>
      </c>
      <c r="L109" s="41" t="inlineStr">
        <is>
          <t>loạt</t>
        </is>
      </c>
      <c r="M109" s="41" t="inlineStr">
        <is>
          <t>loạt</t>
        </is>
      </c>
      <c r="N109" s="43" t="n">
        <v>7.14</v>
      </c>
      <c r="O109" s="43" t="n">
        <v>7.14</v>
      </c>
      <c r="P109" s="43" t="n">
        <v>5</v>
      </c>
      <c r="Q109" s="43" t="n">
        <v>5</v>
      </c>
      <c r="R109" s="43" t="n">
        <v>9.69</v>
      </c>
      <c r="S109" s="43" t="n">
        <v>9.69</v>
      </c>
      <c r="T109" s="43" t="n">
        <v>75</v>
      </c>
      <c r="U109" s="43" t="n">
        <v>75</v>
      </c>
      <c r="V109" s="43" t="n">
        <v>52</v>
      </c>
      <c r="W109" s="43" t="n">
        <v>50</v>
      </c>
      <c r="X109" s="51">
        <f>IFERROR(U109/W109,"")</f>
        <v/>
      </c>
      <c r="Y109" s="53" t="n">
        <v>5</v>
      </c>
      <c r="Z109" s="53" t="n">
        <v>5</v>
      </c>
      <c r="AA109" s="51">
        <f>IFERROR(IF(L109="từng phát",J109*N109,J109*P109/(P109/N109+R109)),"")</f>
        <v/>
      </c>
      <c r="AB109" s="51">
        <f>IFERROR(IF(M109="từng phát",K109*O109,K109*Q109/(Q109/O109+S109)),"")</f>
        <v/>
      </c>
      <c r="AC109" s="51">
        <f>IFERROR(AB109*VLOOKUP(E109,'Hệ số'!$A$2:$D$8,2,0)*IF((I109-0)&gt;=2,1.2,IF((I109-0)=1,1,IF((I109-0)=0,0.85,IF((I109-0)=-1,0.5,IF((I109-0)=-2,0.25,0.1))))),"")</f>
        <v/>
      </c>
      <c r="AD109" s="51">
        <f>IFERROR(AB109*VLOOKUP(E109,'Hệ số'!$A$2:$D$8,2,0)*IF((I109-1)&gt;=2,1.2,IF((I109-1)=1,1,IF((I109-1)=0,0.85,IF((I109-1)=-1,0.5,IF((I109-1)=-2,0.25,0.1))))),"")</f>
        <v/>
      </c>
      <c r="AE109" s="51">
        <f>IFERROR(AB109*VLOOKUP(E109,'Hệ số'!$A$2:$D$8,2,0)*IF((I109-2)&gt;=2,1.2,IF((I109-2)=1,1,IF((I109-2)=0,0.85,IF((I109-2)=-1,0.5,IF((I109-2)=-2,0.25,0.1))))),"")</f>
        <v/>
      </c>
      <c r="AF109" s="51">
        <f>IFERROR(AB109*VLOOKUP(E109,'Hệ số'!$A$2:$D$8,2,0)*IF((I109-3)&gt;=2,1.2,IF((I109-3)=1,1,IF((I109-3)=0,0.85,IF((I109-3)=-1,0.5,IF((I109-3)=-2,0.25,0.1))))),"")</f>
        <v/>
      </c>
      <c r="AG109" s="51">
        <f>IFERROR(AB109*VLOOKUP(E109,'Hệ số'!$A$2:$D$8,2,0)*IF((I109-4)&gt;=2,1.2,IF((I109-4)=1,1,IF((I109-4)=0,0.85,IF((I109-4)=-1,0.5,IF((I109-4)=-2,0.25,0.1))))),"")</f>
        <v/>
      </c>
      <c r="AH109" s="51">
        <f>IFERROR(AB109*VLOOKUP(E109,'Hệ số'!$A$2:$D$8,2,0)*IF((I109-5)&gt;=2,1.2,IF((I109-5)=1,1,IF((I109-5)=0,0.85,IF((I109-5)=-1,0.5,IF((I109-5)=-2,0.25,0.1))))),"")</f>
        <v/>
      </c>
      <c r="AI109" s="51">
        <f>IFERROR(AB109*VLOOKUP(E109,'Hệ số'!$A$2:$D$8,3,0),"")</f>
        <v/>
      </c>
      <c r="AJ109" s="51">
        <f>IFERROR(AB109*VLOOKUP(E109,'Hệ số'!$A$2:$D$8,4,0)*IF((I109-2)&gt;=2,1.2,IF((I109-2)=1,1,IF((I109-2)=0,0.85,IF((I109-2)=-1,0.5,IF((I109-2)=-2,0.25,0.1))))),"")</f>
        <v/>
      </c>
      <c r="AK109" s="41" t="inlineStr">
        <is>
          <t>Bắn loạt phủ vùng, tản mát; C-RAM, Vòm Sắt và La-de PK bắn hạ được từng quả.</t>
        </is>
      </c>
      <c r="AL109" s="41" t="n"/>
      <c r="AM109" s="41" t="inlineStr">
        <is>
          <t>GMLRS</t>
        </is>
      </c>
      <c r="AN109" s="41" t="inlineStr">
        <is>
          <t>Tốc độ bay 52→50 m/s: Thống nhất tốc độ GMLRS ở mọi đơn vị (50 m/s).</t>
        </is>
      </c>
      <c r="AO109" s="48" t="inlineStr">
        <is>
          <t>Trung</t>
        </is>
      </c>
    </row>
    <row r="110" ht="21.75" customHeight="1" s="32">
      <c r="A110" s="39" t="inlineStr">
        <is>
          <t>mlrs_rockets</t>
        </is>
      </c>
      <c r="B110" s="39" t="inlineStr">
        <is>
          <t>M31 GMLRS 227 mm</t>
        </is>
      </c>
      <c r="C110" s="39" t="inlineStr">
        <is>
          <t>Rốc-két</t>
        </is>
      </c>
      <c r="D110" s="39" t="inlineStr">
        <is>
          <t>Phản lực</t>
        </is>
      </c>
      <c r="E110" s="39" t="inlineStr">
        <is>
          <t>Nổ mạnh</t>
        </is>
      </c>
      <c r="F110" s="39" t="inlineStr">
        <is>
          <t>RocketBig</t>
        </is>
      </c>
      <c r="G110" s="42" t="n">
        <v>227</v>
      </c>
      <c r="H110" s="42" t="n">
        <v>3</v>
      </c>
      <c r="I110" s="42" t="n">
        <v>3</v>
      </c>
      <c r="J110" s="42" t="n">
        <v>100</v>
      </c>
      <c r="K110" s="42" t="n">
        <v>100</v>
      </c>
      <c r="L110" s="39" t="inlineStr">
        <is>
          <t>loạt</t>
        </is>
      </c>
      <c r="M110" s="39" t="inlineStr">
        <is>
          <t>loạt</t>
        </is>
      </c>
      <c r="N110" s="42" t="n">
        <v>3.33</v>
      </c>
      <c r="O110" s="42" t="n">
        <v>3.33</v>
      </c>
      <c r="P110" s="42" t="n">
        <v>5</v>
      </c>
      <c r="Q110" s="42" t="n">
        <v>5</v>
      </c>
      <c r="R110" s="42" t="n">
        <v>9.94</v>
      </c>
      <c r="S110" s="42" t="n">
        <v>9.94</v>
      </c>
      <c r="T110" s="42" t="n">
        <v>110</v>
      </c>
      <c r="U110" s="42" t="n">
        <v>110</v>
      </c>
      <c r="V110" s="42" t="n">
        <v>52</v>
      </c>
      <c r="W110" s="42" t="n">
        <v>50</v>
      </c>
      <c r="X110" s="50">
        <f>IFERROR(U110/W110,"")</f>
        <v/>
      </c>
      <c r="Y110" s="52" t="n">
        <v>4.5</v>
      </c>
      <c r="Z110" s="52" t="n">
        <v>4.5</v>
      </c>
      <c r="AA110" s="50">
        <f>IFERROR(IF(L110="từng phát",J110*N110,J110*P110/(P110/N110+R110)),"")</f>
        <v/>
      </c>
      <c r="AB110" s="50">
        <f>IFERROR(IF(M110="từng phát",K110*O110,K110*Q110/(Q110/O110+S110)),"")</f>
        <v/>
      </c>
      <c r="AC110" s="50">
        <f>IFERROR(AB110*VLOOKUP(E110,'Hệ số'!$A$2:$D$8,2,0)*IF((I110-0)&gt;=2,1.2,IF((I110-0)=1,1,IF((I110-0)=0,0.85,IF((I110-0)=-1,0.5,IF((I110-0)=-2,0.25,0.1))))),"")</f>
        <v/>
      </c>
      <c r="AD110" s="50">
        <f>IFERROR(AB110*VLOOKUP(E110,'Hệ số'!$A$2:$D$8,2,0)*IF((I110-1)&gt;=2,1.2,IF((I110-1)=1,1,IF((I110-1)=0,0.85,IF((I110-1)=-1,0.5,IF((I110-1)=-2,0.25,0.1))))),"")</f>
        <v/>
      </c>
      <c r="AE110" s="50">
        <f>IFERROR(AB110*VLOOKUP(E110,'Hệ số'!$A$2:$D$8,2,0)*IF((I110-2)&gt;=2,1.2,IF((I110-2)=1,1,IF((I110-2)=0,0.85,IF((I110-2)=-1,0.5,IF((I110-2)=-2,0.25,0.1))))),"")</f>
        <v/>
      </c>
      <c r="AF110" s="50">
        <f>IFERROR(AB110*VLOOKUP(E110,'Hệ số'!$A$2:$D$8,2,0)*IF((I110-3)&gt;=2,1.2,IF((I110-3)=1,1,IF((I110-3)=0,0.85,IF((I110-3)=-1,0.5,IF((I110-3)=-2,0.25,0.1))))),"")</f>
        <v/>
      </c>
      <c r="AG110" s="50">
        <f>IFERROR(AB110*VLOOKUP(E110,'Hệ số'!$A$2:$D$8,2,0)*IF((I110-4)&gt;=2,1.2,IF((I110-4)=1,1,IF((I110-4)=0,0.85,IF((I110-4)=-1,0.5,IF((I110-4)=-2,0.25,0.1))))),"")</f>
        <v/>
      </c>
      <c r="AH110" s="50">
        <f>IFERROR(AB110*VLOOKUP(E110,'Hệ số'!$A$2:$D$8,2,0)*IF((I110-5)&gt;=2,1.2,IF((I110-5)=1,1,IF((I110-5)=0,0.85,IF((I110-5)=-1,0.5,IF((I110-5)=-2,0.25,0.1))))),"")</f>
        <v/>
      </c>
      <c r="AI110" s="50">
        <f>IFERROR(AB110*VLOOKUP(E110,'Hệ số'!$A$2:$D$8,3,0),"")</f>
        <v/>
      </c>
      <c r="AJ110" s="50">
        <f>IFERROR(AB110*VLOOKUP(E110,'Hệ số'!$A$2:$D$8,4,0)*IF((I110-2)&gt;=2,1.2,IF((I110-2)=1,1,IF((I110-2)=0,0.85,IF((I110-2)=-1,0.5,IF((I110-2)=-2,0.25,0.1))))),"")</f>
        <v/>
      </c>
      <c r="AK110" s="39" t="inlineStr">
        <is>
          <t>Bắn loạt phủ vùng, tản mát; C-RAM, Vòm Sắt và La-de PK bắn hạ được từng quả.</t>
        </is>
      </c>
      <c r="AL110" s="39" t="n"/>
      <c r="AM110" s="39" t="inlineStr">
        <is>
          <t>GMLRS: 6 quả / ~45 s; tầm 70–80 km; đầu nổ 90 kg</t>
        </is>
      </c>
      <c r="AN110" s="39" t="inlineStr">
        <is>
          <t>Tốc độ bay 52→50 m/s: GMLRS: bay ~2,2 s ở tầm 110.</t>
        </is>
      </c>
      <c r="AO110" s="48" t="inlineStr">
        <is>
          <t>Trung</t>
        </is>
      </c>
    </row>
    <row r="111" ht="21.75" customHeight="1" s="32">
      <c r="A111" s="41" t="inlineStr">
        <is>
          <t>mortar_120</t>
        </is>
      </c>
      <c r="B111" s="41" t="inlineStr">
        <is>
          <t>2B11 120 mm</t>
        </is>
      </c>
      <c r="C111" s="41" t="inlineStr">
        <is>
          <t>Đạn cối</t>
        </is>
      </c>
      <c r="D111" s="41" t="inlineStr">
        <is>
          <t>Súng cối</t>
        </is>
      </c>
      <c r="E111" s="41" t="inlineStr">
        <is>
          <t>Nổ mạnh</t>
        </is>
      </c>
      <c r="F111" s="41" t="inlineStr">
        <is>
          <t>MortarBomb</t>
        </is>
      </c>
      <c r="G111" s="43" t="n">
        <v>120</v>
      </c>
      <c r="H111" s="43" t="n">
        <v>2</v>
      </c>
      <c r="I111" s="43" t="n">
        <v>2</v>
      </c>
      <c r="J111" s="43" t="n">
        <v>150</v>
      </c>
      <c r="K111" s="43" t="n">
        <v>150</v>
      </c>
      <c r="L111" s="41" t="inlineStr">
        <is>
          <t>từng phát</t>
        </is>
      </c>
      <c r="M111" s="41" t="inlineStr">
        <is>
          <t>từng phát</t>
        </is>
      </c>
      <c r="N111" s="43" t="n">
        <v>0.17</v>
      </c>
      <c r="O111" s="43" t="n">
        <v>0.2</v>
      </c>
      <c r="P111" s="43" t="n">
        <v>1</v>
      </c>
      <c r="Q111" s="43" t="n">
        <v>1</v>
      </c>
      <c r="R111" s="43" t="n">
        <v>5.88235294117647</v>
      </c>
      <c r="S111" s="43" t="n">
        <v>5.88235294117647</v>
      </c>
      <c r="T111" s="43" t="n">
        <v>55</v>
      </c>
      <c r="U111" s="43" t="n">
        <v>55</v>
      </c>
      <c r="V111" s="43" t="n">
        <v>32</v>
      </c>
      <c r="W111" s="43" t="n">
        <v>32</v>
      </c>
      <c r="X111" s="51">
        <f>IFERROR(U111/W111,"")</f>
        <v/>
      </c>
      <c r="Y111" s="53" t="n">
        <v>5</v>
      </c>
      <c r="Z111" s="53" t="n">
        <v>5</v>
      </c>
      <c r="AA111" s="51">
        <f>IFERROR(IF(L111="từng phát",J111*N111,J111*P111/(P111/N111+R111)),"")</f>
        <v/>
      </c>
      <c r="AB111" s="51">
        <f>IFERROR(IF(M111="từng phát",K111*O111,K111*Q111/(Q111/O111+S111)),"")</f>
        <v/>
      </c>
      <c r="AC111" s="51">
        <f>IFERROR(AB111*VLOOKUP(E111,'Hệ số'!$A$2:$D$8,2,0)*IF((I111-0)&gt;=2,1.2,IF((I111-0)=1,1,IF((I111-0)=0,0.85,IF((I111-0)=-1,0.5,IF((I111-0)=-2,0.25,0.1))))),"")</f>
        <v/>
      </c>
      <c r="AD111" s="51">
        <f>IFERROR(AB111*VLOOKUP(E111,'Hệ số'!$A$2:$D$8,2,0)*IF((I111-1)&gt;=2,1.2,IF((I111-1)=1,1,IF((I111-1)=0,0.85,IF((I111-1)=-1,0.5,IF((I111-1)=-2,0.25,0.1))))),"")</f>
        <v/>
      </c>
      <c r="AE111" s="51">
        <f>IFERROR(AB111*VLOOKUP(E111,'Hệ số'!$A$2:$D$8,2,0)*IF((I111-2)&gt;=2,1.2,IF((I111-2)=1,1,IF((I111-2)=0,0.85,IF((I111-2)=-1,0.5,IF((I111-2)=-2,0.25,0.1))))),"")</f>
        <v/>
      </c>
      <c r="AF111" s="51">
        <f>IFERROR(AB111*VLOOKUP(E111,'Hệ số'!$A$2:$D$8,2,0)*IF((I111-3)&gt;=2,1.2,IF((I111-3)=1,1,IF((I111-3)=0,0.85,IF((I111-3)=-1,0.5,IF((I111-3)=-2,0.25,0.1))))),"")</f>
        <v/>
      </c>
      <c r="AG111" s="51">
        <f>IFERROR(AB111*VLOOKUP(E111,'Hệ số'!$A$2:$D$8,2,0)*IF((I111-4)&gt;=2,1.2,IF((I111-4)=1,1,IF((I111-4)=0,0.85,IF((I111-4)=-1,0.5,IF((I111-4)=-2,0.25,0.1))))),"")</f>
        <v/>
      </c>
      <c r="AH111" s="51">
        <f>IFERROR(AB111*VLOOKUP(E111,'Hệ số'!$A$2:$D$8,2,0)*IF((I111-5)&gt;=2,1.2,IF((I111-5)=1,1,IF((I111-5)=0,0.85,IF((I111-5)=-1,0.5,IF((I111-5)=-2,0.25,0.1))))),"")</f>
        <v/>
      </c>
      <c r="AI111" s="51">
        <f>IFERROR(AB111*VLOOKUP(E111,'Hệ số'!$A$2:$D$8,3,0),"")</f>
        <v/>
      </c>
      <c r="AJ111" s="51">
        <f>IFERROR(AB111*VLOOKUP(E111,'Hệ số'!$A$2:$D$8,4,0)*IF((I111-2)&gt;=2,1.2,IF((I111-2)=1,1,IF((I111-2)=0,0.85,IF((I111-2)=-1,0.5,IF((I111-2)=-2,0.25,0.1))))),"")</f>
        <v/>
      </c>
      <c r="AK111" s="41" t="inlineStr">
        <is>
          <t>Bắn cầu vồng dốc, qua được tường; có tầm tối thiểu; C-RAM và Vòm Sắt bắn hạ được.</t>
        </is>
      </c>
      <c r="AL111" s="41" t="n"/>
      <c r="AM111" s="41" t="inlineStr">
        <is>
          <t>2B11 120 mm: 15 phát/phút; tầm 7 km</t>
        </is>
      </c>
      <c r="AN111" s="41" t="inlineStr">
        <is>
          <t>2B11 thật 15 phát/phút.</t>
        </is>
      </c>
      <c r="AO111" s="48" t="inlineStr">
        <is>
          <t>Trung</t>
        </is>
      </c>
    </row>
    <row r="112" ht="21.75" customHeight="1" s="32">
      <c r="A112" s="39" t="inlineStr">
        <is>
          <t>mortar_240_fixed</t>
        </is>
      </c>
      <c r="B112" s="39" t="inlineStr">
        <is>
          <t>2B8 240 mm</t>
        </is>
      </c>
      <c r="C112" s="39" t="inlineStr">
        <is>
          <t>Đạn cối</t>
        </is>
      </c>
      <c r="D112" s="39" t="inlineStr">
        <is>
          <t>Cối nặng</t>
        </is>
      </c>
      <c r="E112" s="39" t="inlineStr">
        <is>
          <t>Nổ mạnh</t>
        </is>
      </c>
      <c r="F112" s="39" t="inlineStr">
        <is>
          <t>MortarBomb</t>
        </is>
      </c>
      <c r="G112" s="42" t="n">
        <v>240</v>
      </c>
      <c r="H112" s="42" t="n">
        <v>4</v>
      </c>
      <c r="I112" s="42" t="n">
        <v>4</v>
      </c>
      <c r="J112" s="42" t="n">
        <v>450</v>
      </c>
      <c r="K112" s="42" t="n">
        <v>450</v>
      </c>
      <c r="L112" s="39" t="inlineStr">
        <is>
          <t>từng phát</t>
        </is>
      </c>
      <c r="M112" s="39" t="inlineStr">
        <is>
          <t>từng phát</t>
        </is>
      </c>
      <c r="N112" s="42" t="n">
        <v>0.15</v>
      </c>
      <c r="O112" s="42" t="n">
        <v>0.2</v>
      </c>
      <c r="P112" s="42" t="n">
        <v>1</v>
      </c>
      <c r="Q112" s="42" t="n">
        <v>1</v>
      </c>
      <c r="R112" s="42" t="n">
        <v>6.66666666666667</v>
      </c>
      <c r="S112" s="42" t="n">
        <v>5</v>
      </c>
      <c r="T112" s="42" t="n">
        <v>60</v>
      </c>
      <c r="U112" s="42" t="n">
        <v>60</v>
      </c>
      <c r="V112" s="42" t="n">
        <v>30</v>
      </c>
      <c r="W112" s="42" t="n">
        <v>30</v>
      </c>
      <c r="X112" s="50">
        <f>IFERROR(U112/W112,"")</f>
        <v/>
      </c>
      <c r="Y112" s="52" t="n">
        <v>9</v>
      </c>
      <c r="Z112" s="52" t="n">
        <v>9</v>
      </c>
      <c r="AA112" s="50">
        <f>IFERROR(IF(L112="từng phát",J112*N112,J112*P112/(P112/N112+R112)),"")</f>
        <v/>
      </c>
      <c r="AB112" s="50">
        <f>IFERROR(IF(M112="từng phát",K112*O112,K112*Q112/(Q112/O112+S112)),"")</f>
        <v/>
      </c>
      <c r="AC112" s="50">
        <f>IFERROR(AB112*VLOOKUP(E112,'Hệ số'!$A$2:$D$8,2,0)*IF((I112-0)&gt;=2,1.2,IF((I112-0)=1,1,IF((I112-0)=0,0.85,IF((I112-0)=-1,0.5,IF((I112-0)=-2,0.25,0.1))))),"")</f>
        <v/>
      </c>
      <c r="AD112" s="50">
        <f>IFERROR(AB112*VLOOKUP(E112,'Hệ số'!$A$2:$D$8,2,0)*IF((I112-1)&gt;=2,1.2,IF((I112-1)=1,1,IF((I112-1)=0,0.85,IF((I112-1)=-1,0.5,IF((I112-1)=-2,0.25,0.1))))),"")</f>
        <v/>
      </c>
      <c r="AE112" s="50">
        <f>IFERROR(AB112*VLOOKUP(E112,'Hệ số'!$A$2:$D$8,2,0)*IF((I112-2)&gt;=2,1.2,IF((I112-2)=1,1,IF((I112-2)=0,0.85,IF((I112-2)=-1,0.5,IF((I112-2)=-2,0.25,0.1))))),"")</f>
        <v/>
      </c>
      <c r="AF112" s="50">
        <f>IFERROR(AB112*VLOOKUP(E112,'Hệ số'!$A$2:$D$8,2,0)*IF((I112-3)&gt;=2,1.2,IF((I112-3)=1,1,IF((I112-3)=0,0.85,IF((I112-3)=-1,0.5,IF((I112-3)=-2,0.25,0.1))))),"")</f>
        <v/>
      </c>
      <c r="AG112" s="50">
        <f>IFERROR(AB112*VLOOKUP(E112,'Hệ số'!$A$2:$D$8,2,0)*IF((I112-4)&gt;=2,1.2,IF((I112-4)=1,1,IF((I112-4)=0,0.85,IF((I112-4)=-1,0.5,IF((I112-4)=-2,0.25,0.1))))),"")</f>
        <v/>
      </c>
      <c r="AH112" s="50">
        <f>IFERROR(AB112*VLOOKUP(E112,'Hệ số'!$A$2:$D$8,2,0)*IF((I112-5)&gt;=2,1.2,IF((I112-5)=1,1,IF((I112-5)=0,0.85,IF((I112-5)=-1,0.5,IF((I112-5)=-2,0.25,0.1))))),"")</f>
        <v/>
      </c>
      <c r="AI112" s="50">
        <f>IFERROR(AB112*VLOOKUP(E112,'Hệ số'!$A$2:$D$8,3,0),"")</f>
        <v/>
      </c>
      <c r="AJ112" s="50">
        <f>IFERROR(AB112*VLOOKUP(E112,'Hệ số'!$A$2:$D$8,4,0)*IF((I112-2)&gt;=2,1.2,IF((I112-2)=1,1,IF((I112-2)=0,0.85,IF((I112-2)=-1,0.5,IF((I112-2)=-2,0.25,0.1))))),"")</f>
        <v/>
      </c>
      <c r="AK112" s="39" t="inlineStr">
        <is>
          <t>Bắn cầu vồng dốc, qua được tường; có tầm tối thiểu; C-RAM và Vòm Sắt bắn hạ được.</t>
        </is>
      </c>
      <c r="AL112" s="39" t="n"/>
      <c r="AM112" s="39" t="inlineStr">
        <is>
          <t>2B8 240 mm (2S4): ~1 phát/phút</t>
        </is>
      </c>
      <c r="AN112" s="39" t="inlineStr">
        <is>
          <t>Nhánh cối 240 mm đang yếu hơn lựu pháo gốc.</t>
        </is>
      </c>
      <c r="AO112" s="48" t="inlineStr">
        <is>
          <t>Trung</t>
        </is>
      </c>
    </row>
    <row r="113" ht="21.75" customHeight="1" s="32">
      <c r="A113" s="41" t="inlineStr">
        <is>
          <t>mothership_cannon</t>
        </is>
      </c>
      <c r="B113" s="41" t="inlineStr">
        <is>
          <t>AU-220 57 mm</t>
        </is>
      </c>
      <c r="C113" s="41" t="inlineStr">
        <is>
          <t>Pháo tự động 57 mm</t>
        </is>
      </c>
      <c r="D113" s="41" t="inlineStr">
        <is>
          <t>Matriarch</t>
        </is>
      </c>
      <c r="E113" s="41" t="inlineStr">
        <is>
          <t>Nổ mạnh</t>
        </is>
      </c>
      <c r="F113" s="41" t="inlineStr">
        <is>
          <t>BeltedAutocannon</t>
        </is>
      </c>
      <c r="G113" s="43" t="n">
        <v>57</v>
      </c>
      <c r="H113" s="43" t="n">
        <v>2</v>
      </c>
      <c r="I113" s="43" t="n">
        <v>2</v>
      </c>
      <c r="J113" s="43" t="n">
        <v>70</v>
      </c>
      <c r="K113" s="43" t="n">
        <v>70</v>
      </c>
      <c r="L113" s="41" t="inlineStr">
        <is>
          <t>loạt</t>
        </is>
      </c>
      <c r="M113" s="41" t="inlineStr">
        <is>
          <t>loạt</t>
        </is>
      </c>
      <c r="N113" s="43" t="n">
        <v>2</v>
      </c>
      <c r="O113" s="43" t="n">
        <v>2</v>
      </c>
      <c r="P113" s="43" t="n">
        <v>4</v>
      </c>
      <c r="Q113" s="43" t="n">
        <v>4</v>
      </c>
      <c r="R113" s="43" t="n">
        <v>2.79</v>
      </c>
      <c r="S113" s="43" t="n">
        <v>2.79</v>
      </c>
      <c r="T113" s="43" t="n">
        <v>45</v>
      </c>
      <c r="U113" s="43" t="n">
        <v>45</v>
      </c>
      <c r="V113" s="43" t="n">
        <v>150</v>
      </c>
      <c r="W113" s="43" t="n">
        <v>150</v>
      </c>
      <c r="X113" s="51">
        <f>IFERROR(U113/W113,"")</f>
        <v/>
      </c>
      <c r="Y113" s="53" t="n">
        <v>3.5</v>
      </c>
      <c r="Z113" s="53" t="n">
        <v>3.5</v>
      </c>
      <c r="AA113" s="51">
        <f>IFERROR(IF(L113="từng phát",J113*N113,J113*P113/(P113/N113+R113)),"")</f>
        <v/>
      </c>
      <c r="AB113" s="51">
        <f>IFERROR(IF(M113="từng phát",K113*O113,K113*Q113/(Q113/O113+S113)),"")</f>
        <v/>
      </c>
      <c r="AC113" s="51">
        <f>IFERROR(AB113*VLOOKUP(E113,'Hệ số'!$A$2:$D$8,2,0)*IF((I113-0)&gt;=2,1.2,IF((I113-0)=1,1,IF((I113-0)=0,0.85,IF((I113-0)=-1,0.5,IF((I113-0)=-2,0.25,0.1))))),"")</f>
        <v/>
      </c>
      <c r="AD113" s="51">
        <f>IFERROR(AB113*VLOOKUP(E113,'Hệ số'!$A$2:$D$8,2,0)*IF((I113-1)&gt;=2,1.2,IF((I113-1)=1,1,IF((I113-1)=0,0.85,IF((I113-1)=-1,0.5,IF((I113-1)=-2,0.25,0.1))))),"")</f>
        <v/>
      </c>
      <c r="AE113" s="51">
        <f>IFERROR(AB113*VLOOKUP(E113,'Hệ số'!$A$2:$D$8,2,0)*IF((I113-2)&gt;=2,1.2,IF((I113-2)=1,1,IF((I113-2)=0,0.85,IF((I113-2)=-1,0.5,IF((I113-2)=-2,0.25,0.1))))),"")</f>
        <v/>
      </c>
      <c r="AF113" s="51">
        <f>IFERROR(AB113*VLOOKUP(E113,'Hệ số'!$A$2:$D$8,2,0)*IF((I113-3)&gt;=2,1.2,IF((I113-3)=1,1,IF((I113-3)=0,0.85,IF((I113-3)=-1,0.5,IF((I113-3)=-2,0.25,0.1))))),"")</f>
        <v/>
      </c>
      <c r="AG113" s="51">
        <f>IFERROR(AB113*VLOOKUP(E113,'Hệ số'!$A$2:$D$8,2,0)*IF((I113-4)&gt;=2,1.2,IF((I113-4)=1,1,IF((I113-4)=0,0.85,IF((I113-4)=-1,0.5,IF((I113-4)=-2,0.25,0.1))))),"")</f>
        <v/>
      </c>
      <c r="AH113" s="51">
        <f>IFERROR(AB113*VLOOKUP(E113,'Hệ số'!$A$2:$D$8,2,0)*IF((I113-5)&gt;=2,1.2,IF((I113-5)=1,1,IF((I113-5)=0,0.85,IF((I113-5)=-1,0.5,IF((I113-5)=-2,0.25,0.1))))),"")</f>
        <v/>
      </c>
      <c r="AI113" s="51">
        <f>IFERROR(AB113*VLOOKUP(E113,'Hệ số'!$A$2:$D$8,3,0),"")</f>
        <v/>
      </c>
      <c r="AJ113" s="51">
        <f>IFERROR(AB113*VLOOKUP(E113,'Hệ số'!$A$2:$D$8,4,0)*IF((I113-2)&gt;=2,1.2,IF((I113-2)=1,1,IF((I113-2)=0,0.85,IF((I113-2)=-1,0.5,IF((I113-2)=-2,0.25,0.1))))),"")</f>
        <v/>
      </c>
      <c r="AK113" s="41" t="inlineStr">
        <is>
          <t>Bắn loạt ngắn; đạn lập trình nổ trên không; bắn được xe bọc thép nhẹ.</t>
        </is>
      </c>
      <c r="AL113" s="41" t="n"/>
      <c r="AM113" s="41" t="inlineStr">
        <is>
          <t>AU-220M: 120 phát/phút</t>
        </is>
      </c>
      <c r="AN113" s="41" t="inlineStr">
        <is>
          <t>Giữ.</t>
        </is>
      </c>
      <c r="AO113" s="41" t="n"/>
    </row>
    <row r="114" ht="21.75" customHeight="1" s="32">
      <c r="A114" s="39" t="inlineStr">
        <is>
          <t>mothership_drones</t>
        </is>
      </c>
      <c r="B114" s="39" t="inlineStr">
        <is>
          <t>ZALA Lancet-3 (3 kg)</t>
        </is>
      </c>
      <c r="C114" s="39" t="inlineStr">
        <is>
          <t>Drone / đạn lảng vảng</t>
        </is>
      </c>
      <c r="D114" s="39" t="inlineStr">
        <is>
          <t>Hive, Locust, Matriarch</t>
        </is>
      </c>
      <c r="E114" s="39" t="inlineStr">
        <is>
          <t>Nổ lõm</t>
        </is>
      </c>
      <c r="F114" s="39" t="inlineStr">
        <is>
          <t>Lancet</t>
        </is>
      </c>
      <c r="G114" s="42" t="n">
        <v>3</v>
      </c>
      <c r="H114" s="42" t="n">
        <v>4</v>
      </c>
      <c r="I114" s="42" t="n">
        <v>4</v>
      </c>
      <c r="J114" s="42" t="n">
        <v>240</v>
      </c>
      <c r="K114" s="42" t="n">
        <v>240</v>
      </c>
      <c r="L114" s="39" t="inlineStr">
        <is>
          <t>loạt</t>
        </is>
      </c>
      <c r="M114" s="39" t="inlineStr">
        <is>
          <t>loạt</t>
        </is>
      </c>
      <c r="N114" s="42" t="n">
        <v>3.33</v>
      </c>
      <c r="O114" s="42" t="n">
        <v>3.33</v>
      </c>
      <c r="P114" s="42" t="n">
        <v>4</v>
      </c>
      <c r="Q114" s="42" t="n">
        <v>4</v>
      </c>
      <c r="R114" s="42" t="n">
        <v>8.17</v>
      </c>
      <c r="S114" s="42" t="n">
        <v>8.17</v>
      </c>
      <c r="T114" s="42" t="n">
        <v>70</v>
      </c>
      <c r="U114" s="42" t="n">
        <v>70</v>
      </c>
      <c r="V114" s="42" t="n">
        <v>16</v>
      </c>
      <c r="W114" s="42" t="n">
        <v>28</v>
      </c>
      <c r="X114" s="50">
        <f>IFERROR(U114/W114,"")</f>
        <v/>
      </c>
      <c r="Y114" s="52" t="n">
        <v>3</v>
      </c>
      <c r="Z114" s="52" t="n">
        <v>3</v>
      </c>
      <c r="AA114" s="50">
        <f>IFERROR(IF(L114="từng phát",J114*N114,J114*P114/(P114/N114+R114)),"")</f>
        <v/>
      </c>
      <c r="AB114" s="50">
        <f>IFERROR(IF(M114="từng phát",K114*O114,K114*Q114/(Q114/O114+S114)),"")</f>
        <v/>
      </c>
      <c r="AC114" s="50">
        <f>IFERROR(AB114*VLOOKUP(E114,'Hệ số'!$A$2:$D$8,2,0)*IF((I114-0)&gt;=2,1.2,IF((I114-0)=1,1,IF((I114-0)=0,0.85,IF((I114-0)=-1,0.5,IF((I114-0)=-2,0.25,0.1))))),"")</f>
        <v/>
      </c>
      <c r="AD114" s="50">
        <f>IFERROR(AB114*VLOOKUP(E114,'Hệ số'!$A$2:$D$8,2,0)*IF((I114-1)&gt;=2,1.2,IF((I114-1)=1,1,IF((I114-1)=0,0.85,IF((I114-1)=-1,0.5,IF((I114-1)=-2,0.25,0.1))))),"")</f>
        <v/>
      </c>
      <c r="AE114" s="50">
        <f>IFERROR(AB114*VLOOKUP(E114,'Hệ số'!$A$2:$D$8,2,0)*IF((I114-2)&gt;=2,1.2,IF((I114-2)=1,1,IF((I114-2)=0,0.85,IF((I114-2)=-1,0.5,IF((I114-2)=-2,0.25,0.1))))),"")</f>
        <v/>
      </c>
      <c r="AF114" s="50">
        <f>IFERROR(AB114*VLOOKUP(E114,'Hệ số'!$A$2:$D$8,2,0)*IF((I114-3)&gt;=2,1.2,IF((I114-3)=1,1,IF((I114-3)=0,0.85,IF((I114-3)=-1,0.5,IF((I114-3)=-2,0.25,0.1))))),"")</f>
        <v/>
      </c>
      <c r="AG114" s="50">
        <f>IFERROR(AB114*VLOOKUP(E114,'Hệ số'!$A$2:$D$8,2,0)*IF((I114-4)&gt;=2,1.2,IF((I114-4)=1,1,IF((I114-4)=0,0.85,IF((I114-4)=-1,0.5,IF((I114-4)=-2,0.25,0.1))))),"")</f>
        <v/>
      </c>
      <c r="AH114" s="50">
        <f>IFERROR(AB114*VLOOKUP(E114,'Hệ số'!$A$2:$D$8,2,0)*IF((I114-5)&gt;=2,1.2,IF((I114-5)=1,1,IF((I114-5)=0,0.85,IF((I114-5)=-1,0.5,IF((I114-5)=-2,0.25,0.1))))),"")</f>
        <v/>
      </c>
      <c r="AI114" s="50">
        <f>IFERROR(AB114*VLOOKUP(E114,'Hệ số'!$A$2:$D$8,3,0),"")</f>
        <v/>
      </c>
      <c r="AJ114" s="50">
        <f>IFERROR(AB114*VLOOKUP(E114,'Hệ số'!$A$2:$D$8,4,0)*IF((I114-2)&gt;=2,1.2,IF((I114-2)=1,1,IF((I114-2)=0,0.85,IF((I114-2)=-1,0.5,IF((I114-2)=-2,0.25,0.1))))),"")</f>
        <v/>
      </c>
      <c r="AK114" s="39" t="inlineStr">
        <is>
          <t>Bay chậm, lượn tìm mục tiêu, đánh nóc; bị EW, APS, C-RAM, La-de PK và súng máy bắn hạ.</t>
        </is>
      </c>
      <c r="AL114" s="39" t="n"/>
      <c r="AM114" s="39" t="inlineStr">
        <is>
          <t>Lancet-3</t>
        </is>
      </c>
      <c r="AN114" s="39" t="inlineStr">
        <is>
          <t>Tốc độ bay 16→28 m/s: Cùng Lancet nhưng đang 16: thống nhất 28.</t>
        </is>
      </c>
      <c r="AO114" s="48" t="inlineStr">
        <is>
          <t>Trung</t>
        </is>
      </c>
    </row>
    <row r="115" ht="32.25" customHeight="1" s="32">
      <c r="A115" s="41" t="inlineStr">
        <is>
          <t>naval_100</t>
        </is>
      </c>
      <c r="B115" s="41" t="inlineStr">
        <is>
          <t>AK-100 100 mm</t>
        </is>
      </c>
      <c r="C115" s="41" t="inlineStr">
        <is>
          <t>Đạn pháo nổ mạnh</t>
        </is>
      </c>
      <c r="D115" s="41" t="inlineStr">
        <is>
          <t>Typhon</t>
        </is>
      </c>
      <c r="E115" s="41" t="inlineStr">
        <is>
          <t>Nổ mạnh</t>
        </is>
      </c>
      <c r="F115" s="41" t="inlineStr">
        <is>
          <t>HeShell</t>
        </is>
      </c>
      <c r="G115" s="43" t="n">
        <v>100</v>
      </c>
      <c r="H115" s="43" t="n">
        <v>3</v>
      </c>
      <c r="I115" s="43" t="n">
        <v>3</v>
      </c>
      <c r="J115" s="43" t="n">
        <v>160</v>
      </c>
      <c r="K115" s="43" t="n">
        <v>160</v>
      </c>
      <c r="L115" s="41" t="inlineStr">
        <is>
          <t>loạt</t>
        </is>
      </c>
      <c r="M115" s="41" t="inlineStr">
        <is>
          <t>loạt</t>
        </is>
      </c>
      <c r="N115" s="43" t="n">
        <v>2</v>
      </c>
      <c r="O115" s="43" t="n">
        <v>2</v>
      </c>
      <c r="P115" s="43" t="n">
        <v>2</v>
      </c>
      <c r="Q115" s="43" t="n">
        <v>2</v>
      </c>
      <c r="R115" s="43" t="n">
        <v>3</v>
      </c>
      <c r="S115" s="43" t="n">
        <v>3</v>
      </c>
      <c r="T115" s="43" t="n">
        <v>90</v>
      </c>
      <c r="U115" s="43" t="n">
        <v>90</v>
      </c>
      <c r="V115" s="43" t="n">
        <v>110</v>
      </c>
      <c r="W115" s="43" t="n">
        <v>110</v>
      </c>
      <c r="X115" s="51">
        <f>IFERROR(U115/W115,"")</f>
        <v/>
      </c>
      <c r="Y115" s="53" t="n">
        <v>3.5</v>
      </c>
      <c r="Z115" s="53" t="n">
        <v>3.5</v>
      </c>
      <c r="AA115" s="51">
        <f>IFERROR(IF(L115="từng phát",J115*N115,J115*P115/(P115/N115+R115)),"")</f>
        <v/>
      </c>
      <c r="AB115" s="51">
        <f>IFERROR(IF(M115="từng phát",K115*O115,K115*Q115/(Q115/O115+S115)),"")</f>
        <v/>
      </c>
      <c r="AC115" s="51">
        <f>IFERROR(AB115*VLOOKUP(E115,'Hệ số'!$A$2:$D$8,2,0)*IF((I115-0)&gt;=2,1.2,IF((I115-0)=1,1,IF((I115-0)=0,0.85,IF((I115-0)=-1,0.5,IF((I115-0)=-2,0.25,0.1))))),"")</f>
        <v/>
      </c>
      <c r="AD115" s="51">
        <f>IFERROR(AB115*VLOOKUP(E115,'Hệ số'!$A$2:$D$8,2,0)*IF((I115-1)&gt;=2,1.2,IF((I115-1)=1,1,IF((I115-1)=0,0.85,IF((I115-1)=-1,0.5,IF((I115-1)=-2,0.25,0.1))))),"")</f>
        <v/>
      </c>
      <c r="AE115" s="51">
        <f>IFERROR(AB115*VLOOKUP(E115,'Hệ số'!$A$2:$D$8,2,0)*IF((I115-2)&gt;=2,1.2,IF((I115-2)=1,1,IF((I115-2)=0,0.85,IF((I115-2)=-1,0.5,IF((I115-2)=-2,0.25,0.1))))),"")</f>
        <v/>
      </c>
      <c r="AF115" s="51">
        <f>IFERROR(AB115*VLOOKUP(E115,'Hệ số'!$A$2:$D$8,2,0)*IF((I115-3)&gt;=2,1.2,IF((I115-3)=1,1,IF((I115-3)=0,0.85,IF((I115-3)=-1,0.5,IF((I115-3)=-2,0.25,0.1))))),"")</f>
        <v/>
      </c>
      <c r="AG115" s="51">
        <f>IFERROR(AB115*VLOOKUP(E115,'Hệ số'!$A$2:$D$8,2,0)*IF((I115-4)&gt;=2,1.2,IF((I115-4)=1,1,IF((I115-4)=0,0.85,IF((I115-4)=-1,0.5,IF((I115-4)=-2,0.25,0.1))))),"")</f>
        <v/>
      </c>
      <c r="AH115" s="51">
        <f>IFERROR(AB115*VLOOKUP(E115,'Hệ số'!$A$2:$D$8,2,0)*IF((I115-5)&gt;=2,1.2,IF((I115-5)=1,1,IF((I115-5)=0,0.85,IF((I115-5)=-1,0.5,IF((I115-5)=-2,0.25,0.1))))),"")</f>
        <v/>
      </c>
      <c r="AI115" s="51">
        <f>IFERROR(AB115*VLOOKUP(E115,'Hệ số'!$A$2:$D$8,3,0),"")</f>
        <v/>
      </c>
      <c r="AJ115" s="51">
        <f>IFERROR(AB115*VLOOKUP(E115,'Hệ số'!$A$2:$D$8,4,0)*IF((I115-2)&gt;=2,1.2,IF((I115-2)=1,1,IF((I115-2)=0,0.85,IF((I115-2)=-1,0.5,IF((I115-2)=-2,0.25,0.1))))),"")</f>
        <v/>
      </c>
      <c r="AK115" s="41" t="inlineStr">
        <is>
          <t>Bắn cầu vồng hoặc bắn thẳng tùy pháo; nổ lan; C-RAM chặn được một phần; mạnh với công trình (×1,5).</t>
        </is>
      </c>
      <c r="AL115" s="41" t="inlineStr">
        <is>
          <t>Thêm đạn dẫn đường (Excalibur/Krasnopol: 1 phát, không tản mát) cho nhánh hạng 7 hoặc thẻ hỗ trợ.</t>
        </is>
      </c>
      <c r="AM115" s="41" t="inlineStr">
        <is>
          <t>AK-100: 60 phát/phút</t>
        </is>
      </c>
      <c r="AN115" s="41" t="inlineStr">
        <is>
          <t>Giữ.</t>
        </is>
      </c>
      <c r="AO115" s="41" t="n"/>
    </row>
    <row r="116" ht="32.25" customHeight="1" s="32">
      <c r="A116" s="39" t="inlineStr">
        <is>
          <t>naval_155_triple</t>
        </is>
      </c>
      <c r="B116" s="39" t="inlineStr">
        <is>
          <t>155 mm/60 (triple)</t>
        </is>
      </c>
      <c r="C116" s="39" t="inlineStr">
        <is>
          <t>Đạn pháo nổ mạnh</t>
        </is>
      </c>
      <c r="D116" s="39" t="inlineStr">
        <is>
          <t>Leviathan</t>
        </is>
      </c>
      <c r="E116" s="39" t="inlineStr">
        <is>
          <t>Nổ mạnh</t>
        </is>
      </c>
      <c r="F116" s="39" t="inlineStr">
        <is>
          <t>HeShell</t>
        </is>
      </c>
      <c r="G116" s="42" t="n">
        <v>155</v>
      </c>
      <c r="H116" s="42" t="n">
        <v>3</v>
      </c>
      <c r="I116" s="42" t="n">
        <v>3</v>
      </c>
      <c r="J116" s="42" t="n">
        <v>320</v>
      </c>
      <c r="K116" s="42" t="n">
        <v>320</v>
      </c>
      <c r="L116" s="39" t="inlineStr">
        <is>
          <t>loạt</t>
        </is>
      </c>
      <c r="M116" s="39" t="inlineStr">
        <is>
          <t>loạt</t>
        </is>
      </c>
      <c r="N116" s="42" t="n">
        <v>4</v>
      </c>
      <c r="O116" s="42" t="n">
        <v>4</v>
      </c>
      <c r="P116" s="42" t="n">
        <v>3</v>
      </c>
      <c r="Q116" s="42" t="n">
        <v>3</v>
      </c>
      <c r="R116" s="42" t="n">
        <v>10</v>
      </c>
      <c r="S116" s="42" t="n">
        <v>10</v>
      </c>
      <c r="T116" s="42" t="n">
        <v>110</v>
      </c>
      <c r="U116" s="42" t="n">
        <v>110</v>
      </c>
      <c r="V116" s="42" t="n">
        <v>110</v>
      </c>
      <c r="W116" s="42" t="n">
        <v>110</v>
      </c>
      <c r="X116" s="50">
        <f>IFERROR(U116/W116,"")</f>
        <v/>
      </c>
      <c r="Y116" s="52" t="n">
        <v>4.5</v>
      </c>
      <c r="Z116" s="52" t="n">
        <v>4.5</v>
      </c>
      <c r="AA116" s="50">
        <f>IFERROR(IF(L116="từng phát",J116*N116,J116*P116/(P116/N116+R116)),"")</f>
        <v/>
      </c>
      <c r="AB116" s="50">
        <f>IFERROR(IF(M116="từng phát",K116*O116,K116*Q116/(Q116/O116+S116)),"")</f>
        <v/>
      </c>
      <c r="AC116" s="50">
        <f>IFERROR(AB116*VLOOKUP(E116,'Hệ số'!$A$2:$D$8,2,0)*IF((I116-0)&gt;=2,1.2,IF((I116-0)=1,1,IF((I116-0)=0,0.85,IF((I116-0)=-1,0.5,IF((I116-0)=-2,0.25,0.1))))),"")</f>
        <v/>
      </c>
      <c r="AD116" s="50">
        <f>IFERROR(AB116*VLOOKUP(E116,'Hệ số'!$A$2:$D$8,2,0)*IF((I116-1)&gt;=2,1.2,IF((I116-1)=1,1,IF((I116-1)=0,0.85,IF((I116-1)=-1,0.5,IF((I116-1)=-2,0.25,0.1))))),"")</f>
        <v/>
      </c>
      <c r="AE116" s="50">
        <f>IFERROR(AB116*VLOOKUP(E116,'Hệ số'!$A$2:$D$8,2,0)*IF((I116-2)&gt;=2,1.2,IF((I116-2)=1,1,IF((I116-2)=0,0.85,IF((I116-2)=-1,0.5,IF((I116-2)=-2,0.25,0.1))))),"")</f>
        <v/>
      </c>
      <c r="AF116" s="50">
        <f>IFERROR(AB116*VLOOKUP(E116,'Hệ số'!$A$2:$D$8,2,0)*IF((I116-3)&gt;=2,1.2,IF((I116-3)=1,1,IF((I116-3)=0,0.85,IF((I116-3)=-1,0.5,IF((I116-3)=-2,0.25,0.1))))),"")</f>
        <v/>
      </c>
      <c r="AG116" s="50">
        <f>IFERROR(AB116*VLOOKUP(E116,'Hệ số'!$A$2:$D$8,2,0)*IF((I116-4)&gt;=2,1.2,IF((I116-4)=1,1,IF((I116-4)=0,0.85,IF((I116-4)=-1,0.5,IF((I116-4)=-2,0.25,0.1))))),"")</f>
        <v/>
      </c>
      <c r="AH116" s="50">
        <f>IFERROR(AB116*VLOOKUP(E116,'Hệ số'!$A$2:$D$8,2,0)*IF((I116-5)&gt;=2,1.2,IF((I116-5)=1,1,IF((I116-5)=0,0.85,IF((I116-5)=-1,0.5,IF((I116-5)=-2,0.25,0.1))))),"")</f>
        <v/>
      </c>
      <c r="AI116" s="50">
        <f>IFERROR(AB116*VLOOKUP(E116,'Hệ số'!$A$2:$D$8,3,0),"")</f>
        <v/>
      </c>
      <c r="AJ116" s="50">
        <f>IFERROR(AB116*VLOOKUP(E116,'Hệ số'!$A$2:$D$8,4,0)*IF((I116-2)&gt;=2,1.2,IF((I116-2)=1,1,IF((I116-2)=0,0.85,IF((I116-2)=-1,0.5,IF((I116-2)=-2,0.25,0.1))))),"")</f>
        <v/>
      </c>
      <c r="AK116" s="39" t="inlineStr">
        <is>
          <t>Bắn cầu vồng hoặc bắn thẳng tùy pháo; nổ lan; C-RAM chặn được một phần; mạnh với công trình (×1,5).</t>
        </is>
      </c>
      <c r="AL116" s="39" t="inlineStr">
        <is>
          <t>Thêm đạn dẫn đường (Excalibur/Krasnopol: 1 phát, không tản mát) cho nhánh hạng 7 hoặc thẻ hỗ trợ.</t>
        </is>
      </c>
      <c r="AM116" s="39" t="inlineStr">
        <is>
          <t>155 mm/60</t>
        </is>
      </c>
      <c r="AN116" s="39" t="inlineStr">
        <is>
          <t>Giữ.</t>
        </is>
      </c>
      <c r="AO116" s="39" t="n"/>
    </row>
    <row r="117" ht="32.25" customHeight="1" s="32">
      <c r="A117" s="41" t="inlineStr">
        <is>
          <t>naval_76</t>
        </is>
      </c>
      <c r="B117" s="41" t="inlineStr">
        <is>
          <t>OTO Melara 76/62</t>
        </is>
      </c>
      <c r="C117" s="41" t="inlineStr">
        <is>
          <t>Đạn pháo nổ mạnh</t>
        </is>
      </c>
      <c r="D117" s="41" t="inlineStr">
        <is>
          <t>Tàu hộ vệ</t>
        </is>
      </c>
      <c r="E117" s="41" t="inlineStr">
        <is>
          <t>Nổ mạnh</t>
        </is>
      </c>
      <c r="F117" s="41" t="inlineStr">
        <is>
          <t>HeShell</t>
        </is>
      </c>
      <c r="G117" s="43" t="n">
        <v>76</v>
      </c>
      <c r="H117" s="43" t="n">
        <v>3</v>
      </c>
      <c r="I117" s="43" t="n">
        <v>3</v>
      </c>
      <c r="J117" s="43" t="n">
        <v>120</v>
      </c>
      <c r="K117" s="43" t="n">
        <v>120</v>
      </c>
      <c r="L117" s="41" t="inlineStr">
        <is>
          <t>loạt</t>
        </is>
      </c>
      <c r="M117" s="41" t="inlineStr">
        <is>
          <t>loạt</t>
        </is>
      </c>
      <c r="N117" s="43" t="n">
        <v>2</v>
      </c>
      <c r="O117" s="43" t="n">
        <v>2</v>
      </c>
      <c r="P117" s="43" t="n">
        <v>2</v>
      </c>
      <c r="Q117" s="43" t="n">
        <v>2</v>
      </c>
      <c r="R117" s="43" t="n">
        <v>2.6</v>
      </c>
      <c r="S117" s="43" t="n">
        <v>2.6</v>
      </c>
      <c r="T117" s="43" t="n">
        <v>95</v>
      </c>
      <c r="U117" s="43" t="n">
        <v>95</v>
      </c>
      <c r="V117" s="43" t="n">
        <v>110</v>
      </c>
      <c r="W117" s="43" t="n">
        <v>110</v>
      </c>
      <c r="X117" s="51">
        <f>IFERROR(U117/W117,"")</f>
        <v/>
      </c>
      <c r="Y117" s="53" t="n">
        <v>3</v>
      </c>
      <c r="Z117" s="53" t="n">
        <v>3</v>
      </c>
      <c r="AA117" s="51">
        <f>IFERROR(IF(L117="từng phát",J117*N117,J117*P117/(P117/N117+R117)),"")</f>
        <v/>
      </c>
      <c r="AB117" s="51">
        <f>IFERROR(IF(M117="từng phát",K117*O117,K117*Q117/(Q117/O117+S117)),"")</f>
        <v/>
      </c>
      <c r="AC117" s="51">
        <f>IFERROR(AB117*VLOOKUP(E117,'Hệ số'!$A$2:$D$8,2,0)*IF((I117-0)&gt;=2,1.2,IF((I117-0)=1,1,IF((I117-0)=0,0.85,IF((I117-0)=-1,0.5,IF((I117-0)=-2,0.25,0.1))))),"")</f>
        <v/>
      </c>
      <c r="AD117" s="51">
        <f>IFERROR(AB117*VLOOKUP(E117,'Hệ số'!$A$2:$D$8,2,0)*IF((I117-1)&gt;=2,1.2,IF((I117-1)=1,1,IF((I117-1)=0,0.85,IF((I117-1)=-1,0.5,IF((I117-1)=-2,0.25,0.1))))),"")</f>
        <v/>
      </c>
      <c r="AE117" s="51">
        <f>IFERROR(AB117*VLOOKUP(E117,'Hệ số'!$A$2:$D$8,2,0)*IF((I117-2)&gt;=2,1.2,IF((I117-2)=1,1,IF((I117-2)=0,0.85,IF((I117-2)=-1,0.5,IF((I117-2)=-2,0.25,0.1))))),"")</f>
        <v/>
      </c>
      <c r="AF117" s="51">
        <f>IFERROR(AB117*VLOOKUP(E117,'Hệ số'!$A$2:$D$8,2,0)*IF((I117-3)&gt;=2,1.2,IF((I117-3)=1,1,IF((I117-3)=0,0.85,IF((I117-3)=-1,0.5,IF((I117-3)=-2,0.25,0.1))))),"")</f>
        <v/>
      </c>
      <c r="AG117" s="51">
        <f>IFERROR(AB117*VLOOKUP(E117,'Hệ số'!$A$2:$D$8,2,0)*IF((I117-4)&gt;=2,1.2,IF((I117-4)=1,1,IF((I117-4)=0,0.85,IF((I117-4)=-1,0.5,IF((I117-4)=-2,0.25,0.1))))),"")</f>
        <v/>
      </c>
      <c r="AH117" s="51">
        <f>IFERROR(AB117*VLOOKUP(E117,'Hệ số'!$A$2:$D$8,2,0)*IF((I117-5)&gt;=2,1.2,IF((I117-5)=1,1,IF((I117-5)=0,0.85,IF((I117-5)=-1,0.5,IF((I117-5)=-2,0.25,0.1))))),"")</f>
        <v/>
      </c>
      <c r="AI117" s="51">
        <f>IFERROR(AB117*VLOOKUP(E117,'Hệ số'!$A$2:$D$8,3,0),"")</f>
        <v/>
      </c>
      <c r="AJ117" s="51">
        <f>IFERROR(AB117*VLOOKUP(E117,'Hệ số'!$A$2:$D$8,4,0)*IF((I117-2)&gt;=2,1.2,IF((I117-2)=1,1,IF((I117-2)=0,0.85,IF((I117-2)=-1,0.5,IF((I117-2)=-2,0.25,0.1))))),"")</f>
        <v/>
      </c>
      <c r="AK117" s="41" t="inlineStr">
        <is>
          <t>Bắn cầu vồng hoặc bắn thẳng tùy pháo; nổ lan; C-RAM chặn được một phần; mạnh với công trình (×1,5).</t>
        </is>
      </c>
      <c r="AL117" s="41" t="inlineStr">
        <is>
          <t>Thêm đạn dẫn đường (Excalibur/Krasnopol: 1 phát, không tản mát) cho nhánh hạng 7 hoặc thẻ hỗ trợ.</t>
        </is>
      </c>
      <c r="AM117" s="41" t="inlineStr">
        <is>
          <t>OTO 76/62: 80–120 phát/phút</t>
        </is>
      </c>
      <c r="AN117" s="41" t="inlineStr">
        <is>
          <t>Giữ.</t>
        </is>
      </c>
      <c r="AO117" s="41" t="n"/>
    </row>
    <row r="118" ht="21.75" customHeight="1" s="32">
      <c r="A118" s="39" t="inlineStr">
        <is>
          <t>orbital_laser</t>
        </is>
      </c>
      <c r="B118" s="39" t="inlineStr">
        <is>
          <t>laser (150 kW)</t>
        </is>
      </c>
      <c r="C118" s="39" t="inlineStr">
        <is>
          <t>Năng lượng</t>
        </is>
      </c>
      <c r="D118" s="39" t="inlineStr">
        <is>
          <t>Icarus, Icarus Mk.0</t>
        </is>
      </c>
      <c r="E118" s="39" t="inlineStr">
        <is>
          <t>Năng lượng</t>
        </is>
      </c>
      <c r="F118" s="39" t="inlineStr">
        <is>
          <t>Energy</t>
        </is>
      </c>
      <c r="G118" s="42" t="n">
        <v>150</v>
      </c>
      <c r="H118" s="42" t="n">
        <v>4</v>
      </c>
      <c r="I118" s="42" t="n">
        <v>4</v>
      </c>
      <c r="J118" s="42" t="n">
        <v>9</v>
      </c>
      <c r="K118" s="42" t="n">
        <v>9</v>
      </c>
      <c r="L118" s="39" t="inlineStr">
        <is>
          <t>từng phát</t>
        </is>
      </c>
      <c r="M118" s="39" t="inlineStr">
        <is>
          <t>từng phát</t>
        </is>
      </c>
      <c r="N118" s="42" t="n">
        <v>10</v>
      </c>
      <c r="O118" s="42" t="n">
        <v>10</v>
      </c>
      <c r="P118" s="42" t="n">
        <v>1</v>
      </c>
      <c r="Q118" s="42" t="n">
        <v>1</v>
      </c>
      <c r="R118" s="42" t="n">
        <v>0.1</v>
      </c>
      <c r="S118" s="42" t="n">
        <v>0.1</v>
      </c>
      <c r="T118" s="42" t="n">
        <v>36</v>
      </c>
      <c r="U118" s="42" t="n">
        <v>36</v>
      </c>
      <c r="V118" s="42" t="n">
        <v>3000</v>
      </c>
      <c r="W118" s="42" t="n">
        <v>3000</v>
      </c>
      <c r="X118" s="50">
        <f>IFERROR(U118/W118,"")</f>
        <v/>
      </c>
      <c r="Y118" s="52" t="n">
        <v>1.5</v>
      </c>
      <c r="Z118" s="52" t="n">
        <v>1.5</v>
      </c>
      <c r="AA118" s="50">
        <f>IFERROR(IF(L118="từng phát",J118*N118,J118*P118/(P118/N118+R118)),"")</f>
        <v/>
      </c>
      <c r="AB118" s="50">
        <f>IFERROR(IF(M118="từng phát",K118*O118,K118*Q118/(Q118/O118+S118)),"")</f>
        <v/>
      </c>
      <c r="AC118" s="50">
        <f>IFERROR(AB118*VLOOKUP(E118,'Hệ số'!$A$2:$D$8,2,0)*IF((I118-0)&gt;=2,1.2,IF((I118-0)=1,1,IF((I118-0)=0,0.85,IF((I118-0)=-1,0.5,IF((I118-0)=-2,0.25,0.1))))),"")</f>
        <v/>
      </c>
      <c r="AD118" s="50">
        <f>IFERROR(AB118*VLOOKUP(E118,'Hệ số'!$A$2:$D$8,2,0)*IF((I118-1)&gt;=2,1.2,IF((I118-1)=1,1,IF((I118-1)=0,0.85,IF((I118-1)=-1,0.5,IF((I118-1)=-2,0.25,0.1))))),"")</f>
        <v/>
      </c>
      <c r="AE118" s="50">
        <f>IFERROR(AB118*VLOOKUP(E118,'Hệ số'!$A$2:$D$8,2,0)*IF((I118-2)&gt;=2,1.2,IF((I118-2)=1,1,IF((I118-2)=0,0.85,IF((I118-2)=-1,0.5,IF((I118-2)=-2,0.25,0.1))))),"")</f>
        <v/>
      </c>
      <c r="AF118" s="50">
        <f>IFERROR(AB118*VLOOKUP(E118,'Hệ số'!$A$2:$D$8,2,0)*IF((I118-3)&gt;=2,1.2,IF((I118-3)=1,1,IF((I118-3)=0,0.85,IF((I118-3)=-1,0.5,IF((I118-3)=-2,0.25,0.1))))),"")</f>
        <v/>
      </c>
      <c r="AG118" s="50">
        <f>IFERROR(AB118*VLOOKUP(E118,'Hệ số'!$A$2:$D$8,2,0)*IF((I118-4)&gt;=2,1.2,IF((I118-4)=1,1,IF((I118-4)=0,0.85,IF((I118-4)=-1,0.5,IF((I118-4)=-2,0.25,0.1))))),"")</f>
        <v/>
      </c>
      <c r="AH118" s="50">
        <f>IFERROR(AB118*VLOOKUP(E118,'Hệ số'!$A$2:$D$8,2,0)*IF((I118-5)&gt;=2,1.2,IF((I118-5)=1,1,IF((I118-5)=0,0.85,IF((I118-5)=-1,0.5,IF((I118-5)=-2,0.25,0.1))))),"")</f>
        <v/>
      </c>
      <c r="AI118" s="50">
        <f>IFERROR(AB118*VLOOKUP(E118,'Hệ số'!$A$2:$D$8,3,0),"")</f>
        <v/>
      </c>
      <c r="AJ118" s="50">
        <f>IFERROR(AB118*VLOOKUP(E118,'Hệ số'!$A$2:$D$8,4,0)*IF((I118-2)&gt;=2,1.2,IF((I118-2)=1,1,IF((I118-2)=0,0.85,IF((I118-2)=-1,0.5,IF((I118-2)=-2,0.25,0.1))))),"")</f>
        <v/>
      </c>
      <c r="AK118" s="39" t="inlineStr">
        <is>
          <t>Tia tức thời; không bị APS chặn; bị khói giảm 80%; mạnh với máy bay (×1,5).</t>
        </is>
      </c>
      <c r="AL118" s="39" t="n"/>
      <c r="AM118" s="39" t="inlineStr">
        <is>
          <t>laser quỹ đạo (giả tưởng)</t>
        </is>
      </c>
      <c r="AN118" s="39" t="inlineStr">
        <is>
          <t>Giữ.</t>
        </is>
      </c>
      <c r="AO118" s="39" t="n"/>
    </row>
    <row r="119" ht="32.25" customHeight="1" s="32">
      <c r="A119" s="41" t="inlineStr">
        <is>
          <t>patriot</t>
        </is>
      </c>
      <c r="B119" s="41" t="inlineStr">
        <is>
          <t>MIM-104 Patriot PAC-</t>
        </is>
      </c>
      <c r="C119" s="41" t="inlineStr">
        <is>
          <t>Tên lửa phòng không / không đối không</t>
        </is>
      </c>
      <c r="D119" s="41" t="inlineStr">
        <is>
          <t>Patriot</t>
        </is>
      </c>
      <c r="E119" s="41" t="inlineStr">
        <is>
          <t>Mảnh</t>
        </is>
      </c>
      <c r="F119" s="41" t="inlineStr">
        <is>
          <t>Sam</t>
        </is>
      </c>
      <c r="G119" s="43" t="n">
        <v>90</v>
      </c>
      <c r="H119" s="43" t="n">
        <v>3</v>
      </c>
      <c r="I119" s="43" t="n">
        <v>3</v>
      </c>
      <c r="J119" s="43" t="n">
        <v>340</v>
      </c>
      <c r="K119" s="43" t="n">
        <v>340</v>
      </c>
      <c r="L119" s="41" t="inlineStr">
        <is>
          <t>loạt</t>
        </is>
      </c>
      <c r="M119" s="41" t="inlineStr">
        <is>
          <t>loạt</t>
        </is>
      </c>
      <c r="N119" s="43" t="n">
        <v>2.22</v>
      </c>
      <c r="O119" s="43" t="n">
        <v>2.22</v>
      </c>
      <c r="P119" s="43" t="n">
        <v>2</v>
      </c>
      <c r="Q119" s="43" t="n">
        <v>2</v>
      </c>
      <c r="R119" s="43" t="n">
        <v>4.24</v>
      </c>
      <c r="S119" s="43" t="n">
        <v>2.3</v>
      </c>
      <c r="T119" s="43" t="n">
        <v>90</v>
      </c>
      <c r="U119" s="43" t="n">
        <v>90</v>
      </c>
      <c r="V119" s="43" t="n">
        <v>24</v>
      </c>
      <c r="W119" s="43" t="n">
        <v>60</v>
      </c>
      <c r="X119" s="51">
        <f>IFERROR(U119/W119,"")</f>
        <v/>
      </c>
      <c r="Y119" s="53" t="n">
        <v>2.5</v>
      </c>
      <c r="Z119" s="53" t="n">
        <v>2.5</v>
      </c>
      <c r="AA119" s="51">
        <f>IFERROR(IF(L119="từng phát",J119*N119,J119*P119/(P119/N119+R119)),"")</f>
        <v/>
      </c>
      <c r="AB119" s="51">
        <f>IFERROR(IF(M119="từng phát",K119*O119,K119*Q119/(Q119/O119+S119)),"")</f>
        <v/>
      </c>
      <c r="AC119" s="51">
        <f>IFERROR(AB119*VLOOKUP(E119,'Hệ số'!$A$2:$D$8,2,0)*IF((I119-0)&gt;=2,1.2,IF((I119-0)=1,1,IF((I119-0)=0,0.85,IF((I119-0)=-1,0.5,IF((I119-0)=-2,0.25,0.1))))),"")</f>
        <v/>
      </c>
      <c r="AD119" s="51">
        <f>IFERROR(AB119*VLOOKUP(E119,'Hệ số'!$A$2:$D$8,2,0)*IF((I119-1)&gt;=2,1.2,IF((I119-1)=1,1,IF((I119-1)=0,0.85,IF((I119-1)=-1,0.5,IF((I119-1)=-2,0.25,0.1))))),"")</f>
        <v/>
      </c>
      <c r="AE119" s="51">
        <f>IFERROR(AB119*VLOOKUP(E119,'Hệ số'!$A$2:$D$8,2,0)*IF((I119-2)&gt;=2,1.2,IF((I119-2)=1,1,IF((I119-2)=0,0.85,IF((I119-2)=-1,0.5,IF((I119-2)=-2,0.25,0.1))))),"")</f>
        <v/>
      </c>
      <c r="AF119" s="51">
        <f>IFERROR(AB119*VLOOKUP(E119,'Hệ số'!$A$2:$D$8,2,0)*IF((I119-3)&gt;=2,1.2,IF((I119-3)=1,1,IF((I119-3)=0,0.85,IF((I119-3)=-1,0.5,IF((I119-3)=-2,0.25,0.1))))),"")</f>
        <v/>
      </c>
      <c r="AG119" s="51">
        <f>IFERROR(AB119*VLOOKUP(E119,'Hệ số'!$A$2:$D$8,2,0)*IF((I119-4)&gt;=2,1.2,IF((I119-4)=1,1,IF((I119-4)=0,0.85,IF((I119-4)=-1,0.5,IF((I119-4)=-2,0.25,0.1))))),"")</f>
        <v/>
      </c>
      <c r="AH119" s="51">
        <f>IFERROR(AB119*VLOOKUP(E119,'Hệ số'!$A$2:$D$8,2,0)*IF((I119-5)&gt;=2,1.2,IF((I119-5)=1,1,IF((I119-5)=0,0.85,IF((I119-5)=-1,0.5,IF((I119-5)=-2,0.25,0.1))))),"")</f>
        <v/>
      </c>
      <c r="AI119" s="51">
        <f>IFERROR(AB119*VLOOKUP(E119,'Hệ số'!$A$2:$D$8,3,0),"")</f>
        <v/>
      </c>
      <c r="AJ119" s="51">
        <f>IFERROR(AB119*VLOOKUP(E119,'Hệ số'!$A$2:$D$8,4,0)*IF((I119-2)&gt;=2,1.2,IF((I119-2)=1,1,IF((I119-2)=0,0.85,IF((I119-2)=-1,0.5,IF((I119-2)=-2,0.25,0.1))))),"")</f>
        <v/>
      </c>
      <c r="AK119" s="41" t="inlineStr">
        <is>
          <t>Dẫn đường; bị pháo sáng đánh lừa theo độ kháng; phải nhanh hơn mục tiêu.</t>
        </is>
      </c>
      <c r="AL119" s="41" t="n"/>
      <c r="AM119" s="41" t="inlineStr">
        <is>
          <t>PAC-2: 160 km, Mach 4</t>
        </is>
      </c>
      <c r="AN119" s="41" t="inlineStr">
        <is>
          <t>Patriot ô lớn phải chống máy bay mạnh hơn tháp ô nhỏ (188 → ~280). Tốc độ bay 24→60 m/s: Tầm xa: bay ~1,5 s tới rìa tầm, bắt được mọi máy bay.</t>
        </is>
      </c>
      <c r="AO119" s="47" t="inlineStr">
        <is>
          <t>Cao</t>
        </is>
      </c>
    </row>
    <row r="120" ht="21.75" customHeight="1" s="32">
      <c r="A120" s="39" t="inlineStr">
        <is>
          <t>r60</t>
        </is>
      </c>
      <c r="B120" s="39" t="inlineStr">
        <is>
          <t>R-60</t>
        </is>
      </c>
      <c r="C120" s="39" t="inlineStr">
        <is>
          <t>Tên lửa phòng không / không đối không</t>
        </is>
      </c>
      <c r="D120" s="39" t="inlineStr">
        <is>
          <t>Cường kích, Cường kích TN</t>
        </is>
      </c>
      <c r="E120" s="39" t="inlineStr">
        <is>
          <t>Mảnh</t>
        </is>
      </c>
      <c r="F120" s="39" t="inlineStr">
        <is>
          <t>Sam</t>
        </is>
      </c>
      <c r="G120" s="42" t="n">
        <v>3.5</v>
      </c>
      <c r="H120" s="42" t="n">
        <v>2</v>
      </c>
      <c r="I120" s="42" t="n">
        <v>2</v>
      </c>
      <c r="J120" s="42" t="n">
        <v>184</v>
      </c>
      <c r="K120" s="42" t="n">
        <v>184</v>
      </c>
      <c r="L120" s="39" t="inlineStr">
        <is>
          <t>từng phát</t>
        </is>
      </c>
      <c r="M120" s="39" t="inlineStr">
        <is>
          <t>từng phát</t>
        </is>
      </c>
      <c r="N120" s="42" t="n">
        <v>0.14</v>
      </c>
      <c r="O120" s="42" t="n">
        <v>0.14</v>
      </c>
      <c r="P120" s="42" t="n">
        <v>1</v>
      </c>
      <c r="Q120" s="42" t="n">
        <v>1</v>
      </c>
      <c r="R120" s="42" t="n">
        <v>7.14285714285714</v>
      </c>
      <c r="S120" s="42" t="n">
        <v>7.14285714285714</v>
      </c>
      <c r="T120" s="42" t="n">
        <v>28</v>
      </c>
      <c r="U120" s="42" t="n">
        <v>28</v>
      </c>
      <c r="V120" s="42" t="n">
        <v>10</v>
      </c>
      <c r="W120" s="42" t="n">
        <v>42</v>
      </c>
      <c r="X120" s="50">
        <f>IFERROR(U120/W120,"")</f>
        <v/>
      </c>
      <c r="Y120" s="52" t="n">
        <v>1.5</v>
      </c>
      <c r="Z120" s="52" t="n">
        <v>1.5</v>
      </c>
      <c r="AA120" s="50">
        <f>IFERROR(IF(L120="từng phát",J120*N120,J120*P120/(P120/N120+R120)),"")</f>
        <v/>
      </c>
      <c r="AB120" s="50">
        <f>IFERROR(IF(M120="từng phát",K120*O120,K120*Q120/(Q120/O120+S120)),"")</f>
        <v/>
      </c>
      <c r="AC120" s="50">
        <f>IFERROR(AB120*VLOOKUP(E120,'Hệ số'!$A$2:$D$8,2,0)*IF((I120-0)&gt;=2,1.2,IF((I120-0)=1,1,IF((I120-0)=0,0.85,IF((I120-0)=-1,0.5,IF((I120-0)=-2,0.25,0.1))))),"")</f>
        <v/>
      </c>
      <c r="AD120" s="50">
        <f>IFERROR(AB120*VLOOKUP(E120,'Hệ số'!$A$2:$D$8,2,0)*IF((I120-1)&gt;=2,1.2,IF((I120-1)=1,1,IF((I120-1)=0,0.85,IF((I120-1)=-1,0.5,IF((I120-1)=-2,0.25,0.1))))),"")</f>
        <v/>
      </c>
      <c r="AE120" s="50">
        <f>IFERROR(AB120*VLOOKUP(E120,'Hệ số'!$A$2:$D$8,2,0)*IF((I120-2)&gt;=2,1.2,IF((I120-2)=1,1,IF((I120-2)=0,0.85,IF((I120-2)=-1,0.5,IF((I120-2)=-2,0.25,0.1))))),"")</f>
        <v/>
      </c>
      <c r="AF120" s="50">
        <f>IFERROR(AB120*VLOOKUP(E120,'Hệ số'!$A$2:$D$8,2,0)*IF((I120-3)&gt;=2,1.2,IF((I120-3)=1,1,IF((I120-3)=0,0.85,IF((I120-3)=-1,0.5,IF((I120-3)=-2,0.25,0.1))))),"")</f>
        <v/>
      </c>
      <c r="AG120" s="50">
        <f>IFERROR(AB120*VLOOKUP(E120,'Hệ số'!$A$2:$D$8,2,0)*IF((I120-4)&gt;=2,1.2,IF((I120-4)=1,1,IF((I120-4)=0,0.85,IF((I120-4)=-1,0.5,IF((I120-4)=-2,0.25,0.1))))),"")</f>
        <v/>
      </c>
      <c r="AH120" s="50">
        <f>IFERROR(AB120*VLOOKUP(E120,'Hệ số'!$A$2:$D$8,2,0)*IF((I120-5)&gt;=2,1.2,IF((I120-5)=1,1,IF((I120-5)=0,0.85,IF((I120-5)=-1,0.5,IF((I120-5)=-2,0.25,0.1))))),"")</f>
        <v/>
      </c>
      <c r="AI120" s="50">
        <f>IFERROR(AB120*VLOOKUP(E120,'Hệ số'!$A$2:$D$8,3,0),"")</f>
        <v/>
      </c>
      <c r="AJ120" s="50">
        <f>IFERROR(AB120*VLOOKUP(E120,'Hệ số'!$A$2:$D$8,4,0)*IF((I120-2)&gt;=2,1.2,IF((I120-2)=1,1,IF((I120-2)=0,0.85,IF((I120-2)=-1,0.5,IF((I120-2)=-2,0.25,0.1))))),"")</f>
        <v/>
      </c>
      <c r="AK120" s="39" t="inlineStr">
        <is>
          <t>Dẫn đường; bị pháo sáng đánh lừa theo độ kháng; phải nhanh hơn mục tiêu.</t>
        </is>
      </c>
      <c r="AL120" s="39" t="n"/>
      <c r="AM120" s="39" t="inlineStr">
        <is>
          <t>R-60: 8 km, Mach 2,7</t>
        </is>
      </c>
      <c r="AN120" s="39" t="inlineStr">
        <is>
          <t>Tốc độ bay 10→42 m/s: Tên lửa không đối không tầm gần phải bắt kịp tiêm kích (40 m/s).</t>
        </is>
      </c>
      <c r="AO120" s="48" t="inlineStr">
        <is>
          <t>Trung</t>
        </is>
      </c>
    </row>
    <row r="121" ht="21.75" customHeight="1" s="32">
      <c r="A121" s="41" t="inlineStr">
        <is>
          <t>railgun</t>
        </is>
      </c>
      <c r="B121" s="41" t="inlineStr">
        <is>
          <t>railgun (32 MJ)</t>
        </is>
      </c>
      <c r="C121" s="41" t="inlineStr">
        <is>
          <t>Điện từ</t>
        </is>
      </c>
      <c r="D121" s="41" t="inlineStr">
        <is>
          <t>Pháo điện từ</t>
        </is>
      </c>
      <c r="E121" s="41" t="inlineStr">
        <is>
          <t>Động năng</t>
        </is>
      </c>
      <c r="F121" s="41" t="inlineStr">
        <is>
          <t>Rail</t>
        </is>
      </c>
      <c r="G121" s="43" t="n">
        <v>32</v>
      </c>
      <c r="H121" s="43" t="n">
        <v>4</v>
      </c>
      <c r="I121" s="43" t="n">
        <v>4</v>
      </c>
      <c r="J121" s="43" t="n">
        <v>510</v>
      </c>
      <c r="K121" s="43" t="n">
        <v>510</v>
      </c>
      <c r="L121" s="41" t="inlineStr">
        <is>
          <t>từng phát</t>
        </is>
      </c>
      <c r="M121" s="41" t="inlineStr">
        <is>
          <t>từng phát</t>
        </is>
      </c>
      <c r="N121" s="43" t="n">
        <v>0.142857142857143</v>
      </c>
      <c r="O121" s="43" t="n">
        <v>0.142857142857143</v>
      </c>
      <c r="P121" s="43" t="n">
        <v>1</v>
      </c>
      <c r="Q121" s="43" t="n">
        <v>1</v>
      </c>
      <c r="R121" s="43" t="n">
        <v>7</v>
      </c>
      <c r="S121" s="43" t="n">
        <v>7</v>
      </c>
      <c r="T121" s="43" t="n">
        <v>90</v>
      </c>
      <c r="U121" s="43" t="n">
        <v>90</v>
      </c>
      <c r="V121" s="43" t="n">
        <v>700</v>
      </c>
      <c r="W121" s="43" t="n">
        <v>700</v>
      </c>
      <c r="X121" s="51">
        <f>IFERROR(U121/W121,"")</f>
        <v/>
      </c>
      <c r="Y121" s="51" t="n"/>
      <c r="Z121" s="51" t="n"/>
      <c r="AA121" s="51">
        <f>IFERROR(IF(L121="từng phát",J121*N121,J121*P121/(P121/N121+R121)),"")</f>
        <v/>
      </c>
      <c r="AB121" s="51">
        <f>IFERROR(IF(M121="từng phát",K121*O121,K121*Q121/(Q121/O121+S121)),"")</f>
        <v/>
      </c>
      <c r="AC121" s="51">
        <f>IFERROR(AB121*VLOOKUP(E121,'Hệ số'!$A$2:$D$8,2,0)*IF((I121-0)&gt;=2,1.2,IF((I121-0)=1,1,IF((I121-0)=0,0.85,IF((I121-0)=-1,0.5,IF((I121-0)=-2,0.25,0.1))))),"")</f>
        <v/>
      </c>
      <c r="AD121" s="51">
        <f>IFERROR(AB121*VLOOKUP(E121,'Hệ số'!$A$2:$D$8,2,0)*IF((I121-1)&gt;=2,1.2,IF((I121-1)=1,1,IF((I121-1)=0,0.85,IF((I121-1)=-1,0.5,IF((I121-1)=-2,0.25,0.1))))),"")</f>
        <v/>
      </c>
      <c r="AE121" s="51">
        <f>IFERROR(AB121*VLOOKUP(E121,'Hệ số'!$A$2:$D$8,2,0)*IF((I121-2)&gt;=2,1.2,IF((I121-2)=1,1,IF((I121-2)=0,0.85,IF((I121-2)=-1,0.5,IF((I121-2)=-2,0.25,0.1))))),"")</f>
        <v/>
      </c>
      <c r="AF121" s="51">
        <f>IFERROR(AB121*VLOOKUP(E121,'Hệ số'!$A$2:$D$8,2,0)*IF((I121-3)&gt;=2,1.2,IF((I121-3)=1,1,IF((I121-3)=0,0.85,IF((I121-3)=-1,0.5,IF((I121-3)=-2,0.25,0.1))))),"")</f>
        <v/>
      </c>
      <c r="AG121" s="51">
        <f>IFERROR(AB121*VLOOKUP(E121,'Hệ số'!$A$2:$D$8,2,0)*IF((I121-4)&gt;=2,1.2,IF((I121-4)=1,1,IF((I121-4)=0,0.85,IF((I121-4)=-1,0.5,IF((I121-4)=-2,0.25,0.1))))),"")</f>
        <v/>
      </c>
      <c r="AH121" s="51">
        <f>IFERROR(AB121*VLOOKUP(E121,'Hệ số'!$A$2:$D$8,2,0)*IF((I121-5)&gt;=2,1.2,IF((I121-5)=1,1,IF((I121-5)=0,0.85,IF((I121-5)=-1,0.5,IF((I121-5)=-2,0.25,0.1))))),"")</f>
        <v/>
      </c>
      <c r="AI121" s="51">
        <f>IFERROR(AB121*VLOOKUP(E121,'Hệ số'!$A$2:$D$8,3,0),"")</f>
        <v/>
      </c>
      <c r="AJ121" s="51">
        <f>IFERROR(AB121*VLOOKUP(E121,'Hệ số'!$A$2:$D$8,4,0)*IF((I121-2)&gt;=2,1.2,IF((I121-2)=1,1,IF((I121-2)=0,0.85,IF((I121-2)=-1,0.5,IF((I121-2)=-2,0.25,0.1))))),"")</f>
        <v/>
      </c>
      <c r="AK121" s="41" t="inlineStr">
        <is>
          <t>Đạn xuyên thẳng qua nhiều mục tiêu; không bị APS; cần đồng đội soi mục tiêu ở tầm xa.</t>
        </is>
      </c>
      <c r="AL121" s="41" t="n"/>
      <c r="AM121" s="41" t="inlineStr">
        <is>
          <t>EMRG (US Navy): 32 MJ, ~2.500 m/s, ~10 phát/phút (thử nghiệm)</t>
        </is>
      </c>
      <c r="AN121" s="41" t="inlineStr">
        <is>
          <t>Giữ.</t>
        </is>
      </c>
      <c r="AO121" s="41" t="n"/>
    </row>
    <row r="122" ht="21.75" customHeight="1" s="32">
      <c r="A122" s="39" t="inlineStr">
        <is>
          <t>recon_missile</t>
        </is>
      </c>
      <c r="B122" s="39" t="inlineStr">
        <is>
          <t>MAM-L</t>
        </is>
      </c>
      <c r="C122" s="39" t="inlineStr">
        <is>
          <t>Tên lửa chống tăng / không đối đất</t>
        </is>
      </c>
      <c r="D122" s="39" t="inlineStr">
        <is>
          <t>UAV do thám</t>
        </is>
      </c>
      <c r="E122" s="39" t="inlineStr">
        <is>
          <t>Nổ lõm</t>
        </is>
      </c>
      <c r="F122" s="39" t="inlineStr">
        <is>
          <t>Atgm</t>
        </is>
      </c>
      <c r="G122" s="42" t="n">
        <v>22</v>
      </c>
      <c r="H122" s="42" t="n">
        <v>3</v>
      </c>
      <c r="I122" s="42" t="n">
        <v>3</v>
      </c>
      <c r="J122" s="42" t="n">
        <v>190</v>
      </c>
      <c r="K122" s="42" t="n">
        <v>190</v>
      </c>
      <c r="L122" s="39" t="inlineStr">
        <is>
          <t>từng phát</t>
        </is>
      </c>
      <c r="M122" s="39" t="inlineStr">
        <is>
          <t>từng phát</t>
        </is>
      </c>
      <c r="N122" s="42" t="n">
        <v>0.0862812769628991</v>
      </c>
      <c r="O122" s="42" t="n">
        <v>0.0862812769628991</v>
      </c>
      <c r="P122" s="42" t="n">
        <v>1</v>
      </c>
      <c r="Q122" s="42" t="n">
        <v>1</v>
      </c>
      <c r="R122" s="42" t="n">
        <v>11.59</v>
      </c>
      <c r="S122" s="42" t="n">
        <v>11.59</v>
      </c>
      <c r="T122" s="42" t="n">
        <v>50</v>
      </c>
      <c r="U122" s="42" t="n">
        <v>50</v>
      </c>
      <c r="V122" s="42" t="n">
        <v>21</v>
      </c>
      <c r="W122" s="42" t="n">
        <v>22</v>
      </c>
      <c r="X122" s="50">
        <f>IFERROR(U122/W122,"")</f>
        <v/>
      </c>
      <c r="Y122" s="50" t="n"/>
      <c r="Z122" s="50" t="n"/>
      <c r="AA122" s="50">
        <f>IFERROR(IF(L122="từng phát",J122*N122,J122*P122/(P122/N122+R122)),"")</f>
        <v/>
      </c>
      <c r="AB122" s="50">
        <f>IFERROR(IF(M122="từng phát",K122*O122,K122*Q122/(Q122/O122+S122)),"")</f>
        <v/>
      </c>
      <c r="AC122" s="50">
        <f>IFERROR(AB122*VLOOKUP(E122,'Hệ số'!$A$2:$D$8,2,0)*IF((I122-0)&gt;=2,1.2,IF((I122-0)=1,1,IF((I122-0)=0,0.85,IF((I122-0)=-1,0.5,IF((I122-0)=-2,0.25,0.1))))),"")</f>
        <v/>
      </c>
      <c r="AD122" s="50">
        <f>IFERROR(AB122*VLOOKUP(E122,'Hệ số'!$A$2:$D$8,2,0)*IF((I122-1)&gt;=2,1.2,IF((I122-1)=1,1,IF((I122-1)=0,0.85,IF((I122-1)=-1,0.5,IF((I122-1)=-2,0.25,0.1))))),"")</f>
        <v/>
      </c>
      <c r="AE122" s="50">
        <f>IFERROR(AB122*VLOOKUP(E122,'Hệ số'!$A$2:$D$8,2,0)*IF((I122-2)&gt;=2,1.2,IF((I122-2)=1,1,IF((I122-2)=0,0.85,IF((I122-2)=-1,0.5,IF((I122-2)=-2,0.25,0.1))))),"")</f>
        <v/>
      </c>
      <c r="AF122" s="50">
        <f>IFERROR(AB122*VLOOKUP(E122,'Hệ số'!$A$2:$D$8,2,0)*IF((I122-3)&gt;=2,1.2,IF((I122-3)=1,1,IF((I122-3)=0,0.85,IF((I122-3)=-1,0.5,IF((I122-3)=-2,0.25,0.1))))),"")</f>
        <v/>
      </c>
      <c r="AG122" s="50">
        <f>IFERROR(AB122*VLOOKUP(E122,'Hệ số'!$A$2:$D$8,2,0)*IF((I122-4)&gt;=2,1.2,IF((I122-4)=1,1,IF((I122-4)=0,0.85,IF((I122-4)=-1,0.5,IF((I122-4)=-2,0.25,0.1))))),"")</f>
        <v/>
      </c>
      <c r="AH122" s="50">
        <f>IFERROR(AB122*VLOOKUP(E122,'Hệ số'!$A$2:$D$8,2,0)*IF((I122-5)&gt;=2,1.2,IF((I122-5)=1,1,IF((I122-5)=0,0.85,IF((I122-5)=-1,0.5,IF((I122-5)=-2,0.25,0.1))))),"")</f>
        <v/>
      </c>
      <c r="AI122" s="50">
        <f>IFERROR(AB122*VLOOKUP(E122,'Hệ số'!$A$2:$D$8,3,0),"")</f>
        <v/>
      </c>
      <c r="AJ122" s="50">
        <f>IFERROR(AB122*VLOOKUP(E122,'Hệ số'!$A$2:$D$8,4,0)*IF((I122-2)&gt;=2,1.2,IF((I122-2)=1,1,IF((I122-2)=0,0.85,IF((I122-2)=-1,0.5,IF((I122-2)=-2,0.25,0.1))))),"")</f>
        <v/>
      </c>
      <c r="AK122" s="39" t="inlineStr">
        <is>
          <t>Dẫn đường; bị APS và giáp phản ứng nổ giảm (đầu nổ lõm); bay chậm nên né và khói có tác dụng.</t>
        </is>
      </c>
      <c r="AL122" s="39" t="n"/>
      <c r="AM122" s="39" t="inlineStr">
        <is>
          <t>MAM-L: 8–15 km</t>
        </is>
      </c>
      <c r="AN122" s="39" t="inlineStr">
        <is>
          <t>Tốc độ bay 21→22 m/s: Tên lửa nhỏ.</t>
        </is>
      </c>
      <c r="AO122" s="48" t="inlineStr">
        <is>
          <t>Trung</t>
        </is>
      </c>
    </row>
    <row r="123" ht="21.75" customHeight="1" s="32">
      <c r="A123" s="41" t="inlineStr">
        <is>
          <t>rockets_300mm</t>
        </is>
      </c>
      <c r="B123" s="41" t="inlineStr">
        <is>
          <t>9M55 Smerch 300 mm</t>
        </is>
      </c>
      <c r="C123" s="41" t="inlineStr">
        <is>
          <t>Rốc-két</t>
        </is>
      </c>
      <c r="D123" s="41" t="inlineStr">
        <is>
          <t>Phản lực 300</t>
        </is>
      </c>
      <c r="E123" s="41" t="inlineStr">
        <is>
          <t>Nổ mạnh</t>
        </is>
      </c>
      <c r="F123" s="41" t="inlineStr">
        <is>
          <t>RocketBig</t>
        </is>
      </c>
      <c r="G123" s="43" t="n">
        <v>300</v>
      </c>
      <c r="H123" s="43" t="n">
        <v>3</v>
      </c>
      <c r="I123" s="43" t="n">
        <v>3</v>
      </c>
      <c r="J123" s="43" t="n">
        <v>145</v>
      </c>
      <c r="K123" s="43" t="n">
        <v>145</v>
      </c>
      <c r="L123" s="41" t="inlineStr">
        <is>
          <t>loạt</t>
        </is>
      </c>
      <c r="M123" s="41" t="inlineStr">
        <is>
          <t>loạt</t>
        </is>
      </c>
      <c r="N123" s="43" t="n">
        <v>4</v>
      </c>
      <c r="O123" s="43" t="n">
        <v>4</v>
      </c>
      <c r="P123" s="43" t="n">
        <v>11</v>
      </c>
      <c r="Q123" s="43" t="n">
        <v>11</v>
      </c>
      <c r="R123" s="43" t="n">
        <v>15.76</v>
      </c>
      <c r="S123" s="43" t="n">
        <v>15.76</v>
      </c>
      <c r="T123" s="43" t="n">
        <v>140</v>
      </c>
      <c r="U123" s="43" t="n">
        <v>140</v>
      </c>
      <c r="V123" s="43" t="n">
        <v>24</v>
      </c>
      <c r="W123" s="43" t="n">
        <v>55</v>
      </c>
      <c r="X123" s="51">
        <f>IFERROR(U123/W123,"")</f>
        <v/>
      </c>
      <c r="Y123" s="53" t="n">
        <v>8</v>
      </c>
      <c r="Z123" s="53" t="n">
        <v>8</v>
      </c>
      <c r="AA123" s="51">
        <f>IFERROR(IF(L123="từng phát",J123*N123,J123*P123/(P123/N123+R123)),"")</f>
        <v/>
      </c>
      <c r="AB123" s="51">
        <f>IFERROR(IF(M123="từng phát",K123*O123,K123*Q123/(Q123/O123+S123)),"")</f>
        <v/>
      </c>
      <c r="AC123" s="51">
        <f>IFERROR(AB123*VLOOKUP(E123,'Hệ số'!$A$2:$D$8,2,0)*IF((I123-0)&gt;=2,1.2,IF((I123-0)=1,1,IF((I123-0)=0,0.85,IF((I123-0)=-1,0.5,IF((I123-0)=-2,0.25,0.1))))),"")</f>
        <v/>
      </c>
      <c r="AD123" s="51">
        <f>IFERROR(AB123*VLOOKUP(E123,'Hệ số'!$A$2:$D$8,2,0)*IF((I123-1)&gt;=2,1.2,IF((I123-1)=1,1,IF((I123-1)=0,0.85,IF((I123-1)=-1,0.5,IF((I123-1)=-2,0.25,0.1))))),"")</f>
        <v/>
      </c>
      <c r="AE123" s="51">
        <f>IFERROR(AB123*VLOOKUP(E123,'Hệ số'!$A$2:$D$8,2,0)*IF((I123-2)&gt;=2,1.2,IF((I123-2)=1,1,IF((I123-2)=0,0.85,IF((I123-2)=-1,0.5,IF((I123-2)=-2,0.25,0.1))))),"")</f>
        <v/>
      </c>
      <c r="AF123" s="51">
        <f>IFERROR(AB123*VLOOKUP(E123,'Hệ số'!$A$2:$D$8,2,0)*IF((I123-3)&gt;=2,1.2,IF((I123-3)=1,1,IF((I123-3)=0,0.85,IF((I123-3)=-1,0.5,IF((I123-3)=-2,0.25,0.1))))),"")</f>
        <v/>
      </c>
      <c r="AG123" s="51">
        <f>IFERROR(AB123*VLOOKUP(E123,'Hệ số'!$A$2:$D$8,2,0)*IF((I123-4)&gt;=2,1.2,IF((I123-4)=1,1,IF((I123-4)=0,0.85,IF((I123-4)=-1,0.5,IF((I123-4)=-2,0.25,0.1))))),"")</f>
        <v/>
      </c>
      <c r="AH123" s="51">
        <f>IFERROR(AB123*VLOOKUP(E123,'Hệ số'!$A$2:$D$8,2,0)*IF((I123-5)&gt;=2,1.2,IF((I123-5)=1,1,IF((I123-5)=0,0.85,IF((I123-5)=-1,0.5,IF((I123-5)=-2,0.25,0.1))))),"")</f>
        <v/>
      </c>
      <c r="AI123" s="51">
        <f>IFERROR(AB123*VLOOKUP(E123,'Hệ số'!$A$2:$D$8,3,0),"")</f>
        <v/>
      </c>
      <c r="AJ123" s="51">
        <f>IFERROR(AB123*VLOOKUP(E123,'Hệ số'!$A$2:$D$8,4,0)*IF((I123-2)&gt;=2,1.2,IF((I123-2)=1,1,IF((I123-2)=0,0.85,IF((I123-2)=-1,0.5,IF((I123-2)=-2,0.25,0.1))))),"")</f>
        <v/>
      </c>
      <c r="AK123" s="41" t="inlineStr">
        <is>
          <t>Bắn loạt phủ vùng, tản mát; C-RAM, Vòm Sắt và La-de PK bắn hạ được từng quả.</t>
        </is>
      </c>
      <c r="AL123" s="41" t="n"/>
      <c r="AM123" s="41" t="inlineStr">
        <is>
          <t>9M55 Smerch: 12 quả / 38 s; đầu nổ 243–258 kg</t>
        </is>
      </c>
      <c r="AN123" s="41" t="inlineStr">
        <is>
          <t>Tốc độ bay 24→55 m/s: Rốc-két lớn nhất bay nhanh nhất (~2,5 s ở 140).</t>
        </is>
      </c>
      <c r="AO123" s="48" t="inlineStr">
        <is>
          <t>Trung</t>
        </is>
      </c>
    </row>
    <row r="124" ht="21.75" customHeight="1" s="32">
      <c r="A124" s="39" t="inlineStr">
        <is>
          <t>s8_pods</t>
        </is>
      </c>
      <c r="B124" s="39" t="inlineStr">
        <is>
          <t>S-8 80 mm</t>
        </is>
      </c>
      <c r="C124" s="39" t="inlineStr">
        <is>
          <t>Rốc-két</t>
        </is>
      </c>
      <c r="D124" s="39" t="inlineStr">
        <is>
          <t>Cường kích, Cường kích TN</t>
        </is>
      </c>
      <c r="E124" s="39" t="inlineStr">
        <is>
          <t>Nổ mạnh</t>
        </is>
      </c>
      <c r="F124" s="39" t="inlineStr">
        <is>
          <t>RocketSmall</t>
        </is>
      </c>
      <c r="G124" s="42" t="n">
        <v>80</v>
      </c>
      <c r="H124" s="42" t="n">
        <v>2</v>
      </c>
      <c r="I124" s="42" t="n">
        <v>2</v>
      </c>
      <c r="J124" s="42" t="n">
        <v>32</v>
      </c>
      <c r="K124" s="42" t="n">
        <v>32</v>
      </c>
      <c r="L124" s="39" t="inlineStr">
        <is>
          <t>loạt</t>
        </is>
      </c>
      <c r="M124" s="39" t="inlineStr">
        <is>
          <t>loạt</t>
        </is>
      </c>
      <c r="N124" s="42" t="n">
        <v>20</v>
      </c>
      <c r="O124" s="42" t="n">
        <v>20</v>
      </c>
      <c r="P124" s="42" t="n">
        <v>8</v>
      </c>
      <c r="Q124" s="42" t="n">
        <v>8</v>
      </c>
      <c r="R124" s="42" t="n">
        <v>4.05</v>
      </c>
      <c r="S124" s="42" t="n">
        <v>4.05</v>
      </c>
      <c r="T124" s="42" t="n">
        <v>34</v>
      </c>
      <c r="U124" s="42" t="n">
        <v>34</v>
      </c>
      <c r="V124" s="42" t="n">
        <v>20</v>
      </c>
      <c r="W124" s="42" t="n">
        <v>40</v>
      </c>
      <c r="X124" s="50">
        <f>IFERROR(U124/W124,"")</f>
        <v/>
      </c>
      <c r="Y124" s="52" t="n">
        <v>3</v>
      </c>
      <c r="Z124" s="52" t="n">
        <v>3</v>
      </c>
      <c r="AA124" s="50">
        <f>IFERROR(IF(L124="từng phát",J124*N124,J124*P124/(P124/N124+R124)),"")</f>
        <v/>
      </c>
      <c r="AB124" s="50">
        <f>IFERROR(IF(M124="từng phát",K124*O124,K124*Q124/(Q124/O124+S124)),"")</f>
        <v/>
      </c>
      <c r="AC124" s="50">
        <f>IFERROR(AB124*VLOOKUP(E124,'Hệ số'!$A$2:$D$8,2,0)*IF((I124-0)&gt;=2,1.2,IF((I124-0)=1,1,IF((I124-0)=0,0.85,IF((I124-0)=-1,0.5,IF((I124-0)=-2,0.25,0.1))))),"")</f>
        <v/>
      </c>
      <c r="AD124" s="50">
        <f>IFERROR(AB124*VLOOKUP(E124,'Hệ số'!$A$2:$D$8,2,0)*IF((I124-1)&gt;=2,1.2,IF((I124-1)=1,1,IF((I124-1)=0,0.85,IF((I124-1)=-1,0.5,IF((I124-1)=-2,0.25,0.1))))),"")</f>
        <v/>
      </c>
      <c r="AE124" s="50">
        <f>IFERROR(AB124*VLOOKUP(E124,'Hệ số'!$A$2:$D$8,2,0)*IF((I124-2)&gt;=2,1.2,IF((I124-2)=1,1,IF((I124-2)=0,0.85,IF((I124-2)=-1,0.5,IF((I124-2)=-2,0.25,0.1))))),"")</f>
        <v/>
      </c>
      <c r="AF124" s="50">
        <f>IFERROR(AB124*VLOOKUP(E124,'Hệ số'!$A$2:$D$8,2,0)*IF((I124-3)&gt;=2,1.2,IF((I124-3)=1,1,IF((I124-3)=0,0.85,IF((I124-3)=-1,0.5,IF((I124-3)=-2,0.25,0.1))))),"")</f>
        <v/>
      </c>
      <c r="AG124" s="50">
        <f>IFERROR(AB124*VLOOKUP(E124,'Hệ số'!$A$2:$D$8,2,0)*IF((I124-4)&gt;=2,1.2,IF((I124-4)=1,1,IF((I124-4)=0,0.85,IF((I124-4)=-1,0.5,IF((I124-4)=-2,0.25,0.1))))),"")</f>
        <v/>
      </c>
      <c r="AH124" s="50">
        <f>IFERROR(AB124*VLOOKUP(E124,'Hệ số'!$A$2:$D$8,2,0)*IF((I124-5)&gt;=2,1.2,IF((I124-5)=1,1,IF((I124-5)=0,0.85,IF((I124-5)=-1,0.5,IF((I124-5)=-2,0.25,0.1))))),"")</f>
        <v/>
      </c>
      <c r="AI124" s="50">
        <f>IFERROR(AB124*VLOOKUP(E124,'Hệ số'!$A$2:$D$8,3,0),"")</f>
        <v/>
      </c>
      <c r="AJ124" s="50">
        <f>IFERROR(AB124*VLOOKUP(E124,'Hệ số'!$A$2:$D$8,4,0)*IF((I124-2)&gt;=2,1.2,IF((I124-2)=1,1,IF((I124-2)=0,0.85,IF((I124-2)=-1,0.5,IF((I124-2)=-2,0.25,0.1))))),"")</f>
        <v/>
      </c>
      <c r="AK124" s="39" t="inlineStr">
        <is>
          <t>Bắn loạt phủ vùng, tản mát; C-RAM, Vòm Sắt và La-de PK bắn hạ được từng quả.</t>
        </is>
      </c>
      <c r="AL124" s="39" t="n"/>
      <c r="AM124" s="39" t="inlineStr">
        <is>
          <t>S-8 80 mm</t>
        </is>
      </c>
      <c r="AN124" s="39" t="inlineStr">
        <is>
          <t>Tốc độ bay 20→40 m/s: Thống nhất rốc-két nhỏ không điều khiển 40 m/s.</t>
        </is>
      </c>
      <c r="AO124" s="48" t="inlineStr">
        <is>
          <t>Trung</t>
        </is>
      </c>
    </row>
    <row r="125" ht="21.75" customHeight="1" s="32">
      <c r="A125" s="41" t="inlineStr">
        <is>
          <t>sam</t>
        </is>
      </c>
      <c r="B125" s="41" t="inlineStr">
        <is>
          <t>Starstreak / Stinger</t>
        </is>
      </c>
      <c r="C125" s="41" t="inlineStr">
        <is>
          <t>Tên lửa phòng không / không đối không</t>
        </is>
      </c>
      <c r="D125" s="41" t="inlineStr">
        <is>
          <t>PK hỗn hợp, Phòng không,</t>
        </is>
      </c>
      <c r="E125" s="41" t="inlineStr">
        <is>
          <t>Mảnh</t>
        </is>
      </c>
      <c r="F125" s="41" t="inlineStr">
        <is>
          <t>Sam</t>
        </is>
      </c>
      <c r="G125" s="43" t="n">
        <v>3</v>
      </c>
      <c r="H125" s="43" t="n">
        <v>2</v>
      </c>
      <c r="I125" s="43" t="n">
        <v>2</v>
      </c>
      <c r="J125" s="43" t="n">
        <v>170</v>
      </c>
      <c r="K125" s="43" t="n">
        <v>170</v>
      </c>
      <c r="L125" s="41" t="inlineStr">
        <is>
          <t>từng phát</t>
        </is>
      </c>
      <c r="M125" s="41" t="inlineStr">
        <is>
          <t>từng phát</t>
        </is>
      </c>
      <c r="N125" s="43" t="n">
        <v>0.22</v>
      </c>
      <c r="O125" s="43" t="n">
        <v>0.22</v>
      </c>
      <c r="P125" s="43" t="n">
        <v>1</v>
      </c>
      <c r="Q125" s="43" t="n">
        <v>1</v>
      </c>
      <c r="R125" s="43" t="n">
        <v>4.54545454545455</v>
      </c>
      <c r="S125" s="43" t="n">
        <v>4.54545454545455</v>
      </c>
      <c r="T125" s="43" t="n">
        <v>44</v>
      </c>
      <c r="U125" s="43" t="n">
        <v>44</v>
      </c>
      <c r="V125" s="43" t="n">
        <v>24</v>
      </c>
      <c r="W125" s="43" t="n">
        <v>42</v>
      </c>
      <c r="X125" s="51">
        <f>IFERROR(U125/W125,"")</f>
        <v/>
      </c>
      <c r="Y125" s="53" t="n">
        <v>2</v>
      </c>
      <c r="Z125" s="53" t="n">
        <v>2</v>
      </c>
      <c r="AA125" s="51">
        <f>IFERROR(IF(L125="từng phát",J125*N125,J125*P125/(P125/N125+R125)),"")</f>
        <v/>
      </c>
      <c r="AB125" s="51">
        <f>IFERROR(IF(M125="từng phát",K125*O125,K125*Q125/(Q125/O125+S125)),"")</f>
        <v/>
      </c>
      <c r="AC125" s="51">
        <f>IFERROR(AB125*VLOOKUP(E125,'Hệ số'!$A$2:$D$8,2,0)*IF((I125-0)&gt;=2,1.2,IF((I125-0)=1,1,IF((I125-0)=0,0.85,IF((I125-0)=-1,0.5,IF((I125-0)=-2,0.25,0.1))))),"")</f>
        <v/>
      </c>
      <c r="AD125" s="51">
        <f>IFERROR(AB125*VLOOKUP(E125,'Hệ số'!$A$2:$D$8,2,0)*IF((I125-1)&gt;=2,1.2,IF((I125-1)=1,1,IF((I125-1)=0,0.85,IF((I125-1)=-1,0.5,IF((I125-1)=-2,0.25,0.1))))),"")</f>
        <v/>
      </c>
      <c r="AE125" s="51">
        <f>IFERROR(AB125*VLOOKUP(E125,'Hệ số'!$A$2:$D$8,2,0)*IF((I125-2)&gt;=2,1.2,IF((I125-2)=1,1,IF((I125-2)=0,0.85,IF((I125-2)=-1,0.5,IF((I125-2)=-2,0.25,0.1))))),"")</f>
        <v/>
      </c>
      <c r="AF125" s="51">
        <f>IFERROR(AB125*VLOOKUP(E125,'Hệ số'!$A$2:$D$8,2,0)*IF((I125-3)&gt;=2,1.2,IF((I125-3)=1,1,IF((I125-3)=0,0.85,IF((I125-3)=-1,0.5,IF((I125-3)=-2,0.25,0.1))))),"")</f>
        <v/>
      </c>
      <c r="AG125" s="51">
        <f>IFERROR(AB125*VLOOKUP(E125,'Hệ số'!$A$2:$D$8,2,0)*IF((I125-4)&gt;=2,1.2,IF((I125-4)=1,1,IF((I125-4)=0,0.85,IF((I125-4)=-1,0.5,IF((I125-4)=-2,0.25,0.1))))),"")</f>
        <v/>
      </c>
      <c r="AH125" s="51">
        <f>IFERROR(AB125*VLOOKUP(E125,'Hệ số'!$A$2:$D$8,2,0)*IF((I125-5)&gt;=2,1.2,IF((I125-5)=1,1,IF((I125-5)=0,0.85,IF((I125-5)=-1,0.5,IF((I125-5)=-2,0.25,0.1))))),"")</f>
        <v/>
      </c>
      <c r="AI125" s="51">
        <f>IFERROR(AB125*VLOOKUP(E125,'Hệ số'!$A$2:$D$8,3,0),"")</f>
        <v/>
      </c>
      <c r="AJ125" s="51">
        <f>IFERROR(AB125*VLOOKUP(E125,'Hệ số'!$A$2:$D$8,4,0)*IF((I125-2)&gt;=2,1.2,IF((I125-2)=1,1,IF((I125-2)=0,0.85,IF((I125-2)=-1,0.5,IF((I125-2)=-2,0.25,0.1))))),"")</f>
        <v/>
      </c>
      <c r="AK125" s="41" t="inlineStr">
        <is>
          <t>Dẫn đường; bị pháo sáng đánh lừa theo độ kháng; phải nhanh hơn mục tiêu.</t>
        </is>
      </c>
      <c r="AL125" s="41" t="n"/>
      <c r="AM125" s="41" t="inlineStr">
        <is>
          <t>Stinger/Starstreak: 4,8–7 km, Mach 2,2 (Starstreak Mach 3+)</t>
        </is>
      </c>
      <c r="AN125" s="41" t="inlineStr">
        <is>
          <t>Tốc độ bay 24→42 m/s: Tên lửa vác vai: phải nhanh hơn cường kích (32 m/s); bay ~1 s để còn thấy được và bị pháo sáng đánh lừa.</t>
        </is>
      </c>
      <c r="AO125" s="48" t="inlineStr">
        <is>
          <t>Trung</t>
        </is>
      </c>
    </row>
    <row r="126" ht="21.75" customHeight="1" s="32">
      <c r="A126" s="39" t="inlineStr">
        <is>
          <t>sam_48n6</t>
        </is>
      </c>
      <c r="B126" s="39" t="inlineStr">
        <is>
          <t>S-400 48N6</t>
        </is>
      </c>
      <c r="C126" s="39" t="inlineStr">
        <is>
          <t>Tên lửa phòng không / không đối không</t>
        </is>
      </c>
      <c r="D126" s="39" t="inlineStr">
        <is>
          <t>SAM tầm xa, SAM tầm xa TN</t>
        </is>
      </c>
      <c r="E126" s="39" t="inlineStr">
        <is>
          <t>Mảnh</t>
        </is>
      </c>
      <c r="F126" s="39" t="inlineStr">
        <is>
          <t>Sam</t>
        </is>
      </c>
      <c r="G126" s="42" t="n">
        <v>180</v>
      </c>
      <c r="H126" s="42" t="n">
        <v>3</v>
      </c>
      <c r="I126" s="42" t="n">
        <v>3</v>
      </c>
      <c r="J126" s="42" t="n">
        <v>630</v>
      </c>
      <c r="K126" s="42" t="n">
        <v>630</v>
      </c>
      <c r="L126" s="39" t="inlineStr">
        <is>
          <t>từng phát</t>
        </is>
      </c>
      <c r="M126" s="39" t="inlineStr">
        <is>
          <t>từng phát</t>
        </is>
      </c>
      <c r="N126" s="42" t="n">
        <v>0.14</v>
      </c>
      <c r="O126" s="42" t="n">
        <v>0.14</v>
      </c>
      <c r="P126" s="42" t="n">
        <v>1</v>
      </c>
      <c r="Q126" s="42" t="n">
        <v>1</v>
      </c>
      <c r="R126" s="42" t="n">
        <v>7.14285714285714</v>
      </c>
      <c r="S126" s="42" t="n">
        <v>7.14285714285714</v>
      </c>
      <c r="T126" s="42" t="n">
        <v>95</v>
      </c>
      <c r="U126" s="42" t="n">
        <v>95</v>
      </c>
      <c r="V126" s="42" t="n">
        <v>24</v>
      </c>
      <c r="W126" s="42" t="n">
        <v>65</v>
      </c>
      <c r="X126" s="50">
        <f>IFERROR(U126/W126,"")</f>
        <v/>
      </c>
      <c r="Y126" s="52" t="n">
        <v>7.2</v>
      </c>
      <c r="Z126" s="52" t="n">
        <v>7.2</v>
      </c>
      <c r="AA126" s="50">
        <f>IFERROR(IF(L126="từng phát",J126*N126,J126*P126/(P126/N126+R126)),"")</f>
        <v/>
      </c>
      <c r="AB126" s="50">
        <f>IFERROR(IF(M126="từng phát",K126*O126,K126*Q126/(Q126/O126+S126)),"")</f>
        <v/>
      </c>
      <c r="AC126" s="50">
        <f>IFERROR(AB126*VLOOKUP(E126,'Hệ số'!$A$2:$D$8,2,0)*IF((I126-0)&gt;=2,1.2,IF((I126-0)=1,1,IF((I126-0)=0,0.85,IF((I126-0)=-1,0.5,IF((I126-0)=-2,0.25,0.1))))),"")</f>
        <v/>
      </c>
      <c r="AD126" s="50">
        <f>IFERROR(AB126*VLOOKUP(E126,'Hệ số'!$A$2:$D$8,2,0)*IF((I126-1)&gt;=2,1.2,IF((I126-1)=1,1,IF((I126-1)=0,0.85,IF((I126-1)=-1,0.5,IF((I126-1)=-2,0.25,0.1))))),"")</f>
        <v/>
      </c>
      <c r="AE126" s="50">
        <f>IFERROR(AB126*VLOOKUP(E126,'Hệ số'!$A$2:$D$8,2,0)*IF((I126-2)&gt;=2,1.2,IF((I126-2)=1,1,IF((I126-2)=0,0.85,IF((I126-2)=-1,0.5,IF((I126-2)=-2,0.25,0.1))))),"")</f>
        <v/>
      </c>
      <c r="AF126" s="50">
        <f>IFERROR(AB126*VLOOKUP(E126,'Hệ số'!$A$2:$D$8,2,0)*IF((I126-3)&gt;=2,1.2,IF((I126-3)=1,1,IF((I126-3)=0,0.85,IF((I126-3)=-1,0.5,IF((I126-3)=-2,0.25,0.1))))),"")</f>
        <v/>
      </c>
      <c r="AG126" s="50">
        <f>IFERROR(AB126*VLOOKUP(E126,'Hệ số'!$A$2:$D$8,2,0)*IF((I126-4)&gt;=2,1.2,IF((I126-4)=1,1,IF((I126-4)=0,0.85,IF((I126-4)=-1,0.5,IF((I126-4)=-2,0.25,0.1))))),"")</f>
        <v/>
      </c>
      <c r="AH126" s="50">
        <f>IFERROR(AB126*VLOOKUP(E126,'Hệ số'!$A$2:$D$8,2,0)*IF((I126-5)&gt;=2,1.2,IF((I126-5)=1,1,IF((I126-5)=0,0.85,IF((I126-5)=-1,0.5,IF((I126-5)=-2,0.25,0.1))))),"")</f>
        <v/>
      </c>
      <c r="AI126" s="50">
        <f>IFERROR(AB126*VLOOKUP(E126,'Hệ số'!$A$2:$D$8,3,0),"")</f>
        <v/>
      </c>
      <c r="AJ126" s="50">
        <f>IFERROR(AB126*VLOOKUP(E126,'Hệ số'!$A$2:$D$8,4,0)*IF((I126-2)&gt;=2,1.2,IF((I126-2)=1,1,IF((I126-2)=0,0.85,IF((I126-2)=-1,0.5,IF((I126-2)=-2,0.25,0.1))))),"")</f>
        <v/>
      </c>
      <c r="AK126" s="39" t="inlineStr">
        <is>
          <t>Dẫn đường; bị pháo sáng đánh lừa theo độ kháng; phải nhanh hơn mục tiêu.</t>
        </is>
      </c>
      <c r="AL126" s="39" t="n"/>
      <c r="AM126" s="39" t="inlineStr">
        <is>
          <t>48N6 (S-400): 150–250 km, Mach 6</t>
        </is>
      </c>
      <c r="AN126" s="39" t="inlineStr">
        <is>
          <t>Tốc độ bay 24→65 m/s: Tên lửa tầm xa nhất: bay ~1,5 s ở tầm 95.</t>
        </is>
      </c>
      <c r="AO126" s="47" t="inlineStr">
        <is>
          <t>Cao</t>
        </is>
      </c>
    </row>
    <row r="127" ht="21.75" customHeight="1" s="32">
      <c r="A127" s="41" t="inlineStr">
        <is>
          <t>sam_battery</t>
        </is>
      </c>
      <c r="B127" s="41" t="inlineStr">
        <is>
          <t>MIM-104 Patriot PAC-</t>
        </is>
      </c>
      <c r="C127" s="41" t="inlineStr">
        <is>
          <t>Tên lửa phòng không / không đối không</t>
        </is>
      </c>
      <c r="D127" s="41" t="inlineStr">
        <is>
          <t>Nemesis</t>
        </is>
      </c>
      <c r="E127" s="41" t="inlineStr">
        <is>
          <t>Mảnh</t>
        </is>
      </c>
      <c r="F127" s="41" t="inlineStr">
        <is>
          <t>Sam</t>
        </is>
      </c>
      <c r="G127" s="43" t="n">
        <v>90</v>
      </c>
      <c r="H127" s="43" t="n">
        <v>3</v>
      </c>
      <c r="I127" s="43" t="n">
        <v>3</v>
      </c>
      <c r="J127" s="43" t="n">
        <v>340</v>
      </c>
      <c r="K127" s="43" t="n">
        <v>340</v>
      </c>
      <c r="L127" s="41" t="inlineStr">
        <is>
          <t>loạt</t>
        </is>
      </c>
      <c r="M127" s="41" t="inlineStr">
        <is>
          <t>loạt</t>
        </is>
      </c>
      <c r="N127" s="43" t="n">
        <v>2.22</v>
      </c>
      <c r="O127" s="43" t="n">
        <v>2.22</v>
      </c>
      <c r="P127" s="43" t="n">
        <v>2</v>
      </c>
      <c r="Q127" s="43" t="n">
        <v>2</v>
      </c>
      <c r="R127" s="43" t="n">
        <v>10.1</v>
      </c>
      <c r="S127" s="43" t="n">
        <v>10.1</v>
      </c>
      <c r="T127" s="43" t="n">
        <v>90</v>
      </c>
      <c r="U127" s="43" t="n">
        <v>90</v>
      </c>
      <c r="V127" s="43" t="n">
        <v>24</v>
      </c>
      <c r="W127" s="43" t="n">
        <v>60</v>
      </c>
      <c r="X127" s="51">
        <f>IFERROR(U127/W127,"")</f>
        <v/>
      </c>
      <c r="Y127" s="53" t="n">
        <v>2.5</v>
      </c>
      <c r="Z127" s="53" t="n">
        <v>2.5</v>
      </c>
      <c r="AA127" s="51">
        <f>IFERROR(IF(L127="từng phát",J127*N127,J127*P127/(P127/N127+R127)),"")</f>
        <v/>
      </c>
      <c r="AB127" s="51">
        <f>IFERROR(IF(M127="từng phát",K127*O127,K127*Q127/(Q127/O127+S127)),"")</f>
        <v/>
      </c>
      <c r="AC127" s="51">
        <f>IFERROR(AB127*VLOOKUP(E127,'Hệ số'!$A$2:$D$8,2,0)*IF((I127-0)&gt;=2,1.2,IF((I127-0)=1,1,IF((I127-0)=0,0.85,IF((I127-0)=-1,0.5,IF((I127-0)=-2,0.25,0.1))))),"")</f>
        <v/>
      </c>
      <c r="AD127" s="51">
        <f>IFERROR(AB127*VLOOKUP(E127,'Hệ số'!$A$2:$D$8,2,0)*IF((I127-1)&gt;=2,1.2,IF((I127-1)=1,1,IF((I127-1)=0,0.85,IF((I127-1)=-1,0.5,IF((I127-1)=-2,0.25,0.1))))),"")</f>
        <v/>
      </c>
      <c r="AE127" s="51">
        <f>IFERROR(AB127*VLOOKUP(E127,'Hệ số'!$A$2:$D$8,2,0)*IF((I127-2)&gt;=2,1.2,IF((I127-2)=1,1,IF((I127-2)=0,0.85,IF((I127-2)=-1,0.5,IF((I127-2)=-2,0.25,0.1))))),"")</f>
        <v/>
      </c>
      <c r="AF127" s="51">
        <f>IFERROR(AB127*VLOOKUP(E127,'Hệ số'!$A$2:$D$8,2,0)*IF((I127-3)&gt;=2,1.2,IF((I127-3)=1,1,IF((I127-3)=0,0.85,IF((I127-3)=-1,0.5,IF((I127-3)=-2,0.25,0.1))))),"")</f>
        <v/>
      </c>
      <c r="AG127" s="51">
        <f>IFERROR(AB127*VLOOKUP(E127,'Hệ số'!$A$2:$D$8,2,0)*IF((I127-4)&gt;=2,1.2,IF((I127-4)=1,1,IF((I127-4)=0,0.85,IF((I127-4)=-1,0.5,IF((I127-4)=-2,0.25,0.1))))),"")</f>
        <v/>
      </c>
      <c r="AH127" s="51">
        <f>IFERROR(AB127*VLOOKUP(E127,'Hệ số'!$A$2:$D$8,2,0)*IF((I127-5)&gt;=2,1.2,IF((I127-5)=1,1,IF((I127-5)=0,0.85,IF((I127-5)=-1,0.5,IF((I127-5)=-2,0.25,0.1))))),"")</f>
        <v/>
      </c>
      <c r="AI127" s="51">
        <f>IFERROR(AB127*VLOOKUP(E127,'Hệ số'!$A$2:$D$8,3,0),"")</f>
        <v/>
      </c>
      <c r="AJ127" s="51">
        <f>IFERROR(AB127*VLOOKUP(E127,'Hệ số'!$A$2:$D$8,4,0)*IF((I127-2)&gt;=2,1.2,IF((I127-2)=1,1,IF((I127-2)=0,0.85,IF((I127-2)=-1,0.5,IF((I127-2)=-2,0.25,0.1))))),"")</f>
        <v/>
      </c>
      <c r="AK127" s="41" t="inlineStr">
        <is>
          <t>Dẫn đường; bị pháo sáng đánh lừa theo độ kháng; phải nhanh hơn mục tiêu.</t>
        </is>
      </c>
      <c r="AL127" s="41" t="n"/>
      <c r="AM127" s="41" t="inlineStr">
        <is>
          <t>PAC-2</t>
        </is>
      </c>
      <c r="AN127" s="41" t="inlineStr">
        <is>
          <t>Tốc độ bay 24→60 m/s: Thống nhất tốc độ Patriot ở mọi đơn vị (60 m/s).</t>
        </is>
      </c>
      <c r="AO127" s="48" t="inlineStr">
        <is>
          <t>Trung</t>
        </is>
      </c>
    </row>
    <row r="128" ht="21.75" customHeight="1" s="32">
      <c r="A128" s="39" t="inlineStr">
        <is>
          <t>sam_battery_lrr</t>
        </is>
      </c>
      <c r="B128" s="39" t="inlineStr">
        <is>
          <t>MIM-104 Patriot PAC-</t>
        </is>
      </c>
      <c r="C128" s="39" t="inlineStr">
        <is>
          <t>Tên lửa phòng không / không đối không</t>
        </is>
      </c>
      <c r="D128" s="39" t="inlineStr">
        <is>
          <t>Radar tầm xa</t>
        </is>
      </c>
      <c r="E128" s="39" t="inlineStr">
        <is>
          <t>Mảnh</t>
        </is>
      </c>
      <c r="F128" s="39" t="inlineStr">
        <is>
          <t>Sam</t>
        </is>
      </c>
      <c r="G128" s="42" t="n">
        <v>90</v>
      </c>
      <c r="H128" s="42" t="n">
        <v>3</v>
      </c>
      <c r="I128" s="42" t="n">
        <v>3</v>
      </c>
      <c r="J128" s="42" t="n">
        <v>340</v>
      </c>
      <c r="K128" s="42" t="n">
        <v>340</v>
      </c>
      <c r="L128" s="39" t="inlineStr">
        <is>
          <t>loạt</t>
        </is>
      </c>
      <c r="M128" s="39" t="inlineStr">
        <is>
          <t>loạt</t>
        </is>
      </c>
      <c r="N128" s="42" t="n">
        <v>2.22</v>
      </c>
      <c r="O128" s="42" t="n">
        <v>2.22</v>
      </c>
      <c r="P128" s="42" t="n">
        <v>2</v>
      </c>
      <c r="Q128" s="42" t="n">
        <v>2</v>
      </c>
      <c r="R128" s="42" t="n">
        <v>4.3</v>
      </c>
      <c r="S128" s="42" t="n">
        <v>3</v>
      </c>
      <c r="T128" s="42" t="n">
        <v>100</v>
      </c>
      <c r="U128" s="42" t="n">
        <v>100</v>
      </c>
      <c r="V128" s="42" t="n">
        <v>24</v>
      </c>
      <c r="W128" s="42" t="n">
        <v>60</v>
      </c>
      <c r="X128" s="50">
        <f>IFERROR(U128/W128,"")</f>
        <v/>
      </c>
      <c r="Y128" s="52" t="n">
        <v>2.5</v>
      </c>
      <c r="Z128" s="52" t="n">
        <v>2.5</v>
      </c>
      <c r="AA128" s="50">
        <f>IFERROR(IF(L128="từng phát",J128*N128,J128*P128/(P128/N128+R128)),"")</f>
        <v/>
      </c>
      <c r="AB128" s="50">
        <f>IFERROR(IF(M128="từng phát",K128*O128,K128*Q128/(Q128/O128+S128)),"")</f>
        <v/>
      </c>
      <c r="AC128" s="50">
        <f>IFERROR(AB128*VLOOKUP(E128,'Hệ số'!$A$2:$D$8,2,0)*IF((I128-0)&gt;=2,1.2,IF((I128-0)=1,1,IF((I128-0)=0,0.85,IF((I128-0)=-1,0.5,IF((I128-0)=-2,0.25,0.1))))),"")</f>
        <v/>
      </c>
      <c r="AD128" s="50">
        <f>IFERROR(AB128*VLOOKUP(E128,'Hệ số'!$A$2:$D$8,2,0)*IF((I128-1)&gt;=2,1.2,IF((I128-1)=1,1,IF((I128-1)=0,0.85,IF((I128-1)=-1,0.5,IF((I128-1)=-2,0.25,0.1))))),"")</f>
        <v/>
      </c>
      <c r="AE128" s="50">
        <f>IFERROR(AB128*VLOOKUP(E128,'Hệ số'!$A$2:$D$8,2,0)*IF((I128-2)&gt;=2,1.2,IF((I128-2)=1,1,IF((I128-2)=0,0.85,IF((I128-2)=-1,0.5,IF((I128-2)=-2,0.25,0.1))))),"")</f>
        <v/>
      </c>
      <c r="AF128" s="50">
        <f>IFERROR(AB128*VLOOKUP(E128,'Hệ số'!$A$2:$D$8,2,0)*IF((I128-3)&gt;=2,1.2,IF((I128-3)=1,1,IF((I128-3)=0,0.85,IF((I128-3)=-1,0.5,IF((I128-3)=-2,0.25,0.1))))),"")</f>
        <v/>
      </c>
      <c r="AG128" s="50">
        <f>IFERROR(AB128*VLOOKUP(E128,'Hệ số'!$A$2:$D$8,2,0)*IF((I128-4)&gt;=2,1.2,IF((I128-4)=1,1,IF((I128-4)=0,0.85,IF((I128-4)=-1,0.5,IF((I128-4)=-2,0.25,0.1))))),"")</f>
        <v/>
      </c>
      <c r="AH128" s="50">
        <f>IFERROR(AB128*VLOOKUP(E128,'Hệ số'!$A$2:$D$8,2,0)*IF((I128-5)&gt;=2,1.2,IF((I128-5)=1,1,IF((I128-5)=0,0.85,IF((I128-5)=-1,0.5,IF((I128-5)=-2,0.25,0.1))))),"")</f>
        <v/>
      </c>
      <c r="AI128" s="50">
        <f>IFERROR(AB128*VLOOKUP(E128,'Hệ số'!$A$2:$D$8,3,0),"")</f>
        <v/>
      </c>
      <c r="AJ128" s="50">
        <f>IFERROR(AB128*VLOOKUP(E128,'Hệ số'!$A$2:$D$8,4,0)*IF((I128-2)&gt;=2,1.2,IF((I128-2)=1,1,IF((I128-2)=0,0.85,IF((I128-2)=-1,0.5,IF((I128-2)=-2,0.25,0.1))))),"")</f>
        <v/>
      </c>
      <c r="AK128" s="39" t="inlineStr">
        <is>
          <t>Dẫn đường; bị pháo sáng đánh lừa theo độ kháng; phải nhanh hơn mục tiêu.</t>
        </is>
      </c>
      <c r="AL128" s="39" t="n"/>
      <c r="AM128" s="39" t="inlineStr">
        <is>
          <t>PAC-2</t>
        </is>
      </c>
      <c r="AN128" s="39" t="inlineStr">
        <is>
          <t>Nhánh radar tầm xa chống máy bay → ~260. Tốc độ bay 24→60 m/s: Thống nhất tốc độ Patriot ở mọi đơn vị (60 m/s).</t>
        </is>
      </c>
      <c r="AO128" s="48" t="inlineStr">
        <is>
          <t>Trung</t>
        </is>
      </c>
    </row>
    <row r="129" ht="21.75" customHeight="1" s="32">
      <c r="A129" s="41" t="inlineStr">
        <is>
          <t>sam_pac3</t>
        </is>
      </c>
      <c r="B129" s="41" t="inlineStr">
        <is>
          <t>Patriot PAC-3 MSE</t>
        </is>
      </c>
      <c r="C129" s="41" t="inlineStr">
        <is>
          <t>Tên lửa phòng không / không đối không</t>
        </is>
      </c>
      <c r="D129" s="41" t="inlineStr">
        <is>
          <t>PAC-3</t>
        </is>
      </c>
      <c r="E129" s="41" t="inlineStr">
        <is>
          <t>Mảnh</t>
        </is>
      </c>
      <c r="F129" s="41" t="inlineStr">
        <is>
          <t>Sam</t>
        </is>
      </c>
      <c r="G129" s="43" t="n">
        <v>100</v>
      </c>
      <c r="H129" s="43" t="n">
        <v>3</v>
      </c>
      <c r="I129" s="43" t="n">
        <v>3</v>
      </c>
      <c r="J129" s="43" t="n">
        <v>360</v>
      </c>
      <c r="K129" s="43" t="n">
        <v>360</v>
      </c>
      <c r="L129" s="41" t="inlineStr">
        <is>
          <t>loạt</t>
        </is>
      </c>
      <c r="M129" s="41" t="inlineStr">
        <is>
          <t>loạt</t>
        </is>
      </c>
      <c r="N129" s="43" t="n">
        <v>2.22</v>
      </c>
      <c r="O129" s="43" t="n">
        <v>2.22</v>
      </c>
      <c r="P129" s="43" t="n">
        <v>2</v>
      </c>
      <c r="Q129" s="43" t="n">
        <v>2</v>
      </c>
      <c r="R129" s="43" t="n">
        <v>5.8</v>
      </c>
      <c r="S129" s="43" t="n">
        <v>5.8</v>
      </c>
      <c r="T129" s="43" t="n">
        <v>72</v>
      </c>
      <c r="U129" s="43" t="n">
        <v>72</v>
      </c>
      <c r="V129" s="43" t="n">
        <v>24</v>
      </c>
      <c r="W129" s="43" t="n">
        <v>65</v>
      </c>
      <c r="X129" s="51">
        <f>IFERROR(U129/W129,"")</f>
        <v/>
      </c>
      <c r="Y129" s="53" t="n">
        <v>2.5</v>
      </c>
      <c r="Z129" s="53" t="n">
        <v>2.5</v>
      </c>
      <c r="AA129" s="51">
        <f>IFERROR(IF(L129="từng phát",J129*N129,J129*P129/(P129/N129+R129)),"")</f>
        <v/>
      </c>
      <c r="AB129" s="51">
        <f>IFERROR(IF(M129="từng phát",K129*O129,K129*Q129/(Q129/O129+S129)),"")</f>
        <v/>
      </c>
      <c r="AC129" s="51">
        <f>IFERROR(AB129*VLOOKUP(E129,'Hệ số'!$A$2:$D$8,2,0)*IF((I129-0)&gt;=2,1.2,IF((I129-0)=1,1,IF((I129-0)=0,0.85,IF((I129-0)=-1,0.5,IF((I129-0)=-2,0.25,0.1))))),"")</f>
        <v/>
      </c>
      <c r="AD129" s="51">
        <f>IFERROR(AB129*VLOOKUP(E129,'Hệ số'!$A$2:$D$8,2,0)*IF((I129-1)&gt;=2,1.2,IF((I129-1)=1,1,IF((I129-1)=0,0.85,IF((I129-1)=-1,0.5,IF((I129-1)=-2,0.25,0.1))))),"")</f>
        <v/>
      </c>
      <c r="AE129" s="51">
        <f>IFERROR(AB129*VLOOKUP(E129,'Hệ số'!$A$2:$D$8,2,0)*IF((I129-2)&gt;=2,1.2,IF((I129-2)=1,1,IF((I129-2)=0,0.85,IF((I129-2)=-1,0.5,IF((I129-2)=-2,0.25,0.1))))),"")</f>
        <v/>
      </c>
      <c r="AF129" s="51">
        <f>IFERROR(AB129*VLOOKUP(E129,'Hệ số'!$A$2:$D$8,2,0)*IF((I129-3)&gt;=2,1.2,IF((I129-3)=1,1,IF((I129-3)=0,0.85,IF((I129-3)=-1,0.5,IF((I129-3)=-2,0.25,0.1))))),"")</f>
        <v/>
      </c>
      <c r="AG129" s="51">
        <f>IFERROR(AB129*VLOOKUP(E129,'Hệ số'!$A$2:$D$8,2,0)*IF((I129-4)&gt;=2,1.2,IF((I129-4)=1,1,IF((I129-4)=0,0.85,IF((I129-4)=-1,0.5,IF((I129-4)=-2,0.25,0.1))))),"")</f>
        <v/>
      </c>
      <c r="AH129" s="51">
        <f>IFERROR(AB129*VLOOKUP(E129,'Hệ số'!$A$2:$D$8,2,0)*IF((I129-5)&gt;=2,1.2,IF((I129-5)=1,1,IF((I129-5)=0,0.85,IF((I129-5)=-1,0.5,IF((I129-5)=-2,0.25,0.1))))),"")</f>
        <v/>
      </c>
      <c r="AI129" s="51">
        <f>IFERROR(AB129*VLOOKUP(E129,'Hệ số'!$A$2:$D$8,3,0),"")</f>
        <v/>
      </c>
      <c r="AJ129" s="51">
        <f>IFERROR(AB129*VLOOKUP(E129,'Hệ số'!$A$2:$D$8,4,0)*IF((I129-2)&gt;=2,1.2,IF((I129-2)=1,1,IF((I129-2)=0,0.85,IF((I129-2)=-1,0.5,IF((I129-2)=-2,0.25,0.1))))),"")</f>
        <v/>
      </c>
      <c r="AK129" s="41" t="inlineStr">
        <is>
          <t>Dẫn đường; bị pháo sáng đánh lừa theo độ kháng; phải nhanh hơn mục tiêu.</t>
        </is>
      </c>
      <c r="AL129" s="41" t="n"/>
      <c r="AM129" s="41" t="inlineStr">
        <is>
          <t>PAC-3 MSE: 35–60 km, Mach 5</t>
        </is>
      </c>
      <c r="AN129" s="41" t="inlineStr">
        <is>
          <t>Tốc độ bay 24→65 m/s: Đánh chặn tên lửa đạn đạo (đề xuất 50 m/s) và hành trình: phải nhanh hơn chúng.</t>
        </is>
      </c>
      <c r="AO129" s="48" t="inlineStr">
        <is>
          <t>Trung</t>
        </is>
      </c>
    </row>
    <row r="130" ht="21.75" customHeight="1" s="32">
      <c r="A130" s="39" t="inlineStr">
        <is>
          <t>sam_post</t>
        </is>
      </c>
      <c r="B130" s="39" t="inlineStr">
        <is>
          <t>9M317 Buk</t>
        </is>
      </c>
      <c r="C130" s="39" t="inlineStr">
        <is>
          <t>Tên lửa phòng không / không đối không</t>
        </is>
      </c>
      <c r="D130" s="39" t="inlineStr">
        <is>
          <t>Jötunn, Trạm tên lửa, Typhon</t>
        </is>
      </c>
      <c r="E130" s="39" t="inlineStr">
        <is>
          <t>Mảnh</t>
        </is>
      </c>
      <c r="F130" s="39" t="inlineStr">
        <is>
          <t>Sam</t>
        </is>
      </c>
      <c r="G130" s="42" t="n">
        <v>70</v>
      </c>
      <c r="H130" s="42" t="n">
        <v>3</v>
      </c>
      <c r="I130" s="42" t="n">
        <v>3</v>
      </c>
      <c r="J130" s="42" t="n">
        <v>320</v>
      </c>
      <c r="K130" s="42" t="n">
        <v>320</v>
      </c>
      <c r="L130" s="39" t="inlineStr">
        <is>
          <t>loạt</t>
        </is>
      </c>
      <c r="M130" s="39" t="inlineStr">
        <is>
          <t>loạt</t>
        </is>
      </c>
      <c r="N130" s="42" t="n">
        <v>2</v>
      </c>
      <c r="O130" s="42" t="n">
        <v>2</v>
      </c>
      <c r="P130" s="42" t="n">
        <v>2</v>
      </c>
      <c r="Q130" s="42" t="n">
        <v>2</v>
      </c>
      <c r="R130" s="42" t="n">
        <v>3.4</v>
      </c>
      <c r="S130" s="42" t="n">
        <v>3.4</v>
      </c>
      <c r="T130" s="42" t="n">
        <v>60</v>
      </c>
      <c r="U130" s="42" t="n">
        <v>60</v>
      </c>
      <c r="V130" s="42" t="n">
        <v>24</v>
      </c>
      <c r="W130" s="42" t="n">
        <v>50</v>
      </c>
      <c r="X130" s="50">
        <f>IFERROR(U130/W130,"")</f>
        <v/>
      </c>
      <c r="Y130" s="52" t="n">
        <v>2</v>
      </c>
      <c r="Z130" s="52" t="n">
        <v>2</v>
      </c>
      <c r="AA130" s="50">
        <f>IFERROR(IF(L130="từng phát",J130*N130,J130*P130/(P130/N130+R130)),"")</f>
        <v/>
      </c>
      <c r="AB130" s="50">
        <f>IFERROR(IF(M130="từng phát",K130*O130,K130*Q130/(Q130/O130+S130)),"")</f>
        <v/>
      </c>
      <c r="AC130" s="50">
        <f>IFERROR(AB130*VLOOKUP(E130,'Hệ số'!$A$2:$D$8,2,0)*IF((I130-0)&gt;=2,1.2,IF((I130-0)=1,1,IF((I130-0)=0,0.85,IF((I130-0)=-1,0.5,IF((I130-0)=-2,0.25,0.1))))),"")</f>
        <v/>
      </c>
      <c r="AD130" s="50">
        <f>IFERROR(AB130*VLOOKUP(E130,'Hệ số'!$A$2:$D$8,2,0)*IF((I130-1)&gt;=2,1.2,IF((I130-1)=1,1,IF((I130-1)=0,0.85,IF((I130-1)=-1,0.5,IF((I130-1)=-2,0.25,0.1))))),"")</f>
        <v/>
      </c>
      <c r="AE130" s="50">
        <f>IFERROR(AB130*VLOOKUP(E130,'Hệ số'!$A$2:$D$8,2,0)*IF((I130-2)&gt;=2,1.2,IF((I130-2)=1,1,IF((I130-2)=0,0.85,IF((I130-2)=-1,0.5,IF((I130-2)=-2,0.25,0.1))))),"")</f>
        <v/>
      </c>
      <c r="AF130" s="50">
        <f>IFERROR(AB130*VLOOKUP(E130,'Hệ số'!$A$2:$D$8,2,0)*IF((I130-3)&gt;=2,1.2,IF((I130-3)=1,1,IF((I130-3)=0,0.85,IF((I130-3)=-1,0.5,IF((I130-3)=-2,0.25,0.1))))),"")</f>
        <v/>
      </c>
      <c r="AG130" s="50">
        <f>IFERROR(AB130*VLOOKUP(E130,'Hệ số'!$A$2:$D$8,2,0)*IF((I130-4)&gt;=2,1.2,IF((I130-4)=1,1,IF((I130-4)=0,0.85,IF((I130-4)=-1,0.5,IF((I130-4)=-2,0.25,0.1))))),"")</f>
        <v/>
      </c>
      <c r="AH130" s="50">
        <f>IFERROR(AB130*VLOOKUP(E130,'Hệ số'!$A$2:$D$8,2,0)*IF((I130-5)&gt;=2,1.2,IF((I130-5)=1,1,IF((I130-5)=0,0.85,IF((I130-5)=-1,0.5,IF((I130-5)=-2,0.25,0.1))))),"")</f>
        <v/>
      </c>
      <c r="AI130" s="50">
        <f>IFERROR(AB130*VLOOKUP(E130,'Hệ số'!$A$2:$D$8,3,0),"")</f>
        <v/>
      </c>
      <c r="AJ130" s="50">
        <f>IFERROR(AB130*VLOOKUP(E130,'Hệ số'!$A$2:$D$8,4,0)*IF((I130-2)&gt;=2,1.2,IF((I130-2)=1,1,IF((I130-2)=0,0.85,IF((I130-2)=-1,0.5,IF((I130-2)=-2,0.25,0.1))))),"")</f>
        <v/>
      </c>
      <c r="AK130" s="39" t="inlineStr">
        <is>
          <t>Dẫn đường; bị pháo sáng đánh lừa theo độ kháng; phải nhanh hơn mục tiêu.</t>
        </is>
      </c>
      <c r="AL130" s="39" t="n"/>
      <c r="AM130" s="39" t="inlineStr">
        <is>
          <t>9M317 Buk</t>
        </is>
      </c>
      <c r="AN130" s="39" t="inlineStr">
        <is>
          <t>Tốc độ bay 24→50 m/s: Thống nhất tốc độ Buk ở mọi đơn vị (50 m/s).</t>
        </is>
      </c>
      <c r="AO130" s="48" t="inlineStr">
        <is>
          <t>Trung</t>
        </is>
      </c>
    </row>
    <row r="131" ht="21.75" customHeight="1" s="32">
      <c r="A131" s="41" t="inlineStr">
        <is>
          <t>scout_rockets</t>
        </is>
      </c>
      <c r="B131" s="41" t="inlineStr">
        <is>
          <t>Hydra 70 mm</t>
        </is>
      </c>
      <c r="C131" s="41" t="inlineStr">
        <is>
          <t>Rốc-két</t>
        </is>
      </c>
      <c r="D131" s="41" t="inlineStr">
        <is>
          <t>TT trinh sát</t>
        </is>
      </c>
      <c r="E131" s="41" t="inlineStr">
        <is>
          <t>Nổ mạnh</t>
        </is>
      </c>
      <c r="F131" s="41" t="inlineStr">
        <is>
          <t>RocketSmall</t>
        </is>
      </c>
      <c r="G131" s="43" t="n">
        <v>70</v>
      </c>
      <c r="H131" s="43" t="n">
        <v>2</v>
      </c>
      <c r="I131" s="43" t="n">
        <v>2</v>
      </c>
      <c r="J131" s="43" t="n">
        <v>30</v>
      </c>
      <c r="K131" s="43" t="n">
        <v>30</v>
      </c>
      <c r="L131" s="41" t="inlineStr">
        <is>
          <t>loạt</t>
        </is>
      </c>
      <c r="M131" s="41" t="inlineStr">
        <is>
          <t>loạt</t>
        </is>
      </c>
      <c r="N131" s="43" t="n">
        <v>9.09</v>
      </c>
      <c r="O131" s="43" t="n">
        <v>9.09</v>
      </c>
      <c r="P131" s="43" t="n">
        <v>12</v>
      </c>
      <c r="Q131" s="43" t="n">
        <v>12</v>
      </c>
      <c r="R131" s="43" t="n">
        <v>7.4</v>
      </c>
      <c r="S131" s="43" t="n">
        <v>7.4</v>
      </c>
      <c r="T131" s="43" t="n">
        <v>28</v>
      </c>
      <c r="U131" s="43" t="n">
        <v>28</v>
      </c>
      <c r="V131" s="43" t="n">
        <v>38</v>
      </c>
      <c r="W131" s="43" t="n">
        <v>40</v>
      </c>
      <c r="X131" s="51">
        <f>IFERROR(U131/W131,"")</f>
        <v/>
      </c>
      <c r="Y131" s="53" t="n">
        <v>3</v>
      </c>
      <c r="Z131" s="53" t="n">
        <v>3</v>
      </c>
      <c r="AA131" s="51">
        <f>IFERROR(IF(L131="từng phát",J131*N131,J131*P131/(P131/N131+R131)),"")</f>
        <v/>
      </c>
      <c r="AB131" s="51">
        <f>IFERROR(IF(M131="từng phát",K131*O131,K131*Q131/(Q131/O131+S131)),"")</f>
        <v/>
      </c>
      <c r="AC131" s="51">
        <f>IFERROR(AB131*VLOOKUP(E131,'Hệ số'!$A$2:$D$8,2,0)*IF((I131-0)&gt;=2,1.2,IF((I131-0)=1,1,IF((I131-0)=0,0.85,IF((I131-0)=-1,0.5,IF((I131-0)=-2,0.25,0.1))))),"")</f>
        <v/>
      </c>
      <c r="AD131" s="51">
        <f>IFERROR(AB131*VLOOKUP(E131,'Hệ số'!$A$2:$D$8,2,0)*IF((I131-1)&gt;=2,1.2,IF((I131-1)=1,1,IF((I131-1)=0,0.85,IF((I131-1)=-1,0.5,IF((I131-1)=-2,0.25,0.1))))),"")</f>
        <v/>
      </c>
      <c r="AE131" s="51">
        <f>IFERROR(AB131*VLOOKUP(E131,'Hệ số'!$A$2:$D$8,2,0)*IF((I131-2)&gt;=2,1.2,IF((I131-2)=1,1,IF((I131-2)=0,0.85,IF((I131-2)=-1,0.5,IF((I131-2)=-2,0.25,0.1))))),"")</f>
        <v/>
      </c>
      <c r="AF131" s="51">
        <f>IFERROR(AB131*VLOOKUP(E131,'Hệ số'!$A$2:$D$8,2,0)*IF((I131-3)&gt;=2,1.2,IF((I131-3)=1,1,IF((I131-3)=0,0.85,IF((I131-3)=-1,0.5,IF((I131-3)=-2,0.25,0.1))))),"")</f>
        <v/>
      </c>
      <c r="AG131" s="51">
        <f>IFERROR(AB131*VLOOKUP(E131,'Hệ số'!$A$2:$D$8,2,0)*IF((I131-4)&gt;=2,1.2,IF((I131-4)=1,1,IF((I131-4)=0,0.85,IF((I131-4)=-1,0.5,IF((I131-4)=-2,0.25,0.1))))),"")</f>
        <v/>
      </c>
      <c r="AH131" s="51">
        <f>IFERROR(AB131*VLOOKUP(E131,'Hệ số'!$A$2:$D$8,2,0)*IF((I131-5)&gt;=2,1.2,IF((I131-5)=1,1,IF((I131-5)=0,0.85,IF((I131-5)=-1,0.5,IF((I131-5)=-2,0.25,0.1))))),"")</f>
        <v/>
      </c>
      <c r="AI131" s="51">
        <f>IFERROR(AB131*VLOOKUP(E131,'Hệ số'!$A$2:$D$8,3,0),"")</f>
        <v/>
      </c>
      <c r="AJ131" s="51">
        <f>IFERROR(AB131*VLOOKUP(E131,'Hệ số'!$A$2:$D$8,4,0)*IF((I131-2)&gt;=2,1.2,IF((I131-2)=1,1,IF((I131-2)=0,0.85,IF((I131-2)=-1,0.5,IF((I131-2)=-2,0.25,0.1))))),"")</f>
        <v/>
      </c>
      <c r="AK131" s="41" t="inlineStr">
        <is>
          <t>Bắn loạt phủ vùng, tản mát; C-RAM, Vòm Sắt và La-de PK bắn hạ được từng quả.</t>
        </is>
      </c>
      <c r="AL131" s="41" t="n"/>
      <c r="AM131" s="41" t="inlineStr">
        <is>
          <t>Hydra 70</t>
        </is>
      </c>
      <c r="AN131" s="41" t="inlineStr">
        <is>
          <t>Tốc độ bay 38→40 m/s: Thống nhất tốc độ rốc-két nhỏ ở mọi đơn vị (40 m/s).</t>
        </is>
      </c>
      <c r="AO131" s="48" t="inlineStr">
        <is>
          <t>Trung</t>
        </is>
      </c>
    </row>
    <row r="132" ht="21.75" customHeight="1" s="32">
      <c r="A132" s="39" t="inlineStr">
        <is>
          <t>shahed</t>
        </is>
      </c>
      <c r="B132" s="39" t="inlineStr">
        <is>
          <t>Shahed-136 (50 kg)</t>
        </is>
      </c>
      <c r="C132" s="39" t="inlineStr">
        <is>
          <t>Drone / đạn lảng vảng</t>
        </is>
      </c>
      <c r="D132" s="39" t="inlineStr">
        <is>
          <t>Shahed</t>
        </is>
      </c>
      <c r="E132" s="39" t="inlineStr">
        <is>
          <t>Nổ mạnh</t>
        </is>
      </c>
      <c r="F132" s="39" t="inlineStr">
        <is>
          <t>Shahed</t>
        </is>
      </c>
      <c r="G132" s="42" t="n">
        <v>50</v>
      </c>
      <c r="H132" s="42" t="n">
        <v>3</v>
      </c>
      <c r="I132" s="42" t="n">
        <v>3</v>
      </c>
      <c r="J132" s="42" t="n">
        <v>344</v>
      </c>
      <c r="K132" s="42" t="n">
        <v>344</v>
      </c>
      <c r="L132" s="39" t="inlineStr">
        <is>
          <t>từng phát</t>
        </is>
      </c>
      <c r="M132" s="39" t="inlineStr">
        <is>
          <t>từng phát</t>
        </is>
      </c>
      <c r="N132" s="42" t="n">
        <v>0.12</v>
      </c>
      <c r="O132" s="42" t="n">
        <v>0.12</v>
      </c>
      <c r="P132" s="42" t="n">
        <v>1</v>
      </c>
      <c r="Q132" s="42" t="n">
        <v>1</v>
      </c>
      <c r="R132" s="42" t="n">
        <v>8.33333333333333</v>
      </c>
      <c r="S132" s="42" t="n">
        <v>8.33333333333333</v>
      </c>
      <c r="T132" s="42" t="n">
        <v>150</v>
      </c>
      <c r="U132" s="42" t="n">
        <v>150</v>
      </c>
      <c r="V132" s="42" t="n">
        <v>20</v>
      </c>
      <c r="W132" s="42" t="n">
        <v>20</v>
      </c>
      <c r="X132" s="50">
        <f>IFERROR(U132/W132,"")</f>
        <v/>
      </c>
      <c r="Y132" s="52" t="n">
        <v>6</v>
      </c>
      <c r="Z132" s="52" t="n">
        <v>4.5</v>
      </c>
      <c r="AA132" s="50">
        <f>IFERROR(IF(L132="từng phát",J132*N132,J132*P132/(P132/N132+R132)),"")</f>
        <v/>
      </c>
      <c r="AB132" s="50">
        <f>IFERROR(IF(M132="từng phát",K132*O132,K132*Q132/(Q132/O132+S132)),"")</f>
        <v/>
      </c>
      <c r="AC132" s="50">
        <f>IFERROR(AB132*VLOOKUP(E132,'Hệ số'!$A$2:$D$8,2,0)*IF((I132-0)&gt;=2,1.2,IF((I132-0)=1,1,IF((I132-0)=0,0.85,IF((I132-0)=-1,0.5,IF((I132-0)=-2,0.25,0.1))))),"")</f>
        <v/>
      </c>
      <c r="AD132" s="50">
        <f>IFERROR(AB132*VLOOKUP(E132,'Hệ số'!$A$2:$D$8,2,0)*IF((I132-1)&gt;=2,1.2,IF((I132-1)=1,1,IF((I132-1)=0,0.85,IF((I132-1)=-1,0.5,IF((I132-1)=-2,0.25,0.1))))),"")</f>
        <v/>
      </c>
      <c r="AE132" s="50">
        <f>IFERROR(AB132*VLOOKUP(E132,'Hệ số'!$A$2:$D$8,2,0)*IF((I132-2)&gt;=2,1.2,IF((I132-2)=1,1,IF((I132-2)=0,0.85,IF((I132-2)=-1,0.5,IF((I132-2)=-2,0.25,0.1))))),"")</f>
        <v/>
      </c>
      <c r="AF132" s="50">
        <f>IFERROR(AB132*VLOOKUP(E132,'Hệ số'!$A$2:$D$8,2,0)*IF((I132-3)&gt;=2,1.2,IF((I132-3)=1,1,IF((I132-3)=0,0.85,IF((I132-3)=-1,0.5,IF((I132-3)=-2,0.25,0.1))))),"")</f>
        <v/>
      </c>
      <c r="AG132" s="50">
        <f>IFERROR(AB132*VLOOKUP(E132,'Hệ số'!$A$2:$D$8,2,0)*IF((I132-4)&gt;=2,1.2,IF((I132-4)=1,1,IF((I132-4)=0,0.85,IF((I132-4)=-1,0.5,IF((I132-4)=-2,0.25,0.1))))),"")</f>
        <v/>
      </c>
      <c r="AH132" s="50">
        <f>IFERROR(AB132*VLOOKUP(E132,'Hệ số'!$A$2:$D$8,2,0)*IF((I132-5)&gt;=2,1.2,IF((I132-5)=1,1,IF((I132-5)=0,0.85,IF((I132-5)=-1,0.5,IF((I132-5)=-2,0.25,0.1))))),"")</f>
        <v/>
      </c>
      <c r="AI132" s="50">
        <f>IFERROR(AB132*VLOOKUP(E132,'Hệ số'!$A$2:$D$8,3,0),"")</f>
        <v/>
      </c>
      <c r="AJ132" s="50">
        <f>IFERROR(AB132*VLOOKUP(E132,'Hệ số'!$A$2:$D$8,4,0)*IF((I132-2)&gt;=2,1.2,IF((I132-2)=1,1,IF((I132-2)=0,0.85,IF((I132-2)=-1,0.5,IF((I132-2)=-2,0.25,0.1))))),"")</f>
        <v/>
      </c>
      <c r="AK132" s="39" t="inlineStr">
        <is>
          <t>Bay chậm, lượn tìm mục tiêu, đánh nóc; bị EW, APS, C-RAM, La-de PK và súng máy bắn hạ.</t>
        </is>
      </c>
      <c r="AL132" s="39" t="n"/>
      <c r="AM132" s="39" t="inlineStr">
        <is>
          <t>Shahed-136: đầu nổ 40–50 kg</t>
        </is>
      </c>
      <c r="AN132" s="39" t="inlineStr">
        <is>
          <t>Đầu nổ 40–50 kg.</t>
        </is>
      </c>
      <c r="AO132" s="48" t="inlineStr">
        <is>
          <t>Trung</t>
        </is>
      </c>
    </row>
    <row r="133" ht="32.25" customHeight="1" s="32">
      <c r="A133" s="41" t="inlineStr">
        <is>
          <t>siege_gun_105</t>
        </is>
      </c>
      <c r="B133" s="41" t="inlineStr">
        <is>
          <t>L7 105 mm (siege</t>
        </is>
      </c>
      <c r="C133" s="41" t="inlineStr">
        <is>
          <t>Pháo xe tăng / diệt tăng</t>
        </is>
      </c>
      <c r="D133" s="41" t="inlineStr">
        <is>
          <t>Công thành</t>
        </is>
      </c>
      <c r="E133" s="41" t="inlineStr">
        <is>
          <t>Động năng</t>
        </is>
      </c>
      <c r="F133" s="41" t="inlineStr">
        <is>
          <t>Dart</t>
        </is>
      </c>
      <c r="G133" s="43" t="n">
        <v>105</v>
      </c>
      <c r="H133" s="43" t="n">
        <v>3</v>
      </c>
      <c r="I133" s="43" t="n">
        <v>3</v>
      </c>
      <c r="J133" s="43" t="n">
        <v>212</v>
      </c>
      <c r="K133" s="43" t="n">
        <v>212</v>
      </c>
      <c r="L133" s="41" t="inlineStr">
        <is>
          <t>từng phát</t>
        </is>
      </c>
      <c r="M133" s="41" t="inlineStr">
        <is>
          <t>từng phát</t>
        </is>
      </c>
      <c r="N133" s="43" t="n">
        <v>0.217391304347826</v>
      </c>
      <c r="O133" s="43" t="n">
        <v>0.217391304347826</v>
      </c>
      <c r="P133" s="43" t="n">
        <v>1</v>
      </c>
      <c r="Q133" s="43" t="n">
        <v>1</v>
      </c>
      <c r="R133" s="43" t="n">
        <v>4.6</v>
      </c>
      <c r="S133" s="43" t="n">
        <v>4.6</v>
      </c>
      <c r="T133" s="43" t="n">
        <v>34</v>
      </c>
      <c r="U133" s="43" t="n">
        <v>34</v>
      </c>
      <c r="V133" s="43" t="n">
        <v>190</v>
      </c>
      <c r="W133" s="43" t="n">
        <v>190</v>
      </c>
      <c r="X133" s="51">
        <f>IFERROR(U133/W133,"")</f>
        <v/>
      </c>
      <c r="Y133" s="53" t="n">
        <v>1.5</v>
      </c>
      <c r="Z133" s="53" t="n">
        <v>1.5</v>
      </c>
      <c r="AA133" s="51">
        <f>IFERROR(IF(L133="từng phát",J133*N133,J133*P133/(P133/N133+R133)),"")</f>
        <v/>
      </c>
      <c r="AB133" s="51">
        <f>IFERROR(IF(M133="từng phát",K133*O133,K133*Q133/(Q133/O133+S133)),"")</f>
        <v/>
      </c>
      <c r="AC133" s="51">
        <f>IFERROR(AB133*VLOOKUP(E133,'Hệ số'!$A$2:$D$8,2,0)*IF((I133-0)&gt;=2,1.2,IF((I133-0)=1,1,IF((I133-0)=0,0.85,IF((I133-0)=-1,0.5,IF((I133-0)=-2,0.25,0.1))))),"")</f>
        <v/>
      </c>
      <c r="AD133" s="51">
        <f>IFERROR(AB133*VLOOKUP(E133,'Hệ số'!$A$2:$D$8,2,0)*IF((I133-1)&gt;=2,1.2,IF((I133-1)=1,1,IF((I133-1)=0,0.85,IF((I133-1)=-1,0.5,IF((I133-1)=-2,0.25,0.1))))),"")</f>
        <v/>
      </c>
      <c r="AE133" s="51">
        <f>IFERROR(AB133*VLOOKUP(E133,'Hệ số'!$A$2:$D$8,2,0)*IF((I133-2)&gt;=2,1.2,IF((I133-2)=1,1,IF((I133-2)=0,0.85,IF((I133-2)=-1,0.5,IF((I133-2)=-2,0.25,0.1))))),"")</f>
        <v/>
      </c>
      <c r="AF133" s="51">
        <f>IFERROR(AB133*VLOOKUP(E133,'Hệ số'!$A$2:$D$8,2,0)*IF((I133-3)&gt;=2,1.2,IF((I133-3)=1,1,IF((I133-3)=0,0.85,IF((I133-3)=-1,0.5,IF((I133-3)=-2,0.25,0.1))))),"")</f>
        <v/>
      </c>
      <c r="AG133" s="51">
        <f>IFERROR(AB133*VLOOKUP(E133,'Hệ số'!$A$2:$D$8,2,0)*IF((I133-4)&gt;=2,1.2,IF((I133-4)=1,1,IF((I133-4)=0,0.85,IF((I133-4)=-1,0.5,IF((I133-4)=-2,0.25,0.1))))),"")</f>
        <v/>
      </c>
      <c r="AH133" s="51">
        <f>IFERROR(AB133*VLOOKUP(E133,'Hệ số'!$A$2:$D$8,2,0)*IF((I133-5)&gt;=2,1.2,IF((I133-5)=1,1,IF((I133-5)=0,0.85,IF((I133-5)=-1,0.5,IF((I133-5)=-2,0.25,0.1))))),"")</f>
        <v/>
      </c>
      <c r="AI133" s="51">
        <f>IFERROR(AB133*VLOOKUP(E133,'Hệ số'!$A$2:$D$8,3,0),"")</f>
        <v/>
      </c>
      <c r="AJ133" s="51">
        <f>IFERROR(AB133*VLOOKUP(E133,'Hệ số'!$A$2:$D$8,4,0)*IF((I133-2)&gt;=2,1.2,IF((I133-2)=1,1,IF((I133-2)=0,0.85,IF((I133-2)=-1,0.5,IF((I133-2)=-2,0.25,0.1))))),"")</f>
        <v/>
      </c>
      <c r="AK133" s="41" t="inlineStr">
        <is>
          <t>Phát đơn, sơ tốc cao; không bị APS chặn (đạn động năng); bị lệch theo tầm và khi xe đang chạy.</t>
        </is>
      </c>
      <c r="AL133" s="41" t="inlineStr">
        <is>
          <t>Tự đổi: đạn xuyên (Động năng) với xe giáp, đạn nổ mạnh (HE, xuyên 2, nổ lan 3 m) với xe nhẹ và công trình.</t>
        </is>
      </c>
      <c r="AM133" s="41" t="inlineStr">
        <is>
          <t>L7 105 mm</t>
        </is>
      </c>
      <c r="AN133" s="41" t="inlineStr">
        <is>
          <t>Giữ.</t>
        </is>
      </c>
      <c r="AO133" s="41" t="n"/>
    </row>
    <row r="134" ht="21.75" customHeight="1" s="32">
      <c r="A134" s="39" t="inlineStr">
        <is>
          <t>siege_mortar_240</t>
        </is>
      </c>
      <c r="B134" s="39" t="inlineStr">
        <is>
          <t>2B8 240 mm (siege</t>
        </is>
      </c>
      <c r="C134" s="39" t="inlineStr">
        <is>
          <t>Đạn cối</t>
        </is>
      </c>
      <c r="D134" s="39" t="inlineStr">
        <is>
          <t>Công thành</t>
        </is>
      </c>
      <c r="E134" s="39" t="inlineStr">
        <is>
          <t>Nổ mạnh</t>
        </is>
      </c>
      <c r="F134" s="39" t="inlineStr">
        <is>
          <t>MortarBomb</t>
        </is>
      </c>
      <c r="G134" s="42" t="n">
        <v>240</v>
      </c>
      <c r="H134" s="42" t="n">
        <v>4</v>
      </c>
      <c r="I134" s="42" t="n">
        <v>4</v>
      </c>
      <c r="J134" s="42" t="n">
        <v>450</v>
      </c>
      <c r="K134" s="42" t="n">
        <v>450</v>
      </c>
      <c r="L134" s="39" t="inlineStr">
        <is>
          <t>từng phát</t>
        </is>
      </c>
      <c r="M134" s="39" t="inlineStr">
        <is>
          <t>từng phát</t>
        </is>
      </c>
      <c r="N134" s="42" t="n">
        <v>0.13</v>
      </c>
      <c r="O134" s="42" t="n">
        <v>0.13</v>
      </c>
      <c r="P134" s="42" t="n">
        <v>1</v>
      </c>
      <c r="Q134" s="42" t="n">
        <v>1</v>
      </c>
      <c r="R134" s="42" t="n">
        <v>7.69230769230769</v>
      </c>
      <c r="S134" s="42" t="n">
        <v>7.69230769230769</v>
      </c>
      <c r="T134" s="42" t="n">
        <v>70</v>
      </c>
      <c r="U134" s="42" t="n">
        <v>70</v>
      </c>
      <c r="V134" s="42" t="n">
        <v>38</v>
      </c>
      <c r="W134" s="42" t="n">
        <v>38</v>
      </c>
      <c r="X134" s="50">
        <f>IFERROR(U134/W134,"")</f>
        <v/>
      </c>
      <c r="Y134" s="52" t="n">
        <v>7.2</v>
      </c>
      <c r="Z134" s="52" t="n">
        <v>7.2</v>
      </c>
      <c r="AA134" s="50">
        <f>IFERROR(IF(L134="từng phát",J134*N134,J134*P134/(P134/N134+R134)),"")</f>
        <v/>
      </c>
      <c r="AB134" s="50">
        <f>IFERROR(IF(M134="từng phát",K134*O134,K134*Q134/(Q134/O134+S134)),"")</f>
        <v/>
      </c>
      <c r="AC134" s="50">
        <f>IFERROR(AB134*VLOOKUP(E134,'Hệ số'!$A$2:$D$8,2,0)*IF((I134-0)&gt;=2,1.2,IF((I134-0)=1,1,IF((I134-0)=0,0.85,IF((I134-0)=-1,0.5,IF((I134-0)=-2,0.25,0.1))))),"")</f>
        <v/>
      </c>
      <c r="AD134" s="50">
        <f>IFERROR(AB134*VLOOKUP(E134,'Hệ số'!$A$2:$D$8,2,0)*IF((I134-1)&gt;=2,1.2,IF((I134-1)=1,1,IF((I134-1)=0,0.85,IF((I134-1)=-1,0.5,IF((I134-1)=-2,0.25,0.1))))),"")</f>
        <v/>
      </c>
      <c r="AE134" s="50">
        <f>IFERROR(AB134*VLOOKUP(E134,'Hệ số'!$A$2:$D$8,2,0)*IF((I134-2)&gt;=2,1.2,IF((I134-2)=1,1,IF((I134-2)=0,0.85,IF((I134-2)=-1,0.5,IF((I134-2)=-2,0.25,0.1))))),"")</f>
        <v/>
      </c>
      <c r="AF134" s="50">
        <f>IFERROR(AB134*VLOOKUP(E134,'Hệ số'!$A$2:$D$8,2,0)*IF((I134-3)&gt;=2,1.2,IF((I134-3)=1,1,IF((I134-3)=0,0.85,IF((I134-3)=-1,0.5,IF((I134-3)=-2,0.25,0.1))))),"")</f>
        <v/>
      </c>
      <c r="AG134" s="50">
        <f>IFERROR(AB134*VLOOKUP(E134,'Hệ số'!$A$2:$D$8,2,0)*IF((I134-4)&gt;=2,1.2,IF((I134-4)=1,1,IF((I134-4)=0,0.85,IF((I134-4)=-1,0.5,IF((I134-4)=-2,0.25,0.1))))),"")</f>
        <v/>
      </c>
      <c r="AH134" s="50">
        <f>IFERROR(AB134*VLOOKUP(E134,'Hệ số'!$A$2:$D$8,2,0)*IF((I134-5)&gt;=2,1.2,IF((I134-5)=1,1,IF((I134-5)=0,0.85,IF((I134-5)=-1,0.5,IF((I134-5)=-2,0.25,0.1))))),"")</f>
        <v/>
      </c>
      <c r="AI134" s="50">
        <f>IFERROR(AB134*VLOOKUP(E134,'Hệ số'!$A$2:$D$8,3,0),"")</f>
        <v/>
      </c>
      <c r="AJ134" s="50">
        <f>IFERROR(AB134*VLOOKUP(E134,'Hệ số'!$A$2:$D$8,4,0)*IF((I134-2)&gt;=2,1.2,IF((I134-2)=1,1,IF((I134-2)=0,0.85,IF((I134-2)=-1,0.5,IF((I134-2)=-2,0.25,0.1))))),"")</f>
        <v/>
      </c>
      <c r="AK134" s="39" t="inlineStr">
        <is>
          <t>Bắn cầu vồng dốc, qua được tường; có tầm tối thiểu; C-RAM và Vòm Sắt bắn hạ được.</t>
        </is>
      </c>
      <c r="AL134" s="39" t="n"/>
      <c r="AM134" s="39" t="inlineStr">
        <is>
          <t>2B8 240 mm</t>
        </is>
      </c>
      <c r="AN134" s="39" t="inlineStr">
        <is>
          <t>Giữ.</t>
        </is>
      </c>
      <c r="AO134" s="39" t="n"/>
    </row>
    <row r="135" ht="32.25" customHeight="1" s="32">
      <c r="A135" s="41" t="inlineStr">
        <is>
          <t>stealth_payload</t>
        </is>
      </c>
      <c r="B135" s="41" t="inlineStr">
        <is>
          <t>GBU-31 JDAM (907 kg)</t>
        </is>
      </c>
      <c r="C135" s="41" t="inlineStr">
        <is>
          <t>Bom</t>
        </is>
      </c>
      <c r="D135" s="41" t="inlineStr">
        <is>
          <t>Tàng hình</t>
        </is>
      </c>
      <c r="E135" s="41" t="inlineStr">
        <is>
          <t>Nổ mạnh</t>
        </is>
      </c>
      <c r="F135" s="41" t="inlineStr">
        <is>
          <t>HeavyBomb</t>
        </is>
      </c>
      <c r="G135" s="43" t="n">
        <v>907</v>
      </c>
      <c r="H135" s="43" t="n">
        <v>4</v>
      </c>
      <c r="I135" s="43" t="n">
        <v>4</v>
      </c>
      <c r="J135" s="43" t="n">
        <v>892</v>
      </c>
      <c r="K135" s="43" t="n">
        <v>892</v>
      </c>
      <c r="L135" s="41" t="inlineStr">
        <is>
          <t>loạt</t>
        </is>
      </c>
      <c r="M135" s="41" t="inlineStr">
        <is>
          <t>loạt</t>
        </is>
      </c>
      <c r="N135" s="43" t="n">
        <v>3.33</v>
      </c>
      <c r="O135" s="43" t="n">
        <v>3.33</v>
      </c>
      <c r="P135" s="43" t="n">
        <v>2</v>
      </c>
      <c r="Q135" s="43" t="n">
        <v>2</v>
      </c>
      <c r="R135" s="43" t="n">
        <v>14</v>
      </c>
      <c r="S135" s="43" t="n">
        <v>14</v>
      </c>
      <c r="T135" s="43" t="n">
        <v>30</v>
      </c>
      <c r="U135" s="43" t="n">
        <v>30</v>
      </c>
      <c r="V135" s="43" t="n">
        <v>40</v>
      </c>
      <c r="W135" s="43" t="n">
        <v>40</v>
      </c>
      <c r="X135" s="51">
        <f>IFERROR(U135/W135,"")</f>
        <v/>
      </c>
      <c r="Y135" s="53" t="n">
        <v>13</v>
      </c>
      <c r="Z135" s="53" t="n">
        <v>13</v>
      </c>
      <c r="AA135" s="51">
        <f>IFERROR(IF(L135="từng phát",J135*N135,J135*P135/(P135/N135+R135)),"")</f>
        <v/>
      </c>
      <c r="AB135" s="51">
        <f>IFERROR(IF(M135="từng phát",K135*O135,K135*Q135/(Q135/O135+S135)),"")</f>
        <v/>
      </c>
      <c r="AC135" s="51">
        <f>IFERROR(AB135*VLOOKUP(E135,'Hệ số'!$A$2:$D$8,2,0)*IF((I135-0)&gt;=2,1.2,IF((I135-0)=1,1,IF((I135-0)=0,0.85,IF((I135-0)=-1,0.5,IF((I135-0)=-2,0.25,0.1))))),"")</f>
        <v/>
      </c>
      <c r="AD135" s="51">
        <f>IFERROR(AB135*VLOOKUP(E135,'Hệ số'!$A$2:$D$8,2,0)*IF((I135-1)&gt;=2,1.2,IF((I135-1)=1,1,IF((I135-1)=0,0.85,IF((I135-1)=-1,0.5,IF((I135-1)=-2,0.25,0.1))))),"")</f>
        <v/>
      </c>
      <c r="AE135" s="51">
        <f>IFERROR(AB135*VLOOKUP(E135,'Hệ số'!$A$2:$D$8,2,0)*IF((I135-2)&gt;=2,1.2,IF((I135-2)=1,1,IF((I135-2)=0,0.85,IF((I135-2)=-1,0.5,IF((I135-2)=-2,0.25,0.1))))),"")</f>
        <v/>
      </c>
      <c r="AF135" s="51">
        <f>IFERROR(AB135*VLOOKUP(E135,'Hệ số'!$A$2:$D$8,2,0)*IF((I135-3)&gt;=2,1.2,IF((I135-3)=1,1,IF((I135-3)=0,0.85,IF((I135-3)=-1,0.5,IF((I135-3)=-2,0.25,0.1))))),"")</f>
        <v/>
      </c>
      <c r="AG135" s="51">
        <f>IFERROR(AB135*VLOOKUP(E135,'Hệ số'!$A$2:$D$8,2,0)*IF((I135-4)&gt;=2,1.2,IF((I135-4)=1,1,IF((I135-4)=0,0.85,IF((I135-4)=-1,0.5,IF((I135-4)=-2,0.25,0.1))))),"")</f>
        <v/>
      </c>
      <c r="AH135" s="51">
        <f>IFERROR(AB135*VLOOKUP(E135,'Hệ số'!$A$2:$D$8,2,0)*IF((I135-5)&gt;=2,1.2,IF((I135-5)=1,1,IF((I135-5)=0,0.85,IF((I135-5)=-1,0.5,IF((I135-5)=-2,0.25,0.1))))),"")</f>
        <v/>
      </c>
      <c r="AI135" s="51">
        <f>IFERROR(AB135*VLOOKUP(E135,'Hệ số'!$A$2:$D$8,3,0),"")</f>
        <v/>
      </c>
      <c r="AJ135" s="51">
        <f>IFERROR(AB135*VLOOKUP(E135,'Hệ số'!$A$2:$D$8,4,0)*IF((I135-2)&gt;=2,1.2,IF((I135-2)=1,1,IF((I135-2)=0,0.85,IF((I135-2)=-1,0.5,IF((I135-2)=-2,0.25,0.1))))),"")</f>
        <v/>
      </c>
      <c r="AK135" s="41" t="inlineStr">
        <is>
          <t>Bom thường rơi tự do, tản mát 2–3 m, không bắn hạ được; bom dẫn đường chính xác; bom lượn bay chậm và bắn hạ được.</t>
        </is>
      </c>
      <c r="AL135" s="41" t="n"/>
      <c r="AM135" s="41" t="inlineStr">
        <is>
          <t>GBU-31 (Mk 84): ~430 kg thuốc nổ</t>
        </is>
      </c>
      <c r="AN135" s="41" t="inlineStr">
        <is>
          <t>Giữ.</t>
        </is>
      </c>
      <c r="AO135" s="41" t="n"/>
    </row>
    <row r="136" ht="21.75" customHeight="1" s="32">
      <c r="A136" s="39" t="inlineStr">
        <is>
          <t>stinger_atas</t>
        </is>
      </c>
      <c r="B136" s="39" t="inlineStr">
        <is>
          <t>FIM-92 Stinger (ATAS)</t>
        </is>
      </c>
      <c r="C136" s="39" t="inlineStr">
        <is>
          <t>Tên lửa phòng không / không đối không</t>
        </is>
      </c>
      <c r="D136" s="39" t="inlineStr">
        <is>
          <t>Trực thăng, Trực thăng TN</t>
        </is>
      </c>
      <c r="E136" s="39" t="inlineStr">
        <is>
          <t>Mảnh</t>
        </is>
      </c>
      <c r="F136" s="39" t="inlineStr">
        <is>
          <t>Sam</t>
        </is>
      </c>
      <c r="G136" s="42" t="n">
        <v>3</v>
      </c>
      <c r="H136" s="42" t="n">
        <v>2</v>
      </c>
      <c r="I136" s="42" t="n">
        <v>2</v>
      </c>
      <c r="J136" s="42" t="n">
        <v>178</v>
      </c>
      <c r="K136" s="42" t="n">
        <v>178</v>
      </c>
      <c r="L136" s="39" t="inlineStr">
        <is>
          <t>từng phát</t>
        </is>
      </c>
      <c r="M136" s="39" t="inlineStr">
        <is>
          <t>từng phát</t>
        </is>
      </c>
      <c r="N136" s="42" t="n">
        <v>0.11</v>
      </c>
      <c r="O136" s="42" t="n">
        <v>0.11</v>
      </c>
      <c r="P136" s="42" t="n">
        <v>1</v>
      </c>
      <c r="Q136" s="42" t="n">
        <v>1</v>
      </c>
      <c r="R136" s="42" t="n">
        <v>9.09090909090909</v>
      </c>
      <c r="S136" s="42" t="n">
        <v>9.09090909090909</v>
      </c>
      <c r="T136" s="42" t="n">
        <v>30</v>
      </c>
      <c r="U136" s="42" t="n">
        <v>30</v>
      </c>
      <c r="V136" s="42" t="n">
        <v>24</v>
      </c>
      <c r="W136" s="42" t="n">
        <v>42</v>
      </c>
      <c r="X136" s="50">
        <f>IFERROR(U136/W136,"")</f>
        <v/>
      </c>
      <c r="Y136" s="52" t="n">
        <v>1.5</v>
      </c>
      <c r="Z136" s="52" t="n">
        <v>1.5</v>
      </c>
      <c r="AA136" s="50">
        <f>IFERROR(IF(L136="từng phát",J136*N136,J136*P136/(P136/N136+R136)),"")</f>
        <v/>
      </c>
      <c r="AB136" s="50">
        <f>IFERROR(IF(M136="từng phát",K136*O136,K136*Q136/(Q136/O136+S136)),"")</f>
        <v/>
      </c>
      <c r="AC136" s="50">
        <f>IFERROR(AB136*VLOOKUP(E136,'Hệ số'!$A$2:$D$8,2,0)*IF((I136-0)&gt;=2,1.2,IF((I136-0)=1,1,IF((I136-0)=0,0.85,IF((I136-0)=-1,0.5,IF((I136-0)=-2,0.25,0.1))))),"")</f>
        <v/>
      </c>
      <c r="AD136" s="50">
        <f>IFERROR(AB136*VLOOKUP(E136,'Hệ số'!$A$2:$D$8,2,0)*IF((I136-1)&gt;=2,1.2,IF((I136-1)=1,1,IF((I136-1)=0,0.85,IF((I136-1)=-1,0.5,IF((I136-1)=-2,0.25,0.1))))),"")</f>
        <v/>
      </c>
      <c r="AE136" s="50">
        <f>IFERROR(AB136*VLOOKUP(E136,'Hệ số'!$A$2:$D$8,2,0)*IF((I136-2)&gt;=2,1.2,IF((I136-2)=1,1,IF((I136-2)=0,0.85,IF((I136-2)=-1,0.5,IF((I136-2)=-2,0.25,0.1))))),"")</f>
        <v/>
      </c>
      <c r="AF136" s="50">
        <f>IFERROR(AB136*VLOOKUP(E136,'Hệ số'!$A$2:$D$8,2,0)*IF((I136-3)&gt;=2,1.2,IF((I136-3)=1,1,IF((I136-3)=0,0.85,IF((I136-3)=-1,0.5,IF((I136-3)=-2,0.25,0.1))))),"")</f>
        <v/>
      </c>
      <c r="AG136" s="50">
        <f>IFERROR(AB136*VLOOKUP(E136,'Hệ số'!$A$2:$D$8,2,0)*IF((I136-4)&gt;=2,1.2,IF((I136-4)=1,1,IF((I136-4)=0,0.85,IF((I136-4)=-1,0.5,IF((I136-4)=-2,0.25,0.1))))),"")</f>
        <v/>
      </c>
      <c r="AH136" s="50">
        <f>IFERROR(AB136*VLOOKUP(E136,'Hệ số'!$A$2:$D$8,2,0)*IF((I136-5)&gt;=2,1.2,IF((I136-5)=1,1,IF((I136-5)=0,0.85,IF((I136-5)=-1,0.5,IF((I136-5)=-2,0.25,0.1))))),"")</f>
        <v/>
      </c>
      <c r="AI136" s="50">
        <f>IFERROR(AB136*VLOOKUP(E136,'Hệ số'!$A$2:$D$8,3,0),"")</f>
        <v/>
      </c>
      <c r="AJ136" s="50">
        <f>IFERROR(AB136*VLOOKUP(E136,'Hệ số'!$A$2:$D$8,4,0)*IF((I136-2)&gt;=2,1.2,IF((I136-2)=1,1,IF((I136-2)=0,0.85,IF((I136-2)=-1,0.5,IF((I136-2)=-2,0.25,0.1))))),"")</f>
        <v/>
      </c>
      <c r="AK136" s="39" t="inlineStr">
        <is>
          <t>Dẫn đường; bị pháo sáng đánh lừa theo độ kháng; phải nhanh hơn mục tiêu.</t>
        </is>
      </c>
      <c r="AL136" s="39" t="n"/>
      <c r="AM136" s="39" t="inlineStr">
        <is>
          <t>Stinger: 4,8 km, Mach 2,2</t>
        </is>
      </c>
      <c r="AN136" s="39" t="inlineStr">
        <is>
          <t>Tốc độ bay 24→42 m/s: Thống nhất tốc độ Stinger ở mọi đơn vị (42 m/s).</t>
        </is>
      </c>
      <c r="AO136" s="48" t="inlineStr">
        <is>
          <t>Trung</t>
        </is>
      </c>
    </row>
    <row r="137" ht="21.75" customHeight="1" s="32">
      <c r="A137" s="41" t="inlineStr">
        <is>
          <t>swarm_drones</t>
        </is>
      </c>
      <c r="B137" s="41" t="inlineStr">
        <is>
          <t>FPV drone (1.5 kg)</t>
        </is>
      </c>
      <c r="C137" s="41" t="inlineStr">
        <is>
          <t>Drone / đạn lảng vảng</t>
        </is>
      </c>
      <c r="D137" s="41" t="inlineStr">
        <is>
          <t>Máy bay mẹ</t>
        </is>
      </c>
      <c r="E137" s="41" t="inlineStr">
        <is>
          <t>Nổ lõm</t>
        </is>
      </c>
      <c r="F137" s="41" t="inlineStr">
        <is>
          <t>Fpv</t>
        </is>
      </c>
      <c r="G137" s="43" t="n">
        <v>1.5</v>
      </c>
      <c r="H137" s="43" t="n">
        <v>3</v>
      </c>
      <c r="I137" s="43" t="n">
        <v>3</v>
      </c>
      <c r="J137" s="43" t="n">
        <v>140</v>
      </c>
      <c r="K137" s="43" t="n">
        <v>140</v>
      </c>
      <c r="L137" s="41" t="inlineStr">
        <is>
          <t>từng phát</t>
        </is>
      </c>
      <c r="M137" s="41" t="inlineStr">
        <is>
          <t>từng phát</t>
        </is>
      </c>
      <c r="N137" s="43" t="n">
        <v>0.3</v>
      </c>
      <c r="O137" s="43" t="n">
        <v>0.3</v>
      </c>
      <c r="P137" s="43" t="n">
        <v>1</v>
      </c>
      <c r="Q137" s="43" t="n">
        <v>1</v>
      </c>
      <c r="R137" s="43" t="n">
        <v>3.33333333333333</v>
      </c>
      <c r="S137" s="43" t="n">
        <v>3.33333333333333</v>
      </c>
      <c r="T137" s="43" t="n">
        <v>60</v>
      </c>
      <c r="U137" s="43" t="n">
        <v>60</v>
      </c>
      <c r="V137" s="43" t="n">
        <v>18</v>
      </c>
      <c r="W137" s="43" t="n">
        <v>26</v>
      </c>
      <c r="X137" s="51">
        <f>IFERROR(U137/W137,"")</f>
        <v/>
      </c>
      <c r="Y137" s="53" t="n">
        <v>2.5</v>
      </c>
      <c r="Z137" s="53" t="n">
        <v>2.5</v>
      </c>
      <c r="AA137" s="51">
        <f>IFERROR(IF(L137="từng phát",J137*N137,J137*P137/(P137/N137+R137)),"")</f>
        <v/>
      </c>
      <c r="AB137" s="51">
        <f>IFERROR(IF(M137="từng phát",K137*O137,K137*Q137/(Q137/O137+S137)),"")</f>
        <v/>
      </c>
      <c r="AC137" s="51">
        <f>IFERROR(AB137*VLOOKUP(E137,'Hệ số'!$A$2:$D$8,2,0)*IF((I137-0)&gt;=2,1.2,IF((I137-0)=1,1,IF((I137-0)=0,0.85,IF((I137-0)=-1,0.5,IF((I137-0)=-2,0.25,0.1))))),"")</f>
        <v/>
      </c>
      <c r="AD137" s="51">
        <f>IFERROR(AB137*VLOOKUP(E137,'Hệ số'!$A$2:$D$8,2,0)*IF((I137-1)&gt;=2,1.2,IF((I137-1)=1,1,IF((I137-1)=0,0.85,IF((I137-1)=-1,0.5,IF((I137-1)=-2,0.25,0.1))))),"")</f>
        <v/>
      </c>
      <c r="AE137" s="51">
        <f>IFERROR(AB137*VLOOKUP(E137,'Hệ số'!$A$2:$D$8,2,0)*IF((I137-2)&gt;=2,1.2,IF((I137-2)=1,1,IF((I137-2)=0,0.85,IF((I137-2)=-1,0.5,IF((I137-2)=-2,0.25,0.1))))),"")</f>
        <v/>
      </c>
      <c r="AF137" s="51">
        <f>IFERROR(AB137*VLOOKUP(E137,'Hệ số'!$A$2:$D$8,2,0)*IF((I137-3)&gt;=2,1.2,IF((I137-3)=1,1,IF((I137-3)=0,0.85,IF((I137-3)=-1,0.5,IF((I137-3)=-2,0.25,0.1))))),"")</f>
        <v/>
      </c>
      <c r="AG137" s="51">
        <f>IFERROR(AB137*VLOOKUP(E137,'Hệ số'!$A$2:$D$8,2,0)*IF((I137-4)&gt;=2,1.2,IF((I137-4)=1,1,IF((I137-4)=0,0.85,IF((I137-4)=-1,0.5,IF((I137-4)=-2,0.25,0.1))))),"")</f>
        <v/>
      </c>
      <c r="AH137" s="51">
        <f>IFERROR(AB137*VLOOKUP(E137,'Hệ số'!$A$2:$D$8,2,0)*IF((I137-5)&gt;=2,1.2,IF((I137-5)=1,1,IF((I137-5)=0,0.85,IF((I137-5)=-1,0.5,IF((I137-5)=-2,0.25,0.1))))),"")</f>
        <v/>
      </c>
      <c r="AI137" s="51">
        <f>IFERROR(AB137*VLOOKUP(E137,'Hệ số'!$A$2:$D$8,3,0),"")</f>
        <v/>
      </c>
      <c r="AJ137" s="51">
        <f>IFERROR(AB137*VLOOKUP(E137,'Hệ số'!$A$2:$D$8,4,0)*IF((I137-2)&gt;=2,1.2,IF((I137-2)=1,1,IF((I137-2)=0,0.85,IF((I137-2)=-1,0.5,IF((I137-2)=-2,0.25,0.1))))),"")</f>
        <v/>
      </c>
      <c r="AK137" s="41" t="inlineStr">
        <is>
          <t>Bay chậm, lượn tìm mục tiêu, đánh nóc; bị EW, APS, C-RAM, La-de PK và súng máy bắn hạ.</t>
        </is>
      </c>
      <c r="AL137" s="41" t="n"/>
      <c r="AM137" s="41" t="inlineStr">
        <is>
          <t>FPV</t>
        </is>
      </c>
      <c r="AN137" s="41" t="inlineStr">
        <is>
          <t>Tốc độ bay 18→26 m/s: Cùng loại FPV nhưng đang 18: thống nhất 26.</t>
        </is>
      </c>
      <c r="AO137" s="48" t="inlineStr">
        <is>
          <t>Trung</t>
        </is>
      </c>
    </row>
    <row r="138" ht="21.75" customHeight="1" s="32">
      <c r="A138" s="39" t="inlineStr">
        <is>
          <t>tamir</t>
        </is>
      </c>
      <c r="B138" s="39" t="inlineStr">
        <is>
          <t>Tamir interceptor (Iron</t>
        </is>
      </c>
      <c r="C138" s="39" t="inlineStr">
        <is>
          <t>Tên lửa phòng không / không đối không</t>
        </is>
      </c>
      <c r="D138" s="39" t="inlineStr">
        <is>
          <t>Vòm Sắt</t>
        </is>
      </c>
      <c r="E138" s="39" t="inlineStr">
        <is>
          <t>Mảnh</t>
        </is>
      </c>
      <c r="F138" s="39" t="inlineStr">
        <is>
          <t>Sam</t>
        </is>
      </c>
      <c r="G138" s="42" t="n">
        <v>1</v>
      </c>
      <c r="H138" s="42" t="n">
        <v>2</v>
      </c>
      <c r="I138" s="42" t="n">
        <v>2</v>
      </c>
      <c r="J138" s="42" t="n">
        <v>110</v>
      </c>
      <c r="K138" s="42" t="n">
        <v>110</v>
      </c>
      <c r="L138" s="39" t="inlineStr">
        <is>
          <t>từng phát</t>
        </is>
      </c>
      <c r="M138" s="39" t="inlineStr">
        <is>
          <t>từng phát</t>
        </is>
      </c>
      <c r="N138" s="42" t="n">
        <v>0.29</v>
      </c>
      <c r="O138" s="42" t="n">
        <v>0.29</v>
      </c>
      <c r="P138" s="42" t="n">
        <v>1</v>
      </c>
      <c r="Q138" s="42" t="n">
        <v>1</v>
      </c>
      <c r="R138" s="42" t="n">
        <v>3.44827586206897</v>
      </c>
      <c r="S138" s="42" t="n">
        <v>3.44827586206897</v>
      </c>
      <c r="T138" s="42" t="n">
        <v>60</v>
      </c>
      <c r="U138" s="42" t="n">
        <v>60</v>
      </c>
      <c r="V138" s="42" t="n">
        <v>24</v>
      </c>
      <c r="W138" s="42" t="n">
        <v>50</v>
      </c>
      <c r="X138" s="50">
        <f>IFERROR(U138/W138,"")</f>
        <v/>
      </c>
      <c r="Y138" s="52" t="n">
        <v>2.5</v>
      </c>
      <c r="Z138" s="52" t="n">
        <v>2.5</v>
      </c>
      <c r="AA138" s="50">
        <f>IFERROR(IF(L138="từng phát",J138*N138,J138*P138/(P138/N138+R138)),"")</f>
        <v/>
      </c>
      <c r="AB138" s="50">
        <f>IFERROR(IF(M138="từng phát",K138*O138,K138*Q138/(Q138/O138+S138)),"")</f>
        <v/>
      </c>
      <c r="AC138" s="50">
        <f>IFERROR(AB138*VLOOKUP(E138,'Hệ số'!$A$2:$D$8,2,0)*IF((I138-0)&gt;=2,1.2,IF((I138-0)=1,1,IF((I138-0)=0,0.85,IF((I138-0)=-1,0.5,IF((I138-0)=-2,0.25,0.1))))),"")</f>
        <v/>
      </c>
      <c r="AD138" s="50">
        <f>IFERROR(AB138*VLOOKUP(E138,'Hệ số'!$A$2:$D$8,2,0)*IF((I138-1)&gt;=2,1.2,IF((I138-1)=1,1,IF((I138-1)=0,0.85,IF((I138-1)=-1,0.5,IF((I138-1)=-2,0.25,0.1))))),"")</f>
        <v/>
      </c>
      <c r="AE138" s="50">
        <f>IFERROR(AB138*VLOOKUP(E138,'Hệ số'!$A$2:$D$8,2,0)*IF((I138-2)&gt;=2,1.2,IF((I138-2)=1,1,IF((I138-2)=0,0.85,IF((I138-2)=-1,0.5,IF((I138-2)=-2,0.25,0.1))))),"")</f>
        <v/>
      </c>
      <c r="AF138" s="50">
        <f>IFERROR(AB138*VLOOKUP(E138,'Hệ số'!$A$2:$D$8,2,0)*IF((I138-3)&gt;=2,1.2,IF((I138-3)=1,1,IF((I138-3)=0,0.85,IF((I138-3)=-1,0.5,IF((I138-3)=-2,0.25,0.1))))),"")</f>
        <v/>
      </c>
      <c r="AG138" s="50">
        <f>IFERROR(AB138*VLOOKUP(E138,'Hệ số'!$A$2:$D$8,2,0)*IF((I138-4)&gt;=2,1.2,IF((I138-4)=1,1,IF((I138-4)=0,0.85,IF((I138-4)=-1,0.5,IF((I138-4)=-2,0.25,0.1))))),"")</f>
        <v/>
      </c>
      <c r="AH138" s="50">
        <f>IFERROR(AB138*VLOOKUP(E138,'Hệ số'!$A$2:$D$8,2,0)*IF((I138-5)&gt;=2,1.2,IF((I138-5)=1,1,IF((I138-5)=0,0.85,IF((I138-5)=-1,0.5,IF((I138-5)=-2,0.25,0.1))))),"")</f>
        <v/>
      </c>
      <c r="AI138" s="50">
        <f>IFERROR(AB138*VLOOKUP(E138,'Hệ số'!$A$2:$D$8,3,0),"")</f>
        <v/>
      </c>
      <c r="AJ138" s="50">
        <f>IFERROR(AB138*VLOOKUP(E138,'Hệ số'!$A$2:$D$8,4,0)*IF((I138-2)&gt;=2,1.2,IF((I138-2)=1,1,IF((I138-2)=0,0.85,IF((I138-2)=-1,0.5,IF((I138-2)=-2,0.25,0.1))))),"")</f>
        <v/>
      </c>
      <c r="AK138" s="39" t="inlineStr">
        <is>
          <t>Dẫn đường; bị pháo sáng đánh lừa theo độ kháng; phải nhanh hơn mục tiêu.</t>
        </is>
      </c>
      <c r="AL138" s="39" t="n"/>
      <c r="AM138" s="39" t="inlineStr">
        <is>
          <t>Tamir: 4–70 km, Mach 2,2</t>
        </is>
      </c>
      <c r="AN138" s="39" t="inlineStr">
        <is>
          <t>Tốc độ bay 24→50 m/s: Đánh chặn rốc-két Grad và GMLRS (45–50 m/s) từ phía trước.</t>
        </is>
      </c>
      <c r="AO138" s="48" t="inlineStr">
        <is>
          <t>Trung</t>
        </is>
      </c>
    </row>
    <row r="139" ht="21.75" customHeight="1" s="32">
      <c r="A139" s="41" t="inlineStr">
        <is>
          <t>technical_rockets</t>
        </is>
      </c>
      <c r="B139" s="41" t="inlineStr">
        <is>
          <t>Type 63 107 mm</t>
        </is>
      </c>
      <c r="C139" s="41" t="inlineStr">
        <is>
          <t>Rốc-két</t>
        </is>
      </c>
      <c r="D139" s="41" t="inlineStr">
        <is>
          <t>Bán tải</t>
        </is>
      </c>
      <c r="E139" s="41" t="inlineStr">
        <is>
          <t>Nổ mạnh</t>
        </is>
      </c>
      <c r="F139" s="41" t="inlineStr">
        <is>
          <t>RocketSmall</t>
        </is>
      </c>
      <c r="G139" s="43" t="n">
        <v>107</v>
      </c>
      <c r="H139" s="43" t="n">
        <v>2</v>
      </c>
      <c r="I139" s="43" t="n">
        <v>2</v>
      </c>
      <c r="J139" s="43" t="n">
        <v>49.5</v>
      </c>
      <c r="K139" s="43" t="n">
        <v>49.5</v>
      </c>
      <c r="L139" s="41" t="inlineStr">
        <is>
          <t>loạt</t>
        </is>
      </c>
      <c r="M139" s="41" t="inlineStr">
        <is>
          <t>loạt</t>
        </is>
      </c>
      <c r="N139" s="43" t="n">
        <v>2</v>
      </c>
      <c r="O139" s="43" t="n">
        <v>2</v>
      </c>
      <c r="P139" s="43" t="n">
        <v>5</v>
      </c>
      <c r="Q139" s="43" t="n">
        <v>5</v>
      </c>
      <c r="R139" s="43" t="n">
        <v>5.1</v>
      </c>
      <c r="S139" s="43" t="n">
        <v>5.1</v>
      </c>
      <c r="T139" s="43" t="n">
        <v>48</v>
      </c>
      <c r="U139" s="43" t="n">
        <v>48</v>
      </c>
      <c r="V139" s="43" t="n">
        <v>38</v>
      </c>
      <c r="W139" s="43" t="n">
        <v>38</v>
      </c>
      <c r="X139" s="51">
        <f>IFERROR(U139/W139,"")</f>
        <v/>
      </c>
      <c r="Y139" s="53" t="n">
        <v>3.5</v>
      </c>
      <c r="Z139" s="53" t="n">
        <v>3.5</v>
      </c>
      <c r="AA139" s="51">
        <f>IFERROR(IF(L139="từng phát",J139*N139,J139*P139/(P139/N139+R139)),"")</f>
        <v/>
      </c>
      <c r="AB139" s="51">
        <f>IFERROR(IF(M139="từng phát",K139*O139,K139*Q139/(Q139/O139+S139)),"")</f>
        <v/>
      </c>
      <c r="AC139" s="51">
        <f>IFERROR(AB139*VLOOKUP(E139,'Hệ số'!$A$2:$D$8,2,0)*IF((I139-0)&gt;=2,1.2,IF((I139-0)=1,1,IF((I139-0)=0,0.85,IF((I139-0)=-1,0.5,IF((I139-0)=-2,0.25,0.1))))),"")</f>
        <v/>
      </c>
      <c r="AD139" s="51">
        <f>IFERROR(AB139*VLOOKUP(E139,'Hệ số'!$A$2:$D$8,2,0)*IF((I139-1)&gt;=2,1.2,IF((I139-1)=1,1,IF((I139-1)=0,0.85,IF((I139-1)=-1,0.5,IF((I139-1)=-2,0.25,0.1))))),"")</f>
        <v/>
      </c>
      <c r="AE139" s="51">
        <f>IFERROR(AB139*VLOOKUP(E139,'Hệ số'!$A$2:$D$8,2,0)*IF((I139-2)&gt;=2,1.2,IF((I139-2)=1,1,IF((I139-2)=0,0.85,IF((I139-2)=-1,0.5,IF((I139-2)=-2,0.25,0.1))))),"")</f>
        <v/>
      </c>
      <c r="AF139" s="51">
        <f>IFERROR(AB139*VLOOKUP(E139,'Hệ số'!$A$2:$D$8,2,0)*IF((I139-3)&gt;=2,1.2,IF((I139-3)=1,1,IF((I139-3)=0,0.85,IF((I139-3)=-1,0.5,IF((I139-3)=-2,0.25,0.1))))),"")</f>
        <v/>
      </c>
      <c r="AG139" s="51">
        <f>IFERROR(AB139*VLOOKUP(E139,'Hệ số'!$A$2:$D$8,2,0)*IF((I139-4)&gt;=2,1.2,IF((I139-4)=1,1,IF((I139-4)=0,0.85,IF((I139-4)=-1,0.5,IF((I139-4)=-2,0.25,0.1))))),"")</f>
        <v/>
      </c>
      <c r="AH139" s="51">
        <f>IFERROR(AB139*VLOOKUP(E139,'Hệ số'!$A$2:$D$8,2,0)*IF((I139-5)&gt;=2,1.2,IF((I139-5)=1,1,IF((I139-5)=0,0.85,IF((I139-5)=-1,0.5,IF((I139-5)=-2,0.25,0.1))))),"")</f>
        <v/>
      </c>
      <c r="AI139" s="51">
        <f>IFERROR(AB139*VLOOKUP(E139,'Hệ số'!$A$2:$D$8,3,0),"")</f>
        <v/>
      </c>
      <c r="AJ139" s="51">
        <f>IFERROR(AB139*VLOOKUP(E139,'Hệ số'!$A$2:$D$8,4,0)*IF((I139-2)&gt;=2,1.2,IF((I139-2)=1,1,IF((I139-2)=0,0.85,IF((I139-2)=-1,0.5,IF((I139-2)=-2,0.25,0.1))))),"")</f>
        <v/>
      </c>
      <c r="AK139" s="41" t="inlineStr">
        <is>
          <t>Bắn loạt phủ vùng, tản mát; C-RAM, Vòm Sắt và La-de PK bắn hạ được từng quả.</t>
        </is>
      </c>
      <c r="AL139" s="41" t="n"/>
      <c r="AM139" s="41" t="inlineStr">
        <is>
          <t>Type 63 107 mm: 12 quả trong ~7–9 s</t>
        </is>
      </c>
      <c r="AN139" s="41" t="inlineStr">
        <is>
          <t>Giữ.</t>
        </is>
      </c>
      <c r="AO139" s="41" t="n"/>
    </row>
    <row r="140" ht="21.75" customHeight="1" s="32">
      <c r="A140" s="39" t="inlineStr">
        <is>
          <t>thermobaric_rockets</t>
        </is>
      </c>
      <c r="B140" s="39" t="inlineStr">
        <is>
          <t>TOS-1A 220 mm</t>
        </is>
      </c>
      <c r="C140" s="39" t="inlineStr">
        <is>
          <t>Rốc-két</t>
        </is>
      </c>
      <c r="D140" s="39" t="inlineStr">
        <is>
          <t>Nhiệt áp</t>
        </is>
      </c>
      <c r="E140" s="39" t="inlineStr">
        <is>
          <t>Nổ mạnh</t>
        </is>
      </c>
      <c r="F140" s="39" t="inlineStr">
        <is>
          <t>RocketBig</t>
        </is>
      </c>
      <c r="G140" s="42" t="n">
        <v>220</v>
      </c>
      <c r="H140" s="42" t="n">
        <v>3</v>
      </c>
      <c r="I140" s="42" t="n">
        <v>3</v>
      </c>
      <c r="J140" s="42" t="n">
        <v>97</v>
      </c>
      <c r="K140" s="42" t="n">
        <v>97</v>
      </c>
      <c r="L140" s="39" t="inlineStr">
        <is>
          <t>loạt</t>
        </is>
      </c>
      <c r="M140" s="39" t="inlineStr">
        <is>
          <t>loạt</t>
        </is>
      </c>
      <c r="N140" s="42" t="n">
        <v>3.33</v>
      </c>
      <c r="O140" s="42" t="n">
        <v>3.33</v>
      </c>
      <c r="P140" s="42" t="n">
        <v>9</v>
      </c>
      <c r="Q140" s="42" t="n">
        <v>9</v>
      </c>
      <c r="R140" s="42" t="n">
        <v>10.55</v>
      </c>
      <c r="S140" s="42" t="n">
        <v>10.55</v>
      </c>
      <c r="T140" s="42" t="n">
        <v>48</v>
      </c>
      <c r="U140" s="42" t="n">
        <v>48</v>
      </c>
      <c r="V140" s="42" t="n">
        <v>24</v>
      </c>
      <c r="W140" s="42" t="n">
        <v>35</v>
      </c>
      <c r="X140" s="50">
        <f>IFERROR(U140/W140,"")</f>
        <v/>
      </c>
      <c r="Y140" s="52" t="n">
        <v>7</v>
      </c>
      <c r="Z140" s="52" t="n">
        <v>7</v>
      </c>
      <c r="AA140" s="50">
        <f>IFERROR(IF(L140="từng phát",J140*N140,J140*P140/(P140/N140+R140)),"")</f>
        <v/>
      </c>
      <c r="AB140" s="50">
        <f>IFERROR(IF(M140="từng phát",K140*O140,K140*Q140/(Q140/O140+S140)),"")</f>
        <v/>
      </c>
      <c r="AC140" s="50">
        <f>IFERROR(AB140*VLOOKUP(E140,'Hệ số'!$A$2:$D$8,2,0)*IF((I140-0)&gt;=2,1.2,IF((I140-0)=1,1,IF((I140-0)=0,0.85,IF((I140-0)=-1,0.5,IF((I140-0)=-2,0.25,0.1))))),"")</f>
        <v/>
      </c>
      <c r="AD140" s="50">
        <f>IFERROR(AB140*VLOOKUP(E140,'Hệ số'!$A$2:$D$8,2,0)*IF((I140-1)&gt;=2,1.2,IF((I140-1)=1,1,IF((I140-1)=0,0.85,IF((I140-1)=-1,0.5,IF((I140-1)=-2,0.25,0.1))))),"")</f>
        <v/>
      </c>
      <c r="AE140" s="50">
        <f>IFERROR(AB140*VLOOKUP(E140,'Hệ số'!$A$2:$D$8,2,0)*IF((I140-2)&gt;=2,1.2,IF((I140-2)=1,1,IF((I140-2)=0,0.85,IF((I140-2)=-1,0.5,IF((I140-2)=-2,0.25,0.1))))),"")</f>
        <v/>
      </c>
      <c r="AF140" s="50">
        <f>IFERROR(AB140*VLOOKUP(E140,'Hệ số'!$A$2:$D$8,2,0)*IF((I140-3)&gt;=2,1.2,IF((I140-3)=1,1,IF((I140-3)=0,0.85,IF((I140-3)=-1,0.5,IF((I140-3)=-2,0.25,0.1))))),"")</f>
        <v/>
      </c>
      <c r="AG140" s="50">
        <f>IFERROR(AB140*VLOOKUP(E140,'Hệ số'!$A$2:$D$8,2,0)*IF((I140-4)&gt;=2,1.2,IF((I140-4)=1,1,IF((I140-4)=0,0.85,IF((I140-4)=-1,0.5,IF((I140-4)=-2,0.25,0.1))))),"")</f>
        <v/>
      </c>
      <c r="AH140" s="50">
        <f>IFERROR(AB140*VLOOKUP(E140,'Hệ số'!$A$2:$D$8,2,0)*IF((I140-5)&gt;=2,1.2,IF((I140-5)=1,1,IF((I140-5)=0,0.85,IF((I140-5)=-1,0.5,IF((I140-5)=-2,0.25,0.1))))),"")</f>
        <v/>
      </c>
      <c r="AI140" s="50">
        <f>IFERROR(AB140*VLOOKUP(E140,'Hệ số'!$A$2:$D$8,3,0),"")</f>
        <v/>
      </c>
      <c r="AJ140" s="50">
        <f>IFERROR(AB140*VLOOKUP(E140,'Hệ số'!$A$2:$D$8,4,0)*IF((I140-2)&gt;=2,1.2,IF((I140-2)=1,1,IF((I140-2)=0,0.85,IF((I140-2)=-1,0.5,IF((I140-2)=-2,0.25,0.1))))),"")</f>
        <v/>
      </c>
      <c r="AK140" s="39" t="inlineStr">
        <is>
          <t>Bắn loạt phủ vùng, tản mát; C-RAM, Vòm Sắt và La-de PK bắn hạ được từng quả.</t>
        </is>
      </c>
      <c r="AL140" s="39" t="n"/>
      <c r="AM140" s="39" t="inlineStr">
        <is>
          <t>TOS-1A: 24 quả / ~7,5 s; tầm 6 km</t>
        </is>
      </c>
      <c r="AN140" s="39" t="inlineStr">
        <is>
          <t>Tốc độ bay 24→35 m/s: Thống nhất TOS 35 m/s.</t>
        </is>
      </c>
      <c r="AO140" s="48" t="inlineStr">
        <is>
          <t>Trung</t>
        </is>
      </c>
    </row>
    <row r="141" ht="32.25" customHeight="1" s="32">
      <c r="A141" s="41" t="inlineStr">
        <is>
          <t>tower_ac25</t>
        </is>
      </c>
      <c r="B141" s="41" t="inlineStr">
        <is>
          <t>M242 Bushmaster 25</t>
        </is>
      </c>
      <c r="C141" s="41" t="inlineStr">
        <is>
          <t>Pháo tự động / cao xạ 20–40 mm</t>
        </is>
      </c>
      <c r="D141" s="41" t="inlineStr">
        <is>
          <t>Ổ súng</t>
        </is>
      </c>
      <c r="E141" s="41" t="inlineStr">
        <is>
          <t>Động năng</t>
        </is>
      </c>
      <c r="F141" s="41" t="inlineStr">
        <is>
          <t>BeltedAutocannon</t>
        </is>
      </c>
      <c r="G141" s="43" t="n">
        <v>25</v>
      </c>
      <c r="H141" s="43" t="n">
        <v>2</v>
      </c>
      <c r="I141" s="43" t="n">
        <v>2</v>
      </c>
      <c r="J141" s="43" t="n">
        <v>17</v>
      </c>
      <c r="K141" s="43" t="n">
        <v>17</v>
      </c>
      <c r="L141" s="41" t="inlineStr">
        <is>
          <t>băng</t>
        </is>
      </c>
      <c r="M141" s="41" t="inlineStr">
        <is>
          <t>băng</t>
        </is>
      </c>
      <c r="N141" s="43" t="n">
        <v>8</v>
      </c>
      <c r="O141" s="43" t="n">
        <v>8</v>
      </c>
      <c r="P141" s="43" t="n">
        <v>10</v>
      </c>
      <c r="Q141" s="43" t="n">
        <v>10</v>
      </c>
      <c r="R141" s="43" t="n">
        <v>1.3</v>
      </c>
      <c r="S141" s="43" t="n">
        <v>1.3</v>
      </c>
      <c r="T141" s="43" t="n">
        <v>30</v>
      </c>
      <c r="U141" s="43" t="n">
        <v>30</v>
      </c>
      <c r="V141" s="43" t="n">
        <v>210</v>
      </c>
      <c r="W141" s="43" t="n">
        <v>210</v>
      </c>
      <c r="X141" s="51">
        <f>IFERROR(U141/W141,"")</f>
        <v/>
      </c>
      <c r="Y141" s="51" t="n"/>
      <c r="Z141" s="51" t="n"/>
      <c r="AA141" s="51">
        <f>IFERROR(IF(L141="từng phát",J141*N141,J141*P141/(P141/N141+R141)),"")</f>
        <v/>
      </c>
      <c r="AB141" s="51">
        <f>IFERROR(IF(M141="từng phát",K141*O141,K141*Q141/(Q141/O141+S141)),"")</f>
        <v/>
      </c>
      <c r="AC141" s="51">
        <f>IFERROR(AB141*VLOOKUP(E141,'Hệ số'!$A$2:$D$8,2,0)*IF((I141-0)&gt;=2,1.2,IF((I141-0)=1,1,IF((I141-0)=0,0.85,IF((I141-0)=-1,0.5,IF((I141-0)=-2,0.25,0.1))))),"")</f>
        <v/>
      </c>
      <c r="AD141" s="51">
        <f>IFERROR(AB141*VLOOKUP(E141,'Hệ số'!$A$2:$D$8,2,0)*IF((I141-1)&gt;=2,1.2,IF((I141-1)=1,1,IF((I141-1)=0,0.85,IF((I141-1)=-1,0.5,IF((I141-1)=-2,0.25,0.1))))),"")</f>
        <v/>
      </c>
      <c r="AE141" s="51">
        <f>IFERROR(AB141*VLOOKUP(E141,'Hệ số'!$A$2:$D$8,2,0)*IF((I141-2)&gt;=2,1.2,IF((I141-2)=1,1,IF((I141-2)=0,0.85,IF((I141-2)=-1,0.5,IF((I141-2)=-2,0.25,0.1))))),"")</f>
        <v/>
      </c>
      <c r="AF141" s="51">
        <f>IFERROR(AB141*VLOOKUP(E141,'Hệ số'!$A$2:$D$8,2,0)*IF((I141-3)&gt;=2,1.2,IF((I141-3)=1,1,IF((I141-3)=0,0.85,IF((I141-3)=-1,0.5,IF((I141-3)=-2,0.25,0.1))))),"")</f>
        <v/>
      </c>
      <c r="AG141" s="51">
        <f>IFERROR(AB141*VLOOKUP(E141,'Hệ số'!$A$2:$D$8,2,0)*IF((I141-4)&gt;=2,1.2,IF((I141-4)=1,1,IF((I141-4)=0,0.85,IF((I141-4)=-1,0.5,IF((I141-4)=-2,0.25,0.1))))),"")</f>
        <v/>
      </c>
      <c r="AH141" s="51">
        <f>IFERROR(AB141*VLOOKUP(E141,'Hệ số'!$A$2:$D$8,2,0)*IF((I141-5)&gt;=2,1.2,IF((I141-5)=1,1,IF((I141-5)=0,0.85,IF((I141-5)=-1,0.5,IF((I141-5)=-2,0.25,0.1))))),"")</f>
        <v/>
      </c>
      <c r="AI141" s="51">
        <f>IFERROR(AB141*VLOOKUP(E141,'Hệ số'!$A$2:$D$8,3,0),"")</f>
        <v/>
      </c>
      <c r="AJ141" s="51">
        <f>IFERROR(AB141*VLOOKUP(E141,'Hệ số'!$A$2:$D$8,4,0)*IF((I141-2)&gt;=2,1.2,IF((I141-2)=1,1,IF((I141-2)=0,0.85,IF((I141-2)=-1,0.5,IF((I141-2)=-2,0.25,0.1))))),"")</f>
        <v/>
      </c>
      <c r="AK141" s="41" t="inlineStr">
        <is>
          <t>Bắn loạt; đạn nổ trên không (Mảnh) mạnh với máy bay và drone, yếu với giáp; đạn xuyên (Động năng) mạnh với giáp 0–2.</t>
        </is>
      </c>
      <c r="AL141" s="41" t="inlineStr">
        <is>
          <t>Tự đổi: đạn xuyên (Động năng) với xe, đạn nổ trên không (Mảnh) với máy bay/drone.</t>
        </is>
      </c>
      <c r="AM141" s="41" t="inlineStr">
        <is>
          <t>M242: 200/500 phát/phút</t>
        </is>
      </c>
      <c r="AN141" s="41" t="inlineStr">
        <is>
          <t>Giữ.</t>
        </is>
      </c>
      <c r="AO141" s="41" t="n"/>
    </row>
    <row r="142" ht="32.25" customHeight="1" s="32">
      <c r="A142" s="39" t="inlineStr">
        <is>
          <t>tower_flak_30</t>
        </is>
      </c>
      <c r="B142" s="39" t="inlineStr">
        <is>
          <t>2A38 30 mm (twin)</t>
        </is>
      </c>
      <c r="C142" s="39" t="inlineStr">
        <is>
          <t>Pháo tự động / cao xạ 20–40 mm</t>
        </is>
      </c>
      <c r="D142" s="39" t="inlineStr">
        <is>
          <t>Tháp PK</t>
        </is>
      </c>
      <c r="E142" s="39" t="inlineStr">
        <is>
          <t>Mảnh</t>
        </is>
      </c>
      <c r="F142" s="39" t="inlineStr">
        <is>
          <t>Airburst</t>
        </is>
      </c>
      <c r="G142" s="42" t="n">
        <v>30</v>
      </c>
      <c r="H142" s="42" t="n">
        <v>2</v>
      </c>
      <c r="I142" s="42" t="n">
        <v>2</v>
      </c>
      <c r="J142" s="42" t="n">
        <v>22</v>
      </c>
      <c r="K142" s="42" t="n">
        <v>7</v>
      </c>
      <c r="L142" s="39" t="inlineStr">
        <is>
          <t>băng</t>
        </is>
      </c>
      <c r="M142" s="39" t="inlineStr">
        <is>
          <t>băng</t>
        </is>
      </c>
      <c r="N142" s="42" t="n">
        <v>11</v>
      </c>
      <c r="O142" s="42" t="n">
        <v>35</v>
      </c>
      <c r="P142" s="42" t="n">
        <v>46</v>
      </c>
      <c r="Q142" s="42" t="n">
        <v>120</v>
      </c>
      <c r="R142" s="42" t="n">
        <v>1.2</v>
      </c>
      <c r="S142" s="42" t="n">
        <v>3</v>
      </c>
      <c r="T142" s="42" t="n">
        <v>42</v>
      </c>
      <c r="U142" s="42" t="n">
        <v>42</v>
      </c>
      <c r="V142" s="42" t="n">
        <v>280</v>
      </c>
      <c r="W142" s="42" t="n">
        <v>280</v>
      </c>
      <c r="X142" s="50">
        <f>IFERROR(U142/W142,"")</f>
        <v/>
      </c>
      <c r="Y142" s="52" t="n">
        <v>2.5</v>
      </c>
      <c r="Z142" s="52" t="n">
        <v>2.5</v>
      </c>
      <c r="AA142" s="50">
        <f>IFERROR(IF(L142="từng phát",J142*N142,J142*P142/(P142/N142+R142)),"")</f>
        <v/>
      </c>
      <c r="AB142" s="50">
        <f>IFERROR(IF(M142="từng phát",K142*O142,K142*Q142/(Q142/O142+S142)),"")</f>
        <v/>
      </c>
      <c r="AC142" s="50">
        <f>IFERROR(AB142*VLOOKUP(E142,'Hệ số'!$A$2:$D$8,2,0)*IF((I142-0)&gt;=2,1.2,IF((I142-0)=1,1,IF((I142-0)=0,0.85,IF((I142-0)=-1,0.5,IF((I142-0)=-2,0.25,0.1))))),"")</f>
        <v/>
      </c>
      <c r="AD142" s="50">
        <f>IFERROR(AB142*VLOOKUP(E142,'Hệ số'!$A$2:$D$8,2,0)*IF((I142-1)&gt;=2,1.2,IF((I142-1)=1,1,IF((I142-1)=0,0.85,IF((I142-1)=-1,0.5,IF((I142-1)=-2,0.25,0.1))))),"")</f>
        <v/>
      </c>
      <c r="AE142" s="50">
        <f>IFERROR(AB142*VLOOKUP(E142,'Hệ số'!$A$2:$D$8,2,0)*IF((I142-2)&gt;=2,1.2,IF((I142-2)=1,1,IF((I142-2)=0,0.85,IF((I142-2)=-1,0.5,IF((I142-2)=-2,0.25,0.1))))),"")</f>
        <v/>
      </c>
      <c r="AF142" s="50">
        <f>IFERROR(AB142*VLOOKUP(E142,'Hệ số'!$A$2:$D$8,2,0)*IF((I142-3)&gt;=2,1.2,IF((I142-3)=1,1,IF((I142-3)=0,0.85,IF((I142-3)=-1,0.5,IF((I142-3)=-2,0.25,0.1))))),"")</f>
        <v/>
      </c>
      <c r="AG142" s="50">
        <f>IFERROR(AB142*VLOOKUP(E142,'Hệ số'!$A$2:$D$8,2,0)*IF((I142-4)&gt;=2,1.2,IF((I142-4)=1,1,IF((I142-4)=0,0.85,IF((I142-4)=-1,0.5,IF((I142-4)=-2,0.25,0.1))))),"")</f>
        <v/>
      </c>
      <c r="AH142" s="50">
        <f>IFERROR(AB142*VLOOKUP(E142,'Hệ số'!$A$2:$D$8,2,0)*IF((I142-5)&gt;=2,1.2,IF((I142-5)=1,1,IF((I142-5)=0,0.85,IF((I142-5)=-1,0.5,IF((I142-5)=-2,0.25,0.1))))),"")</f>
        <v/>
      </c>
      <c r="AI142" s="50">
        <f>IFERROR(AB142*VLOOKUP(E142,'Hệ số'!$A$2:$D$8,3,0),"")</f>
        <v/>
      </c>
      <c r="AJ142" s="50">
        <f>IFERROR(AB142*VLOOKUP(E142,'Hệ số'!$A$2:$D$8,4,0)*IF((I142-2)&gt;=2,1.2,IF((I142-2)=1,1,IF((I142-2)=0,0.85,IF((I142-2)=-1,0.5,IF((I142-2)=-2,0.25,0.1))))),"")</f>
        <v/>
      </c>
      <c r="AK142" s="39" t="inlineStr">
        <is>
          <t>Bắn loạt; đạn nổ trên không (Mảnh) mạnh với máy bay và drone, yếu với giáp; đạn xuyên (Động năng) mạnh với giáp 0–2.</t>
        </is>
      </c>
      <c r="AL142" s="39" t="inlineStr">
        <is>
          <t>Tự đổi: đạn xuyên (Động năng) với xe, đạn nổ trên không (Mảnh) với máy bay/drone.</t>
        </is>
      </c>
      <c r="AM142" s="39" t="inlineStr">
        <is>
          <t>2A38M: ~5.000 phát/phút cả cặp</t>
        </is>
      </c>
      <c r="AN142" s="39" t="inlineStr">
        <is>
          <t>Như 2A38; đồng thời giảm phòng không của tháp ô nhỏ (300→~220) để Patriot ô lớn mạnh hơn.</t>
        </is>
      </c>
      <c r="AO142" s="48" t="inlineStr">
        <is>
          <t>Trung</t>
        </is>
      </c>
    </row>
    <row r="143" ht="21.75" customHeight="1" s="32">
      <c r="A143" s="41" t="inlineStr">
        <is>
          <t>tower_hmg</t>
        </is>
      </c>
      <c r="B143" s="41" t="inlineStr">
        <is>
          <t>M2 Browning 12.7 mm</t>
        </is>
      </c>
      <c r="C143" s="41" t="inlineStr">
        <is>
          <t>Súng máy 12,7 mm</t>
        </is>
      </c>
      <c r="D143" s="41" t="inlineStr">
        <is>
          <t>Tháp canh, Tháp quan sát</t>
        </is>
      </c>
      <c r="E143" s="41" t="inlineStr">
        <is>
          <t>Động năng</t>
        </is>
      </c>
      <c r="F143" s="41" t="inlineStr">
        <is>
          <t>BulletBig</t>
        </is>
      </c>
      <c r="G143" s="43" t="n">
        <v>12.7</v>
      </c>
      <c r="H143" s="43" t="n">
        <v>1</v>
      </c>
      <c r="I143" s="43" t="n">
        <v>1</v>
      </c>
      <c r="J143" s="43" t="n">
        <v>9.5</v>
      </c>
      <c r="K143" s="43" t="n">
        <v>9.5</v>
      </c>
      <c r="L143" s="41" t="inlineStr">
        <is>
          <t>băng</t>
        </is>
      </c>
      <c r="M143" s="41" t="inlineStr">
        <is>
          <t>băng</t>
        </is>
      </c>
      <c r="N143" s="43" t="n">
        <v>11.76</v>
      </c>
      <c r="O143" s="43" t="n">
        <v>11.76</v>
      </c>
      <c r="P143" s="43" t="n">
        <v>46</v>
      </c>
      <c r="Q143" s="43" t="n">
        <v>100</v>
      </c>
      <c r="R143" s="43" t="n">
        <v>1.1</v>
      </c>
      <c r="S143" s="43" t="n">
        <v>4</v>
      </c>
      <c r="T143" s="43" t="n">
        <v>30</v>
      </c>
      <c r="U143" s="43" t="n">
        <v>30</v>
      </c>
      <c r="V143" s="43" t="n">
        <v>230</v>
      </c>
      <c r="W143" s="43" t="n">
        <v>230</v>
      </c>
      <c r="X143" s="51">
        <f>IFERROR(U143/W143,"")</f>
        <v/>
      </c>
      <c r="Y143" s="51" t="n"/>
      <c r="Z143" s="51" t="n"/>
      <c r="AA143" s="51">
        <f>IFERROR(IF(L143="từng phát",J143*N143,J143*P143/(P143/N143+R143)),"")</f>
        <v/>
      </c>
      <c r="AB143" s="51">
        <f>IFERROR(IF(M143="từng phát",K143*O143,K143*Q143/(Q143/O143+S143)),"")</f>
        <v/>
      </c>
      <c r="AC143" s="51">
        <f>IFERROR(AB143*VLOOKUP(E143,'Hệ số'!$A$2:$D$8,2,0)*IF((I143-0)&gt;=2,1.2,IF((I143-0)=1,1,IF((I143-0)=0,0.85,IF((I143-0)=-1,0.5,IF((I143-0)=-2,0.25,0.1))))),"")</f>
        <v/>
      </c>
      <c r="AD143" s="51">
        <f>IFERROR(AB143*VLOOKUP(E143,'Hệ số'!$A$2:$D$8,2,0)*IF((I143-1)&gt;=2,1.2,IF((I143-1)=1,1,IF((I143-1)=0,0.85,IF((I143-1)=-1,0.5,IF((I143-1)=-2,0.25,0.1))))),"")</f>
        <v/>
      </c>
      <c r="AE143" s="51">
        <f>IFERROR(AB143*VLOOKUP(E143,'Hệ số'!$A$2:$D$8,2,0)*IF((I143-2)&gt;=2,1.2,IF((I143-2)=1,1,IF((I143-2)=0,0.85,IF((I143-2)=-1,0.5,IF((I143-2)=-2,0.25,0.1))))),"")</f>
        <v/>
      </c>
      <c r="AF143" s="51">
        <f>IFERROR(AB143*VLOOKUP(E143,'Hệ số'!$A$2:$D$8,2,0)*IF((I143-3)&gt;=2,1.2,IF((I143-3)=1,1,IF((I143-3)=0,0.85,IF((I143-3)=-1,0.5,IF((I143-3)=-2,0.25,0.1))))),"")</f>
        <v/>
      </c>
      <c r="AG143" s="51">
        <f>IFERROR(AB143*VLOOKUP(E143,'Hệ số'!$A$2:$D$8,2,0)*IF((I143-4)&gt;=2,1.2,IF((I143-4)=1,1,IF((I143-4)=0,0.85,IF((I143-4)=-1,0.5,IF((I143-4)=-2,0.25,0.1))))),"")</f>
        <v/>
      </c>
      <c r="AH143" s="51">
        <f>IFERROR(AB143*VLOOKUP(E143,'Hệ số'!$A$2:$D$8,2,0)*IF((I143-5)&gt;=2,1.2,IF((I143-5)=1,1,IF((I143-5)=0,0.85,IF((I143-5)=-1,0.5,IF((I143-5)=-2,0.25,0.1))))),"")</f>
        <v/>
      </c>
      <c r="AI143" s="51">
        <f>IFERROR(AB143*VLOOKUP(E143,'Hệ số'!$A$2:$D$8,3,0),"")</f>
        <v/>
      </c>
      <c r="AJ143" s="51">
        <f>IFERROR(AB143*VLOOKUP(E143,'Hệ số'!$A$2:$D$8,4,0)*IF((I143-2)&gt;=2,1.2,IF((I143-2)=1,1,IF((I143-2)=0,0.85,IF((I143-2)=-1,0.5,IF((I143-2)=-2,0.25,0.1))))),"")</f>
        <v/>
      </c>
      <c r="AK143" s="41" t="inlineStr">
        <is>
          <t>Bắn cả khi chạy; mạnh với xe không giáp, drone, trực thăng; nảy khỏi giáp từ cấp 2.</t>
        </is>
      </c>
      <c r="AL143" s="41" t="inlineStr">
        <is>
          <t>Đạn xuyên API (xuyên 2) cho bản tinh nhuệ.</t>
        </is>
      </c>
      <c r="AM143" s="41" t="inlineStr">
        <is>
          <t>M2: 450–600</t>
        </is>
      </c>
      <c r="AN143" s="41" t="inlineStr">
        <is>
          <t>Như M2, tháp nạp nhanh hơn một chút.</t>
        </is>
      </c>
      <c r="AO143" s="48" t="inlineStr">
        <is>
          <t>Trung</t>
        </is>
      </c>
    </row>
    <row r="144" ht="21.75" customHeight="1" s="32">
      <c r="A144" s="39" t="inlineStr">
        <is>
          <t>tower_kornet</t>
        </is>
      </c>
      <c r="B144" s="39" t="inlineStr">
        <is>
          <t>9M133 Kornet</t>
        </is>
      </c>
      <c r="C144" s="39" t="inlineStr">
        <is>
          <t>Tên lửa chống tăng / không đối đất</t>
        </is>
      </c>
      <c r="D144" s="39" t="inlineStr">
        <is>
          <t>Tháp ATGM</t>
        </is>
      </c>
      <c r="E144" s="39" t="inlineStr">
        <is>
          <t>Nổ lõm</t>
        </is>
      </c>
      <c r="F144" s="39" t="inlineStr">
        <is>
          <t>Atgm</t>
        </is>
      </c>
      <c r="G144" s="42" t="n">
        <v>29</v>
      </c>
      <c r="H144" s="42" t="n">
        <v>4</v>
      </c>
      <c r="I144" s="42" t="n">
        <v>4</v>
      </c>
      <c r="J144" s="42" t="n">
        <v>230</v>
      </c>
      <c r="K144" s="42" t="n">
        <v>230</v>
      </c>
      <c r="L144" s="39" t="inlineStr">
        <is>
          <t>loạt</t>
        </is>
      </c>
      <c r="M144" s="39" t="inlineStr">
        <is>
          <t>loạt</t>
        </is>
      </c>
      <c r="N144" s="42" t="n">
        <v>1.67</v>
      </c>
      <c r="O144" s="42" t="n">
        <v>1.67</v>
      </c>
      <c r="P144" s="42" t="n">
        <v>2</v>
      </c>
      <c r="Q144" s="42" t="n">
        <v>2</v>
      </c>
      <c r="R144" s="42" t="n">
        <v>4.35</v>
      </c>
      <c r="S144" s="42" t="n">
        <v>4.35</v>
      </c>
      <c r="T144" s="42" t="n">
        <v>50</v>
      </c>
      <c r="U144" s="42" t="n">
        <v>50</v>
      </c>
      <c r="V144" s="42" t="n">
        <v>20</v>
      </c>
      <c r="W144" s="42" t="n">
        <v>22</v>
      </c>
      <c r="X144" s="50">
        <f>IFERROR(U144/W144,"")</f>
        <v/>
      </c>
      <c r="Y144" s="50" t="n"/>
      <c r="Z144" s="50" t="n"/>
      <c r="AA144" s="50">
        <f>IFERROR(IF(L144="từng phát",J144*N144,J144*P144/(P144/N144+R144)),"")</f>
        <v/>
      </c>
      <c r="AB144" s="50">
        <f>IFERROR(IF(M144="từng phát",K144*O144,K144*Q144/(Q144/O144+S144)),"")</f>
        <v/>
      </c>
      <c r="AC144" s="50">
        <f>IFERROR(AB144*VLOOKUP(E144,'Hệ số'!$A$2:$D$8,2,0)*IF((I144-0)&gt;=2,1.2,IF((I144-0)=1,1,IF((I144-0)=0,0.85,IF((I144-0)=-1,0.5,IF((I144-0)=-2,0.25,0.1))))),"")</f>
        <v/>
      </c>
      <c r="AD144" s="50">
        <f>IFERROR(AB144*VLOOKUP(E144,'Hệ số'!$A$2:$D$8,2,0)*IF((I144-1)&gt;=2,1.2,IF((I144-1)=1,1,IF((I144-1)=0,0.85,IF((I144-1)=-1,0.5,IF((I144-1)=-2,0.25,0.1))))),"")</f>
        <v/>
      </c>
      <c r="AE144" s="50">
        <f>IFERROR(AB144*VLOOKUP(E144,'Hệ số'!$A$2:$D$8,2,0)*IF((I144-2)&gt;=2,1.2,IF((I144-2)=1,1,IF((I144-2)=0,0.85,IF((I144-2)=-1,0.5,IF((I144-2)=-2,0.25,0.1))))),"")</f>
        <v/>
      </c>
      <c r="AF144" s="50">
        <f>IFERROR(AB144*VLOOKUP(E144,'Hệ số'!$A$2:$D$8,2,0)*IF((I144-3)&gt;=2,1.2,IF((I144-3)=1,1,IF((I144-3)=0,0.85,IF((I144-3)=-1,0.5,IF((I144-3)=-2,0.25,0.1))))),"")</f>
        <v/>
      </c>
      <c r="AG144" s="50">
        <f>IFERROR(AB144*VLOOKUP(E144,'Hệ số'!$A$2:$D$8,2,0)*IF((I144-4)&gt;=2,1.2,IF((I144-4)=1,1,IF((I144-4)=0,0.85,IF((I144-4)=-1,0.5,IF((I144-4)=-2,0.25,0.1))))),"")</f>
        <v/>
      </c>
      <c r="AH144" s="50">
        <f>IFERROR(AB144*VLOOKUP(E144,'Hệ số'!$A$2:$D$8,2,0)*IF((I144-5)&gt;=2,1.2,IF((I144-5)=1,1,IF((I144-5)=0,0.85,IF((I144-5)=-1,0.5,IF((I144-5)=-2,0.25,0.1))))),"")</f>
        <v/>
      </c>
      <c r="AI144" s="50">
        <f>IFERROR(AB144*VLOOKUP(E144,'Hệ số'!$A$2:$D$8,3,0),"")</f>
        <v/>
      </c>
      <c r="AJ144" s="50">
        <f>IFERROR(AB144*VLOOKUP(E144,'Hệ số'!$A$2:$D$8,4,0)*IF((I144-2)&gt;=2,1.2,IF((I144-2)=1,1,IF((I144-2)=0,0.85,IF((I144-2)=-1,0.5,IF((I144-2)=-2,0.25,0.1))))),"")</f>
        <v/>
      </c>
      <c r="AK144" s="39" t="inlineStr">
        <is>
          <t>Dẫn đường; bị APS và giáp phản ứng nổ giảm (đầu nổ lõm); bay chậm nên né và khói có tác dụng.</t>
        </is>
      </c>
      <c r="AL144" s="39" t="n"/>
      <c r="AM144" s="39" t="inlineStr">
        <is>
          <t>Kornet: tầm 5,5–8 km, ~300 m/s</t>
        </is>
      </c>
      <c r="AN144" s="39" t="inlineStr">
        <is>
          <t>Tốc độ bay 20→22 m/s: Bay ~2,3 s ở tầm 50; nhanh hơn TOW một chút.</t>
        </is>
      </c>
      <c r="AO144" s="48" t="inlineStr">
        <is>
          <t>Trung</t>
        </is>
      </c>
    </row>
    <row r="145" ht="32.25" customHeight="1" s="32">
      <c r="A145" s="41" t="inlineStr">
        <is>
          <t>train_gun</t>
        </is>
      </c>
      <c r="B145" s="41" t="inlineStr">
        <is>
          <t>B-38 152 mm</t>
        </is>
      </c>
      <c r="C145" s="41" t="inlineStr">
        <is>
          <t>Pháo xe tăng / diệt tăng</t>
        </is>
      </c>
      <c r="D145" s="41" t="inlineStr">
        <is>
          <t>Juggernaut</t>
        </is>
      </c>
      <c r="E145" s="41" t="inlineStr">
        <is>
          <t>Động năng</t>
        </is>
      </c>
      <c r="F145" s="41" t="inlineStr">
        <is>
          <t>DoubleDart</t>
        </is>
      </c>
      <c r="G145" s="43" t="n">
        <v>152</v>
      </c>
      <c r="H145" s="43" t="n">
        <v>4</v>
      </c>
      <c r="I145" s="43" t="n">
        <v>4</v>
      </c>
      <c r="J145" s="43" t="n">
        <v>320</v>
      </c>
      <c r="K145" s="43" t="n">
        <v>320</v>
      </c>
      <c r="L145" s="41" t="inlineStr">
        <is>
          <t>từng phát</t>
        </is>
      </c>
      <c r="M145" s="41" t="inlineStr">
        <is>
          <t>từng phát</t>
        </is>
      </c>
      <c r="N145" s="43" t="n">
        <v>0.195694716242661</v>
      </c>
      <c r="O145" s="43" t="n">
        <v>0.195694716242661</v>
      </c>
      <c r="P145" s="43" t="n">
        <v>1</v>
      </c>
      <c r="Q145" s="43" t="n">
        <v>1</v>
      </c>
      <c r="R145" s="43" t="n">
        <v>5.11</v>
      </c>
      <c r="S145" s="43" t="n">
        <v>5.11</v>
      </c>
      <c r="T145" s="43" t="n">
        <v>42</v>
      </c>
      <c r="U145" s="43" t="n">
        <v>42</v>
      </c>
      <c r="V145" s="43" t="n">
        <v>170</v>
      </c>
      <c r="W145" s="43" t="n">
        <v>170</v>
      </c>
      <c r="X145" s="51">
        <f>IFERROR(U145/W145,"")</f>
        <v/>
      </c>
      <c r="Y145" s="53" t="n">
        <v>2.5</v>
      </c>
      <c r="Z145" s="53" t="n">
        <v>2.5</v>
      </c>
      <c r="AA145" s="51">
        <f>IFERROR(IF(L145="từng phát",J145*N145,J145*P145/(P145/N145+R145)),"")</f>
        <v/>
      </c>
      <c r="AB145" s="51">
        <f>IFERROR(IF(M145="từng phát",K145*O145,K145*Q145/(Q145/O145+S145)),"")</f>
        <v/>
      </c>
      <c r="AC145" s="51">
        <f>IFERROR(AB145*VLOOKUP(E145,'Hệ số'!$A$2:$D$8,2,0)*IF((I145-0)&gt;=2,1.2,IF((I145-0)=1,1,IF((I145-0)=0,0.85,IF((I145-0)=-1,0.5,IF((I145-0)=-2,0.25,0.1))))),"")</f>
        <v/>
      </c>
      <c r="AD145" s="51">
        <f>IFERROR(AB145*VLOOKUP(E145,'Hệ số'!$A$2:$D$8,2,0)*IF((I145-1)&gt;=2,1.2,IF((I145-1)=1,1,IF((I145-1)=0,0.85,IF((I145-1)=-1,0.5,IF((I145-1)=-2,0.25,0.1))))),"")</f>
        <v/>
      </c>
      <c r="AE145" s="51">
        <f>IFERROR(AB145*VLOOKUP(E145,'Hệ số'!$A$2:$D$8,2,0)*IF((I145-2)&gt;=2,1.2,IF((I145-2)=1,1,IF((I145-2)=0,0.85,IF((I145-2)=-1,0.5,IF((I145-2)=-2,0.25,0.1))))),"")</f>
        <v/>
      </c>
      <c r="AF145" s="51">
        <f>IFERROR(AB145*VLOOKUP(E145,'Hệ số'!$A$2:$D$8,2,0)*IF((I145-3)&gt;=2,1.2,IF((I145-3)=1,1,IF((I145-3)=0,0.85,IF((I145-3)=-1,0.5,IF((I145-3)=-2,0.25,0.1))))),"")</f>
        <v/>
      </c>
      <c r="AG145" s="51">
        <f>IFERROR(AB145*VLOOKUP(E145,'Hệ số'!$A$2:$D$8,2,0)*IF((I145-4)&gt;=2,1.2,IF((I145-4)=1,1,IF((I145-4)=0,0.85,IF((I145-4)=-1,0.5,IF((I145-4)=-2,0.25,0.1))))),"")</f>
        <v/>
      </c>
      <c r="AH145" s="51">
        <f>IFERROR(AB145*VLOOKUP(E145,'Hệ số'!$A$2:$D$8,2,0)*IF((I145-5)&gt;=2,1.2,IF((I145-5)=1,1,IF((I145-5)=0,0.85,IF((I145-5)=-1,0.5,IF((I145-5)=-2,0.25,0.1))))),"")</f>
        <v/>
      </c>
      <c r="AI145" s="51">
        <f>IFERROR(AB145*VLOOKUP(E145,'Hệ số'!$A$2:$D$8,3,0),"")</f>
        <v/>
      </c>
      <c r="AJ145" s="51">
        <f>IFERROR(AB145*VLOOKUP(E145,'Hệ số'!$A$2:$D$8,4,0)*IF((I145-2)&gt;=2,1.2,IF((I145-2)=1,1,IF((I145-2)=0,0.85,IF((I145-2)=-1,0.5,IF((I145-2)=-2,0.25,0.1))))),"")</f>
        <v/>
      </c>
      <c r="AK145" s="41" t="inlineStr">
        <is>
          <t>Phát đơn, sơ tốc cao; không bị APS chặn (đạn động năng); bị lệch theo tầm và khi xe đang chạy.</t>
        </is>
      </c>
      <c r="AL145" s="41" t="inlineStr">
        <is>
          <t>Tự đổi: đạn xuyên (Động năng) với xe giáp, đạn nổ mạnh (HE, xuyên 2, nổ lan 3 m) với xe nhẹ và công trình.</t>
        </is>
      </c>
      <c r="AM145" s="41" t="n"/>
      <c r="AN145" s="41" t="inlineStr">
        <is>
          <t>Giữ.</t>
        </is>
      </c>
      <c r="AO145" s="41" t="n"/>
    </row>
    <row r="146" ht="21.75" customHeight="1" s="32">
      <c r="A146" s="39" t="inlineStr">
        <is>
          <t>turret_gmlrs</t>
        </is>
      </c>
      <c r="B146" s="39" t="inlineStr">
        <is>
          <t>M31 GMLRS 227 mm</t>
        </is>
      </c>
      <c r="C146" s="39" t="inlineStr">
        <is>
          <t>Rốc-két</t>
        </is>
      </c>
      <c r="D146" s="39" t="inlineStr">
        <is>
          <t>Dẫn đường</t>
        </is>
      </c>
      <c r="E146" s="39" t="inlineStr">
        <is>
          <t>Nổ mạnh</t>
        </is>
      </c>
      <c r="F146" s="39" t="inlineStr">
        <is>
          <t>RocketBig</t>
        </is>
      </c>
      <c r="G146" s="42" t="n">
        <v>227</v>
      </c>
      <c r="H146" s="42" t="n">
        <v>3</v>
      </c>
      <c r="I146" s="42" t="n">
        <v>3</v>
      </c>
      <c r="J146" s="42" t="n">
        <v>100</v>
      </c>
      <c r="K146" s="42" t="n">
        <v>160</v>
      </c>
      <c r="L146" s="39" t="inlineStr">
        <is>
          <t>loạt</t>
        </is>
      </c>
      <c r="M146" s="39" t="inlineStr">
        <is>
          <t>loạt</t>
        </is>
      </c>
      <c r="N146" s="42" t="n">
        <v>2</v>
      </c>
      <c r="O146" s="42" t="n">
        <v>2</v>
      </c>
      <c r="P146" s="42" t="n">
        <v>2</v>
      </c>
      <c r="Q146" s="42" t="n">
        <v>2</v>
      </c>
      <c r="R146" s="42" t="n">
        <v>7</v>
      </c>
      <c r="S146" s="42" t="n">
        <v>7</v>
      </c>
      <c r="T146" s="42" t="n">
        <v>90</v>
      </c>
      <c r="U146" s="42" t="n">
        <v>90</v>
      </c>
      <c r="V146" s="42" t="n">
        <v>24</v>
      </c>
      <c r="W146" s="42" t="n">
        <v>50</v>
      </c>
      <c r="X146" s="50">
        <f>IFERROR(U146/W146,"")</f>
        <v/>
      </c>
      <c r="Y146" s="52" t="n">
        <v>3</v>
      </c>
      <c r="Z146" s="52" t="n">
        <v>4.5</v>
      </c>
      <c r="AA146" s="50">
        <f>IFERROR(IF(L146="từng phát",J146*N146,J146*P146/(P146/N146+R146)),"")</f>
        <v/>
      </c>
      <c r="AB146" s="50">
        <f>IFERROR(IF(M146="từng phát",K146*O146,K146*Q146/(Q146/O146+S146)),"")</f>
        <v/>
      </c>
      <c r="AC146" s="50">
        <f>IFERROR(AB146*VLOOKUP(E146,'Hệ số'!$A$2:$D$8,2,0)*IF((I146-0)&gt;=2,1.2,IF((I146-0)=1,1,IF((I146-0)=0,0.85,IF((I146-0)=-1,0.5,IF((I146-0)=-2,0.25,0.1))))),"")</f>
        <v/>
      </c>
      <c r="AD146" s="50">
        <f>IFERROR(AB146*VLOOKUP(E146,'Hệ số'!$A$2:$D$8,2,0)*IF((I146-1)&gt;=2,1.2,IF((I146-1)=1,1,IF((I146-1)=0,0.85,IF((I146-1)=-1,0.5,IF((I146-1)=-2,0.25,0.1))))),"")</f>
        <v/>
      </c>
      <c r="AE146" s="50">
        <f>IFERROR(AB146*VLOOKUP(E146,'Hệ số'!$A$2:$D$8,2,0)*IF((I146-2)&gt;=2,1.2,IF((I146-2)=1,1,IF((I146-2)=0,0.85,IF((I146-2)=-1,0.5,IF((I146-2)=-2,0.25,0.1))))),"")</f>
        <v/>
      </c>
      <c r="AF146" s="50">
        <f>IFERROR(AB146*VLOOKUP(E146,'Hệ số'!$A$2:$D$8,2,0)*IF((I146-3)&gt;=2,1.2,IF((I146-3)=1,1,IF((I146-3)=0,0.85,IF((I146-3)=-1,0.5,IF((I146-3)=-2,0.25,0.1))))),"")</f>
        <v/>
      </c>
      <c r="AG146" s="50">
        <f>IFERROR(AB146*VLOOKUP(E146,'Hệ số'!$A$2:$D$8,2,0)*IF((I146-4)&gt;=2,1.2,IF((I146-4)=1,1,IF((I146-4)=0,0.85,IF((I146-4)=-1,0.5,IF((I146-4)=-2,0.25,0.1))))),"")</f>
        <v/>
      </c>
      <c r="AH146" s="50">
        <f>IFERROR(AB146*VLOOKUP(E146,'Hệ số'!$A$2:$D$8,2,0)*IF((I146-5)&gt;=2,1.2,IF((I146-5)=1,1,IF((I146-5)=0,0.85,IF((I146-5)=-1,0.5,IF((I146-5)=-2,0.25,0.1))))),"")</f>
        <v/>
      </c>
      <c r="AI146" s="50">
        <f>IFERROR(AB146*VLOOKUP(E146,'Hệ số'!$A$2:$D$8,3,0),"")</f>
        <v/>
      </c>
      <c r="AJ146" s="50">
        <f>IFERROR(AB146*VLOOKUP(E146,'Hệ số'!$A$2:$D$8,4,0)*IF((I146-2)&gt;=2,1.2,IF((I146-2)=1,1,IF((I146-2)=0,0.85,IF((I146-2)=-1,0.5,IF((I146-2)=-2,0.25,0.1))))),"")</f>
        <v/>
      </c>
      <c r="AK146" s="39" t="inlineStr">
        <is>
          <t>Bắn loạt phủ vùng, tản mát; C-RAM, Vòm Sắt và La-de PK bắn hạ được từng quả.</t>
        </is>
      </c>
      <c r="AL146" s="39" t="n"/>
      <c r="AM146" s="39" t="inlineStr">
        <is>
          <t>GMLRS dẫn đường</t>
        </is>
      </c>
      <c r="AN146" s="39" t="inlineStr">
        <is>
          <t>Nhánh rốc-két dẫn đường gần như vô dụng (27/27). Tốc độ bay 24→50 m/s: Thống nhất tốc độ GMLRS ở mọi đơn vị (50 m/s).</t>
        </is>
      </c>
      <c r="AO146" s="47" t="inlineStr">
        <is>
          <t>Cao</t>
        </is>
      </c>
    </row>
    <row r="147" ht="32.25" customHeight="1" s="32">
      <c r="A147" s="41" t="inlineStr">
        <is>
          <t>turret_gun_120</t>
        </is>
      </c>
      <c r="B147" s="41" t="inlineStr">
        <is>
          <t>Rh-120 L/44 120 mm</t>
        </is>
      </c>
      <c r="C147" s="41" t="inlineStr">
        <is>
          <t>Pháo xe tăng / diệt tăng</t>
        </is>
      </c>
      <c r="D147" s="41" t="inlineStr">
        <is>
          <t>Tháp pháo</t>
        </is>
      </c>
      <c r="E147" s="41" t="inlineStr">
        <is>
          <t>Động năng</t>
        </is>
      </c>
      <c r="F147" s="41" t="inlineStr">
        <is>
          <t>DoubleDart</t>
        </is>
      </c>
      <c r="G147" s="43" t="n">
        <v>120</v>
      </c>
      <c r="H147" s="43" t="n">
        <v>4</v>
      </c>
      <c r="I147" s="43" t="n">
        <v>4</v>
      </c>
      <c r="J147" s="43" t="n">
        <v>240</v>
      </c>
      <c r="K147" s="43" t="n">
        <v>240</v>
      </c>
      <c r="L147" s="41" t="inlineStr">
        <is>
          <t>từng phát</t>
        </is>
      </c>
      <c r="M147" s="41" t="inlineStr">
        <is>
          <t>từng phát</t>
        </is>
      </c>
      <c r="N147" s="43" t="n">
        <v>0.347222222222222</v>
      </c>
      <c r="O147" s="43" t="n">
        <v>0.347222222222222</v>
      </c>
      <c r="P147" s="43" t="n">
        <v>1</v>
      </c>
      <c r="Q147" s="43" t="n">
        <v>1</v>
      </c>
      <c r="R147" s="43" t="n">
        <v>2.88</v>
      </c>
      <c r="S147" s="43" t="n">
        <v>2.88</v>
      </c>
      <c r="T147" s="43" t="n">
        <v>32</v>
      </c>
      <c r="U147" s="43" t="n">
        <v>32</v>
      </c>
      <c r="V147" s="43" t="n">
        <v>170</v>
      </c>
      <c r="W147" s="43" t="n">
        <v>170</v>
      </c>
      <c r="X147" s="51">
        <f>IFERROR(U147/W147,"")</f>
        <v/>
      </c>
      <c r="Y147" s="53" t="n">
        <v>1.5</v>
      </c>
      <c r="Z147" s="53" t="n">
        <v>1.5</v>
      </c>
      <c r="AA147" s="51">
        <f>IFERROR(IF(L147="từng phát",J147*N147,J147*P147/(P147/N147+R147)),"")</f>
        <v/>
      </c>
      <c r="AB147" s="51">
        <f>IFERROR(IF(M147="từng phát",K147*O147,K147*Q147/(Q147/O147+S147)),"")</f>
        <v/>
      </c>
      <c r="AC147" s="51">
        <f>IFERROR(AB147*VLOOKUP(E147,'Hệ số'!$A$2:$D$8,2,0)*IF((I147-0)&gt;=2,1.2,IF((I147-0)=1,1,IF((I147-0)=0,0.85,IF((I147-0)=-1,0.5,IF((I147-0)=-2,0.25,0.1))))),"")</f>
        <v/>
      </c>
      <c r="AD147" s="51">
        <f>IFERROR(AB147*VLOOKUP(E147,'Hệ số'!$A$2:$D$8,2,0)*IF((I147-1)&gt;=2,1.2,IF((I147-1)=1,1,IF((I147-1)=0,0.85,IF((I147-1)=-1,0.5,IF((I147-1)=-2,0.25,0.1))))),"")</f>
        <v/>
      </c>
      <c r="AE147" s="51">
        <f>IFERROR(AB147*VLOOKUP(E147,'Hệ số'!$A$2:$D$8,2,0)*IF((I147-2)&gt;=2,1.2,IF((I147-2)=1,1,IF((I147-2)=0,0.85,IF((I147-2)=-1,0.5,IF((I147-2)=-2,0.25,0.1))))),"")</f>
        <v/>
      </c>
      <c r="AF147" s="51">
        <f>IFERROR(AB147*VLOOKUP(E147,'Hệ số'!$A$2:$D$8,2,0)*IF((I147-3)&gt;=2,1.2,IF((I147-3)=1,1,IF((I147-3)=0,0.85,IF((I147-3)=-1,0.5,IF((I147-3)=-2,0.25,0.1))))),"")</f>
        <v/>
      </c>
      <c r="AG147" s="51">
        <f>IFERROR(AB147*VLOOKUP(E147,'Hệ số'!$A$2:$D$8,2,0)*IF((I147-4)&gt;=2,1.2,IF((I147-4)=1,1,IF((I147-4)=0,0.85,IF((I147-4)=-1,0.5,IF((I147-4)=-2,0.25,0.1))))),"")</f>
        <v/>
      </c>
      <c r="AH147" s="51">
        <f>IFERROR(AB147*VLOOKUP(E147,'Hệ số'!$A$2:$D$8,2,0)*IF((I147-5)&gt;=2,1.2,IF((I147-5)=1,1,IF((I147-5)=0,0.85,IF((I147-5)=-1,0.5,IF((I147-5)=-2,0.25,0.1))))),"")</f>
        <v/>
      </c>
      <c r="AI147" s="51">
        <f>IFERROR(AB147*VLOOKUP(E147,'Hệ số'!$A$2:$D$8,3,0),"")</f>
        <v/>
      </c>
      <c r="AJ147" s="51">
        <f>IFERROR(AB147*VLOOKUP(E147,'Hệ số'!$A$2:$D$8,4,0)*IF((I147-2)&gt;=2,1.2,IF((I147-2)=1,1,IF((I147-2)=0,0.85,IF((I147-2)=-1,0.5,IF((I147-2)=-2,0.25,0.1))))),"")</f>
        <v/>
      </c>
      <c r="AK147" s="41" t="inlineStr">
        <is>
          <t>Phát đơn, sơ tốc cao; không bị APS chặn (đạn động năng); bị lệch theo tầm và khi xe đang chạy.</t>
        </is>
      </c>
      <c r="AL147" s="41" t="inlineStr">
        <is>
          <t>Tự đổi: đạn xuyên (Động năng) với xe giáp, đạn nổ mạnh (HE, xuyên 2, nổ lan 3 m) với xe nhẹ và công trình.</t>
        </is>
      </c>
      <c r="AM147" s="41" t="inlineStr">
        <is>
          <t>Rh-120 nạp tay: 6–8 phát/phút</t>
        </is>
      </c>
      <c r="AN147" s="41" t="inlineStr">
        <is>
          <t>Giữ.</t>
        </is>
      </c>
      <c r="AO147" s="41" t="n"/>
    </row>
    <row r="148" ht="32.25" customHeight="1" s="32">
      <c r="A148" s="39" t="inlineStr">
        <is>
          <t>turret_gun_120_long</t>
        </is>
      </c>
      <c r="B148" s="39" t="inlineStr">
        <is>
          <t>Rh-120 L/55 120 mm</t>
        </is>
      </c>
      <c r="C148" s="39" t="inlineStr">
        <is>
          <t>Pháo xe tăng / diệt tăng</t>
        </is>
      </c>
      <c r="D148" s="39" t="inlineStr">
        <is>
          <t>Pháo bắn tỉa</t>
        </is>
      </c>
      <c r="E148" s="39" t="inlineStr">
        <is>
          <t>Động năng</t>
        </is>
      </c>
      <c r="F148" s="39" t="inlineStr">
        <is>
          <t>DoubleDart</t>
        </is>
      </c>
      <c r="G148" s="42" t="n">
        <v>120</v>
      </c>
      <c r="H148" s="42" t="n">
        <v>4</v>
      </c>
      <c r="I148" s="42" t="n">
        <v>5</v>
      </c>
      <c r="J148" s="42" t="n">
        <v>240</v>
      </c>
      <c r="K148" s="42" t="n">
        <v>240</v>
      </c>
      <c r="L148" s="39" t="inlineStr">
        <is>
          <t>từng phát</t>
        </is>
      </c>
      <c r="M148" s="39" t="inlineStr">
        <is>
          <t>từng phát</t>
        </is>
      </c>
      <c r="N148" s="42" t="n">
        <v>0.256410256410256</v>
      </c>
      <c r="O148" s="42" t="n">
        <v>0.256410256410256</v>
      </c>
      <c r="P148" s="42" t="n">
        <v>1</v>
      </c>
      <c r="Q148" s="42" t="n">
        <v>1</v>
      </c>
      <c r="R148" s="42" t="n">
        <v>3.9</v>
      </c>
      <c r="S148" s="42" t="n">
        <v>3.9</v>
      </c>
      <c r="T148" s="42" t="n">
        <v>48</v>
      </c>
      <c r="U148" s="42" t="n">
        <v>48</v>
      </c>
      <c r="V148" s="42" t="n">
        <v>170</v>
      </c>
      <c r="W148" s="42" t="n">
        <v>170</v>
      </c>
      <c r="X148" s="50">
        <f>IFERROR(U148/W148,"")</f>
        <v/>
      </c>
      <c r="Y148" s="52" t="n">
        <v>1.5</v>
      </c>
      <c r="Z148" s="52" t="n">
        <v>1.5</v>
      </c>
      <c r="AA148" s="50">
        <f>IFERROR(IF(L148="từng phát",J148*N148,J148*P148/(P148/N148+R148)),"")</f>
        <v/>
      </c>
      <c r="AB148" s="50">
        <f>IFERROR(IF(M148="từng phát",K148*O148,K148*Q148/(Q148/O148+S148)),"")</f>
        <v/>
      </c>
      <c r="AC148" s="50">
        <f>IFERROR(AB148*VLOOKUP(E148,'Hệ số'!$A$2:$D$8,2,0)*IF((I148-0)&gt;=2,1.2,IF((I148-0)=1,1,IF((I148-0)=0,0.85,IF((I148-0)=-1,0.5,IF((I148-0)=-2,0.25,0.1))))),"")</f>
        <v/>
      </c>
      <c r="AD148" s="50">
        <f>IFERROR(AB148*VLOOKUP(E148,'Hệ số'!$A$2:$D$8,2,0)*IF((I148-1)&gt;=2,1.2,IF((I148-1)=1,1,IF((I148-1)=0,0.85,IF((I148-1)=-1,0.5,IF((I148-1)=-2,0.25,0.1))))),"")</f>
        <v/>
      </c>
      <c r="AE148" s="50">
        <f>IFERROR(AB148*VLOOKUP(E148,'Hệ số'!$A$2:$D$8,2,0)*IF((I148-2)&gt;=2,1.2,IF((I148-2)=1,1,IF((I148-2)=0,0.85,IF((I148-2)=-1,0.5,IF((I148-2)=-2,0.25,0.1))))),"")</f>
        <v/>
      </c>
      <c r="AF148" s="50">
        <f>IFERROR(AB148*VLOOKUP(E148,'Hệ số'!$A$2:$D$8,2,0)*IF((I148-3)&gt;=2,1.2,IF((I148-3)=1,1,IF((I148-3)=0,0.85,IF((I148-3)=-1,0.5,IF((I148-3)=-2,0.25,0.1))))),"")</f>
        <v/>
      </c>
      <c r="AG148" s="50">
        <f>IFERROR(AB148*VLOOKUP(E148,'Hệ số'!$A$2:$D$8,2,0)*IF((I148-4)&gt;=2,1.2,IF((I148-4)=1,1,IF((I148-4)=0,0.85,IF((I148-4)=-1,0.5,IF((I148-4)=-2,0.25,0.1))))),"")</f>
        <v/>
      </c>
      <c r="AH148" s="50">
        <f>IFERROR(AB148*VLOOKUP(E148,'Hệ số'!$A$2:$D$8,2,0)*IF((I148-5)&gt;=2,1.2,IF((I148-5)=1,1,IF((I148-5)=0,0.85,IF((I148-5)=-1,0.5,IF((I148-5)=-2,0.25,0.1))))),"")</f>
        <v/>
      </c>
      <c r="AI148" s="50">
        <f>IFERROR(AB148*VLOOKUP(E148,'Hệ số'!$A$2:$D$8,3,0),"")</f>
        <v/>
      </c>
      <c r="AJ148" s="50">
        <f>IFERROR(AB148*VLOOKUP(E148,'Hệ số'!$A$2:$D$8,4,0)*IF((I148-2)&gt;=2,1.2,IF((I148-2)=1,1,IF((I148-2)=0,0.85,IF((I148-2)=-1,0.5,IF((I148-2)=-2,0.25,0.1))))),"")</f>
        <v/>
      </c>
      <c r="AK148" s="39" t="inlineStr">
        <is>
          <t>Phát đơn, sơ tốc cao; không bị APS chặn (đạn động năng); bị lệch theo tầm và khi xe đang chạy.</t>
        </is>
      </c>
      <c r="AL148" s="39" t="inlineStr">
        <is>
          <t>Tự đổi: đạn xuyên (Động năng) với xe giáp, đạn nổ mạnh (HE, xuyên 2, nổ lan 3 m) với xe nhẹ và công trình.</t>
        </is>
      </c>
      <c r="AM148" s="39" t="inlineStr">
        <is>
          <t>Rh-120 L/55: 6–8 phát/phút, sơ tốc cao hơn</t>
        </is>
      </c>
      <c r="AN148" s="39" t="inlineStr">
        <is>
          <t>Nhánh bắn tỉa L/55 sơ tốc cao: xuyên hơn bản L/44 (ngoài thang 0–4 nghĩa là luôn ×1,2 với giáp ≤3), bù DPS thấp.</t>
        </is>
      </c>
      <c r="AO148" s="48" t="inlineStr">
        <is>
          <t>Trung</t>
        </is>
      </c>
    </row>
    <row r="149" ht="21.75" customHeight="1" s="32">
      <c r="A149" s="41" t="inlineStr">
        <is>
          <t>turret_rockets</t>
        </is>
      </c>
      <c r="B149" s="41" t="inlineStr">
        <is>
          <t>BM-21 Grad 122 mm</t>
        </is>
      </c>
      <c r="C149" s="41" t="inlineStr">
        <is>
          <t>Rốc-két</t>
        </is>
      </c>
      <c r="D149" s="41" t="inlineStr">
        <is>
          <t>Dàn rốc-két</t>
        </is>
      </c>
      <c r="E149" s="41" t="inlineStr">
        <is>
          <t>Nổ mạnh</t>
        </is>
      </c>
      <c r="F149" s="41" t="inlineStr">
        <is>
          <t>RocketSmall</t>
        </is>
      </c>
      <c r="G149" s="43" t="n">
        <v>122</v>
      </c>
      <c r="H149" s="43" t="n">
        <v>2</v>
      </c>
      <c r="I149" s="43" t="n">
        <v>2</v>
      </c>
      <c r="J149" s="43" t="n">
        <v>57</v>
      </c>
      <c r="K149" s="43" t="n">
        <v>66</v>
      </c>
      <c r="L149" s="41" t="inlineStr">
        <is>
          <t>loạt</t>
        </is>
      </c>
      <c r="M149" s="41" t="inlineStr">
        <is>
          <t>loạt</t>
        </is>
      </c>
      <c r="N149" s="43" t="n">
        <v>8.33</v>
      </c>
      <c r="O149" s="43" t="n">
        <v>8.33</v>
      </c>
      <c r="P149" s="43" t="n">
        <v>6</v>
      </c>
      <c r="Q149" s="43" t="n">
        <v>6</v>
      </c>
      <c r="R149" s="43" t="n">
        <v>3.35</v>
      </c>
      <c r="S149" s="43" t="n">
        <v>3.35</v>
      </c>
      <c r="T149" s="43" t="n">
        <v>55</v>
      </c>
      <c r="U149" s="43" t="n">
        <v>55</v>
      </c>
      <c r="V149" s="43" t="n">
        <v>24</v>
      </c>
      <c r="W149" s="43" t="n">
        <v>45</v>
      </c>
      <c r="X149" s="51">
        <f>IFERROR(U149/W149,"")</f>
        <v/>
      </c>
      <c r="Y149" s="53" t="n">
        <v>4.5</v>
      </c>
      <c r="Z149" s="53" t="n">
        <v>4.5</v>
      </c>
      <c r="AA149" s="51">
        <f>IFERROR(IF(L149="từng phát",J149*N149,J149*P149/(P149/N149+R149)),"")</f>
        <v/>
      </c>
      <c r="AB149" s="51">
        <f>IFERROR(IF(M149="từng phát",K149*O149,K149*Q149/(Q149/O149+S149)),"")</f>
        <v/>
      </c>
      <c r="AC149" s="51">
        <f>IFERROR(AB149*VLOOKUP(E149,'Hệ số'!$A$2:$D$8,2,0)*IF((I149-0)&gt;=2,1.2,IF((I149-0)=1,1,IF((I149-0)=0,0.85,IF((I149-0)=-1,0.5,IF((I149-0)=-2,0.25,0.1))))),"")</f>
        <v/>
      </c>
      <c r="AD149" s="51">
        <f>IFERROR(AB149*VLOOKUP(E149,'Hệ số'!$A$2:$D$8,2,0)*IF((I149-1)&gt;=2,1.2,IF((I149-1)=1,1,IF((I149-1)=0,0.85,IF((I149-1)=-1,0.5,IF((I149-1)=-2,0.25,0.1))))),"")</f>
        <v/>
      </c>
      <c r="AE149" s="51">
        <f>IFERROR(AB149*VLOOKUP(E149,'Hệ số'!$A$2:$D$8,2,0)*IF((I149-2)&gt;=2,1.2,IF((I149-2)=1,1,IF((I149-2)=0,0.85,IF((I149-2)=-1,0.5,IF((I149-2)=-2,0.25,0.1))))),"")</f>
        <v/>
      </c>
      <c r="AF149" s="51">
        <f>IFERROR(AB149*VLOOKUP(E149,'Hệ số'!$A$2:$D$8,2,0)*IF((I149-3)&gt;=2,1.2,IF((I149-3)=1,1,IF((I149-3)=0,0.85,IF((I149-3)=-1,0.5,IF((I149-3)=-2,0.25,0.1))))),"")</f>
        <v/>
      </c>
      <c r="AG149" s="51">
        <f>IFERROR(AB149*VLOOKUP(E149,'Hệ số'!$A$2:$D$8,2,0)*IF((I149-4)&gt;=2,1.2,IF((I149-4)=1,1,IF((I149-4)=0,0.85,IF((I149-4)=-1,0.5,IF((I149-4)=-2,0.25,0.1))))),"")</f>
        <v/>
      </c>
      <c r="AH149" s="51">
        <f>IFERROR(AB149*VLOOKUP(E149,'Hệ số'!$A$2:$D$8,2,0)*IF((I149-5)&gt;=2,1.2,IF((I149-5)=1,1,IF((I149-5)=0,0.85,IF((I149-5)=-1,0.5,IF((I149-5)=-2,0.25,0.1))))),"")</f>
        <v/>
      </c>
      <c r="AI149" s="51">
        <f>IFERROR(AB149*VLOOKUP(E149,'Hệ số'!$A$2:$D$8,3,0),"")</f>
        <v/>
      </c>
      <c r="AJ149" s="51">
        <f>IFERROR(AB149*VLOOKUP(E149,'Hệ số'!$A$2:$D$8,4,0)*IF((I149-2)&gt;=2,1.2,IF((I149-2)=1,1,IF((I149-2)=0,0.85,IF((I149-2)=-1,0.5,IF((I149-2)=-2,0.25,0.1))))),"")</f>
        <v/>
      </c>
      <c r="AK149" s="41" t="inlineStr">
        <is>
          <t>Bắn loạt phủ vùng, tản mát; C-RAM, Vòm Sắt và La-de PK bắn hạ được từng quả.</t>
        </is>
      </c>
      <c r="AL149" s="41" t="n"/>
      <c r="AM149" s="41" t="inlineStr">
        <is>
          <t>BM-21 Grad: 40 quả trong 20 s</t>
        </is>
      </c>
      <c r="AN149" s="41" t="inlineStr">
        <is>
          <t>Dàn rốc-két hơi dưới mục tiêu (87/40 → ~100/45). Tốc độ bay 24→45 m/s: Thống nhất Grad 45 m/s.</t>
        </is>
      </c>
      <c r="AO149" s="48" t="inlineStr">
        <is>
          <t>Trung</t>
        </is>
      </c>
    </row>
    <row r="150" ht="21.75" customHeight="1" s="32">
      <c r="A150" s="39" t="inlineStr">
        <is>
          <t>turret_rockets_cluster</t>
        </is>
      </c>
      <c r="B150" s="39" t="inlineStr">
        <is>
          <t>BM-21 Grad 122 mm</t>
        </is>
      </c>
      <c r="C150" s="39" t="inlineStr">
        <is>
          <t>Rốc-két</t>
        </is>
      </c>
      <c r="D150" s="39" t="inlineStr">
        <is>
          <t>Rốc-két chùm</t>
        </is>
      </c>
      <c r="E150" s="39" t="inlineStr">
        <is>
          <t>Nổ mạnh</t>
        </is>
      </c>
      <c r="F150" s="39" t="inlineStr">
        <is>
          <t>Cluster</t>
        </is>
      </c>
      <c r="G150" s="42" t="n">
        <v>122</v>
      </c>
      <c r="H150" s="42" t="n">
        <v>2</v>
      </c>
      <c r="I150" s="42" t="n">
        <v>2</v>
      </c>
      <c r="J150" s="42" t="n">
        <v>57</v>
      </c>
      <c r="K150" s="42" t="n">
        <v>57</v>
      </c>
      <c r="L150" s="39" t="inlineStr">
        <is>
          <t>loạt</t>
        </is>
      </c>
      <c r="M150" s="39" t="inlineStr">
        <is>
          <t>loạt</t>
        </is>
      </c>
      <c r="N150" s="42" t="n">
        <v>8.33</v>
      </c>
      <c r="O150" s="42" t="n">
        <v>8.33</v>
      </c>
      <c r="P150" s="42" t="n">
        <v>6</v>
      </c>
      <c r="Q150" s="42" t="n">
        <v>6</v>
      </c>
      <c r="R150" s="42" t="n">
        <v>3.2</v>
      </c>
      <c r="S150" s="42" t="n">
        <v>3.2</v>
      </c>
      <c r="T150" s="42" t="n">
        <v>55</v>
      </c>
      <c r="U150" s="42" t="n">
        <v>55</v>
      </c>
      <c r="V150" s="42" t="n">
        <v>24</v>
      </c>
      <c r="W150" s="42" t="n">
        <v>45</v>
      </c>
      <c r="X150" s="50">
        <f>IFERROR(U150/W150,"")</f>
        <v/>
      </c>
      <c r="Y150" s="52" t="n">
        <v>4.5</v>
      </c>
      <c r="Z150" s="52" t="n">
        <v>4</v>
      </c>
      <c r="AA150" s="50">
        <f>IFERROR(IF(L150="từng phát",J150*N150,J150*P150/(P150/N150+R150)),"")</f>
        <v/>
      </c>
      <c r="AB150" s="50">
        <f>IFERROR(IF(M150="từng phát",K150*O150,K150*Q150/(Q150/O150+S150)),"")</f>
        <v/>
      </c>
      <c r="AC150" s="50">
        <f>IFERROR(AB150*VLOOKUP(E150,'Hệ số'!$A$2:$D$8,2,0)*IF((I150-0)&gt;=2,1.2,IF((I150-0)=1,1,IF((I150-0)=0,0.85,IF((I150-0)=-1,0.5,IF((I150-0)=-2,0.25,0.1))))),"")</f>
        <v/>
      </c>
      <c r="AD150" s="50">
        <f>IFERROR(AB150*VLOOKUP(E150,'Hệ số'!$A$2:$D$8,2,0)*IF((I150-1)&gt;=2,1.2,IF((I150-1)=1,1,IF((I150-1)=0,0.85,IF((I150-1)=-1,0.5,IF((I150-1)=-2,0.25,0.1))))),"")</f>
        <v/>
      </c>
      <c r="AE150" s="50">
        <f>IFERROR(AB150*VLOOKUP(E150,'Hệ số'!$A$2:$D$8,2,0)*IF((I150-2)&gt;=2,1.2,IF((I150-2)=1,1,IF((I150-2)=0,0.85,IF((I150-2)=-1,0.5,IF((I150-2)=-2,0.25,0.1))))),"")</f>
        <v/>
      </c>
      <c r="AF150" s="50">
        <f>IFERROR(AB150*VLOOKUP(E150,'Hệ số'!$A$2:$D$8,2,0)*IF((I150-3)&gt;=2,1.2,IF((I150-3)=1,1,IF((I150-3)=0,0.85,IF((I150-3)=-1,0.5,IF((I150-3)=-2,0.25,0.1))))),"")</f>
        <v/>
      </c>
      <c r="AG150" s="50">
        <f>IFERROR(AB150*VLOOKUP(E150,'Hệ số'!$A$2:$D$8,2,0)*IF((I150-4)&gt;=2,1.2,IF((I150-4)=1,1,IF((I150-4)=0,0.85,IF((I150-4)=-1,0.5,IF((I150-4)=-2,0.25,0.1))))),"")</f>
        <v/>
      </c>
      <c r="AH150" s="50">
        <f>IFERROR(AB150*VLOOKUP(E150,'Hệ số'!$A$2:$D$8,2,0)*IF((I150-5)&gt;=2,1.2,IF((I150-5)=1,1,IF((I150-5)=0,0.85,IF((I150-5)=-1,0.5,IF((I150-5)=-2,0.25,0.1))))),"")</f>
        <v/>
      </c>
      <c r="AI150" s="50">
        <f>IFERROR(AB150*VLOOKUP(E150,'Hệ số'!$A$2:$D$8,3,0),"")</f>
        <v/>
      </c>
      <c r="AJ150" s="50">
        <f>IFERROR(AB150*VLOOKUP(E150,'Hệ số'!$A$2:$D$8,4,0)*IF((I150-2)&gt;=2,1.2,IF((I150-2)=1,1,IF((I150-2)=0,0.85,IF((I150-2)=-1,0.5,IF((I150-2)=-2,0.25,0.1))))),"")</f>
        <v/>
      </c>
      <c r="AK150" s="39" t="inlineStr">
        <is>
          <t>Bắn loạt phủ vùng, tản mát; C-RAM, Vòm Sắt và La-de PK bắn hạ được từng quả.</t>
        </is>
      </c>
      <c r="AL150" s="39" t="n"/>
      <c r="AM150" s="39" t="inlineStr">
        <is>
          <t>BM-21</t>
        </is>
      </c>
      <c r="AN150" s="39" t="inlineStr">
        <is>
          <t>Như trên. Tốc độ bay 24→45 m/s: Thống nhất tốc độ Grad ở mọi đơn vị (45 m/s).</t>
        </is>
      </c>
      <c r="AO150" s="48" t="inlineStr">
        <is>
          <t>Trung</t>
        </is>
      </c>
    </row>
    <row r="151" ht="32.25" customHeight="1" s="32">
      <c r="A151" s="41" t="inlineStr">
        <is>
          <t>twin_30_bmpt</t>
        </is>
      </c>
      <c r="B151" s="41" t="inlineStr">
        <is>
          <t>2A42 30 mm (twin)</t>
        </is>
      </c>
      <c r="C151" s="41" t="inlineStr">
        <is>
          <t>Pháo tự động / cao xạ 20–40 mm</t>
        </is>
      </c>
      <c r="D151" s="41" t="inlineStr">
        <is>
          <t>BMPT</t>
        </is>
      </c>
      <c r="E151" s="41" t="inlineStr">
        <is>
          <t>Động năng</t>
        </is>
      </c>
      <c r="F151" s="41" t="inlineStr">
        <is>
          <t>BeltedAutocannon</t>
        </is>
      </c>
      <c r="G151" s="43" t="n">
        <v>30</v>
      </c>
      <c r="H151" s="43" t="n">
        <v>2</v>
      </c>
      <c r="I151" s="43" t="n">
        <v>2</v>
      </c>
      <c r="J151" s="43" t="n">
        <v>22</v>
      </c>
      <c r="K151" s="43" t="n">
        <v>22</v>
      </c>
      <c r="L151" s="41" t="inlineStr">
        <is>
          <t>băng</t>
        </is>
      </c>
      <c r="M151" s="41" t="inlineStr">
        <is>
          <t>loạt</t>
        </is>
      </c>
      <c r="N151" s="43" t="n">
        <v>5</v>
      </c>
      <c r="O151" s="43" t="n">
        <v>12</v>
      </c>
      <c r="P151" s="43" t="n">
        <v>26</v>
      </c>
      <c r="Q151" s="43" t="n">
        <v>12</v>
      </c>
      <c r="R151" s="43" t="n">
        <v>1</v>
      </c>
      <c r="S151" s="43" t="n">
        <v>1.5</v>
      </c>
      <c r="T151" s="43" t="n">
        <v>30</v>
      </c>
      <c r="U151" s="43" t="n">
        <v>30</v>
      </c>
      <c r="V151" s="43" t="n">
        <v>210</v>
      </c>
      <c r="W151" s="43" t="n">
        <v>210</v>
      </c>
      <c r="X151" s="51">
        <f>IFERROR(U151/W151,"")</f>
        <v/>
      </c>
      <c r="Y151" s="51" t="n"/>
      <c r="Z151" s="51" t="n"/>
      <c r="AA151" s="51">
        <f>IFERROR(IF(L151="từng phát",J151*N151,J151*P151/(P151/N151+R151)),"")</f>
        <v/>
      </c>
      <c r="AB151" s="51">
        <f>IFERROR(IF(M151="từng phát",K151*O151,K151*Q151/(Q151/O151+S151)),"")</f>
        <v/>
      </c>
      <c r="AC151" s="51">
        <f>IFERROR(AB151*VLOOKUP(E151,'Hệ số'!$A$2:$D$8,2,0)*IF((I151-0)&gt;=2,1.2,IF((I151-0)=1,1,IF((I151-0)=0,0.85,IF((I151-0)=-1,0.5,IF((I151-0)=-2,0.25,0.1))))),"")</f>
        <v/>
      </c>
      <c r="AD151" s="51">
        <f>IFERROR(AB151*VLOOKUP(E151,'Hệ số'!$A$2:$D$8,2,0)*IF((I151-1)&gt;=2,1.2,IF((I151-1)=1,1,IF((I151-1)=0,0.85,IF((I151-1)=-1,0.5,IF((I151-1)=-2,0.25,0.1))))),"")</f>
        <v/>
      </c>
      <c r="AE151" s="51">
        <f>IFERROR(AB151*VLOOKUP(E151,'Hệ số'!$A$2:$D$8,2,0)*IF((I151-2)&gt;=2,1.2,IF((I151-2)=1,1,IF((I151-2)=0,0.85,IF((I151-2)=-1,0.5,IF((I151-2)=-2,0.25,0.1))))),"")</f>
        <v/>
      </c>
      <c r="AF151" s="51">
        <f>IFERROR(AB151*VLOOKUP(E151,'Hệ số'!$A$2:$D$8,2,0)*IF((I151-3)&gt;=2,1.2,IF((I151-3)=1,1,IF((I151-3)=0,0.85,IF((I151-3)=-1,0.5,IF((I151-3)=-2,0.25,0.1))))),"")</f>
        <v/>
      </c>
      <c r="AG151" s="51">
        <f>IFERROR(AB151*VLOOKUP(E151,'Hệ số'!$A$2:$D$8,2,0)*IF((I151-4)&gt;=2,1.2,IF((I151-4)=1,1,IF((I151-4)=0,0.85,IF((I151-4)=-1,0.5,IF((I151-4)=-2,0.25,0.1))))),"")</f>
        <v/>
      </c>
      <c r="AH151" s="51">
        <f>IFERROR(AB151*VLOOKUP(E151,'Hệ số'!$A$2:$D$8,2,0)*IF((I151-5)&gt;=2,1.2,IF((I151-5)=1,1,IF((I151-5)=0,0.85,IF((I151-5)=-1,0.5,IF((I151-5)=-2,0.25,0.1))))),"")</f>
        <v/>
      </c>
      <c r="AI151" s="51">
        <f>IFERROR(AB151*VLOOKUP(E151,'Hệ số'!$A$2:$D$8,3,0),"")</f>
        <v/>
      </c>
      <c r="AJ151" s="51">
        <f>IFERROR(AB151*VLOOKUP(E151,'Hệ số'!$A$2:$D$8,4,0)*IF((I151-2)&gt;=2,1.2,IF((I151-2)=1,1,IF((I151-2)=0,0.85,IF((I151-2)=-1,0.5,IF((I151-2)=-2,0.25,0.1))))),"")</f>
        <v/>
      </c>
      <c r="AK151" s="41" t="inlineStr">
        <is>
          <t>Bắn loạt; đạn nổ trên không (Mảnh) mạnh với máy bay và drone, yếu với giáp; đạn xuyên (Động năng) mạnh với giáp 0–2.</t>
        </is>
      </c>
      <c r="AL151" s="41" t="inlineStr">
        <is>
          <t>Tự đổi: đạn xuyên (Động năng) với xe, đạn nổ trên không (Mảnh) với máy bay/drone.</t>
        </is>
      </c>
      <c r="AM151" s="41" t="inlineStr">
        <is>
          <t>2 × 2A42: tổng ~1.100–1.600 phát/phút</t>
        </is>
      </c>
      <c r="AN151" s="41" t="inlineStr">
        <is>
          <t>Hai pháo 2A42 của BMPT.</t>
        </is>
      </c>
      <c r="AO151" s="48" t="inlineStr">
        <is>
          <t>Trung</t>
        </is>
      </c>
    </row>
    <row r="152" ht="32.25" customHeight="1" s="32">
      <c r="A152" s="39" t="inlineStr">
        <is>
          <t>twin_30_flak</t>
        </is>
      </c>
      <c r="B152" s="39" t="inlineStr">
        <is>
          <t>2A38 30 mm (twin)</t>
        </is>
      </c>
      <c r="C152" s="39" t="inlineStr">
        <is>
          <t>Pháo tự động / cao xạ 20–40 mm</t>
        </is>
      </c>
      <c r="D152" s="39" t="inlineStr">
        <is>
          <t>PK hỗn hợp</t>
        </is>
      </c>
      <c r="E152" s="39" t="inlineStr">
        <is>
          <t>Mảnh</t>
        </is>
      </c>
      <c r="F152" s="39" t="inlineStr">
        <is>
          <t>Airburst</t>
        </is>
      </c>
      <c r="G152" s="42" t="n">
        <v>30</v>
      </c>
      <c r="H152" s="42" t="n">
        <v>2</v>
      </c>
      <c r="I152" s="42" t="n">
        <v>2</v>
      </c>
      <c r="J152" s="42" t="n">
        <v>22</v>
      </c>
      <c r="K152" s="42" t="n">
        <v>7.5</v>
      </c>
      <c r="L152" s="39" t="inlineStr">
        <is>
          <t>băng</t>
        </is>
      </c>
      <c r="M152" s="39" t="inlineStr">
        <is>
          <t>băng</t>
        </is>
      </c>
      <c r="N152" s="42" t="n">
        <v>14</v>
      </c>
      <c r="O152" s="42" t="n">
        <v>40</v>
      </c>
      <c r="P152" s="42" t="n">
        <v>69</v>
      </c>
      <c r="Q152" s="42" t="n">
        <v>160</v>
      </c>
      <c r="R152" s="42" t="n">
        <v>1</v>
      </c>
      <c r="S152" s="42" t="n">
        <v>3</v>
      </c>
      <c r="T152" s="42" t="n">
        <v>42</v>
      </c>
      <c r="U152" s="42" t="n">
        <v>42</v>
      </c>
      <c r="V152" s="42" t="n">
        <v>280</v>
      </c>
      <c r="W152" s="42" t="n">
        <v>280</v>
      </c>
      <c r="X152" s="50">
        <f>IFERROR(U152/W152,"")</f>
        <v/>
      </c>
      <c r="Y152" s="52" t="n">
        <v>2.5</v>
      </c>
      <c r="Z152" s="52" t="n">
        <v>2.5</v>
      </c>
      <c r="AA152" s="50">
        <f>IFERROR(IF(L152="từng phát",J152*N152,J152*P152/(P152/N152+R152)),"")</f>
        <v/>
      </c>
      <c r="AB152" s="50">
        <f>IFERROR(IF(M152="từng phát",K152*O152,K152*Q152/(Q152/O152+S152)),"")</f>
        <v/>
      </c>
      <c r="AC152" s="50">
        <f>IFERROR(AB152*VLOOKUP(E152,'Hệ số'!$A$2:$D$8,2,0)*IF((I152-0)&gt;=2,1.2,IF((I152-0)=1,1,IF((I152-0)=0,0.85,IF((I152-0)=-1,0.5,IF((I152-0)=-2,0.25,0.1))))),"")</f>
        <v/>
      </c>
      <c r="AD152" s="50">
        <f>IFERROR(AB152*VLOOKUP(E152,'Hệ số'!$A$2:$D$8,2,0)*IF((I152-1)&gt;=2,1.2,IF((I152-1)=1,1,IF((I152-1)=0,0.85,IF((I152-1)=-1,0.5,IF((I152-1)=-2,0.25,0.1))))),"")</f>
        <v/>
      </c>
      <c r="AE152" s="50">
        <f>IFERROR(AB152*VLOOKUP(E152,'Hệ số'!$A$2:$D$8,2,0)*IF((I152-2)&gt;=2,1.2,IF((I152-2)=1,1,IF((I152-2)=0,0.85,IF((I152-2)=-1,0.5,IF((I152-2)=-2,0.25,0.1))))),"")</f>
        <v/>
      </c>
      <c r="AF152" s="50">
        <f>IFERROR(AB152*VLOOKUP(E152,'Hệ số'!$A$2:$D$8,2,0)*IF((I152-3)&gt;=2,1.2,IF((I152-3)=1,1,IF((I152-3)=0,0.85,IF((I152-3)=-1,0.5,IF((I152-3)=-2,0.25,0.1))))),"")</f>
        <v/>
      </c>
      <c r="AG152" s="50">
        <f>IFERROR(AB152*VLOOKUP(E152,'Hệ số'!$A$2:$D$8,2,0)*IF((I152-4)&gt;=2,1.2,IF((I152-4)=1,1,IF((I152-4)=0,0.85,IF((I152-4)=-1,0.5,IF((I152-4)=-2,0.25,0.1))))),"")</f>
        <v/>
      </c>
      <c r="AH152" s="50">
        <f>IFERROR(AB152*VLOOKUP(E152,'Hệ số'!$A$2:$D$8,2,0)*IF((I152-5)&gt;=2,1.2,IF((I152-5)=1,1,IF((I152-5)=0,0.85,IF((I152-5)=-1,0.5,IF((I152-5)=-2,0.25,0.1))))),"")</f>
        <v/>
      </c>
      <c r="AI152" s="50">
        <f>IFERROR(AB152*VLOOKUP(E152,'Hệ số'!$A$2:$D$8,3,0),"")</f>
        <v/>
      </c>
      <c r="AJ152" s="50">
        <f>IFERROR(AB152*VLOOKUP(E152,'Hệ số'!$A$2:$D$8,4,0)*IF((I152-2)&gt;=2,1.2,IF((I152-2)=1,1,IF((I152-2)=0,0.85,IF((I152-2)=-1,0.5,IF((I152-2)=-2,0.25,0.1))))),"")</f>
        <v/>
      </c>
      <c r="AK152" s="39" t="inlineStr">
        <is>
          <t>Bắn loạt; đạn nổ trên không (Mảnh) mạnh với máy bay và drone, yếu với giáp; đạn xuyên (Động năng) mạnh với giáp 0–2.</t>
        </is>
      </c>
      <c r="AL152" s="39" t="inlineStr">
        <is>
          <t>Tự đổi: đạn xuyên (Động năng) với xe, đạn nổ trên không (Mảnh) với máy bay/drone.</t>
        </is>
      </c>
      <c r="AM152" s="39" t="inlineStr">
        <is>
          <t>2A38M (Pantsir/Tunguska): ~5.000 phát/phút cả cặp; tầm ~4 km</t>
        </is>
      </c>
      <c r="AN152" s="39" t="inlineStr">
        <is>
          <t>2A38 thật ~5.000 phát/phút cả cặp; giữ DPS, thành luồng đạn.</t>
        </is>
      </c>
      <c r="AO152" s="48" t="inlineStr">
        <is>
          <t>Trung</t>
        </is>
      </c>
    </row>
    <row r="153" ht="32.25" customHeight="1" s="32">
      <c r="A153" s="41" t="inlineStr">
        <is>
          <t>twin_35_ahead</t>
        </is>
      </c>
      <c r="B153" s="41" t="inlineStr">
        <is>
          <t>Skyranger 35 mm</t>
        </is>
      </c>
      <c r="C153" s="41" t="inlineStr">
        <is>
          <t>Pháo tự động / cao xạ 20–40 mm</t>
        </is>
      </c>
      <c r="D153" s="41" t="inlineStr">
        <is>
          <t>Phòng không TN</t>
        </is>
      </c>
      <c r="E153" s="41" t="inlineStr">
        <is>
          <t>Mảnh</t>
        </is>
      </c>
      <c r="F153" s="41" t="inlineStr">
        <is>
          <t>Airburst</t>
        </is>
      </c>
      <c r="G153" s="43" t="n">
        <v>35</v>
      </c>
      <c r="H153" s="43" t="n">
        <v>2</v>
      </c>
      <c r="I153" s="43" t="n">
        <v>2</v>
      </c>
      <c r="J153" s="43" t="n">
        <v>26</v>
      </c>
      <c r="K153" s="43" t="n">
        <v>26</v>
      </c>
      <c r="L153" s="41" t="inlineStr">
        <is>
          <t>băng</t>
        </is>
      </c>
      <c r="M153" s="41" t="inlineStr">
        <is>
          <t>băng</t>
        </is>
      </c>
      <c r="N153" s="43" t="n">
        <v>4.68</v>
      </c>
      <c r="O153" s="43" t="n">
        <v>4.68</v>
      </c>
      <c r="P153" s="41" t="n"/>
      <c r="Q153" s="41" t="n"/>
      <c r="R153" s="43" t="n">
        <v>1</v>
      </c>
      <c r="S153" s="43" t="n">
        <v>1</v>
      </c>
      <c r="T153" s="43" t="n">
        <v>46</v>
      </c>
      <c r="U153" s="43" t="n">
        <v>46</v>
      </c>
      <c r="V153" s="43" t="n">
        <v>300</v>
      </c>
      <c r="W153" s="43" t="n">
        <v>300</v>
      </c>
      <c r="X153" s="51">
        <f>IFERROR(U153/W153,"")</f>
        <v/>
      </c>
      <c r="Y153" s="53" t="n">
        <v>4</v>
      </c>
      <c r="Z153" s="53" t="n">
        <v>4</v>
      </c>
      <c r="AA153" s="51">
        <f>IFERROR(IF(L153="từng phát",J153*N153,J153*P153/(P153/N153+R153)),"")</f>
        <v/>
      </c>
      <c r="AB153" s="51">
        <f>IFERROR(IF(M153="từng phát",K153*O153,K153*Q153/(Q153/O153+S153)),"")</f>
        <v/>
      </c>
      <c r="AC153" s="51">
        <f>IFERROR(AB153*VLOOKUP(E153,'Hệ số'!$A$2:$D$8,2,0)*IF((I153-0)&gt;=2,1.2,IF((I153-0)=1,1,IF((I153-0)=0,0.85,IF((I153-0)=-1,0.5,IF((I153-0)=-2,0.25,0.1))))),"")</f>
        <v/>
      </c>
      <c r="AD153" s="51">
        <f>IFERROR(AB153*VLOOKUP(E153,'Hệ số'!$A$2:$D$8,2,0)*IF((I153-1)&gt;=2,1.2,IF((I153-1)=1,1,IF((I153-1)=0,0.85,IF((I153-1)=-1,0.5,IF((I153-1)=-2,0.25,0.1))))),"")</f>
        <v/>
      </c>
      <c r="AE153" s="51">
        <f>IFERROR(AB153*VLOOKUP(E153,'Hệ số'!$A$2:$D$8,2,0)*IF((I153-2)&gt;=2,1.2,IF((I153-2)=1,1,IF((I153-2)=0,0.85,IF((I153-2)=-1,0.5,IF((I153-2)=-2,0.25,0.1))))),"")</f>
        <v/>
      </c>
      <c r="AF153" s="51">
        <f>IFERROR(AB153*VLOOKUP(E153,'Hệ số'!$A$2:$D$8,2,0)*IF((I153-3)&gt;=2,1.2,IF((I153-3)=1,1,IF((I153-3)=0,0.85,IF((I153-3)=-1,0.5,IF((I153-3)=-2,0.25,0.1))))),"")</f>
        <v/>
      </c>
      <c r="AG153" s="51">
        <f>IFERROR(AB153*VLOOKUP(E153,'Hệ số'!$A$2:$D$8,2,0)*IF((I153-4)&gt;=2,1.2,IF((I153-4)=1,1,IF((I153-4)=0,0.85,IF((I153-4)=-1,0.5,IF((I153-4)=-2,0.25,0.1))))),"")</f>
        <v/>
      </c>
      <c r="AH153" s="51">
        <f>IFERROR(AB153*VLOOKUP(E153,'Hệ số'!$A$2:$D$8,2,0)*IF((I153-5)&gt;=2,1.2,IF((I153-5)=1,1,IF((I153-5)=0,0.85,IF((I153-5)=-1,0.5,IF((I153-5)=-2,0.25,0.1))))),"")</f>
        <v/>
      </c>
      <c r="AI153" s="51">
        <f>IFERROR(AB153*VLOOKUP(E153,'Hệ số'!$A$2:$D$8,3,0),"")</f>
        <v/>
      </c>
      <c r="AJ153" s="51">
        <f>IFERROR(AB153*VLOOKUP(E153,'Hệ số'!$A$2:$D$8,4,0)*IF((I153-2)&gt;=2,1.2,IF((I153-2)=1,1,IF((I153-2)=0,0.85,IF((I153-2)=-1,0.5,IF((I153-2)=-2,0.25,0.1))))),"")</f>
        <v/>
      </c>
      <c r="AK153" s="41" t="inlineStr">
        <is>
          <t>Bắn loạt; đạn nổ trên không (Mảnh) mạnh với máy bay và drone, yếu với giáp; đạn xuyên (Động năng) mạnh với giáp 0–2.</t>
        </is>
      </c>
      <c r="AL153" s="41" t="inlineStr">
        <is>
          <t>Tự đổi: đạn xuyên (Động năng) với xe, đạn nổ trên không (Mảnh) với máy bay/drone.</t>
        </is>
      </c>
      <c r="AM153" s="41" t="inlineStr">
        <is>
          <t>Skyranger 35: 1.000 phát/phút, đạn AHEAD</t>
        </is>
      </c>
      <c r="AN153" s="41" t="inlineStr">
        <is>
          <t>Giữ.</t>
        </is>
      </c>
      <c r="AO153" s="41" t="n"/>
    </row>
    <row r="154" ht="21.75" customHeight="1" s="32">
      <c r="A154" s="39" t="inlineStr">
        <is>
          <t>wvr_aam</t>
        </is>
      </c>
      <c r="B154" s="39" t="inlineStr">
        <is>
          <t>AIM-9X Sidewinder</t>
        </is>
      </c>
      <c r="C154" s="39" t="inlineStr">
        <is>
          <t>Tên lửa phòng không / không đối không</t>
        </is>
      </c>
      <c r="D154" s="39" t="inlineStr">
        <is>
          <t>Tiêm kích</t>
        </is>
      </c>
      <c r="E154" s="39" t="inlineStr">
        <is>
          <t>Mảnh</t>
        </is>
      </c>
      <c r="F154" s="39" t="inlineStr">
        <is>
          <t>Sam</t>
        </is>
      </c>
      <c r="G154" s="42" t="n">
        <v>9.4</v>
      </c>
      <c r="H154" s="42" t="n">
        <v>2</v>
      </c>
      <c r="I154" s="42" t="n">
        <v>2</v>
      </c>
      <c r="J154" s="42" t="n">
        <v>231</v>
      </c>
      <c r="K154" s="42" t="n">
        <v>231</v>
      </c>
      <c r="L154" s="39" t="inlineStr">
        <is>
          <t>từng phát</t>
        </is>
      </c>
      <c r="M154" s="39" t="inlineStr">
        <is>
          <t>từng phát</t>
        </is>
      </c>
      <c r="N154" s="42" t="n">
        <v>0.47</v>
      </c>
      <c r="O154" s="42" t="n">
        <v>0.47</v>
      </c>
      <c r="P154" s="42" t="n">
        <v>1</v>
      </c>
      <c r="Q154" s="42" t="n">
        <v>1</v>
      </c>
      <c r="R154" s="42" t="n">
        <v>2.12765957446809</v>
      </c>
      <c r="S154" s="42" t="n">
        <v>2.12765957446809</v>
      </c>
      <c r="T154" s="42" t="n">
        <v>30</v>
      </c>
      <c r="U154" s="42" t="n">
        <v>30</v>
      </c>
      <c r="V154" s="42" t="n">
        <v>24</v>
      </c>
      <c r="W154" s="42" t="n">
        <v>55</v>
      </c>
      <c r="X154" s="50">
        <f>IFERROR(U154/W154,"")</f>
        <v/>
      </c>
      <c r="Y154" s="52" t="n">
        <v>1.5</v>
      </c>
      <c r="Z154" s="52" t="n">
        <v>1.5</v>
      </c>
      <c r="AA154" s="50">
        <f>IFERROR(IF(L154="từng phát",J154*N154,J154*P154/(P154/N154+R154)),"")</f>
        <v/>
      </c>
      <c r="AB154" s="50">
        <f>IFERROR(IF(M154="từng phát",K154*O154,K154*Q154/(Q154/O154+S154)),"")</f>
        <v/>
      </c>
      <c r="AC154" s="50">
        <f>IFERROR(AB154*VLOOKUP(E154,'Hệ số'!$A$2:$D$8,2,0)*IF((I154-0)&gt;=2,1.2,IF((I154-0)=1,1,IF((I154-0)=0,0.85,IF((I154-0)=-1,0.5,IF((I154-0)=-2,0.25,0.1))))),"")</f>
        <v/>
      </c>
      <c r="AD154" s="50">
        <f>IFERROR(AB154*VLOOKUP(E154,'Hệ số'!$A$2:$D$8,2,0)*IF((I154-1)&gt;=2,1.2,IF((I154-1)=1,1,IF((I154-1)=0,0.85,IF((I154-1)=-1,0.5,IF((I154-1)=-2,0.25,0.1))))),"")</f>
        <v/>
      </c>
      <c r="AE154" s="50">
        <f>IFERROR(AB154*VLOOKUP(E154,'Hệ số'!$A$2:$D$8,2,0)*IF((I154-2)&gt;=2,1.2,IF((I154-2)=1,1,IF((I154-2)=0,0.85,IF((I154-2)=-1,0.5,IF((I154-2)=-2,0.25,0.1))))),"")</f>
        <v/>
      </c>
      <c r="AF154" s="50">
        <f>IFERROR(AB154*VLOOKUP(E154,'Hệ số'!$A$2:$D$8,2,0)*IF((I154-3)&gt;=2,1.2,IF((I154-3)=1,1,IF((I154-3)=0,0.85,IF((I154-3)=-1,0.5,IF((I154-3)=-2,0.25,0.1))))),"")</f>
        <v/>
      </c>
      <c r="AG154" s="50">
        <f>IFERROR(AB154*VLOOKUP(E154,'Hệ số'!$A$2:$D$8,2,0)*IF((I154-4)&gt;=2,1.2,IF((I154-4)=1,1,IF((I154-4)=0,0.85,IF((I154-4)=-1,0.5,IF((I154-4)=-2,0.25,0.1))))),"")</f>
        <v/>
      </c>
      <c r="AH154" s="50">
        <f>IFERROR(AB154*VLOOKUP(E154,'Hệ số'!$A$2:$D$8,2,0)*IF((I154-5)&gt;=2,1.2,IF((I154-5)=1,1,IF((I154-5)=0,0.85,IF((I154-5)=-1,0.5,IF((I154-5)=-2,0.25,0.1))))),"")</f>
        <v/>
      </c>
      <c r="AI154" s="50">
        <f>IFERROR(AB154*VLOOKUP(E154,'Hệ số'!$A$2:$D$8,3,0),"")</f>
        <v/>
      </c>
      <c r="AJ154" s="50">
        <f>IFERROR(AB154*VLOOKUP(E154,'Hệ số'!$A$2:$D$8,4,0)*IF((I154-2)&gt;=2,1.2,IF((I154-2)=1,1,IF((I154-2)=0,0.85,IF((I154-2)=-1,0.5,IF((I154-2)=-2,0.25,0.1))))),"")</f>
        <v/>
      </c>
      <c r="AK154" s="39" t="inlineStr">
        <is>
          <t>Dẫn đường; bị pháo sáng đánh lừa theo độ kháng; phải nhanh hơn mục tiêu.</t>
        </is>
      </c>
      <c r="AL154" s="39" t="n"/>
      <c r="AM154" s="39" t="inlineStr">
        <is>
          <t>AIM-9X: 35 km, Mach 2,5+</t>
        </is>
      </c>
      <c r="AN154" s="39" t="inlineStr">
        <is>
          <t>Tốc độ bay 24→55 m/s: Thống nhất tốc độ AIM-9 ở mọi đơn vị (55 m/s).</t>
        </is>
      </c>
      <c r="AO154" s="48" t="inlineStr">
        <is>
          <t>Trung</t>
        </is>
      </c>
    </row>
    <row r="155" ht="32.25" customHeight="1" s="32">
      <c r="A155" s="41" t="inlineStr">
        <is>
          <t>zu23</t>
        </is>
      </c>
      <c r="B155" s="41" t="inlineStr">
        <is>
          <t>ZU-23-2 23 mm</t>
        </is>
      </c>
      <c r="C155" s="41" t="inlineStr">
        <is>
          <t>Pháo tự động / cao xạ 20–40 mm</t>
        </is>
      </c>
      <c r="D155" s="41" t="inlineStr">
        <is>
          <t>Bastion, ZU-23</t>
        </is>
      </c>
      <c r="E155" s="41" t="inlineStr">
        <is>
          <t>Mảnh</t>
        </is>
      </c>
      <c r="F155" s="41" t="inlineStr">
        <is>
          <t>Airburst</t>
        </is>
      </c>
      <c r="G155" s="43" t="n">
        <v>23</v>
      </c>
      <c r="H155" s="43" t="n">
        <v>1</v>
      </c>
      <c r="I155" s="43" t="n">
        <v>1</v>
      </c>
      <c r="J155" s="43" t="n">
        <v>15</v>
      </c>
      <c r="K155" s="43" t="n">
        <v>7</v>
      </c>
      <c r="L155" s="41" t="inlineStr">
        <is>
          <t>băng</t>
        </is>
      </c>
      <c r="M155" s="41" t="inlineStr">
        <is>
          <t>băng</t>
        </is>
      </c>
      <c r="N155" s="43" t="n">
        <v>11</v>
      </c>
      <c r="O155" s="43" t="n">
        <v>25</v>
      </c>
      <c r="P155" s="43" t="n">
        <v>57</v>
      </c>
      <c r="Q155" s="43" t="n">
        <v>50</v>
      </c>
      <c r="R155" s="43" t="n">
        <v>1</v>
      </c>
      <c r="S155" s="43" t="n">
        <v>3</v>
      </c>
      <c r="T155" s="43" t="n">
        <v>32</v>
      </c>
      <c r="U155" s="43" t="n">
        <v>38</v>
      </c>
      <c r="V155" s="43" t="n">
        <v>240</v>
      </c>
      <c r="W155" s="43" t="n">
        <v>240</v>
      </c>
      <c r="X155" s="51">
        <f>IFERROR(U155/W155,"")</f>
        <v/>
      </c>
      <c r="Y155" s="51" t="n"/>
      <c r="Z155" s="51" t="n"/>
      <c r="AA155" s="51">
        <f>IFERROR(IF(L155="từng phát",J155*N155,J155*P155/(P155/N155+R155)),"")</f>
        <v/>
      </c>
      <c r="AB155" s="51">
        <f>IFERROR(IF(M155="từng phát",K155*O155,K155*Q155/(Q155/O155+S155)),"")</f>
        <v/>
      </c>
      <c r="AC155" s="51">
        <f>IFERROR(AB155*VLOOKUP(E155,'Hệ số'!$A$2:$D$8,2,0)*IF((I155-0)&gt;=2,1.2,IF((I155-0)=1,1,IF((I155-0)=0,0.85,IF((I155-0)=-1,0.5,IF((I155-0)=-2,0.25,0.1))))),"")</f>
        <v/>
      </c>
      <c r="AD155" s="51">
        <f>IFERROR(AB155*VLOOKUP(E155,'Hệ số'!$A$2:$D$8,2,0)*IF((I155-1)&gt;=2,1.2,IF((I155-1)=1,1,IF((I155-1)=0,0.85,IF((I155-1)=-1,0.5,IF((I155-1)=-2,0.25,0.1))))),"")</f>
        <v/>
      </c>
      <c r="AE155" s="51">
        <f>IFERROR(AB155*VLOOKUP(E155,'Hệ số'!$A$2:$D$8,2,0)*IF((I155-2)&gt;=2,1.2,IF((I155-2)=1,1,IF((I155-2)=0,0.85,IF((I155-2)=-1,0.5,IF((I155-2)=-2,0.25,0.1))))),"")</f>
        <v/>
      </c>
      <c r="AF155" s="51">
        <f>IFERROR(AB155*VLOOKUP(E155,'Hệ số'!$A$2:$D$8,2,0)*IF((I155-3)&gt;=2,1.2,IF((I155-3)=1,1,IF((I155-3)=0,0.85,IF((I155-3)=-1,0.5,IF((I155-3)=-2,0.25,0.1))))),"")</f>
        <v/>
      </c>
      <c r="AG155" s="51">
        <f>IFERROR(AB155*VLOOKUP(E155,'Hệ số'!$A$2:$D$8,2,0)*IF((I155-4)&gt;=2,1.2,IF((I155-4)=1,1,IF((I155-4)=0,0.85,IF((I155-4)=-1,0.5,IF((I155-4)=-2,0.25,0.1))))),"")</f>
        <v/>
      </c>
      <c r="AH155" s="51">
        <f>IFERROR(AB155*VLOOKUP(E155,'Hệ số'!$A$2:$D$8,2,0)*IF((I155-5)&gt;=2,1.2,IF((I155-5)=1,1,IF((I155-5)=0,0.85,IF((I155-5)=-1,0.5,IF((I155-5)=-2,0.25,0.1))))),"")</f>
        <v/>
      </c>
      <c r="AI155" s="51">
        <f>IFERROR(AB155*VLOOKUP(E155,'Hệ số'!$A$2:$D$8,3,0),"")</f>
        <v/>
      </c>
      <c r="AJ155" s="51">
        <f>IFERROR(AB155*VLOOKUP(E155,'Hệ số'!$A$2:$D$8,4,0)*IF((I155-2)&gt;=2,1.2,IF((I155-2)=1,1,IF((I155-2)=0,0.85,IF((I155-2)=-1,0.5,IF((I155-2)=-2,0.25,0.1))))),"")</f>
        <v/>
      </c>
      <c r="AK155" s="41" t="inlineStr">
        <is>
          <t>Bắn loạt; đạn nổ trên không (Mảnh) mạnh với máy bay và drone, yếu với giáp; đạn xuyên (Động năng) mạnh với giáp 0–2.</t>
        </is>
      </c>
      <c r="AL155" s="41" t="inlineStr">
        <is>
          <t>Tự đổi: đạn xuyên (Động năng) với xe, đạn nổ trên không (Mảnh) với máy bay/drone.</t>
        </is>
      </c>
      <c r="AM155" s="41" t="inlineStr">
        <is>
          <t>ZU-23-2: 2.000 phát/phút cả cặp; tầm 2,5 km</t>
        </is>
      </c>
      <c r="AN155" s="41" t="inlineStr">
        <is>
          <t>ZU-23-2 thật 2.000 phát/phút, hộp 50 viên, tầm 2,5 km; hiện tầm quá ngắn nên máy bay bắn trước.</t>
        </is>
      </c>
      <c r="AO155" s="47" t="inlineStr">
        <is>
          <t>Cao</t>
        </is>
      </c>
    </row>
  </sheetData>
  <autoFilter ref="A1:AO15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M31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0" customWidth="1" style="31" min="2" max="2"/>
    <col width="10" customWidth="1" style="31" min="3" max="3"/>
    <col width="20" customWidth="1" style="31" min="4" max="4"/>
    <col width="30" customWidth="1" style="31" min="5" max="5"/>
    <col width="9" customWidth="1" style="31" min="6" max="12"/>
    <col width="60" customWidth="1" style="31" min="13" max="13"/>
  </cols>
  <sheetData>
    <row r="1" ht="42" customHeight="1" s="32">
      <c r="A1" s="37" t="inlineStr">
        <is>
          <t>Đơn vị id</t>
        </is>
      </c>
      <c r="B1" s="37" t="inlineStr">
        <is>
          <t>Đơn vị</t>
        </is>
      </c>
      <c r="C1" s="37" t="inlineStr">
        <is>
          <t>Nhóm</t>
        </is>
      </c>
      <c r="D1" s="37" t="inlineStr">
        <is>
          <t>Vũ khí id</t>
        </is>
      </c>
      <c r="E1" s="37" t="inlineStr">
        <is>
          <t>Vũ khí</t>
        </is>
      </c>
      <c r="F1" s="45" t="inlineStr">
        <is>
          <t>Giữ trong đề xuất (1/0)</t>
        </is>
      </c>
      <c r="G1" s="44" t="inlineStr">
        <is>
          <t>DPS duy trì hiện</t>
        </is>
      </c>
      <c r="H1" s="45" t="inlineStr">
        <is>
          <t>DPS duy trì đề xuất</t>
        </is>
      </c>
      <c r="I1" s="37" t="inlineStr">
        <is>
          <t>vs giáp 1 (xe nhẹ)</t>
        </is>
      </c>
      <c r="J1" s="37" t="inlineStr">
        <is>
          <t>vs giáp 3 (xe tăng)</t>
        </is>
      </c>
      <c r="K1" s="37" t="inlineStr">
        <is>
          <t>trên không</t>
        </is>
      </c>
      <c r="L1" s="37" t="inlineStr">
        <is>
          <t>công trình</t>
        </is>
      </c>
      <c r="M1" s="37" t="inlineStr">
        <is>
          <t>Ghi chú thay đổi bộ vũ khí</t>
        </is>
      </c>
    </row>
    <row r="2" ht="15" customHeight="1" s="32">
      <c r="A2" s="39" t="inlineStr">
        <is>
          <t>hover_gunboat</t>
        </is>
      </c>
      <c r="B2" s="39" t="inlineStr">
        <is>
          <t>Xuồng cao tốc đệm khí</t>
        </is>
      </c>
      <c r="C2" s="39" t="inlineStr">
        <is>
          <t>Xe</t>
        </is>
      </c>
      <c r="D2" s="39" t="inlineStr">
        <is>
          <t>hover_ciws</t>
        </is>
      </c>
      <c r="E2" s="39" t="inlineStr">
        <is>
          <t>AK-630 30 mm</t>
        </is>
      </c>
      <c r="F2" s="42" t="n">
        <v>1</v>
      </c>
      <c r="G2" s="50">
        <f>IFERROR(VLOOKUP(D2,'Vũ khí đề xuất'!$A:$AO,27,0),"")</f>
        <v/>
      </c>
      <c r="H2" s="50">
        <f>IFERROR(VLOOKUP(D2,'Vũ khí đề xuất'!$A:$AO,28,0),"")</f>
        <v/>
      </c>
      <c r="I2" s="50">
        <f>IFERROR(VLOOKUP(D2,'Vũ khí đề xuất'!$A:$AO,30,0),"")</f>
        <v/>
      </c>
      <c r="J2" s="50">
        <f>IFERROR(VLOOKUP(D2,'Vũ khí đề xuất'!$A:$AO,32,0),"")</f>
        <v/>
      </c>
      <c r="K2" s="50">
        <f>IFERROR(VLOOKUP(D2,'Vũ khí đề xuất'!$A:$AO,35,0),"")</f>
        <v/>
      </c>
      <c r="L2" s="50">
        <f>IFERROR(VLOOKUP(D2,'Vũ khí đề xuất'!$A:$AO,36,0),"")</f>
        <v/>
      </c>
      <c r="M2" s="39" t="n"/>
    </row>
    <row r="3" ht="15" customHeight="1" s="32">
      <c r="A3" s="41" t="inlineStr">
        <is>
          <t>armored_car</t>
        </is>
      </c>
      <c r="B3" s="41" t="inlineStr">
        <is>
          <t>Xe bọc thép</t>
        </is>
      </c>
      <c r="C3" s="41" t="inlineStr">
        <is>
          <t>Xe</t>
        </is>
      </c>
      <c r="D3" s="41" t="inlineStr">
        <is>
          <t>autocannon_25</t>
        </is>
      </c>
      <c r="E3" s="41" t="inlineStr">
        <is>
          <t>M242 Bushmaster 25 mm</t>
        </is>
      </c>
      <c r="F3" s="43" t="n">
        <v>1</v>
      </c>
      <c r="G3" s="51">
        <f>IFERROR(VLOOKUP(D3,'Vũ khí đề xuất'!$A:$AO,27,0),"")</f>
        <v/>
      </c>
      <c r="H3" s="51">
        <f>IFERROR(VLOOKUP(D3,'Vũ khí đề xuất'!$A:$AO,28,0),"")</f>
        <v/>
      </c>
      <c r="I3" s="51">
        <f>IFERROR(VLOOKUP(D3,'Vũ khí đề xuất'!$A:$AO,30,0),"")</f>
        <v/>
      </c>
      <c r="J3" s="51">
        <f>IFERROR(VLOOKUP(D3,'Vũ khí đề xuất'!$A:$AO,32,0),"")</f>
        <v/>
      </c>
      <c r="K3" s="51">
        <f>IFERROR(VLOOKUP(D3,'Vũ khí đề xuất'!$A:$AO,35,0),"")</f>
        <v/>
      </c>
      <c r="L3" s="51">
        <f>IFERROR(VLOOKUP(D3,'Vũ khí đề xuất'!$A:$AO,36,0),"")</f>
        <v/>
      </c>
      <c r="M3" s="41" t="n"/>
    </row>
    <row r="4" ht="15" customHeight="1" s="32">
      <c r="A4" s="39" t="inlineStr">
        <is>
          <t>armored_car</t>
        </is>
      </c>
      <c r="B4" s="39" t="inlineStr">
        <is>
          <t>Xe bọc thép</t>
        </is>
      </c>
      <c r="C4" s="39" t="inlineStr">
        <is>
          <t>Xe</t>
        </is>
      </c>
      <c r="D4" s="39" t="inlineStr">
        <is>
          <t>mg_coax</t>
        </is>
      </c>
      <c r="E4" s="39" t="inlineStr">
        <is>
          <t>PKT / M240 7.62 mm</t>
        </is>
      </c>
      <c r="F4" s="42" t="n">
        <v>1</v>
      </c>
      <c r="G4" s="50">
        <f>IFERROR(VLOOKUP(D4,'Vũ khí đề xuất'!$A:$AO,27,0),"")</f>
        <v/>
      </c>
      <c r="H4" s="50">
        <f>IFERROR(VLOOKUP(D4,'Vũ khí đề xuất'!$A:$AO,28,0),"")</f>
        <v/>
      </c>
      <c r="I4" s="50">
        <f>IFERROR(VLOOKUP(D4,'Vũ khí đề xuất'!$A:$AO,30,0),"")</f>
        <v/>
      </c>
      <c r="J4" s="50">
        <f>IFERROR(VLOOKUP(D4,'Vũ khí đề xuất'!$A:$AO,32,0),"")</f>
        <v/>
      </c>
      <c r="K4" s="50">
        <f>IFERROR(VLOOKUP(D4,'Vũ khí đề xuất'!$A:$AO,35,0),"")</f>
        <v/>
      </c>
      <c r="L4" s="50">
        <f>IFERROR(VLOOKUP(D4,'Vũ khí đề xuất'!$A:$AO,36,0),"")</f>
        <v/>
      </c>
      <c r="M4" s="39" t="n"/>
    </row>
    <row r="5" ht="15" customHeight="1" s="32">
      <c r="A5" s="41" t="inlineStr">
        <is>
          <t>ifv</t>
        </is>
      </c>
      <c r="B5" s="41" t="inlineStr">
        <is>
          <t>Xe chiến đấu bộ binh</t>
        </is>
      </c>
      <c r="C5" s="41" t="inlineStr">
        <is>
          <t>Xe</t>
        </is>
      </c>
      <c r="D5" s="41" t="inlineStr">
        <is>
          <t>ifv_30</t>
        </is>
      </c>
      <c r="E5" s="41" t="inlineStr">
        <is>
          <t>2A42 30 mm</t>
        </is>
      </c>
      <c r="F5" s="43" t="n">
        <v>1</v>
      </c>
      <c r="G5" s="51">
        <f>IFERROR(VLOOKUP(D5,'Vũ khí đề xuất'!$A:$AO,27,0),"")</f>
        <v/>
      </c>
      <c r="H5" s="51">
        <f>IFERROR(VLOOKUP(D5,'Vũ khí đề xuất'!$A:$AO,28,0),"")</f>
        <v/>
      </c>
      <c r="I5" s="51">
        <f>IFERROR(VLOOKUP(D5,'Vũ khí đề xuất'!$A:$AO,30,0),"")</f>
        <v/>
      </c>
      <c r="J5" s="51">
        <f>IFERROR(VLOOKUP(D5,'Vũ khí đề xuất'!$A:$AO,32,0),"")</f>
        <v/>
      </c>
      <c r="K5" s="51">
        <f>IFERROR(VLOOKUP(D5,'Vũ khí đề xuất'!$A:$AO,35,0),"")</f>
        <v/>
      </c>
      <c r="L5" s="51">
        <f>IFERROR(VLOOKUP(D5,'Vũ khí đề xuất'!$A:$AO,36,0),"")</f>
        <v/>
      </c>
      <c r="M5" s="41" t="n"/>
    </row>
    <row r="6" ht="15" customHeight="1" s="32">
      <c r="A6" s="39" t="inlineStr">
        <is>
          <t>ifv</t>
        </is>
      </c>
      <c r="B6" s="39" t="inlineStr">
        <is>
          <t>Xe chiến đấu bộ binh</t>
        </is>
      </c>
      <c r="C6" s="39" t="inlineStr">
        <is>
          <t>Xe</t>
        </is>
      </c>
      <c r="D6" s="39" t="inlineStr">
        <is>
          <t>mg_coax</t>
        </is>
      </c>
      <c r="E6" s="39" t="inlineStr">
        <is>
          <t>PKT / M240 7.62 mm</t>
        </is>
      </c>
      <c r="F6" s="42" t="n">
        <v>1</v>
      </c>
      <c r="G6" s="50">
        <f>IFERROR(VLOOKUP(D6,'Vũ khí đề xuất'!$A:$AO,27,0),"")</f>
        <v/>
      </c>
      <c r="H6" s="50">
        <f>IFERROR(VLOOKUP(D6,'Vũ khí đề xuất'!$A:$AO,28,0),"")</f>
        <v/>
      </c>
      <c r="I6" s="50">
        <f>IFERROR(VLOOKUP(D6,'Vũ khí đề xuất'!$A:$AO,30,0),"")</f>
        <v/>
      </c>
      <c r="J6" s="50">
        <f>IFERROR(VLOOKUP(D6,'Vũ khí đề xuất'!$A:$AO,32,0),"")</f>
        <v/>
      </c>
      <c r="K6" s="50">
        <f>IFERROR(VLOOKUP(D6,'Vũ khí đề xuất'!$A:$AO,35,0),"")</f>
        <v/>
      </c>
      <c r="L6" s="50">
        <f>IFERROR(VLOOKUP(D6,'Vũ khí đề xuất'!$A:$AO,36,0),"")</f>
        <v/>
      </c>
      <c r="M6" s="39" t="n"/>
    </row>
    <row r="7" ht="15" customHeight="1" s="32">
      <c r="A7" s="41" t="inlineStr">
        <is>
          <t>ifv</t>
        </is>
      </c>
      <c r="B7" s="41" t="inlineStr">
        <is>
          <t>Xe chiến đấu bộ binh</t>
        </is>
      </c>
      <c r="C7" s="41" t="inlineStr">
        <is>
          <t>Xe</t>
        </is>
      </c>
      <c r="D7" s="41" t="inlineStr">
        <is>
          <t>atgm</t>
        </is>
      </c>
      <c r="E7" s="41" t="inlineStr">
        <is>
          <t>BGM-71 TOW-2</t>
        </is>
      </c>
      <c r="F7" s="43" t="n">
        <v>1</v>
      </c>
      <c r="G7" s="51">
        <f>IFERROR(VLOOKUP(D7,'Vũ khí đề xuất'!$A:$AO,27,0),"")</f>
        <v/>
      </c>
      <c r="H7" s="51">
        <f>IFERROR(VLOOKUP(D7,'Vũ khí đề xuất'!$A:$AO,28,0),"")</f>
        <v/>
      </c>
      <c r="I7" s="51">
        <f>IFERROR(VLOOKUP(D7,'Vũ khí đề xuất'!$A:$AO,30,0),"")</f>
        <v/>
      </c>
      <c r="J7" s="51">
        <f>IFERROR(VLOOKUP(D7,'Vũ khí đề xuất'!$A:$AO,32,0),"")</f>
        <v/>
      </c>
      <c r="K7" s="51">
        <f>IFERROR(VLOOKUP(D7,'Vũ khí đề xuất'!$A:$AO,35,0),"")</f>
        <v/>
      </c>
      <c r="L7" s="51">
        <f>IFERROR(VLOOKUP(D7,'Vũ khí đề xuất'!$A:$AO,36,0),"")</f>
        <v/>
      </c>
      <c r="M7" s="41" t="n"/>
    </row>
    <row r="8" ht="15" customHeight="1" s="32">
      <c r="A8" s="39" t="inlineStr">
        <is>
          <t>supply_truck</t>
        </is>
      </c>
      <c r="B8" s="39" t="inlineStr">
        <is>
          <t>Xe tiếp tế</t>
        </is>
      </c>
      <c r="C8" s="39" t="inlineStr">
        <is>
          <t>Xe</t>
        </is>
      </c>
      <c r="D8" s="39" t="inlineStr">
        <is>
          <t>mg_jeep</t>
        </is>
      </c>
      <c r="E8" s="39" t="inlineStr">
        <is>
          <t>M2 Browning 12.7 mm</t>
        </is>
      </c>
      <c r="F8" s="42" t="n">
        <v>1</v>
      </c>
      <c r="G8" s="50">
        <f>IFERROR(VLOOKUP(D8,'Vũ khí đề xuất'!$A:$AO,27,0),"")</f>
        <v/>
      </c>
      <c r="H8" s="50">
        <f>IFERROR(VLOOKUP(D8,'Vũ khí đề xuất'!$A:$AO,28,0),"")</f>
        <v/>
      </c>
      <c r="I8" s="50">
        <f>IFERROR(VLOOKUP(D8,'Vũ khí đề xuất'!$A:$AO,30,0),"")</f>
        <v/>
      </c>
      <c r="J8" s="50">
        <f>IFERROR(VLOOKUP(D8,'Vũ khí đề xuất'!$A:$AO,32,0),"")</f>
        <v/>
      </c>
      <c r="K8" s="50">
        <f>IFERROR(VLOOKUP(D8,'Vũ khí đề xuất'!$A:$AO,35,0),"")</f>
        <v/>
      </c>
      <c r="L8" s="50">
        <f>IFERROR(VLOOKUP(D8,'Vũ khí đề xuất'!$A:$AO,36,0),"")</f>
        <v/>
      </c>
      <c r="M8" s="39" t="n"/>
    </row>
    <row r="9" ht="15" customHeight="1" s="32">
      <c r="A9" s="41" t="inlineStr">
        <is>
          <t>engineer_vehicle</t>
        </is>
      </c>
      <c r="B9" s="41" t="inlineStr">
        <is>
          <t>Xe công binh</t>
        </is>
      </c>
      <c r="C9" s="41" t="inlineStr">
        <is>
          <t>Xe</t>
        </is>
      </c>
      <c r="D9" s="41" t="inlineStr">
        <is>
          <t>hmg_selfdef_15</t>
        </is>
      </c>
      <c r="E9" s="41" t="inlineStr">
        <is>
          <t>M2 Browning 12.7 mm</t>
        </is>
      </c>
      <c r="F9" s="43" t="n">
        <v>1</v>
      </c>
      <c r="G9" s="51">
        <f>IFERROR(VLOOKUP(D9,'Vũ khí đề xuất'!$A:$AO,27,0),"")</f>
        <v/>
      </c>
      <c r="H9" s="51">
        <f>IFERROR(VLOOKUP(D9,'Vũ khí đề xuất'!$A:$AO,28,0),"")</f>
        <v/>
      </c>
      <c r="I9" s="51">
        <f>IFERROR(VLOOKUP(D9,'Vũ khí đề xuất'!$A:$AO,30,0),"")</f>
        <v/>
      </c>
      <c r="J9" s="51">
        <f>IFERROR(VLOOKUP(D9,'Vũ khí đề xuất'!$A:$AO,32,0),"")</f>
        <v/>
      </c>
      <c r="K9" s="51">
        <f>IFERROR(VLOOKUP(D9,'Vũ khí đề xuất'!$A:$AO,35,0),"")</f>
        <v/>
      </c>
      <c r="L9" s="51">
        <f>IFERROR(VLOOKUP(D9,'Vũ khí đề xuất'!$A:$AO,36,0),"")</f>
        <v/>
      </c>
      <c r="M9" s="41" t="n"/>
    </row>
    <row r="10" ht="15" customHeight="1" s="32">
      <c r="A10" s="39"/>
      <c r="B10" s="39"/>
      <c r="C10" s="39"/>
      <c r="D10" s="39"/>
      <c r="E10" s="39"/>
      <c r="F10" s="42"/>
      <c r="G10" s="50"/>
      <c r="H10" s="50"/>
      <c r="I10" s="50"/>
      <c r="J10" s="50"/>
      <c r="K10" s="50"/>
      <c r="L10" s="50"/>
      <c r="M10" s="39"/>
    </row>
    <row r="11" ht="15" customHeight="1" s="32">
      <c r="A11" s="41" t="inlineStr">
        <is>
          <t>ammo_carrier</t>
        </is>
      </c>
      <c r="B11" s="41" t="inlineStr">
        <is>
          <t>Xe tiếp đạn</t>
        </is>
      </c>
      <c r="C11" s="41" t="inlineStr">
        <is>
          <t>Xe</t>
        </is>
      </c>
      <c r="D11" s="41" t="inlineStr">
        <is>
          <t>hmg_selfdef_15</t>
        </is>
      </c>
      <c r="E11" s="41" t="inlineStr">
        <is>
          <t>M2 Browning 12.7 mm</t>
        </is>
      </c>
      <c r="F11" s="43" t="n">
        <v>1</v>
      </c>
      <c r="G11" s="51">
        <f>IFERROR(VLOOKUP(D11,'Vũ khí đề xuất'!$A:$AO,27,0),"")</f>
        <v/>
      </c>
      <c r="H11" s="51">
        <f>IFERROR(VLOOKUP(D11,'Vũ khí đề xuất'!$A:$AO,28,0),"")</f>
        <v/>
      </c>
      <c r="I11" s="51">
        <f>IFERROR(VLOOKUP(D11,'Vũ khí đề xuất'!$A:$AO,30,0),"")</f>
        <v/>
      </c>
      <c r="J11" s="51">
        <f>IFERROR(VLOOKUP(D11,'Vũ khí đề xuất'!$A:$AO,32,0),"")</f>
        <v/>
      </c>
      <c r="K11" s="51">
        <f>IFERROR(VLOOKUP(D11,'Vũ khí đề xuất'!$A:$AO,35,0),"")</f>
        <v/>
      </c>
      <c r="L11" s="51">
        <f>IFERROR(VLOOKUP(D11,'Vũ khí đề xuất'!$A:$AO,36,0),"")</f>
        <v/>
      </c>
      <c r="M11" s="41" t="n"/>
    </row>
    <row r="12" ht="15" customHeight="1" s="32">
      <c r="A12" s="39"/>
      <c r="B12" s="39"/>
      <c r="C12" s="39"/>
      <c r="D12" s="39"/>
      <c r="E12" s="39"/>
      <c r="F12" s="42"/>
      <c r="G12" s="50"/>
      <c r="H12" s="50"/>
      <c r="I12" s="50"/>
      <c r="J12" s="50"/>
      <c r="K12" s="50"/>
      <c r="L12" s="50"/>
      <c r="M12" s="39"/>
    </row>
    <row r="13" ht="15" customHeight="1" s="32">
      <c r="A13" s="41" t="inlineStr">
        <is>
          <t>ew_jammer</t>
        </is>
      </c>
      <c r="B13" s="41" t="inlineStr">
        <is>
          <t>Xe tác chiến điện tử</t>
        </is>
      </c>
      <c r="C13" s="41" t="inlineStr">
        <is>
          <t>Xe</t>
        </is>
      </c>
      <c r="D13" s="41" t="inlineStr">
        <is>
          <t>hmg_selfdef_15</t>
        </is>
      </c>
      <c r="E13" s="41" t="inlineStr">
        <is>
          <t>M2 Browning 12.7 mm</t>
        </is>
      </c>
      <c r="F13" s="43" t="n">
        <v>1</v>
      </c>
      <c r="G13" s="51">
        <f>IFERROR(VLOOKUP(D13,'Vũ khí đề xuất'!$A:$AO,27,0),"")</f>
        <v/>
      </c>
      <c r="H13" s="51">
        <f>IFERROR(VLOOKUP(D13,'Vũ khí đề xuất'!$A:$AO,28,0),"")</f>
        <v/>
      </c>
      <c r="I13" s="51">
        <f>IFERROR(VLOOKUP(D13,'Vũ khí đề xuất'!$A:$AO,30,0),"")</f>
        <v/>
      </c>
      <c r="J13" s="51">
        <f>IFERROR(VLOOKUP(D13,'Vũ khí đề xuất'!$A:$AO,32,0),"")</f>
        <v/>
      </c>
      <c r="K13" s="51">
        <f>IFERROR(VLOOKUP(D13,'Vũ khí đề xuất'!$A:$AO,35,0),"")</f>
        <v/>
      </c>
      <c r="L13" s="51">
        <f>IFERROR(VLOOKUP(D13,'Vũ khí đề xuất'!$A:$AO,36,0),"")</f>
        <v/>
      </c>
      <c r="M13" s="41" t="n"/>
    </row>
    <row r="14" ht="15" customHeight="1" s="32">
      <c r="A14" s="39" t="inlineStr">
        <is>
          <t>mine_layer</t>
        </is>
      </c>
      <c r="B14" s="39" t="inlineStr">
        <is>
          <t>Xe rải mìn</t>
        </is>
      </c>
      <c r="C14" s="39" t="inlineStr">
        <is>
          <t>Xe</t>
        </is>
      </c>
      <c r="D14" s="39" t="inlineStr">
        <is>
          <t>hmg_selfdef_15</t>
        </is>
      </c>
      <c r="E14" s="39" t="inlineStr">
        <is>
          <t>M2 Browning 12.7 mm</t>
        </is>
      </c>
      <c r="F14" s="42" t="n">
        <v>1</v>
      </c>
      <c r="G14" s="50">
        <f>IFERROR(VLOOKUP(D14,'Vũ khí đề xuất'!$A:$AO,27,0),"")</f>
        <v/>
      </c>
      <c r="H14" s="50">
        <f>IFERROR(VLOOKUP(D14,'Vũ khí đề xuất'!$A:$AO,28,0),"")</f>
        <v/>
      </c>
      <c r="I14" s="50">
        <f>IFERROR(VLOOKUP(D14,'Vũ khí đề xuất'!$A:$AO,30,0),"")</f>
        <v/>
      </c>
      <c r="J14" s="50">
        <f>IFERROR(VLOOKUP(D14,'Vũ khí đề xuất'!$A:$AO,32,0),"")</f>
        <v/>
      </c>
      <c r="K14" s="50">
        <f>IFERROR(VLOOKUP(D14,'Vũ khí đề xuất'!$A:$AO,35,0),"")</f>
        <v/>
      </c>
      <c r="L14" s="50">
        <f>IFERROR(VLOOKUP(D14,'Vũ khí đề xuất'!$A:$AO,36,0),"")</f>
        <v/>
      </c>
      <c r="M14" s="39" t="n"/>
    </row>
    <row r="15" ht="15" customHeight="1" s="32">
      <c r="A15" s="41" t="inlineStr">
        <is>
          <t>command_vehicle</t>
        </is>
      </c>
      <c r="B15" s="41" t="inlineStr">
        <is>
          <t>Xe chỉ huy</t>
        </is>
      </c>
      <c r="C15" s="41" t="inlineStr">
        <is>
          <t>Xe</t>
        </is>
      </c>
      <c r="D15" s="41" t="inlineStr">
        <is>
          <t>hmg_selfdef_15</t>
        </is>
      </c>
      <c r="E15" s="41" t="inlineStr">
        <is>
          <t>M2 Browning 12.7 mm</t>
        </is>
      </c>
      <c r="F15" s="43" t="n">
        <v>1</v>
      </c>
      <c r="G15" s="51">
        <f>IFERROR(VLOOKUP(D15,'Vũ khí đề xuất'!$A:$AO,27,0),"")</f>
        <v/>
      </c>
      <c r="H15" s="51">
        <f>IFERROR(VLOOKUP(D15,'Vũ khí đề xuất'!$A:$AO,28,0),"")</f>
        <v/>
      </c>
      <c r="I15" s="51">
        <f>IFERROR(VLOOKUP(D15,'Vũ khí đề xuất'!$A:$AO,30,0),"")</f>
        <v/>
      </c>
      <c r="J15" s="51">
        <f>IFERROR(VLOOKUP(D15,'Vũ khí đề xuất'!$A:$AO,32,0),"")</f>
        <v/>
      </c>
      <c r="K15" s="51">
        <f>IFERROR(VLOOKUP(D15,'Vũ khí đề xuất'!$A:$AO,35,0),"")</f>
        <v/>
      </c>
      <c r="L15" s="51">
        <f>IFERROR(VLOOKUP(D15,'Vũ khí đề xuất'!$A:$AO,36,0),"")</f>
        <v/>
      </c>
      <c r="M15" s="41" t="n"/>
    </row>
    <row r="16" ht="15" customHeight="1" s="32">
      <c r="A16" s="39" t="inlineStr">
        <is>
          <t>shield_carrier</t>
        </is>
      </c>
      <c r="B16" s="39" t="inlineStr">
        <is>
          <t>Xe phát khiên</t>
        </is>
      </c>
      <c r="C16" s="39" t="inlineStr">
        <is>
          <t>Xe</t>
        </is>
      </c>
      <c r="D16" s="39" t="inlineStr">
        <is>
          <t>hmg_selfdef_15</t>
        </is>
      </c>
      <c r="E16" s="39" t="inlineStr">
        <is>
          <t>M2 Browning 12.7 mm</t>
        </is>
      </c>
      <c r="F16" s="42" t="n">
        <v>1</v>
      </c>
      <c r="G16" s="50">
        <f>IFERROR(VLOOKUP(D16,'Vũ khí đề xuất'!$A:$AO,27,0),"")</f>
        <v/>
      </c>
      <c r="H16" s="50">
        <f>IFERROR(VLOOKUP(D16,'Vũ khí đề xuất'!$A:$AO,28,0),"")</f>
        <v/>
      </c>
      <c r="I16" s="50">
        <f>IFERROR(VLOOKUP(D16,'Vũ khí đề xuất'!$A:$AO,30,0),"")</f>
        <v/>
      </c>
      <c r="J16" s="50">
        <f>IFERROR(VLOOKUP(D16,'Vũ khí đề xuất'!$A:$AO,32,0),"")</f>
        <v/>
      </c>
      <c r="K16" s="50">
        <f>IFERROR(VLOOKUP(D16,'Vũ khí đề xuất'!$A:$AO,35,0),"")</f>
        <v/>
      </c>
      <c r="L16" s="50">
        <f>IFERROR(VLOOKUP(D16,'Vũ khí đề xuất'!$A:$AO,36,0),"")</f>
        <v/>
      </c>
      <c r="M16" s="39" t="n"/>
    </row>
    <row r="17" ht="15" customHeight="1" s="32">
      <c r="A17" s="41" t="inlineStr">
        <is>
          <t>scout_jeep</t>
        </is>
      </c>
      <c r="B17" s="41" t="inlineStr">
        <is>
          <t>Xe trinh sát</t>
        </is>
      </c>
      <c r="C17" s="41" t="inlineStr">
        <is>
          <t>Xe</t>
        </is>
      </c>
      <c r="D17" s="41" t="inlineStr">
        <is>
          <t>mg_jeep</t>
        </is>
      </c>
      <c r="E17" s="41" t="inlineStr">
        <is>
          <t>M2 Browning 12.7 mm</t>
        </is>
      </c>
      <c r="F17" s="43" t="n">
        <v>1</v>
      </c>
      <c r="G17" s="51">
        <f>IFERROR(VLOOKUP(D17,'Vũ khí đề xuất'!$A:$AO,27,0),"")</f>
        <v/>
      </c>
      <c r="H17" s="51">
        <f>IFERROR(VLOOKUP(D17,'Vũ khí đề xuất'!$A:$AO,28,0),"")</f>
        <v/>
      </c>
      <c r="I17" s="51">
        <f>IFERROR(VLOOKUP(D17,'Vũ khí đề xuất'!$A:$AO,30,0),"")</f>
        <v/>
      </c>
      <c r="J17" s="51">
        <f>IFERROR(VLOOKUP(D17,'Vũ khí đề xuất'!$A:$AO,32,0),"")</f>
        <v/>
      </c>
      <c r="K17" s="51">
        <f>IFERROR(VLOOKUP(D17,'Vũ khí đề xuất'!$A:$AO,35,0),"")</f>
        <v/>
      </c>
      <c r="L17" s="51">
        <f>IFERROR(VLOOKUP(D17,'Vũ khí đề xuất'!$A:$AO,36,0),"")</f>
        <v/>
      </c>
      <c r="M17" s="41" t="n"/>
    </row>
    <row r="18" ht="15" customHeight="1" s="32">
      <c r="A18" s="39" t="inlineStr">
        <is>
          <t>vbied</t>
        </is>
      </c>
      <c r="B18" s="39" t="inlineStr">
        <is>
          <t>Xe bom tự sát bọc thép</t>
        </is>
      </c>
      <c r="C18" s="39" t="inlineStr">
        <is>
          <t>Xe</t>
        </is>
      </c>
      <c r="D18" s="39" t="inlineStr">
        <is>
          <t>detonator</t>
        </is>
      </c>
      <c r="E18" s="39" t="inlineStr">
        <is>
          <t>car bomb (900 kg) 900 mm</t>
        </is>
      </c>
      <c r="F18" s="42" t="n">
        <v>1</v>
      </c>
      <c r="G18" s="50">
        <f>IFERROR(VLOOKUP(D18,'Vũ khí đề xuất'!$A:$AO,27,0),"")</f>
        <v/>
      </c>
      <c r="H18" s="50">
        <f>IFERROR(VLOOKUP(D18,'Vũ khí đề xuất'!$A:$AO,28,0),"")</f>
        <v/>
      </c>
      <c r="I18" s="50">
        <f>IFERROR(VLOOKUP(D18,'Vũ khí đề xuất'!$A:$AO,30,0),"")</f>
        <v/>
      </c>
      <c r="J18" s="50">
        <f>IFERROR(VLOOKUP(D18,'Vũ khí đề xuất'!$A:$AO,32,0),"")</f>
        <v/>
      </c>
      <c r="K18" s="50">
        <f>IFERROR(VLOOKUP(D18,'Vũ khí đề xuất'!$A:$AO,35,0),"")</f>
        <v/>
      </c>
      <c r="L18" s="50">
        <f>IFERROR(VLOOKUP(D18,'Vũ khí đề xuất'!$A:$AO,36,0),"")</f>
        <v/>
      </c>
      <c r="M18" s="39" t="n"/>
    </row>
    <row r="19" ht="32.25" customHeight="1" s="32">
      <c r="A19" s="41" t="inlineStr">
        <is>
          <t>light_tank</t>
        </is>
      </c>
      <c r="B19" s="41" t="inlineStr">
        <is>
          <t>Tăng hạng nhẹ</t>
        </is>
      </c>
      <c r="C19" s="41" t="inlineStr">
        <is>
          <t>Xe</t>
        </is>
      </c>
      <c r="D19" s="41" t="inlineStr">
        <is>
          <t>gun_57mm</t>
        </is>
      </c>
      <c r="E19" s="41" t="inlineStr">
        <is>
          <t>S-60 57 mm (2A91)</t>
        </is>
      </c>
      <c r="F19" s="43" t="n">
        <v>1</v>
      </c>
      <c r="G19" s="51">
        <f>IFERROR(VLOOKUP(D19,'Vũ khí đề xuất'!$A:$AO,27,0),"")</f>
        <v/>
      </c>
      <c r="H19" s="51">
        <f>IFERROR(VLOOKUP(D19,'Vũ khí đề xuất'!$A:$AO,28,0),"")</f>
        <v/>
      </c>
      <c r="I19" s="51">
        <f>IFERROR(VLOOKUP(D19,'Vũ khí đề xuất'!$A:$AO,30,0),"")</f>
        <v/>
      </c>
      <c r="J19" s="51">
        <f>IFERROR(VLOOKUP(D19,'Vũ khí đề xuất'!$A:$AO,32,0),"")</f>
        <v/>
      </c>
      <c r="K19" s="51">
        <f>IFERROR(VLOOKUP(D19,'Vũ khí đề xuất'!$A:$AO,35,0),"")</f>
        <v/>
      </c>
      <c r="L19" s="51">
        <f>IFERROR(VLOOKUP(D19,'Vũ khí đề xuất'!$A:$AO,36,0),"")</f>
        <v/>
      </c>
      <c r="M19" s="41" t="inlineStr">
        <is>
          <t>Thêm tên lửa bắn qua nòng (1 quả × 200, xuyên 3, mỗi 20 s, tầm 34) — ZBD-05 và nhiều tăng nhẹ bắn được tên lửa qua nòng; cho tăng nhẹ một cách đối phó xe giáp.</t>
        </is>
      </c>
    </row>
    <row r="20" ht="32.25" customHeight="1" s="32">
      <c r="A20" s="39" t="inlineStr">
        <is>
          <t>light_tank</t>
        </is>
      </c>
      <c r="B20" s="39" t="inlineStr">
        <is>
          <t>Tăng hạng nhẹ</t>
        </is>
      </c>
      <c r="C20" s="39" t="inlineStr">
        <is>
          <t>Xe</t>
        </is>
      </c>
      <c r="D20" s="39" t="inlineStr">
        <is>
          <t>mg_coax</t>
        </is>
      </c>
      <c r="E20" s="39" t="inlineStr">
        <is>
          <t>PKT / M240 7.62 mm</t>
        </is>
      </c>
      <c r="F20" s="42" t="n">
        <v>1</v>
      </c>
      <c r="G20" s="50">
        <f>IFERROR(VLOOKUP(D20,'Vũ khí đề xuất'!$A:$AO,27,0),"")</f>
        <v/>
      </c>
      <c r="H20" s="50">
        <f>IFERROR(VLOOKUP(D20,'Vũ khí đề xuất'!$A:$AO,28,0),"")</f>
        <v/>
      </c>
      <c r="I20" s="50">
        <f>IFERROR(VLOOKUP(D20,'Vũ khí đề xuất'!$A:$AO,30,0),"")</f>
        <v/>
      </c>
      <c r="J20" s="50">
        <f>IFERROR(VLOOKUP(D20,'Vũ khí đề xuất'!$A:$AO,32,0),"")</f>
        <v/>
      </c>
      <c r="K20" s="50">
        <f>IFERROR(VLOOKUP(D20,'Vũ khí đề xuất'!$A:$AO,35,0),"")</f>
        <v/>
      </c>
      <c r="L20" s="50">
        <f>IFERROR(VLOOKUP(D20,'Vũ khí đề xuất'!$A:$AO,36,0),"")</f>
        <v/>
      </c>
      <c r="M20" s="39" t="inlineStr">
        <is>
          <t>Thêm tên lửa bắn qua nòng (1 quả × 200, xuyên 3, mỗi 20 s, tầm 34) — ZBD-05 và nhiều tăng nhẹ bắn được tên lửa qua nòng; cho tăng nhẹ một cách đối phó xe giáp.</t>
        </is>
      </c>
    </row>
    <row r="21" ht="15" customHeight="1" s="32">
      <c r="A21" s="41" t="inlineStr">
        <is>
          <t>flame_tank</t>
        </is>
      </c>
      <c r="B21" s="41" t="inlineStr">
        <is>
          <t>Tăng phun lửa</t>
        </is>
      </c>
      <c r="C21" s="41" t="inlineStr">
        <is>
          <t>Xe</t>
        </is>
      </c>
      <c r="D21" s="41" t="inlineStr">
        <is>
          <t>flamethrower</t>
        </is>
      </c>
      <c r="E21" s="41" t="inlineStr">
        <is>
          <t>flamethrower</t>
        </is>
      </c>
      <c r="F21" s="43" t="n">
        <v>1</v>
      </c>
      <c r="G21" s="51">
        <f>IFERROR(VLOOKUP(D21,'Vũ khí đề xuất'!$A:$AO,27,0),"")</f>
        <v/>
      </c>
      <c r="H21" s="51">
        <f>IFERROR(VLOOKUP(D21,'Vũ khí đề xuất'!$A:$AO,28,0),"")</f>
        <v/>
      </c>
      <c r="I21" s="51">
        <f>IFERROR(VLOOKUP(D21,'Vũ khí đề xuất'!$A:$AO,30,0),"")</f>
        <v/>
      </c>
      <c r="J21" s="51">
        <f>IFERROR(VLOOKUP(D21,'Vũ khí đề xuất'!$A:$AO,32,0),"")</f>
        <v/>
      </c>
      <c r="K21" s="51">
        <f>IFERROR(VLOOKUP(D21,'Vũ khí đề xuất'!$A:$AO,35,0),"")</f>
        <v/>
      </c>
      <c r="L21" s="51">
        <f>IFERROR(VLOOKUP(D21,'Vũ khí đề xuất'!$A:$AO,36,0),"")</f>
        <v/>
      </c>
      <c r="M21" s="41" t="n"/>
    </row>
    <row r="22" ht="15" customHeight="1" s="32">
      <c r="A22" s="39" t="inlineStr">
        <is>
          <t>flame_tank</t>
        </is>
      </c>
      <c r="B22" s="39" t="inlineStr">
        <is>
          <t>Tăng phun lửa</t>
        </is>
      </c>
      <c r="C22" s="39" t="inlineStr">
        <is>
          <t>Xe</t>
        </is>
      </c>
      <c r="D22" s="39" t="inlineStr">
        <is>
          <t>mg_coax</t>
        </is>
      </c>
      <c r="E22" s="39" t="inlineStr">
        <is>
          <t>PKT / M240 7.62 mm</t>
        </is>
      </c>
      <c r="F22" s="42" t="n">
        <v>1</v>
      </c>
      <c r="G22" s="50">
        <f>IFERROR(VLOOKUP(D22,'Vũ khí đề xuất'!$A:$AO,27,0),"")</f>
        <v/>
      </c>
      <c r="H22" s="50">
        <f>IFERROR(VLOOKUP(D22,'Vũ khí đề xuất'!$A:$AO,28,0),"")</f>
        <v/>
      </c>
      <c r="I22" s="50">
        <f>IFERROR(VLOOKUP(D22,'Vũ khí đề xuất'!$A:$AO,30,0),"")</f>
        <v/>
      </c>
      <c r="J22" s="50">
        <f>IFERROR(VLOOKUP(D22,'Vũ khí đề xuất'!$A:$AO,32,0),"")</f>
        <v/>
      </c>
      <c r="K22" s="50">
        <f>IFERROR(VLOOKUP(D22,'Vũ khí đề xuất'!$A:$AO,35,0),"")</f>
        <v/>
      </c>
      <c r="L22" s="50">
        <f>IFERROR(VLOOKUP(D22,'Vũ khí đề xuất'!$A:$AO,36,0),"")</f>
        <v/>
      </c>
      <c r="M22" s="39" t="n"/>
    </row>
    <row r="23" ht="15" customHeight="1" s="32">
      <c r="A23" s="41"/>
      <c r="B23" s="41"/>
      <c r="C23" s="41"/>
      <c r="D23" s="41"/>
      <c r="E23" s="41"/>
      <c r="F23" s="43"/>
      <c r="G23" s="51"/>
      <c r="H23" s="51"/>
      <c r="I23" s="51"/>
      <c r="J23" s="51"/>
      <c r="K23" s="51"/>
      <c r="L23" s="51"/>
      <c r="M23" s="41"/>
    </row>
    <row r="24" ht="15" customHeight="1" s="32">
      <c r="A24" s="39"/>
      <c r="B24" s="39"/>
      <c r="C24" s="39"/>
      <c r="D24" s="39"/>
      <c r="E24" s="39"/>
      <c r="F24" s="42"/>
      <c r="G24" s="50"/>
      <c r="H24" s="50"/>
      <c r="I24" s="50"/>
      <c r="J24" s="50"/>
      <c r="K24" s="50"/>
      <c r="L24" s="50"/>
      <c r="M24" s="39"/>
    </row>
    <row r="25" ht="15" customHeight="1" s="32">
      <c r="A25" s="41"/>
      <c r="B25" s="41"/>
      <c r="C25" s="41"/>
      <c r="D25" s="41"/>
      <c r="E25" s="41"/>
      <c r="F25" s="43"/>
      <c r="G25" s="51"/>
      <c r="H25" s="51"/>
      <c r="I25" s="51"/>
      <c r="J25" s="51"/>
      <c r="K25" s="51"/>
      <c r="L25" s="51"/>
      <c r="M25" s="41"/>
    </row>
    <row r="26" ht="15" customHeight="1" s="32">
      <c r="A26" s="39"/>
      <c r="B26" s="39"/>
      <c r="C26" s="39"/>
      <c r="D26" s="39"/>
      <c r="E26" s="39"/>
      <c r="F26" s="42"/>
      <c r="G26" s="50"/>
      <c r="H26" s="50"/>
      <c r="I26" s="50"/>
      <c r="J26" s="50"/>
      <c r="K26" s="50"/>
      <c r="L26" s="50"/>
      <c r="M26" s="39"/>
    </row>
    <row r="27" ht="15" customHeight="1" s="32">
      <c r="A27" s="41"/>
      <c r="B27" s="41"/>
      <c r="C27" s="41"/>
      <c r="D27" s="41"/>
      <c r="E27" s="41"/>
      <c r="F27" s="43"/>
      <c r="G27" s="51"/>
      <c r="H27" s="51"/>
      <c r="I27" s="51"/>
      <c r="J27" s="51"/>
      <c r="K27" s="51"/>
      <c r="L27" s="51"/>
      <c r="M27" s="41"/>
    </row>
    <row r="28" ht="15" customHeight="1" s="32">
      <c r="A28" s="39"/>
      <c r="B28" s="39"/>
      <c r="C28" s="39"/>
      <c r="D28" s="39"/>
      <c r="E28" s="39"/>
      <c r="F28" s="42"/>
      <c r="G28" s="50"/>
      <c r="H28" s="50"/>
      <c r="I28" s="50"/>
      <c r="J28" s="50"/>
      <c r="K28" s="50"/>
      <c r="L28" s="50"/>
      <c r="M28" s="39"/>
    </row>
    <row r="29" ht="15" customHeight="1" s="32">
      <c r="A29" s="41"/>
      <c r="B29" s="41"/>
      <c r="C29" s="41"/>
      <c r="D29" s="41"/>
      <c r="E29" s="41"/>
      <c r="F29" s="43"/>
      <c r="G29" s="51"/>
      <c r="H29" s="51"/>
      <c r="I29" s="51"/>
      <c r="J29" s="51"/>
      <c r="K29" s="51"/>
      <c r="L29" s="51"/>
      <c r="M29" s="41"/>
    </row>
    <row r="30" ht="15" customHeight="1" s="32">
      <c r="A30" s="39" t="inlineStr">
        <is>
          <t>rocket_technical</t>
        </is>
      </c>
      <c r="B30" s="39" t="inlineStr">
        <is>
          <t>Bán tải rốc-két</t>
        </is>
      </c>
      <c r="C30" s="39" t="inlineStr">
        <is>
          <t>Xe</t>
        </is>
      </c>
      <c r="D30" s="39" t="inlineStr">
        <is>
          <t>technical_rockets</t>
        </is>
      </c>
      <c r="E30" s="39" t="inlineStr">
        <is>
          <t>Type 63 107 mm</t>
        </is>
      </c>
      <c r="F30" s="42" t="n">
        <v>1</v>
      </c>
      <c r="G30" s="50">
        <f>IFERROR(VLOOKUP(D30,'Vũ khí đề xuất'!$A:$AO,27,0),"")</f>
        <v/>
      </c>
      <c r="H30" s="50">
        <f>IFERROR(VLOOKUP(D30,'Vũ khí đề xuất'!$A:$AO,28,0),"")</f>
        <v/>
      </c>
      <c r="I30" s="50">
        <f>IFERROR(VLOOKUP(D30,'Vũ khí đề xuất'!$A:$AO,30,0),"")</f>
        <v/>
      </c>
      <c r="J30" s="50">
        <f>IFERROR(VLOOKUP(D30,'Vũ khí đề xuất'!$A:$AO,32,0),"")</f>
        <v/>
      </c>
      <c r="K30" s="50">
        <f>IFERROR(VLOOKUP(D30,'Vũ khí đề xuất'!$A:$AO,35,0),"")</f>
        <v/>
      </c>
      <c r="L30" s="50">
        <f>IFERROR(VLOOKUP(D30,'Vũ khí đề xuất'!$A:$AO,36,0),"")</f>
        <v/>
      </c>
      <c r="M30" s="39" t="n"/>
    </row>
    <row r="31" ht="15" customHeight="1" s="32">
      <c r="A31" s="41" t="inlineStr">
        <is>
          <t>rocket_technical</t>
        </is>
      </c>
      <c r="B31" s="41" t="inlineStr">
        <is>
          <t>Bán tải rốc-két</t>
        </is>
      </c>
      <c r="C31" s="41" t="inlineStr">
        <is>
          <t>Xe</t>
        </is>
      </c>
      <c r="D31" s="41" t="inlineStr">
        <is>
          <t>mg_jeep_selfdef</t>
        </is>
      </c>
      <c r="E31" s="41" t="inlineStr">
        <is>
          <t>M2 Browning 12.7 mm</t>
        </is>
      </c>
      <c r="F31" s="43" t="n">
        <v>1</v>
      </c>
      <c r="G31" s="51">
        <f>IFERROR(VLOOKUP(D31,'Vũ khí đề xuất'!$A:$AO,27,0),"")</f>
        <v/>
      </c>
      <c r="H31" s="51">
        <f>IFERROR(VLOOKUP(D31,'Vũ khí đề xuất'!$A:$AO,28,0),"")</f>
        <v/>
      </c>
      <c r="I31" s="51">
        <f>IFERROR(VLOOKUP(D31,'Vũ khí đề xuất'!$A:$AO,30,0),"")</f>
        <v/>
      </c>
      <c r="J31" s="51">
        <f>IFERROR(VLOOKUP(D31,'Vũ khí đề xuất'!$A:$AO,32,0),"")</f>
        <v/>
      </c>
      <c r="K31" s="51">
        <f>IFERROR(VLOOKUP(D31,'Vũ khí đề xuất'!$A:$AO,35,0),"")</f>
        <v/>
      </c>
      <c r="L31" s="51">
        <f>IFERROR(VLOOKUP(D31,'Vũ khí đề xuất'!$A:$AO,36,0),"")</f>
        <v/>
      </c>
      <c r="M31" s="41" t="n"/>
    </row>
    <row r="32" ht="15" customHeight="1" s="32">
      <c r="A32" s="39" t="inlineStr">
        <is>
          <t>mortar_carrier</t>
        </is>
      </c>
      <c r="B32" s="39" t="inlineStr">
        <is>
          <t>Xe súng cối</t>
        </is>
      </c>
      <c r="C32" s="39" t="inlineStr">
        <is>
          <t>Xe</t>
        </is>
      </c>
      <c r="D32" s="39" t="inlineStr">
        <is>
          <t>mortar_120</t>
        </is>
      </c>
      <c r="E32" s="39" t="inlineStr">
        <is>
          <t>2B11 120 mm</t>
        </is>
      </c>
      <c r="F32" s="42" t="n">
        <v>1</v>
      </c>
      <c r="G32" s="50">
        <f>IFERROR(VLOOKUP(D32,'Vũ khí đề xuất'!$A:$AO,27,0),"")</f>
        <v/>
      </c>
      <c r="H32" s="50">
        <f>IFERROR(VLOOKUP(D32,'Vũ khí đề xuất'!$A:$AO,28,0),"")</f>
        <v/>
      </c>
      <c r="I32" s="50">
        <f>IFERROR(VLOOKUP(D32,'Vũ khí đề xuất'!$A:$AO,30,0),"")</f>
        <v/>
      </c>
      <c r="J32" s="50">
        <f>IFERROR(VLOOKUP(D32,'Vũ khí đề xuất'!$A:$AO,32,0),"")</f>
        <v/>
      </c>
      <c r="K32" s="50">
        <f>IFERROR(VLOOKUP(D32,'Vũ khí đề xuất'!$A:$AO,35,0),"")</f>
        <v/>
      </c>
      <c r="L32" s="50">
        <f>IFERROR(VLOOKUP(D32,'Vũ khí đề xuất'!$A:$AO,36,0),"")</f>
        <v/>
      </c>
      <c r="M32" s="39" t="n"/>
    </row>
    <row r="33" ht="15" customHeight="1" s="32">
      <c r="A33" s="41" t="inlineStr">
        <is>
          <t>mortar_carrier</t>
        </is>
      </c>
      <c r="B33" s="41" t="inlineStr">
        <is>
          <t>Xe súng cối</t>
        </is>
      </c>
      <c r="C33" s="41" t="inlineStr">
        <is>
          <t>Xe</t>
        </is>
      </c>
      <c r="D33" s="41" t="inlineStr">
        <is>
          <t>hmg_selfdef_18</t>
        </is>
      </c>
      <c r="E33" s="41" t="inlineStr">
        <is>
          <t>M2 Browning 12.7 mm</t>
        </is>
      </c>
      <c r="F33" s="43" t="n">
        <v>1</v>
      </c>
      <c r="G33" s="51">
        <f>IFERROR(VLOOKUP(D33,'Vũ khí đề xuất'!$A:$AO,27,0),"")</f>
        <v/>
      </c>
      <c r="H33" s="51">
        <f>IFERROR(VLOOKUP(D33,'Vũ khí đề xuất'!$A:$AO,28,0),"")</f>
        <v/>
      </c>
      <c r="I33" s="51">
        <f>IFERROR(VLOOKUP(D33,'Vũ khí đề xuất'!$A:$AO,30,0),"")</f>
        <v/>
      </c>
      <c r="J33" s="51">
        <f>IFERROR(VLOOKUP(D33,'Vũ khí đề xuất'!$A:$AO,32,0),"")</f>
        <v/>
      </c>
      <c r="K33" s="51">
        <f>IFERROR(VLOOKUP(D33,'Vũ khí đề xuất'!$A:$AO,35,0),"")</f>
        <v/>
      </c>
      <c r="L33" s="51">
        <f>IFERROR(VLOOKUP(D33,'Vũ khí đề xuất'!$A:$AO,36,0),"")</f>
        <v/>
      </c>
      <c r="M33" s="41" t="n"/>
    </row>
    <row r="34" ht="15" customHeight="1" s="32">
      <c r="A34" s="39" t="inlineStr">
        <is>
          <t>artillery</t>
        </is>
      </c>
      <c r="B34" s="39" t="inlineStr">
        <is>
          <t>Pháo tự hành</t>
        </is>
      </c>
      <c r="C34" s="39" t="inlineStr">
        <is>
          <t>Xe</t>
        </is>
      </c>
      <c r="D34" s="39" t="inlineStr">
        <is>
          <t>howitzer</t>
        </is>
      </c>
      <c r="E34" s="39" t="inlineStr">
        <is>
          <t>M284 155 mm</t>
        </is>
      </c>
      <c r="F34" s="42" t="n">
        <v>1</v>
      </c>
      <c r="G34" s="50">
        <f>IFERROR(VLOOKUP(D34,'Vũ khí đề xuất'!$A:$AO,27,0),"")</f>
        <v/>
      </c>
      <c r="H34" s="50">
        <f>IFERROR(VLOOKUP(D34,'Vũ khí đề xuất'!$A:$AO,28,0),"")</f>
        <v/>
      </c>
      <c r="I34" s="50">
        <f>IFERROR(VLOOKUP(D34,'Vũ khí đề xuất'!$A:$AO,30,0),"")</f>
        <v/>
      </c>
      <c r="J34" s="50">
        <f>IFERROR(VLOOKUP(D34,'Vũ khí đề xuất'!$A:$AO,32,0),"")</f>
        <v/>
      </c>
      <c r="K34" s="50">
        <f>IFERROR(VLOOKUP(D34,'Vũ khí đề xuất'!$A:$AO,35,0),"")</f>
        <v/>
      </c>
      <c r="L34" s="50">
        <f>IFERROR(VLOOKUP(D34,'Vũ khí đề xuất'!$A:$AO,36,0),"")</f>
        <v/>
      </c>
      <c r="M34" s="39" t="n"/>
    </row>
    <row r="35" ht="15" customHeight="1" s="32">
      <c r="A35" s="41" t="inlineStr">
        <is>
          <t>artillery</t>
        </is>
      </c>
      <c r="B35" s="41" t="inlineStr">
        <is>
          <t>Pháo tự hành</t>
        </is>
      </c>
      <c r="C35" s="41" t="inlineStr">
        <is>
          <t>Xe</t>
        </is>
      </c>
      <c r="D35" s="41" t="inlineStr">
        <is>
          <t>hmg_selfdef_15</t>
        </is>
      </c>
      <c r="E35" s="41" t="inlineStr">
        <is>
          <t>M2 Browning 12.7 mm</t>
        </is>
      </c>
      <c r="F35" s="43" t="n">
        <v>1</v>
      </c>
      <c r="G35" s="51">
        <f>IFERROR(VLOOKUP(D35,'Vũ khí đề xuất'!$A:$AO,27,0),"")</f>
        <v/>
      </c>
      <c r="H35" s="51">
        <f>IFERROR(VLOOKUP(D35,'Vũ khí đề xuất'!$A:$AO,28,0),"")</f>
        <v/>
      </c>
      <c r="I35" s="51">
        <f>IFERROR(VLOOKUP(D35,'Vũ khí đề xuất'!$A:$AO,30,0),"")</f>
        <v/>
      </c>
      <c r="J35" s="51">
        <f>IFERROR(VLOOKUP(D35,'Vũ khí đề xuất'!$A:$AO,32,0),"")</f>
        <v/>
      </c>
      <c r="K35" s="51">
        <f>IFERROR(VLOOKUP(D35,'Vũ khí đề xuất'!$A:$AO,35,0),"")</f>
        <v/>
      </c>
      <c r="L35" s="51">
        <f>IFERROR(VLOOKUP(D35,'Vũ khí đề xuất'!$A:$AO,36,0),"")</f>
        <v/>
      </c>
      <c r="M35" s="41" t="n"/>
    </row>
    <row r="36" ht="21.75" customHeight="1" s="32">
      <c r="A36" s="39" t="inlineStr">
        <is>
          <t>mlrs</t>
        </is>
      </c>
      <c r="B36" s="39" t="inlineStr">
        <is>
          <t>Pháo phản lực</t>
        </is>
      </c>
      <c r="C36" s="39" t="inlineStr">
        <is>
          <t>Xe</t>
        </is>
      </c>
      <c r="D36" s="39" t="inlineStr">
        <is>
          <t>mlrs_rockets</t>
        </is>
      </c>
      <c r="E36" s="39" t="inlineStr">
        <is>
          <t>M31 GMLRS 227 mm</t>
        </is>
      </c>
      <c r="F36" s="42" t="n">
        <v>1</v>
      </c>
      <c r="G36" s="50">
        <f>IFERROR(VLOOKUP(D36,'Vũ khí đề xuất'!$A:$AO,27,0),"")</f>
        <v/>
      </c>
      <c r="H36" s="50">
        <f>IFERROR(VLOOKUP(D36,'Vũ khí đề xuất'!$A:$AO,28,0),"")</f>
        <v/>
      </c>
      <c r="I36" s="50">
        <f>IFERROR(VLOOKUP(D36,'Vũ khí đề xuất'!$A:$AO,30,0),"")</f>
        <v/>
      </c>
      <c r="J36" s="50">
        <f>IFERROR(VLOOKUP(D36,'Vũ khí đề xuất'!$A:$AO,32,0),"")</f>
        <v/>
      </c>
      <c r="K36" s="50">
        <f>IFERROR(VLOOKUP(D36,'Vũ khí đề xuất'!$A:$AO,35,0),"")</f>
        <v/>
      </c>
      <c r="L36" s="50">
        <f>IFERROR(VLOOKUP(D36,'Vũ khí đề xuất'!$A:$AO,36,0),"")</f>
        <v/>
      </c>
      <c r="M36" s="39" t="inlineStr">
        <is>
          <t>Bỏ súng máy M2 — HIMARS thường không mang súng máy; tăng rủi ro khi bị áp sát.</t>
        </is>
      </c>
    </row>
    <row r="37" ht="21.75" customHeight="1" s="32">
      <c r="A37" s="41" t="inlineStr">
        <is>
          <t>mlrs</t>
        </is>
      </c>
      <c r="B37" s="41" t="inlineStr">
        <is>
          <t>Pháo phản lực</t>
        </is>
      </c>
      <c r="C37" s="41" t="inlineStr">
        <is>
          <t>Xe</t>
        </is>
      </c>
      <c r="D37" s="41" t="inlineStr">
        <is>
          <t>hmg_selfdef_15</t>
        </is>
      </c>
      <c r="E37" s="41" t="inlineStr">
        <is>
          <t>M2 Browning 12.7 mm</t>
        </is>
      </c>
      <c r="F37" s="43" t="n">
        <v>0</v>
      </c>
      <c r="G37" s="51">
        <f>IFERROR(VLOOKUP(D37,'Vũ khí đề xuất'!$A:$AO,27,0),"")</f>
        <v/>
      </c>
      <c r="H37" s="51">
        <f>IFERROR(VLOOKUP(D37,'Vũ khí đề xuất'!$A:$AO,28,0),"")</f>
        <v/>
      </c>
      <c r="I37" s="51">
        <f>IFERROR(VLOOKUP(D37,'Vũ khí đề xuất'!$A:$AO,30,0),"")</f>
        <v/>
      </c>
      <c r="J37" s="51">
        <f>IFERROR(VLOOKUP(D37,'Vũ khí đề xuất'!$A:$AO,32,0),"")</f>
        <v/>
      </c>
      <c r="K37" s="51">
        <f>IFERROR(VLOOKUP(D37,'Vũ khí đề xuất'!$A:$AO,35,0),"")</f>
        <v/>
      </c>
      <c r="L37" s="51">
        <f>IFERROR(VLOOKUP(D37,'Vũ khí đề xuất'!$A:$AO,36,0),"")</f>
        <v/>
      </c>
      <c r="M37" s="41" t="inlineStr">
        <is>
          <t>Bỏ súng máy M2 — HIMARS thường không mang súng máy; tăng rủi ro khi bị áp sát.</t>
        </is>
      </c>
    </row>
    <row r="38" ht="15" customHeight="1" s="32">
      <c r="A38" s="39" t="inlineStr">
        <is>
          <t>shahed_truck</t>
        </is>
      </c>
      <c r="B38" s="39" t="inlineStr">
        <is>
          <t>Xe phóng Shahed</t>
        </is>
      </c>
      <c r="C38" s="39" t="inlineStr">
        <is>
          <t>Xe</t>
        </is>
      </c>
      <c r="D38" s="39" t="inlineStr">
        <is>
          <t>shahed</t>
        </is>
      </c>
      <c r="E38" s="39" t="inlineStr">
        <is>
          <t>Shahed-136 (50 kg)</t>
        </is>
      </c>
      <c r="F38" s="42" t="n">
        <v>1</v>
      </c>
      <c r="G38" s="50">
        <f>IFERROR(VLOOKUP(D38,'Vũ khí đề xuất'!$A:$AO,27,0),"")</f>
        <v/>
      </c>
      <c r="H38" s="50">
        <f>IFERROR(VLOOKUP(D38,'Vũ khí đề xuất'!$A:$AO,28,0),"")</f>
        <v/>
      </c>
      <c r="I38" s="50">
        <f>IFERROR(VLOOKUP(D38,'Vũ khí đề xuất'!$A:$AO,30,0),"")</f>
        <v/>
      </c>
      <c r="J38" s="50">
        <f>IFERROR(VLOOKUP(D38,'Vũ khí đề xuất'!$A:$AO,32,0),"")</f>
        <v/>
      </c>
      <c r="K38" s="50">
        <f>IFERROR(VLOOKUP(D38,'Vũ khí đề xuất'!$A:$AO,35,0),"")</f>
        <v/>
      </c>
      <c r="L38" s="50">
        <f>IFERROR(VLOOKUP(D38,'Vũ khí đề xuất'!$A:$AO,36,0),"")</f>
        <v/>
      </c>
      <c r="M38" s="39" t="n"/>
    </row>
    <row r="39" ht="15" customHeight="1" s="32">
      <c r="A39" s="41" t="inlineStr">
        <is>
          <t>shahed_truck</t>
        </is>
      </c>
      <c r="B39" s="41" t="inlineStr">
        <is>
          <t>Xe phóng Shahed</t>
        </is>
      </c>
      <c r="C39" s="41" t="inlineStr">
        <is>
          <t>Xe</t>
        </is>
      </c>
      <c r="D39" s="41" t="inlineStr">
        <is>
          <t>hmg_selfdef_15</t>
        </is>
      </c>
      <c r="E39" s="41" t="inlineStr">
        <is>
          <t>M2 Browning 12.7 mm</t>
        </is>
      </c>
      <c r="F39" s="43" t="n">
        <v>1</v>
      </c>
      <c r="G39" s="51">
        <f>IFERROR(VLOOKUP(D39,'Vũ khí đề xuất'!$A:$AO,27,0),"")</f>
        <v/>
      </c>
      <c r="H39" s="51">
        <f>IFERROR(VLOOKUP(D39,'Vũ khí đề xuất'!$A:$AO,28,0),"")</f>
        <v/>
      </c>
      <c r="I39" s="51">
        <f>IFERROR(VLOOKUP(D39,'Vũ khí đề xuất'!$A:$AO,30,0),"")</f>
        <v/>
      </c>
      <c r="J39" s="51">
        <f>IFERROR(VLOOKUP(D39,'Vũ khí đề xuất'!$A:$AO,32,0),"")</f>
        <v/>
      </c>
      <c r="K39" s="51">
        <f>IFERROR(VLOOKUP(D39,'Vũ khí đề xuất'!$A:$AO,35,0),"")</f>
        <v/>
      </c>
      <c r="L39" s="51">
        <f>IFERROR(VLOOKUP(D39,'Vũ khí đề xuất'!$A:$AO,36,0),"")</f>
        <v/>
      </c>
      <c r="M39" s="41" t="n"/>
    </row>
    <row r="40" ht="15" customHeight="1" s="32">
      <c r="A40" s="39" t="inlineStr">
        <is>
          <t>thermobaric_launcher</t>
        </is>
      </c>
      <c r="B40" s="39" t="inlineStr">
        <is>
          <t>Pháo phản lực nhiệt áp</t>
        </is>
      </c>
      <c r="C40" s="39" t="inlineStr">
        <is>
          <t>Xe</t>
        </is>
      </c>
      <c r="D40" s="39" t="inlineStr">
        <is>
          <t>thermobaric_rockets</t>
        </is>
      </c>
      <c r="E40" s="39" t="inlineStr">
        <is>
          <t>TOS-1A 220 mm thermobaric</t>
        </is>
      </c>
      <c r="F40" s="42" t="n">
        <v>1</v>
      </c>
      <c r="G40" s="50">
        <f>IFERROR(VLOOKUP(D40,'Vũ khí đề xuất'!$A:$AO,27,0),"")</f>
        <v/>
      </c>
      <c r="H40" s="50">
        <f>IFERROR(VLOOKUP(D40,'Vũ khí đề xuất'!$A:$AO,28,0),"")</f>
        <v/>
      </c>
      <c r="I40" s="50">
        <f>IFERROR(VLOOKUP(D40,'Vũ khí đề xuất'!$A:$AO,30,0),"")</f>
        <v/>
      </c>
      <c r="J40" s="50">
        <f>IFERROR(VLOOKUP(D40,'Vũ khí đề xuất'!$A:$AO,32,0),"")</f>
        <v/>
      </c>
      <c r="K40" s="50">
        <f>IFERROR(VLOOKUP(D40,'Vũ khí đề xuất'!$A:$AO,35,0),"")</f>
        <v/>
      </c>
      <c r="L40" s="50">
        <f>IFERROR(VLOOKUP(D40,'Vũ khí đề xuất'!$A:$AO,36,0),"")</f>
        <v/>
      </c>
      <c r="M40" s="39" t="n"/>
    </row>
    <row r="41" ht="15" customHeight="1" s="32">
      <c r="A41" s="41" t="inlineStr">
        <is>
          <t>thermobaric_launcher</t>
        </is>
      </c>
      <c r="B41" s="41" t="inlineStr">
        <is>
          <t>Pháo phản lực nhiệt áp</t>
        </is>
      </c>
      <c r="C41" s="41" t="inlineStr">
        <is>
          <t>Xe</t>
        </is>
      </c>
      <c r="D41" s="41" t="inlineStr">
        <is>
          <t>hmg_selfdef_18</t>
        </is>
      </c>
      <c r="E41" s="41" t="inlineStr">
        <is>
          <t>M2 Browning 12.7 mm</t>
        </is>
      </c>
      <c r="F41" s="43" t="n">
        <v>1</v>
      </c>
      <c r="G41" s="51">
        <f>IFERROR(VLOOKUP(D41,'Vũ khí đề xuất'!$A:$AO,27,0),"")</f>
        <v/>
      </c>
      <c r="H41" s="51">
        <f>IFERROR(VLOOKUP(D41,'Vũ khí đề xuất'!$A:$AO,28,0),"")</f>
        <v/>
      </c>
      <c r="I41" s="51">
        <f>IFERROR(VLOOKUP(D41,'Vũ khí đề xuất'!$A:$AO,30,0),"")</f>
        <v/>
      </c>
      <c r="J41" s="51">
        <f>IFERROR(VLOOKUP(D41,'Vũ khí đề xuất'!$A:$AO,32,0),"")</f>
        <v/>
      </c>
      <c r="K41" s="51">
        <f>IFERROR(VLOOKUP(D41,'Vũ khí đề xuất'!$A:$AO,35,0),"")</f>
        <v/>
      </c>
      <c r="L41" s="51">
        <f>IFERROR(VLOOKUP(D41,'Vũ khí đề xuất'!$A:$AO,36,0),"")</f>
        <v/>
      </c>
      <c r="M41" s="41" t="n"/>
    </row>
    <row r="42" ht="15" customHeight="1" s="32">
      <c r="A42" s="39" t="inlineStr">
        <is>
          <t>ballistic_launcher</t>
        </is>
      </c>
      <c r="B42" s="39" t="inlineStr">
        <is>
          <t>Xe phóng tên lửa đạn đạo</t>
        </is>
      </c>
      <c r="C42" s="39" t="inlineStr">
        <is>
          <t>Xe</t>
        </is>
      </c>
      <c r="D42" s="39" t="inlineStr">
        <is>
          <t>ballistic_missile</t>
        </is>
      </c>
      <c r="E42" s="39" t="inlineStr">
        <is>
          <t>9M723 Iskander (700 kg)</t>
        </is>
      </c>
      <c r="F42" s="42" t="n">
        <v>1</v>
      </c>
      <c r="G42" s="50">
        <f>IFERROR(VLOOKUP(D42,'Vũ khí đề xuất'!$A:$AO,27,0),"")</f>
        <v/>
      </c>
      <c r="H42" s="50">
        <f>IFERROR(VLOOKUP(D42,'Vũ khí đề xuất'!$A:$AO,28,0),"")</f>
        <v/>
      </c>
      <c r="I42" s="50">
        <f>IFERROR(VLOOKUP(D42,'Vũ khí đề xuất'!$A:$AO,30,0),"")</f>
        <v/>
      </c>
      <c r="J42" s="50">
        <f>IFERROR(VLOOKUP(D42,'Vũ khí đề xuất'!$A:$AO,32,0),"")</f>
        <v/>
      </c>
      <c r="K42" s="50">
        <f>IFERROR(VLOOKUP(D42,'Vũ khí đề xuất'!$A:$AO,35,0),"")</f>
        <v/>
      </c>
      <c r="L42" s="50">
        <f>IFERROR(VLOOKUP(D42,'Vũ khí đề xuất'!$A:$AO,36,0),"")</f>
        <v/>
      </c>
      <c r="M42" s="39" t="inlineStr">
        <is>
          <t>Bỏ súng máy M2 — Iskander không có súng máy tự vệ.</t>
        </is>
      </c>
    </row>
    <row r="43" ht="15" customHeight="1" s="32">
      <c r="A43" s="41" t="inlineStr">
        <is>
          <t>ballistic_launcher</t>
        </is>
      </c>
      <c r="B43" s="41" t="inlineStr">
        <is>
          <t>Xe phóng tên lửa đạn đạo</t>
        </is>
      </c>
      <c r="C43" s="41" t="inlineStr">
        <is>
          <t>Xe</t>
        </is>
      </c>
      <c r="D43" s="41" t="inlineStr">
        <is>
          <t>hmg_selfdef_15</t>
        </is>
      </c>
      <c r="E43" s="41" t="inlineStr">
        <is>
          <t>M2 Browning 12.7 mm</t>
        </is>
      </c>
      <c r="F43" s="43" t="n">
        <v>0</v>
      </c>
      <c r="G43" s="51">
        <f>IFERROR(VLOOKUP(D43,'Vũ khí đề xuất'!$A:$AO,27,0),"")</f>
        <v/>
      </c>
      <c r="H43" s="51">
        <f>IFERROR(VLOOKUP(D43,'Vũ khí đề xuất'!$A:$AO,28,0),"")</f>
        <v/>
      </c>
      <c r="I43" s="51">
        <f>IFERROR(VLOOKUP(D43,'Vũ khí đề xuất'!$A:$AO,30,0),"")</f>
        <v/>
      </c>
      <c r="J43" s="51">
        <f>IFERROR(VLOOKUP(D43,'Vũ khí đề xuất'!$A:$AO,32,0),"")</f>
        <v/>
      </c>
      <c r="K43" s="51">
        <f>IFERROR(VLOOKUP(D43,'Vũ khí đề xuất'!$A:$AO,35,0),"")</f>
        <v/>
      </c>
      <c r="L43" s="51">
        <f>IFERROR(VLOOKUP(D43,'Vũ khí đề xuất'!$A:$AO,36,0),"")</f>
        <v/>
      </c>
      <c r="M43" s="41" t="inlineStr">
        <is>
          <t>Bỏ súng máy M2 — Iskander không có súng máy tự vệ.</t>
        </is>
      </c>
    </row>
    <row r="44" ht="15" customHeight="1" s="32">
      <c r="A44" s="39" t="inlineStr">
        <is>
          <t>heavy_rocket_artillery</t>
        </is>
      </c>
      <c r="B44" s="39" t="inlineStr">
        <is>
          <t>Pháo phản lực hạng nặng</t>
        </is>
      </c>
      <c r="C44" s="39" t="inlineStr">
        <is>
          <t>Xe</t>
        </is>
      </c>
      <c r="D44" s="39" t="inlineStr">
        <is>
          <t>rockets_300mm</t>
        </is>
      </c>
      <c r="E44" s="39" t="inlineStr">
        <is>
          <t>9M55 Smerch 300 mm</t>
        </is>
      </c>
      <c r="F44" s="42" t="n">
        <v>1</v>
      </c>
      <c r="G44" s="50">
        <f>IFERROR(VLOOKUP(D44,'Vũ khí đề xuất'!$A:$AO,27,0),"")</f>
        <v/>
      </c>
      <c r="H44" s="50">
        <f>IFERROR(VLOOKUP(D44,'Vũ khí đề xuất'!$A:$AO,28,0),"")</f>
        <v/>
      </c>
      <c r="I44" s="50">
        <f>IFERROR(VLOOKUP(D44,'Vũ khí đề xuất'!$A:$AO,30,0),"")</f>
        <v/>
      </c>
      <c r="J44" s="50">
        <f>IFERROR(VLOOKUP(D44,'Vũ khí đề xuất'!$A:$AO,32,0),"")</f>
        <v/>
      </c>
      <c r="K44" s="50">
        <f>IFERROR(VLOOKUP(D44,'Vũ khí đề xuất'!$A:$AO,35,0),"")</f>
        <v/>
      </c>
      <c r="L44" s="50">
        <f>IFERROR(VLOOKUP(D44,'Vũ khí đề xuất'!$A:$AO,36,0),"")</f>
        <v/>
      </c>
      <c r="M44" s="39" t="inlineStr">
        <is>
          <t>Bỏ súng máy M2 — Smerch không có súng máy tự vệ.</t>
        </is>
      </c>
    </row>
    <row r="45" ht="15" customHeight="1" s="32">
      <c r="A45" s="41" t="inlineStr">
        <is>
          <t>heavy_rocket_artillery</t>
        </is>
      </c>
      <c r="B45" s="41" t="inlineStr">
        <is>
          <t>Pháo phản lực hạng nặng</t>
        </is>
      </c>
      <c r="C45" s="41" t="inlineStr">
        <is>
          <t>Xe</t>
        </is>
      </c>
      <c r="D45" s="41" t="inlineStr">
        <is>
          <t>hmg_selfdef_15</t>
        </is>
      </c>
      <c r="E45" s="41" t="inlineStr">
        <is>
          <t>M2 Browning 12.7 mm</t>
        </is>
      </c>
      <c r="F45" s="43" t="n">
        <v>0</v>
      </c>
      <c r="G45" s="51">
        <f>IFERROR(VLOOKUP(D45,'Vũ khí đề xuất'!$A:$AO,27,0),"")</f>
        <v/>
      </c>
      <c r="H45" s="51">
        <f>IFERROR(VLOOKUP(D45,'Vũ khí đề xuất'!$A:$AO,28,0),"")</f>
        <v/>
      </c>
      <c r="I45" s="51">
        <f>IFERROR(VLOOKUP(D45,'Vũ khí đề xuất'!$A:$AO,30,0),"")</f>
        <v/>
      </c>
      <c r="J45" s="51">
        <f>IFERROR(VLOOKUP(D45,'Vũ khí đề xuất'!$A:$AO,32,0),"")</f>
        <v/>
      </c>
      <c r="K45" s="51">
        <f>IFERROR(VLOOKUP(D45,'Vũ khí đề xuất'!$A:$AO,35,0),"")</f>
        <v/>
      </c>
      <c r="L45" s="51">
        <f>IFERROR(VLOOKUP(D45,'Vũ khí đề xuất'!$A:$AO,36,0),"")</f>
        <v/>
      </c>
      <c r="M45" s="41" t="inlineStr">
        <is>
          <t>Bỏ súng máy M2 — Smerch không có súng máy tự vệ.</t>
        </is>
      </c>
    </row>
    <row r="46" ht="15" customHeight="1" s="32">
      <c r="A46" s="39" t="inlineStr">
        <is>
          <t>siege_tank</t>
        </is>
      </c>
      <c r="B46" s="39" t="inlineStr">
        <is>
          <t>Tăng công thành</t>
        </is>
      </c>
      <c r="C46" s="39" t="inlineStr">
        <is>
          <t>Xe</t>
        </is>
      </c>
      <c r="D46" s="39" t="inlineStr">
        <is>
          <t>siege_mortar_240</t>
        </is>
      </c>
      <c r="E46" s="39" t="inlineStr">
        <is>
          <t>2B8 240 mm (siege tank)</t>
        </is>
      </c>
      <c r="F46" s="42" t="n">
        <v>1</v>
      </c>
      <c r="G46" s="50">
        <f>IFERROR(VLOOKUP(D46,'Vũ khí đề xuất'!$A:$AO,27,0),"")</f>
        <v/>
      </c>
      <c r="H46" s="50">
        <f>IFERROR(VLOOKUP(D46,'Vũ khí đề xuất'!$A:$AO,28,0),"")</f>
        <v/>
      </c>
      <c r="I46" s="50">
        <f>IFERROR(VLOOKUP(D46,'Vũ khí đề xuất'!$A:$AO,30,0),"")</f>
        <v/>
      </c>
      <c r="J46" s="50">
        <f>IFERROR(VLOOKUP(D46,'Vũ khí đề xuất'!$A:$AO,32,0),"")</f>
        <v/>
      </c>
      <c r="K46" s="50">
        <f>IFERROR(VLOOKUP(D46,'Vũ khí đề xuất'!$A:$AO,35,0),"")</f>
        <v/>
      </c>
      <c r="L46" s="50">
        <f>IFERROR(VLOOKUP(D46,'Vũ khí đề xuất'!$A:$AO,36,0),"")</f>
        <v/>
      </c>
      <c r="M46" s="39" t="n"/>
    </row>
    <row r="47" ht="15" customHeight="1" s="32">
      <c r="A47" s="41" t="inlineStr">
        <is>
          <t>siege_tank</t>
        </is>
      </c>
      <c r="B47" s="41" t="inlineStr">
        <is>
          <t>Tăng công thành</t>
        </is>
      </c>
      <c r="C47" s="41" t="inlineStr">
        <is>
          <t>Xe</t>
        </is>
      </c>
      <c r="D47" s="41" t="inlineStr">
        <is>
          <t>siege_gun_105</t>
        </is>
      </c>
      <c r="E47" s="41" t="inlineStr">
        <is>
          <t>L7 105 mm (siege tank)</t>
        </is>
      </c>
      <c r="F47" s="43" t="n">
        <v>1</v>
      </c>
      <c r="G47" s="51">
        <f>IFERROR(VLOOKUP(D47,'Vũ khí đề xuất'!$A:$AO,27,0),"")</f>
        <v/>
      </c>
      <c r="H47" s="51">
        <f>IFERROR(VLOOKUP(D47,'Vũ khí đề xuất'!$A:$AO,28,0),"")</f>
        <v/>
      </c>
      <c r="I47" s="51">
        <f>IFERROR(VLOOKUP(D47,'Vũ khí đề xuất'!$A:$AO,30,0),"")</f>
        <v/>
      </c>
      <c r="J47" s="51">
        <f>IFERROR(VLOOKUP(D47,'Vũ khí đề xuất'!$A:$AO,32,0),"")</f>
        <v/>
      </c>
      <c r="K47" s="51">
        <f>IFERROR(VLOOKUP(D47,'Vũ khí đề xuất'!$A:$AO,35,0),"")</f>
        <v/>
      </c>
      <c r="L47" s="51">
        <f>IFERROR(VLOOKUP(D47,'Vũ khí đề xuất'!$A:$AO,36,0),"")</f>
        <v/>
      </c>
      <c r="M47" s="41" t="n"/>
    </row>
    <row r="48" ht="15" customHeight="1" s="32">
      <c r="A48" s="39" t="inlineStr">
        <is>
          <t>siege_tank</t>
        </is>
      </c>
      <c r="B48" s="39" t="inlineStr">
        <is>
          <t>Tăng công thành</t>
        </is>
      </c>
      <c r="C48" s="39" t="inlineStr">
        <is>
          <t>Xe</t>
        </is>
      </c>
      <c r="D48" s="39" t="inlineStr">
        <is>
          <t>hmg_selfdef_21</t>
        </is>
      </c>
      <c r="E48" s="39" t="inlineStr">
        <is>
          <t>M2 Browning 12.7 mm</t>
        </is>
      </c>
      <c r="F48" s="42" t="n">
        <v>1</v>
      </c>
      <c r="G48" s="50">
        <f>IFERROR(VLOOKUP(D48,'Vũ khí đề xuất'!$A:$AO,27,0),"")</f>
        <v/>
      </c>
      <c r="H48" s="50">
        <f>IFERROR(VLOOKUP(D48,'Vũ khí đề xuất'!$A:$AO,28,0),"")</f>
        <v/>
      </c>
      <c r="I48" s="50">
        <f>IFERROR(VLOOKUP(D48,'Vũ khí đề xuất'!$A:$AO,30,0),"")</f>
        <v/>
      </c>
      <c r="J48" s="50">
        <f>IFERROR(VLOOKUP(D48,'Vũ khí đề xuất'!$A:$AO,32,0),"")</f>
        <v/>
      </c>
      <c r="K48" s="50">
        <f>IFERROR(VLOOKUP(D48,'Vũ khí đề xuất'!$A:$AO,35,0),"")</f>
        <v/>
      </c>
      <c r="L48" s="50">
        <f>IFERROR(VLOOKUP(D48,'Vũ khí đề xuất'!$A:$AO,36,0),"")</f>
        <v/>
      </c>
      <c r="M48" s="39" t="n"/>
    </row>
    <row r="49" ht="15" customHeight="1" s="32">
      <c r="A49" s="41" t="inlineStr">
        <is>
          <t>zu23_technical</t>
        </is>
      </c>
      <c r="B49" s="41" t="inlineStr">
        <is>
          <t>Bán tải ZU-23</t>
        </is>
      </c>
      <c r="C49" s="41" t="inlineStr">
        <is>
          <t>Xe</t>
        </is>
      </c>
      <c r="D49" s="41" t="inlineStr">
        <is>
          <t>zu23</t>
        </is>
      </c>
      <c r="E49" s="41" t="inlineStr">
        <is>
          <t>ZU-23-2 23 mm</t>
        </is>
      </c>
      <c r="F49" s="43" t="n">
        <v>1</v>
      </c>
      <c r="G49" s="51">
        <f>IFERROR(VLOOKUP(D49,'Vũ khí đề xuất'!$A:$AO,27,0),"")</f>
        <v/>
      </c>
      <c r="H49" s="51">
        <f>IFERROR(VLOOKUP(D49,'Vũ khí đề xuất'!$A:$AO,28,0),"")</f>
        <v/>
      </c>
      <c r="I49" s="51">
        <f>IFERROR(VLOOKUP(D49,'Vũ khí đề xuất'!$A:$AO,30,0),"")</f>
        <v/>
      </c>
      <c r="J49" s="51">
        <f>IFERROR(VLOOKUP(D49,'Vũ khí đề xuất'!$A:$AO,32,0),"")</f>
        <v/>
      </c>
      <c r="K49" s="51">
        <f>IFERROR(VLOOKUP(D49,'Vũ khí đề xuất'!$A:$AO,35,0),"")</f>
        <v/>
      </c>
      <c r="L49" s="51">
        <f>IFERROR(VLOOKUP(D49,'Vũ khí đề xuất'!$A:$AO,36,0),"")</f>
        <v/>
      </c>
      <c r="M49" s="41" t="n"/>
    </row>
    <row r="50" ht="15" customHeight="1" s="32">
      <c r="A50" s="39" t="inlineStr">
        <is>
          <t>aa_vehicle</t>
        </is>
      </c>
      <c r="B50" s="39" t="inlineStr">
        <is>
          <t>Xe phòng không</t>
        </is>
      </c>
      <c r="C50" s="39" t="inlineStr">
        <is>
          <t>Xe</t>
        </is>
      </c>
      <c r="D50" s="39" t="inlineStr">
        <is>
          <t>flak_35</t>
        </is>
      </c>
      <c r="E50" s="39" t="inlineStr">
        <is>
          <t>Oerlikon KDA 35 mm (Gepard)</t>
        </is>
      </c>
      <c r="F50" s="42" t="n">
        <v>1</v>
      </c>
      <c r="G50" s="50">
        <f>IFERROR(VLOOKUP(D50,'Vũ khí đề xuất'!$A:$AO,27,0),"")</f>
        <v/>
      </c>
      <c r="H50" s="50">
        <f>IFERROR(VLOOKUP(D50,'Vũ khí đề xuất'!$A:$AO,28,0),"")</f>
        <v/>
      </c>
      <c r="I50" s="50">
        <f>IFERROR(VLOOKUP(D50,'Vũ khí đề xuất'!$A:$AO,30,0),"")</f>
        <v/>
      </c>
      <c r="J50" s="50">
        <f>IFERROR(VLOOKUP(D50,'Vũ khí đề xuất'!$A:$AO,32,0),"")</f>
        <v/>
      </c>
      <c r="K50" s="50">
        <f>IFERROR(VLOOKUP(D50,'Vũ khí đề xuất'!$A:$AO,35,0),"")</f>
        <v/>
      </c>
      <c r="L50" s="50">
        <f>IFERROR(VLOOKUP(D50,'Vũ khí đề xuất'!$A:$AO,36,0),"")</f>
        <v/>
      </c>
      <c r="M50" s="39" t="inlineStr">
        <is>
          <t>Giữ Stinger phụ — Gepard bản nâng cấp có thể mang Stinger.</t>
        </is>
      </c>
    </row>
    <row r="51" ht="15" customHeight="1" s="32">
      <c r="A51" s="41" t="inlineStr">
        <is>
          <t>aa_vehicle</t>
        </is>
      </c>
      <c r="B51" s="41" t="inlineStr">
        <is>
          <t>Xe phòng không</t>
        </is>
      </c>
      <c r="C51" s="41" t="inlineStr">
        <is>
          <t>Xe</t>
        </is>
      </c>
      <c r="D51" s="41" t="inlineStr">
        <is>
          <t>sam</t>
        </is>
      </c>
      <c r="E51" s="41" t="inlineStr">
        <is>
          <t>Starstreak / Stinger SHORAD</t>
        </is>
      </c>
      <c r="F51" s="43" t="n">
        <v>1</v>
      </c>
      <c r="G51" s="51">
        <f>IFERROR(VLOOKUP(D51,'Vũ khí đề xuất'!$A:$AO,27,0),"")</f>
        <v/>
      </c>
      <c r="H51" s="51">
        <f>IFERROR(VLOOKUP(D51,'Vũ khí đề xuất'!$A:$AO,28,0),"")</f>
        <v/>
      </c>
      <c r="I51" s="51">
        <f>IFERROR(VLOOKUP(D51,'Vũ khí đề xuất'!$A:$AO,30,0),"")</f>
        <v/>
      </c>
      <c r="J51" s="51">
        <f>IFERROR(VLOOKUP(D51,'Vũ khí đề xuất'!$A:$AO,32,0),"")</f>
        <v/>
      </c>
      <c r="K51" s="51">
        <f>IFERROR(VLOOKUP(D51,'Vũ khí đề xuất'!$A:$AO,35,0),"")</f>
        <v/>
      </c>
      <c r="L51" s="51">
        <f>IFERROR(VLOOKUP(D51,'Vũ khí đề xuất'!$A:$AO,36,0),"")</f>
        <v/>
      </c>
      <c r="M51" s="41" t="inlineStr">
        <is>
          <t>Giữ Stinger phụ — Gepard bản nâng cấp có thể mang Stinger.</t>
        </is>
      </c>
    </row>
    <row r="52" ht="21.75" customHeight="1" s="32">
      <c r="A52" s="39" t="inlineStr">
        <is>
          <t>sam_launcher</t>
        </is>
      </c>
      <c r="B52" s="39" t="inlineStr">
        <is>
          <t>Tên lửa phòng không</t>
        </is>
      </c>
      <c r="C52" s="39" t="inlineStr">
        <is>
          <t>Xe</t>
        </is>
      </c>
      <c r="D52" s="39" t="inlineStr">
        <is>
          <t>buk_launcher</t>
        </is>
      </c>
      <c r="E52" s="39" t="inlineStr">
        <is>
          <t>9M317 Buk</t>
        </is>
      </c>
      <c r="F52" s="42" t="n">
        <v>1</v>
      </c>
      <c r="G52" s="50">
        <f>IFERROR(VLOOKUP(D52,'Vũ khí đề xuất'!$A:$AO,27,0),"")</f>
        <v/>
      </c>
      <c r="H52" s="50">
        <f>IFERROR(VLOOKUP(D52,'Vũ khí đề xuất'!$A:$AO,28,0),"")</f>
        <v/>
      </c>
      <c r="I52" s="50">
        <f>IFERROR(VLOOKUP(D52,'Vũ khí đề xuất'!$A:$AO,30,0),"")</f>
        <v/>
      </c>
      <c r="J52" s="50">
        <f>IFERROR(VLOOKUP(D52,'Vũ khí đề xuất'!$A:$AO,32,0),"")</f>
        <v/>
      </c>
      <c r="K52" s="50">
        <f>IFERROR(VLOOKUP(D52,'Vũ khí đề xuất'!$A:$AO,35,0),"")</f>
        <v/>
      </c>
      <c r="L52" s="50">
        <f>IFERROR(VLOOKUP(D52,'Vũ khí đề xuất'!$A:$AO,36,0),"")</f>
        <v/>
      </c>
      <c r="M52" s="39" t="inlineStr">
        <is>
          <t>Bỏ súng máy M2 — Buk TELAR thật không có súng máy; để xe phóng tên lửa yếu khi bị áp sát (cần hộ tống).</t>
        </is>
      </c>
    </row>
    <row r="53" ht="21.75" customHeight="1" s="32">
      <c r="A53" s="41" t="inlineStr">
        <is>
          <t>sam_launcher</t>
        </is>
      </c>
      <c r="B53" s="41" t="inlineStr">
        <is>
          <t>Tên lửa phòng không</t>
        </is>
      </c>
      <c r="C53" s="41" t="inlineStr">
        <is>
          <t>Xe</t>
        </is>
      </c>
      <c r="D53" s="41" t="inlineStr">
        <is>
          <t>hmg_selfdef_18</t>
        </is>
      </c>
      <c r="E53" s="41" t="inlineStr">
        <is>
          <t>M2 Browning 12.7 mm</t>
        </is>
      </c>
      <c r="F53" s="43" t="n">
        <v>0</v>
      </c>
      <c r="G53" s="51">
        <f>IFERROR(VLOOKUP(D53,'Vũ khí đề xuất'!$A:$AO,27,0),"")</f>
        <v/>
      </c>
      <c r="H53" s="51">
        <f>IFERROR(VLOOKUP(D53,'Vũ khí đề xuất'!$A:$AO,28,0),"")</f>
        <v/>
      </c>
      <c r="I53" s="51">
        <f>IFERROR(VLOOKUP(D53,'Vũ khí đề xuất'!$A:$AO,30,0),"")</f>
        <v/>
      </c>
      <c r="J53" s="51">
        <f>IFERROR(VLOOKUP(D53,'Vũ khí đề xuất'!$A:$AO,32,0),"")</f>
        <v/>
      </c>
      <c r="K53" s="51">
        <f>IFERROR(VLOOKUP(D53,'Vũ khí đề xuất'!$A:$AO,35,0),"")</f>
        <v/>
      </c>
      <c r="L53" s="51">
        <f>IFERROR(VLOOKUP(D53,'Vũ khí đề xuất'!$A:$AO,36,0),"")</f>
        <v/>
      </c>
      <c r="M53" s="41" t="inlineStr">
        <is>
          <t>Bỏ súng máy M2 — Buk TELAR thật không có súng máy; để xe phóng tên lửa yếu khi bị áp sát (cần hộ tống).</t>
        </is>
      </c>
    </row>
    <row r="54" ht="21.75" customHeight="1" s="32">
      <c r="A54" s="39" t="inlineStr">
        <is>
          <t>heavy_aa</t>
        </is>
      </c>
      <c r="B54" s="39" t="inlineStr">
        <is>
          <t>Pháo tên lửa phòng không</t>
        </is>
      </c>
      <c r="C54" s="39" t="inlineStr">
        <is>
          <t>Xe</t>
        </is>
      </c>
      <c r="D54" s="39" t="inlineStr">
        <is>
          <t>twin_30_flak</t>
        </is>
      </c>
      <c r="E54" s="39" t="inlineStr">
        <is>
          <t>2A38 30 mm (twin)</t>
        </is>
      </c>
      <c r="F54" s="42" t="n">
        <v>1</v>
      </c>
      <c r="G54" s="50">
        <f>IFERROR(VLOOKUP(D54,'Vũ khí đề xuất'!$A:$AO,27,0),"")</f>
        <v/>
      </c>
      <c r="H54" s="50">
        <f>IFERROR(VLOOKUP(D54,'Vũ khí đề xuất'!$A:$AO,28,0),"")</f>
        <v/>
      </c>
      <c r="I54" s="50">
        <f>IFERROR(VLOOKUP(D54,'Vũ khí đề xuất'!$A:$AO,30,0),"")</f>
        <v/>
      </c>
      <c r="J54" s="50">
        <f>IFERROR(VLOOKUP(D54,'Vũ khí đề xuất'!$A:$AO,32,0),"")</f>
        <v/>
      </c>
      <c r="K54" s="50">
        <f>IFERROR(VLOOKUP(D54,'Vũ khí đề xuất'!$A:$AO,35,0),"")</f>
        <v/>
      </c>
      <c r="L54" s="50">
        <f>IFERROR(VLOOKUP(D54,'Vũ khí đề xuất'!$A:$AO,36,0),"")</f>
        <v/>
      </c>
      <c r="M54" s="39" t="inlineStr">
        <is>
          <t>Đổi Stinger → tên lửa 57E6 (Pantsir): 1 × 220, Mảnh xuyên 3, tầm 55, tốc độ 55 — Pantsir thật mang tên lửa riêng tầm xa hơn Stinger.</t>
        </is>
      </c>
    </row>
    <row r="55" ht="21.75" customHeight="1" s="32">
      <c r="A55" s="41" t="inlineStr">
        <is>
          <t>heavy_aa</t>
        </is>
      </c>
      <c r="B55" s="41" t="inlineStr">
        <is>
          <t>Pháo tên lửa phòng không</t>
        </is>
      </c>
      <c r="C55" s="41" t="inlineStr">
        <is>
          <t>Xe</t>
        </is>
      </c>
      <c r="D55" s="41" t="inlineStr">
        <is>
          <t>sam</t>
        </is>
      </c>
      <c r="E55" s="41" t="inlineStr">
        <is>
          <t>Starstreak / Stinger SHORAD</t>
        </is>
      </c>
      <c r="F55" s="43" t="n">
        <v>1</v>
      </c>
      <c r="G55" s="51">
        <f>IFERROR(VLOOKUP(D55,'Vũ khí đề xuất'!$A:$AO,27,0),"")</f>
        <v/>
      </c>
      <c r="H55" s="51">
        <f>IFERROR(VLOOKUP(D55,'Vũ khí đề xuất'!$A:$AO,28,0),"")</f>
        <v/>
      </c>
      <c r="I55" s="51">
        <f>IFERROR(VLOOKUP(D55,'Vũ khí đề xuất'!$A:$AO,30,0),"")</f>
        <v/>
      </c>
      <c r="J55" s="51">
        <f>IFERROR(VLOOKUP(D55,'Vũ khí đề xuất'!$A:$AO,32,0),"")</f>
        <v/>
      </c>
      <c r="K55" s="51">
        <f>IFERROR(VLOOKUP(D55,'Vũ khí đề xuất'!$A:$AO,35,0),"")</f>
        <v/>
      </c>
      <c r="L55" s="51">
        <f>IFERROR(VLOOKUP(D55,'Vũ khí đề xuất'!$A:$AO,36,0),"")</f>
        <v/>
      </c>
      <c r="M55" s="41" t="inlineStr">
        <is>
          <t>Đổi Stinger → tên lửa 57E6 (Pantsir): 1 × 220, Mảnh xuyên 3, tầm 55, tốc độ 55 — Pantsir thật mang tên lửa riêng tầm xa hơn Stinger.</t>
        </is>
      </c>
    </row>
    <row r="56" ht="15" customHeight="1" s="32">
      <c r="A56" s="39" t="inlineStr">
        <is>
          <t>iron_beam</t>
        </is>
      </c>
      <c r="B56" s="39" t="inlineStr">
        <is>
          <t>La-de phòng không</t>
        </is>
      </c>
      <c r="C56" s="39" t="inlineStr">
        <is>
          <t>Xe</t>
        </is>
      </c>
      <c r="D56" s="39" t="inlineStr">
        <is>
          <t>hel_beam</t>
        </is>
      </c>
      <c r="E56" s="39" t="inlineStr">
        <is>
          <t>Iron Beam laser (100 kW) 100 mm</t>
        </is>
      </c>
      <c r="F56" s="42" t="n">
        <v>1</v>
      </c>
      <c r="G56" s="50">
        <f>IFERROR(VLOOKUP(D56,'Vũ khí đề xuất'!$A:$AO,27,0),"")</f>
        <v/>
      </c>
      <c r="H56" s="50">
        <f>IFERROR(VLOOKUP(D56,'Vũ khí đề xuất'!$A:$AO,28,0),"")</f>
        <v/>
      </c>
      <c r="I56" s="50">
        <f>IFERROR(VLOOKUP(D56,'Vũ khí đề xuất'!$A:$AO,30,0),"")</f>
        <v/>
      </c>
      <c r="J56" s="50">
        <f>IFERROR(VLOOKUP(D56,'Vũ khí đề xuất'!$A:$AO,32,0),"")</f>
        <v/>
      </c>
      <c r="K56" s="50">
        <f>IFERROR(VLOOKUP(D56,'Vũ khí đề xuất'!$A:$AO,35,0),"")</f>
        <v/>
      </c>
      <c r="L56" s="50">
        <f>IFERROR(VLOOKUP(D56,'Vũ khí đề xuất'!$A:$AO,36,0),"")</f>
        <v/>
      </c>
      <c r="M56" s="39" t="n"/>
    </row>
    <row r="57" ht="15" customHeight="1" s="32">
      <c r="A57" s="41" t="inlineStr">
        <is>
          <t>long_sam</t>
        </is>
      </c>
      <c r="B57" s="41" t="inlineStr">
        <is>
          <t>Tên lửa phòng không tầm xa</t>
        </is>
      </c>
      <c r="C57" s="41" t="inlineStr">
        <is>
          <t>Xe</t>
        </is>
      </c>
      <c r="D57" s="41" t="inlineStr">
        <is>
          <t>sam_48n6</t>
        </is>
      </c>
      <c r="E57" s="41" t="inlineStr">
        <is>
          <t>S-400 48N6</t>
        </is>
      </c>
      <c r="F57" s="43" t="n">
        <v>1</v>
      </c>
      <c r="G57" s="51">
        <f>IFERROR(VLOOKUP(D57,'Vũ khí đề xuất'!$A:$AO,27,0),"")</f>
        <v/>
      </c>
      <c r="H57" s="51">
        <f>IFERROR(VLOOKUP(D57,'Vũ khí đề xuất'!$A:$AO,28,0),"")</f>
        <v/>
      </c>
      <c r="I57" s="51">
        <f>IFERROR(VLOOKUP(D57,'Vũ khí đề xuất'!$A:$AO,30,0),"")</f>
        <v/>
      </c>
      <c r="J57" s="51">
        <f>IFERROR(VLOOKUP(D57,'Vũ khí đề xuất'!$A:$AO,32,0),"")</f>
        <v/>
      </c>
      <c r="K57" s="51">
        <f>IFERROR(VLOOKUP(D57,'Vũ khí đề xuất'!$A:$AO,35,0),"")</f>
        <v/>
      </c>
      <c r="L57" s="51">
        <f>IFERROR(VLOOKUP(D57,'Vũ khí đề xuất'!$A:$AO,36,0),"")</f>
        <v/>
      </c>
      <c r="M57" s="41" t="n"/>
    </row>
    <row r="58" ht="21.75" customHeight="1" s="32">
      <c r="A58" s="39" t="inlineStr">
        <is>
          <t>scout_heli</t>
        </is>
      </c>
      <c r="B58" s="39" t="inlineStr">
        <is>
          <t>Trực thăng trinh sát</t>
        </is>
      </c>
      <c r="C58" s="39" t="inlineStr">
        <is>
          <t>Xe</t>
        </is>
      </c>
      <c r="D58" s="39" t="inlineStr">
        <is>
          <t>minigun</t>
        </is>
      </c>
      <c r="E58" s="39" t="inlineStr">
        <is>
          <t>M134 Minigun 7.62 mm</t>
        </is>
      </c>
      <c r="F58" s="42" t="n">
        <v>1</v>
      </c>
      <c r="G58" s="50">
        <f>IFERROR(VLOOKUP(D58,'Vũ khí đề xuất'!$A:$AO,27,0),"")</f>
        <v/>
      </c>
      <c r="H58" s="50">
        <f>IFERROR(VLOOKUP(D58,'Vũ khí đề xuất'!$A:$AO,28,0),"")</f>
        <v/>
      </c>
      <c r="I58" s="50">
        <f>IFERROR(VLOOKUP(D58,'Vũ khí đề xuất'!$A:$AO,30,0),"")</f>
        <v/>
      </c>
      <c r="J58" s="50">
        <f>IFERROR(VLOOKUP(D58,'Vũ khí đề xuất'!$A:$AO,32,0),"")</f>
        <v/>
      </c>
      <c r="K58" s="50">
        <f>IFERROR(VLOOKUP(D58,'Vũ khí đề xuất'!$A:$AO,35,0),"")</f>
        <v/>
      </c>
      <c r="L58" s="50">
        <f>IFERROR(VLOOKUP(D58,'Vũ khí đề xuất'!$A:$AO,36,0),"")</f>
        <v/>
      </c>
      <c r="M58" s="39" t="inlineStr">
        <is>
          <t>Hydra: 12 → 6 quả mỗi lần đầy đạn — Trực thăng trinh sát đang diệt xe nhẹ mạnh nhất game theo CP.</t>
        </is>
      </c>
    </row>
    <row r="59" ht="21.75" customHeight="1" s="32">
      <c r="A59" s="41" t="inlineStr">
        <is>
          <t>scout_heli</t>
        </is>
      </c>
      <c r="B59" s="41" t="inlineStr">
        <is>
          <t>Trực thăng trinh sát</t>
        </is>
      </c>
      <c r="C59" s="41" t="inlineStr">
        <is>
          <t>Xe</t>
        </is>
      </c>
      <c r="D59" s="41" t="inlineStr">
        <is>
          <t>scout_rockets</t>
        </is>
      </c>
      <c r="E59" s="41" t="inlineStr">
        <is>
          <t>Hydra 70 mm</t>
        </is>
      </c>
      <c r="F59" s="43" t="n">
        <v>1</v>
      </c>
      <c r="G59" s="51">
        <f>IFERROR(VLOOKUP(D59,'Vũ khí đề xuất'!$A:$AO,27,0),"")</f>
        <v/>
      </c>
      <c r="H59" s="51">
        <f>IFERROR(VLOOKUP(D59,'Vũ khí đề xuất'!$A:$AO,28,0),"")</f>
        <v/>
      </c>
      <c r="I59" s="51">
        <f>IFERROR(VLOOKUP(D59,'Vũ khí đề xuất'!$A:$AO,30,0),"")</f>
        <v/>
      </c>
      <c r="J59" s="51">
        <f>IFERROR(VLOOKUP(D59,'Vũ khí đề xuất'!$A:$AO,32,0),"")</f>
        <v/>
      </c>
      <c r="K59" s="51">
        <f>IFERROR(VLOOKUP(D59,'Vũ khí đề xuất'!$A:$AO,35,0),"")</f>
        <v/>
      </c>
      <c r="L59" s="51">
        <f>IFERROR(VLOOKUP(D59,'Vũ khí đề xuất'!$A:$AO,36,0),"")</f>
        <v/>
      </c>
      <c r="M59" s="41" t="inlineStr">
        <is>
          <t>Hydra: 12 → 6 quả mỗi lần đầy đạn — Trực thăng trinh sát đang diệt xe nhẹ mạnh nhất game theo CP.</t>
        </is>
      </c>
    </row>
    <row r="60" ht="15" customHeight="1" s="32">
      <c r="A60" s="39" t="inlineStr">
        <is>
          <t>recon_drone</t>
        </is>
      </c>
      <c r="B60" s="39" t="inlineStr">
        <is>
          <t>UAV trinh sát</t>
        </is>
      </c>
      <c r="C60" s="39" t="inlineStr">
        <is>
          <t>Xe</t>
        </is>
      </c>
      <c r="D60" s="39" t="inlineStr">
        <is>
          <t>recon_missile</t>
        </is>
      </c>
      <c r="E60" s="39" t="inlineStr">
        <is>
          <t>MAM-L</t>
        </is>
      </c>
      <c r="F60" s="42" t="n">
        <v>1</v>
      </c>
      <c r="G60" s="50">
        <f>IFERROR(VLOOKUP(D60,'Vũ khí đề xuất'!$A:$AO,27,0),"")</f>
        <v/>
      </c>
      <c r="H60" s="50">
        <f>IFERROR(VLOOKUP(D60,'Vũ khí đề xuất'!$A:$AO,28,0),"")</f>
        <v/>
      </c>
      <c r="I60" s="50">
        <f>IFERROR(VLOOKUP(D60,'Vũ khí đề xuất'!$A:$AO,30,0),"")</f>
        <v/>
      </c>
      <c r="J60" s="50">
        <f>IFERROR(VLOOKUP(D60,'Vũ khí đề xuất'!$A:$AO,32,0),"")</f>
        <v/>
      </c>
      <c r="K60" s="50">
        <f>IFERROR(VLOOKUP(D60,'Vũ khí đề xuất'!$A:$AO,35,0),"")</f>
        <v/>
      </c>
      <c r="L60" s="50">
        <f>IFERROR(VLOOKUP(D60,'Vũ khí đề xuất'!$A:$AO,36,0),"")</f>
        <v/>
      </c>
      <c r="M60" s="39" t="n"/>
    </row>
    <row r="61" ht="15" customHeight="1" s="32">
      <c r="A61" s="41"/>
      <c r="B61" s="41"/>
      <c r="C61" s="41"/>
      <c r="D61" s="41"/>
      <c r="E61" s="41"/>
      <c r="F61" s="43"/>
      <c r="G61" s="51"/>
      <c r="H61" s="51"/>
      <c r="I61" s="51"/>
      <c r="J61" s="51"/>
      <c r="K61" s="51"/>
      <c r="L61" s="51"/>
      <c r="M61" s="41"/>
    </row>
    <row r="62" ht="15" customHeight="1" s="32">
      <c r="A62" s="39" t="inlineStr">
        <is>
          <t>strike_drone</t>
        </is>
      </c>
      <c r="B62" s="39" t="inlineStr">
        <is>
          <t>UAV tấn công</t>
        </is>
      </c>
      <c r="C62" s="39" t="inlineStr">
        <is>
          <t>Xe</t>
        </is>
      </c>
      <c r="D62" s="39" t="inlineStr">
        <is>
          <t>drone_missile</t>
        </is>
      </c>
      <c r="E62" s="39" t="inlineStr">
        <is>
          <t>AGM-114 Hellfire</t>
        </is>
      </c>
      <c r="F62" s="42" t="n">
        <v>1</v>
      </c>
      <c r="G62" s="50">
        <f>IFERROR(VLOOKUP(D62,'Vũ khí đề xuất'!$A:$AO,27,0),"")</f>
        <v/>
      </c>
      <c r="H62" s="50">
        <f>IFERROR(VLOOKUP(D62,'Vũ khí đề xuất'!$A:$AO,28,0),"")</f>
        <v/>
      </c>
      <c r="I62" s="50">
        <f>IFERROR(VLOOKUP(D62,'Vũ khí đề xuất'!$A:$AO,30,0),"")</f>
        <v/>
      </c>
      <c r="J62" s="50">
        <f>IFERROR(VLOOKUP(D62,'Vũ khí đề xuất'!$A:$AO,32,0),"")</f>
        <v/>
      </c>
      <c r="K62" s="50">
        <f>IFERROR(VLOOKUP(D62,'Vũ khí đề xuất'!$A:$AO,35,0),"")</f>
        <v/>
      </c>
      <c r="L62" s="50">
        <f>IFERROR(VLOOKUP(D62,'Vũ khí đề xuất'!$A:$AO,36,0),"")</f>
        <v/>
      </c>
      <c r="M62" s="39" t="n"/>
    </row>
    <row r="63" ht="15" customHeight="1" s="32">
      <c r="A63" s="41" t="inlineStr">
        <is>
          <t>strike_drone</t>
        </is>
      </c>
      <c r="B63" s="41" t="inlineStr">
        <is>
          <t>UAV tấn công</t>
        </is>
      </c>
      <c r="C63" s="41" t="inlineStr">
        <is>
          <t>Xe</t>
        </is>
      </c>
      <c r="D63" s="41" t="inlineStr">
        <is>
          <t>guided_bomb</t>
        </is>
      </c>
      <c r="E63" s="41" t="inlineStr">
        <is>
          <t>GBU-39 SDB (110 kg)</t>
        </is>
      </c>
      <c r="F63" s="43" t="n">
        <v>1</v>
      </c>
      <c r="G63" s="51">
        <f>IFERROR(VLOOKUP(D63,'Vũ khí đề xuất'!$A:$AO,27,0),"")</f>
        <v/>
      </c>
      <c r="H63" s="51">
        <f>IFERROR(VLOOKUP(D63,'Vũ khí đề xuất'!$A:$AO,28,0),"")</f>
        <v/>
      </c>
      <c r="I63" s="51">
        <f>IFERROR(VLOOKUP(D63,'Vũ khí đề xuất'!$A:$AO,30,0),"")</f>
        <v/>
      </c>
      <c r="J63" s="51">
        <f>IFERROR(VLOOKUP(D63,'Vũ khí đề xuất'!$A:$AO,32,0),"")</f>
        <v/>
      </c>
      <c r="K63" s="51">
        <f>IFERROR(VLOOKUP(D63,'Vũ khí đề xuất'!$A:$AO,35,0),"")</f>
        <v/>
      </c>
      <c r="L63" s="51">
        <f>IFERROR(VLOOKUP(D63,'Vũ khí đề xuất'!$A:$AO,36,0),"")</f>
        <v/>
      </c>
      <c r="M63" s="41" t="n"/>
    </row>
    <row r="64" ht="32.25" customHeight="1" s="32">
      <c r="A64" s="39" t="inlineStr">
        <is>
          <t>swarm_carrier</t>
        </is>
      </c>
      <c r="B64" s="39" t="inlineStr">
        <is>
          <t>Máy bay mẹ thả drone</t>
        </is>
      </c>
      <c r="C64" s="39" t="inlineStr">
        <is>
          <t>Xe</t>
        </is>
      </c>
      <c r="D64" s="39" t="inlineStr">
        <is>
          <t>swarm_drones</t>
        </is>
      </c>
      <c r="E64" s="39" t="inlineStr">
        <is>
          <t>FPV drone (1.5 kg)</t>
        </is>
      </c>
      <c r="F64" s="42" t="n">
        <v>1</v>
      </c>
      <c r="G64" s="50">
        <f>IFERROR(VLOOKUP(D64,'Vũ khí đề xuất'!$A:$AO,27,0),"")</f>
        <v/>
      </c>
      <c r="H64" s="50">
        <f>IFERROR(VLOOKUP(D64,'Vũ khí đề xuất'!$A:$AO,28,0),"")</f>
        <v/>
      </c>
      <c r="I64" s="50">
        <f>IFERROR(VLOOKUP(D64,'Vũ khí đề xuất'!$A:$AO,30,0),"")</f>
        <v/>
      </c>
      <c r="J64" s="50">
        <f>IFERROR(VLOOKUP(D64,'Vũ khí đề xuất'!$A:$AO,32,0),"")</f>
        <v/>
      </c>
      <c r="K64" s="50">
        <f>IFERROR(VLOOKUP(D64,'Vũ khí đề xuất'!$A:$AO,35,0),"")</f>
        <v/>
      </c>
      <c r="L64" s="50">
        <f>IFERROR(VLOOKUP(D64,'Vũ khí đề xuất'!$A:$AO,36,0),"")</f>
        <v/>
      </c>
      <c r="M64" s="39" t="inlineStr">
        <is>
          <t>Bỏ bom SDB; thêm 2 tên lửa hành trình Rapid Dragon mỗi lượt — C-130 không mang bom dẫn đường, nhưng thả được tên lửa hành trình theo pallet (Rapid Dragon); xứng với kích thước và giá mới 13 CP.</t>
        </is>
      </c>
    </row>
    <row r="65" ht="32.25" customHeight="1" s="32">
      <c r="A65" s="41" t="inlineStr">
        <is>
          <t>swarm_carrier</t>
        </is>
      </c>
      <c r="B65" s="41" t="inlineStr">
        <is>
          <t>Máy bay mẹ thả drone</t>
        </is>
      </c>
      <c r="C65" s="41" t="inlineStr">
        <is>
          <t>Xe</t>
        </is>
      </c>
      <c r="D65" s="41" t="inlineStr">
        <is>
          <t>guided_bomb</t>
        </is>
      </c>
      <c r="E65" s="41" t="inlineStr">
        <is>
          <t>GBU-39 SDB (110 kg)</t>
        </is>
      </c>
      <c r="F65" s="43" t="n">
        <v>0</v>
      </c>
      <c r="G65" s="51">
        <f>IFERROR(VLOOKUP(D65,'Vũ khí đề xuất'!$A:$AO,27,0),"")</f>
        <v/>
      </c>
      <c r="H65" s="51">
        <f>IFERROR(VLOOKUP(D65,'Vũ khí đề xuất'!$A:$AO,28,0),"")</f>
        <v/>
      </c>
      <c r="I65" s="51">
        <f>IFERROR(VLOOKUP(D65,'Vũ khí đề xuất'!$A:$AO,30,0),"")</f>
        <v/>
      </c>
      <c r="J65" s="51">
        <f>IFERROR(VLOOKUP(D65,'Vũ khí đề xuất'!$A:$AO,32,0),"")</f>
        <v/>
      </c>
      <c r="K65" s="51">
        <f>IFERROR(VLOOKUP(D65,'Vũ khí đề xuất'!$A:$AO,35,0),"")</f>
        <v/>
      </c>
      <c r="L65" s="51">
        <f>IFERROR(VLOOKUP(D65,'Vũ khí đề xuất'!$A:$AO,36,0),"")</f>
        <v/>
      </c>
      <c r="M65" s="41" t="inlineStr">
        <is>
          <t>Bỏ bom SDB; thêm 2 tên lửa hành trình Rapid Dragon mỗi lượt — C-130 không mang bom dẫn đường, nhưng thả được tên lửa hành trình theo pallet (Rapid Dragon); xứng với kích thước và giá mới 13 CP.</t>
        </is>
      </c>
    </row>
    <row r="66" ht="15" customHeight="1" s="32">
      <c r="A66" s="39" t="inlineStr">
        <is>
          <t>attack_helicopter</t>
        </is>
      </c>
      <c r="B66" s="39" t="inlineStr">
        <is>
          <t>Trực thăng tấn công</t>
        </is>
      </c>
      <c r="C66" s="39" t="inlineStr">
        <is>
          <t>Xe</t>
        </is>
      </c>
      <c r="D66" s="39" t="inlineStr">
        <is>
          <t>hellfire_standoff</t>
        </is>
      </c>
      <c r="E66" s="39" t="inlineStr">
        <is>
          <t>AGM-114L Hellfire Longbow</t>
        </is>
      </c>
      <c r="F66" s="42" t="n">
        <v>1</v>
      </c>
      <c r="G66" s="50">
        <f>IFERROR(VLOOKUP(D66,'Vũ khí đề xuất'!$A:$AO,27,0),"")</f>
        <v/>
      </c>
      <c r="H66" s="50">
        <f>IFERROR(VLOOKUP(D66,'Vũ khí đề xuất'!$A:$AO,28,0),"")</f>
        <v/>
      </c>
      <c r="I66" s="50">
        <f>IFERROR(VLOOKUP(D66,'Vũ khí đề xuất'!$A:$AO,30,0),"")</f>
        <v/>
      </c>
      <c r="J66" s="50">
        <f>IFERROR(VLOOKUP(D66,'Vũ khí đề xuất'!$A:$AO,32,0),"")</f>
        <v/>
      </c>
      <c r="K66" s="50">
        <f>IFERROR(VLOOKUP(D66,'Vũ khí đề xuất'!$A:$AO,35,0),"")</f>
        <v/>
      </c>
      <c r="L66" s="50">
        <f>IFERROR(VLOOKUP(D66,'Vũ khí đề xuất'!$A:$AO,36,0),"")</f>
        <v/>
      </c>
      <c r="M66" s="39" t="n"/>
    </row>
    <row r="67" ht="15" customHeight="1" s="32">
      <c r="A67" s="41" t="inlineStr">
        <is>
          <t>attack_helicopter</t>
        </is>
      </c>
      <c r="B67" s="41" t="inlineStr">
        <is>
          <t>Trực thăng tấn công</t>
        </is>
      </c>
      <c r="C67" s="41" t="inlineStr">
        <is>
          <t>Xe</t>
        </is>
      </c>
      <c r="D67" s="41" t="inlineStr">
        <is>
          <t>heli_gun</t>
        </is>
      </c>
      <c r="E67" s="41" t="inlineStr">
        <is>
          <t>M230 30 mm</t>
        </is>
      </c>
      <c r="F67" s="43" t="n">
        <v>1</v>
      </c>
      <c r="G67" s="51">
        <f>IFERROR(VLOOKUP(D67,'Vũ khí đề xuất'!$A:$AO,27,0),"")</f>
        <v/>
      </c>
      <c r="H67" s="51">
        <f>IFERROR(VLOOKUP(D67,'Vũ khí đề xuất'!$A:$AO,28,0),"")</f>
        <v/>
      </c>
      <c r="I67" s="51">
        <f>IFERROR(VLOOKUP(D67,'Vũ khí đề xuất'!$A:$AO,30,0),"")</f>
        <v/>
      </c>
      <c r="J67" s="51">
        <f>IFERROR(VLOOKUP(D67,'Vũ khí đề xuất'!$A:$AO,32,0),"")</f>
        <v/>
      </c>
      <c r="K67" s="51">
        <f>IFERROR(VLOOKUP(D67,'Vũ khí đề xuất'!$A:$AO,35,0),"")</f>
        <v/>
      </c>
      <c r="L67" s="51">
        <f>IFERROR(VLOOKUP(D67,'Vũ khí đề xuất'!$A:$AO,36,0),"")</f>
        <v/>
      </c>
      <c r="M67" s="41" t="n"/>
    </row>
    <row r="68" ht="15" customHeight="1" s="32">
      <c r="A68" s="39" t="inlineStr">
        <is>
          <t>attack_helicopter</t>
        </is>
      </c>
      <c r="B68" s="39" t="inlineStr">
        <is>
          <t>Trực thăng tấn công</t>
        </is>
      </c>
      <c r="C68" s="39" t="inlineStr">
        <is>
          <t>Xe</t>
        </is>
      </c>
      <c r="D68" s="39" t="inlineStr">
        <is>
          <t>heli_rockets</t>
        </is>
      </c>
      <c r="E68" s="39" t="inlineStr">
        <is>
          <t>Hydra 70 mm</t>
        </is>
      </c>
      <c r="F68" s="42" t="n">
        <v>1</v>
      </c>
      <c r="G68" s="50">
        <f>IFERROR(VLOOKUP(D68,'Vũ khí đề xuất'!$A:$AO,27,0),"")</f>
        <v/>
      </c>
      <c r="H68" s="50">
        <f>IFERROR(VLOOKUP(D68,'Vũ khí đề xuất'!$A:$AO,28,0),"")</f>
        <v/>
      </c>
      <c r="I68" s="50">
        <f>IFERROR(VLOOKUP(D68,'Vũ khí đề xuất'!$A:$AO,30,0),"")</f>
        <v/>
      </c>
      <c r="J68" s="50">
        <f>IFERROR(VLOOKUP(D68,'Vũ khí đề xuất'!$A:$AO,32,0),"")</f>
        <v/>
      </c>
      <c r="K68" s="50">
        <f>IFERROR(VLOOKUP(D68,'Vũ khí đề xuất'!$A:$AO,35,0),"")</f>
        <v/>
      </c>
      <c r="L68" s="50">
        <f>IFERROR(VLOOKUP(D68,'Vũ khí đề xuất'!$A:$AO,36,0),"")</f>
        <v/>
      </c>
      <c r="M68" s="39" t="n"/>
    </row>
    <row r="69" ht="15" customHeight="1" s="32">
      <c r="A69" s="41" t="inlineStr">
        <is>
          <t>attack_helicopter</t>
        </is>
      </c>
      <c r="B69" s="41" t="inlineStr">
        <is>
          <t>Trực thăng tấn công</t>
        </is>
      </c>
      <c r="C69" s="41" t="inlineStr">
        <is>
          <t>Xe</t>
        </is>
      </c>
      <c r="D69" s="41" t="inlineStr">
        <is>
          <t>stinger_atas</t>
        </is>
      </c>
      <c r="E69" s="41" t="inlineStr">
        <is>
          <t>FIM-92 Stinger (ATAS)</t>
        </is>
      </c>
      <c r="F69" s="43" t="n">
        <v>1</v>
      </c>
      <c r="G69" s="51">
        <f>IFERROR(VLOOKUP(D69,'Vũ khí đề xuất'!$A:$AO,27,0),"")</f>
        <v/>
      </c>
      <c r="H69" s="51">
        <f>IFERROR(VLOOKUP(D69,'Vũ khí đề xuất'!$A:$AO,28,0),"")</f>
        <v/>
      </c>
      <c r="I69" s="51">
        <f>IFERROR(VLOOKUP(D69,'Vũ khí đề xuất'!$A:$AO,30,0),"")</f>
        <v/>
      </c>
      <c r="J69" s="51">
        <f>IFERROR(VLOOKUP(D69,'Vũ khí đề xuất'!$A:$AO,32,0),"")</f>
        <v/>
      </c>
      <c r="K69" s="51">
        <f>IFERROR(VLOOKUP(D69,'Vũ khí đề xuất'!$A:$AO,35,0),"")</f>
        <v/>
      </c>
      <c r="L69" s="51">
        <f>IFERROR(VLOOKUP(D69,'Vũ khí đề xuất'!$A:$AO,36,0),"")</f>
        <v/>
      </c>
      <c r="M69" s="41" t="n"/>
    </row>
    <row r="70" ht="15" customHeight="1" s="32">
      <c r="A70" s="39" t="inlineStr">
        <is>
          <t>fighter_jet</t>
        </is>
      </c>
      <c r="B70" s="39" t="inlineStr">
        <is>
          <t>Tiêm kích</t>
        </is>
      </c>
      <c r="C70" s="39" t="inlineStr">
        <is>
          <t>Xe</t>
        </is>
      </c>
      <c r="D70" s="39" t="inlineStr">
        <is>
          <t>air_to_air</t>
        </is>
      </c>
      <c r="E70" s="39" t="inlineStr">
        <is>
          <t>AIM-120 AMRAAM</t>
        </is>
      </c>
      <c r="F70" s="42" t="n">
        <v>1</v>
      </c>
      <c r="G70" s="50">
        <f>IFERROR(VLOOKUP(D70,'Vũ khí đề xuất'!$A:$AO,27,0),"")</f>
        <v/>
      </c>
      <c r="H70" s="50">
        <f>IFERROR(VLOOKUP(D70,'Vũ khí đề xuất'!$A:$AO,28,0),"")</f>
        <v/>
      </c>
      <c r="I70" s="50">
        <f>IFERROR(VLOOKUP(D70,'Vũ khí đề xuất'!$A:$AO,30,0),"")</f>
        <v/>
      </c>
      <c r="J70" s="50">
        <f>IFERROR(VLOOKUP(D70,'Vũ khí đề xuất'!$A:$AO,32,0),"")</f>
        <v/>
      </c>
      <c r="K70" s="50">
        <f>IFERROR(VLOOKUP(D70,'Vũ khí đề xuất'!$A:$AO,35,0),"")</f>
        <v/>
      </c>
      <c r="L70" s="50">
        <f>IFERROR(VLOOKUP(D70,'Vũ khí đề xuất'!$A:$AO,36,0),"")</f>
        <v/>
      </c>
      <c r="M70" s="39" t="n"/>
    </row>
    <row r="71" ht="15" customHeight="1" s="32">
      <c r="A71" s="41" t="inlineStr">
        <is>
          <t>fighter_jet</t>
        </is>
      </c>
      <c r="B71" s="41" t="inlineStr">
        <is>
          <t>Tiêm kích</t>
        </is>
      </c>
      <c r="C71" s="41" t="inlineStr">
        <is>
          <t>Xe</t>
        </is>
      </c>
      <c r="D71" s="41" t="inlineStr">
        <is>
          <t>wvr_aam</t>
        </is>
      </c>
      <c r="E71" s="41" t="inlineStr">
        <is>
          <t>AIM-9X Sidewinder</t>
        </is>
      </c>
      <c r="F71" s="43" t="n">
        <v>1</v>
      </c>
      <c r="G71" s="51">
        <f>IFERROR(VLOOKUP(D71,'Vũ khí đề xuất'!$A:$AO,27,0),"")</f>
        <v/>
      </c>
      <c r="H71" s="51">
        <f>IFERROR(VLOOKUP(D71,'Vũ khí đề xuất'!$A:$AO,28,0),"")</f>
        <v/>
      </c>
      <c r="I71" s="51">
        <f>IFERROR(VLOOKUP(D71,'Vũ khí đề xuất'!$A:$AO,30,0),"")</f>
        <v/>
      </c>
      <c r="J71" s="51">
        <f>IFERROR(VLOOKUP(D71,'Vũ khí đề xuất'!$A:$AO,32,0),"")</f>
        <v/>
      </c>
      <c r="K71" s="51">
        <f>IFERROR(VLOOKUP(D71,'Vũ khí đề xuất'!$A:$AO,35,0),"")</f>
        <v/>
      </c>
      <c r="L71" s="51">
        <f>IFERROR(VLOOKUP(D71,'Vũ khí đề xuất'!$A:$AO,36,0),"")</f>
        <v/>
      </c>
      <c r="M71" s="41" t="n"/>
    </row>
    <row r="72" ht="15" customHeight="1" s="32">
      <c r="A72" s="39" t="inlineStr">
        <is>
          <t>fighter_jet</t>
        </is>
      </c>
      <c r="B72" s="39" t="inlineStr">
        <is>
          <t>Tiêm kích</t>
        </is>
      </c>
      <c r="C72" s="39" t="inlineStr">
        <is>
          <t>Xe</t>
        </is>
      </c>
      <c r="D72" s="39" t="inlineStr">
        <is>
          <t>fighter_cannon</t>
        </is>
      </c>
      <c r="E72" s="39" t="inlineStr">
        <is>
          <t>GAU-22/A 25 mm</t>
        </is>
      </c>
      <c r="F72" s="42" t="n">
        <v>1</v>
      </c>
      <c r="G72" s="50">
        <f>IFERROR(VLOOKUP(D72,'Vũ khí đề xuất'!$A:$AO,27,0),"")</f>
        <v/>
      </c>
      <c r="H72" s="50">
        <f>IFERROR(VLOOKUP(D72,'Vũ khí đề xuất'!$A:$AO,28,0),"")</f>
        <v/>
      </c>
      <c r="I72" s="50">
        <f>IFERROR(VLOOKUP(D72,'Vũ khí đề xuất'!$A:$AO,30,0),"")</f>
        <v/>
      </c>
      <c r="J72" s="50">
        <f>IFERROR(VLOOKUP(D72,'Vũ khí đề xuất'!$A:$AO,32,0),"")</f>
        <v/>
      </c>
      <c r="K72" s="50">
        <f>IFERROR(VLOOKUP(D72,'Vũ khí đề xuất'!$A:$AO,35,0),"")</f>
        <v/>
      </c>
      <c r="L72" s="50">
        <f>IFERROR(VLOOKUP(D72,'Vũ khí đề xuất'!$A:$AO,36,0),"")</f>
        <v/>
      </c>
      <c r="M72" s="39" t="n"/>
    </row>
    <row r="73" ht="15" customHeight="1" s="32">
      <c r="A73" s="41" t="inlineStr">
        <is>
          <t>stealth_fighter</t>
        </is>
      </c>
      <c r="B73" s="41" t="inlineStr">
        <is>
          <t>Tiêm kích tàng hình</t>
        </is>
      </c>
      <c r="C73" s="41" t="inlineStr">
        <is>
          <t>Xe</t>
        </is>
      </c>
      <c r="D73" s="41" t="inlineStr">
        <is>
          <t>air_to_air</t>
        </is>
      </c>
      <c r="E73" s="41" t="inlineStr">
        <is>
          <t>AIM-120 AMRAAM</t>
        </is>
      </c>
      <c r="F73" s="43" t="n">
        <v>1</v>
      </c>
      <c r="G73" s="51">
        <f>IFERROR(VLOOKUP(D73,'Vũ khí đề xuất'!$A:$AO,27,0),"")</f>
        <v/>
      </c>
      <c r="H73" s="51">
        <f>IFERROR(VLOOKUP(D73,'Vũ khí đề xuất'!$A:$AO,28,0),"")</f>
        <v/>
      </c>
      <c r="I73" s="51">
        <f>IFERROR(VLOOKUP(D73,'Vũ khí đề xuất'!$A:$AO,30,0),"")</f>
        <v/>
      </c>
      <c r="J73" s="51">
        <f>IFERROR(VLOOKUP(D73,'Vũ khí đề xuất'!$A:$AO,32,0),"")</f>
        <v/>
      </c>
      <c r="K73" s="51">
        <f>IFERROR(VLOOKUP(D73,'Vũ khí đề xuất'!$A:$AO,35,0),"")</f>
        <v/>
      </c>
      <c r="L73" s="51">
        <f>IFERROR(VLOOKUP(D73,'Vũ khí đề xuất'!$A:$AO,36,0),"")</f>
        <v/>
      </c>
      <c r="M73" s="41" t="inlineStr">
        <is>
          <t>Thêm 1 AIM-120 mỗi lần đầy đạn — Kém tiêm kích thường ở vai trò chính.</t>
        </is>
      </c>
    </row>
    <row r="74" ht="15" customHeight="1" s="32">
      <c r="A74" s="39" t="inlineStr">
        <is>
          <t>stealth_fighter</t>
        </is>
      </c>
      <c r="B74" s="39" t="inlineStr">
        <is>
          <t>Tiêm kích tàng hình</t>
        </is>
      </c>
      <c r="C74" s="39" t="inlineStr">
        <is>
          <t>Xe</t>
        </is>
      </c>
      <c r="D74" s="39" t="inlineStr">
        <is>
          <t>guided_bomb</t>
        </is>
      </c>
      <c r="E74" s="39" t="inlineStr">
        <is>
          <t>GBU-39 SDB (110 kg)</t>
        </is>
      </c>
      <c r="F74" s="42" t="n">
        <v>1</v>
      </c>
      <c r="G74" s="50">
        <f>IFERROR(VLOOKUP(D74,'Vũ khí đề xuất'!$A:$AO,27,0),"")</f>
        <v/>
      </c>
      <c r="H74" s="50">
        <f>IFERROR(VLOOKUP(D74,'Vũ khí đề xuất'!$A:$AO,28,0),"")</f>
        <v/>
      </c>
      <c r="I74" s="50">
        <f>IFERROR(VLOOKUP(D74,'Vũ khí đề xuất'!$A:$AO,30,0),"")</f>
        <v/>
      </c>
      <c r="J74" s="50">
        <f>IFERROR(VLOOKUP(D74,'Vũ khí đề xuất'!$A:$AO,32,0),"")</f>
        <v/>
      </c>
      <c r="K74" s="50">
        <f>IFERROR(VLOOKUP(D74,'Vũ khí đề xuất'!$A:$AO,35,0),"")</f>
        <v/>
      </c>
      <c r="L74" s="50">
        <f>IFERROR(VLOOKUP(D74,'Vũ khí đề xuất'!$A:$AO,36,0),"")</f>
        <v/>
      </c>
      <c r="M74" s="39" t="inlineStr">
        <is>
          <t>Thêm 1 AIM-120 mỗi lần đầy đạn — Kém tiêm kích thường ở vai trò chính.</t>
        </is>
      </c>
    </row>
    <row r="75" ht="15" customHeight="1" s="32">
      <c r="A75" s="41" t="inlineStr">
        <is>
          <t>stealth_fighter</t>
        </is>
      </c>
      <c r="B75" s="41" t="inlineStr">
        <is>
          <t>Tiêm kích tàng hình</t>
        </is>
      </c>
      <c r="C75" s="41" t="inlineStr">
        <is>
          <t>Xe</t>
        </is>
      </c>
      <c r="D75" s="41" t="inlineStr">
        <is>
          <t>fighter_cannon</t>
        </is>
      </c>
      <c r="E75" s="41" t="inlineStr">
        <is>
          <t>GAU-22/A 25 mm</t>
        </is>
      </c>
      <c r="F75" s="43" t="n">
        <v>1</v>
      </c>
      <c r="G75" s="51">
        <f>IFERROR(VLOOKUP(D75,'Vũ khí đề xuất'!$A:$AO,27,0),"")</f>
        <v/>
      </c>
      <c r="H75" s="51">
        <f>IFERROR(VLOOKUP(D75,'Vũ khí đề xuất'!$A:$AO,28,0),"")</f>
        <v/>
      </c>
      <c r="I75" s="51">
        <f>IFERROR(VLOOKUP(D75,'Vũ khí đề xuất'!$A:$AO,30,0),"")</f>
        <v/>
      </c>
      <c r="J75" s="51">
        <f>IFERROR(VLOOKUP(D75,'Vũ khí đề xuất'!$A:$AO,32,0),"")</f>
        <v/>
      </c>
      <c r="K75" s="51">
        <f>IFERROR(VLOOKUP(D75,'Vũ khí đề xuất'!$A:$AO,35,0),"")</f>
        <v/>
      </c>
      <c r="L75" s="51">
        <f>IFERROR(VLOOKUP(D75,'Vũ khí đề xuất'!$A:$AO,36,0),"")</f>
        <v/>
      </c>
      <c r="M75" s="41" t="inlineStr">
        <is>
          <t>Thêm 1 AIM-120 mỗi lần đầy đạn — Kém tiêm kích thường ở vai trò chính.</t>
        </is>
      </c>
    </row>
    <row r="76" ht="15" customHeight="1" s="32">
      <c r="A76" s="39"/>
      <c r="B76" s="39"/>
      <c r="C76" s="39"/>
      <c r="D76" s="39"/>
      <c r="E76" s="39"/>
      <c r="F76" s="42"/>
      <c r="G76" s="50"/>
      <c r="H76" s="50"/>
      <c r="I76" s="50"/>
      <c r="J76" s="50"/>
      <c r="K76" s="50"/>
      <c r="L76" s="50"/>
      <c r="M76" s="39"/>
    </row>
    <row r="77" ht="15" customHeight="1" s="32">
      <c r="A77" s="41"/>
      <c r="B77" s="41"/>
      <c r="C77" s="41"/>
      <c r="D77" s="41"/>
      <c r="E77" s="41"/>
      <c r="F77" s="43"/>
      <c r="G77" s="51"/>
      <c r="H77" s="51"/>
      <c r="I77" s="51"/>
      <c r="J77" s="51"/>
      <c r="K77" s="51"/>
      <c r="L77" s="51"/>
      <c r="M77" s="41"/>
    </row>
    <row r="78" ht="15" customHeight="1" s="32">
      <c r="A78" s="39"/>
      <c r="B78" s="39"/>
      <c r="C78" s="39"/>
      <c r="D78" s="39"/>
      <c r="E78" s="39"/>
      <c r="F78" s="42"/>
      <c r="G78" s="50"/>
      <c r="H78" s="50"/>
      <c r="I78" s="50"/>
      <c r="J78" s="50"/>
      <c r="K78" s="50"/>
      <c r="L78" s="50"/>
      <c r="M78" s="39"/>
    </row>
    <row r="79" ht="15" customHeight="1" s="32">
      <c r="A79" s="41"/>
      <c r="B79" s="41"/>
      <c r="C79" s="41"/>
      <c r="D79" s="41"/>
      <c r="E79" s="41"/>
      <c r="F79" s="43"/>
      <c r="G79" s="51"/>
      <c r="H79" s="51"/>
      <c r="I79" s="51"/>
      <c r="J79" s="51"/>
      <c r="K79" s="51"/>
      <c r="L79" s="51"/>
      <c r="M79" s="41"/>
    </row>
    <row r="80" ht="15" customHeight="1" s="32">
      <c r="A80" s="39"/>
      <c r="B80" s="39"/>
      <c r="C80" s="39"/>
      <c r="D80" s="39"/>
      <c r="E80" s="39"/>
      <c r="F80" s="42"/>
      <c r="G80" s="50"/>
      <c r="H80" s="50"/>
      <c r="I80" s="50"/>
      <c r="J80" s="50"/>
      <c r="K80" s="50"/>
      <c r="L80" s="50"/>
      <c r="M80" s="39"/>
    </row>
    <row r="81" ht="21.75" customHeight="1" s="32">
      <c r="A81" s="41" t="inlineStr">
        <is>
          <t>attack_jet</t>
        </is>
      </c>
      <c r="B81" s="41" t="inlineStr">
        <is>
          <t>Máy bay cường kích</t>
        </is>
      </c>
      <c r="C81" s="41" t="inlineStr">
        <is>
          <t>Xe</t>
        </is>
      </c>
      <c r="D81" s="41" t="inlineStr">
        <is>
          <t>jet_cannon</t>
        </is>
      </c>
      <c r="E81" s="41" t="inlineStr">
        <is>
          <t>GSh-30-2 30 mm</t>
        </is>
      </c>
      <c r="F81" s="43" t="n">
        <v>1</v>
      </c>
      <c r="G81" s="51">
        <f>IFERROR(VLOOKUP(D81,'Vũ khí đề xuất'!$A:$AO,27,0),"")</f>
        <v/>
      </c>
      <c r="H81" s="51">
        <f>IFERROR(VLOOKUP(D81,'Vũ khí đề xuất'!$A:$AO,28,0),"")</f>
        <v/>
      </c>
      <c r="I81" s="51">
        <f>IFERROR(VLOOKUP(D81,'Vũ khí đề xuất'!$A:$AO,30,0),"")</f>
        <v/>
      </c>
      <c r="J81" s="51">
        <f>IFERROR(VLOOKUP(D81,'Vũ khí đề xuất'!$A:$AO,32,0),"")</f>
        <v/>
      </c>
      <c r="K81" s="51">
        <f>IFERROR(VLOOKUP(D81,'Vũ khí đề xuất'!$A:$AO,35,0),"")</f>
        <v/>
      </c>
      <c r="L81" s="51">
        <f>IFERROR(VLOOKUP(D81,'Vũ khí đề xuất'!$A:$AO,36,0),"")</f>
        <v/>
      </c>
      <c r="M81" s="41" t="inlineStr">
        <is>
          <t>FAB-250: 2 → 1 quả mỗi lần đầy đạn — Giá trị lên công sự cao nhất nhóm cùng giá.</t>
        </is>
      </c>
    </row>
    <row r="82" ht="21.75" customHeight="1" s="32">
      <c r="A82" s="39" t="inlineStr">
        <is>
          <t>attack_jet</t>
        </is>
      </c>
      <c r="B82" s="39" t="inlineStr">
        <is>
          <t>Máy bay cường kích</t>
        </is>
      </c>
      <c r="C82" s="39" t="inlineStr">
        <is>
          <t>Xe</t>
        </is>
      </c>
      <c r="D82" s="39" t="inlineStr">
        <is>
          <t>s8_pods</t>
        </is>
      </c>
      <c r="E82" s="39" t="inlineStr">
        <is>
          <t>S-8 80 mm</t>
        </is>
      </c>
      <c r="F82" s="42" t="n">
        <v>1</v>
      </c>
      <c r="G82" s="50">
        <f>IFERROR(VLOOKUP(D82,'Vũ khí đề xuất'!$A:$AO,27,0),"")</f>
        <v/>
      </c>
      <c r="H82" s="50">
        <f>IFERROR(VLOOKUP(D82,'Vũ khí đề xuất'!$A:$AO,28,0),"")</f>
        <v/>
      </c>
      <c r="I82" s="50">
        <f>IFERROR(VLOOKUP(D82,'Vũ khí đề xuất'!$A:$AO,30,0),"")</f>
        <v/>
      </c>
      <c r="J82" s="50">
        <f>IFERROR(VLOOKUP(D82,'Vũ khí đề xuất'!$A:$AO,32,0),"")</f>
        <v/>
      </c>
      <c r="K82" s="50">
        <f>IFERROR(VLOOKUP(D82,'Vũ khí đề xuất'!$A:$AO,35,0),"")</f>
        <v/>
      </c>
      <c r="L82" s="50">
        <f>IFERROR(VLOOKUP(D82,'Vũ khí đề xuất'!$A:$AO,36,0),"")</f>
        <v/>
      </c>
      <c r="M82" s="39" t="inlineStr">
        <is>
          <t>FAB-250: 2 → 1 quả mỗi lần đầy đạn — Giá trị lên công sự cao nhất nhóm cùng giá.</t>
        </is>
      </c>
    </row>
    <row r="83" ht="21.75" customHeight="1" s="32">
      <c r="A83" s="41" t="inlineStr">
        <is>
          <t>attack_jet</t>
        </is>
      </c>
      <c r="B83" s="41" t="inlineStr">
        <is>
          <t>Máy bay cường kích</t>
        </is>
      </c>
      <c r="C83" s="41" t="inlineStr">
        <is>
          <t>Xe</t>
        </is>
      </c>
      <c r="D83" s="41" t="inlineStr">
        <is>
          <t>jet_bombs</t>
        </is>
      </c>
      <c r="E83" s="41" t="inlineStr">
        <is>
          <t>FAB-250 (250 kg)</t>
        </is>
      </c>
      <c r="F83" s="43" t="n">
        <v>1</v>
      </c>
      <c r="G83" s="51">
        <f>IFERROR(VLOOKUP(D83,'Vũ khí đề xuất'!$A:$AO,27,0),"")</f>
        <v/>
      </c>
      <c r="H83" s="51">
        <f>IFERROR(VLOOKUP(D83,'Vũ khí đề xuất'!$A:$AO,28,0),"")</f>
        <v/>
      </c>
      <c r="I83" s="51">
        <f>IFERROR(VLOOKUP(D83,'Vũ khí đề xuất'!$A:$AO,30,0),"")</f>
        <v/>
      </c>
      <c r="J83" s="51">
        <f>IFERROR(VLOOKUP(D83,'Vũ khí đề xuất'!$A:$AO,32,0),"")</f>
        <v/>
      </c>
      <c r="K83" s="51">
        <f>IFERROR(VLOOKUP(D83,'Vũ khí đề xuất'!$A:$AO,35,0),"")</f>
        <v/>
      </c>
      <c r="L83" s="51">
        <f>IFERROR(VLOOKUP(D83,'Vũ khí đề xuất'!$A:$AO,36,0),"")</f>
        <v/>
      </c>
      <c r="M83" s="41" t="inlineStr">
        <is>
          <t>FAB-250: 2 → 1 quả mỗi lần đầy đạn — Giá trị lên công sự cao nhất nhóm cùng giá.</t>
        </is>
      </c>
    </row>
    <row r="84" ht="21.75" customHeight="1" s="32">
      <c r="A84" s="39" t="inlineStr">
        <is>
          <t>attack_jet</t>
        </is>
      </c>
      <c r="B84" s="39" t="inlineStr">
        <is>
          <t>Máy bay cường kích</t>
        </is>
      </c>
      <c r="C84" s="39" t="inlineStr">
        <is>
          <t>Xe</t>
        </is>
      </c>
      <c r="D84" s="39" t="inlineStr">
        <is>
          <t>kh29</t>
        </is>
      </c>
      <c r="E84" s="39" t="inlineStr">
        <is>
          <t>Kh-29L</t>
        </is>
      </c>
      <c r="F84" s="42" t="n">
        <v>1</v>
      </c>
      <c r="G84" s="50">
        <f>IFERROR(VLOOKUP(D84,'Vũ khí đề xuất'!$A:$AO,27,0),"")</f>
        <v/>
      </c>
      <c r="H84" s="50">
        <f>IFERROR(VLOOKUP(D84,'Vũ khí đề xuất'!$A:$AO,28,0),"")</f>
        <v/>
      </c>
      <c r="I84" s="50">
        <f>IFERROR(VLOOKUP(D84,'Vũ khí đề xuất'!$A:$AO,30,0),"")</f>
        <v/>
      </c>
      <c r="J84" s="50">
        <f>IFERROR(VLOOKUP(D84,'Vũ khí đề xuất'!$A:$AO,32,0),"")</f>
        <v/>
      </c>
      <c r="K84" s="50">
        <f>IFERROR(VLOOKUP(D84,'Vũ khí đề xuất'!$A:$AO,35,0),"")</f>
        <v/>
      </c>
      <c r="L84" s="50">
        <f>IFERROR(VLOOKUP(D84,'Vũ khí đề xuất'!$A:$AO,36,0),"")</f>
        <v/>
      </c>
      <c r="M84" s="39" t="inlineStr">
        <is>
          <t>FAB-250: 2 → 1 quả mỗi lần đầy đạn — Giá trị lên công sự cao nhất nhóm cùng giá.</t>
        </is>
      </c>
    </row>
    <row r="85" ht="21.75" customHeight="1" s="32">
      <c r="A85" s="41" t="inlineStr">
        <is>
          <t>attack_jet</t>
        </is>
      </c>
      <c r="B85" s="41" t="inlineStr">
        <is>
          <t>Máy bay cường kích</t>
        </is>
      </c>
      <c r="C85" s="41" t="inlineStr">
        <is>
          <t>Xe</t>
        </is>
      </c>
      <c r="D85" s="41" t="inlineStr">
        <is>
          <t>r60</t>
        </is>
      </c>
      <c r="E85" s="41" t="inlineStr">
        <is>
          <t>R-60</t>
        </is>
      </c>
      <c r="F85" s="43" t="n">
        <v>1</v>
      </c>
      <c r="G85" s="51">
        <f>IFERROR(VLOOKUP(D85,'Vũ khí đề xuất'!$A:$AO,27,0),"")</f>
        <v/>
      </c>
      <c r="H85" s="51">
        <f>IFERROR(VLOOKUP(D85,'Vũ khí đề xuất'!$A:$AO,28,0),"")</f>
        <v/>
      </c>
      <c r="I85" s="51">
        <f>IFERROR(VLOOKUP(D85,'Vũ khí đề xuất'!$A:$AO,30,0),"")</f>
        <v/>
      </c>
      <c r="J85" s="51">
        <f>IFERROR(VLOOKUP(D85,'Vũ khí đề xuất'!$A:$AO,32,0),"")</f>
        <v/>
      </c>
      <c r="K85" s="51">
        <f>IFERROR(VLOOKUP(D85,'Vũ khí đề xuất'!$A:$AO,35,0),"")</f>
        <v/>
      </c>
      <c r="L85" s="51">
        <f>IFERROR(VLOOKUP(D85,'Vũ khí đề xuất'!$A:$AO,36,0),"")</f>
        <v/>
      </c>
      <c r="M85" s="41" t="inlineStr">
        <is>
          <t>FAB-250: 2 → 1 quả mỗi lần đầy đạn — Giá trị lên công sự cao nhất nhóm cùng giá.</t>
        </is>
      </c>
    </row>
    <row r="86" ht="15" customHeight="1" s="32">
      <c r="A86" s="39" t="inlineStr">
        <is>
          <t>stealth_bomber</t>
        </is>
      </c>
      <c r="B86" s="39" t="inlineStr">
        <is>
          <t>Máy bay ném bom tàng hình</t>
        </is>
      </c>
      <c r="C86" s="39" t="inlineStr">
        <is>
          <t>Xe</t>
        </is>
      </c>
      <c r="D86" s="39" t="inlineStr">
        <is>
          <t>stealth_payload</t>
        </is>
      </c>
      <c r="E86" s="39" t="inlineStr">
        <is>
          <t>GBU-31 JDAM (907 kg)</t>
        </is>
      </c>
      <c r="F86" s="42" t="n">
        <v>1</v>
      </c>
      <c r="G86" s="50">
        <f>IFERROR(VLOOKUP(D86,'Vũ khí đề xuất'!$A:$AO,27,0),"")</f>
        <v/>
      </c>
      <c r="H86" s="50">
        <f>IFERROR(VLOOKUP(D86,'Vũ khí đề xuất'!$A:$AO,28,0),"")</f>
        <v/>
      </c>
      <c r="I86" s="50">
        <f>IFERROR(VLOOKUP(D86,'Vũ khí đề xuất'!$A:$AO,30,0),"")</f>
        <v/>
      </c>
      <c r="J86" s="50">
        <f>IFERROR(VLOOKUP(D86,'Vũ khí đề xuất'!$A:$AO,32,0),"")</f>
        <v/>
      </c>
      <c r="K86" s="50">
        <f>IFERROR(VLOOKUP(D86,'Vũ khí đề xuất'!$A:$AO,35,0),"")</f>
        <v/>
      </c>
      <c r="L86" s="50">
        <f>IFERROR(VLOOKUP(D86,'Vũ khí đề xuất'!$A:$AO,36,0),"")</f>
        <v/>
      </c>
      <c r="M86" s="39" t="n"/>
    </row>
    <row r="87" ht="15" customHeight="1" s="32">
      <c r="A87" s="41" t="inlineStr">
        <is>
          <t>stealth_bomber</t>
        </is>
      </c>
      <c r="B87" s="41" t="inlineStr">
        <is>
          <t>Máy bay ném bom tàng hình</t>
        </is>
      </c>
      <c r="C87" s="41" t="inlineStr">
        <is>
          <t>Xe</t>
        </is>
      </c>
      <c r="D87" s="41" t="inlineStr">
        <is>
          <t>jassm</t>
        </is>
      </c>
      <c r="E87" s="41" t="inlineStr">
        <is>
          <t>AGM-158 JASSM (450 kg)</t>
        </is>
      </c>
      <c r="F87" s="43" t="n">
        <v>1</v>
      </c>
      <c r="G87" s="51">
        <f>IFERROR(VLOOKUP(D87,'Vũ khí đề xuất'!$A:$AO,27,0),"")</f>
        <v/>
      </c>
      <c r="H87" s="51">
        <f>IFERROR(VLOOKUP(D87,'Vũ khí đề xuất'!$A:$AO,28,0),"")</f>
        <v/>
      </c>
      <c r="I87" s="51">
        <f>IFERROR(VLOOKUP(D87,'Vũ khí đề xuất'!$A:$AO,30,0),"")</f>
        <v/>
      </c>
      <c r="J87" s="51">
        <f>IFERROR(VLOOKUP(D87,'Vũ khí đề xuất'!$A:$AO,32,0),"")</f>
        <v/>
      </c>
      <c r="K87" s="51">
        <f>IFERROR(VLOOKUP(D87,'Vũ khí đề xuất'!$A:$AO,35,0),"")</f>
        <v/>
      </c>
      <c r="L87" s="51">
        <f>IFERROR(VLOOKUP(D87,'Vũ khí đề xuất'!$A:$AO,36,0),"")</f>
        <v/>
      </c>
      <c r="M87" s="41" t="n"/>
    </row>
    <row r="88" ht="15" customHeight="1" s="32">
      <c r="A88" s="39" t="inlineStr">
        <is>
          <t>heavy_bomber</t>
        </is>
      </c>
      <c r="B88" s="39" t="inlineStr">
        <is>
          <t>Oanh tạc cơ hạng nặng</t>
        </is>
      </c>
      <c r="C88" s="39" t="inlineStr">
        <is>
          <t>Xe</t>
        </is>
      </c>
      <c r="D88" s="39" t="inlineStr">
        <is>
          <t>bomber_payload</t>
        </is>
      </c>
      <c r="E88" s="39" t="inlineStr">
        <is>
          <t>FAB-500 (500 kg)</t>
        </is>
      </c>
      <c r="F88" s="42" t="n">
        <v>1</v>
      </c>
      <c r="G88" s="50">
        <f>IFERROR(VLOOKUP(D88,'Vũ khí đề xuất'!$A:$AO,27,0),"")</f>
        <v/>
      </c>
      <c r="H88" s="50">
        <f>IFERROR(VLOOKUP(D88,'Vũ khí đề xuất'!$A:$AO,28,0),"")</f>
        <v/>
      </c>
      <c r="I88" s="50">
        <f>IFERROR(VLOOKUP(D88,'Vũ khí đề xuất'!$A:$AO,30,0),"")</f>
        <v/>
      </c>
      <c r="J88" s="50">
        <f>IFERROR(VLOOKUP(D88,'Vũ khí đề xuất'!$A:$AO,32,0),"")</f>
        <v/>
      </c>
      <c r="K88" s="50">
        <f>IFERROR(VLOOKUP(D88,'Vũ khí đề xuất'!$A:$AO,35,0),"")</f>
        <v/>
      </c>
      <c r="L88" s="50">
        <f>IFERROR(VLOOKUP(D88,'Vũ khí đề xuất'!$A:$AO,36,0),"")</f>
        <v/>
      </c>
      <c r="M88" s="39" t="n"/>
    </row>
    <row r="89" ht="15" customHeight="1" s="32">
      <c r="A89" s="41" t="inlineStr">
        <is>
          <t>heavy_bomber</t>
        </is>
      </c>
      <c r="B89" s="41" t="inlineStr">
        <is>
          <t>Oanh tạc cơ hạng nặng</t>
        </is>
      </c>
      <c r="C89" s="41" t="inlineStr">
        <is>
          <t>Xe</t>
        </is>
      </c>
      <c r="D89" s="41" t="inlineStr">
        <is>
          <t>bomber_tail_guns</t>
        </is>
      </c>
      <c r="E89" s="41" t="inlineStr">
        <is>
          <t>M3 12.7 mm (quad tail)</t>
        </is>
      </c>
      <c r="F89" s="43" t="n">
        <v>1</v>
      </c>
      <c r="G89" s="51">
        <f>IFERROR(VLOOKUP(D89,'Vũ khí đề xuất'!$A:$AO,27,0),"")</f>
        <v/>
      </c>
      <c r="H89" s="51">
        <f>IFERROR(VLOOKUP(D89,'Vũ khí đề xuất'!$A:$AO,28,0),"")</f>
        <v/>
      </c>
      <c r="I89" s="51">
        <f>IFERROR(VLOOKUP(D89,'Vũ khí đề xuất'!$A:$AO,30,0),"")</f>
        <v/>
      </c>
      <c r="J89" s="51">
        <f>IFERROR(VLOOKUP(D89,'Vũ khí đề xuất'!$A:$AO,32,0),"")</f>
        <v/>
      </c>
      <c r="K89" s="51">
        <f>IFERROR(VLOOKUP(D89,'Vũ khí đề xuất'!$A:$AO,35,0),"")</f>
        <v/>
      </c>
      <c r="L89" s="51">
        <f>IFERROR(VLOOKUP(D89,'Vũ khí đề xuất'!$A:$AO,36,0),"")</f>
        <v/>
      </c>
      <c r="M89" s="41" t="n"/>
    </row>
    <row r="90" ht="15" customHeight="1" s="32">
      <c r="A90" s="39" t="inlineStr">
        <is>
          <t>heavy_bomber</t>
        </is>
      </c>
      <c r="B90" s="39" t="inlineStr">
        <is>
          <t>Oanh tạc cơ hạng nặng</t>
        </is>
      </c>
      <c r="C90" s="39" t="inlineStr">
        <is>
          <t>Xe</t>
        </is>
      </c>
      <c r="D90" s="39" t="inlineStr">
        <is>
          <t>air_cruise_missile</t>
        </is>
      </c>
      <c r="E90" s="39" t="inlineStr">
        <is>
          <t>Kh-101 (400 kg)</t>
        </is>
      </c>
      <c r="F90" s="42" t="n">
        <v>1</v>
      </c>
      <c r="G90" s="50">
        <f>IFERROR(VLOOKUP(D90,'Vũ khí đề xuất'!$A:$AO,27,0),"")</f>
        <v/>
      </c>
      <c r="H90" s="50">
        <f>IFERROR(VLOOKUP(D90,'Vũ khí đề xuất'!$A:$AO,28,0),"")</f>
        <v/>
      </c>
      <c r="I90" s="50">
        <f>IFERROR(VLOOKUP(D90,'Vũ khí đề xuất'!$A:$AO,30,0),"")</f>
        <v/>
      </c>
      <c r="J90" s="50">
        <f>IFERROR(VLOOKUP(D90,'Vũ khí đề xuất'!$A:$AO,32,0),"")</f>
        <v/>
      </c>
      <c r="K90" s="50">
        <f>IFERROR(VLOOKUP(D90,'Vũ khí đề xuất'!$A:$AO,35,0),"")</f>
        <v/>
      </c>
      <c r="L90" s="50">
        <f>IFERROR(VLOOKUP(D90,'Vũ khí đề xuất'!$A:$AO,36,0),"")</f>
        <v/>
      </c>
      <c r="M90" s="39" t="n"/>
    </row>
    <row r="91" ht="15" customHeight="1" s="32">
      <c r="A91" s="41" t="inlineStr">
        <is>
          <t>sky_gunship</t>
        </is>
      </c>
      <c r="B91" s="41" t="inlineStr">
        <is>
          <t>Pháo hạm AC-130</t>
        </is>
      </c>
      <c r="C91" s="41" t="inlineStr">
        <is>
          <t>Xe</t>
        </is>
      </c>
      <c r="D91" s="41" t="inlineStr">
        <is>
          <t>gunship_105</t>
        </is>
      </c>
      <c r="E91" s="41" t="inlineStr">
        <is>
          <t>M102 105 mm</t>
        </is>
      </c>
      <c r="F91" s="43" t="n">
        <v>1</v>
      </c>
      <c r="G91" s="51">
        <f>IFERROR(VLOOKUP(D91,'Vũ khí đề xuất'!$A:$AO,27,0),"")</f>
        <v/>
      </c>
      <c r="H91" s="51">
        <f>IFERROR(VLOOKUP(D91,'Vũ khí đề xuất'!$A:$AO,28,0),"")</f>
        <v/>
      </c>
      <c r="I91" s="51">
        <f>IFERROR(VLOOKUP(D91,'Vũ khí đề xuất'!$A:$AO,30,0),"")</f>
        <v/>
      </c>
      <c r="J91" s="51">
        <f>IFERROR(VLOOKUP(D91,'Vũ khí đề xuất'!$A:$AO,32,0),"")</f>
        <v/>
      </c>
      <c r="K91" s="51">
        <f>IFERROR(VLOOKUP(D91,'Vũ khí đề xuất'!$A:$AO,35,0),"")</f>
        <v/>
      </c>
      <c r="L91" s="51">
        <f>IFERROR(VLOOKUP(D91,'Vũ khí đề xuất'!$A:$AO,36,0),"")</f>
        <v/>
      </c>
      <c r="M91" s="41" t="n"/>
    </row>
    <row r="92" ht="15" customHeight="1" s="32">
      <c r="A92" s="39" t="inlineStr">
        <is>
          <t>sky_gunship</t>
        </is>
      </c>
      <c r="B92" s="39" t="inlineStr">
        <is>
          <t>Pháo hạm AC-130</t>
        </is>
      </c>
      <c r="C92" s="39" t="inlineStr">
        <is>
          <t>Xe</t>
        </is>
      </c>
      <c r="D92" s="39" t="inlineStr">
        <is>
          <t>gunship_40mm</t>
        </is>
      </c>
      <c r="E92" s="39" t="inlineStr">
        <is>
          <t>Bofors L/60 40 mm</t>
        </is>
      </c>
      <c r="F92" s="42" t="n">
        <v>1</v>
      </c>
      <c r="G92" s="50">
        <f>IFERROR(VLOOKUP(D92,'Vũ khí đề xuất'!$A:$AO,27,0),"")</f>
        <v/>
      </c>
      <c r="H92" s="50">
        <f>IFERROR(VLOOKUP(D92,'Vũ khí đề xuất'!$A:$AO,28,0),"")</f>
        <v/>
      </c>
      <c r="I92" s="50">
        <f>IFERROR(VLOOKUP(D92,'Vũ khí đề xuất'!$A:$AO,30,0),"")</f>
        <v/>
      </c>
      <c r="J92" s="50">
        <f>IFERROR(VLOOKUP(D92,'Vũ khí đề xuất'!$A:$AO,32,0),"")</f>
        <v/>
      </c>
      <c r="K92" s="50">
        <f>IFERROR(VLOOKUP(D92,'Vũ khí đề xuất'!$A:$AO,35,0),"")</f>
        <v/>
      </c>
      <c r="L92" s="50">
        <f>IFERROR(VLOOKUP(D92,'Vũ khí đề xuất'!$A:$AO,36,0),"")</f>
        <v/>
      </c>
      <c r="M92" s="39" t="n"/>
    </row>
    <row r="93" ht="15" customHeight="1" s="32">
      <c r="A93" s="41" t="inlineStr">
        <is>
          <t>sky_gunship</t>
        </is>
      </c>
      <c r="B93" s="41" t="inlineStr">
        <is>
          <t>Pháo hạm AC-130</t>
        </is>
      </c>
      <c r="C93" s="41" t="inlineStr">
        <is>
          <t>Xe</t>
        </is>
      </c>
      <c r="D93" s="41" t="inlineStr">
        <is>
          <t>gunship_25mm</t>
        </is>
      </c>
      <c r="E93" s="41" t="inlineStr">
        <is>
          <t>GAU-12 Equalizer 25 mm</t>
        </is>
      </c>
      <c r="F93" s="43" t="n">
        <v>1</v>
      </c>
      <c r="G93" s="51">
        <f>IFERROR(VLOOKUP(D93,'Vũ khí đề xuất'!$A:$AO,27,0),"")</f>
        <v/>
      </c>
      <c r="H93" s="51">
        <f>IFERROR(VLOOKUP(D93,'Vũ khí đề xuất'!$A:$AO,28,0),"")</f>
        <v/>
      </c>
      <c r="I93" s="51">
        <f>IFERROR(VLOOKUP(D93,'Vũ khí đề xuất'!$A:$AO,30,0),"")</f>
        <v/>
      </c>
      <c r="J93" s="51">
        <f>IFERROR(VLOOKUP(D93,'Vũ khí đề xuất'!$A:$AO,32,0),"")</f>
        <v/>
      </c>
      <c r="K93" s="51">
        <f>IFERROR(VLOOKUP(D93,'Vũ khí đề xuất'!$A:$AO,35,0),"")</f>
        <v/>
      </c>
      <c r="L93" s="51">
        <f>IFERROR(VLOOKUP(D93,'Vũ khí đề xuất'!$A:$AO,36,0),"")</f>
        <v/>
      </c>
      <c r="M93" s="41" t="n"/>
    </row>
    <row r="94" ht="15" customHeight="1" s="32">
      <c r="A94" s="39"/>
      <c r="B94" s="39"/>
      <c r="C94" s="39"/>
      <c r="D94" s="39"/>
      <c r="E94" s="39"/>
      <c r="F94" s="42"/>
      <c r="G94" s="50"/>
      <c r="H94" s="50"/>
      <c r="I94" s="50"/>
      <c r="J94" s="50"/>
      <c r="K94" s="50"/>
      <c r="L94" s="50"/>
      <c r="M94" s="39"/>
    </row>
    <row r="95" ht="15" customHeight="1" s="32">
      <c r="A95" s="41"/>
      <c r="B95" s="41"/>
      <c r="C95" s="41"/>
      <c r="D95" s="41"/>
      <c r="E95" s="41"/>
      <c r="F95" s="43"/>
      <c r="G95" s="51"/>
      <c r="H95" s="51"/>
      <c r="I95" s="51"/>
      <c r="J95" s="51"/>
      <c r="K95" s="51"/>
      <c r="L95" s="51"/>
      <c r="M95" s="41"/>
    </row>
    <row r="96" ht="15" customHeight="1" s="32">
      <c r="A96" s="39" t="inlineStr">
        <is>
          <t>armored_bulldozer</t>
        </is>
      </c>
      <c r="B96" s="39" t="inlineStr">
        <is>
          <t>Xe ủi bọc thép</t>
        </is>
      </c>
      <c r="C96" s="39" t="inlineStr">
        <is>
          <t>Xe</t>
        </is>
      </c>
      <c r="D96" s="39" t="inlineStr">
        <is>
          <t>dozer_blade</t>
        </is>
      </c>
      <c r="E96" s="39" t="inlineStr">
        <is>
          <t>dozer blade</t>
        </is>
      </c>
      <c r="F96" s="42" t="n">
        <v>1</v>
      </c>
      <c r="G96" s="50">
        <f>IFERROR(VLOOKUP(D96,'Vũ khí đề xuất'!$A:$AO,27,0),"")</f>
        <v/>
      </c>
      <c r="H96" s="50">
        <f>IFERROR(VLOOKUP(D96,'Vũ khí đề xuất'!$A:$AO,28,0),"")</f>
        <v/>
      </c>
      <c r="I96" s="50">
        <f>IFERROR(VLOOKUP(D96,'Vũ khí đề xuất'!$A:$AO,30,0),"")</f>
        <v/>
      </c>
      <c r="J96" s="50">
        <f>IFERROR(VLOOKUP(D96,'Vũ khí đề xuất'!$A:$AO,32,0),"")</f>
        <v/>
      </c>
      <c r="K96" s="50">
        <f>IFERROR(VLOOKUP(D96,'Vũ khí đề xuất'!$A:$AO,35,0),"")</f>
        <v/>
      </c>
      <c r="L96" s="50">
        <f>IFERROR(VLOOKUP(D96,'Vũ khí đề xuất'!$A:$AO,36,0),"")</f>
        <v/>
      </c>
      <c r="M96" s="39" t="n"/>
    </row>
    <row r="97" ht="15" customHeight="1" s="32">
      <c r="A97" s="41" t="inlineStr">
        <is>
          <t>armored_bulldozer</t>
        </is>
      </c>
      <c r="B97" s="41" t="inlineStr">
        <is>
          <t>Xe ủi bọc thép</t>
        </is>
      </c>
      <c r="C97" s="41" t="inlineStr">
        <is>
          <t>Xe</t>
        </is>
      </c>
      <c r="D97" s="41" t="inlineStr">
        <is>
          <t>hmg_roof</t>
        </is>
      </c>
      <c r="E97" s="41" t="inlineStr">
        <is>
          <t>M2 Browning 12.7 mm</t>
        </is>
      </c>
      <c r="F97" s="43" t="n">
        <v>1</v>
      </c>
      <c r="G97" s="51">
        <f>IFERROR(VLOOKUP(D97,'Vũ khí đề xuất'!$A:$AO,27,0),"")</f>
        <v/>
      </c>
      <c r="H97" s="51">
        <f>IFERROR(VLOOKUP(D97,'Vũ khí đề xuất'!$A:$AO,28,0),"")</f>
        <v/>
      </c>
      <c r="I97" s="51">
        <f>IFERROR(VLOOKUP(D97,'Vũ khí đề xuất'!$A:$AO,30,0),"")</f>
        <v/>
      </c>
      <c r="J97" s="51">
        <f>IFERROR(VLOOKUP(D97,'Vũ khí đề xuất'!$A:$AO,32,0),"")</f>
        <v/>
      </c>
      <c r="K97" s="51">
        <f>IFERROR(VLOOKUP(D97,'Vũ khí đề xuất'!$A:$AO,35,0),"")</f>
        <v/>
      </c>
      <c r="L97" s="51">
        <f>IFERROR(VLOOKUP(D97,'Vũ khí đề xuất'!$A:$AO,36,0),"")</f>
        <v/>
      </c>
      <c r="M97" s="41" t="n"/>
    </row>
    <row r="98" ht="15" customHeight="1" s="32">
      <c r="A98" s="39" t="inlineStr">
        <is>
          <t>main_battle_tank</t>
        </is>
      </c>
      <c r="B98" s="39" t="inlineStr">
        <is>
          <t>Tăng chủ lực</t>
        </is>
      </c>
      <c r="C98" s="39" t="inlineStr">
        <is>
          <t>Xe</t>
        </is>
      </c>
      <c r="D98" s="39" t="inlineStr">
        <is>
          <t>gun_120mm</t>
        </is>
      </c>
      <c r="E98" s="39" t="inlineStr">
        <is>
          <t>Rh-120 L/44 120 mm</t>
        </is>
      </c>
      <c r="F98" s="42" t="n">
        <v>1</v>
      </c>
      <c r="G98" s="50">
        <f>IFERROR(VLOOKUP(D98,'Vũ khí đề xuất'!$A:$AO,27,0),"")</f>
        <v/>
      </c>
      <c r="H98" s="50">
        <f>IFERROR(VLOOKUP(D98,'Vũ khí đề xuất'!$A:$AO,28,0),"")</f>
        <v/>
      </c>
      <c r="I98" s="50">
        <f>IFERROR(VLOOKUP(D98,'Vũ khí đề xuất'!$A:$AO,30,0),"")</f>
        <v/>
      </c>
      <c r="J98" s="50">
        <f>IFERROR(VLOOKUP(D98,'Vũ khí đề xuất'!$A:$AO,32,0),"")</f>
        <v/>
      </c>
      <c r="K98" s="50">
        <f>IFERROR(VLOOKUP(D98,'Vũ khí đề xuất'!$A:$AO,35,0),"")</f>
        <v/>
      </c>
      <c r="L98" s="50">
        <f>IFERROR(VLOOKUP(D98,'Vũ khí đề xuất'!$A:$AO,36,0),"")</f>
        <v/>
      </c>
      <c r="M98" s="39" t="n"/>
    </row>
    <row r="99" ht="15" customHeight="1" s="32">
      <c r="A99" s="41" t="inlineStr">
        <is>
          <t>main_battle_tank</t>
        </is>
      </c>
      <c r="B99" s="41" t="inlineStr">
        <is>
          <t>Tăng chủ lực</t>
        </is>
      </c>
      <c r="C99" s="41" t="inlineStr">
        <is>
          <t>Xe</t>
        </is>
      </c>
      <c r="D99" s="41" t="inlineStr">
        <is>
          <t>mg_coax</t>
        </is>
      </c>
      <c r="E99" s="41" t="inlineStr">
        <is>
          <t>PKT / M240 7.62 mm</t>
        </is>
      </c>
      <c r="F99" s="43" t="n">
        <v>1</v>
      </c>
      <c r="G99" s="51">
        <f>IFERROR(VLOOKUP(D99,'Vũ khí đề xuất'!$A:$AO,27,0),"")</f>
        <v/>
      </c>
      <c r="H99" s="51">
        <f>IFERROR(VLOOKUP(D99,'Vũ khí đề xuất'!$A:$AO,28,0),"")</f>
        <v/>
      </c>
      <c r="I99" s="51">
        <f>IFERROR(VLOOKUP(D99,'Vũ khí đề xuất'!$A:$AO,30,0),"")</f>
        <v/>
      </c>
      <c r="J99" s="51">
        <f>IFERROR(VLOOKUP(D99,'Vũ khí đề xuất'!$A:$AO,32,0),"")</f>
        <v/>
      </c>
      <c r="K99" s="51">
        <f>IFERROR(VLOOKUP(D99,'Vũ khí đề xuất'!$A:$AO,35,0),"")</f>
        <v/>
      </c>
      <c r="L99" s="51">
        <f>IFERROR(VLOOKUP(D99,'Vũ khí đề xuất'!$A:$AO,36,0),"")</f>
        <v/>
      </c>
      <c r="M99" s="41" t="n"/>
    </row>
    <row r="100" ht="15" customHeight="1" s="32">
      <c r="A100" s="39" t="inlineStr">
        <is>
          <t>main_battle_tank</t>
        </is>
      </c>
      <c r="B100" s="39" t="inlineStr">
        <is>
          <t>Tăng chủ lực</t>
        </is>
      </c>
      <c r="C100" s="39" t="inlineStr">
        <is>
          <t>Xe</t>
        </is>
      </c>
      <c r="D100" s="39" t="inlineStr">
        <is>
          <t>hmg_roof</t>
        </is>
      </c>
      <c r="E100" s="39" t="inlineStr">
        <is>
          <t>M2 Browning 12.7 mm</t>
        </is>
      </c>
      <c r="F100" s="42" t="n">
        <v>1</v>
      </c>
      <c r="G100" s="50">
        <f>IFERROR(VLOOKUP(D100,'Vũ khí đề xuất'!$A:$AO,27,0),"")</f>
        <v/>
      </c>
      <c r="H100" s="50">
        <f>IFERROR(VLOOKUP(D100,'Vũ khí đề xuất'!$A:$AO,28,0),"")</f>
        <v/>
      </c>
      <c r="I100" s="50">
        <f>IFERROR(VLOOKUP(D100,'Vũ khí đề xuất'!$A:$AO,30,0),"")</f>
        <v/>
      </c>
      <c r="J100" s="50">
        <f>IFERROR(VLOOKUP(D100,'Vũ khí đề xuất'!$A:$AO,32,0),"")</f>
        <v/>
      </c>
      <c r="K100" s="50">
        <f>IFERROR(VLOOKUP(D100,'Vũ khí đề xuất'!$A:$AO,35,0),"")</f>
        <v/>
      </c>
      <c r="L100" s="50">
        <f>IFERROR(VLOOKUP(D100,'Vũ khí đề xuất'!$A:$AO,36,0),"")</f>
        <v/>
      </c>
      <c r="M100" s="39" t="n"/>
    </row>
    <row r="101" ht="15" customHeight="1" s="32">
      <c r="A101" s="41" t="inlineStr">
        <is>
          <t>twin_tank</t>
        </is>
      </c>
      <c r="B101" s="41" t="inlineStr">
        <is>
          <t>Tăng hai nòng</t>
        </is>
      </c>
      <c r="C101" s="41" t="inlineStr">
        <is>
          <t>Xe</t>
        </is>
      </c>
      <c r="D101" s="41" t="inlineStr">
        <is>
          <t>gun_120_twin</t>
        </is>
      </c>
      <c r="E101" s="41" t="inlineStr">
        <is>
          <t>Rh-120 L/44 120 mm (twin)</t>
        </is>
      </c>
      <c r="F101" s="43" t="n">
        <v>1</v>
      </c>
      <c r="G101" s="51">
        <f>IFERROR(VLOOKUP(D101,'Vũ khí đề xuất'!$A:$AO,27,0),"")</f>
        <v/>
      </c>
      <c r="H101" s="51">
        <f>IFERROR(VLOOKUP(D101,'Vũ khí đề xuất'!$A:$AO,28,0),"")</f>
        <v/>
      </c>
      <c r="I101" s="51">
        <f>IFERROR(VLOOKUP(D101,'Vũ khí đề xuất'!$A:$AO,30,0),"")</f>
        <v/>
      </c>
      <c r="J101" s="51">
        <f>IFERROR(VLOOKUP(D101,'Vũ khí đề xuất'!$A:$AO,32,0),"")</f>
        <v/>
      </c>
      <c r="K101" s="51">
        <f>IFERROR(VLOOKUP(D101,'Vũ khí đề xuất'!$A:$AO,35,0),"")</f>
        <v/>
      </c>
      <c r="L101" s="51">
        <f>IFERROR(VLOOKUP(D101,'Vũ khí đề xuất'!$A:$AO,36,0),"")</f>
        <v/>
      </c>
      <c r="M101" s="41" t="n"/>
    </row>
    <row r="102" ht="15" customHeight="1" s="32">
      <c r="A102" s="39" t="inlineStr">
        <is>
          <t>twin_tank</t>
        </is>
      </c>
      <c r="B102" s="39" t="inlineStr">
        <is>
          <t>Tăng hai nòng</t>
        </is>
      </c>
      <c r="C102" s="39" t="inlineStr">
        <is>
          <t>Xe</t>
        </is>
      </c>
      <c r="D102" s="39" t="inlineStr">
        <is>
          <t>mg_coax</t>
        </is>
      </c>
      <c r="E102" s="39" t="inlineStr">
        <is>
          <t>PKT / M240 7.62 mm</t>
        </is>
      </c>
      <c r="F102" s="42" t="n">
        <v>1</v>
      </c>
      <c r="G102" s="50">
        <f>IFERROR(VLOOKUP(D102,'Vũ khí đề xuất'!$A:$AO,27,0),"")</f>
        <v/>
      </c>
      <c r="H102" s="50">
        <f>IFERROR(VLOOKUP(D102,'Vũ khí đề xuất'!$A:$AO,28,0),"")</f>
        <v/>
      </c>
      <c r="I102" s="50">
        <f>IFERROR(VLOOKUP(D102,'Vũ khí đề xuất'!$A:$AO,30,0),"")</f>
        <v/>
      </c>
      <c r="J102" s="50">
        <f>IFERROR(VLOOKUP(D102,'Vũ khí đề xuất'!$A:$AO,32,0),"")</f>
        <v/>
      </c>
      <c r="K102" s="50">
        <f>IFERROR(VLOOKUP(D102,'Vũ khí đề xuất'!$A:$AO,35,0),"")</f>
        <v/>
      </c>
      <c r="L102" s="50">
        <f>IFERROR(VLOOKUP(D102,'Vũ khí đề xuất'!$A:$AO,36,0),"")</f>
        <v/>
      </c>
      <c r="M102" s="39" t="n"/>
    </row>
    <row r="103" ht="15" customHeight="1" s="32">
      <c r="A103" s="41" t="inlineStr">
        <is>
          <t>twin_tank</t>
        </is>
      </c>
      <c r="B103" s="41" t="inlineStr">
        <is>
          <t>Tăng hai nòng</t>
        </is>
      </c>
      <c r="C103" s="41" t="inlineStr">
        <is>
          <t>Xe</t>
        </is>
      </c>
      <c r="D103" s="41" t="inlineStr">
        <is>
          <t>hmg_roof</t>
        </is>
      </c>
      <c r="E103" s="41" t="inlineStr">
        <is>
          <t>M2 Browning 12.7 mm</t>
        </is>
      </c>
      <c r="F103" s="43" t="n">
        <v>1</v>
      </c>
      <c r="G103" s="51">
        <f>IFERROR(VLOOKUP(D103,'Vũ khí đề xuất'!$A:$AO,27,0),"")</f>
        <v/>
      </c>
      <c r="H103" s="51">
        <f>IFERROR(VLOOKUP(D103,'Vũ khí đề xuất'!$A:$AO,28,0),"")</f>
        <v/>
      </c>
      <c r="I103" s="51">
        <f>IFERROR(VLOOKUP(D103,'Vũ khí đề xuất'!$A:$AO,30,0),"")</f>
        <v/>
      </c>
      <c r="J103" s="51">
        <f>IFERROR(VLOOKUP(D103,'Vũ khí đề xuất'!$A:$AO,32,0),"")</f>
        <v/>
      </c>
      <c r="K103" s="51">
        <f>IFERROR(VLOOKUP(D103,'Vũ khí đề xuất'!$A:$AO,35,0),"")</f>
        <v/>
      </c>
      <c r="L103" s="51">
        <f>IFERROR(VLOOKUP(D103,'Vũ khí đề xuất'!$A:$AO,36,0),"")</f>
        <v/>
      </c>
      <c r="M103" s="41" t="n"/>
    </row>
    <row r="104" ht="15" customHeight="1" s="32">
      <c r="A104" s="39" t="inlineStr">
        <is>
          <t>heavy_tank</t>
        </is>
      </c>
      <c r="B104" s="39" t="inlineStr">
        <is>
          <t>Tăng hạng nặng</t>
        </is>
      </c>
      <c r="C104" s="39" t="inlineStr">
        <is>
          <t>Xe</t>
        </is>
      </c>
      <c r="D104" s="39" t="inlineStr">
        <is>
          <t>gun_152</t>
        </is>
      </c>
      <c r="E104" s="39" t="inlineStr">
        <is>
          <t>2A83 152 mm</t>
        </is>
      </c>
      <c r="F104" s="42" t="n">
        <v>1</v>
      </c>
      <c r="G104" s="50">
        <f>IFERROR(VLOOKUP(D104,'Vũ khí đề xuất'!$A:$AO,27,0),"")</f>
        <v/>
      </c>
      <c r="H104" s="50">
        <f>IFERROR(VLOOKUP(D104,'Vũ khí đề xuất'!$A:$AO,28,0),"")</f>
        <v/>
      </c>
      <c r="I104" s="50">
        <f>IFERROR(VLOOKUP(D104,'Vũ khí đề xuất'!$A:$AO,30,0),"")</f>
        <v/>
      </c>
      <c r="J104" s="50">
        <f>IFERROR(VLOOKUP(D104,'Vũ khí đề xuất'!$A:$AO,32,0),"")</f>
        <v/>
      </c>
      <c r="K104" s="50">
        <f>IFERROR(VLOOKUP(D104,'Vũ khí đề xuất'!$A:$AO,35,0),"")</f>
        <v/>
      </c>
      <c r="L104" s="50">
        <f>IFERROR(VLOOKUP(D104,'Vũ khí đề xuất'!$A:$AO,36,0),"")</f>
        <v/>
      </c>
      <c r="M104" s="39" t="n"/>
    </row>
    <row r="105" ht="15" customHeight="1" s="32">
      <c r="A105" s="41" t="inlineStr">
        <is>
          <t>heavy_tank</t>
        </is>
      </c>
      <c r="B105" s="41" t="inlineStr">
        <is>
          <t>Tăng hạng nặng</t>
        </is>
      </c>
      <c r="C105" s="41" t="inlineStr">
        <is>
          <t>Xe</t>
        </is>
      </c>
      <c r="D105" s="41" t="inlineStr">
        <is>
          <t>autocannon_30</t>
        </is>
      </c>
      <c r="E105" s="41" t="inlineStr">
        <is>
          <t>2A42 30 mm</t>
        </is>
      </c>
      <c r="F105" s="43" t="n">
        <v>1</v>
      </c>
      <c r="G105" s="51">
        <f>IFERROR(VLOOKUP(D105,'Vũ khí đề xuất'!$A:$AO,27,0),"")</f>
        <v/>
      </c>
      <c r="H105" s="51">
        <f>IFERROR(VLOOKUP(D105,'Vũ khí đề xuất'!$A:$AO,28,0),"")</f>
        <v/>
      </c>
      <c r="I105" s="51">
        <f>IFERROR(VLOOKUP(D105,'Vũ khí đề xuất'!$A:$AO,30,0),"")</f>
        <v/>
      </c>
      <c r="J105" s="51">
        <f>IFERROR(VLOOKUP(D105,'Vũ khí đề xuất'!$A:$AO,32,0),"")</f>
        <v/>
      </c>
      <c r="K105" s="51">
        <f>IFERROR(VLOOKUP(D105,'Vũ khí đề xuất'!$A:$AO,35,0),"")</f>
        <v/>
      </c>
      <c r="L105" s="51">
        <f>IFERROR(VLOOKUP(D105,'Vũ khí đề xuất'!$A:$AO,36,0),"")</f>
        <v/>
      </c>
      <c r="M105" s="41" t="n"/>
    </row>
    <row r="106" ht="15" customHeight="1" s="32">
      <c r="A106" s="39" t="inlineStr">
        <is>
          <t>heavy_tank</t>
        </is>
      </c>
      <c r="B106" s="39" t="inlineStr">
        <is>
          <t>Tăng hạng nặng</t>
        </is>
      </c>
      <c r="C106" s="39" t="inlineStr">
        <is>
          <t>Xe</t>
        </is>
      </c>
      <c r="D106" s="39" t="inlineStr">
        <is>
          <t>hmg_roof</t>
        </is>
      </c>
      <c r="E106" s="39" t="inlineStr">
        <is>
          <t>M2 Browning 12.7 mm</t>
        </is>
      </c>
      <c r="F106" s="42" t="n">
        <v>1</v>
      </c>
      <c r="G106" s="50">
        <f>IFERROR(VLOOKUP(D106,'Vũ khí đề xuất'!$A:$AO,27,0),"")</f>
        <v/>
      </c>
      <c r="H106" s="50">
        <f>IFERROR(VLOOKUP(D106,'Vũ khí đề xuất'!$A:$AO,28,0),"")</f>
        <v/>
      </c>
      <c r="I106" s="50">
        <f>IFERROR(VLOOKUP(D106,'Vũ khí đề xuất'!$A:$AO,30,0),"")</f>
        <v/>
      </c>
      <c r="J106" s="50">
        <f>IFERROR(VLOOKUP(D106,'Vũ khí đề xuất'!$A:$AO,32,0),"")</f>
        <v/>
      </c>
      <c r="K106" s="50">
        <f>IFERROR(VLOOKUP(D106,'Vũ khí đề xuất'!$A:$AO,35,0),"")</f>
        <v/>
      </c>
      <c r="L106" s="50">
        <f>IFERROR(VLOOKUP(D106,'Vũ khí đề xuất'!$A:$AO,36,0),"")</f>
        <v/>
      </c>
      <c r="M106" s="39" t="n"/>
    </row>
    <row r="107" ht="15" customHeight="1" s="32">
      <c r="A107" s="41" t="inlineStr">
        <is>
          <t>titan_tank</t>
        </is>
      </c>
      <c r="B107" s="41" t="inlineStr">
        <is>
          <t>Siêu tăng Titan</t>
        </is>
      </c>
      <c r="C107" s="41" t="inlineStr">
        <is>
          <t>Xe</t>
        </is>
      </c>
      <c r="D107" s="41" t="inlineStr">
        <is>
          <t>gun_140_twin</t>
        </is>
      </c>
      <c r="E107" s="41" t="inlineStr">
        <is>
          <t>NPzK 140 mm (twin)</t>
        </is>
      </c>
      <c r="F107" s="43" t="n">
        <v>1</v>
      </c>
      <c r="G107" s="51">
        <f>IFERROR(VLOOKUP(D107,'Vũ khí đề xuất'!$A:$AO,27,0),"")</f>
        <v/>
      </c>
      <c r="H107" s="51">
        <f>IFERROR(VLOOKUP(D107,'Vũ khí đề xuất'!$A:$AO,28,0),"")</f>
        <v/>
      </c>
      <c r="I107" s="51">
        <f>IFERROR(VLOOKUP(D107,'Vũ khí đề xuất'!$A:$AO,30,0),"")</f>
        <v/>
      </c>
      <c r="J107" s="51">
        <f>IFERROR(VLOOKUP(D107,'Vũ khí đề xuất'!$A:$AO,32,0),"")</f>
        <v/>
      </c>
      <c r="K107" s="51">
        <f>IFERROR(VLOOKUP(D107,'Vũ khí đề xuất'!$A:$AO,35,0),"")</f>
        <v/>
      </c>
      <c r="L107" s="51">
        <f>IFERROR(VLOOKUP(D107,'Vũ khí đề xuất'!$A:$AO,36,0),"")</f>
        <v/>
      </c>
      <c r="M107" s="41" t="n"/>
    </row>
    <row r="108" ht="15" customHeight="1" s="32">
      <c r="A108" s="39" t="inlineStr">
        <is>
          <t>titan_tank</t>
        </is>
      </c>
      <c r="B108" s="39" t="inlineStr">
        <is>
          <t>Siêu tăng Titan</t>
        </is>
      </c>
      <c r="C108" s="39" t="inlineStr">
        <is>
          <t>Xe</t>
        </is>
      </c>
      <c r="D108" s="39" t="inlineStr">
        <is>
          <t>mg_coax</t>
        </is>
      </c>
      <c r="E108" s="39" t="inlineStr">
        <is>
          <t>PKT / M240 7.62 mm</t>
        </is>
      </c>
      <c r="F108" s="42" t="n">
        <v>1</v>
      </c>
      <c r="G108" s="50">
        <f>IFERROR(VLOOKUP(D108,'Vũ khí đề xuất'!$A:$AO,27,0),"")</f>
        <v/>
      </c>
      <c r="H108" s="50">
        <f>IFERROR(VLOOKUP(D108,'Vũ khí đề xuất'!$A:$AO,28,0),"")</f>
        <v/>
      </c>
      <c r="I108" s="50">
        <f>IFERROR(VLOOKUP(D108,'Vũ khí đề xuất'!$A:$AO,30,0),"")</f>
        <v/>
      </c>
      <c r="J108" s="50">
        <f>IFERROR(VLOOKUP(D108,'Vũ khí đề xuất'!$A:$AO,32,0),"")</f>
        <v/>
      </c>
      <c r="K108" s="50">
        <f>IFERROR(VLOOKUP(D108,'Vũ khí đề xuất'!$A:$AO,35,0),"")</f>
        <v/>
      </c>
      <c r="L108" s="50">
        <f>IFERROR(VLOOKUP(D108,'Vũ khí đề xuất'!$A:$AO,36,0),"")</f>
        <v/>
      </c>
      <c r="M108" s="39" t="n"/>
    </row>
    <row r="109" ht="15" customHeight="1" s="32">
      <c r="A109" s="41" t="inlineStr">
        <is>
          <t>titan_tank</t>
        </is>
      </c>
      <c r="B109" s="41" t="inlineStr">
        <is>
          <t>Siêu tăng Titan</t>
        </is>
      </c>
      <c r="C109" s="41" t="inlineStr">
        <is>
          <t>Xe</t>
        </is>
      </c>
      <c r="D109" s="41" t="inlineStr">
        <is>
          <t>hmg_roof</t>
        </is>
      </c>
      <c r="E109" s="41" t="inlineStr">
        <is>
          <t>M2 Browning 12.7 mm</t>
        </is>
      </c>
      <c r="F109" s="43" t="n">
        <v>1</v>
      </c>
      <c r="G109" s="51">
        <f>IFERROR(VLOOKUP(D109,'Vũ khí đề xuất'!$A:$AO,27,0),"")</f>
        <v/>
      </c>
      <c r="H109" s="51">
        <f>IFERROR(VLOOKUP(D109,'Vũ khí đề xuất'!$A:$AO,28,0),"")</f>
        <v/>
      </c>
      <c r="I109" s="51">
        <f>IFERROR(VLOOKUP(D109,'Vũ khí đề xuất'!$A:$AO,30,0),"")</f>
        <v/>
      </c>
      <c r="J109" s="51">
        <f>IFERROR(VLOOKUP(D109,'Vũ khí đề xuất'!$A:$AO,32,0),"")</f>
        <v/>
      </c>
      <c r="K109" s="51">
        <f>IFERROR(VLOOKUP(D109,'Vũ khí đề xuất'!$A:$AO,35,0),"")</f>
        <v/>
      </c>
      <c r="L109" s="51">
        <f>IFERROR(VLOOKUP(D109,'Vũ khí đề xuất'!$A:$AO,36,0),"")</f>
        <v/>
      </c>
      <c r="M109" s="41" t="n"/>
    </row>
    <row r="110" ht="15" customHeight="1" s="32">
      <c r="A110" s="39" t="inlineStr">
        <is>
          <t>titan_tank</t>
        </is>
      </c>
      <c r="B110" s="39" t="inlineStr">
        <is>
          <t>Siêu tăng Titan</t>
        </is>
      </c>
      <c r="C110" s="39" t="inlineStr">
        <is>
          <t>Xe</t>
        </is>
      </c>
      <c r="D110" s="39" t="inlineStr">
        <is>
          <t>atgm</t>
        </is>
      </c>
      <c r="E110" s="39" t="inlineStr">
        <is>
          <t>BGM-71 TOW-2</t>
        </is>
      </c>
      <c r="F110" s="42" t="n">
        <v>1</v>
      </c>
      <c r="G110" s="50">
        <f>IFERROR(VLOOKUP(D110,'Vũ khí đề xuất'!$A:$AO,27,0),"")</f>
        <v/>
      </c>
      <c r="H110" s="50">
        <f>IFERROR(VLOOKUP(D110,'Vũ khí đề xuất'!$A:$AO,28,0),"")</f>
        <v/>
      </c>
      <c r="I110" s="50">
        <f>IFERROR(VLOOKUP(D110,'Vũ khí đề xuất'!$A:$AO,30,0),"")</f>
        <v/>
      </c>
      <c r="J110" s="50">
        <f>IFERROR(VLOOKUP(D110,'Vũ khí đề xuất'!$A:$AO,32,0),"")</f>
        <v/>
      </c>
      <c r="K110" s="50">
        <f>IFERROR(VLOOKUP(D110,'Vũ khí đề xuất'!$A:$AO,35,0),"")</f>
        <v/>
      </c>
      <c r="L110" s="50">
        <f>IFERROR(VLOOKUP(D110,'Vũ khí đề xuất'!$A:$AO,36,0),"")</f>
        <v/>
      </c>
      <c r="M110" s="39" t="n"/>
    </row>
    <row r="111" ht="15" customHeight="1" s="32">
      <c r="A111" s="41" t="inlineStr">
        <is>
          <t>fpv_carrier</t>
        </is>
      </c>
      <c r="B111" s="41" t="inlineStr">
        <is>
          <t>Xe phóng drone FPV</t>
        </is>
      </c>
      <c r="C111" s="41" t="inlineStr">
        <is>
          <t>Xe</t>
        </is>
      </c>
      <c r="D111" s="41" t="inlineStr">
        <is>
          <t>fpv_swarm</t>
        </is>
      </c>
      <c r="E111" s="41" t="inlineStr">
        <is>
          <t>FPV drone (1.5 kg)</t>
        </is>
      </c>
      <c r="F111" s="43" t="n">
        <v>1</v>
      </c>
      <c r="G111" s="51">
        <f>IFERROR(VLOOKUP(D111,'Vũ khí đề xuất'!$A:$AO,27,0),"")</f>
        <v/>
      </c>
      <c r="H111" s="51">
        <f>IFERROR(VLOOKUP(D111,'Vũ khí đề xuất'!$A:$AO,28,0),"")</f>
        <v/>
      </c>
      <c r="I111" s="51">
        <f>IFERROR(VLOOKUP(D111,'Vũ khí đề xuất'!$A:$AO,30,0),"")</f>
        <v/>
      </c>
      <c r="J111" s="51">
        <f>IFERROR(VLOOKUP(D111,'Vũ khí đề xuất'!$A:$AO,32,0),"")</f>
        <v/>
      </c>
      <c r="K111" s="51">
        <f>IFERROR(VLOOKUP(D111,'Vũ khí đề xuất'!$A:$AO,35,0),"")</f>
        <v/>
      </c>
      <c r="L111" s="51">
        <f>IFERROR(VLOOKUP(D111,'Vũ khí đề xuất'!$A:$AO,36,0),"")</f>
        <v/>
      </c>
      <c r="M111" s="41" t="n"/>
    </row>
    <row r="112" ht="15" customHeight="1" s="32">
      <c r="A112" s="39" t="inlineStr">
        <is>
          <t>fpv_carrier</t>
        </is>
      </c>
      <c r="B112" s="39" t="inlineStr">
        <is>
          <t>Xe phóng drone FPV</t>
        </is>
      </c>
      <c r="C112" s="39" t="inlineStr">
        <is>
          <t>Xe</t>
        </is>
      </c>
      <c r="D112" s="39" t="inlineStr">
        <is>
          <t>hmg_selfdef_18</t>
        </is>
      </c>
      <c r="E112" s="39" t="inlineStr">
        <is>
          <t>M2 Browning 12.7 mm</t>
        </is>
      </c>
      <c r="F112" s="42" t="n">
        <v>1</v>
      </c>
      <c r="G112" s="50">
        <f>IFERROR(VLOOKUP(D112,'Vũ khí đề xuất'!$A:$AO,27,0),"")</f>
        <v/>
      </c>
      <c r="H112" s="50">
        <f>IFERROR(VLOOKUP(D112,'Vũ khí đề xuất'!$A:$AO,28,0),"")</f>
        <v/>
      </c>
      <c r="I112" s="50">
        <f>IFERROR(VLOOKUP(D112,'Vũ khí đề xuất'!$A:$AO,30,0),"")</f>
        <v/>
      </c>
      <c r="J112" s="50">
        <f>IFERROR(VLOOKUP(D112,'Vũ khí đề xuất'!$A:$AO,32,0),"")</f>
        <v/>
      </c>
      <c r="K112" s="50">
        <f>IFERROR(VLOOKUP(D112,'Vũ khí đề xuất'!$A:$AO,35,0),"")</f>
        <v/>
      </c>
      <c r="L112" s="50">
        <f>IFERROR(VLOOKUP(D112,'Vũ khí đề xuất'!$A:$AO,36,0),"")</f>
        <v/>
      </c>
      <c r="M112" s="39" t="n"/>
    </row>
    <row r="113" ht="15" customHeight="1" s="32">
      <c r="A113" s="41"/>
      <c r="B113" s="41"/>
      <c r="C113" s="41"/>
      <c r="D113" s="41"/>
      <c r="E113" s="41"/>
      <c r="F113" s="43"/>
      <c r="G113" s="51"/>
      <c r="H113" s="51"/>
      <c r="I113" s="51"/>
      <c r="J113" s="51"/>
      <c r="K113" s="51"/>
      <c r="L113" s="51"/>
      <c r="M113" s="41"/>
    </row>
    <row r="114" ht="15" customHeight="1" s="32">
      <c r="A114" s="39"/>
      <c r="B114" s="39"/>
      <c r="C114" s="39"/>
      <c r="D114" s="39"/>
      <c r="E114" s="39"/>
      <c r="F114" s="42"/>
      <c r="G114" s="50"/>
      <c r="H114" s="50"/>
      <c r="I114" s="50"/>
      <c r="J114" s="50"/>
      <c r="K114" s="50"/>
      <c r="L114" s="50"/>
      <c r="M114" s="39"/>
    </row>
    <row r="115" ht="21.75" customHeight="1" s="32">
      <c r="A115" s="41" t="inlineStr">
        <is>
          <t>wheeled_gun</t>
        </is>
      </c>
      <c r="B115" s="41" t="inlineStr">
        <is>
          <t>Pháo bánh lốp diệt tăng</t>
        </is>
      </c>
      <c r="C115" s="41" t="inlineStr">
        <is>
          <t>Xe</t>
        </is>
      </c>
      <c r="D115" s="41" t="inlineStr">
        <is>
          <t>gun_105_wheeled</t>
        </is>
      </c>
      <c r="E115" s="41" t="inlineStr">
        <is>
          <t>Centauro II 120 mm</t>
        </is>
      </c>
      <c r="F115" s="43" t="n">
        <v>1</v>
      </c>
      <c r="G115" s="51">
        <f>IFERROR(VLOOKUP(D115,'Vũ khí đề xuất'!$A:$AO,27,0),"")</f>
        <v/>
      </c>
      <c r="H115" s="51">
        <f>IFERROR(VLOOKUP(D115,'Vũ khí đề xuất'!$A:$AO,28,0),"")</f>
        <v/>
      </c>
      <c r="I115" s="51">
        <f>IFERROR(VLOOKUP(D115,'Vũ khí đề xuất'!$A:$AO,30,0),"")</f>
        <v/>
      </c>
      <c r="J115" s="51">
        <f>IFERROR(VLOOKUP(D115,'Vũ khí đề xuất'!$A:$AO,32,0),"")</f>
        <v/>
      </c>
      <c r="K115" s="51">
        <f>IFERROR(VLOOKUP(D115,'Vũ khí đề xuất'!$A:$AO,35,0),"")</f>
        <v/>
      </c>
      <c r="L115" s="51">
        <f>IFERROR(VLOOKUP(D115,'Vũ khí đề xuất'!$A:$AO,36,0),"")</f>
        <v/>
      </c>
      <c r="M115" s="41" t="inlineStr">
        <is>
          <t>Thêm súng máy 12,7 mm trên nóc — Centauro II có súng máy trên nóc; tự vệ trước drone và xe nhẹ.</t>
        </is>
      </c>
    </row>
    <row r="116" ht="21.75" customHeight="1" s="32">
      <c r="A116" s="39" t="inlineStr">
        <is>
          <t>wheeled_gun</t>
        </is>
      </c>
      <c r="B116" s="39" t="inlineStr">
        <is>
          <t>Pháo bánh lốp diệt tăng</t>
        </is>
      </c>
      <c r="C116" s="39" t="inlineStr">
        <is>
          <t>Xe</t>
        </is>
      </c>
      <c r="D116" s="39" t="inlineStr">
        <is>
          <t>mg_coax</t>
        </is>
      </c>
      <c r="E116" s="39" t="inlineStr">
        <is>
          <t>PKT / M240 7.62 mm</t>
        </is>
      </c>
      <c r="F116" s="42" t="n">
        <v>1</v>
      </c>
      <c r="G116" s="50">
        <f>IFERROR(VLOOKUP(D116,'Vũ khí đề xuất'!$A:$AO,27,0),"")</f>
        <v/>
      </c>
      <c r="H116" s="50">
        <f>IFERROR(VLOOKUP(D116,'Vũ khí đề xuất'!$A:$AO,28,0),"")</f>
        <v/>
      </c>
      <c r="I116" s="50">
        <f>IFERROR(VLOOKUP(D116,'Vũ khí đề xuất'!$A:$AO,30,0),"")</f>
        <v/>
      </c>
      <c r="J116" s="50">
        <f>IFERROR(VLOOKUP(D116,'Vũ khí đề xuất'!$A:$AO,32,0),"")</f>
        <v/>
      </c>
      <c r="K116" s="50">
        <f>IFERROR(VLOOKUP(D116,'Vũ khí đề xuất'!$A:$AO,35,0),"")</f>
        <v/>
      </c>
      <c r="L116" s="50">
        <f>IFERROR(VLOOKUP(D116,'Vũ khí đề xuất'!$A:$AO,36,0),"")</f>
        <v/>
      </c>
      <c r="M116" s="39" t="inlineStr">
        <is>
          <t>Thêm súng máy 12,7 mm trên nóc — Centauro II có súng máy trên nóc; tự vệ trước drone và xe nhẹ.</t>
        </is>
      </c>
    </row>
    <row r="117" ht="15" customHeight="1" s="32">
      <c r="A117" s="41" t="inlineStr">
        <is>
          <t>tank_destroyer</t>
        </is>
      </c>
      <c r="B117" s="41" t="inlineStr">
        <is>
          <t>Pháo chống tăng</t>
        </is>
      </c>
      <c r="C117" s="41" t="inlineStr">
        <is>
          <t>Xe</t>
        </is>
      </c>
      <c r="D117" s="41" t="inlineStr">
        <is>
          <t>gun_105_long</t>
        </is>
      </c>
      <c r="E117" s="41" t="inlineStr">
        <is>
          <t>2A75 125 mm (2S25 Sprut)</t>
        </is>
      </c>
      <c r="F117" s="43" t="n">
        <v>1</v>
      </c>
      <c r="G117" s="51">
        <f>IFERROR(VLOOKUP(D117,'Vũ khí đề xuất'!$A:$AO,27,0),"")</f>
        <v/>
      </c>
      <c r="H117" s="51">
        <f>IFERROR(VLOOKUP(D117,'Vũ khí đề xuất'!$A:$AO,28,0),"")</f>
        <v/>
      </c>
      <c r="I117" s="51">
        <f>IFERROR(VLOOKUP(D117,'Vũ khí đề xuất'!$A:$AO,30,0),"")</f>
        <v/>
      </c>
      <c r="J117" s="51">
        <f>IFERROR(VLOOKUP(D117,'Vũ khí đề xuất'!$A:$AO,32,0),"")</f>
        <v/>
      </c>
      <c r="K117" s="51">
        <f>IFERROR(VLOOKUP(D117,'Vũ khí đề xuất'!$A:$AO,35,0),"")</f>
        <v/>
      </c>
      <c r="L117" s="51">
        <f>IFERROR(VLOOKUP(D117,'Vũ khí đề xuất'!$A:$AO,36,0),"")</f>
        <v/>
      </c>
      <c r="M117" s="41" t="n"/>
    </row>
    <row r="118" ht="15" customHeight="1" s="32">
      <c r="A118" s="39" t="inlineStr">
        <is>
          <t>tank_destroyer</t>
        </is>
      </c>
      <c r="B118" s="39" t="inlineStr">
        <is>
          <t>Pháo chống tăng</t>
        </is>
      </c>
      <c r="C118" s="39" t="inlineStr">
        <is>
          <t>Xe</t>
        </is>
      </c>
      <c r="D118" s="39" t="inlineStr">
        <is>
          <t>hmg_roof</t>
        </is>
      </c>
      <c r="E118" s="39" t="inlineStr">
        <is>
          <t>M2 Browning 12.7 mm</t>
        </is>
      </c>
      <c r="F118" s="42" t="n">
        <v>1</v>
      </c>
      <c r="G118" s="50">
        <f>IFERROR(VLOOKUP(D118,'Vũ khí đề xuất'!$A:$AO,27,0),"")</f>
        <v/>
      </c>
      <c r="H118" s="50">
        <f>IFERROR(VLOOKUP(D118,'Vũ khí đề xuất'!$A:$AO,28,0),"")</f>
        <v/>
      </c>
      <c r="I118" s="50">
        <f>IFERROR(VLOOKUP(D118,'Vũ khí đề xuất'!$A:$AO,30,0),"")</f>
        <v/>
      </c>
      <c r="J118" s="50">
        <f>IFERROR(VLOOKUP(D118,'Vũ khí đề xuất'!$A:$AO,32,0),"")</f>
        <v/>
      </c>
      <c r="K118" s="50">
        <f>IFERROR(VLOOKUP(D118,'Vũ khí đề xuất'!$A:$AO,35,0),"")</f>
        <v/>
      </c>
      <c r="L118" s="50">
        <f>IFERROR(VLOOKUP(D118,'Vũ khí đề xuất'!$A:$AO,36,0),"")</f>
        <v/>
      </c>
      <c r="M118" s="39" t="n"/>
    </row>
    <row r="119" ht="15" customHeight="1" s="32">
      <c r="A119" s="41" t="inlineStr">
        <is>
          <t>railgun_truck</t>
        </is>
      </c>
      <c r="B119" s="41" t="inlineStr">
        <is>
          <t>Xe súng điện từ</t>
        </is>
      </c>
      <c r="C119" s="41" t="inlineStr">
        <is>
          <t>Xe</t>
        </is>
      </c>
      <c r="D119" s="41" t="inlineStr">
        <is>
          <t>railgun</t>
        </is>
      </c>
      <c r="E119" s="41" t="inlineStr">
        <is>
          <t>railgun (32 MJ) 32 mm</t>
        </is>
      </c>
      <c r="F119" s="43" t="n">
        <v>1</v>
      </c>
      <c r="G119" s="51">
        <f>IFERROR(VLOOKUP(D119,'Vũ khí đề xuất'!$A:$AO,27,0),"")</f>
        <v/>
      </c>
      <c r="H119" s="51">
        <f>IFERROR(VLOOKUP(D119,'Vũ khí đề xuất'!$A:$AO,28,0),"")</f>
        <v/>
      </c>
      <c r="I119" s="51">
        <f>IFERROR(VLOOKUP(D119,'Vũ khí đề xuất'!$A:$AO,30,0),"")</f>
        <v/>
      </c>
      <c r="J119" s="51">
        <f>IFERROR(VLOOKUP(D119,'Vũ khí đề xuất'!$A:$AO,32,0),"")</f>
        <v/>
      </c>
      <c r="K119" s="51">
        <f>IFERROR(VLOOKUP(D119,'Vũ khí đề xuất'!$A:$AO,35,0),"")</f>
        <v/>
      </c>
      <c r="L119" s="51">
        <f>IFERROR(VLOOKUP(D119,'Vũ khí đề xuất'!$A:$AO,36,0),"")</f>
        <v/>
      </c>
      <c r="M119" s="41" t="n"/>
    </row>
    <row r="120" ht="15" customHeight="1" s="32">
      <c r="A120" s="39" t="inlineStr">
        <is>
          <t>laser_tank</t>
        </is>
      </c>
      <c r="B120" s="39" t="inlineStr">
        <is>
          <t>Xe la-de tập trung</t>
        </is>
      </c>
      <c r="C120" s="39" t="inlineStr">
        <is>
          <t>Xe</t>
        </is>
      </c>
      <c r="D120" s="39" t="inlineStr">
        <is>
          <t>focus_laser</t>
        </is>
      </c>
      <c r="E120" s="39" t="inlineStr">
        <is>
          <t>focused laser (300 kW) 300 mm</t>
        </is>
      </c>
      <c r="F120" s="42" t="n">
        <v>1</v>
      </c>
      <c r="G120" s="50">
        <f>IFERROR(VLOOKUP(D120,'Vũ khí đề xuất'!$A:$AO,27,0),"")</f>
        <v/>
      </c>
      <c r="H120" s="50">
        <f>IFERROR(VLOOKUP(D120,'Vũ khí đề xuất'!$A:$AO,28,0),"")</f>
        <v/>
      </c>
      <c r="I120" s="50">
        <f>IFERROR(VLOOKUP(D120,'Vũ khí đề xuất'!$A:$AO,30,0),"")</f>
        <v/>
      </c>
      <c r="J120" s="50">
        <f>IFERROR(VLOOKUP(D120,'Vũ khí đề xuất'!$A:$AO,32,0),"")</f>
        <v/>
      </c>
      <c r="K120" s="50">
        <f>IFERROR(VLOOKUP(D120,'Vũ khí đề xuất'!$A:$AO,35,0),"")</f>
        <v/>
      </c>
      <c r="L120" s="50">
        <f>IFERROR(VLOOKUP(D120,'Vũ khí đề xuất'!$A:$AO,36,0),"")</f>
        <v/>
      </c>
      <c r="M120" s="39" t="n"/>
    </row>
    <row r="121" ht="15" customHeight="1" s="32">
      <c r="A121" s="41" t="inlineStr">
        <is>
          <t>aa_turret</t>
        </is>
      </c>
      <c r="B121" s="41" t="inlineStr">
        <is>
          <t>Tháp phòng không</t>
        </is>
      </c>
      <c r="C121" s="41" t="inlineStr">
        <is>
          <t>Công trình</t>
        </is>
      </c>
      <c r="D121" s="41" t="inlineStr">
        <is>
          <t>tower_flak_30</t>
        </is>
      </c>
      <c r="E121" s="41" t="inlineStr">
        <is>
          <t>2A38 30 mm (twin)</t>
        </is>
      </c>
      <c r="F121" s="43" t="n">
        <v>1</v>
      </c>
      <c r="G121" s="51">
        <f>IFERROR(VLOOKUP(D121,'Vũ khí đề xuất'!$A:$AO,27,0),"")</f>
        <v/>
      </c>
      <c r="H121" s="51">
        <f>IFERROR(VLOOKUP(D121,'Vũ khí đề xuất'!$A:$AO,28,0),"")</f>
        <v/>
      </c>
      <c r="I121" s="51">
        <f>IFERROR(VLOOKUP(D121,'Vũ khí đề xuất'!$A:$AO,30,0),"")</f>
        <v/>
      </c>
      <c r="J121" s="51">
        <f>IFERROR(VLOOKUP(D121,'Vũ khí đề xuất'!$A:$AO,32,0),"")</f>
        <v/>
      </c>
      <c r="K121" s="51">
        <f>IFERROR(VLOOKUP(D121,'Vũ khí đề xuất'!$A:$AO,35,0),"")</f>
        <v/>
      </c>
      <c r="L121" s="51">
        <f>IFERROR(VLOOKUP(D121,'Vũ khí đề xuất'!$A:$AO,36,0),"")</f>
        <v/>
      </c>
      <c r="M121" s="41" t="n"/>
    </row>
    <row r="122" ht="15" customHeight="1" s="32">
      <c r="A122" s="39" t="inlineStr">
        <is>
          <t>aa_turret</t>
        </is>
      </c>
      <c r="B122" s="39" t="inlineStr">
        <is>
          <t>Tháp phòng không</t>
        </is>
      </c>
      <c r="C122" s="39" t="inlineStr">
        <is>
          <t>Công trình</t>
        </is>
      </c>
      <c r="D122" s="39" t="inlineStr">
        <is>
          <t>sam</t>
        </is>
      </c>
      <c r="E122" s="39" t="inlineStr">
        <is>
          <t>Starstreak / Stinger SHORAD</t>
        </is>
      </c>
      <c r="F122" s="42" t="n">
        <v>1</v>
      </c>
      <c r="G122" s="50">
        <f>IFERROR(VLOOKUP(D122,'Vũ khí đề xuất'!$A:$AO,27,0),"")</f>
        <v/>
      </c>
      <c r="H122" s="50">
        <f>IFERROR(VLOOKUP(D122,'Vũ khí đề xuất'!$A:$AO,28,0),"")</f>
        <v/>
      </c>
      <c r="I122" s="50">
        <f>IFERROR(VLOOKUP(D122,'Vũ khí đề xuất'!$A:$AO,30,0),"")</f>
        <v/>
      </c>
      <c r="J122" s="50">
        <f>IFERROR(VLOOKUP(D122,'Vũ khí đề xuất'!$A:$AO,32,0),"")</f>
        <v/>
      </c>
      <c r="K122" s="50">
        <f>IFERROR(VLOOKUP(D122,'Vũ khí đề xuất'!$A:$AO,35,0),"")</f>
        <v/>
      </c>
      <c r="L122" s="50">
        <f>IFERROR(VLOOKUP(D122,'Vũ khí đề xuất'!$A:$AO,36,0),"")</f>
        <v/>
      </c>
      <c r="M122" s="39" t="n"/>
    </row>
    <row r="123" ht="21.75" customHeight="1" s="32">
      <c r="A123" s="41" t="inlineStr">
        <is>
          <t>aa_turret.flak</t>
        </is>
      </c>
      <c r="B123" s="41" t="inlineStr">
        <is>
          <t>Tháp phòng không · nhánh Tháp cao xạ</t>
        </is>
      </c>
      <c r="C123" s="41" t="inlineStr">
        <is>
          <t>Công trình</t>
        </is>
      </c>
      <c r="D123" s="41" t="inlineStr">
        <is>
          <t>flak_quad</t>
        </is>
      </c>
      <c r="E123" s="41" t="inlineStr">
        <is>
          <t>ZSU-23-4 23 mm (quad)</t>
        </is>
      </c>
      <c r="F123" s="43" t="n">
        <v>1</v>
      </c>
      <c r="G123" s="51">
        <f>IFERROR(VLOOKUP(D123,'Vũ khí đề xuất'!$A:$AO,27,0),"")</f>
        <v/>
      </c>
      <c r="H123" s="51">
        <f>IFERROR(VLOOKUP(D123,'Vũ khí đề xuất'!$A:$AO,28,0),"")</f>
        <v/>
      </c>
      <c r="I123" s="51">
        <f>IFERROR(VLOOKUP(D123,'Vũ khí đề xuất'!$A:$AO,30,0),"")</f>
        <v/>
      </c>
      <c r="J123" s="51">
        <f>IFERROR(VLOOKUP(D123,'Vũ khí đề xuất'!$A:$AO,32,0),"")</f>
        <v/>
      </c>
      <c r="K123" s="51">
        <f>IFERROR(VLOOKUP(D123,'Vũ khí đề xuất'!$A:$AO,35,0),"")</f>
        <v/>
      </c>
      <c r="L123" s="51">
        <f>IFERROR(VLOOKUP(D123,'Vũ khí đề xuất'!$A:$AO,36,0),"")</f>
        <v/>
      </c>
      <c r="M123" s="41" t="n"/>
    </row>
    <row r="124" ht="21.75" customHeight="1" s="32">
      <c r="A124" s="39" t="inlineStr">
        <is>
          <t>aa_turret.sam</t>
        </is>
      </c>
      <c r="B124" s="39" t="inlineStr">
        <is>
          <t>Tháp phòng không · nhánh Trạm tên lửa</t>
        </is>
      </c>
      <c r="C124" s="39" t="inlineStr">
        <is>
          <t>Công trình</t>
        </is>
      </c>
      <c r="D124" s="39" t="inlineStr">
        <is>
          <t>sam_post</t>
        </is>
      </c>
      <c r="E124" s="39" t="inlineStr">
        <is>
          <t>9M317 Buk</t>
        </is>
      </c>
      <c r="F124" s="42" t="n">
        <v>1</v>
      </c>
      <c r="G124" s="50">
        <f>IFERROR(VLOOKUP(D124,'Vũ khí đề xuất'!$A:$AO,27,0),"")</f>
        <v/>
      </c>
      <c r="H124" s="50">
        <f>IFERROR(VLOOKUP(D124,'Vũ khí đề xuất'!$A:$AO,28,0),"")</f>
        <v/>
      </c>
      <c r="I124" s="50">
        <f>IFERROR(VLOOKUP(D124,'Vũ khí đề xuất'!$A:$AO,30,0),"")</f>
        <v/>
      </c>
      <c r="J124" s="50">
        <f>IFERROR(VLOOKUP(D124,'Vũ khí đề xuất'!$A:$AO,32,0),"")</f>
        <v/>
      </c>
      <c r="K124" s="50">
        <f>IFERROR(VLOOKUP(D124,'Vũ khí đề xuất'!$A:$AO,35,0),"")</f>
        <v/>
      </c>
      <c r="L124" s="50">
        <f>IFERROR(VLOOKUP(D124,'Vũ khí đề xuất'!$A:$AO,36,0),"")</f>
        <v/>
      </c>
      <c r="M124" s="39" t="n"/>
    </row>
    <row r="125" ht="15" customHeight="1" s="32">
      <c r="A125" s="41" t="inlineStr">
        <is>
          <t>guard_tower</t>
        </is>
      </c>
      <c r="B125" s="41" t="inlineStr">
        <is>
          <t>Tháp canh</t>
        </is>
      </c>
      <c r="C125" s="41" t="inlineStr">
        <is>
          <t>Công trình</t>
        </is>
      </c>
      <c r="D125" s="41" t="inlineStr">
        <is>
          <t>mg_jeep</t>
        </is>
      </c>
      <c r="E125" s="41" t="inlineStr">
        <is>
          <t>M2 Browning 12.7 mm</t>
        </is>
      </c>
      <c r="F125" s="43" t="n">
        <v>1</v>
      </c>
      <c r="G125" s="51">
        <f>IFERROR(VLOOKUP(D125,'Vũ khí đề xuất'!$A:$AO,27,0),"")</f>
        <v/>
      </c>
      <c r="H125" s="51">
        <f>IFERROR(VLOOKUP(D125,'Vũ khí đề xuất'!$A:$AO,28,0),"")</f>
        <v/>
      </c>
      <c r="I125" s="51">
        <f>IFERROR(VLOOKUP(D125,'Vũ khí đề xuất'!$A:$AO,30,0),"")</f>
        <v/>
      </c>
      <c r="J125" s="51">
        <f>IFERROR(VLOOKUP(D125,'Vũ khí đề xuất'!$A:$AO,32,0),"")</f>
        <v/>
      </c>
      <c r="K125" s="51">
        <f>IFERROR(VLOOKUP(D125,'Vũ khí đề xuất'!$A:$AO,35,0),"")</f>
        <v/>
      </c>
      <c r="L125" s="51">
        <f>IFERROR(VLOOKUP(D125,'Vũ khí đề xuất'!$A:$AO,36,0),"")</f>
        <v/>
      </c>
      <c r="M125" s="41" t="n"/>
    </row>
    <row r="126" ht="15" customHeight="1" s="32">
      <c r="A126" s="39" t="inlineStr">
        <is>
          <t>guard_tower.watch</t>
        </is>
      </c>
      <c r="B126" s="39" t="inlineStr">
        <is>
          <t>Tháp canh · nhánh Tháp quan sát</t>
        </is>
      </c>
      <c r="C126" s="39" t="inlineStr">
        <is>
          <t>Công trình</t>
        </is>
      </c>
      <c r="D126" s="39" t="inlineStr">
        <is>
          <t>mg_jeep</t>
        </is>
      </c>
      <c r="E126" s="39" t="inlineStr">
        <is>
          <t>M2 Browning 12.7 mm</t>
        </is>
      </c>
      <c r="F126" s="42" t="n">
        <v>1</v>
      </c>
      <c r="G126" s="50">
        <f>IFERROR(VLOOKUP(D126,'Vũ khí đề xuất'!$A:$AO,27,0),"")</f>
        <v/>
      </c>
      <c r="H126" s="50">
        <f>IFERROR(VLOOKUP(D126,'Vũ khí đề xuất'!$A:$AO,28,0),"")</f>
        <v/>
      </c>
      <c r="I126" s="50">
        <f>IFERROR(VLOOKUP(D126,'Vũ khí đề xuất'!$A:$AO,30,0),"")</f>
        <v/>
      </c>
      <c r="J126" s="50">
        <f>IFERROR(VLOOKUP(D126,'Vũ khí đề xuất'!$A:$AO,32,0),"")</f>
        <v/>
      </c>
      <c r="K126" s="50">
        <f>IFERROR(VLOOKUP(D126,'Vũ khí đề xuất'!$A:$AO,35,0),"")</f>
        <v/>
      </c>
      <c r="L126" s="50">
        <f>IFERROR(VLOOKUP(D126,'Vũ khí đề xuất'!$A:$AO,36,0),"")</f>
        <v/>
      </c>
      <c r="M126" s="39" t="n"/>
    </row>
    <row r="127" ht="15" customHeight="1" s="32">
      <c r="A127" s="41" t="inlineStr">
        <is>
          <t>guard_tower.nest</t>
        </is>
      </c>
      <c r="B127" s="41" t="inlineStr">
        <is>
          <t>Tháp canh · nhánh Ổ súng</t>
        </is>
      </c>
      <c r="C127" s="41" t="inlineStr">
        <is>
          <t>Công trình</t>
        </is>
      </c>
      <c r="D127" s="41" t="inlineStr">
        <is>
          <t>tower_ac25</t>
        </is>
      </c>
      <c r="E127" s="41" t="inlineStr">
        <is>
          <t>M242 Bushmaster 25 mm</t>
        </is>
      </c>
      <c r="F127" s="43" t="n">
        <v>1</v>
      </c>
      <c r="G127" s="51">
        <f>IFERROR(VLOOKUP(D127,'Vũ khí đề xuất'!$A:$AO,27,0),"")</f>
        <v/>
      </c>
      <c r="H127" s="51">
        <f>IFERROR(VLOOKUP(D127,'Vũ khí đề xuất'!$A:$AO,28,0),"")</f>
        <v/>
      </c>
      <c r="I127" s="51">
        <f>IFERROR(VLOOKUP(D127,'Vũ khí đề xuất'!$A:$AO,30,0),"")</f>
        <v/>
      </c>
      <c r="J127" s="51">
        <f>IFERROR(VLOOKUP(D127,'Vũ khí đề xuất'!$A:$AO,32,0),"")</f>
        <v/>
      </c>
      <c r="K127" s="51">
        <f>IFERROR(VLOOKUP(D127,'Vũ khí đề xuất'!$A:$AO,35,0),"")</f>
        <v/>
      </c>
      <c r="L127" s="51">
        <f>IFERROR(VLOOKUP(D127,'Vũ khí đề xuất'!$A:$AO,36,0),"")</f>
        <v/>
      </c>
      <c r="M127" s="41" t="n"/>
    </row>
    <row r="128" ht="15" customHeight="1" s="32">
      <c r="A128" s="39" t="inlineStr">
        <is>
          <t>headquarters</t>
        </is>
      </c>
      <c r="B128" s="39" t="inlineStr">
        <is>
          <t>Sở chỉ huy</t>
        </is>
      </c>
      <c r="C128" s="39" t="inlineStr">
        <is>
          <t>Công trình</t>
        </is>
      </c>
      <c r="D128" s="39" t="inlineStr">
        <is>
          <t>bastion_gun</t>
        </is>
      </c>
      <c r="E128" s="39" t="inlineStr">
        <is>
          <t>2A83 152 mm (twin)</t>
        </is>
      </c>
      <c r="F128" s="42" t="n">
        <v>1</v>
      </c>
      <c r="G128" s="50">
        <f>IFERROR(VLOOKUP(D128,'Vũ khí đề xuất'!$A:$AO,27,0),"")</f>
        <v/>
      </c>
      <c r="H128" s="50">
        <f>IFERROR(VLOOKUP(D128,'Vũ khí đề xuất'!$A:$AO,28,0),"")</f>
        <v/>
      </c>
      <c r="I128" s="50">
        <f>IFERROR(VLOOKUP(D128,'Vũ khí đề xuất'!$A:$AO,30,0),"")</f>
        <v/>
      </c>
      <c r="J128" s="50">
        <f>IFERROR(VLOOKUP(D128,'Vũ khí đề xuất'!$A:$AO,32,0),"")</f>
        <v/>
      </c>
      <c r="K128" s="50">
        <f>IFERROR(VLOOKUP(D128,'Vũ khí đề xuất'!$A:$AO,35,0),"")</f>
        <v/>
      </c>
      <c r="L128" s="50">
        <f>IFERROR(VLOOKUP(D128,'Vũ khí đề xuất'!$A:$AO,36,0),"")</f>
        <v/>
      </c>
      <c r="M128" s="39" t="n"/>
    </row>
    <row r="129" ht="15" customHeight="1" s="32">
      <c r="A129" s="41" t="inlineStr">
        <is>
          <t>headquarters</t>
        </is>
      </c>
      <c r="B129" s="41" t="inlineStr">
        <is>
          <t>Sở chỉ huy</t>
        </is>
      </c>
      <c r="C129" s="41" t="inlineStr">
        <is>
          <t>Công trình</t>
        </is>
      </c>
      <c r="D129" s="41" t="inlineStr">
        <is>
          <t>hq_flak</t>
        </is>
      </c>
      <c r="E129" s="41" t="inlineStr">
        <is>
          <t>2A38 30 mm (twin)</t>
        </is>
      </c>
      <c r="F129" s="43" t="n">
        <v>1</v>
      </c>
      <c r="G129" s="51">
        <f>IFERROR(VLOOKUP(D129,'Vũ khí đề xuất'!$A:$AO,27,0),"")</f>
        <v/>
      </c>
      <c r="H129" s="51">
        <f>IFERROR(VLOOKUP(D129,'Vũ khí đề xuất'!$A:$AO,28,0),"")</f>
        <v/>
      </c>
      <c r="I129" s="51">
        <f>IFERROR(VLOOKUP(D129,'Vũ khí đề xuất'!$A:$AO,30,0),"")</f>
        <v/>
      </c>
      <c r="J129" s="51">
        <f>IFERROR(VLOOKUP(D129,'Vũ khí đề xuất'!$A:$AO,32,0),"")</f>
        <v/>
      </c>
      <c r="K129" s="51">
        <f>IFERROR(VLOOKUP(D129,'Vũ khí đề xuất'!$A:$AO,35,0),"")</f>
        <v/>
      </c>
      <c r="L129" s="51">
        <f>IFERROR(VLOOKUP(D129,'Vũ khí đề xuất'!$A:$AO,36,0),"")</f>
        <v/>
      </c>
      <c r="M129" s="41" t="n"/>
    </row>
    <row r="130" ht="15" customHeight="1" s="32">
      <c r="A130" s="39" t="inlineStr">
        <is>
          <t>headquarters</t>
        </is>
      </c>
      <c r="B130" s="39" t="inlineStr">
        <is>
          <t>Sở chỉ huy</t>
        </is>
      </c>
      <c r="C130" s="39" t="inlineStr">
        <is>
          <t>Công trình</t>
        </is>
      </c>
      <c r="D130" s="39" t="inlineStr">
        <is>
          <t>hq_flak</t>
        </is>
      </c>
      <c r="E130" s="39" t="inlineStr">
        <is>
          <t>2A38 30 mm (twin)</t>
        </is>
      </c>
      <c r="F130" s="42" t="n">
        <v>1</v>
      </c>
      <c r="G130" s="50">
        <f>IFERROR(VLOOKUP(D130,'Vũ khí đề xuất'!$A:$AO,27,0),"")</f>
        <v/>
      </c>
      <c r="H130" s="50">
        <f>IFERROR(VLOOKUP(D130,'Vũ khí đề xuất'!$A:$AO,28,0),"")</f>
        <v/>
      </c>
      <c r="I130" s="50">
        <f>IFERROR(VLOOKUP(D130,'Vũ khí đề xuất'!$A:$AO,30,0),"")</f>
        <v/>
      </c>
      <c r="J130" s="50">
        <f>IFERROR(VLOOKUP(D130,'Vũ khí đề xuất'!$A:$AO,32,0),"")</f>
        <v/>
      </c>
      <c r="K130" s="50">
        <f>IFERROR(VLOOKUP(D130,'Vũ khí đề xuất'!$A:$AO,35,0),"")</f>
        <v/>
      </c>
      <c r="L130" s="50">
        <f>IFERROR(VLOOKUP(D130,'Vũ khí đề xuất'!$A:$AO,36,0),"")</f>
        <v/>
      </c>
      <c r="M130" s="39" t="n"/>
    </row>
    <row r="131" ht="15" customHeight="1" s="32">
      <c r="A131" s="41" t="inlineStr">
        <is>
          <t>headquarters</t>
        </is>
      </c>
      <c r="B131" s="41" t="inlineStr">
        <is>
          <t>Sở chỉ huy</t>
        </is>
      </c>
      <c r="C131" s="41" t="inlineStr">
        <is>
          <t>Công trình</t>
        </is>
      </c>
      <c r="D131" s="41" t="inlineStr">
        <is>
          <t>mg_coax</t>
        </is>
      </c>
      <c r="E131" s="41" t="inlineStr">
        <is>
          <t>PKT / M240 7.62 mm</t>
        </is>
      </c>
      <c r="F131" s="43" t="n">
        <v>1</v>
      </c>
      <c r="G131" s="51">
        <f>IFERROR(VLOOKUP(D131,'Vũ khí đề xuất'!$A:$AO,27,0),"")</f>
        <v/>
      </c>
      <c r="H131" s="51">
        <f>IFERROR(VLOOKUP(D131,'Vũ khí đề xuất'!$A:$AO,28,0),"")</f>
        <v/>
      </c>
      <c r="I131" s="51">
        <f>IFERROR(VLOOKUP(D131,'Vũ khí đề xuất'!$A:$AO,30,0),"")</f>
        <v/>
      </c>
      <c r="J131" s="51">
        <f>IFERROR(VLOOKUP(D131,'Vũ khí đề xuất'!$A:$AO,32,0),"")</f>
        <v/>
      </c>
      <c r="K131" s="51">
        <f>IFERROR(VLOOKUP(D131,'Vũ khí đề xuất'!$A:$AO,35,0),"")</f>
        <v/>
      </c>
      <c r="L131" s="51">
        <f>IFERROR(VLOOKUP(D131,'Vũ khí đề xuất'!$A:$AO,36,0),"")</f>
        <v/>
      </c>
      <c r="M131" s="41" t="n"/>
    </row>
    <row r="132" ht="15" customHeight="1" s="32">
      <c r="A132" s="39" t="inlineStr">
        <is>
          <t>mg_bunker</t>
        </is>
      </c>
      <c r="B132" s="39" t="inlineStr">
        <is>
          <t>Lô cốt súng máy</t>
        </is>
      </c>
      <c r="C132" s="39" t="inlineStr">
        <is>
          <t>Công trình</t>
        </is>
      </c>
      <c r="D132" s="39" t="inlineStr">
        <is>
          <t>bunker_hmg</t>
        </is>
      </c>
      <c r="E132" s="39" t="inlineStr">
        <is>
          <t>NSV 12.7 mm</t>
        </is>
      </c>
      <c r="F132" s="42" t="n">
        <v>1</v>
      </c>
      <c r="G132" s="50">
        <f>IFERROR(VLOOKUP(D132,'Vũ khí đề xuất'!$A:$AO,27,0),"")</f>
        <v/>
      </c>
      <c r="H132" s="50">
        <f>IFERROR(VLOOKUP(D132,'Vũ khí đề xuất'!$A:$AO,28,0),"")</f>
        <v/>
      </c>
      <c r="I132" s="50">
        <f>IFERROR(VLOOKUP(D132,'Vũ khí đề xuất'!$A:$AO,30,0),"")</f>
        <v/>
      </c>
      <c r="J132" s="50">
        <f>IFERROR(VLOOKUP(D132,'Vũ khí đề xuất'!$A:$AO,32,0),"")</f>
        <v/>
      </c>
      <c r="K132" s="50">
        <f>IFERROR(VLOOKUP(D132,'Vũ khí đề xuất'!$A:$AO,35,0),"")</f>
        <v/>
      </c>
      <c r="L132" s="50">
        <f>IFERROR(VLOOKUP(D132,'Vũ khí đề xuất'!$A:$AO,36,0),"")</f>
        <v/>
      </c>
      <c r="M132" s="39" t="n"/>
    </row>
    <row r="133" ht="15" customHeight="1" s="32">
      <c r="A133" s="41" t="inlineStr">
        <is>
          <t>mg_bunker.twin</t>
        </is>
      </c>
      <c r="B133" s="41" t="inlineStr">
        <is>
          <t>Lô cốt súng máy · nhánh Súng máy đôi</t>
        </is>
      </c>
      <c r="C133" s="41" t="inlineStr">
        <is>
          <t>Công trình</t>
        </is>
      </c>
      <c r="D133" s="41" t="inlineStr">
        <is>
          <t>bunker_hmg_twin</t>
        </is>
      </c>
      <c r="E133" s="41" t="inlineStr">
        <is>
          <t>NSV 12.7 mm (twin)</t>
        </is>
      </c>
      <c r="F133" s="43" t="n">
        <v>1</v>
      </c>
      <c r="G133" s="51">
        <f>IFERROR(VLOOKUP(D133,'Vũ khí đề xuất'!$A:$AO,27,0),"")</f>
        <v/>
      </c>
      <c r="H133" s="51">
        <f>IFERROR(VLOOKUP(D133,'Vũ khí đề xuất'!$A:$AO,28,0),"")</f>
        <v/>
      </c>
      <c r="I133" s="51">
        <f>IFERROR(VLOOKUP(D133,'Vũ khí đề xuất'!$A:$AO,30,0),"")</f>
        <v/>
      </c>
      <c r="J133" s="51">
        <f>IFERROR(VLOOKUP(D133,'Vũ khí đề xuất'!$A:$AO,32,0),"")</f>
        <v/>
      </c>
      <c r="K133" s="51">
        <f>IFERROR(VLOOKUP(D133,'Vũ khí đề xuất'!$A:$AO,35,0),"")</f>
        <v/>
      </c>
      <c r="L133" s="51">
        <f>IFERROR(VLOOKUP(D133,'Vũ khí đề xuất'!$A:$AO,36,0),"")</f>
        <v/>
      </c>
      <c r="M133" s="41" t="n"/>
    </row>
    <row r="134" ht="21.75" customHeight="1" s="32">
      <c r="A134" s="39" t="inlineStr">
        <is>
          <t>mg_bunker.flame</t>
        </is>
      </c>
      <c r="B134" s="39" t="inlineStr">
        <is>
          <t>Lô cốt súng máy · nhánh Lô cốt phun lửa</t>
        </is>
      </c>
      <c r="C134" s="39" t="inlineStr">
        <is>
          <t>Công trình</t>
        </is>
      </c>
      <c r="D134" s="39" t="inlineStr">
        <is>
          <t>bunker_flame</t>
        </is>
      </c>
      <c r="E134" s="39" t="inlineStr">
        <is>
          <t>flamethrower (bunker)</t>
        </is>
      </c>
      <c r="F134" s="42" t="n">
        <v>1</v>
      </c>
      <c r="G134" s="50">
        <f>IFERROR(VLOOKUP(D134,'Vũ khí đề xuất'!$A:$AO,27,0),"")</f>
        <v/>
      </c>
      <c r="H134" s="50">
        <f>IFERROR(VLOOKUP(D134,'Vũ khí đề xuất'!$A:$AO,28,0),"")</f>
        <v/>
      </c>
      <c r="I134" s="50">
        <f>IFERROR(VLOOKUP(D134,'Vũ khí đề xuất'!$A:$AO,30,0),"")</f>
        <v/>
      </c>
      <c r="J134" s="50">
        <f>IFERROR(VLOOKUP(D134,'Vũ khí đề xuất'!$A:$AO,32,0),"")</f>
        <v/>
      </c>
      <c r="K134" s="50">
        <f>IFERROR(VLOOKUP(D134,'Vũ khí đề xuất'!$A:$AO,35,0),"")</f>
        <v/>
      </c>
      <c r="L134" s="50">
        <f>IFERROR(VLOOKUP(D134,'Vũ khí đề xuất'!$A:$AO,36,0),"")</f>
        <v/>
      </c>
      <c r="M134" s="39" t="n"/>
    </row>
    <row r="135" ht="15" customHeight="1" s="32">
      <c r="A135" s="41" t="inlineStr">
        <is>
          <t>atgm_tower</t>
        </is>
      </c>
      <c r="B135" s="41" t="inlineStr">
        <is>
          <t>Tháp tên lửa chống tăng</t>
        </is>
      </c>
      <c r="C135" s="41" t="inlineStr">
        <is>
          <t>Công trình</t>
        </is>
      </c>
      <c r="D135" s="41" t="inlineStr">
        <is>
          <t>tower_kornet</t>
        </is>
      </c>
      <c r="E135" s="41" t="inlineStr">
        <is>
          <t>9M133 Kornet</t>
        </is>
      </c>
      <c r="F135" s="43" t="n">
        <v>1</v>
      </c>
      <c r="G135" s="51">
        <f>IFERROR(VLOOKUP(D135,'Vũ khí đề xuất'!$A:$AO,27,0),"")</f>
        <v/>
      </c>
      <c r="H135" s="51">
        <f>IFERROR(VLOOKUP(D135,'Vũ khí đề xuất'!$A:$AO,28,0),"")</f>
        <v/>
      </c>
      <c r="I135" s="51">
        <f>IFERROR(VLOOKUP(D135,'Vũ khí đề xuất'!$A:$AO,30,0),"")</f>
        <v/>
      </c>
      <c r="J135" s="51">
        <f>IFERROR(VLOOKUP(D135,'Vũ khí đề xuất'!$A:$AO,32,0),"")</f>
        <v/>
      </c>
      <c r="K135" s="51">
        <f>IFERROR(VLOOKUP(D135,'Vũ khí đề xuất'!$A:$AO,35,0),"")</f>
        <v/>
      </c>
      <c r="L135" s="51">
        <f>IFERROR(VLOOKUP(D135,'Vũ khí đề xuất'!$A:$AO,36,0),"")</f>
        <v/>
      </c>
      <c r="M135" s="41" t="n"/>
    </row>
    <row r="136" ht="21.75" customHeight="1" s="32">
      <c r="A136" s="39" t="inlineStr">
        <is>
          <t>atgm_tower.top</t>
        </is>
      </c>
      <c r="B136" s="39" t="inlineStr">
        <is>
          <t>Tháp tên lửa chống tăng · nhánh Tấn công từ trên</t>
        </is>
      </c>
      <c r="C136" s="39" t="inlineStr">
        <is>
          <t>Công trình</t>
        </is>
      </c>
      <c r="D136" s="39" t="inlineStr">
        <is>
          <t>kornet_top</t>
        </is>
      </c>
      <c r="E136" s="39" t="inlineStr">
        <is>
          <t>9M133 Kornet</t>
        </is>
      </c>
      <c r="F136" s="42" t="n">
        <v>1</v>
      </c>
      <c r="G136" s="50">
        <f>IFERROR(VLOOKUP(D136,'Vũ khí đề xuất'!$A:$AO,27,0),"")</f>
        <v/>
      </c>
      <c r="H136" s="50">
        <f>IFERROR(VLOOKUP(D136,'Vũ khí đề xuất'!$A:$AO,28,0),"")</f>
        <v/>
      </c>
      <c r="I136" s="50">
        <f>IFERROR(VLOOKUP(D136,'Vũ khí đề xuất'!$A:$AO,30,0),"")</f>
        <v/>
      </c>
      <c r="J136" s="50">
        <f>IFERROR(VLOOKUP(D136,'Vũ khí đề xuất'!$A:$AO,32,0),"")</f>
        <v/>
      </c>
      <c r="K136" s="50">
        <f>IFERROR(VLOOKUP(D136,'Vũ khí đề xuất'!$A:$AO,35,0),"")</f>
        <v/>
      </c>
      <c r="L136" s="50">
        <f>IFERROR(VLOOKUP(D136,'Vũ khí đề xuất'!$A:$AO,36,0),"")</f>
        <v/>
      </c>
      <c r="M136" s="39" t="n"/>
    </row>
    <row r="137" ht="21.75" customHeight="1" s="32">
      <c r="A137" s="41" t="inlineStr">
        <is>
          <t>atgm_tower.multi</t>
        </is>
      </c>
      <c r="B137" s="41" t="inlineStr">
        <is>
          <t>Tháp tên lửa chống tăng · nhánh Đa năng</t>
        </is>
      </c>
      <c r="C137" s="41" t="inlineStr">
        <is>
          <t>Công trình</t>
        </is>
      </c>
      <c r="D137" s="41" t="inlineStr">
        <is>
          <t>kornet_multi</t>
        </is>
      </c>
      <c r="E137" s="41" t="inlineStr">
        <is>
          <t>9M133 Kornet</t>
        </is>
      </c>
      <c r="F137" s="43" t="n">
        <v>1</v>
      </c>
      <c r="G137" s="51">
        <f>IFERROR(VLOOKUP(D137,'Vũ khí đề xuất'!$A:$AO,27,0),"")</f>
        <v/>
      </c>
      <c r="H137" s="51">
        <f>IFERROR(VLOOKUP(D137,'Vũ khí đề xuất'!$A:$AO,28,0),"")</f>
        <v/>
      </c>
      <c r="I137" s="51">
        <f>IFERROR(VLOOKUP(D137,'Vũ khí đề xuất'!$A:$AO,30,0),"")</f>
        <v/>
      </c>
      <c r="J137" s="51">
        <f>IFERROR(VLOOKUP(D137,'Vũ khí đề xuất'!$A:$AO,32,0),"")</f>
        <v/>
      </c>
      <c r="K137" s="51">
        <f>IFERROR(VLOOKUP(D137,'Vũ khí đề xuất'!$A:$AO,35,0),"")</f>
        <v/>
      </c>
      <c r="L137" s="51">
        <f>IFERROR(VLOOKUP(D137,'Vũ khí đề xuất'!$A:$AO,36,0),"")</f>
        <v/>
      </c>
      <c r="M137" s="41" t="n"/>
    </row>
    <row r="138" ht="15" customHeight="1" s="32">
      <c r="A138" s="39" t="inlineStr">
        <is>
          <t>c_ram</t>
        </is>
      </c>
      <c r="B138" s="39" t="inlineStr">
        <is>
          <t>Trạm C-RAM</t>
        </is>
      </c>
      <c r="C138" s="39" t="inlineStr">
        <is>
          <t>Công trình</t>
        </is>
      </c>
      <c r="D138" s="39" t="inlineStr">
        <is>
          <t>c_ram_gatling</t>
        </is>
      </c>
      <c r="E138" s="39" t="inlineStr">
        <is>
          <t>Phalanx M61 20 mm</t>
        </is>
      </c>
      <c r="F138" s="42" t="n">
        <v>1</v>
      </c>
      <c r="G138" s="50">
        <f>IFERROR(VLOOKUP(D138,'Vũ khí đề xuất'!$A:$AO,27,0),"")</f>
        <v/>
      </c>
      <c r="H138" s="50">
        <f>IFERROR(VLOOKUP(D138,'Vũ khí đề xuất'!$A:$AO,28,0),"")</f>
        <v/>
      </c>
      <c r="I138" s="50">
        <f>IFERROR(VLOOKUP(D138,'Vũ khí đề xuất'!$A:$AO,30,0),"")</f>
        <v/>
      </c>
      <c r="J138" s="50">
        <f>IFERROR(VLOOKUP(D138,'Vũ khí đề xuất'!$A:$AO,32,0),"")</f>
        <v/>
      </c>
      <c r="K138" s="50">
        <f>IFERROR(VLOOKUP(D138,'Vũ khí đề xuất'!$A:$AO,35,0),"")</f>
        <v/>
      </c>
      <c r="L138" s="50">
        <f>IFERROR(VLOOKUP(D138,'Vũ khí đề xuất'!$A:$AO,36,0),"")</f>
        <v/>
      </c>
      <c r="M138" s="39" t="n"/>
    </row>
    <row r="139" ht="15" customHeight="1" s="32">
      <c r="A139" s="41" t="inlineStr">
        <is>
          <t>c_ram.centurion</t>
        </is>
      </c>
      <c r="B139" s="41" t="inlineStr">
        <is>
          <t>Trạm C-RAM · nhánh Centurion</t>
        </is>
      </c>
      <c r="C139" s="41" t="inlineStr">
        <is>
          <t>Công trình</t>
        </is>
      </c>
      <c r="D139" s="41" t="inlineStr">
        <is>
          <t>c_ram_gatling</t>
        </is>
      </c>
      <c r="E139" s="41" t="inlineStr">
        <is>
          <t>Phalanx M61 20 mm</t>
        </is>
      </c>
      <c r="F139" s="43" t="n">
        <v>1</v>
      </c>
      <c r="G139" s="51">
        <f>IFERROR(VLOOKUP(D139,'Vũ khí đề xuất'!$A:$AO,27,0),"")</f>
        <v/>
      </c>
      <c r="H139" s="51">
        <f>IFERROR(VLOOKUP(D139,'Vũ khí đề xuất'!$A:$AO,28,0),"")</f>
        <v/>
      </c>
      <c r="I139" s="51">
        <f>IFERROR(VLOOKUP(D139,'Vũ khí đề xuất'!$A:$AO,30,0),"")</f>
        <v/>
      </c>
      <c r="J139" s="51">
        <f>IFERROR(VLOOKUP(D139,'Vũ khí đề xuất'!$A:$AO,32,0),"")</f>
        <v/>
      </c>
      <c r="K139" s="51">
        <f>IFERROR(VLOOKUP(D139,'Vũ khí đề xuất'!$A:$AO,35,0),"")</f>
        <v/>
      </c>
      <c r="L139" s="51">
        <f>IFERROR(VLOOKUP(D139,'Vũ khí đề xuất'!$A:$AO,36,0),"")</f>
        <v/>
      </c>
      <c r="M139" s="41" t="n"/>
    </row>
    <row r="140" ht="15" customHeight="1" s="32">
      <c r="A140" s="39" t="inlineStr">
        <is>
          <t>c_ram.dome</t>
        </is>
      </c>
      <c r="B140" s="39" t="inlineStr">
        <is>
          <t>Trạm C-RAM · nhánh Vòm Sắt</t>
        </is>
      </c>
      <c r="C140" s="39" t="inlineStr">
        <is>
          <t>Công trình</t>
        </is>
      </c>
      <c r="D140" s="39" t="inlineStr">
        <is>
          <t>tamir</t>
        </is>
      </c>
      <c r="E140" s="39" t="inlineStr">
        <is>
          <t>Tamir interceptor (Iron Dome)</t>
        </is>
      </c>
      <c r="F140" s="42" t="n">
        <v>1</v>
      </c>
      <c r="G140" s="50">
        <f>IFERROR(VLOOKUP(D140,'Vũ khí đề xuất'!$A:$AO,27,0),"")</f>
        <v/>
      </c>
      <c r="H140" s="50">
        <f>IFERROR(VLOOKUP(D140,'Vũ khí đề xuất'!$A:$AO,28,0),"")</f>
        <v/>
      </c>
      <c r="I140" s="50">
        <f>IFERROR(VLOOKUP(D140,'Vũ khí đề xuất'!$A:$AO,30,0),"")</f>
        <v/>
      </c>
      <c r="J140" s="50">
        <f>IFERROR(VLOOKUP(D140,'Vũ khí đề xuất'!$A:$AO,32,0),"")</f>
        <v/>
      </c>
      <c r="K140" s="50">
        <f>IFERROR(VLOOKUP(D140,'Vũ khí đề xuất'!$A:$AO,35,0),"")</f>
        <v/>
      </c>
      <c r="L140" s="50">
        <f>IFERROR(VLOOKUP(D140,'Vũ khí đề xuất'!$A:$AO,36,0),"")</f>
        <v/>
      </c>
      <c r="M140" s="39" t="n"/>
    </row>
    <row r="141" ht="15" customHeight="1" s="32">
      <c r="A141" s="41" t="inlineStr">
        <is>
          <t>gun_turret</t>
        </is>
      </c>
      <c r="B141" s="41" t="inlineStr">
        <is>
          <t>Tháp pháo</t>
        </is>
      </c>
      <c r="C141" s="41" t="inlineStr">
        <is>
          <t>Công trình</t>
        </is>
      </c>
      <c r="D141" s="41" t="inlineStr">
        <is>
          <t>turret_gun_120</t>
        </is>
      </c>
      <c r="E141" s="41" t="inlineStr">
        <is>
          <t>Rh-120 L/44 120 mm</t>
        </is>
      </c>
      <c r="F141" s="43" t="n">
        <v>1</v>
      </c>
      <c r="G141" s="51">
        <f>IFERROR(VLOOKUP(D141,'Vũ khí đề xuất'!$A:$AO,27,0),"")</f>
        <v/>
      </c>
      <c r="H141" s="51">
        <f>IFERROR(VLOOKUP(D141,'Vũ khí đề xuất'!$A:$AO,28,0),"")</f>
        <v/>
      </c>
      <c r="I141" s="51">
        <f>IFERROR(VLOOKUP(D141,'Vũ khí đề xuất'!$A:$AO,30,0),"")</f>
        <v/>
      </c>
      <c r="J141" s="51">
        <f>IFERROR(VLOOKUP(D141,'Vũ khí đề xuất'!$A:$AO,32,0),"")</f>
        <v/>
      </c>
      <c r="K141" s="51">
        <f>IFERROR(VLOOKUP(D141,'Vũ khí đề xuất'!$A:$AO,35,0),"")</f>
        <v/>
      </c>
      <c r="L141" s="51">
        <f>IFERROR(VLOOKUP(D141,'Vũ khí đề xuất'!$A:$AO,36,0),"")</f>
        <v/>
      </c>
      <c r="M141" s="41" t="n"/>
    </row>
    <row r="142" ht="15" customHeight="1" s="32">
      <c r="A142" s="39" t="inlineStr">
        <is>
          <t>gun_turret.long</t>
        </is>
      </c>
      <c r="B142" s="39" t="inlineStr">
        <is>
          <t>Tháp pháo · nhánh Pháo bắn tỉa</t>
        </is>
      </c>
      <c r="C142" s="39" t="inlineStr">
        <is>
          <t>Công trình</t>
        </is>
      </c>
      <c r="D142" s="39" t="inlineStr">
        <is>
          <t>turret_gun_120_long</t>
        </is>
      </c>
      <c r="E142" s="39" t="inlineStr">
        <is>
          <t>Rh-120 L/55 120 mm</t>
        </is>
      </c>
      <c r="F142" s="42" t="n">
        <v>1</v>
      </c>
      <c r="G142" s="50">
        <f>IFERROR(VLOOKUP(D142,'Vũ khí đề xuất'!$A:$AO,27,0),"")</f>
        <v/>
      </c>
      <c r="H142" s="50">
        <f>IFERROR(VLOOKUP(D142,'Vũ khí đề xuất'!$A:$AO,28,0),"")</f>
        <v/>
      </c>
      <c r="I142" s="50">
        <f>IFERROR(VLOOKUP(D142,'Vũ khí đề xuất'!$A:$AO,30,0),"")</f>
        <v/>
      </c>
      <c r="J142" s="50">
        <f>IFERROR(VLOOKUP(D142,'Vũ khí đề xuất'!$A:$AO,32,0),"")</f>
        <v/>
      </c>
      <c r="K142" s="50">
        <f>IFERROR(VLOOKUP(D142,'Vũ khí đề xuất'!$A:$AO,35,0),"")</f>
        <v/>
      </c>
      <c r="L142" s="50">
        <f>IFERROR(VLOOKUP(D142,'Vũ khí đề xuất'!$A:$AO,36,0),"")</f>
        <v/>
      </c>
      <c r="M142" s="39" t="n"/>
    </row>
    <row r="143" ht="21.75" customHeight="1" s="32">
      <c r="A143" s="41" t="inlineStr">
        <is>
          <t>gun_turret.auto</t>
        </is>
      </c>
      <c r="B143" s="41" t="inlineStr">
        <is>
          <t>Tháp pháo · nhánh Pháo tự động 57 mm</t>
        </is>
      </c>
      <c r="C143" s="41" t="inlineStr">
        <is>
          <t>Công trình</t>
        </is>
      </c>
      <c r="D143" s="41" t="inlineStr">
        <is>
          <t>gun_57_auto</t>
        </is>
      </c>
      <c r="E143" s="41" t="inlineStr">
        <is>
          <t>AU-220 57 mm (tower)</t>
        </is>
      </c>
      <c r="F143" s="43" t="n">
        <v>1</v>
      </c>
      <c r="G143" s="51">
        <f>IFERROR(VLOOKUP(D143,'Vũ khí đề xuất'!$A:$AO,27,0),"")</f>
        <v/>
      </c>
      <c r="H143" s="51">
        <f>IFERROR(VLOOKUP(D143,'Vũ khí đề xuất'!$A:$AO,28,0),"")</f>
        <v/>
      </c>
      <c r="I143" s="51">
        <f>IFERROR(VLOOKUP(D143,'Vũ khí đề xuất'!$A:$AO,30,0),"")</f>
        <v/>
      </c>
      <c r="J143" s="51">
        <f>IFERROR(VLOOKUP(D143,'Vũ khí đề xuất'!$A:$AO,32,0),"")</f>
        <v/>
      </c>
      <c r="K143" s="51">
        <f>IFERROR(VLOOKUP(D143,'Vũ khí đề xuất'!$A:$AO,35,0),"")</f>
        <v/>
      </c>
      <c r="L143" s="51">
        <f>IFERROR(VLOOKUP(D143,'Vũ khí đề xuất'!$A:$AO,36,0),"")</f>
        <v/>
      </c>
      <c r="M143" s="41" t="n"/>
    </row>
    <row r="144" ht="15" customHeight="1" s="32">
      <c r="A144" s="39" t="inlineStr">
        <is>
          <t>rocket_turret</t>
        </is>
      </c>
      <c r="B144" s="39" t="inlineStr">
        <is>
          <t>Dàn rốc-két</t>
        </is>
      </c>
      <c r="C144" s="39" t="inlineStr">
        <is>
          <t>Công trình</t>
        </is>
      </c>
      <c r="D144" s="39" t="inlineStr">
        <is>
          <t>turret_rockets</t>
        </is>
      </c>
      <c r="E144" s="39" t="inlineStr">
        <is>
          <t>BM-21 Grad 122 mm</t>
        </is>
      </c>
      <c r="F144" s="42" t="n">
        <v>1</v>
      </c>
      <c r="G144" s="50">
        <f>IFERROR(VLOOKUP(D144,'Vũ khí đề xuất'!$A:$AO,27,0),"")</f>
        <v/>
      </c>
      <c r="H144" s="50">
        <f>IFERROR(VLOOKUP(D144,'Vũ khí đề xuất'!$A:$AO,28,0),"")</f>
        <v/>
      </c>
      <c r="I144" s="50">
        <f>IFERROR(VLOOKUP(D144,'Vũ khí đề xuất'!$A:$AO,30,0),"")</f>
        <v/>
      </c>
      <c r="J144" s="50">
        <f>IFERROR(VLOOKUP(D144,'Vũ khí đề xuất'!$A:$AO,32,0),"")</f>
        <v/>
      </c>
      <c r="K144" s="50">
        <f>IFERROR(VLOOKUP(D144,'Vũ khí đề xuất'!$A:$AO,35,0),"")</f>
        <v/>
      </c>
      <c r="L144" s="50">
        <f>IFERROR(VLOOKUP(D144,'Vũ khí đề xuất'!$A:$AO,36,0),"")</f>
        <v/>
      </c>
      <c r="M144" s="39" t="n"/>
    </row>
    <row r="145" ht="15" customHeight="1" s="32">
      <c r="A145" s="41" t="inlineStr">
        <is>
          <t>rocket_turret.cluster</t>
        </is>
      </c>
      <c r="B145" s="41" t="inlineStr">
        <is>
          <t>Dàn rốc-két · nhánh Rốc-két chùm</t>
        </is>
      </c>
      <c r="C145" s="41" t="inlineStr">
        <is>
          <t>Công trình</t>
        </is>
      </c>
      <c r="D145" s="41" t="inlineStr">
        <is>
          <t>turret_rockets</t>
        </is>
      </c>
      <c r="E145" s="41" t="inlineStr">
        <is>
          <t>BM-21 Grad 122 mm (cluster)</t>
        </is>
      </c>
      <c r="F145" s="43" t="n">
        <v>1</v>
      </c>
      <c r="G145" s="51">
        <f>IFERROR(VLOOKUP(D145,'Vũ khí đề xuất'!$A:$AO,27,0),"")</f>
        <v/>
      </c>
      <c r="H145" s="51">
        <f>IFERROR(VLOOKUP(D145,'Vũ khí đề xuất'!$A:$AO,28,0),"")</f>
        <v/>
      </c>
      <c r="I145" s="51">
        <f>IFERROR(VLOOKUP(D145,'Vũ khí đề xuất'!$A:$AO,30,0),"")</f>
        <v/>
      </c>
      <c r="J145" s="51">
        <f>IFERROR(VLOOKUP(D145,'Vũ khí đề xuất'!$A:$AO,32,0),"")</f>
        <v/>
      </c>
      <c r="K145" s="51">
        <f>IFERROR(VLOOKUP(D145,'Vũ khí đề xuất'!$A:$AO,35,0),"")</f>
        <v/>
      </c>
      <c r="L145" s="51">
        <f>IFERROR(VLOOKUP(D145,'Vũ khí đề xuất'!$A:$AO,36,0),"")</f>
        <v/>
      </c>
      <c r="M145" s="41" t="n"/>
    </row>
    <row r="146" ht="21.75" customHeight="1" s="32">
      <c r="A146" s="39" t="inlineStr">
        <is>
          <t>rocket_turret.guided</t>
        </is>
      </c>
      <c r="B146" s="39" t="inlineStr">
        <is>
          <t>Dàn rốc-két · nhánh Rốc-két dẫn đường</t>
        </is>
      </c>
      <c r="C146" s="39" t="inlineStr">
        <is>
          <t>Công trình</t>
        </is>
      </c>
      <c r="D146" s="39" t="inlineStr">
        <is>
          <t>turret_gmlrs</t>
        </is>
      </c>
      <c r="E146" s="39" t="inlineStr">
        <is>
          <t>M31 GMLRS 227 mm (tower)</t>
        </is>
      </c>
      <c r="F146" s="42" t="n">
        <v>1</v>
      </c>
      <c r="G146" s="50">
        <f>IFERROR(VLOOKUP(D146,'Vũ khí đề xuất'!$A:$AO,27,0),"")</f>
        <v/>
      </c>
      <c r="H146" s="50">
        <f>IFERROR(VLOOKUP(D146,'Vũ khí đề xuất'!$A:$AO,28,0),"")</f>
        <v/>
      </c>
      <c r="I146" s="50">
        <f>IFERROR(VLOOKUP(D146,'Vũ khí đề xuất'!$A:$AO,30,0),"")</f>
        <v/>
      </c>
      <c r="J146" s="50">
        <f>IFERROR(VLOOKUP(D146,'Vũ khí đề xuất'!$A:$AO,32,0),"")</f>
        <v/>
      </c>
      <c r="K146" s="50">
        <f>IFERROR(VLOOKUP(D146,'Vũ khí đề xuất'!$A:$AO,35,0),"")</f>
        <v/>
      </c>
      <c r="L146" s="50">
        <f>IFERROR(VLOOKUP(D146,'Vũ khí đề xuất'!$A:$AO,36,0),"")</f>
        <v/>
      </c>
      <c r="M146" s="39" t="n"/>
    </row>
    <row r="147" ht="15" customHeight="1" s="32">
      <c r="A147" s="41"/>
      <c r="B147" s="41"/>
      <c r="C147" s="41"/>
      <c r="D147" s="41"/>
      <c r="E147" s="41"/>
      <c r="F147" s="43"/>
      <c r="G147" s="51"/>
      <c r="H147" s="51"/>
      <c r="I147" s="51"/>
      <c r="J147" s="51"/>
      <c r="K147" s="51"/>
      <c r="L147" s="51"/>
      <c r="M147" s="41"/>
    </row>
    <row r="148" ht="15" customHeight="1" s="32">
      <c r="A148" s="39"/>
      <c r="B148" s="39"/>
      <c r="C148" s="39"/>
      <c r="D148" s="39"/>
      <c r="E148" s="39"/>
      <c r="F148" s="42"/>
      <c r="G148" s="50"/>
      <c r="H148" s="50"/>
      <c r="I148" s="50"/>
      <c r="J148" s="50"/>
      <c r="K148" s="50"/>
      <c r="L148" s="50"/>
      <c r="M148" s="39"/>
    </row>
    <row r="149" ht="21.75" customHeight="1" s="32">
      <c r="A149" s="41"/>
      <c r="B149" s="41"/>
      <c r="C149" s="41"/>
      <c r="D149" s="41"/>
      <c r="E149" s="41"/>
      <c r="F149" s="43"/>
      <c r="G149" s="51"/>
      <c r="H149" s="51"/>
      <c r="I149" s="51"/>
      <c r="J149" s="51"/>
      <c r="K149" s="51"/>
      <c r="L149" s="51"/>
      <c r="M149" s="41"/>
    </row>
    <row r="150" ht="15" customHeight="1" s="32">
      <c r="A150" s="39" t="inlineStr">
        <is>
          <t>drone_hangar</t>
        </is>
      </c>
      <c r="B150" s="39" t="inlineStr">
        <is>
          <t>Nhà chứa drone</t>
        </is>
      </c>
      <c r="C150" s="39" t="inlineStr">
        <is>
          <t>Công trình</t>
        </is>
      </c>
      <c r="D150" s="39" t="inlineStr">
        <is>
          <t>fpv_hangar</t>
        </is>
      </c>
      <c r="E150" s="39" t="inlineStr">
        <is>
          <t>FPV drone (1.5 kg)</t>
        </is>
      </c>
      <c r="F150" s="42" t="n">
        <v>1</v>
      </c>
      <c r="G150" s="50">
        <f>IFERROR(VLOOKUP(D150,'Vũ khí đề xuất'!$A:$AO,27,0),"")</f>
        <v/>
      </c>
      <c r="H150" s="50">
        <f>IFERROR(VLOOKUP(D150,'Vũ khí đề xuất'!$A:$AO,28,0),"")</f>
        <v/>
      </c>
      <c r="I150" s="50">
        <f>IFERROR(VLOOKUP(D150,'Vũ khí đề xuất'!$A:$AO,30,0),"")</f>
        <v/>
      </c>
      <c r="J150" s="50">
        <f>IFERROR(VLOOKUP(D150,'Vũ khí đề xuất'!$A:$AO,32,0),"")</f>
        <v/>
      </c>
      <c r="K150" s="50">
        <f>IFERROR(VLOOKUP(D150,'Vũ khí đề xuất'!$A:$AO,35,0),"")</f>
        <v/>
      </c>
      <c r="L150" s="50">
        <f>IFERROR(VLOOKUP(D150,'Vũ khí đề xuất'!$A:$AO,36,0),"")</f>
        <v/>
      </c>
      <c r="M150" s="39" t="n"/>
    </row>
    <row r="151" ht="21.75" customHeight="1" s="32">
      <c r="A151" s="41" t="inlineStr">
        <is>
          <t>drone_hangar.lancet</t>
        </is>
      </c>
      <c r="B151" s="41" t="inlineStr">
        <is>
          <t>Nhà chứa drone · nhánh Nhà chứa Lancet</t>
        </is>
      </c>
      <c r="C151" s="41" t="inlineStr">
        <is>
          <t>Công trình</t>
        </is>
      </c>
      <c r="D151" s="41" t="inlineStr">
        <is>
          <t>lancet_hangar</t>
        </is>
      </c>
      <c r="E151" s="41" t="inlineStr">
        <is>
          <t>ZALA Lancet-3 (3 kg)</t>
        </is>
      </c>
      <c r="F151" s="43" t="n">
        <v>1</v>
      </c>
      <c r="G151" s="51">
        <f>IFERROR(VLOOKUP(D151,'Vũ khí đề xuất'!$A:$AO,27,0),"")</f>
        <v/>
      </c>
      <c r="H151" s="51">
        <f>IFERROR(VLOOKUP(D151,'Vũ khí đề xuất'!$A:$AO,28,0),"")</f>
        <v/>
      </c>
      <c r="I151" s="51">
        <f>IFERROR(VLOOKUP(D151,'Vũ khí đề xuất'!$A:$AO,30,0),"")</f>
        <v/>
      </c>
      <c r="J151" s="51">
        <f>IFERROR(VLOOKUP(D151,'Vũ khí đề xuất'!$A:$AO,32,0),"")</f>
        <v/>
      </c>
      <c r="K151" s="51">
        <f>IFERROR(VLOOKUP(D151,'Vũ khí đề xuất'!$A:$AO,35,0),"")</f>
        <v/>
      </c>
      <c r="L151" s="51">
        <f>IFERROR(VLOOKUP(D151,'Vũ khí đề xuất'!$A:$AO,36,0),"")</f>
        <v/>
      </c>
      <c r="M151" s="41" t="n"/>
    </row>
    <row r="152" ht="15" customHeight="1" s="32">
      <c r="A152" s="39" t="inlineStr">
        <is>
          <t>drone_hangar.swarm</t>
        </is>
      </c>
      <c r="B152" s="39" t="inlineStr">
        <is>
          <t>Nhà chứa drone · nhánh Bầy đàn</t>
        </is>
      </c>
      <c r="C152" s="39" t="inlineStr">
        <is>
          <t>Công trình</t>
        </is>
      </c>
      <c r="D152" s="39" t="inlineStr">
        <is>
          <t>fpv_hangar</t>
        </is>
      </c>
      <c r="E152" s="39" t="inlineStr">
        <is>
          <t>FPV drone (1.5 kg)</t>
        </is>
      </c>
      <c r="F152" s="42" t="n">
        <v>1</v>
      </c>
      <c r="G152" s="50">
        <f>IFERROR(VLOOKUP(D152,'Vũ khí đề xuất'!$A:$AO,27,0),"")</f>
        <v/>
      </c>
      <c r="H152" s="50">
        <f>IFERROR(VLOOKUP(D152,'Vũ khí đề xuất'!$A:$AO,28,0),"")</f>
        <v/>
      </c>
      <c r="I152" s="50">
        <f>IFERROR(VLOOKUP(D152,'Vũ khí đề xuất'!$A:$AO,30,0),"")</f>
        <v/>
      </c>
      <c r="J152" s="50">
        <f>IFERROR(VLOOKUP(D152,'Vũ khí đề xuất'!$A:$AO,32,0),"")</f>
        <v/>
      </c>
      <c r="K152" s="50">
        <f>IFERROR(VLOOKUP(D152,'Vũ khí đề xuất'!$A:$AO,35,0),"")</f>
        <v/>
      </c>
      <c r="L152" s="50">
        <f>IFERROR(VLOOKUP(D152,'Vũ khí đề xuất'!$A:$AO,36,0),"")</f>
        <v/>
      </c>
      <c r="M152" s="39" t="n"/>
    </row>
    <row r="153" ht="15" customHeight="1" s="32">
      <c r="A153" s="41" t="inlineStr">
        <is>
          <t>heavy_turret</t>
        </is>
      </c>
      <c r="B153" s="41" t="inlineStr">
        <is>
          <t>Pháo đài hạng nặng</t>
        </is>
      </c>
      <c r="C153" s="41" t="inlineStr">
        <is>
          <t>Công trình</t>
        </is>
      </c>
      <c r="D153" s="41" t="inlineStr">
        <is>
          <t>gun_155_twin_fort</t>
        </is>
      </c>
      <c r="E153" s="41" t="inlineStr">
        <is>
          <t>M284 155 mm (twin)</t>
        </is>
      </c>
      <c r="F153" s="43" t="n">
        <v>1</v>
      </c>
      <c r="G153" s="51">
        <f>IFERROR(VLOOKUP(D153,'Vũ khí đề xuất'!$A:$AO,27,0),"")</f>
        <v/>
      </c>
      <c r="H153" s="51">
        <f>IFERROR(VLOOKUP(D153,'Vũ khí đề xuất'!$A:$AO,28,0),"")</f>
        <v/>
      </c>
      <c r="I153" s="51">
        <f>IFERROR(VLOOKUP(D153,'Vũ khí đề xuất'!$A:$AO,30,0),"")</f>
        <v/>
      </c>
      <c r="J153" s="51">
        <f>IFERROR(VLOOKUP(D153,'Vũ khí đề xuất'!$A:$AO,32,0),"")</f>
        <v/>
      </c>
      <c r="K153" s="51">
        <f>IFERROR(VLOOKUP(D153,'Vũ khí đề xuất'!$A:$AO,35,0),"")</f>
        <v/>
      </c>
      <c r="L153" s="51">
        <f>IFERROR(VLOOKUP(D153,'Vũ khí đề xuất'!$A:$AO,36,0),"")</f>
        <v/>
      </c>
      <c r="M153" s="41" t="n"/>
    </row>
    <row r="154" ht="21.75" customHeight="1" s="32">
      <c r="A154" s="39" t="inlineStr">
        <is>
          <t>heavy_turret.coastal</t>
        </is>
      </c>
      <c r="B154" s="39" t="inlineStr">
        <is>
          <t>Pháo đài hạng nặng · nhánh Pháo bờ biển tầm xa</t>
        </is>
      </c>
      <c r="C154" s="39" t="inlineStr">
        <is>
          <t>Công trình</t>
        </is>
      </c>
      <c r="D154" s="39" t="inlineStr">
        <is>
          <t>gun_155_twin_coastlr</t>
        </is>
      </c>
      <c r="E154" s="39" t="inlineStr">
        <is>
          <t>M284 155 mm (twin, long-range coastal)</t>
        </is>
      </c>
      <c r="F154" s="42" t="n">
        <v>1</v>
      </c>
      <c r="G154" s="50">
        <f>IFERROR(VLOOKUP(D154,'Vũ khí đề xuất'!$A:$AO,27,0),"")</f>
        <v/>
      </c>
      <c r="H154" s="50">
        <f>IFERROR(VLOOKUP(D154,'Vũ khí đề xuất'!$A:$AO,28,0),"")</f>
        <v/>
      </c>
      <c r="I154" s="50">
        <f>IFERROR(VLOOKUP(D154,'Vũ khí đề xuất'!$A:$AO,30,0),"")</f>
        <v/>
      </c>
      <c r="J154" s="50">
        <f>IFERROR(VLOOKUP(D154,'Vũ khí đề xuất'!$A:$AO,32,0),"")</f>
        <v/>
      </c>
      <c r="K154" s="50">
        <f>IFERROR(VLOOKUP(D154,'Vũ khí đề xuất'!$A:$AO,35,0),"")</f>
        <v/>
      </c>
      <c r="L154" s="50">
        <f>IFERROR(VLOOKUP(D154,'Vũ khí đề xuất'!$A:$AO,36,0),"")</f>
        <v/>
      </c>
      <c r="M154" s="39" t="n"/>
    </row>
    <row r="155" ht="21.75" customHeight="1" s="32">
      <c r="A155" s="41" t="inlineStr">
        <is>
          <t>heavy_turret.bastion</t>
        </is>
      </c>
      <c r="B155" s="41" t="inlineStr">
        <is>
          <t>Pháo đài hạng nặng · nhánh Pháo đài thép</t>
        </is>
      </c>
      <c r="C155" s="41" t="inlineStr">
        <is>
          <t>Công trình</t>
        </is>
      </c>
      <c r="D155" s="41" t="inlineStr">
        <is>
          <t>gun_155_twin_fort</t>
        </is>
      </c>
      <c r="E155" s="41" t="inlineStr">
        <is>
          <t>M284 155 mm (twin)</t>
        </is>
      </c>
      <c r="F155" s="43" t="n">
        <v>1</v>
      </c>
      <c r="G155" s="51">
        <f>IFERROR(VLOOKUP(D155,'Vũ khí đề xuất'!$A:$AO,27,0),"")</f>
        <v/>
      </c>
      <c r="H155" s="51">
        <f>IFERROR(VLOOKUP(D155,'Vũ khí đề xuất'!$A:$AO,28,0),"")</f>
        <v/>
      </c>
      <c r="I155" s="51">
        <f>IFERROR(VLOOKUP(D155,'Vũ khí đề xuất'!$A:$AO,30,0),"")</f>
        <v/>
      </c>
      <c r="J155" s="51">
        <f>IFERROR(VLOOKUP(D155,'Vũ khí đề xuất'!$A:$AO,32,0),"")</f>
        <v/>
      </c>
      <c r="K155" s="51">
        <f>IFERROR(VLOOKUP(D155,'Vũ khí đề xuất'!$A:$AO,35,0),"")</f>
        <v/>
      </c>
      <c r="L155" s="51">
        <f>IFERROR(VLOOKUP(D155,'Vũ khí đề xuất'!$A:$AO,36,0),"")</f>
        <v/>
      </c>
      <c r="M155" s="41" t="n"/>
    </row>
    <row r="156" ht="21.75" customHeight="1" s="32">
      <c r="A156" s="39" t="inlineStr">
        <is>
          <t>heavy_turret.bastion</t>
        </is>
      </c>
      <c r="B156" s="39" t="inlineStr">
        <is>
          <t>Pháo đài hạng nặng · nhánh Pháo đài thép</t>
        </is>
      </c>
      <c r="C156" s="39" t="inlineStr">
        <is>
          <t>Công trình</t>
        </is>
      </c>
      <c r="D156" s="39" t="inlineStr">
        <is>
          <t>hmg_roof</t>
        </is>
      </c>
      <c r="E156" s="39" t="inlineStr">
        <is>
          <t>M2 Browning 12.7 mm</t>
        </is>
      </c>
      <c r="F156" s="42" t="n">
        <v>1</v>
      </c>
      <c r="G156" s="50">
        <f>IFERROR(VLOOKUP(D156,'Vũ khí đề xuất'!$A:$AO,27,0),"")</f>
        <v/>
      </c>
      <c r="H156" s="50">
        <f>IFERROR(VLOOKUP(D156,'Vũ khí đề xuất'!$A:$AO,28,0),"")</f>
        <v/>
      </c>
      <c r="I156" s="50">
        <f>IFERROR(VLOOKUP(D156,'Vũ khí đề xuất'!$A:$AO,30,0),"")</f>
        <v/>
      </c>
      <c r="J156" s="50">
        <f>IFERROR(VLOOKUP(D156,'Vũ khí đề xuất'!$A:$AO,32,0),"")</f>
        <v/>
      </c>
      <c r="K156" s="50">
        <f>IFERROR(VLOOKUP(D156,'Vũ khí đề xuất'!$A:$AO,35,0),"")</f>
        <v/>
      </c>
      <c r="L156" s="50">
        <f>IFERROR(VLOOKUP(D156,'Vũ khí đề xuất'!$A:$AO,36,0),"")</f>
        <v/>
      </c>
      <c r="M156" s="39" t="n"/>
    </row>
    <row r="157" ht="21.75" customHeight="1" s="32">
      <c r="A157" s="41" t="inlineStr">
        <is>
          <t>heavy_turret.bastion</t>
        </is>
      </c>
      <c r="B157" s="41" t="inlineStr">
        <is>
          <t>Pháo đài hạng nặng · nhánh Pháo đài thép</t>
        </is>
      </c>
      <c r="C157" s="41" t="inlineStr">
        <is>
          <t>Công trình</t>
        </is>
      </c>
      <c r="D157" s="41" t="inlineStr">
        <is>
          <t>hmg_roof</t>
        </is>
      </c>
      <c r="E157" s="41" t="inlineStr">
        <is>
          <t>M2 Browning 12.7 mm</t>
        </is>
      </c>
      <c r="F157" s="43" t="n">
        <v>1</v>
      </c>
      <c r="G157" s="51">
        <f>IFERROR(VLOOKUP(D157,'Vũ khí đề xuất'!$A:$AO,27,0),"")</f>
        <v/>
      </c>
      <c r="H157" s="51">
        <f>IFERROR(VLOOKUP(D157,'Vũ khí đề xuất'!$A:$AO,28,0),"")</f>
        <v/>
      </c>
      <c r="I157" s="51">
        <f>IFERROR(VLOOKUP(D157,'Vũ khí đề xuất'!$A:$AO,30,0),"")</f>
        <v/>
      </c>
      <c r="J157" s="51">
        <f>IFERROR(VLOOKUP(D157,'Vũ khí đề xuất'!$A:$AO,32,0),"")</f>
        <v/>
      </c>
      <c r="K157" s="51">
        <f>IFERROR(VLOOKUP(D157,'Vũ khí đề xuất'!$A:$AO,35,0),"")</f>
        <v/>
      </c>
      <c r="L157" s="51">
        <f>IFERROR(VLOOKUP(D157,'Vũ khí đề xuất'!$A:$AO,36,0),"")</f>
        <v/>
      </c>
      <c r="M157" s="41" t="n"/>
    </row>
    <row r="158" ht="15" customHeight="1" s="32">
      <c r="A158" s="39" t="inlineStr">
        <is>
          <t>missile_battery</t>
        </is>
      </c>
      <c r="B158" s="39" t="inlineStr">
        <is>
          <t>Tên lửa Patriot tầm xa</t>
        </is>
      </c>
      <c r="C158" s="39" t="inlineStr">
        <is>
          <t>Công trình</t>
        </is>
      </c>
      <c r="D158" s="39" t="inlineStr">
        <is>
          <t>patriot</t>
        </is>
      </c>
      <c r="E158" s="39" t="inlineStr">
        <is>
          <t>MIM-104 Patriot PAC-2</t>
        </is>
      </c>
      <c r="F158" s="42" t="n">
        <v>1</v>
      </c>
      <c r="G158" s="50">
        <f>IFERROR(VLOOKUP(D158,'Vũ khí đề xuất'!$A:$AO,27,0),"")</f>
        <v/>
      </c>
      <c r="H158" s="50">
        <f>IFERROR(VLOOKUP(D158,'Vũ khí đề xuất'!$A:$AO,28,0),"")</f>
        <v/>
      </c>
      <c r="I158" s="50">
        <f>IFERROR(VLOOKUP(D158,'Vũ khí đề xuất'!$A:$AO,30,0),"")</f>
        <v/>
      </c>
      <c r="J158" s="50">
        <f>IFERROR(VLOOKUP(D158,'Vũ khí đề xuất'!$A:$AO,32,0),"")</f>
        <v/>
      </c>
      <c r="K158" s="50">
        <f>IFERROR(VLOOKUP(D158,'Vũ khí đề xuất'!$A:$AO,35,0),"")</f>
        <v/>
      </c>
      <c r="L158" s="50">
        <f>IFERROR(VLOOKUP(D158,'Vũ khí đề xuất'!$A:$AO,36,0),"")</f>
        <v/>
      </c>
      <c r="M158" s="39" t="n"/>
    </row>
    <row r="159" ht="21.75" customHeight="1" s="32">
      <c r="A159" s="41" t="inlineStr">
        <is>
          <t>missile_battery.pac3</t>
        </is>
      </c>
      <c r="B159" s="41" t="inlineStr">
        <is>
          <t>Tên lửa Patriot tầm xa · nhánh PAC-3 đánh chặn</t>
        </is>
      </c>
      <c r="C159" s="41" t="inlineStr">
        <is>
          <t>Công trình</t>
        </is>
      </c>
      <c r="D159" s="41" t="inlineStr">
        <is>
          <t>sam_pac3</t>
        </is>
      </c>
      <c r="E159" s="41" t="inlineStr">
        <is>
          <t>Patriot PAC-3 MSE</t>
        </is>
      </c>
      <c r="F159" s="43" t="n">
        <v>1</v>
      </c>
      <c r="G159" s="51">
        <f>IFERROR(VLOOKUP(D159,'Vũ khí đề xuất'!$A:$AO,27,0),"")</f>
        <v/>
      </c>
      <c r="H159" s="51">
        <f>IFERROR(VLOOKUP(D159,'Vũ khí đề xuất'!$A:$AO,28,0),"")</f>
        <v/>
      </c>
      <c r="I159" s="51">
        <f>IFERROR(VLOOKUP(D159,'Vũ khí đề xuất'!$A:$AO,30,0),"")</f>
        <v/>
      </c>
      <c r="J159" s="51">
        <f>IFERROR(VLOOKUP(D159,'Vũ khí đề xuất'!$A:$AO,32,0),"")</f>
        <v/>
      </c>
      <c r="K159" s="51">
        <f>IFERROR(VLOOKUP(D159,'Vũ khí đề xuất'!$A:$AO,35,0),"")</f>
        <v/>
      </c>
      <c r="L159" s="51">
        <f>IFERROR(VLOOKUP(D159,'Vũ khí đề xuất'!$A:$AO,36,0),"")</f>
        <v/>
      </c>
      <c r="M159" s="41" t="n"/>
    </row>
    <row r="160" ht="21.75" customHeight="1" s="32">
      <c r="A160" s="39" t="inlineStr">
        <is>
          <t>missile_battery.lrr</t>
        </is>
      </c>
      <c r="B160" s="39" t="inlineStr">
        <is>
          <t>Tên lửa Patriot tầm xa · nhánh Radar tầm xa</t>
        </is>
      </c>
      <c r="C160" s="39" t="inlineStr">
        <is>
          <t>Công trình</t>
        </is>
      </c>
      <c r="D160" s="39" t="inlineStr">
        <is>
          <t>sam_battery_lrr</t>
        </is>
      </c>
      <c r="E160" s="39" t="inlineStr">
        <is>
          <t>MIM-104 Patriot PAC-2</t>
        </is>
      </c>
      <c r="F160" s="42" t="n">
        <v>1</v>
      </c>
      <c r="G160" s="50">
        <f>IFERROR(VLOOKUP(D160,'Vũ khí đề xuất'!$A:$AO,27,0),"")</f>
        <v/>
      </c>
      <c r="H160" s="50">
        <f>IFERROR(VLOOKUP(D160,'Vũ khí đề xuất'!$A:$AO,28,0),"")</f>
        <v/>
      </c>
      <c r="I160" s="50">
        <f>IFERROR(VLOOKUP(D160,'Vũ khí đề xuất'!$A:$AO,30,0),"")</f>
        <v/>
      </c>
      <c r="J160" s="50">
        <f>IFERROR(VLOOKUP(D160,'Vũ khí đề xuất'!$A:$AO,32,0),"")</f>
        <v/>
      </c>
      <c r="K160" s="50">
        <f>IFERROR(VLOOKUP(D160,'Vũ khí đề xuất'!$A:$AO,35,0),"")</f>
        <v/>
      </c>
      <c r="L160" s="50">
        <f>IFERROR(VLOOKUP(D160,'Vũ khí đề xuất'!$A:$AO,36,0),"")</f>
        <v/>
      </c>
      <c r="M160" s="39" t="n"/>
    </row>
    <row r="161" ht="15" customHeight="1" s="32">
      <c r="A161" s="41" t="inlineStr">
        <is>
          <t>bulwark_post</t>
        </is>
      </c>
      <c r="B161" s="41" t="inlineStr">
        <is>
          <t>Ụ súng tạm</t>
        </is>
      </c>
      <c r="C161" s="41" t="inlineStr">
        <is>
          <t>Công trình</t>
        </is>
      </c>
      <c r="D161" s="41" t="inlineStr">
        <is>
          <t>bunker_hmg</t>
        </is>
      </c>
      <c r="E161" s="41" t="inlineStr">
        <is>
          <t>NSV 12.7 mm</t>
        </is>
      </c>
      <c r="F161" s="43" t="n">
        <v>1</v>
      </c>
      <c r="G161" s="51">
        <f>IFERROR(VLOOKUP(D161,'Vũ khí đề xuất'!$A:$AO,27,0),"")</f>
        <v/>
      </c>
      <c r="H161" s="51">
        <f>IFERROR(VLOOKUP(D161,'Vũ khí đề xuất'!$A:$AO,28,0),"")</f>
        <v/>
      </c>
      <c r="I161" s="51">
        <f>IFERROR(VLOOKUP(D161,'Vũ khí đề xuất'!$A:$AO,30,0),"")</f>
        <v/>
      </c>
      <c r="J161" s="51">
        <f>IFERROR(VLOOKUP(D161,'Vũ khí đề xuất'!$A:$AO,32,0),"")</f>
        <v/>
      </c>
      <c r="K161" s="51">
        <f>IFERROR(VLOOKUP(D161,'Vũ khí đề xuất'!$A:$AO,35,0),"")</f>
        <v/>
      </c>
      <c r="L161" s="51">
        <f>IFERROR(VLOOKUP(D161,'Vũ khí đề xuất'!$A:$AO,36,0),"")</f>
        <v/>
      </c>
      <c r="M161" s="41" t="n"/>
    </row>
    <row r="162" ht="15" customHeight="1" s="32">
      <c r="A162" s="39" t="inlineStr">
        <is>
          <t>coastal_battery</t>
        </is>
      </c>
      <c r="B162" s="39" t="inlineStr">
        <is>
          <t>Trận địa pháo bờ biển</t>
        </is>
      </c>
      <c r="C162" s="39" t="inlineStr">
        <is>
          <t>Công trình</t>
        </is>
      </c>
      <c r="D162" s="39" t="inlineStr">
        <is>
          <t>gun_155_coastal</t>
        </is>
      </c>
      <c r="E162" s="39" t="inlineStr">
        <is>
          <t>M284 155 mm (coastal battery)</t>
        </is>
      </c>
      <c r="F162" s="42" t="n">
        <v>1</v>
      </c>
      <c r="G162" s="50">
        <f>IFERROR(VLOOKUP(D162,'Vũ khí đề xuất'!$A:$AO,27,0),"")</f>
        <v/>
      </c>
      <c r="H162" s="50">
        <f>IFERROR(VLOOKUP(D162,'Vũ khí đề xuất'!$A:$AO,28,0),"")</f>
        <v/>
      </c>
      <c r="I162" s="50">
        <f>IFERROR(VLOOKUP(D162,'Vũ khí đề xuất'!$A:$AO,30,0),"")</f>
        <v/>
      </c>
      <c r="J162" s="50">
        <f>IFERROR(VLOOKUP(D162,'Vũ khí đề xuất'!$A:$AO,32,0),"")</f>
        <v/>
      </c>
      <c r="K162" s="50">
        <f>IFERROR(VLOOKUP(D162,'Vũ khí đề xuất'!$A:$AO,35,0),"")</f>
        <v/>
      </c>
      <c r="L162" s="50">
        <f>IFERROR(VLOOKUP(D162,'Vũ khí đề xuất'!$A:$AO,36,0),"")</f>
        <v/>
      </c>
      <c r="M162" s="39" t="n"/>
    </row>
    <row r="163" ht="15" customHeight="1" s="32">
      <c r="A163" s="41"/>
      <c r="B163" s="41"/>
      <c r="C163" s="41"/>
      <c r="D163" s="41"/>
      <c r="E163" s="41"/>
      <c r="F163" s="43"/>
      <c r="G163" s="51"/>
      <c r="H163" s="51"/>
      <c r="I163" s="51"/>
      <c r="J163" s="51"/>
      <c r="K163" s="51"/>
      <c r="L163" s="51"/>
      <c r="M163" s="41"/>
    </row>
    <row r="164" ht="15" customHeight="1" s="32">
      <c r="A164" s="39"/>
      <c r="B164" s="39"/>
      <c r="C164" s="39"/>
      <c r="D164" s="39"/>
      <c r="E164" s="39"/>
      <c r="F164" s="42"/>
      <c r="G164" s="50"/>
      <c r="H164" s="50"/>
      <c r="I164" s="50"/>
      <c r="J164" s="50"/>
      <c r="K164" s="50"/>
      <c r="L164" s="50"/>
      <c r="M164" s="39"/>
    </row>
    <row r="165" ht="15" customHeight="1" s="32">
      <c r="A165" s="41"/>
      <c r="B165" s="41"/>
      <c r="C165" s="41"/>
      <c r="D165" s="41"/>
      <c r="E165" s="41"/>
      <c r="F165" s="43"/>
      <c r="G165" s="51"/>
      <c r="H165" s="51"/>
      <c r="I165" s="51"/>
      <c r="J165" s="51"/>
      <c r="K165" s="51"/>
      <c r="L165" s="51"/>
      <c r="M165" s="41"/>
    </row>
    <row r="166" ht="15" customHeight="1" s="32">
      <c r="A166" s="39"/>
      <c r="B166" s="39"/>
      <c r="C166" s="39"/>
      <c r="D166" s="39"/>
      <c r="E166" s="39"/>
      <c r="F166" s="42"/>
      <c r="G166" s="50"/>
      <c r="H166" s="50"/>
      <c r="I166" s="50"/>
      <c r="J166" s="50"/>
      <c r="K166" s="50"/>
      <c r="L166" s="50"/>
      <c r="M166" s="39"/>
    </row>
    <row r="167" ht="15" customHeight="1" s="32">
      <c r="A167" s="41" t="inlineStr">
        <is>
          <t>spawn_bastion</t>
        </is>
      </c>
      <c r="B167" s="41" t="inlineStr">
        <is>
          <t>Tháp căn cứ</t>
        </is>
      </c>
      <c r="C167" s="41" t="inlineStr">
        <is>
          <t>Công trình</t>
        </is>
      </c>
      <c r="D167" s="41" t="inlineStr">
        <is>
          <t>bastion_gun</t>
        </is>
      </c>
      <c r="E167" s="41" t="inlineStr">
        <is>
          <t>2A83 152 mm (twin)</t>
        </is>
      </c>
      <c r="F167" s="43" t="n">
        <v>1</v>
      </c>
      <c r="G167" s="51">
        <f>IFERROR(VLOOKUP(D167,'Vũ khí đề xuất'!$A:$AO,27,0),"")</f>
        <v/>
      </c>
      <c r="H167" s="51">
        <f>IFERROR(VLOOKUP(D167,'Vũ khí đề xuất'!$A:$AO,28,0),"")</f>
        <v/>
      </c>
      <c r="I167" s="51">
        <f>IFERROR(VLOOKUP(D167,'Vũ khí đề xuất'!$A:$AO,30,0),"")</f>
        <v/>
      </c>
      <c r="J167" s="51">
        <f>IFERROR(VLOOKUP(D167,'Vũ khí đề xuất'!$A:$AO,32,0),"")</f>
        <v/>
      </c>
      <c r="K167" s="51">
        <f>IFERROR(VLOOKUP(D167,'Vũ khí đề xuất'!$A:$AO,35,0),"")</f>
        <v/>
      </c>
      <c r="L167" s="51">
        <f>IFERROR(VLOOKUP(D167,'Vũ khí đề xuất'!$A:$AO,36,0),"")</f>
        <v/>
      </c>
      <c r="M167" s="41" t="n"/>
    </row>
    <row r="168" ht="21.75" customHeight="1" s="32">
      <c r="A168" s="39" t="inlineStr">
        <is>
          <t>behemoth_mk0</t>
        </is>
      </c>
      <c r="B168" s="39" t="inlineStr">
        <is>
          <t>Behemoth Mk.0 · Behemoth nguyên mẫu</t>
        </is>
      </c>
      <c r="C168" s="39" t="inlineStr">
        <is>
          <t>Boss</t>
        </is>
      </c>
      <c r="D168" s="39" t="inlineStr">
        <is>
          <t>gun_behemoth</t>
        </is>
      </c>
      <c r="E168" s="39" t="inlineStr">
        <is>
          <t>2A65 152 mm (twin)</t>
        </is>
      </c>
      <c r="F168" s="42" t="n">
        <v>1</v>
      </c>
      <c r="G168" s="50">
        <f>IFERROR(VLOOKUP(D168,'Vũ khí đề xuất'!$A:$AO,27,0),"")</f>
        <v/>
      </c>
      <c r="H168" s="50">
        <f>IFERROR(VLOOKUP(D168,'Vũ khí đề xuất'!$A:$AO,28,0),"")</f>
        <v/>
      </c>
      <c r="I168" s="50">
        <f>IFERROR(VLOOKUP(D168,'Vũ khí đề xuất'!$A:$AO,30,0),"")</f>
        <v/>
      </c>
      <c r="J168" s="50">
        <f>IFERROR(VLOOKUP(D168,'Vũ khí đề xuất'!$A:$AO,32,0),"")</f>
        <v/>
      </c>
      <c r="K168" s="50">
        <f>IFERROR(VLOOKUP(D168,'Vũ khí đề xuất'!$A:$AO,35,0),"")</f>
        <v/>
      </c>
      <c r="L168" s="50">
        <f>IFERROR(VLOOKUP(D168,'Vũ khí đề xuất'!$A:$AO,36,0),"")</f>
        <v/>
      </c>
      <c r="M168" s="39" t="n"/>
    </row>
    <row r="169" ht="21.75" customHeight="1" s="32">
      <c r="A169" s="41" t="inlineStr">
        <is>
          <t>behemoth_mk0</t>
        </is>
      </c>
      <c r="B169" s="41" t="inlineStr">
        <is>
          <t>Behemoth Mk.0 · Behemoth nguyên mẫu</t>
        </is>
      </c>
      <c r="C169" s="41" t="inlineStr">
        <is>
          <t>Boss</t>
        </is>
      </c>
      <c r="D169" s="41" t="inlineStr">
        <is>
          <t>gun_120mm</t>
        </is>
      </c>
      <c r="E169" s="41" t="inlineStr">
        <is>
          <t>Rh-120 L/44 120 mm</t>
        </is>
      </c>
      <c r="F169" s="43" t="n">
        <v>1</v>
      </c>
      <c r="G169" s="51">
        <f>IFERROR(VLOOKUP(D169,'Vũ khí đề xuất'!$A:$AO,27,0),"")</f>
        <v/>
      </c>
      <c r="H169" s="51">
        <f>IFERROR(VLOOKUP(D169,'Vũ khí đề xuất'!$A:$AO,28,0),"")</f>
        <v/>
      </c>
      <c r="I169" s="51">
        <f>IFERROR(VLOOKUP(D169,'Vũ khí đề xuất'!$A:$AO,30,0),"")</f>
        <v/>
      </c>
      <c r="J169" s="51">
        <f>IFERROR(VLOOKUP(D169,'Vũ khí đề xuất'!$A:$AO,32,0),"")</f>
        <v/>
      </c>
      <c r="K169" s="51">
        <f>IFERROR(VLOOKUP(D169,'Vũ khí đề xuất'!$A:$AO,35,0),"")</f>
        <v/>
      </c>
      <c r="L169" s="51">
        <f>IFERROR(VLOOKUP(D169,'Vũ khí đề xuất'!$A:$AO,36,0),"")</f>
        <v/>
      </c>
      <c r="M169" s="41" t="n"/>
    </row>
    <row r="170" ht="21.75" customHeight="1" s="32">
      <c r="A170" s="39" t="inlineStr">
        <is>
          <t>behemoth_mk0</t>
        </is>
      </c>
      <c r="B170" s="39" t="inlineStr">
        <is>
          <t>Behemoth Mk.0 · Behemoth nguyên mẫu</t>
        </is>
      </c>
      <c r="C170" s="39" t="inlineStr">
        <is>
          <t>Boss</t>
        </is>
      </c>
      <c r="D170" s="39" t="inlineStr">
        <is>
          <t>gun_120mm</t>
        </is>
      </c>
      <c r="E170" s="39" t="inlineStr">
        <is>
          <t>Rh-120 L/44 120 mm</t>
        </is>
      </c>
      <c r="F170" s="42" t="n">
        <v>1</v>
      </c>
      <c r="G170" s="50">
        <f>IFERROR(VLOOKUP(D170,'Vũ khí đề xuất'!$A:$AO,27,0),"")</f>
        <v/>
      </c>
      <c r="H170" s="50">
        <f>IFERROR(VLOOKUP(D170,'Vũ khí đề xuất'!$A:$AO,28,0),"")</f>
        <v/>
      </c>
      <c r="I170" s="50">
        <f>IFERROR(VLOOKUP(D170,'Vũ khí đề xuất'!$A:$AO,30,0),"")</f>
        <v/>
      </c>
      <c r="J170" s="50">
        <f>IFERROR(VLOOKUP(D170,'Vũ khí đề xuất'!$A:$AO,32,0),"")</f>
        <v/>
      </c>
      <c r="K170" s="50">
        <f>IFERROR(VLOOKUP(D170,'Vũ khí đề xuất'!$A:$AO,35,0),"")</f>
        <v/>
      </c>
      <c r="L170" s="50">
        <f>IFERROR(VLOOKUP(D170,'Vũ khí đề xuất'!$A:$AO,36,0),"")</f>
        <v/>
      </c>
      <c r="M170" s="39" t="n"/>
    </row>
    <row r="171" ht="21.75" customHeight="1" s="32">
      <c r="A171" s="41" t="inlineStr">
        <is>
          <t>behemoth_mk0</t>
        </is>
      </c>
      <c r="B171" s="41" t="inlineStr">
        <is>
          <t>Behemoth Mk.0 · Behemoth nguyên mẫu</t>
        </is>
      </c>
      <c r="C171" s="41" t="inlineStr">
        <is>
          <t>Boss</t>
        </is>
      </c>
      <c r="D171" s="41" t="inlineStr">
        <is>
          <t>boss_rockets</t>
        </is>
      </c>
      <c r="E171" s="41" t="inlineStr">
        <is>
          <t>BM-21 Grad 122 mm</t>
        </is>
      </c>
      <c r="F171" s="43" t="n">
        <v>1</v>
      </c>
      <c r="G171" s="51">
        <f>IFERROR(VLOOKUP(D171,'Vũ khí đề xuất'!$A:$AO,27,0),"")</f>
        <v/>
      </c>
      <c r="H171" s="51">
        <f>IFERROR(VLOOKUP(D171,'Vũ khí đề xuất'!$A:$AO,28,0),"")</f>
        <v/>
      </c>
      <c r="I171" s="51">
        <f>IFERROR(VLOOKUP(D171,'Vũ khí đề xuất'!$A:$AO,30,0),"")</f>
        <v/>
      </c>
      <c r="J171" s="51">
        <f>IFERROR(VLOOKUP(D171,'Vũ khí đề xuất'!$A:$AO,32,0),"")</f>
        <v/>
      </c>
      <c r="K171" s="51">
        <f>IFERROR(VLOOKUP(D171,'Vũ khí đề xuất'!$A:$AO,35,0),"")</f>
        <v/>
      </c>
      <c r="L171" s="51">
        <f>IFERROR(VLOOKUP(D171,'Vũ khí đề xuất'!$A:$AO,36,0),"")</f>
        <v/>
      </c>
      <c r="M171" s="41" t="n"/>
    </row>
    <row r="172" ht="15" customHeight="1" s="32">
      <c r="A172" s="39" t="inlineStr">
        <is>
          <t>armored_train</t>
        </is>
      </c>
      <c r="B172" s="39" t="inlineStr">
        <is>
          <t>Juggernaut · Đoàn tàu bọc thép</t>
        </is>
      </c>
      <c r="C172" s="39" t="inlineStr">
        <is>
          <t>Boss</t>
        </is>
      </c>
      <c r="D172" s="39" t="inlineStr">
        <is>
          <t>train_gun</t>
        </is>
      </c>
      <c r="E172" s="39" t="inlineStr">
        <is>
          <t>B-38 152 mm</t>
        </is>
      </c>
      <c r="F172" s="42" t="n">
        <v>1</v>
      </c>
      <c r="G172" s="50">
        <f>IFERROR(VLOOKUP(D172,'Vũ khí đề xuất'!$A:$AO,27,0),"")</f>
        <v/>
      </c>
      <c r="H172" s="50">
        <f>IFERROR(VLOOKUP(D172,'Vũ khí đề xuất'!$A:$AO,28,0),"")</f>
        <v/>
      </c>
      <c r="I172" s="50">
        <f>IFERROR(VLOOKUP(D172,'Vũ khí đề xuất'!$A:$AO,30,0),"")</f>
        <v/>
      </c>
      <c r="J172" s="50">
        <f>IFERROR(VLOOKUP(D172,'Vũ khí đề xuất'!$A:$AO,32,0),"")</f>
        <v/>
      </c>
      <c r="K172" s="50">
        <f>IFERROR(VLOOKUP(D172,'Vũ khí đề xuất'!$A:$AO,35,0),"")</f>
        <v/>
      </c>
      <c r="L172" s="50">
        <f>IFERROR(VLOOKUP(D172,'Vũ khí đề xuất'!$A:$AO,36,0),"")</f>
        <v/>
      </c>
      <c r="M172" s="39" t="n"/>
    </row>
    <row r="173" ht="15" customHeight="1" s="32">
      <c r="A173" s="41" t="inlineStr">
        <is>
          <t>armored_train</t>
        </is>
      </c>
      <c r="B173" s="41" t="inlineStr">
        <is>
          <t>Juggernaut · Đoàn tàu bọc thép</t>
        </is>
      </c>
      <c r="C173" s="41" t="inlineStr">
        <is>
          <t>Boss</t>
        </is>
      </c>
      <c r="D173" s="41" t="inlineStr">
        <is>
          <t>boss_rockets</t>
        </is>
      </c>
      <c r="E173" s="41" t="inlineStr">
        <is>
          <t>BM-21 Grad 122 mm</t>
        </is>
      </c>
      <c r="F173" s="43" t="n">
        <v>1</v>
      </c>
      <c r="G173" s="51">
        <f>IFERROR(VLOOKUP(D173,'Vũ khí đề xuất'!$A:$AO,27,0),"")</f>
        <v/>
      </c>
      <c r="H173" s="51">
        <f>IFERROR(VLOOKUP(D173,'Vũ khí đề xuất'!$A:$AO,28,0),"")</f>
        <v/>
      </c>
      <c r="I173" s="51">
        <f>IFERROR(VLOOKUP(D173,'Vũ khí đề xuất'!$A:$AO,30,0),"")</f>
        <v/>
      </c>
      <c r="J173" s="51">
        <f>IFERROR(VLOOKUP(D173,'Vũ khí đề xuất'!$A:$AO,32,0),"")</f>
        <v/>
      </c>
      <c r="K173" s="51">
        <f>IFERROR(VLOOKUP(D173,'Vũ khí đề xuất'!$A:$AO,35,0),"")</f>
        <v/>
      </c>
      <c r="L173" s="51">
        <f>IFERROR(VLOOKUP(D173,'Vũ khí đề xuất'!$A:$AO,36,0),"")</f>
        <v/>
      </c>
      <c r="M173" s="41" t="n"/>
    </row>
    <row r="174" ht="15" customHeight="1" s="32">
      <c r="A174" s="39" t="inlineStr">
        <is>
          <t>armored_train</t>
        </is>
      </c>
      <c r="B174" s="39" t="inlineStr">
        <is>
          <t>Juggernaut · Đoàn tàu bọc thép</t>
        </is>
      </c>
      <c r="C174" s="39" t="inlineStr">
        <is>
          <t>Boss</t>
        </is>
      </c>
      <c r="D174" s="39" t="inlineStr">
        <is>
          <t>boss_hmg</t>
        </is>
      </c>
      <c r="E174" s="39" t="inlineStr">
        <is>
          <t>NSV 12.7 mm</t>
        </is>
      </c>
      <c r="F174" s="42" t="n">
        <v>1</v>
      </c>
      <c r="G174" s="50">
        <f>IFERROR(VLOOKUP(D174,'Vũ khí đề xuất'!$A:$AO,27,0),"")</f>
        <v/>
      </c>
      <c r="H174" s="50">
        <f>IFERROR(VLOOKUP(D174,'Vũ khí đề xuất'!$A:$AO,28,0),"")</f>
        <v/>
      </c>
      <c r="I174" s="50">
        <f>IFERROR(VLOOKUP(D174,'Vũ khí đề xuất'!$A:$AO,30,0),"")</f>
        <v/>
      </c>
      <c r="J174" s="50">
        <f>IFERROR(VLOOKUP(D174,'Vũ khí đề xuất'!$A:$AO,32,0),"")</f>
        <v/>
      </c>
      <c r="K174" s="50">
        <f>IFERROR(VLOOKUP(D174,'Vũ khí đề xuất'!$A:$AO,35,0),"")</f>
        <v/>
      </c>
      <c r="L174" s="50">
        <f>IFERROR(VLOOKUP(D174,'Vũ khí đề xuất'!$A:$AO,36,0),"")</f>
        <v/>
      </c>
      <c r="M174" s="39" t="n"/>
    </row>
    <row r="175" ht="15" customHeight="1" s="32">
      <c r="A175" s="41" t="inlineStr">
        <is>
          <t>armored_train</t>
        </is>
      </c>
      <c r="B175" s="41" t="inlineStr">
        <is>
          <t>Juggernaut · Đoàn tàu bọc thép</t>
        </is>
      </c>
      <c r="C175" s="41" t="inlineStr">
        <is>
          <t>Boss</t>
        </is>
      </c>
      <c r="D175" s="41" t="inlineStr">
        <is>
          <t>boss_flak</t>
        </is>
      </c>
      <c r="E175" s="41" t="inlineStr">
        <is>
          <t>Oerlikon 35 mm (twin)</t>
        </is>
      </c>
      <c r="F175" s="43" t="n">
        <v>1</v>
      </c>
      <c r="G175" s="51">
        <f>IFERROR(VLOOKUP(D175,'Vũ khí đề xuất'!$A:$AO,27,0),"")</f>
        <v/>
      </c>
      <c r="H175" s="51">
        <f>IFERROR(VLOOKUP(D175,'Vũ khí đề xuất'!$A:$AO,28,0),"")</f>
        <v/>
      </c>
      <c r="I175" s="51">
        <f>IFERROR(VLOOKUP(D175,'Vũ khí đề xuất'!$A:$AO,30,0),"")</f>
        <v/>
      </c>
      <c r="J175" s="51">
        <f>IFERROR(VLOOKUP(D175,'Vũ khí đề xuất'!$A:$AO,32,0),"")</f>
        <v/>
      </c>
      <c r="K175" s="51">
        <f>IFERROR(VLOOKUP(D175,'Vũ khí đề xuất'!$A:$AO,35,0),"")</f>
        <v/>
      </c>
      <c r="L175" s="51">
        <f>IFERROR(VLOOKUP(D175,'Vũ khí đề xuất'!$A:$AO,36,0),"")</f>
        <v/>
      </c>
      <c r="M175" s="41" t="n"/>
    </row>
    <row r="176" ht="15" customHeight="1" s="32">
      <c r="A176" s="39" t="inlineStr">
        <is>
          <t>armored_train</t>
        </is>
      </c>
      <c r="B176" s="39" t="inlineStr">
        <is>
          <t>Juggernaut · Đoàn tàu bọc thép</t>
        </is>
      </c>
      <c r="C176" s="39" t="inlineStr">
        <is>
          <t>Boss</t>
        </is>
      </c>
      <c r="D176" s="39" t="inlineStr">
        <is>
          <t>train_gun</t>
        </is>
      </c>
      <c r="E176" s="39" t="inlineStr">
        <is>
          <t>B-38 152 mm</t>
        </is>
      </c>
      <c r="F176" s="42" t="n">
        <v>1</v>
      </c>
      <c r="G176" s="50">
        <f>IFERROR(VLOOKUP(D176,'Vũ khí đề xuất'!$A:$AO,27,0),"")</f>
        <v/>
      </c>
      <c r="H176" s="50">
        <f>IFERROR(VLOOKUP(D176,'Vũ khí đề xuất'!$A:$AO,28,0),"")</f>
        <v/>
      </c>
      <c r="I176" s="50">
        <f>IFERROR(VLOOKUP(D176,'Vũ khí đề xuất'!$A:$AO,30,0),"")</f>
        <v/>
      </c>
      <c r="J176" s="50">
        <f>IFERROR(VLOOKUP(D176,'Vũ khí đề xuất'!$A:$AO,32,0),"")</f>
        <v/>
      </c>
      <c r="K176" s="50">
        <f>IFERROR(VLOOKUP(D176,'Vũ khí đề xuất'!$A:$AO,35,0),"")</f>
        <v/>
      </c>
      <c r="L176" s="50">
        <f>IFERROR(VLOOKUP(D176,'Vũ khí đề xuất'!$A:$AO,36,0),"")</f>
        <v/>
      </c>
      <c r="M176" s="39" t="n"/>
    </row>
    <row r="177" ht="15" customHeight="1" s="32">
      <c r="A177" s="41" t="inlineStr">
        <is>
          <t>behemoth_tempest</t>
        </is>
      </c>
      <c r="B177" s="41" t="inlineStr">
        <is>
          <t>Tempest · Behemoth pháo điện từ</t>
        </is>
      </c>
      <c r="C177" s="41" t="inlineStr">
        <is>
          <t>Boss</t>
        </is>
      </c>
      <c r="D177" s="41" t="inlineStr">
        <is>
          <t>boss_railgun</t>
        </is>
      </c>
      <c r="E177" s="41" t="inlineStr">
        <is>
          <t>railgun (64 MJ) 64 mm</t>
        </is>
      </c>
      <c r="F177" s="43" t="n">
        <v>1</v>
      </c>
      <c r="G177" s="51">
        <f>IFERROR(VLOOKUP(D177,'Vũ khí đề xuất'!$A:$AO,27,0),"")</f>
        <v/>
      </c>
      <c r="H177" s="51">
        <f>IFERROR(VLOOKUP(D177,'Vũ khí đề xuất'!$A:$AO,28,0),"")</f>
        <v/>
      </c>
      <c r="I177" s="51">
        <f>IFERROR(VLOOKUP(D177,'Vũ khí đề xuất'!$A:$AO,30,0),"")</f>
        <v/>
      </c>
      <c r="J177" s="51">
        <f>IFERROR(VLOOKUP(D177,'Vũ khí đề xuất'!$A:$AO,32,0),"")</f>
        <v/>
      </c>
      <c r="K177" s="51">
        <f>IFERROR(VLOOKUP(D177,'Vũ khí đề xuất'!$A:$AO,35,0),"")</f>
        <v/>
      </c>
      <c r="L177" s="51">
        <f>IFERROR(VLOOKUP(D177,'Vũ khí đề xuất'!$A:$AO,36,0),"")</f>
        <v/>
      </c>
      <c r="M177" s="41" t="n"/>
    </row>
    <row r="178" ht="15" customHeight="1" s="32">
      <c r="A178" s="39" t="inlineStr">
        <is>
          <t>behemoth_tempest</t>
        </is>
      </c>
      <c r="B178" s="39" t="inlineStr">
        <is>
          <t>Tempest · Behemoth pháo điện từ</t>
        </is>
      </c>
      <c r="C178" s="39" t="inlineStr">
        <is>
          <t>Boss</t>
        </is>
      </c>
      <c r="D178" s="39" t="inlineStr">
        <is>
          <t>coilgun</t>
        </is>
      </c>
      <c r="E178" s="39" t="inlineStr">
        <is>
          <t>coilgun (10 MJ) 10 mm</t>
        </is>
      </c>
      <c r="F178" s="42" t="n">
        <v>1</v>
      </c>
      <c r="G178" s="50">
        <f>IFERROR(VLOOKUP(D178,'Vũ khí đề xuất'!$A:$AO,27,0),"")</f>
        <v/>
      </c>
      <c r="H178" s="50">
        <f>IFERROR(VLOOKUP(D178,'Vũ khí đề xuất'!$A:$AO,28,0),"")</f>
        <v/>
      </c>
      <c r="I178" s="50">
        <f>IFERROR(VLOOKUP(D178,'Vũ khí đề xuất'!$A:$AO,30,0),"")</f>
        <v/>
      </c>
      <c r="J178" s="50">
        <f>IFERROR(VLOOKUP(D178,'Vũ khí đề xuất'!$A:$AO,32,0),"")</f>
        <v/>
      </c>
      <c r="K178" s="50">
        <f>IFERROR(VLOOKUP(D178,'Vũ khí đề xuất'!$A:$AO,35,0),"")</f>
        <v/>
      </c>
      <c r="L178" s="50">
        <f>IFERROR(VLOOKUP(D178,'Vũ khí đề xuất'!$A:$AO,36,0),"")</f>
        <v/>
      </c>
      <c r="M178" s="39" t="n"/>
    </row>
    <row r="179" ht="15" customHeight="1" s="32">
      <c r="A179" s="41" t="inlineStr">
        <is>
          <t>behemoth_tempest</t>
        </is>
      </c>
      <c r="B179" s="41" t="inlineStr">
        <is>
          <t>Tempest · Behemoth pháo điện từ</t>
        </is>
      </c>
      <c r="C179" s="41" t="inlineStr">
        <is>
          <t>Boss</t>
        </is>
      </c>
      <c r="D179" s="41" t="inlineStr">
        <is>
          <t>coilgun</t>
        </is>
      </c>
      <c r="E179" s="41" t="inlineStr">
        <is>
          <t>coilgun (10 MJ) 10 mm</t>
        </is>
      </c>
      <c r="F179" s="43" t="n">
        <v>1</v>
      </c>
      <c r="G179" s="51">
        <f>IFERROR(VLOOKUP(D179,'Vũ khí đề xuất'!$A:$AO,27,0),"")</f>
        <v/>
      </c>
      <c r="H179" s="51">
        <f>IFERROR(VLOOKUP(D179,'Vũ khí đề xuất'!$A:$AO,28,0),"")</f>
        <v/>
      </c>
      <c r="I179" s="51">
        <f>IFERROR(VLOOKUP(D179,'Vũ khí đề xuất'!$A:$AO,30,0),"")</f>
        <v/>
      </c>
      <c r="J179" s="51">
        <f>IFERROR(VLOOKUP(D179,'Vũ khí đề xuất'!$A:$AO,32,0),"")</f>
        <v/>
      </c>
      <c r="K179" s="51">
        <f>IFERROR(VLOOKUP(D179,'Vũ khí đề xuất'!$A:$AO,35,0),"")</f>
        <v/>
      </c>
      <c r="L179" s="51">
        <f>IFERROR(VLOOKUP(D179,'Vũ khí đề xuất'!$A:$AO,36,0),"")</f>
        <v/>
      </c>
      <c r="M179" s="41" t="n"/>
    </row>
    <row r="180" ht="15" customHeight="1" s="32">
      <c r="A180" s="39" t="inlineStr">
        <is>
          <t>locust</t>
        </is>
      </c>
      <c r="B180" s="39" t="inlineStr">
        <is>
          <t>Locust · Tàu con drone</t>
        </is>
      </c>
      <c r="C180" s="39" t="inlineStr">
        <is>
          <t>Boss</t>
        </is>
      </c>
      <c r="D180" s="39" t="inlineStr">
        <is>
          <t>mothership_drones</t>
        </is>
      </c>
      <c r="E180" s="39" t="inlineStr">
        <is>
          <t>ZALA Lancet-3 (3 kg)</t>
        </is>
      </c>
      <c r="F180" s="42" t="n">
        <v>1</v>
      </c>
      <c r="G180" s="50">
        <f>IFERROR(VLOOKUP(D180,'Vũ khí đề xuất'!$A:$AO,27,0),"")</f>
        <v/>
      </c>
      <c r="H180" s="50">
        <f>IFERROR(VLOOKUP(D180,'Vũ khí đề xuất'!$A:$AO,28,0),"")</f>
        <v/>
      </c>
      <c r="I180" s="50">
        <f>IFERROR(VLOOKUP(D180,'Vũ khí đề xuất'!$A:$AO,30,0),"")</f>
        <v/>
      </c>
      <c r="J180" s="50">
        <f>IFERROR(VLOOKUP(D180,'Vũ khí đề xuất'!$A:$AO,32,0),"")</f>
        <v/>
      </c>
      <c r="K180" s="50">
        <f>IFERROR(VLOOKUP(D180,'Vũ khí đề xuất'!$A:$AO,35,0),"")</f>
        <v/>
      </c>
      <c r="L180" s="50">
        <f>IFERROR(VLOOKUP(D180,'Vũ khí đề xuất'!$A:$AO,36,0),"")</f>
        <v/>
      </c>
      <c r="M180" s="39" t="n"/>
    </row>
    <row r="181" ht="15" customHeight="1" s="32">
      <c r="A181" s="41" t="inlineStr">
        <is>
          <t>locust</t>
        </is>
      </c>
      <c r="B181" s="41" t="inlineStr">
        <is>
          <t>Locust · Tàu con drone</t>
        </is>
      </c>
      <c r="C181" s="41" t="inlineStr">
        <is>
          <t>Boss</t>
        </is>
      </c>
      <c r="D181" s="41" t="inlineStr">
        <is>
          <t>boss_flak</t>
        </is>
      </c>
      <c r="E181" s="41" t="inlineStr">
        <is>
          <t>Oerlikon 35 mm (twin)</t>
        </is>
      </c>
      <c r="F181" s="43" t="n">
        <v>1</v>
      </c>
      <c r="G181" s="51">
        <f>IFERROR(VLOOKUP(D181,'Vũ khí đề xuất'!$A:$AO,27,0),"")</f>
        <v/>
      </c>
      <c r="H181" s="51">
        <f>IFERROR(VLOOKUP(D181,'Vũ khí đề xuất'!$A:$AO,28,0),"")</f>
        <v/>
      </c>
      <c r="I181" s="51">
        <f>IFERROR(VLOOKUP(D181,'Vũ khí đề xuất'!$A:$AO,30,0),"")</f>
        <v/>
      </c>
      <c r="J181" s="51">
        <f>IFERROR(VLOOKUP(D181,'Vũ khí đề xuất'!$A:$AO,32,0),"")</f>
        <v/>
      </c>
      <c r="K181" s="51">
        <f>IFERROR(VLOOKUP(D181,'Vũ khí đề xuất'!$A:$AO,35,0),"")</f>
        <v/>
      </c>
      <c r="L181" s="51">
        <f>IFERROR(VLOOKUP(D181,'Vũ khí đề xuất'!$A:$AO,36,0),"")</f>
        <v/>
      </c>
      <c r="M181" s="41" t="n"/>
    </row>
    <row r="182" ht="15" customHeight="1" s="32">
      <c r="A182" s="39"/>
      <c r="B182" s="39"/>
      <c r="C182" s="39"/>
      <c r="D182" s="39"/>
      <c r="E182" s="39"/>
      <c r="F182" s="42"/>
      <c r="G182" s="50"/>
      <c r="H182" s="50"/>
      <c r="I182" s="50"/>
      <c r="J182" s="50"/>
      <c r="K182" s="50"/>
      <c r="L182" s="50"/>
      <c r="M182" s="39"/>
    </row>
    <row r="183" ht="15" customHeight="1" s="32">
      <c r="A183" s="41"/>
      <c r="B183" s="41"/>
      <c r="C183" s="41"/>
      <c r="D183" s="41"/>
      <c r="E183" s="41"/>
      <c r="F183" s="43"/>
      <c r="G183" s="51"/>
      <c r="H183" s="51"/>
      <c r="I183" s="51"/>
      <c r="J183" s="51"/>
      <c r="K183" s="51"/>
      <c r="L183" s="51"/>
      <c r="M183" s="41"/>
    </row>
    <row r="184" ht="15" customHeight="1" s="32">
      <c r="A184" s="39"/>
      <c r="B184" s="39"/>
      <c r="C184" s="39"/>
      <c r="D184" s="39"/>
      <c r="E184" s="39"/>
      <c r="F184" s="42"/>
      <c r="G184" s="50"/>
      <c r="H184" s="50"/>
      <c r="I184" s="50"/>
      <c r="J184" s="50"/>
      <c r="K184" s="50"/>
      <c r="L184" s="50"/>
      <c r="M184" s="39"/>
    </row>
    <row r="185" ht="15" customHeight="1" s="32">
      <c r="A185" s="41"/>
      <c r="B185" s="41"/>
      <c r="C185" s="41"/>
      <c r="D185" s="41"/>
      <c r="E185" s="41"/>
      <c r="F185" s="43"/>
      <c r="G185" s="51"/>
      <c r="H185" s="51"/>
      <c r="I185" s="51"/>
      <c r="J185" s="51"/>
      <c r="K185" s="51"/>
      <c r="L185" s="51"/>
      <c r="M185" s="41"/>
    </row>
    <row r="186" ht="15" customHeight="1" s="32">
      <c r="A186" s="39"/>
      <c r="B186" s="39"/>
      <c r="C186" s="39"/>
      <c r="D186" s="39"/>
      <c r="E186" s="39"/>
      <c r="F186" s="42"/>
      <c r="G186" s="50"/>
      <c r="H186" s="50"/>
      <c r="I186" s="50"/>
      <c r="J186" s="50"/>
      <c r="K186" s="50"/>
      <c r="L186" s="50"/>
      <c r="M186" s="39"/>
    </row>
    <row r="187" ht="15" customHeight="1" s="32">
      <c r="A187" s="41"/>
      <c r="B187" s="41"/>
      <c r="C187" s="41"/>
      <c r="D187" s="41"/>
      <c r="E187" s="41"/>
      <c r="F187" s="43"/>
      <c r="G187" s="51"/>
      <c r="H187" s="51"/>
      <c r="I187" s="51"/>
      <c r="J187" s="51"/>
      <c r="K187" s="51"/>
      <c r="L187" s="51"/>
      <c r="M187" s="41"/>
    </row>
    <row r="188" ht="15" customHeight="1" s="32">
      <c r="A188" s="39"/>
      <c r="B188" s="39"/>
      <c r="C188" s="39"/>
      <c r="D188" s="39"/>
      <c r="E188" s="39"/>
      <c r="F188" s="42"/>
      <c r="G188" s="50"/>
      <c r="H188" s="50"/>
      <c r="I188" s="50"/>
      <c r="J188" s="50"/>
      <c r="K188" s="50"/>
      <c r="L188" s="50"/>
      <c r="M188" s="39"/>
    </row>
    <row r="189" ht="15" customHeight="1" s="32">
      <c r="A189" s="41"/>
      <c r="B189" s="41"/>
      <c r="C189" s="41"/>
      <c r="D189" s="41"/>
      <c r="E189" s="41"/>
      <c r="F189" s="43"/>
      <c r="G189" s="51"/>
      <c r="H189" s="51"/>
      <c r="I189" s="51"/>
      <c r="J189" s="51"/>
      <c r="K189" s="51"/>
      <c r="L189" s="51"/>
      <c r="M189" s="41"/>
    </row>
    <row r="190" ht="15" customHeight="1" s="32">
      <c r="A190" s="39" t="inlineStr">
        <is>
          <t>behemoth_mk2</t>
        </is>
      </c>
      <c r="B190" s="39" t="inlineStr">
        <is>
          <t>Behemoth Mk.II · Behemoth nâng cấp</t>
        </is>
      </c>
      <c r="C190" s="39" t="inlineStr">
        <is>
          <t>Boss</t>
        </is>
      </c>
      <c r="D190" s="39" t="inlineStr">
        <is>
          <t>gun_behemoth</t>
        </is>
      </c>
      <c r="E190" s="39" t="inlineStr">
        <is>
          <t>2A65 152 mm (twin)</t>
        </is>
      </c>
      <c r="F190" s="42" t="n">
        <v>1</v>
      </c>
      <c r="G190" s="50">
        <f>IFERROR(VLOOKUP(D190,'Vũ khí đề xuất'!$A:$AO,27,0),"")</f>
        <v/>
      </c>
      <c r="H190" s="50">
        <f>IFERROR(VLOOKUP(D190,'Vũ khí đề xuất'!$A:$AO,28,0),"")</f>
        <v/>
      </c>
      <c r="I190" s="50">
        <f>IFERROR(VLOOKUP(D190,'Vũ khí đề xuất'!$A:$AO,30,0),"")</f>
        <v/>
      </c>
      <c r="J190" s="50">
        <f>IFERROR(VLOOKUP(D190,'Vũ khí đề xuất'!$A:$AO,32,0),"")</f>
        <v/>
      </c>
      <c r="K190" s="50">
        <f>IFERROR(VLOOKUP(D190,'Vũ khí đề xuất'!$A:$AO,35,0),"")</f>
        <v/>
      </c>
      <c r="L190" s="50">
        <f>IFERROR(VLOOKUP(D190,'Vũ khí đề xuất'!$A:$AO,36,0),"")</f>
        <v/>
      </c>
      <c r="M190" s="39" t="n"/>
    </row>
    <row r="191" ht="15" customHeight="1" s="32">
      <c r="A191" s="41" t="inlineStr">
        <is>
          <t>behemoth_mk2</t>
        </is>
      </c>
      <c r="B191" s="41" t="inlineStr">
        <is>
          <t>Behemoth Mk.II · Behemoth nâng cấp</t>
        </is>
      </c>
      <c r="C191" s="41" t="inlineStr">
        <is>
          <t>Boss</t>
        </is>
      </c>
      <c r="D191" s="41" t="inlineStr">
        <is>
          <t>boss_flak</t>
        </is>
      </c>
      <c r="E191" s="41" t="inlineStr">
        <is>
          <t>Oerlikon 35 mm (twin)</t>
        </is>
      </c>
      <c r="F191" s="43" t="n">
        <v>1</v>
      </c>
      <c r="G191" s="51">
        <f>IFERROR(VLOOKUP(D191,'Vũ khí đề xuất'!$A:$AO,27,0),"")</f>
        <v/>
      </c>
      <c r="H191" s="51">
        <f>IFERROR(VLOOKUP(D191,'Vũ khí đề xuất'!$A:$AO,28,0),"")</f>
        <v/>
      </c>
      <c r="I191" s="51">
        <f>IFERROR(VLOOKUP(D191,'Vũ khí đề xuất'!$A:$AO,30,0),"")</f>
        <v/>
      </c>
      <c r="J191" s="51">
        <f>IFERROR(VLOOKUP(D191,'Vũ khí đề xuất'!$A:$AO,32,0),"")</f>
        <v/>
      </c>
      <c r="K191" s="51">
        <f>IFERROR(VLOOKUP(D191,'Vũ khí đề xuất'!$A:$AO,35,0),"")</f>
        <v/>
      </c>
      <c r="L191" s="51">
        <f>IFERROR(VLOOKUP(D191,'Vũ khí đề xuất'!$A:$AO,36,0),"")</f>
        <v/>
      </c>
      <c r="M191" s="41" t="n"/>
    </row>
    <row r="192" ht="15" customHeight="1" s="32">
      <c r="A192" s="39" t="inlineStr">
        <is>
          <t>behemoth_mk2</t>
        </is>
      </c>
      <c r="B192" s="39" t="inlineStr">
        <is>
          <t>Behemoth Mk.II · Behemoth nâng cấp</t>
        </is>
      </c>
      <c r="C192" s="39" t="inlineStr">
        <is>
          <t>Boss</t>
        </is>
      </c>
      <c r="D192" s="39" t="inlineStr">
        <is>
          <t>boss_flak</t>
        </is>
      </c>
      <c r="E192" s="39" t="inlineStr">
        <is>
          <t>Oerlikon 35 mm (twin)</t>
        </is>
      </c>
      <c r="F192" s="42" t="n">
        <v>1</v>
      </c>
      <c r="G192" s="50">
        <f>IFERROR(VLOOKUP(D192,'Vũ khí đề xuất'!$A:$AO,27,0),"")</f>
        <v/>
      </c>
      <c r="H192" s="50">
        <f>IFERROR(VLOOKUP(D192,'Vũ khí đề xuất'!$A:$AO,28,0),"")</f>
        <v/>
      </c>
      <c r="I192" s="50">
        <f>IFERROR(VLOOKUP(D192,'Vũ khí đề xuất'!$A:$AO,30,0),"")</f>
        <v/>
      </c>
      <c r="J192" s="50">
        <f>IFERROR(VLOOKUP(D192,'Vũ khí đề xuất'!$A:$AO,32,0),"")</f>
        <v/>
      </c>
      <c r="K192" s="50">
        <f>IFERROR(VLOOKUP(D192,'Vũ khí đề xuất'!$A:$AO,35,0),"")</f>
        <v/>
      </c>
      <c r="L192" s="50">
        <f>IFERROR(VLOOKUP(D192,'Vũ khí đề xuất'!$A:$AO,36,0),"")</f>
        <v/>
      </c>
      <c r="M192" s="39" t="n"/>
    </row>
    <row r="193" ht="15" customHeight="1" s="32">
      <c r="A193" s="41" t="inlineStr">
        <is>
          <t>landing_hovercraft</t>
        </is>
      </c>
      <c r="B193" s="41" t="inlineStr">
        <is>
          <t>Charybdis · Tàu đệm khí đổ bộ</t>
        </is>
      </c>
      <c r="C193" s="41" t="inlineStr">
        <is>
          <t>Boss</t>
        </is>
      </c>
      <c r="D193" s="41" t="inlineStr">
        <is>
          <t>ciws_aa</t>
        </is>
      </c>
      <c r="E193" s="41" t="inlineStr">
        <is>
          <t>AK-630 30 mm</t>
        </is>
      </c>
      <c r="F193" s="43" t="n">
        <v>1</v>
      </c>
      <c r="G193" s="51">
        <f>IFERROR(VLOOKUP(D193,'Vũ khí đề xuất'!$A:$AO,27,0),"")</f>
        <v/>
      </c>
      <c r="H193" s="51">
        <f>IFERROR(VLOOKUP(D193,'Vũ khí đề xuất'!$A:$AO,28,0),"")</f>
        <v/>
      </c>
      <c r="I193" s="51">
        <f>IFERROR(VLOOKUP(D193,'Vũ khí đề xuất'!$A:$AO,30,0),"")</f>
        <v/>
      </c>
      <c r="J193" s="51">
        <f>IFERROR(VLOOKUP(D193,'Vũ khí đề xuất'!$A:$AO,32,0),"")</f>
        <v/>
      </c>
      <c r="K193" s="51">
        <f>IFERROR(VLOOKUP(D193,'Vũ khí đề xuất'!$A:$AO,35,0),"")</f>
        <v/>
      </c>
      <c r="L193" s="51">
        <f>IFERROR(VLOOKUP(D193,'Vũ khí đề xuất'!$A:$AO,36,0),"")</f>
        <v/>
      </c>
      <c r="M193" s="41" t="n"/>
    </row>
    <row r="194" ht="15" customHeight="1" s="32">
      <c r="A194" s="39" t="inlineStr">
        <is>
          <t>landing_hovercraft</t>
        </is>
      </c>
      <c r="B194" s="39" t="inlineStr">
        <is>
          <t>Charybdis · Tàu đệm khí đổ bộ</t>
        </is>
      </c>
      <c r="C194" s="39" t="inlineStr">
        <is>
          <t>Boss</t>
        </is>
      </c>
      <c r="D194" s="39" t="inlineStr">
        <is>
          <t>ciws_aa</t>
        </is>
      </c>
      <c r="E194" s="39" t="inlineStr">
        <is>
          <t>AK-630 30 mm</t>
        </is>
      </c>
      <c r="F194" s="42" t="n">
        <v>1</v>
      </c>
      <c r="G194" s="50">
        <f>IFERROR(VLOOKUP(D194,'Vũ khí đề xuất'!$A:$AO,27,0),"")</f>
        <v/>
      </c>
      <c r="H194" s="50">
        <f>IFERROR(VLOOKUP(D194,'Vũ khí đề xuất'!$A:$AO,28,0),"")</f>
        <v/>
      </c>
      <c r="I194" s="50">
        <f>IFERROR(VLOOKUP(D194,'Vũ khí đề xuất'!$A:$AO,30,0),"")</f>
        <v/>
      </c>
      <c r="J194" s="50">
        <f>IFERROR(VLOOKUP(D194,'Vũ khí đề xuất'!$A:$AO,32,0),"")</f>
        <v/>
      </c>
      <c r="K194" s="50">
        <f>IFERROR(VLOOKUP(D194,'Vũ khí đề xuất'!$A:$AO,35,0),"")</f>
        <v/>
      </c>
      <c r="L194" s="50">
        <f>IFERROR(VLOOKUP(D194,'Vũ khí đề xuất'!$A:$AO,36,0),"")</f>
        <v/>
      </c>
      <c r="M194" s="39" t="n"/>
    </row>
    <row r="195" ht="15" customHeight="1" s="32">
      <c r="A195" s="41" t="inlineStr">
        <is>
          <t>landing_hovercraft</t>
        </is>
      </c>
      <c r="B195" s="41" t="inlineStr">
        <is>
          <t>Charybdis · Tàu đệm khí đổ bộ</t>
        </is>
      </c>
      <c r="C195" s="41" t="inlineStr">
        <is>
          <t>Boss</t>
        </is>
      </c>
      <c r="D195" s="41" t="inlineStr">
        <is>
          <t>ciws_aa</t>
        </is>
      </c>
      <c r="E195" s="41" t="inlineStr">
        <is>
          <t>AK-630 30 mm</t>
        </is>
      </c>
      <c r="F195" s="43" t="n">
        <v>1</v>
      </c>
      <c r="G195" s="51">
        <f>IFERROR(VLOOKUP(D195,'Vũ khí đề xuất'!$A:$AO,27,0),"")</f>
        <v/>
      </c>
      <c r="H195" s="51">
        <f>IFERROR(VLOOKUP(D195,'Vũ khí đề xuất'!$A:$AO,28,0),"")</f>
        <v/>
      </c>
      <c r="I195" s="51">
        <f>IFERROR(VLOOKUP(D195,'Vũ khí đề xuất'!$A:$AO,30,0),"")</f>
        <v/>
      </c>
      <c r="J195" s="51">
        <f>IFERROR(VLOOKUP(D195,'Vũ khí đề xuất'!$A:$AO,32,0),"")</f>
        <v/>
      </c>
      <c r="K195" s="51">
        <f>IFERROR(VLOOKUP(D195,'Vũ khí đề xuất'!$A:$AO,35,0),"")</f>
        <v/>
      </c>
      <c r="L195" s="51">
        <f>IFERROR(VLOOKUP(D195,'Vũ khí đề xuất'!$A:$AO,36,0),"")</f>
        <v/>
      </c>
      <c r="M195" s="41" t="n"/>
    </row>
    <row r="196" ht="15" customHeight="1" s="32">
      <c r="A196" s="39" t="inlineStr">
        <is>
          <t>landing_hovercraft</t>
        </is>
      </c>
      <c r="B196" s="39" t="inlineStr">
        <is>
          <t>Charybdis · Tàu đệm khí đổ bộ</t>
        </is>
      </c>
      <c r="C196" s="39" t="inlineStr">
        <is>
          <t>Boss</t>
        </is>
      </c>
      <c r="D196" s="39" t="inlineStr">
        <is>
          <t>hover_rockets</t>
        </is>
      </c>
      <c r="E196" s="39" t="inlineStr">
        <is>
          <t>A-22 Ogon 140 mm</t>
        </is>
      </c>
      <c r="F196" s="42" t="n">
        <v>1</v>
      </c>
      <c r="G196" s="50">
        <f>IFERROR(VLOOKUP(D196,'Vũ khí đề xuất'!$A:$AO,27,0),"")</f>
        <v/>
      </c>
      <c r="H196" s="50">
        <f>IFERROR(VLOOKUP(D196,'Vũ khí đề xuất'!$A:$AO,28,0),"")</f>
        <v/>
      </c>
      <c r="I196" s="50">
        <f>IFERROR(VLOOKUP(D196,'Vũ khí đề xuất'!$A:$AO,30,0),"")</f>
        <v/>
      </c>
      <c r="J196" s="50">
        <f>IFERROR(VLOOKUP(D196,'Vũ khí đề xuất'!$A:$AO,32,0),"")</f>
        <v/>
      </c>
      <c r="K196" s="50">
        <f>IFERROR(VLOOKUP(D196,'Vũ khí đề xuất'!$A:$AO,35,0),"")</f>
        <v/>
      </c>
      <c r="L196" s="50">
        <f>IFERROR(VLOOKUP(D196,'Vũ khí đề xuất'!$A:$AO,36,0),"")</f>
        <v/>
      </c>
      <c r="M196" s="39" t="n"/>
    </row>
    <row r="197" ht="15" customHeight="1" s="32">
      <c r="A197" s="41" t="inlineStr">
        <is>
          <t>landing_hovercraft</t>
        </is>
      </c>
      <c r="B197" s="41" t="inlineStr">
        <is>
          <t>Charybdis · Tàu đệm khí đổ bộ</t>
        </is>
      </c>
      <c r="C197" s="41" t="inlineStr">
        <is>
          <t>Boss</t>
        </is>
      </c>
      <c r="D197" s="41" t="inlineStr">
        <is>
          <t>hover_rockets</t>
        </is>
      </c>
      <c r="E197" s="41" t="inlineStr">
        <is>
          <t>A-22 Ogon 140 mm</t>
        </is>
      </c>
      <c r="F197" s="43" t="n">
        <v>1</v>
      </c>
      <c r="G197" s="51">
        <f>IFERROR(VLOOKUP(D197,'Vũ khí đề xuất'!$A:$AO,27,0),"")</f>
        <v/>
      </c>
      <c r="H197" s="51">
        <f>IFERROR(VLOOKUP(D197,'Vũ khí đề xuất'!$A:$AO,28,0),"")</f>
        <v/>
      </c>
      <c r="I197" s="51">
        <f>IFERROR(VLOOKUP(D197,'Vũ khí đề xuất'!$A:$AO,30,0),"")</f>
        <v/>
      </c>
      <c r="J197" s="51">
        <f>IFERROR(VLOOKUP(D197,'Vũ khí đề xuất'!$A:$AO,32,0),"")</f>
        <v/>
      </c>
      <c r="K197" s="51">
        <f>IFERROR(VLOOKUP(D197,'Vũ khí đề xuất'!$A:$AO,35,0),"")</f>
        <v/>
      </c>
      <c r="L197" s="51">
        <f>IFERROR(VLOOKUP(D197,'Vũ khí đề xuất'!$A:$AO,36,0),"")</f>
        <v/>
      </c>
      <c r="M197" s="41" t="n"/>
    </row>
    <row r="198" ht="15" customHeight="1" s="32">
      <c r="A198" s="39" t="inlineStr">
        <is>
          <t>argus</t>
        </is>
      </c>
      <c r="B198" s="39" t="inlineStr">
        <is>
          <t>Argus · Khí cầu trinh sát</t>
        </is>
      </c>
      <c r="C198" s="39" t="inlineStr">
        <is>
          <t>Boss</t>
        </is>
      </c>
      <c r="D198" s="39" t="inlineStr">
        <is>
          <t>airship_flak</t>
        </is>
      </c>
      <c r="E198" s="39" t="inlineStr">
        <is>
          <t>S-60 57 mm</t>
        </is>
      </c>
      <c r="F198" s="42" t="n">
        <v>1</v>
      </c>
      <c r="G198" s="50">
        <f>IFERROR(VLOOKUP(D198,'Vũ khí đề xuất'!$A:$AO,27,0),"")</f>
        <v/>
      </c>
      <c r="H198" s="50">
        <f>IFERROR(VLOOKUP(D198,'Vũ khí đề xuất'!$A:$AO,28,0),"")</f>
        <v/>
      </c>
      <c r="I198" s="50">
        <f>IFERROR(VLOOKUP(D198,'Vũ khí đề xuất'!$A:$AO,30,0),"")</f>
        <v/>
      </c>
      <c r="J198" s="50">
        <f>IFERROR(VLOOKUP(D198,'Vũ khí đề xuất'!$A:$AO,32,0),"")</f>
        <v/>
      </c>
      <c r="K198" s="50">
        <f>IFERROR(VLOOKUP(D198,'Vũ khí đề xuất'!$A:$AO,35,0),"")</f>
        <v/>
      </c>
      <c r="L198" s="50">
        <f>IFERROR(VLOOKUP(D198,'Vũ khí đề xuất'!$A:$AO,36,0),"")</f>
        <v/>
      </c>
      <c r="M198" s="39" t="n"/>
    </row>
    <row r="199" ht="15" customHeight="1" s="32">
      <c r="A199" s="41" t="inlineStr">
        <is>
          <t>argus</t>
        </is>
      </c>
      <c r="B199" s="41" t="inlineStr">
        <is>
          <t>Argus · Khí cầu trinh sát</t>
        </is>
      </c>
      <c r="C199" s="41" t="inlineStr">
        <is>
          <t>Boss</t>
        </is>
      </c>
      <c r="D199" s="41" t="inlineStr">
        <is>
          <t>airship_flak</t>
        </is>
      </c>
      <c r="E199" s="41" t="inlineStr">
        <is>
          <t>S-60 57 mm</t>
        </is>
      </c>
      <c r="F199" s="43" t="n">
        <v>1</v>
      </c>
      <c r="G199" s="51">
        <f>IFERROR(VLOOKUP(D199,'Vũ khí đề xuất'!$A:$AO,27,0),"")</f>
        <v/>
      </c>
      <c r="H199" s="51">
        <f>IFERROR(VLOOKUP(D199,'Vũ khí đề xuất'!$A:$AO,28,0),"")</f>
        <v/>
      </c>
      <c r="I199" s="51">
        <f>IFERROR(VLOOKUP(D199,'Vũ khí đề xuất'!$A:$AO,30,0),"")</f>
        <v/>
      </c>
      <c r="J199" s="51">
        <f>IFERROR(VLOOKUP(D199,'Vũ khí đề xuất'!$A:$AO,32,0),"")</f>
        <v/>
      </c>
      <c r="K199" s="51">
        <f>IFERROR(VLOOKUP(D199,'Vũ khí đề xuất'!$A:$AO,35,0),"")</f>
        <v/>
      </c>
      <c r="L199" s="51">
        <f>IFERROR(VLOOKUP(D199,'Vũ khí đề xuất'!$A:$AO,36,0),"")</f>
        <v/>
      </c>
      <c r="M199" s="41" t="n"/>
    </row>
    <row r="200" ht="15" customHeight="1" s="32">
      <c r="A200" s="39" t="inlineStr">
        <is>
          <t>ixion</t>
        </is>
      </c>
      <c r="B200" s="39" t="inlineStr">
        <is>
          <t>Ixion · Xe bánh khổng lồ</t>
        </is>
      </c>
      <c r="C200" s="39" t="inlineStr">
        <is>
          <t>Boss</t>
        </is>
      </c>
      <c r="D200" s="39" t="inlineStr">
        <is>
          <t>borer_cannon</t>
        </is>
      </c>
      <c r="E200" s="39" t="inlineStr">
        <is>
          <t>2A70 100/76 mm</t>
        </is>
      </c>
      <c r="F200" s="42" t="n">
        <v>1</v>
      </c>
      <c r="G200" s="50">
        <f>IFERROR(VLOOKUP(D200,'Vũ khí đề xuất'!$A:$AO,27,0),"")</f>
        <v/>
      </c>
      <c r="H200" s="50">
        <f>IFERROR(VLOOKUP(D200,'Vũ khí đề xuất'!$A:$AO,28,0),"")</f>
        <v/>
      </c>
      <c r="I200" s="50">
        <f>IFERROR(VLOOKUP(D200,'Vũ khí đề xuất'!$A:$AO,30,0),"")</f>
        <v/>
      </c>
      <c r="J200" s="50">
        <f>IFERROR(VLOOKUP(D200,'Vũ khí đề xuất'!$A:$AO,32,0),"")</f>
        <v/>
      </c>
      <c r="K200" s="50">
        <f>IFERROR(VLOOKUP(D200,'Vũ khí đề xuất'!$A:$AO,35,0),"")</f>
        <v/>
      </c>
      <c r="L200" s="50">
        <f>IFERROR(VLOOKUP(D200,'Vũ khí đề xuất'!$A:$AO,36,0),"")</f>
        <v/>
      </c>
      <c r="M200" s="39" t="n"/>
    </row>
    <row r="201" ht="15" customHeight="1" s="32">
      <c r="A201" s="41"/>
      <c r="B201" s="41"/>
      <c r="C201" s="41"/>
      <c r="D201" s="41"/>
      <c r="E201" s="41"/>
      <c r="F201" s="43"/>
      <c r="G201" s="51"/>
      <c r="H201" s="51"/>
      <c r="I201" s="51"/>
      <c r="J201" s="51"/>
      <c r="K201" s="51"/>
      <c r="L201" s="51"/>
      <c r="M201" s="41"/>
    </row>
    <row r="202" ht="15" customHeight="1" s="32">
      <c r="A202" s="39"/>
      <c r="B202" s="39"/>
      <c r="C202" s="39"/>
      <c r="D202" s="39"/>
      <c r="E202" s="39"/>
      <c r="F202" s="42"/>
      <c r="G202" s="50"/>
      <c r="H202" s="50"/>
      <c r="I202" s="50"/>
      <c r="J202" s="50"/>
      <c r="K202" s="50"/>
      <c r="L202" s="50"/>
      <c r="M202" s="39"/>
    </row>
    <row r="203" ht="15" customHeight="1" s="32">
      <c r="A203" s="41"/>
      <c r="B203" s="41"/>
      <c r="C203" s="41"/>
      <c r="D203" s="41"/>
      <c r="E203" s="41"/>
      <c r="F203" s="43"/>
      <c r="G203" s="51"/>
      <c r="H203" s="51"/>
      <c r="I203" s="51"/>
      <c r="J203" s="51"/>
      <c r="K203" s="51"/>
      <c r="L203" s="51"/>
      <c r="M203" s="41"/>
    </row>
    <row r="204" ht="15" customHeight="1" s="32">
      <c r="A204" s="39"/>
      <c r="B204" s="39"/>
      <c r="C204" s="39"/>
      <c r="D204" s="39"/>
      <c r="E204" s="39"/>
      <c r="F204" s="42"/>
      <c r="G204" s="50"/>
      <c r="H204" s="50"/>
      <c r="I204" s="50"/>
      <c r="J204" s="50"/>
      <c r="K204" s="50"/>
      <c r="L204" s="50"/>
      <c r="M204" s="39"/>
    </row>
    <row r="205" ht="15" customHeight="1" s="32">
      <c r="A205" s="41"/>
      <c r="B205" s="41"/>
      <c r="C205" s="41"/>
      <c r="D205" s="41"/>
      <c r="E205" s="41"/>
      <c r="F205" s="43"/>
      <c r="G205" s="51"/>
      <c r="H205" s="51"/>
      <c r="I205" s="51"/>
      <c r="J205" s="51"/>
      <c r="K205" s="51"/>
      <c r="L205" s="51"/>
      <c r="M205" s="41"/>
    </row>
    <row r="206" ht="15" customHeight="1" s="32">
      <c r="A206" s="39"/>
      <c r="B206" s="39"/>
      <c r="C206" s="39"/>
      <c r="D206" s="39"/>
      <c r="E206" s="39"/>
      <c r="F206" s="42"/>
      <c r="G206" s="50"/>
      <c r="H206" s="50"/>
      <c r="I206" s="50"/>
      <c r="J206" s="50"/>
      <c r="K206" s="50"/>
      <c r="L206" s="50"/>
      <c r="M206" s="39"/>
    </row>
    <row r="207" ht="15" customHeight="1" s="32">
      <c r="A207" s="41"/>
      <c r="B207" s="41"/>
      <c r="C207" s="41"/>
      <c r="D207" s="41"/>
      <c r="E207" s="41"/>
      <c r="F207" s="43"/>
      <c r="G207" s="51"/>
      <c r="H207" s="51"/>
      <c r="I207" s="51"/>
      <c r="J207" s="51"/>
      <c r="K207" s="51"/>
      <c r="L207" s="51"/>
      <c r="M207" s="41"/>
    </row>
    <row r="208" ht="15" customHeight="1" s="32">
      <c r="A208" s="39"/>
      <c r="B208" s="39"/>
      <c r="C208" s="39"/>
      <c r="D208" s="39"/>
      <c r="E208" s="39"/>
      <c r="F208" s="42"/>
      <c r="G208" s="50"/>
      <c r="H208" s="50"/>
      <c r="I208" s="50"/>
      <c r="J208" s="50"/>
      <c r="K208" s="50"/>
      <c r="L208" s="50"/>
      <c r="M208" s="39"/>
    </row>
    <row r="209" ht="15" customHeight="1" s="32">
      <c r="A209" s="41"/>
      <c r="B209" s="41"/>
      <c r="C209" s="41"/>
      <c r="D209" s="41"/>
      <c r="E209" s="41"/>
      <c r="F209" s="43"/>
      <c r="G209" s="51"/>
      <c r="H209" s="51"/>
      <c r="I209" s="51"/>
      <c r="J209" s="51"/>
      <c r="K209" s="51"/>
      <c r="L209" s="51"/>
      <c r="M209" s="41"/>
    </row>
    <row r="210" ht="15" customHeight="1" s="32">
      <c r="A210" s="39"/>
      <c r="B210" s="39"/>
      <c r="C210" s="39"/>
      <c r="D210" s="39"/>
      <c r="E210" s="39"/>
      <c r="F210" s="42"/>
      <c r="G210" s="50"/>
      <c r="H210" s="50"/>
      <c r="I210" s="50"/>
      <c r="J210" s="50"/>
      <c r="K210" s="50"/>
      <c r="L210" s="50"/>
      <c r="M210" s="39"/>
    </row>
    <row r="211" ht="15" customHeight="1" s="32">
      <c r="A211" s="41"/>
      <c r="B211" s="41"/>
      <c r="C211" s="41"/>
      <c r="D211" s="41"/>
      <c r="E211" s="41"/>
      <c r="F211" s="43"/>
      <c r="G211" s="51"/>
      <c r="H211" s="51"/>
      <c r="I211" s="51"/>
      <c r="J211" s="51"/>
      <c r="K211" s="51"/>
      <c r="L211" s="51"/>
      <c r="M211" s="41"/>
    </row>
    <row r="212" ht="15" customHeight="1" s="32">
      <c r="A212" s="39" t="inlineStr">
        <is>
          <t>icarus_mk0</t>
        </is>
      </c>
      <c r="B212" s="39" t="inlineStr">
        <is>
          <t>Icarus Mk.0 · Phi thuyền nguyên mẫu</t>
        </is>
      </c>
      <c r="C212" s="39" t="inlineStr">
        <is>
          <t>Boss</t>
        </is>
      </c>
      <c r="D212" s="39" t="inlineStr">
        <is>
          <t>orbital_laser</t>
        </is>
      </c>
      <c r="E212" s="39" t="inlineStr">
        <is>
          <t>laser (150 kW) 150 mm</t>
        </is>
      </c>
      <c r="F212" s="42" t="n">
        <v>1</v>
      </c>
      <c r="G212" s="50">
        <f>IFERROR(VLOOKUP(D212,'Vũ khí đề xuất'!$A:$AO,27,0),"")</f>
        <v/>
      </c>
      <c r="H212" s="50">
        <f>IFERROR(VLOOKUP(D212,'Vũ khí đề xuất'!$A:$AO,28,0),"")</f>
        <v/>
      </c>
      <c r="I212" s="50">
        <f>IFERROR(VLOOKUP(D212,'Vũ khí đề xuất'!$A:$AO,30,0),"")</f>
        <v/>
      </c>
      <c r="J212" s="50">
        <f>IFERROR(VLOOKUP(D212,'Vũ khí đề xuất'!$A:$AO,32,0),"")</f>
        <v/>
      </c>
      <c r="K212" s="50">
        <f>IFERROR(VLOOKUP(D212,'Vũ khí đề xuất'!$A:$AO,35,0),"")</f>
        <v/>
      </c>
      <c r="L212" s="50">
        <f>IFERROR(VLOOKUP(D212,'Vũ khí đề xuất'!$A:$AO,36,0),"")</f>
        <v/>
      </c>
      <c r="M212" s="39" t="n"/>
    </row>
    <row r="213" ht="15" customHeight="1" s="32">
      <c r="A213" s="41" t="inlineStr">
        <is>
          <t>behemoth_inferno</t>
        </is>
      </c>
      <c r="B213" s="41" t="inlineStr">
        <is>
          <t>Inferno · Behemoth phun lửa</t>
        </is>
      </c>
      <c r="C213" s="41" t="inlineStr">
        <is>
          <t>Boss</t>
        </is>
      </c>
      <c r="D213" s="41" t="inlineStr">
        <is>
          <t>boss_flamer</t>
        </is>
      </c>
      <c r="E213" s="41" t="inlineStr">
        <is>
          <t>flamethrower (heavy)</t>
        </is>
      </c>
      <c r="F213" s="43" t="n">
        <v>1</v>
      </c>
      <c r="G213" s="51">
        <f>IFERROR(VLOOKUP(D213,'Vũ khí đề xuất'!$A:$AO,27,0),"")</f>
        <v/>
      </c>
      <c r="H213" s="51">
        <f>IFERROR(VLOOKUP(D213,'Vũ khí đề xuất'!$A:$AO,28,0),"")</f>
        <v/>
      </c>
      <c r="I213" s="51">
        <f>IFERROR(VLOOKUP(D213,'Vũ khí đề xuất'!$A:$AO,30,0),"")</f>
        <v/>
      </c>
      <c r="J213" s="51">
        <f>IFERROR(VLOOKUP(D213,'Vũ khí đề xuất'!$A:$AO,32,0),"")</f>
        <v/>
      </c>
      <c r="K213" s="51">
        <f>IFERROR(VLOOKUP(D213,'Vũ khí đề xuất'!$A:$AO,35,0),"")</f>
        <v/>
      </c>
      <c r="L213" s="51">
        <f>IFERROR(VLOOKUP(D213,'Vũ khí đề xuất'!$A:$AO,36,0),"")</f>
        <v/>
      </c>
      <c r="M213" s="41" t="n"/>
    </row>
    <row r="214" ht="15" customHeight="1" s="32">
      <c r="A214" s="39" t="inlineStr">
        <is>
          <t>behemoth_inferno</t>
        </is>
      </c>
      <c r="B214" s="39" t="inlineStr">
        <is>
          <t>Inferno · Behemoth phun lửa</t>
        </is>
      </c>
      <c r="C214" s="39" t="inlineStr">
        <is>
          <t>Boss</t>
        </is>
      </c>
      <c r="D214" s="39" t="inlineStr">
        <is>
          <t>boss_thermo</t>
        </is>
      </c>
      <c r="E214" s="39" t="inlineStr">
        <is>
          <t>TOS-1A 220 mm thermobaric</t>
        </is>
      </c>
      <c r="F214" s="42" t="n">
        <v>1</v>
      </c>
      <c r="G214" s="50">
        <f>IFERROR(VLOOKUP(D214,'Vũ khí đề xuất'!$A:$AO,27,0),"")</f>
        <v/>
      </c>
      <c r="H214" s="50">
        <f>IFERROR(VLOOKUP(D214,'Vũ khí đề xuất'!$A:$AO,28,0),"")</f>
        <v/>
      </c>
      <c r="I214" s="50">
        <f>IFERROR(VLOOKUP(D214,'Vũ khí đề xuất'!$A:$AO,30,0),"")</f>
        <v/>
      </c>
      <c r="J214" s="50">
        <f>IFERROR(VLOOKUP(D214,'Vũ khí đề xuất'!$A:$AO,32,0),"")</f>
        <v/>
      </c>
      <c r="K214" s="50">
        <f>IFERROR(VLOOKUP(D214,'Vũ khí đề xuất'!$A:$AO,35,0),"")</f>
        <v/>
      </c>
      <c r="L214" s="50">
        <f>IFERROR(VLOOKUP(D214,'Vũ khí đề xuất'!$A:$AO,36,0),"")</f>
        <v/>
      </c>
      <c r="M214" s="39" t="n"/>
    </row>
    <row r="215" ht="15" customHeight="1" s="32">
      <c r="A215" s="41" t="inlineStr">
        <is>
          <t>behemoth_inferno</t>
        </is>
      </c>
      <c r="B215" s="41" t="inlineStr">
        <is>
          <t>Inferno · Behemoth phun lửa</t>
        </is>
      </c>
      <c r="C215" s="41" t="inlineStr">
        <is>
          <t>Boss</t>
        </is>
      </c>
      <c r="D215" s="41" t="inlineStr">
        <is>
          <t>boss_flamer</t>
        </is>
      </c>
      <c r="E215" s="41" t="inlineStr">
        <is>
          <t>flamethrower (heavy)</t>
        </is>
      </c>
      <c r="F215" s="43" t="n">
        <v>1</v>
      </c>
      <c r="G215" s="51">
        <f>IFERROR(VLOOKUP(D215,'Vũ khí đề xuất'!$A:$AO,27,0),"")</f>
        <v/>
      </c>
      <c r="H215" s="51">
        <f>IFERROR(VLOOKUP(D215,'Vũ khí đề xuất'!$A:$AO,28,0),"")</f>
        <v/>
      </c>
      <c r="I215" s="51">
        <f>IFERROR(VLOOKUP(D215,'Vũ khí đề xuất'!$A:$AO,30,0),"")</f>
        <v/>
      </c>
      <c r="J215" s="51">
        <f>IFERROR(VLOOKUP(D215,'Vũ khí đề xuất'!$A:$AO,32,0),"")</f>
        <v/>
      </c>
      <c r="K215" s="51">
        <f>IFERROR(VLOOKUP(D215,'Vũ khí đề xuất'!$A:$AO,35,0),"")</f>
        <v/>
      </c>
      <c r="L215" s="51">
        <f>IFERROR(VLOOKUP(D215,'Vũ khí đề xuất'!$A:$AO,36,0),"")</f>
        <v/>
      </c>
      <c r="M215" s="41" t="n"/>
    </row>
    <row r="216" ht="15" customHeight="1" s="32">
      <c r="A216" s="39" t="inlineStr">
        <is>
          <t>fenrir</t>
        </is>
      </c>
      <c r="B216" s="39" t="inlineStr">
        <is>
          <t>Fenrir · Xe tiên phong</t>
        </is>
      </c>
      <c r="C216" s="39" t="inlineStr">
        <is>
          <t>Boss</t>
        </is>
      </c>
      <c r="D216" s="39" t="inlineStr">
        <is>
          <t>boss_rockets</t>
        </is>
      </c>
      <c r="E216" s="39" t="inlineStr">
        <is>
          <t>BM-21 Grad 122 mm</t>
        </is>
      </c>
      <c r="F216" s="42" t="n">
        <v>1</v>
      </c>
      <c r="G216" s="50">
        <f>IFERROR(VLOOKUP(D216,'Vũ khí đề xuất'!$A:$AO,27,0),"")</f>
        <v/>
      </c>
      <c r="H216" s="50">
        <f>IFERROR(VLOOKUP(D216,'Vũ khí đề xuất'!$A:$AO,28,0),"")</f>
        <v/>
      </c>
      <c r="I216" s="50">
        <f>IFERROR(VLOOKUP(D216,'Vũ khí đề xuất'!$A:$AO,30,0),"")</f>
        <v/>
      </c>
      <c r="J216" s="50">
        <f>IFERROR(VLOOKUP(D216,'Vũ khí đề xuất'!$A:$AO,32,0),"")</f>
        <v/>
      </c>
      <c r="K216" s="50">
        <f>IFERROR(VLOOKUP(D216,'Vũ khí đề xuất'!$A:$AO,35,0),"")</f>
        <v/>
      </c>
      <c r="L216" s="50">
        <f>IFERROR(VLOOKUP(D216,'Vũ khí đề xuất'!$A:$AO,36,0),"")</f>
        <v/>
      </c>
      <c r="M216" s="39" t="n"/>
    </row>
    <row r="217" ht="15" customHeight="1" s="32">
      <c r="A217" s="41" t="inlineStr">
        <is>
          <t>fenrir</t>
        </is>
      </c>
      <c r="B217" s="41" t="inlineStr">
        <is>
          <t>Fenrir · Xe tiên phong</t>
        </is>
      </c>
      <c r="C217" s="41" t="inlineStr">
        <is>
          <t>Boss</t>
        </is>
      </c>
      <c r="D217" s="41" t="inlineStr">
        <is>
          <t>boss_rockets</t>
        </is>
      </c>
      <c r="E217" s="41" t="inlineStr">
        <is>
          <t>BM-21 Grad 122 mm</t>
        </is>
      </c>
      <c r="F217" s="43" t="n">
        <v>1</v>
      </c>
      <c r="G217" s="51">
        <f>IFERROR(VLOOKUP(D217,'Vũ khí đề xuất'!$A:$AO,27,0),"")</f>
        <v/>
      </c>
      <c r="H217" s="51">
        <f>IFERROR(VLOOKUP(D217,'Vũ khí đề xuất'!$A:$AO,28,0),"")</f>
        <v/>
      </c>
      <c r="I217" s="51">
        <f>IFERROR(VLOOKUP(D217,'Vũ khí đề xuất'!$A:$AO,30,0),"")</f>
        <v/>
      </c>
      <c r="J217" s="51">
        <f>IFERROR(VLOOKUP(D217,'Vũ khí đề xuất'!$A:$AO,32,0),"")</f>
        <v/>
      </c>
      <c r="K217" s="51">
        <f>IFERROR(VLOOKUP(D217,'Vũ khí đề xuất'!$A:$AO,35,0),"")</f>
        <v/>
      </c>
      <c r="L217" s="51">
        <f>IFERROR(VLOOKUP(D217,'Vũ khí đề xuất'!$A:$AO,36,0),"")</f>
        <v/>
      </c>
      <c r="M217" s="41" t="n"/>
    </row>
    <row r="218" ht="15" customHeight="1" s="32">
      <c r="A218" s="39" t="inlineStr">
        <is>
          <t>fenrir</t>
        </is>
      </c>
      <c r="B218" s="39" t="inlineStr">
        <is>
          <t>Fenrir · Xe tiên phong</t>
        </is>
      </c>
      <c r="C218" s="39" t="inlineStr">
        <is>
          <t>Boss</t>
        </is>
      </c>
      <c r="D218" s="39" t="inlineStr">
        <is>
          <t>boss_flak</t>
        </is>
      </c>
      <c r="E218" s="39" t="inlineStr">
        <is>
          <t>Oerlikon 35 mm (twin)</t>
        </is>
      </c>
      <c r="F218" s="42" t="n">
        <v>1</v>
      </c>
      <c r="G218" s="50">
        <f>IFERROR(VLOOKUP(D218,'Vũ khí đề xuất'!$A:$AO,27,0),"")</f>
        <v/>
      </c>
      <c r="H218" s="50">
        <f>IFERROR(VLOOKUP(D218,'Vũ khí đề xuất'!$A:$AO,28,0),"")</f>
        <v/>
      </c>
      <c r="I218" s="50">
        <f>IFERROR(VLOOKUP(D218,'Vũ khí đề xuất'!$A:$AO,30,0),"")</f>
        <v/>
      </c>
      <c r="J218" s="50">
        <f>IFERROR(VLOOKUP(D218,'Vũ khí đề xuất'!$A:$AO,32,0),"")</f>
        <v/>
      </c>
      <c r="K218" s="50">
        <f>IFERROR(VLOOKUP(D218,'Vũ khí đề xuất'!$A:$AO,35,0),"")</f>
        <v/>
      </c>
      <c r="L218" s="50">
        <f>IFERROR(VLOOKUP(D218,'Vũ khí đề xuất'!$A:$AO,36,0),"")</f>
        <v/>
      </c>
      <c r="M218" s="39" t="n"/>
    </row>
    <row r="219" ht="15" customHeight="1" s="32">
      <c r="A219" s="41" t="inlineStr">
        <is>
          <t>daedalus</t>
        </is>
      </c>
      <c r="B219" s="41" t="inlineStr">
        <is>
          <t>Daedalus · Tàu đổ bộ quỹ đạo</t>
        </is>
      </c>
      <c r="C219" s="41" t="inlineStr">
        <is>
          <t>Boss</t>
        </is>
      </c>
      <c r="D219" s="41" t="inlineStr">
        <is>
          <t>autocannon_30</t>
        </is>
      </c>
      <c r="E219" s="41" t="inlineStr">
        <is>
          <t>2A42 30 mm</t>
        </is>
      </c>
      <c r="F219" s="43" t="n">
        <v>1</v>
      </c>
      <c r="G219" s="51">
        <f>IFERROR(VLOOKUP(D219,'Vũ khí đề xuất'!$A:$AO,27,0),"")</f>
        <v/>
      </c>
      <c r="H219" s="51">
        <f>IFERROR(VLOOKUP(D219,'Vũ khí đề xuất'!$A:$AO,28,0),"")</f>
        <v/>
      </c>
      <c r="I219" s="51">
        <f>IFERROR(VLOOKUP(D219,'Vũ khí đề xuất'!$A:$AO,30,0),"")</f>
        <v/>
      </c>
      <c r="J219" s="51">
        <f>IFERROR(VLOOKUP(D219,'Vũ khí đề xuất'!$A:$AO,32,0),"")</f>
        <v/>
      </c>
      <c r="K219" s="51">
        <f>IFERROR(VLOOKUP(D219,'Vũ khí đề xuất'!$A:$AO,35,0),"")</f>
        <v/>
      </c>
      <c r="L219" s="51">
        <f>IFERROR(VLOOKUP(D219,'Vũ khí đề xuất'!$A:$AO,36,0),"")</f>
        <v/>
      </c>
      <c r="M219" s="41" t="n"/>
    </row>
    <row r="220" ht="15" customHeight="1" s="32">
      <c r="A220" s="39" t="inlineStr">
        <is>
          <t>daedalus</t>
        </is>
      </c>
      <c r="B220" s="39" t="inlineStr">
        <is>
          <t>Daedalus · Tàu đổ bộ quỹ đạo</t>
        </is>
      </c>
      <c r="C220" s="39" t="inlineStr">
        <is>
          <t>Boss</t>
        </is>
      </c>
      <c r="D220" s="39" t="inlineStr">
        <is>
          <t>autocannon_30</t>
        </is>
      </c>
      <c r="E220" s="39" t="inlineStr">
        <is>
          <t>2A42 30 mm</t>
        </is>
      </c>
      <c r="F220" s="42" t="n">
        <v>1</v>
      </c>
      <c r="G220" s="50">
        <f>IFERROR(VLOOKUP(D220,'Vũ khí đề xuất'!$A:$AO,27,0),"")</f>
        <v/>
      </c>
      <c r="H220" s="50">
        <f>IFERROR(VLOOKUP(D220,'Vũ khí đề xuất'!$A:$AO,28,0),"")</f>
        <v/>
      </c>
      <c r="I220" s="50">
        <f>IFERROR(VLOOKUP(D220,'Vũ khí đề xuất'!$A:$AO,30,0),"")</f>
        <v/>
      </c>
      <c r="J220" s="50">
        <f>IFERROR(VLOOKUP(D220,'Vũ khí đề xuất'!$A:$AO,32,0),"")</f>
        <v/>
      </c>
      <c r="K220" s="50">
        <f>IFERROR(VLOOKUP(D220,'Vũ khí đề xuất'!$A:$AO,35,0),"")</f>
        <v/>
      </c>
      <c r="L220" s="50">
        <f>IFERROR(VLOOKUP(D220,'Vũ khí đề xuất'!$A:$AO,36,0),"")</f>
        <v/>
      </c>
      <c r="M220" s="39" t="n"/>
    </row>
    <row r="221" ht="15" customHeight="1" s="32">
      <c r="A221" s="41" t="inlineStr">
        <is>
          <t>mega_gunship</t>
        </is>
      </c>
      <c r="B221" s="41" t="inlineStr">
        <is>
          <t>Harpy · Trực thăng khổng lồ</t>
        </is>
      </c>
      <c r="C221" s="41" t="inlineStr">
        <is>
          <t>Boss</t>
        </is>
      </c>
      <c r="D221" s="41" t="inlineStr">
        <is>
          <t>gunship_rockets</t>
        </is>
      </c>
      <c r="E221" s="41" t="inlineStr">
        <is>
          <t>S-8 80 mm</t>
        </is>
      </c>
      <c r="F221" s="43" t="n">
        <v>1</v>
      </c>
      <c r="G221" s="51">
        <f>IFERROR(VLOOKUP(D221,'Vũ khí đề xuất'!$A:$AO,27,0),"")</f>
        <v/>
      </c>
      <c r="H221" s="51">
        <f>IFERROR(VLOOKUP(D221,'Vũ khí đề xuất'!$A:$AO,28,0),"")</f>
        <v/>
      </c>
      <c r="I221" s="51">
        <f>IFERROR(VLOOKUP(D221,'Vũ khí đề xuất'!$A:$AO,30,0),"")</f>
        <v/>
      </c>
      <c r="J221" s="51">
        <f>IFERROR(VLOOKUP(D221,'Vũ khí đề xuất'!$A:$AO,32,0),"")</f>
        <v/>
      </c>
      <c r="K221" s="51">
        <f>IFERROR(VLOOKUP(D221,'Vũ khí đề xuất'!$A:$AO,35,0),"")</f>
        <v/>
      </c>
      <c r="L221" s="51">
        <f>IFERROR(VLOOKUP(D221,'Vũ khí đề xuất'!$A:$AO,36,0),"")</f>
        <v/>
      </c>
      <c r="M221" s="41" t="n"/>
    </row>
    <row r="222" ht="15" customHeight="1" s="32">
      <c r="A222" s="39" t="inlineStr">
        <is>
          <t>mega_gunship</t>
        </is>
      </c>
      <c r="B222" s="39" t="inlineStr">
        <is>
          <t>Harpy · Trực thăng khổng lồ</t>
        </is>
      </c>
      <c r="C222" s="39" t="inlineStr">
        <is>
          <t>Boss</t>
        </is>
      </c>
      <c r="D222" s="39" t="inlineStr">
        <is>
          <t>boss_heli_gun</t>
        </is>
      </c>
      <c r="E222" s="39" t="inlineStr">
        <is>
          <t>M230 30 mm</t>
        </is>
      </c>
      <c r="F222" s="42" t="n">
        <v>1</v>
      </c>
      <c r="G222" s="50">
        <f>IFERROR(VLOOKUP(D222,'Vũ khí đề xuất'!$A:$AO,27,0),"")</f>
        <v/>
      </c>
      <c r="H222" s="50">
        <f>IFERROR(VLOOKUP(D222,'Vũ khí đề xuất'!$A:$AO,28,0),"")</f>
        <v/>
      </c>
      <c r="I222" s="50">
        <f>IFERROR(VLOOKUP(D222,'Vũ khí đề xuất'!$A:$AO,30,0),"")</f>
        <v/>
      </c>
      <c r="J222" s="50">
        <f>IFERROR(VLOOKUP(D222,'Vũ khí đề xuất'!$A:$AO,32,0),"")</f>
        <v/>
      </c>
      <c r="K222" s="50">
        <f>IFERROR(VLOOKUP(D222,'Vũ khí đề xuất'!$A:$AO,35,0),"")</f>
        <v/>
      </c>
      <c r="L222" s="50">
        <f>IFERROR(VLOOKUP(D222,'Vũ khí đề xuất'!$A:$AO,36,0),"")</f>
        <v/>
      </c>
      <c r="M222" s="39" t="n"/>
    </row>
    <row r="223" ht="15" customHeight="1" s="32">
      <c r="A223" s="41" t="inlineStr">
        <is>
          <t>mega_gunship</t>
        </is>
      </c>
      <c r="B223" s="41" t="inlineStr">
        <is>
          <t>Harpy · Trực thăng khổng lồ</t>
        </is>
      </c>
      <c r="C223" s="41" t="inlineStr">
        <is>
          <t>Boss</t>
        </is>
      </c>
      <c r="D223" s="41" t="inlineStr">
        <is>
          <t>boss_heli_gun</t>
        </is>
      </c>
      <c r="E223" s="41" t="inlineStr">
        <is>
          <t>M230 30 mm</t>
        </is>
      </c>
      <c r="F223" s="43" t="n">
        <v>1</v>
      </c>
      <c r="G223" s="51">
        <f>IFERROR(VLOOKUP(D223,'Vũ khí đề xuất'!$A:$AO,27,0),"")</f>
        <v/>
      </c>
      <c r="H223" s="51">
        <f>IFERROR(VLOOKUP(D223,'Vũ khí đề xuất'!$A:$AO,28,0),"")</f>
        <v/>
      </c>
      <c r="I223" s="51">
        <f>IFERROR(VLOOKUP(D223,'Vũ khí đề xuất'!$A:$AO,30,0),"")</f>
        <v/>
      </c>
      <c r="J223" s="51">
        <f>IFERROR(VLOOKUP(D223,'Vũ khí đề xuất'!$A:$AO,32,0),"")</f>
        <v/>
      </c>
      <c r="K223" s="51">
        <f>IFERROR(VLOOKUP(D223,'Vũ khí đề xuất'!$A:$AO,35,0),"")</f>
        <v/>
      </c>
      <c r="L223" s="51">
        <f>IFERROR(VLOOKUP(D223,'Vũ khí đề xuất'!$A:$AO,36,0),"")</f>
        <v/>
      </c>
      <c r="M223" s="41" t="n"/>
    </row>
    <row r="224" ht="15" customHeight="1" s="32">
      <c r="A224" s="39" t="inlineStr">
        <is>
          <t>mega_gunship</t>
        </is>
      </c>
      <c r="B224" s="39" t="inlineStr">
        <is>
          <t>Harpy · Trực thăng khổng lồ</t>
        </is>
      </c>
      <c r="C224" s="39" t="inlineStr">
        <is>
          <t>Boss</t>
        </is>
      </c>
      <c r="D224" s="39" t="inlineStr">
        <is>
          <t>boss_minigun</t>
        </is>
      </c>
      <c r="E224" s="39" t="inlineStr">
        <is>
          <t>GShG 7.62 mm</t>
        </is>
      </c>
      <c r="F224" s="42" t="n">
        <v>1</v>
      </c>
      <c r="G224" s="50">
        <f>IFERROR(VLOOKUP(D224,'Vũ khí đề xuất'!$A:$AO,27,0),"")</f>
        <v/>
      </c>
      <c r="H224" s="50">
        <f>IFERROR(VLOOKUP(D224,'Vũ khí đề xuất'!$A:$AO,28,0),"")</f>
        <v/>
      </c>
      <c r="I224" s="50">
        <f>IFERROR(VLOOKUP(D224,'Vũ khí đề xuất'!$A:$AO,30,0),"")</f>
        <v/>
      </c>
      <c r="J224" s="50">
        <f>IFERROR(VLOOKUP(D224,'Vũ khí đề xuất'!$A:$AO,32,0),"")</f>
        <v/>
      </c>
      <c r="K224" s="50">
        <f>IFERROR(VLOOKUP(D224,'Vũ khí đề xuất'!$A:$AO,35,0),"")</f>
        <v/>
      </c>
      <c r="L224" s="50">
        <f>IFERROR(VLOOKUP(D224,'Vũ khí đề xuất'!$A:$AO,36,0),"")</f>
        <v/>
      </c>
      <c r="M224" s="39" t="n"/>
    </row>
    <row r="225" ht="15" customHeight="1" s="32">
      <c r="A225" s="41" t="inlineStr">
        <is>
          <t>mega_gunship</t>
        </is>
      </c>
      <c r="B225" s="41" t="inlineStr">
        <is>
          <t>Harpy · Trực thăng khổng lồ</t>
        </is>
      </c>
      <c r="C225" s="41" t="inlineStr">
        <is>
          <t>Boss</t>
        </is>
      </c>
      <c r="D225" s="41" t="inlineStr">
        <is>
          <t>gunship_rockets</t>
        </is>
      </c>
      <c r="E225" s="41" t="inlineStr">
        <is>
          <t>S-8 80 mm</t>
        </is>
      </c>
      <c r="F225" s="43" t="n">
        <v>1</v>
      </c>
      <c r="G225" s="51">
        <f>IFERROR(VLOOKUP(D225,'Vũ khí đề xuất'!$A:$AO,27,0),"")</f>
        <v/>
      </c>
      <c r="H225" s="51">
        <f>IFERROR(VLOOKUP(D225,'Vũ khí đề xuất'!$A:$AO,28,0),"")</f>
        <v/>
      </c>
      <c r="I225" s="51">
        <f>IFERROR(VLOOKUP(D225,'Vũ khí đề xuất'!$A:$AO,30,0),"")</f>
        <v/>
      </c>
      <c r="J225" s="51">
        <f>IFERROR(VLOOKUP(D225,'Vũ khí đề xuất'!$A:$AO,32,0),"")</f>
        <v/>
      </c>
      <c r="K225" s="51">
        <f>IFERROR(VLOOKUP(D225,'Vũ khí đề xuất'!$A:$AO,35,0),"")</f>
        <v/>
      </c>
      <c r="L225" s="51">
        <f>IFERROR(VLOOKUP(D225,'Vũ khí đề xuất'!$A:$AO,36,0),"")</f>
        <v/>
      </c>
      <c r="M225" s="41" t="n"/>
    </row>
    <row r="226" ht="15" customHeight="1" s="32">
      <c r="A226" s="39" t="inlineStr">
        <is>
          <t>behemoth</t>
        </is>
      </c>
      <c r="B226" s="39" t="inlineStr">
        <is>
          <t>Behemoth · Quái vật thép</t>
        </is>
      </c>
      <c r="C226" s="39" t="inlineStr">
        <is>
          <t>Boss</t>
        </is>
      </c>
      <c r="D226" s="39" t="inlineStr">
        <is>
          <t>gun_behemoth</t>
        </is>
      </c>
      <c r="E226" s="39" t="inlineStr">
        <is>
          <t>2A65 152 mm (twin)</t>
        </is>
      </c>
      <c r="F226" s="42" t="n">
        <v>1</v>
      </c>
      <c r="G226" s="50">
        <f>IFERROR(VLOOKUP(D226,'Vũ khí đề xuất'!$A:$AO,27,0),"")</f>
        <v/>
      </c>
      <c r="H226" s="50">
        <f>IFERROR(VLOOKUP(D226,'Vũ khí đề xuất'!$A:$AO,28,0),"")</f>
        <v/>
      </c>
      <c r="I226" s="50">
        <f>IFERROR(VLOOKUP(D226,'Vũ khí đề xuất'!$A:$AO,30,0),"")</f>
        <v/>
      </c>
      <c r="J226" s="50">
        <f>IFERROR(VLOOKUP(D226,'Vũ khí đề xuất'!$A:$AO,32,0),"")</f>
        <v/>
      </c>
      <c r="K226" s="50">
        <f>IFERROR(VLOOKUP(D226,'Vũ khí đề xuất'!$A:$AO,35,0),"")</f>
        <v/>
      </c>
      <c r="L226" s="50">
        <f>IFERROR(VLOOKUP(D226,'Vũ khí đề xuất'!$A:$AO,36,0),"")</f>
        <v/>
      </c>
      <c r="M226" s="39" t="n"/>
    </row>
    <row r="227" ht="15" customHeight="1" s="32">
      <c r="A227" s="41" t="inlineStr">
        <is>
          <t>behemoth</t>
        </is>
      </c>
      <c r="B227" s="41" t="inlineStr">
        <is>
          <t>Behemoth · Quái vật thép</t>
        </is>
      </c>
      <c r="C227" s="41" t="inlineStr">
        <is>
          <t>Boss</t>
        </is>
      </c>
      <c r="D227" s="41" t="inlineStr">
        <is>
          <t>gun_120mm</t>
        </is>
      </c>
      <c r="E227" s="41" t="inlineStr">
        <is>
          <t>Rh-120 L/44 120 mm</t>
        </is>
      </c>
      <c r="F227" s="43" t="n">
        <v>1</v>
      </c>
      <c r="G227" s="51">
        <f>IFERROR(VLOOKUP(D227,'Vũ khí đề xuất'!$A:$AO,27,0),"")</f>
        <v/>
      </c>
      <c r="H227" s="51">
        <f>IFERROR(VLOOKUP(D227,'Vũ khí đề xuất'!$A:$AO,28,0),"")</f>
        <v/>
      </c>
      <c r="I227" s="51">
        <f>IFERROR(VLOOKUP(D227,'Vũ khí đề xuất'!$A:$AO,30,0),"")</f>
        <v/>
      </c>
      <c r="J227" s="51">
        <f>IFERROR(VLOOKUP(D227,'Vũ khí đề xuất'!$A:$AO,32,0),"")</f>
        <v/>
      </c>
      <c r="K227" s="51">
        <f>IFERROR(VLOOKUP(D227,'Vũ khí đề xuất'!$A:$AO,35,0),"")</f>
        <v/>
      </c>
      <c r="L227" s="51">
        <f>IFERROR(VLOOKUP(D227,'Vũ khí đề xuất'!$A:$AO,36,0),"")</f>
        <v/>
      </c>
      <c r="M227" s="41" t="n"/>
    </row>
    <row r="228" ht="15" customHeight="1" s="32">
      <c r="A228" s="39" t="inlineStr">
        <is>
          <t>behemoth</t>
        </is>
      </c>
      <c r="B228" s="39" t="inlineStr">
        <is>
          <t>Behemoth · Quái vật thép</t>
        </is>
      </c>
      <c r="C228" s="39" t="inlineStr">
        <is>
          <t>Boss</t>
        </is>
      </c>
      <c r="D228" s="39" t="inlineStr">
        <is>
          <t>boss_flak</t>
        </is>
      </c>
      <c r="E228" s="39" t="inlineStr">
        <is>
          <t>Oerlikon 35 mm (twin)</t>
        </is>
      </c>
      <c r="F228" s="42" t="n">
        <v>1</v>
      </c>
      <c r="G228" s="50">
        <f>IFERROR(VLOOKUP(D228,'Vũ khí đề xuất'!$A:$AO,27,0),"")</f>
        <v/>
      </c>
      <c r="H228" s="50">
        <f>IFERROR(VLOOKUP(D228,'Vũ khí đề xuất'!$A:$AO,28,0),"")</f>
        <v/>
      </c>
      <c r="I228" s="50">
        <f>IFERROR(VLOOKUP(D228,'Vũ khí đề xuất'!$A:$AO,30,0),"")</f>
        <v/>
      </c>
      <c r="J228" s="50">
        <f>IFERROR(VLOOKUP(D228,'Vũ khí đề xuất'!$A:$AO,32,0),"")</f>
        <v/>
      </c>
      <c r="K228" s="50">
        <f>IFERROR(VLOOKUP(D228,'Vũ khí đề xuất'!$A:$AO,35,0),"")</f>
        <v/>
      </c>
      <c r="L228" s="50">
        <f>IFERROR(VLOOKUP(D228,'Vũ khí đề xuất'!$A:$AO,36,0),"")</f>
        <v/>
      </c>
      <c r="M228" s="39" t="n"/>
    </row>
    <row r="229" ht="15" customHeight="1" s="32">
      <c r="A229" s="41" t="inlineStr">
        <is>
          <t>behemoth</t>
        </is>
      </c>
      <c r="B229" s="41" t="inlineStr">
        <is>
          <t>Behemoth · Quái vật thép</t>
        </is>
      </c>
      <c r="C229" s="41" t="inlineStr">
        <is>
          <t>Boss</t>
        </is>
      </c>
      <c r="D229" s="41" t="inlineStr">
        <is>
          <t>boss_flak</t>
        </is>
      </c>
      <c r="E229" s="41" t="inlineStr">
        <is>
          <t>Oerlikon 35 mm (twin)</t>
        </is>
      </c>
      <c r="F229" s="43" t="n">
        <v>1</v>
      </c>
      <c r="G229" s="51">
        <f>IFERROR(VLOOKUP(D229,'Vũ khí đề xuất'!$A:$AO,27,0),"")</f>
        <v/>
      </c>
      <c r="H229" s="51">
        <f>IFERROR(VLOOKUP(D229,'Vũ khí đề xuất'!$A:$AO,28,0),"")</f>
        <v/>
      </c>
      <c r="I229" s="51">
        <f>IFERROR(VLOOKUP(D229,'Vũ khí đề xuất'!$A:$AO,30,0),"")</f>
        <v/>
      </c>
      <c r="J229" s="51">
        <f>IFERROR(VLOOKUP(D229,'Vũ khí đề xuất'!$A:$AO,32,0),"")</f>
        <v/>
      </c>
      <c r="K229" s="51">
        <f>IFERROR(VLOOKUP(D229,'Vũ khí đề xuất'!$A:$AO,35,0),"")</f>
        <v/>
      </c>
      <c r="L229" s="51">
        <f>IFERROR(VLOOKUP(D229,'Vũ khí đề xuất'!$A:$AO,36,0),"")</f>
        <v/>
      </c>
      <c r="M229" s="41" t="n"/>
    </row>
    <row r="230" ht="15" customHeight="1" s="32">
      <c r="A230" s="39" t="inlineStr">
        <is>
          <t>behemoth</t>
        </is>
      </c>
      <c r="B230" s="39" t="inlineStr">
        <is>
          <t>Behemoth · Quái vật thép</t>
        </is>
      </c>
      <c r="C230" s="39" t="inlineStr">
        <is>
          <t>Boss</t>
        </is>
      </c>
      <c r="D230" s="39" t="inlineStr">
        <is>
          <t>boss_missiles</t>
        </is>
      </c>
      <c r="E230" s="39" t="inlineStr">
        <is>
          <t>9M133 Kornet</t>
        </is>
      </c>
      <c r="F230" s="42" t="n">
        <v>1</v>
      </c>
      <c r="G230" s="50">
        <f>IFERROR(VLOOKUP(D230,'Vũ khí đề xuất'!$A:$AO,27,0),"")</f>
        <v/>
      </c>
      <c r="H230" s="50">
        <f>IFERROR(VLOOKUP(D230,'Vũ khí đề xuất'!$A:$AO,28,0),"")</f>
        <v/>
      </c>
      <c r="I230" s="50">
        <f>IFERROR(VLOOKUP(D230,'Vũ khí đề xuất'!$A:$AO,30,0),"")</f>
        <v/>
      </c>
      <c r="J230" s="50">
        <f>IFERROR(VLOOKUP(D230,'Vũ khí đề xuất'!$A:$AO,32,0),"")</f>
        <v/>
      </c>
      <c r="K230" s="50">
        <f>IFERROR(VLOOKUP(D230,'Vũ khí đề xuất'!$A:$AO,35,0),"")</f>
        <v/>
      </c>
      <c r="L230" s="50">
        <f>IFERROR(VLOOKUP(D230,'Vũ khí đề xuất'!$A:$AO,36,0),"")</f>
        <v/>
      </c>
      <c r="M230" s="39" t="n"/>
    </row>
    <row r="231" ht="15" customHeight="1" s="32">
      <c r="A231" s="41" t="inlineStr">
        <is>
          <t>behemoth</t>
        </is>
      </c>
      <c r="B231" s="41" t="inlineStr">
        <is>
          <t>Behemoth · Quái vật thép</t>
        </is>
      </c>
      <c r="C231" s="41" t="inlineStr">
        <is>
          <t>Boss</t>
        </is>
      </c>
      <c r="D231" s="41" t="inlineStr">
        <is>
          <t>boss_missiles</t>
        </is>
      </c>
      <c r="E231" s="41" t="inlineStr">
        <is>
          <t>9M133 Kornet</t>
        </is>
      </c>
      <c r="F231" s="43" t="n">
        <v>1</v>
      </c>
      <c r="G231" s="51">
        <f>IFERROR(VLOOKUP(D231,'Vũ khí đề xuất'!$A:$AO,27,0),"")</f>
        <v/>
      </c>
      <c r="H231" s="51">
        <f>IFERROR(VLOOKUP(D231,'Vũ khí đề xuất'!$A:$AO,28,0),"")</f>
        <v/>
      </c>
      <c r="I231" s="51">
        <f>IFERROR(VLOOKUP(D231,'Vũ khí đề xuất'!$A:$AO,30,0),"")</f>
        <v/>
      </c>
      <c r="J231" s="51">
        <f>IFERROR(VLOOKUP(D231,'Vũ khí đề xuất'!$A:$AO,32,0),"")</f>
        <v/>
      </c>
      <c r="K231" s="51">
        <f>IFERROR(VLOOKUP(D231,'Vũ khí đề xuất'!$A:$AO,35,0),"")</f>
        <v/>
      </c>
      <c r="L231" s="51">
        <f>IFERROR(VLOOKUP(D231,'Vũ khí đề xuất'!$A:$AO,36,0),"")</f>
        <v/>
      </c>
      <c r="M231" s="41" t="n"/>
    </row>
    <row r="232" ht="15" customHeight="1" s="32">
      <c r="A232" s="39" t="inlineStr">
        <is>
          <t>behemoth</t>
        </is>
      </c>
      <c r="B232" s="39" t="inlineStr">
        <is>
          <t>Behemoth · Quái vật thép</t>
        </is>
      </c>
      <c r="C232" s="39" t="inlineStr">
        <is>
          <t>Boss</t>
        </is>
      </c>
      <c r="D232" s="39" t="inlineStr">
        <is>
          <t>gun_120mm</t>
        </is>
      </c>
      <c r="E232" s="39" t="inlineStr">
        <is>
          <t>Rh-120 L/44 120 mm</t>
        </is>
      </c>
      <c r="F232" s="42" t="n">
        <v>1</v>
      </c>
      <c r="G232" s="50">
        <f>IFERROR(VLOOKUP(D232,'Vũ khí đề xuất'!$A:$AO,27,0),"")</f>
        <v/>
      </c>
      <c r="H232" s="50">
        <f>IFERROR(VLOOKUP(D232,'Vũ khí đề xuất'!$A:$AO,28,0),"")</f>
        <v/>
      </c>
      <c r="I232" s="50">
        <f>IFERROR(VLOOKUP(D232,'Vũ khí đề xuất'!$A:$AO,30,0),"")</f>
        <v/>
      </c>
      <c r="J232" s="50">
        <f>IFERROR(VLOOKUP(D232,'Vũ khí đề xuất'!$A:$AO,32,0),"")</f>
        <v/>
      </c>
      <c r="K232" s="50">
        <f>IFERROR(VLOOKUP(D232,'Vũ khí đề xuất'!$A:$AO,35,0),"")</f>
        <v/>
      </c>
      <c r="L232" s="50">
        <f>IFERROR(VLOOKUP(D232,'Vũ khí đề xuất'!$A:$AO,36,0),"")</f>
        <v/>
      </c>
      <c r="M232" s="39" t="n"/>
    </row>
    <row r="233" ht="15" customHeight="1" s="32">
      <c r="A233" s="41" t="inlineStr">
        <is>
          <t>behemoth</t>
        </is>
      </c>
      <c r="B233" s="41" t="inlineStr">
        <is>
          <t>Behemoth · Quái vật thép</t>
        </is>
      </c>
      <c r="C233" s="41" t="inlineStr">
        <is>
          <t>Boss</t>
        </is>
      </c>
      <c r="D233" s="41" t="inlineStr">
        <is>
          <t>gun_120mm</t>
        </is>
      </c>
      <c r="E233" s="41" t="inlineStr">
        <is>
          <t>Rh-120 L/44 120 mm</t>
        </is>
      </c>
      <c r="F233" s="43" t="n">
        <v>1</v>
      </c>
      <c r="G233" s="51">
        <f>IFERROR(VLOOKUP(D233,'Vũ khí đề xuất'!$A:$AO,27,0),"")</f>
        <v/>
      </c>
      <c r="H233" s="51">
        <f>IFERROR(VLOOKUP(D233,'Vũ khí đề xuất'!$A:$AO,28,0),"")</f>
        <v/>
      </c>
      <c r="I233" s="51">
        <f>IFERROR(VLOOKUP(D233,'Vũ khí đề xuất'!$A:$AO,30,0),"")</f>
        <v/>
      </c>
      <c r="J233" s="51">
        <f>IFERROR(VLOOKUP(D233,'Vũ khí đề xuất'!$A:$AO,32,0),"")</f>
        <v/>
      </c>
      <c r="K233" s="51">
        <f>IFERROR(VLOOKUP(D233,'Vũ khí đề xuất'!$A:$AO,35,0),"")</f>
        <v/>
      </c>
      <c r="L233" s="51">
        <f>IFERROR(VLOOKUP(D233,'Vũ khí đề xuất'!$A:$AO,36,0),"")</f>
        <v/>
      </c>
      <c r="M233" s="41" t="n"/>
    </row>
    <row r="234" ht="15" customHeight="1" s="32">
      <c r="A234" s="39" t="inlineStr">
        <is>
          <t>behemoth</t>
        </is>
      </c>
      <c r="B234" s="39" t="inlineStr">
        <is>
          <t>Behemoth · Quái vật thép</t>
        </is>
      </c>
      <c r="C234" s="39" t="inlineStr">
        <is>
          <t>Boss</t>
        </is>
      </c>
      <c r="D234" s="39" t="inlineStr">
        <is>
          <t>boss_rockets</t>
        </is>
      </c>
      <c r="E234" s="39" t="inlineStr">
        <is>
          <t>BM-21 Grad 122 mm</t>
        </is>
      </c>
      <c r="F234" s="42" t="n">
        <v>1</v>
      </c>
      <c r="G234" s="50">
        <f>IFERROR(VLOOKUP(D234,'Vũ khí đề xuất'!$A:$AO,27,0),"")</f>
        <v/>
      </c>
      <c r="H234" s="50">
        <f>IFERROR(VLOOKUP(D234,'Vũ khí đề xuất'!$A:$AO,28,0),"")</f>
        <v/>
      </c>
      <c r="I234" s="50">
        <f>IFERROR(VLOOKUP(D234,'Vũ khí đề xuất'!$A:$AO,30,0),"")</f>
        <v/>
      </c>
      <c r="J234" s="50">
        <f>IFERROR(VLOOKUP(D234,'Vũ khí đề xuất'!$A:$AO,32,0),"")</f>
        <v/>
      </c>
      <c r="K234" s="50">
        <f>IFERROR(VLOOKUP(D234,'Vũ khí đề xuất'!$A:$AO,35,0),"")</f>
        <v/>
      </c>
      <c r="L234" s="50">
        <f>IFERROR(VLOOKUP(D234,'Vũ khí đề xuất'!$A:$AO,36,0),"")</f>
        <v/>
      </c>
      <c r="M234" s="39" t="n"/>
    </row>
    <row r="235" ht="15" customHeight="1" s="32">
      <c r="A235" s="41" t="inlineStr">
        <is>
          <t>earth_borer</t>
        </is>
      </c>
      <c r="B235" s="41" t="inlineStr">
        <is>
          <t>Tartarus · Máy khoan</t>
        </is>
      </c>
      <c r="C235" s="41" t="inlineStr">
        <is>
          <t>Boss</t>
        </is>
      </c>
      <c r="D235" s="41" t="inlineStr">
        <is>
          <t>borer_drill</t>
        </is>
      </c>
      <c r="E235" s="41" t="inlineStr">
        <is>
          <t>drill head</t>
        </is>
      </c>
      <c r="F235" s="43" t="n">
        <v>1</v>
      </c>
      <c r="G235" s="51">
        <f>IFERROR(VLOOKUP(D235,'Vũ khí đề xuất'!$A:$AO,27,0),"")</f>
        <v/>
      </c>
      <c r="H235" s="51">
        <f>IFERROR(VLOOKUP(D235,'Vũ khí đề xuất'!$A:$AO,28,0),"")</f>
        <v/>
      </c>
      <c r="I235" s="51">
        <f>IFERROR(VLOOKUP(D235,'Vũ khí đề xuất'!$A:$AO,30,0),"")</f>
        <v/>
      </c>
      <c r="J235" s="51">
        <f>IFERROR(VLOOKUP(D235,'Vũ khí đề xuất'!$A:$AO,32,0),"")</f>
        <v/>
      </c>
      <c r="K235" s="51">
        <f>IFERROR(VLOOKUP(D235,'Vũ khí đề xuất'!$A:$AO,35,0),"")</f>
        <v/>
      </c>
      <c r="L235" s="51">
        <f>IFERROR(VLOOKUP(D235,'Vũ khí đề xuất'!$A:$AO,36,0),"")</f>
        <v/>
      </c>
      <c r="M235" s="41" t="n"/>
    </row>
    <row r="236" ht="15" customHeight="1" s="32">
      <c r="A236" s="39" t="inlineStr">
        <is>
          <t>earth_borer</t>
        </is>
      </c>
      <c r="B236" s="39" t="inlineStr">
        <is>
          <t>Tartarus · Máy khoan</t>
        </is>
      </c>
      <c r="C236" s="39" t="inlineStr">
        <is>
          <t>Boss</t>
        </is>
      </c>
      <c r="D236" s="39" t="inlineStr">
        <is>
          <t>borer_cannon</t>
        </is>
      </c>
      <c r="E236" s="39" t="inlineStr">
        <is>
          <t>2A70 100/76 mm</t>
        </is>
      </c>
      <c r="F236" s="42" t="n">
        <v>1</v>
      </c>
      <c r="G236" s="50">
        <f>IFERROR(VLOOKUP(D236,'Vũ khí đề xuất'!$A:$AO,27,0),"")</f>
        <v/>
      </c>
      <c r="H236" s="50">
        <f>IFERROR(VLOOKUP(D236,'Vũ khí đề xuất'!$A:$AO,28,0),"")</f>
        <v/>
      </c>
      <c r="I236" s="50">
        <f>IFERROR(VLOOKUP(D236,'Vũ khí đề xuất'!$A:$AO,30,0),"")</f>
        <v/>
      </c>
      <c r="J236" s="50">
        <f>IFERROR(VLOOKUP(D236,'Vũ khí đề xuất'!$A:$AO,32,0),"")</f>
        <v/>
      </c>
      <c r="K236" s="50">
        <f>IFERROR(VLOOKUP(D236,'Vũ khí đề xuất'!$A:$AO,35,0),"")</f>
        <v/>
      </c>
      <c r="L236" s="50">
        <f>IFERROR(VLOOKUP(D236,'Vũ khí đề xuất'!$A:$AO,36,0),"")</f>
        <v/>
      </c>
      <c r="M236" s="39" t="n"/>
    </row>
    <row r="237" ht="15" customHeight="1" s="32">
      <c r="A237" s="41" t="inlineStr">
        <is>
          <t>earth_borer</t>
        </is>
      </c>
      <c r="B237" s="41" t="inlineStr">
        <is>
          <t>Tartarus · Máy khoan</t>
        </is>
      </c>
      <c r="C237" s="41" t="inlineStr">
        <is>
          <t>Boss</t>
        </is>
      </c>
      <c r="D237" s="41" t="inlineStr">
        <is>
          <t>borer_cannon</t>
        </is>
      </c>
      <c r="E237" s="41" t="inlineStr">
        <is>
          <t>2A70 100/76 mm</t>
        </is>
      </c>
      <c r="F237" s="43" t="n">
        <v>1</v>
      </c>
      <c r="G237" s="51">
        <f>IFERROR(VLOOKUP(D237,'Vũ khí đề xuất'!$A:$AO,27,0),"")</f>
        <v/>
      </c>
      <c r="H237" s="51">
        <f>IFERROR(VLOOKUP(D237,'Vũ khí đề xuất'!$A:$AO,28,0),"")</f>
        <v/>
      </c>
      <c r="I237" s="51">
        <f>IFERROR(VLOOKUP(D237,'Vũ khí đề xuất'!$A:$AO,30,0),"")</f>
        <v/>
      </c>
      <c r="J237" s="51">
        <f>IFERROR(VLOOKUP(D237,'Vũ khí đề xuất'!$A:$AO,32,0),"")</f>
        <v/>
      </c>
      <c r="K237" s="51">
        <f>IFERROR(VLOOKUP(D237,'Vũ khí đề xuất'!$A:$AO,35,0),"")</f>
        <v/>
      </c>
      <c r="L237" s="51">
        <f>IFERROR(VLOOKUP(D237,'Vũ khí đề xuất'!$A:$AO,36,0),"")</f>
        <v/>
      </c>
      <c r="M237" s="41" t="n"/>
    </row>
    <row r="238" ht="15" customHeight="1" s="32">
      <c r="A238" s="39" t="inlineStr">
        <is>
          <t>bastion_mk0</t>
        </is>
      </c>
      <c r="B238" s="39" t="inlineStr">
        <is>
          <t>Bastion Mk.0 · Pháo đài nguyên mẫu</t>
        </is>
      </c>
      <c r="C238" s="39" t="inlineStr">
        <is>
          <t>Boss</t>
        </is>
      </c>
      <c r="D238" s="39" t="inlineStr">
        <is>
          <t>boss_mortar</t>
        </is>
      </c>
      <c r="E238" s="39" t="inlineStr">
        <is>
          <t>2B8 240 mm</t>
        </is>
      </c>
      <c r="F238" s="42" t="n">
        <v>1</v>
      </c>
      <c r="G238" s="50">
        <f>IFERROR(VLOOKUP(D238,'Vũ khí đề xuất'!$A:$AO,27,0),"")</f>
        <v/>
      </c>
      <c r="H238" s="50">
        <f>IFERROR(VLOOKUP(D238,'Vũ khí đề xuất'!$A:$AO,28,0),"")</f>
        <v/>
      </c>
      <c r="I238" s="50">
        <f>IFERROR(VLOOKUP(D238,'Vũ khí đề xuất'!$A:$AO,30,0),"")</f>
        <v/>
      </c>
      <c r="J238" s="50">
        <f>IFERROR(VLOOKUP(D238,'Vũ khí đề xuất'!$A:$AO,32,0),"")</f>
        <v/>
      </c>
      <c r="K238" s="50">
        <f>IFERROR(VLOOKUP(D238,'Vũ khí đề xuất'!$A:$AO,35,0),"")</f>
        <v/>
      </c>
      <c r="L238" s="50">
        <f>IFERROR(VLOOKUP(D238,'Vũ khí đề xuất'!$A:$AO,36,0),"")</f>
        <v/>
      </c>
      <c r="M238" s="39" t="n"/>
    </row>
    <row r="239" ht="15" customHeight="1" s="32">
      <c r="A239" s="41" t="inlineStr">
        <is>
          <t>bastion_mk0</t>
        </is>
      </c>
      <c r="B239" s="41" t="inlineStr">
        <is>
          <t>Bastion Mk.0 · Pháo đài nguyên mẫu</t>
        </is>
      </c>
      <c r="C239" s="41" t="inlineStr">
        <is>
          <t>Boss</t>
        </is>
      </c>
      <c r="D239" s="41" t="inlineStr">
        <is>
          <t>autocannon_40</t>
        </is>
      </c>
      <c r="E239" s="41" t="inlineStr">
        <is>
          <t>Bofors 40 mm</t>
        </is>
      </c>
      <c r="F239" s="43" t="n">
        <v>1</v>
      </c>
      <c r="G239" s="51">
        <f>IFERROR(VLOOKUP(D239,'Vũ khí đề xuất'!$A:$AO,27,0),"")</f>
        <v/>
      </c>
      <c r="H239" s="51">
        <f>IFERROR(VLOOKUP(D239,'Vũ khí đề xuất'!$A:$AO,28,0),"")</f>
        <v/>
      </c>
      <c r="I239" s="51">
        <f>IFERROR(VLOOKUP(D239,'Vũ khí đề xuất'!$A:$AO,30,0),"")</f>
        <v/>
      </c>
      <c r="J239" s="51">
        <f>IFERROR(VLOOKUP(D239,'Vũ khí đề xuất'!$A:$AO,32,0),"")</f>
        <v/>
      </c>
      <c r="K239" s="51">
        <f>IFERROR(VLOOKUP(D239,'Vũ khí đề xuất'!$A:$AO,35,0),"")</f>
        <v/>
      </c>
      <c r="L239" s="51">
        <f>IFERROR(VLOOKUP(D239,'Vũ khí đề xuất'!$A:$AO,36,0),"")</f>
        <v/>
      </c>
      <c r="M239" s="41" t="n"/>
    </row>
    <row r="240" ht="15" customHeight="1" s="32">
      <c r="A240" s="39" t="inlineStr">
        <is>
          <t>bastion_mk0</t>
        </is>
      </c>
      <c r="B240" s="39" t="inlineStr">
        <is>
          <t>Bastion Mk.0 · Pháo đài nguyên mẫu</t>
        </is>
      </c>
      <c r="C240" s="39" t="inlineStr">
        <is>
          <t>Boss</t>
        </is>
      </c>
      <c r="D240" s="39" t="inlineStr">
        <is>
          <t>autocannon_40</t>
        </is>
      </c>
      <c r="E240" s="39" t="inlineStr">
        <is>
          <t>Bofors 40 mm</t>
        </is>
      </c>
      <c r="F240" s="42" t="n">
        <v>1</v>
      </c>
      <c r="G240" s="50">
        <f>IFERROR(VLOOKUP(D240,'Vũ khí đề xuất'!$A:$AO,27,0),"")</f>
        <v/>
      </c>
      <c r="H240" s="50">
        <f>IFERROR(VLOOKUP(D240,'Vũ khí đề xuất'!$A:$AO,28,0),"")</f>
        <v/>
      </c>
      <c r="I240" s="50">
        <f>IFERROR(VLOOKUP(D240,'Vũ khí đề xuất'!$A:$AO,30,0),"")</f>
        <v/>
      </c>
      <c r="J240" s="50">
        <f>IFERROR(VLOOKUP(D240,'Vũ khí đề xuất'!$A:$AO,32,0),"")</f>
        <v/>
      </c>
      <c r="K240" s="50">
        <f>IFERROR(VLOOKUP(D240,'Vũ khí đề xuất'!$A:$AO,35,0),"")</f>
        <v/>
      </c>
      <c r="L240" s="50">
        <f>IFERROR(VLOOKUP(D240,'Vũ khí đề xuất'!$A:$AO,36,0),"")</f>
        <v/>
      </c>
      <c r="M240" s="39" t="n"/>
    </row>
    <row r="241" ht="15" customHeight="1" s="32">
      <c r="A241" s="41" t="inlineStr">
        <is>
          <t>nuke_train</t>
        </is>
      </c>
      <c r="B241" s="41" t="inlineStr">
        <is>
          <t>Nemesis · Đoàn tàu tên lửa</t>
        </is>
      </c>
      <c r="C241" s="41" t="inlineStr">
        <is>
          <t>Boss</t>
        </is>
      </c>
      <c r="D241" s="41" t="inlineStr">
        <is>
          <t>boss_flak</t>
        </is>
      </c>
      <c r="E241" s="41" t="inlineStr">
        <is>
          <t>Oerlikon 35 mm (twin)</t>
        </is>
      </c>
      <c r="F241" s="43" t="n">
        <v>1</v>
      </c>
      <c r="G241" s="51">
        <f>IFERROR(VLOOKUP(D241,'Vũ khí đề xuất'!$A:$AO,27,0),"")</f>
        <v/>
      </c>
      <c r="H241" s="51">
        <f>IFERROR(VLOOKUP(D241,'Vũ khí đề xuất'!$A:$AO,28,0),"")</f>
        <v/>
      </c>
      <c r="I241" s="51">
        <f>IFERROR(VLOOKUP(D241,'Vũ khí đề xuất'!$A:$AO,30,0),"")</f>
        <v/>
      </c>
      <c r="J241" s="51">
        <f>IFERROR(VLOOKUP(D241,'Vũ khí đề xuất'!$A:$AO,32,0),"")</f>
        <v/>
      </c>
      <c r="K241" s="51">
        <f>IFERROR(VLOOKUP(D241,'Vũ khí đề xuất'!$A:$AO,35,0),"")</f>
        <v/>
      </c>
      <c r="L241" s="51">
        <f>IFERROR(VLOOKUP(D241,'Vũ khí đề xuất'!$A:$AO,36,0),"")</f>
        <v/>
      </c>
      <c r="M241" s="41" t="n"/>
    </row>
    <row r="242" ht="15" customHeight="1" s="32">
      <c r="A242" s="39" t="inlineStr">
        <is>
          <t>nuke_train</t>
        </is>
      </c>
      <c r="B242" s="39" t="inlineStr">
        <is>
          <t>Nemesis · Đoàn tàu tên lửa</t>
        </is>
      </c>
      <c r="C242" s="39" t="inlineStr">
        <is>
          <t>Boss</t>
        </is>
      </c>
      <c r="D242" s="39" t="inlineStr">
        <is>
          <t>boss_flak</t>
        </is>
      </c>
      <c r="E242" s="39" t="inlineStr">
        <is>
          <t>Oerlikon 35 mm (twin)</t>
        </is>
      </c>
      <c r="F242" s="42" t="n">
        <v>1</v>
      </c>
      <c r="G242" s="50">
        <f>IFERROR(VLOOKUP(D242,'Vũ khí đề xuất'!$A:$AO,27,0),"")</f>
        <v/>
      </c>
      <c r="H242" s="50">
        <f>IFERROR(VLOOKUP(D242,'Vũ khí đề xuất'!$A:$AO,28,0),"")</f>
        <v/>
      </c>
      <c r="I242" s="50">
        <f>IFERROR(VLOOKUP(D242,'Vũ khí đề xuất'!$A:$AO,30,0),"")</f>
        <v/>
      </c>
      <c r="J242" s="50">
        <f>IFERROR(VLOOKUP(D242,'Vũ khí đề xuất'!$A:$AO,32,0),"")</f>
        <v/>
      </c>
      <c r="K242" s="50">
        <f>IFERROR(VLOOKUP(D242,'Vũ khí đề xuất'!$A:$AO,35,0),"")</f>
        <v/>
      </c>
      <c r="L242" s="50">
        <f>IFERROR(VLOOKUP(D242,'Vũ khí đề xuất'!$A:$AO,36,0),"")</f>
        <v/>
      </c>
      <c r="M242" s="39" t="n"/>
    </row>
    <row r="243" ht="15" customHeight="1" s="32">
      <c r="A243" s="41" t="inlineStr">
        <is>
          <t>nuke_train</t>
        </is>
      </c>
      <c r="B243" s="41" t="inlineStr">
        <is>
          <t>Nemesis · Đoàn tàu tên lửa</t>
        </is>
      </c>
      <c r="C243" s="41" t="inlineStr">
        <is>
          <t>Boss</t>
        </is>
      </c>
      <c r="D243" s="41" t="inlineStr">
        <is>
          <t>sam_battery</t>
        </is>
      </c>
      <c r="E243" s="41" t="inlineStr">
        <is>
          <t>MIM-104 Patriot PAC-2</t>
        </is>
      </c>
      <c r="F243" s="43" t="n">
        <v>1</v>
      </c>
      <c r="G243" s="51">
        <f>IFERROR(VLOOKUP(D243,'Vũ khí đề xuất'!$A:$AO,27,0),"")</f>
        <v/>
      </c>
      <c r="H243" s="51">
        <f>IFERROR(VLOOKUP(D243,'Vũ khí đề xuất'!$A:$AO,28,0),"")</f>
        <v/>
      </c>
      <c r="I243" s="51">
        <f>IFERROR(VLOOKUP(D243,'Vũ khí đề xuất'!$A:$AO,30,0),"")</f>
        <v/>
      </c>
      <c r="J243" s="51">
        <f>IFERROR(VLOOKUP(D243,'Vũ khí đề xuất'!$A:$AO,32,0),"")</f>
        <v/>
      </c>
      <c r="K243" s="51">
        <f>IFERROR(VLOOKUP(D243,'Vũ khí đề xuất'!$A:$AO,35,0),"")</f>
        <v/>
      </c>
      <c r="L243" s="51">
        <f>IFERROR(VLOOKUP(D243,'Vũ khí đề xuất'!$A:$AO,36,0),"")</f>
        <v/>
      </c>
      <c r="M243" s="41" t="n"/>
    </row>
    <row r="244" ht="15" customHeight="1" s="32">
      <c r="A244" s="39" t="inlineStr">
        <is>
          <t>nuke_train</t>
        </is>
      </c>
      <c r="B244" s="39" t="inlineStr">
        <is>
          <t>Nemesis · Đoàn tàu tên lửa</t>
        </is>
      </c>
      <c r="C244" s="39" t="inlineStr">
        <is>
          <t>Boss</t>
        </is>
      </c>
      <c r="D244" s="39" t="inlineStr">
        <is>
          <t>boss_flak</t>
        </is>
      </c>
      <c r="E244" s="39" t="inlineStr">
        <is>
          <t>Oerlikon 35 mm (twin)</t>
        </is>
      </c>
      <c r="F244" s="42" t="n">
        <v>1</v>
      </c>
      <c r="G244" s="50">
        <f>IFERROR(VLOOKUP(D244,'Vũ khí đề xuất'!$A:$AO,27,0),"")</f>
        <v/>
      </c>
      <c r="H244" s="50">
        <f>IFERROR(VLOOKUP(D244,'Vũ khí đề xuất'!$A:$AO,28,0),"")</f>
        <v/>
      </c>
      <c r="I244" s="50">
        <f>IFERROR(VLOOKUP(D244,'Vũ khí đề xuất'!$A:$AO,30,0),"")</f>
        <v/>
      </c>
      <c r="J244" s="50">
        <f>IFERROR(VLOOKUP(D244,'Vũ khí đề xuất'!$A:$AO,32,0),"")</f>
        <v/>
      </c>
      <c r="K244" s="50">
        <f>IFERROR(VLOOKUP(D244,'Vũ khí đề xuất'!$A:$AO,35,0),"")</f>
        <v/>
      </c>
      <c r="L244" s="50">
        <f>IFERROR(VLOOKUP(D244,'Vũ khí đề xuất'!$A:$AO,36,0),"")</f>
        <v/>
      </c>
      <c r="M244" s="39" t="n"/>
    </row>
    <row r="245" ht="15" customHeight="1" s="32">
      <c r="A245" s="41" t="inlineStr">
        <is>
          <t>scylla</t>
        </is>
      </c>
      <c r="B245" s="41" t="inlineStr">
        <is>
          <t>Scylla · Tàu khu trục</t>
        </is>
      </c>
      <c r="C245" s="41" t="inlineStr">
        <is>
          <t>Boss</t>
        </is>
      </c>
      <c r="D245" s="41" t="inlineStr">
        <is>
          <t>leviathan_460</t>
        </is>
      </c>
      <c r="E245" s="41" t="inlineStr">
        <is>
          <t>Type 94 460 mm/45 (triple)</t>
        </is>
      </c>
      <c r="F245" s="43" t="n">
        <v>1</v>
      </c>
      <c r="G245" s="51">
        <f>IFERROR(VLOOKUP(D245,'Vũ khí đề xuất'!$A:$AO,27,0),"")</f>
        <v/>
      </c>
      <c r="H245" s="51">
        <f>IFERROR(VLOOKUP(D245,'Vũ khí đề xuất'!$A:$AO,28,0),"")</f>
        <v/>
      </c>
      <c r="I245" s="51">
        <f>IFERROR(VLOOKUP(D245,'Vũ khí đề xuất'!$A:$AO,30,0),"")</f>
        <v/>
      </c>
      <c r="J245" s="51">
        <f>IFERROR(VLOOKUP(D245,'Vũ khí đề xuất'!$A:$AO,32,0),"")</f>
        <v/>
      </c>
      <c r="K245" s="51">
        <f>IFERROR(VLOOKUP(D245,'Vũ khí đề xuất'!$A:$AO,35,0),"")</f>
        <v/>
      </c>
      <c r="L245" s="51">
        <f>IFERROR(VLOOKUP(D245,'Vũ khí đề xuất'!$A:$AO,36,0),"")</f>
        <v/>
      </c>
      <c r="M245" s="41" t="n"/>
    </row>
    <row r="246" ht="15" customHeight="1" s="32">
      <c r="A246" s="39" t="inlineStr">
        <is>
          <t>scylla</t>
        </is>
      </c>
      <c r="B246" s="39" t="inlineStr">
        <is>
          <t>Scylla · Tàu khu trục</t>
        </is>
      </c>
      <c r="C246" s="39" t="inlineStr">
        <is>
          <t>Boss</t>
        </is>
      </c>
      <c r="D246" s="39" t="inlineStr">
        <is>
          <t>hover_ciws</t>
        </is>
      </c>
      <c r="E246" s="39" t="inlineStr">
        <is>
          <t>AK-630 30 mm</t>
        </is>
      </c>
      <c r="F246" s="42" t="n">
        <v>1</v>
      </c>
      <c r="G246" s="50">
        <f>IFERROR(VLOOKUP(D246,'Vũ khí đề xuất'!$A:$AO,27,0),"")</f>
        <v/>
      </c>
      <c r="H246" s="50">
        <f>IFERROR(VLOOKUP(D246,'Vũ khí đề xuất'!$A:$AO,28,0),"")</f>
        <v/>
      </c>
      <c r="I246" s="50">
        <f>IFERROR(VLOOKUP(D246,'Vũ khí đề xuất'!$A:$AO,30,0),"")</f>
        <v/>
      </c>
      <c r="J246" s="50">
        <f>IFERROR(VLOOKUP(D246,'Vũ khí đề xuất'!$A:$AO,32,0),"")</f>
        <v/>
      </c>
      <c r="K246" s="50">
        <f>IFERROR(VLOOKUP(D246,'Vũ khí đề xuất'!$A:$AO,35,0),"")</f>
        <v/>
      </c>
      <c r="L246" s="50">
        <f>IFERROR(VLOOKUP(D246,'Vũ khí đề xuất'!$A:$AO,36,0),"")</f>
        <v/>
      </c>
      <c r="M246" s="39" t="n"/>
    </row>
    <row r="247" ht="15" customHeight="1" s="32">
      <c r="A247" s="41" t="inlineStr">
        <is>
          <t>silver_bug</t>
        </is>
      </c>
      <c r="B247" s="41" t="inlineStr">
        <is>
          <t>Icarus · Phi thuyền quỹ đạo</t>
        </is>
      </c>
      <c r="C247" s="41" t="inlineStr">
        <is>
          <t>Boss</t>
        </is>
      </c>
      <c r="D247" s="41" t="inlineStr">
        <is>
          <t>orbital_laser</t>
        </is>
      </c>
      <c r="E247" s="41" t="inlineStr">
        <is>
          <t>laser (150 kW) 150 mm</t>
        </is>
      </c>
      <c r="F247" s="43" t="n">
        <v>1</v>
      </c>
      <c r="G247" s="51">
        <f>IFERROR(VLOOKUP(D247,'Vũ khí đề xuất'!$A:$AO,27,0),"")</f>
        <v/>
      </c>
      <c r="H247" s="51">
        <f>IFERROR(VLOOKUP(D247,'Vũ khí đề xuất'!$A:$AO,28,0),"")</f>
        <v/>
      </c>
      <c r="I247" s="51">
        <f>IFERROR(VLOOKUP(D247,'Vũ khí đề xuất'!$A:$AO,30,0),"")</f>
        <v/>
      </c>
      <c r="J247" s="51">
        <f>IFERROR(VLOOKUP(D247,'Vũ khí đề xuất'!$A:$AO,32,0),"")</f>
        <v/>
      </c>
      <c r="K247" s="51">
        <f>IFERROR(VLOOKUP(D247,'Vũ khí đề xuất'!$A:$AO,35,0),"")</f>
        <v/>
      </c>
      <c r="L247" s="51">
        <f>IFERROR(VLOOKUP(D247,'Vũ khí đề xuất'!$A:$AO,36,0),"")</f>
        <v/>
      </c>
      <c r="M247" s="41" t="n"/>
    </row>
    <row r="248" ht="15" customHeight="1" s="32">
      <c r="A248" s="39" t="inlineStr">
        <is>
          <t>silver_bug</t>
        </is>
      </c>
      <c r="B248" s="39" t="inlineStr">
        <is>
          <t>Icarus · Phi thuyền quỹ đạo</t>
        </is>
      </c>
      <c r="C248" s="39" t="inlineStr">
        <is>
          <t>Boss</t>
        </is>
      </c>
      <c r="D248" s="39" t="inlineStr">
        <is>
          <t>gun_120mm</t>
        </is>
      </c>
      <c r="E248" s="39" t="inlineStr">
        <is>
          <t>Rh-120 L/44 120 mm</t>
        </is>
      </c>
      <c r="F248" s="42" t="n">
        <v>1</v>
      </c>
      <c r="G248" s="50">
        <f>IFERROR(VLOOKUP(D248,'Vũ khí đề xuất'!$A:$AO,27,0),"")</f>
        <v/>
      </c>
      <c r="H248" s="50">
        <f>IFERROR(VLOOKUP(D248,'Vũ khí đề xuất'!$A:$AO,28,0),"")</f>
        <v/>
      </c>
      <c r="I248" s="50">
        <f>IFERROR(VLOOKUP(D248,'Vũ khí đề xuất'!$A:$AO,30,0),"")</f>
        <v/>
      </c>
      <c r="J248" s="50">
        <f>IFERROR(VLOOKUP(D248,'Vũ khí đề xuất'!$A:$AO,32,0),"")</f>
        <v/>
      </c>
      <c r="K248" s="50">
        <f>IFERROR(VLOOKUP(D248,'Vũ khí đề xuất'!$A:$AO,35,0),"")</f>
        <v/>
      </c>
      <c r="L248" s="50">
        <f>IFERROR(VLOOKUP(D248,'Vũ khí đề xuất'!$A:$AO,36,0),"")</f>
        <v/>
      </c>
      <c r="M248" s="39" t="n"/>
    </row>
    <row r="249" ht="15" customHeight="1" s="32">
      <c r="A249" s="41" t="inlineStr">
        <is>
          <t>silver_bug</t>
        </is>
      </c>
      <c r="B249" s="41" t="inlineStr">
        <is>
          <t>Icarus · Phi thuyền quỹ đạo</t>
        </is>
      </c>
      <c r="C249" s="41" t="inlineStr">
        <is>
          <t>Boss</t>
        </is>
      </c>
      <c r="D249" s="41" t="inlineStr">
        <is>
          <t>gun_120mm</t>
        </is>
      </c>
      <c r="E249" s="41" t="inlineStr">
        <is>
          <t>Rh-120 L/44 120 mm</t>
        </is>
      </c>
      <c r="F249" s="43" t="n">
        <v>1</v>
      </c>
      <c r="G249" s="51">
        <f>IFERROR(VLOOKUP(D249,'Vũ khí đề xuất'!$A:$AO,27,0),"")</f>
        <v/>
      </c>
      <c r="H249" s="51">
        <f>IFERROR(VLOOKUP(D249,'Vũ khí đề xuất'!$A:$AO,28,0),"")</f>
        <v/>
      </c>
      <c r="I249" s="51">
        <f>IFERROR(VLOOKUP(D249,'Vũ khí đề xuất'!$A:$AO,30,0),"")</f>
        <v/>
      </c>
      <c r="J249" s="51">
        <f>IFERROR(VLOOKUP(D249,'Vũ khí đề xuất'!$A:$AO,32,0),"")</f>
        <v/>
      </c>
      <c r="K249" s="51">
        <f>IFERROR(VLOOKUP(D249,'Vũ khí đề xuất'!$A:$AO,35,0),"")</f>
        <v/>
      </c>
      <c r="L249" s="51">
        <f>IFERROR(VLOOKUP(D249,'Vũ khí đề xuất'!$A:$AO,36,0),"")</f>
        <v/>
      </c>
      <c r="M249" s="41" t="n"/>
    </row>
    <row r="250" ht="15" customHeight="1" s="32">
      <c r="A250" s="39" t="inlineStr">
        <is>
          <t>silver_bug</t>
        </is>
      </c>
      <c r="B250" s="39" t="inlineStr">
        <is>
          <t>Icarus · Phi thuyền quỹ đạo</t>
        </is>
      </c>
      <c r="C250" s="39" t="inlineStr">
        <is>
          <t>Boss</t>
        </is>
      </c>
      <c r="D250" s="39" t="inlineStr">
        <is>
          <t>boss_flak</t>
        </is>
      </c>
      <c r="E250" s="39" t="inlineStr">
        <is>
          <t>Oerlikon 35 mm (twin)</t>
        </is>
      </c>
      <c r="F250" s="42" t="n">
        <v>1</v>
      </c>
      <c r="G250" s="50">
        <f>IFERROR(VLOOKUP(D250,'Vũ khí đề xuất'!$A:$AO,27,0),"")</f>
        <v/>
      </c>
      <c r="H250" s="50">
        <f>IFERROR(VLOOKUP(D250,'Vũ khí đề xuất'!$A:$AO,28,0),"")</f>
        <v/>
      </c>
      <c r="I250" s="50">
        <f>IFERROR(VLOOKUP(D250,'Vũ khí đề xuất'!$A:$AO,30,0),"")</f>
        <v/>
      </c>
      <c r="J250" s="50">
        <f>IFERROR(VLOOKUP(D250,'Vũ khí đề xuất'!$A:$AO,32,0),"")</f>
        <v/>
      </c>
      <c r="K250" s="50">
        <f>IFERROR(VLOOKUP(D250,'Vũ khí đề xuất'!$A:$AO,35,0),"")</f>
        <v/>
      </c>
      <c r="L250" s="50">
        <f>IFERROR(VLOOKUP(D250,'Vũ khí đề xuất'!$A:$AO,36,0),"")</f>
        <v/>
      </c>
      <c r="M250" s="39" t="n"/>
    </row>
    <row r="251" ht="15" customHeight="1" s="32">
      <c r="A251" s="41" t="inlineStr">
        <is>
          <t>silver_bug</t>
        </is>
      </c>
      <c r="B251" s="41" t="inlineStr">
        <is>
          <t>Icarus · Phi thuyền quỹ đạo</t>
        </is>
      </c>
      <c r="C251" s="41" t="inlineStr">
        <is>
          <t>Boss</t>
        </is>
      </c>
      <c r="D251" s="41" t="inlineStr">
        <is>
          <t>boss_flak</t>
        </is>
      </c>
      <c r="E251" s="41" t="inlineStr">
        <is>
          <t>Oerlikon 35 mm (twin)</t>
        </is>
      </c>
      <c r="F251" s="43" t="n">
        <v>1</v>
      </c>
      <c r="G251" s="51">
        <f>IFERROR(VLOOKUP(D251,'Vũ khí đề xuất'!$A:$AO,27,0),"")</f>
        <v/>
      </c>
      <c r="H251" s="51">
        <f>IFERROR(VLOOKUP(D251,'Vũ khí đề xuất'!$A:$AO,28,0),"")</f>
        <v/>
      </c>
      <c r="I251" s="51">
        <f>IFERROR(VLOOKUP(D251,'Vũ khí đề xuất'!$A:$AO,30,0),"")</f>
        <v/>
      </c>
      <c r="J251" s="51">
        <f>IFERROR(VLOOKUP(D251,'Vũ khí đề xuất'!$A:$AO,32,0),"")</f>
        <v/>
      </c>
      <c r="K251" s="51">
        <f>IFERROR(VLOOKUP(D251,'Vũ khí đề xuất'!$A:$AO,35,0),"")</f>
        <v/>
      </c>
      <c r="L251" s="51">
        <f>IFERROR(VLOOKUP(D251,'Vũ khí đề xuất'!$A:$AO,36,0),"")</f>
        <v/>
      </c>
      <c r="M251" s="41" t="n"/>
    </row>
    <row r="252" ht="15" customHeight="1" s="32">
      <c r="A252" s="39" t="inlineStr">
        <is>
          <t>silver_bug</t>
        </is>
      </c>
      <c r="B252" s="39" t="inlineStr">
        <is>
          <t>Icarus · Phi thuyền quỹ đạo</t>
        </is>
      </c>
      <c r="C252" s="39" t="inlineStr">
        <is>
          <t>Boss</t>
        </is>
      </c>
      <c r="D252" s="39" t="inlineStr">
        <is>
          <t>autocannon_40</t>
        </is>
      </c>
      <c r="E252" s="39" t="inlineStr">
        <is>
          <t>Bofors 40 mm</t>
        </is>
      </c>
      <c r="F252" s="42" t="n">
        <v>1</v>
      </c>
      <c r="G252" s="50">
        <f>IFERROR(VLOOKUP(D252,'Vũ khí đề xuất'!$A:$AO,27,0),"")</f>
        <v/>
      </c>
      <c r="H252" s="50">
        <f>IFERROR(VLOOKUP(D252,'Vũ khí đề xuất'!$A:$AO,28,0),"")</f>
        <v/>
      </c>
      <c r="I252" s="50">
        <f>IFERROR(VLOOKUP(D252,'Vũ khí đề xuất'!$A:$AO,30,0),"")</f>
        <v/>
      </c>
      <c r="J252" s="50">
        <f>IFERROR(VLOOKUP(D252,'Vũ khí đề xuất'!$A:$AO,32,0),"")</f>
        <v/>
      </c>
      <c r="K252" s="50">
        <f>IFERROR(VLOOKUP(D252,'Vũ khí đề xuất'!$A:$AO,35,0),"")</f>
        <v/>
      </c>
      <c r="L252" s="50">
        <f>IFERROR(VLOOKUP(D252,'Vũ khí đề xuất'!$A:$AO,36,0),"")</f>
        <v/>
      </c>
      <c r="M252" s="39" t="n"/>
    </row>
    <row r="253" ht="15" customHeight="1" s="32">
      <c r="A253" s="41" t="inlineStr">
        <is>
          <t>silver_bug</t>
        </is>
      </c>
      <c r="B253" s="41" t="inlineStr">
        <is>
          <t>Icarus · Phi thuyền quỹ đạo</t>
        </is>
      </c>
      <c r="C253" s="41" t="inlineStr">
        <is>
          <t>Boss</t>
        </is>
      </c>
      <c r="D253" s="41" t="inlineStr">
        <is>
          <t>autocannon_40</t>
        </is>
      </c>
      <c r="E253" s="41" t="inlineStr">
        <is>
          <t>Bofors 40 mm</t>
        </is>
      </c>
      <c r="F253" s="43" t="n">
        <v>1</v>
      </c>
      <c r="G253" s="51">
        <f>IFERROR(VLOOKUP(D253,'Vũ khí đề xuất'!$A:$AO,27,0),"")</f>
        <v/>
      </c>
      <c r="H253" s="51">
        <f>IFERROR(VLOOKUP(D253,'Vũ khí đề xuất'!$A:$AO,28,0),"")</f>
        <v/>
      </c>
      <c r="I253" s="51">
        <f>IFERROR(VLOOKUP(D253,'Vũ khí đề xuất'!$A:$AO,30,0),"")</f>
        <v/>
      </c>
      <c r="J253" s="51">
        <f>IFERROR(VLOOKUP(D253,'Vũ khí đề xuất'!$A:$AO,32,0),"")</f>
        <v/>
      </c>
      <c r="K253" s="51">
        <f>IFERROR(VLOOKUP(D253,'Vũ khí đề xuất'!$A:$AO,35,0),"")</f>
        <v/>
      </c>
      <c r="L253" s="51">
        <f>IFERROR(VLOOKUP(D253,'Vũ khí đề xuất'!$A:$AO,36,0),"")</f>
        <v/>
      </c>
      <c r="M253" s="41" t="n"/>
    </row>
    <row r="254" ht="15" customHeight="1" s="32">
      <c r="A254" s="39" t="inlineStr">
        <is>
          <t>mobile_fortress</t>
        </is>
      </c>
      <c r="B254" s="39" t="inlineStr">
        <is>
          <t>Jötunn · Pháo đài di động</t>
        </is>
      </c>
      <c r="C254" s="39" t="inlineStr">
        <is>
          <t>Boss</t>
        </is>
      </c>
      <c r="D254" s="39" t="inlineStr">
        <is>
          <t>boss_howitzer</t>
        </is>
      </c>
      <c r="E254" s="39" t="inlineStr">
        <is>
          <t>2A44 203 mm</t>
        </is>
      </c>
      <c r="F254" s="42" t="n">
        <v>1</v>
      </c>
      <c r="G254" s="50">
        <f>IFERROR(VLOOKUP(D254,'Vũ khí đề xuất'!$A:$AO,27,0),"")</f>
        <v/>
      </c>
      <c r="H254" s="50">
        <f>IFERROR(VLOOKUP(D254,'Vũ khí đề xuất'!$A:$AO,28,0),"")</f>
        <v/>
      </c>
      <c r="I254" s="50">
        <f>IFERROR(VLOOKUP(D254,'Vũ khí đề xuất'!$A:$AO,30,0),"")</f>
        <v/>
      </c>
      <c r="J254" s="50">
        <f>IFERROR(VLOOKUP(D254,'Vũ khí đề xuất'!$A:$AO,32,0),"")</f>
        <v/>
      </c>
      <c r="K254" s="50">
        <f>IFERROR(VLOOKUP(D254,'Vũ khí đề xuất'!$A:$AO,35,0),"")</f>
        <v/>
      </c>
      <c r="L254" s="50">
        <f>IFERROR(VLOOKUP(D254,'Vũ khí đề xuất'!$A:$AO,36,0),"")</f>
        <v/>
      </c>
      <c r="M254" s="39" t="n"/>
    </row>
    <row r="255" ht="15" customHeight="1" s="32">
      <c r="A255" s="41" t="inlineStr">
        <is>
          <t>mobile_fortress</t>
        </is>
      </c>
      <c r="B255" s="41" t="inlineStr">
        <is>
          <t>Jötunn · Pháo đài di động</t>
        </is>
      </c>
      <c r="C255" s="41" t="inlineStr">
        <is>
          <t>Boss</t>
        </is>
      </c>
      <c r="D255" s="41" t="inlineStr">
        <is>
          <t>boss_rockets</t>
        </is>
      </c>
      <c r="E255" s="41" t="inlineStr">
        <is>
          <t>BM-21 Grad 122 mm</t>
        </is>
      </c>
      <c r="F255" s="43" t="n">
        <v>1</v>
      </c>
      <c r="G255" s="51">
        <f>IFERROR(VLOOKUP(D255,'Vũ khí đề xuất'!$A:$AO,27,0),"")</f>
        <v/>
      </c>
      <c r="H255" s="51">
        <f>IFERROR(VLOOKUP(D255,'Vũ khí đề xuất'!$A:$AO,28,0),"")</f>
        <v/>
      </c>
      <c r="I255" s="51">
        <f>IFERROR(VLOOKUP(D255,'Vũ khí đề xuất'!$A:$AO,30,0),"")</f>
        <v/>
      </c>
      <c r="J255" s="51">
        <f>IFERROR(VLOOKUP(D255,'Vũ khí đề xuất'!$A:$AO,32,0),"")</f>
        <v/>
      </c>
      <c r="K255" s="51">
        <f>IFERROR(VLOOKUP(D255,'Vũ khí đề xuất'!$A:$AO,35,0),"")</f>
        <v/>
      </c>
      <c r="L255" s="51">
        <f>IFERROR(VLOOKUP(D255,'Vũ khí đề xuất'!$A:$AO,36,0),"")</f>
        <v/>
      </c>
      <c r="M255" s="41" t="n"/>
    </row>
    <row r="256" ht="15" customHeight="1" s="32">
      <c r="A256" s="39" t="inlineStr">
        <is>
          <t>mobile_fortress</t>
        </is>
      </c>
      <c r="B256" s="39" t="inlineStr">
        <is>
          <t>Jötunn · Pháo đài di động</t>
        </is>
      </c>
      <c r="C256" s="39" t="inlineStr">
        <is>
          <t>Boss</t>
        </is>
      </c>
      <c r="D256" s="39" t="inlineStr">
        <is>
          <t>boss_rockets</t>
        </is>
      </c>
      <c r="E256" s="39" t="inlineStr">
        <is>
          <t>BM-21 Grad 122 mm</t>
        </is>
      </c>
      <c r="F256" s="42" t="n">
        <v>1</v>
      </c>
      <c r="G256" s="50">
        <f>IFERROR(VLOOKUP(D256,'Vũ khí đề xuất'!$A:$AO,27,0),"")</f>
        <v/>
      </c>
      <c r="H256" s="50">
        <f>IFERROR(VLOOKUP(D256,'Vũ khí đề xuất'!$A:$AO,28,0),"")</f>
        <v/>
      </c>
      <c r="I256" s="50">
        <f>IFERROR(VLOOKUP(D256,'Vũ khí đề xuất'!$A:$AO,30,0),"")</f>
        <v/>
      </c>
      <c r="J256" s="50">
        <f>IFERROR(VLOOKUP(D256,'Vũ khí đề xuất'!$A:$AO,32,0),"")</f>
        <v/>
      </c>
      <c r="K256" s="50">
        <f>IFERROR(VLOOKUP(D256,'Vũ khí đề xuất'!$A:$AO,35,0),"")</f>
        <v/>
      </c>
      <c r="L256" s="50">
        <f>IFERROR(VLOOKUP(D256,'Vũ khí đề xuất'!$A:$AO,36,0),"")</f>
        <v/>
      </c>
      <c r="M256" s="39" t="n"/>
    </row>
    <row r="257" ht="15" customHeight="1" s="32">
      <c r="A257" s="41" t="inlineStr">
        <is>
          <t>mobile_fortress</t>
        </is>
      </c>
      <c r="B257" s="41" t="inlineStr">
        <is>
          <t>Jötunn · Pháo đài di động</t>
        </is>
      </c>
      <c r="C257" s="41" t="inlineStr">
        <is>
          <t>Boss</t>
        </is>
      </c>
      <c r="D257" s="41" t="inlineStr">
        <is>
          <t>boss_flak</t>
        </is>
      </c>
      <c r="E257" s="41" t="inlineStr">
        <is>
          <t>Oerlikon 35 mm (twin)</t>
        </is>
      </c>
      <c r="F257" s="43" t="n">
        <v>1</v>
      </c>
      <c r="G257" s="51">
        <f>IFERROR(VLOOKUP(D257,'Vũ khí đề xuất'!$A:$AO,27,0),"")</f>
        <v/>
      </c>
      <c r="H257" s="51">
        <f>IFERROR(VLOOKUP(D257,'Vũ khí đề xuất'!$A:$AO,28,0),"")</f>
        <v/>
      </c>
      <c r="I257" s="51">
        <f>IFERROR(VLOOKUP(D257,'Vũ khí đề xuất'!$A:$AO,30,0),"")</f>
        <v/>
      </c>
      <c r="J257" s="51">
        <f>IFERROR(VLOOKUP(D257,'Vũ khí đề xuất'!$A:$AO,32,0),"")</f>
        <v/>
      </c>
      <c r="K257" s="51">
        <f>IFERROR(VLOOKUP(D257,'Vũ khí đề xuất'!$A:$AO,35,0),"")</f>
        <v/>
      </c>
      <c r="L257" s="51">
        <f>IFERROR(VLOOKUP(D257,'Vũ khí đề xuất'!$A:$AO,36,0),"")</f>
        <v/>
      </c>
      <c r="M257" s="41" t="n"/>
    </row>
    <row r="258" ht="15" customHeight="1" s="32">
      <c r="A258" s="39" t="inlineStr">
        <is>
          <t>mobile_fortress</t>
        </is>
      </c>
      <c r="B258" s="39" t="inlineStr">
        <is>
          <t>Jötunn · Pháo đài di động</t>
        </is>
      </c>
      <c r="C258" s="39" t="inlineStr">
        <is>
          <t>Boss</t>
        </is>
      </c>
      <c r="D258" s="39" t="inlineStr">
        <is>
          <t>boss_flak</t>
        </is>
      </c>
      <c r="E258" s="39" t="inlineStr">
        <is>
          <t>Oerlikon 35 mm (twin)</t>
        </is>
      </c>
      <c r="F258" s="42" t="n">
        <v>1</v>
      </c>
      <c r="G258" s="50">
        <f>IFERROR(VLOOKUP(D258,'Vũ khí đề xuất'!$A:$AO,27,0),"")</f>
        <v/>
      </c>
      <c r="H258" s="50">
        <f>IFERROR(VLOOKUP(D258,'Vũ khí đề xuất'!$A:$AO,28,0),"")</f>
        <v/>
      </c>
      <c r="I258" s="50">
        <f>IFERROR(VLOOKUP(D258,'Vũ khí đề xuất'!$A:$AO,30,0),"")</f>
        <v/>
      </c>
      <c r="J258" s="50">
        <f>IFERROR(VLOOKUP(D258,'Vũ khí đề xuất'!$A:$AO,32,0),"")</f>
        <v/>
      </c>
      <c r="K258" s="50">
        <f>IFERROR(VLOOKUP(D258,'Vũ khí đề xuất'!$A:$AO,35,0),"")</f>
        <v/>
      </c>
      <c r="L258" s="50">
        <f>IFERROR(VLOOKUP(D258,'Vũ khí đề xuất'!$A:$AO,36,0),"")</f>
        <v/>
      </c>
      <c r="M258" s="39" t="n"/>
    </row>
    <row r="259" ht="15" customHeight="1" s="32">
      <c r="A259" s="41" t="inlineStr">
        <is>
          <t>mobile_fortress</t>
        </is>
      </c>
      <c r="B259" s="41" t="inlineStr">
        <is>
          <t>Jötunn · Pháo đài di động</t>
        </is>
      </c>
      <c r="C259" s="41" t="inlineStr">
        <is>
          <t>Boss</t>
        </is>
      </c>
      <c r="D259" s="41" t="inlineStr">
        <is>
          <t>boss_missiles</t>
        </is>
      </c>
      <c r="E259" s="41" t="inlineStr">
        <is>
          <t>9M133 Kornet</t>
        </is>
      </c>
      <c r="F259" s="43" t="n">
        <v>1</v>
      </c>
      <c r="G259" s="51">
        <f>IFERROR(VLOOKUP(D259,'Vũ khí đề xuất'!$A:$AO,27,0),"")</f>
        <v/>
      </c>
      <c r="H259" s="51">
        <f>IFERROR(VLOOKUP(D259,'Vũ khí đề xuất'!$A:$AO,28,0),"")</f>
        <v/>
      </c>
      <c r="I259" s="51">
        <f>IFERROR(VLOOKUP(D259,'Vũ khí đề xuất'!$A:$AO,30,0),"")</f>
        <v/>
      </c>
      <c r="J259" s="51">
        <f>IFERROR(VLOOKUP(D259,'Vũ khí đề xuất'!$A:$AO,32,0),"")</f>
        <v/>
      </c>
      <c r="K259" s="51">
        <f>IFERROR(VLOOKUP(D259,'Vũ khí đề xuất'!$A:$AO,35,0),"")</f>
        <v/>
      </c>
      <c r="L259" s="51">
        <f>IFERROR(VLOOKUP(D259,'Vũ khí đề xuất'!$A:$AO,36,0),"")</f>
        <v/>
      </c>
      <c r="M259" s="41" t="n"/>
    </row>
    <row r="260" ht="15" customHeight="1" s="32">
      <c r="A260" s="39" t="inlineStr">
        <is>
          <t>mobile_fortress</t>
        </is>
      </c>
      <c r="B260" s="39" t="inlineStr">
        <is>
          <t>Jötunn · Pháo đài di động</t>
        </is>
      </c>
      <c r="C260" s="39" t="inlineStr">
        <is>
          <t>Boss</t>
        </is>
      </c>
      <c r="D260" s="39" t="inlineStr">
        <is>
          <t>boss_howitzer</t>
        </is>
      </c>
      <c r="E260" s="39" t="inlineStr">
        <is>
          <t>2A44 203 mm</t>
        </is>
      </c>
      <c r="F260" s="42" t="n">
        <v>1</v>
      </c>
      <c r="G260" s="50">
        <f>IFERROR(VLOOKUP(D260,'Vũ khí đề xuất'!$A:$AO,27,0),"")</f>
        <v/>
      </c>
      <c r="H260" s="50">
        <f>IFERROR(VLOOKUP(D260,'Vũ khí đề xuất'!$A:$AO,28,0),"")</f>
        <v/>
      </c>
      <c r="I260" s="50">
        <f>IFERROR(VLOOKUP(D260,'Vũ khí đề xuất'!$A:$AO,30,0),"")</f>
        <v/>
      </c>
      <c r="J260" s="50">
        <f>IFERROR(VLOOKUP(D260,'Vũ khí đề xuất'!$A:$AO,32,0),"")</f>
        <v/>
      </c>
      <c r="K260" s="50">
        <f>IFERROR(VLOOKUP(D260,'Vũ khí đề xuất'!$A:$AO,35,0),"")</f>
        <v/>
      </c>
      <c r="L260" s="50">
        <f>IFERROR(VLOOKUP(D260,'Vũ khí đề xuất'!$A:$AO,36,0),"")</f>
        <v/>
      </c>
      <c r="M260" s="39" t="n"/>
    </row>
    <row r="261" ht="15" customHeight="1" s="32">
      <c r="A261" s="41" t="inlineStr">
        <is>
          <t>mobile_fortress</t>
        </is>
      </c>
      <c r="B261" s="41" t="inlineStr">
        <is>
          <t>Jötunn · Pháo đài di động</t>
        </is>
      </c>
      <c r="C261" s="41" t="inlineStr">
        <is>
          <t>Boss</t>
        </is>
      </c>
      <c r="D261" s="41" t="inlineStr">
        <is>
          <t>sam_post</t>
        </is>
      </c>
      <c r="E261" s="41" t="inlineStr">
        <is>
          <t>9M317 Buk</t>
        </is>
      </c>
      <c r="F261" s="43" t="n">
        <v>1</v>
      </c>
      <c r="G261" s="51">
        <f>IFERROR(VLOOKUP(D261,'Vũ khí đề xuất'!$A:$AO,27,0),"")</f>
        <v/>
      </c>
      <c r="H261" s="51">
        <f>IFERROR(VLOOKUP(D261,'Vũ khí đề xuất'!$A:$AO,28,0),"")</f>
        <v/>
      </c>
      <c r="I261" s="51">
        <f>IFERROR(VLOOKUP(D261,'Vũ khí đề xuất'!$A:$AO,30,0),"")</f>
        <v/>
      </c>
      <c r="J261" s="51">
        <f>IFERROR(VLOOKUP(D261,'Vũ khí đề xuất'!$A:$AO,32,0),"")</f>
        <v/>
      </c>
      <c r="K261" s="51">
        <f>IFERROR(VLOOKUP(D261,'Vũ khí đề xuất'!$A:$AO,35,0),"")</f>
        <v/>
      </c>
      <c r="L261" s="51">
        <f>IFERROR(VLOOKUP(D261,'Vũ khí đề xuất'!$A:$AO,36,0),"")</f>
        <v/>
      </c>
      <c r="M261" s="41" t="n"/>
    </row>
    <row r="262" ht="15" customHeight="1" s="32">
      <c r="A262" s="39" t="inlineStr">
        <is>
          <t>command_airship</t>
        </is>
      </c>
      <c r="B262" s="39" t="inlineStr">
        <is>
          <t>Roc · Khí cầu chỉ huy</t>
        </is>
      </c>
      <c r="C262" s="39" t="inlineStr">
        <is>
          <t>Boss</t>
        </is>
      </c>
      <c r="D262" s="39" t="inlineStr">
        <is>
          <t>airship_flak</t>
        </is>
      </c>
      <c r="E262" s="39" t="inlineStr">
        <is>
          <t>S-60 57 mm</t>
        </is>
      </c>
      <c r="F262" s="42" t="n">
        <v>1</v>
      </c>
      <c r="G262" s="50">
        <f>IFERROR(VLOOKUP(D262,'Vũ khí đề xuất'!$A:$AO,27,0),"")</f>
        <v/>
      </c>
      <c r="H262" s="50">
        <f>IFERROR(VLOOKUP(D262,'Vũ khí đề xuất'!$A:$AO,28,0),"")</f>
        <v/>
      </c>
      <c r="I262" s="50">
        <f>IFERROR(VLOOKUP(D262,'Vũ khí đề xuất'!$A:$AO,30,0),"")</f>
        <v/>
      </c>
      <c r="J262" s="50">
        <f>IFERROR(VLOOKUP(D262,'Vũ khí đề xuất'!$A:$AO,32,0),"")</f>
        <v/>
      </c>
      <c r="K262" s="50">
        <f>IFERROR(VLOOKUP(D262,'Vũ khí đề xuất'!$A:$AO,35,0),"")</f>
        <v/>
      </c>
      <c r="L262" s="50">
        <f>IFERROR(VLOOKUP(D262,'Vũ khí đề xuất'!$A:$AO,36,0),"")</f>
        <v/>
      </c>
      <c r="M262" s="39" t="n"/>
    </row>
    <row r="263" ht="15" customHeight="1" s="32">
      <c r="A263" s="41" t="inlineStr">
        <is>
          <t>command_airship</t>
        </is>
      </c>
      <c r="B263" s="41" t="inlineStr">
        <is>
          <t>Roc · Khí cầu chỉ huy</t>
        </is>
      </c>
      <c r="C263" s="41" t="inlineStr">
        <is>
          <t>Boss</t>
        </is>
      </c>
      <c r="D263" s="41" t="inlineStr">
        <is>
          <t>airship_flak</t>
        </is>
      </c>
      <c r="E263" s="41" t="inlineStr">
        <is>
          <t>S-60 57 mm</t>
        </is>
      </c>
      <c r="F263" s="43" t="n">
        <v>1</v>
      </c>
      <c r="G263" s="51">
        <f>IFERROR(VLOOKUP(D263,'Vũ khí đề xuất'!$A:$AO,27,0),"")</f>
        <v/>
      </c>
      <c r="H263" s="51">
        <f>IFERROR(VLOOKUP(D263,'Vũ khí đề xuất'!$A:$AO,28,0),"")</f>
        <v/>
      </c>
      <c r="I263" s="51">
        <f>IFERROR(VLOOKUP(D263,'Vũ khí đề xuất'!$A:$AO,30,0),"")</f>
        <v/>
      </c>
      <c r="J263" s="51">
        <f>IFERROR(VLOOKUP(D263,'Vũ khí đề xuất'!$A:$AO,32,0),"")</f>
        <v/>
      </c>
      <c r="K263" s="51">
        <f>IFERROR(VLOOKUP(D263,'Vũ khí đề xuất'!$A:$AO,35,0),"")</f>
        <v/>
      </c>
      <c r="L263" s="51">
        <f>IFERROR(VLOOKUP(D263,'Vũ khí đề xuất'!$A:$AO,36,0),"")</f>
        <v/>
      </c>
      <c r="M263" s="41" t="n"/>
    </row>
    <row r="264" ht="15" customHeight="1" s="32">
      <c r="A264" s="39" t="inlineStr">
        <is>
          <t>command_airship</t>
        </is>
      </c>
      <c r="B264" s="39" t="inlineStr">
        <is>
          <t>Roc · Khí cầu chỉ huy</t>
        </is>
      </c>
      <c r="C264" s="39" t="inlineStr">
        <is>
          <t>Boss</t>
        </is>
      </c>
      <c r="D264" s="39" t="inlineStr">
        <is>
          <t>airship_drones</t>
        </is>
      </c>
      <c r="E264" s="39" t="inlineStr">
        <is>
          <t>FPV drone (1.5 kg)</t>
        </is>
      </c>
      <c r="F264" s="42" t="n">
        <v>1</v>
      </c>
      <c r="G264" s="50">
        <f>IFERROR(VLOOKUP(D264,'Vũ khí đề xuất'!$A:$AO,27,0),"")</f>
        <v/>
      </c>
      <c r="H264" s="50">
        <f>IFERROR(VLOOKUP(D264,'Vũ khí đề xuất'!$A:$AO,28,0),"")</f>
        <v/>
      </c>
      <c r="I264" s="50">
        <f>IFERROR(VLOOKUP(D264,'Vũ khí đề xuất'!$A:$AO,30,0),"")</f>
        <v/>
      </c>
      <c r="J264" s="50">
        <f>IFERROR(VLOOKUP(D264,'Vũ khí đề xuất'!$A:$AO,32,0),"")</f>
        <v/>
      </c>
      <c r="K264" s="50">
        <f>IFERROR(VLOOKUP(D264,'Vũ khí đề xuất'!$A:$AO,35,0),"")</f>
        <v/>
      </c>
      <c r="L264" s="50">
        <f>IFERROR(VLOOKUP(D264,'Vũ khí đề xuất'!$A:$AO,36,0),"")</f>
        <v/>
      </c>
      <c r="M264" s="39" t="n"/>
    </row>
    <row r="265" ht="15" customHeight="1" s="32">
      <c r="A265" s="41" t="inlineStr">
        <is>
          <t>command_airship</t>
        </is>
      </c>
      <c r="B265" s="41" t="inlineStr">
        <is>
          <t>Roc · Khí cầu chỉ huy</t>
        </is>
      </c>
      <c r="C265" s="41" t="inlineStr">
        <is>
          <t>Boss</t>
        </is>
      </c>
      <c r="D265" s="41" t="inlineStr">
        <is>
          <t>airship_drones</t>
        </is>
      </c>
      <c r="E265" s="41" t="inlineStr">
        <is>
          <t>FPV drone (1.5 kg)</t>
        </is>
      </c>
      <c r="F265" s="43" t="n">
        <v>1</v>
      </c>
      <c r="G265" s="51">
        <f>IFERROR(VLOOKUP(D265,'Vũ khí đề xuất'!$A:$AO,27,0),"")</f>
        <v/>
      </c>
      <c r="H265" s="51">
        <f>IFERROR(VLOOKUP(D265,'Vũ khí đề xuất'!$A:$AO,28,0),"")</f>
        <v/>
      </c>
      <c r="I265" s="51">
        <f>IFERROR(VLOOKUP(D265,'Vũ khí đề xuất'!$A:$AO,30,0),"")</f>
        <v/>
      </c>
      <c r="J265" s="51">
        <f>IFERROR(VLOOKUP(D265,'Vũ khí đề xuất'!$A:$AO,32,0),"")</f>
        <v/>
      </c>
      <c r="K265" s="51">
        <f>IFERROR(VLOOKUP(D265,'Vũ khí đề xuất'!$A:$AO,35,0),"")</f>
        <v/>
      </c>
      <c r="L265" s="51">
        <f>IFERROR(VLOOKUP(D265,'Vũ khí đề xuất'!$A:$AO,36,0),"")</f>
        <v/>
      </c>
      <c r="M265" s="41" t="n"/>
    </row>
    <row r="266" ht="15" customHeight="1" s="32">
      <c r="A266" s="39" t="inlineStr">
        <is>
          <t>command_airship</t>
        </is>
      </c>
      <c r="B266" s="39" t="inlineStr">
        <is>
          <t>Roc · Khí cầu chỉ huy</t>
        </is>
      </c>
      <c r="C266" s="39" t="inlineStr">
        <is>
          <t>Boss</t>
        </is>
      </c>
      <c r="D266" s="39" t="inlineStr">
        <is>
          <t>gunship_105</t>
        </is>
      </c>
      <c r="E266" s="39" t="inlineStr">
        <is>
          <t>M102 105 mm</t>
        </is>
      </c>
      <c r="F266" s="42" t="n">
        <v>1</v>
      </c>
      <c r="G266" s="50">
        <f>IFERROR(VLOOKUP(D266,'Vũ khí đề xuất'!$A:$AO,27,0),"")</f>
        <v/>
      </c>
      <c r="H266" s="50">
        <f>IFERROR(VLOOKUP(D266,'Vũ khí đề xuất'!$A:$AO,28,0),"")</f>
        <v/>
      </c>
      <c r="I266" s="50">
        <f>IFERROR(VLOOKUP(D266,'Vũ khí đề xuất'!$A:$AO,30,0),"")</f>
        <v/>
      </c>
      <c r="J266" s="50">
        <f>IFERROR(VLOOKUP(D266,'Vũ khí đề xuất'!$A:$AO,32,0),"")</f>
        <v/>
      </c>
      <c r="K266" s="50">
        <f>IFERROR(VLOOKUP(D266,'Vũ khí đề xuất'!$A:$AO,35,0),"")</f>
        <v/>
      </c>
      <c r="L266" s="50">
        <f>IFERROR(VLOOKUP(D266,'Vũ khí đề xuất'!$A:$AO,36,0),"")</f>
        <v/>
      </c>
      <c r="M266" s="39" t="n"/>
    </row>
    <row r="267" ht="15" customHeight="1" s="32">
      <c r="A267" s="41" t="inlineStr">
        <is>
          <t>command_airship</t>
        </is>
      </c>
      <c r="B267" s="41" t="inlineStr">
        <is>
          <t>Roc · Khí cầu chỉ huy</t>
        </is>
      </c>
      <c r="C267" s="41" t="inlineStr">
        <is>
          <t>Boss</t>
        </is>
      </c>
      <c r="D267" s="41" t="inlineStr">
        <is>
          <t>gunship_105</t>
        </is>
      </c>
      <c r="E267" s="41" t="inlineStr">
        <is>
          <t>M102 105 mm</t>
        </is>
      </c>
      <c r="F267" s="43" t="n">
        <v>1</v>
      </c>
      <c r="G267" s="51">
        <f>IFERROR(VLOOKUP(D267,'Vũ khí đề xuất'!$A:$AO,27,0),"")</f>
        <v/>
      </c>
      <c r="H267" s="51">
        <f>IFERROR(VLOOKUP(D267,'Vũ khí đề xuất'!$A:$AO,28,0),"")</f>
        <v/>
      </c>
      <c r="I267" s="51">
        <f>IFERROR(VLOOKUP(D267,'Vũ khí đề xuất'!$A:$AO,30,0),"")</f>
        <v/>
      </c>
      <c r="J267" s="51">
        <f>IFERROR(VLOOKUP(D267,'Vũ khí đề xuất'!$A:$AO,32,0),"")</f>
        <v/>
      </c>
      <c r="K267" s="51">
        <f>IFERROR(VLOOKUP(D267,'Vũ khí đề xuất'!$A:$AO,35,0),"")</f>
        <v/>
      </c>
      <c r="L267" s="51">
        <f>IFERROR(VLOOKUP(D267,'Vũ khí đề xuất'!$A:$AO,36,0),"")</f>
        <v/>
      </c>
      <c r="M267" s="41" t="n"/>
    </row>
    <row r="268" ht="15" customHeight="1" s="32">
      <c r="A268" s="39" t="inlineStr">
        <is>
          <t>moloch</t>
        </is>
      </c>
      <c r="B268" s="39" t="inlineStr">
        <is>
          <t>Moloch · Nhà máy di động</t>
        </is>
      </c>
      <c r="C268" s="39" t="inlineStr">
        <is>
          <t>Boss</t>
        </is>
      </c>
      <c r="D268" s="39" t="inlineStr">
        <is>
          <t>gun_120mm</t>
        </is>
      </c>
      <c r="E268" s="39" t="inlineStr">
        <is>
          <t>Rh-120 L/44 120 mm</t>
        </is>
      </c>
      <c r="F268" s="42" t="n">
        <v>1</v>
      </c>
      <c r="G268" s="50">
        <f>IFERROR(VLOOKUP(D268,'Vũ khí đề xuất'!$A:$AO,27,0),"")</f>
        <v/>
      </c>
      <c r="H268" s="50">
        <f>IFERROR(VLOOKUP(D268,'Vũ khí đề xuất'!$A:$AO,28,0),"")</f>
        <v/>
      </c>
      <c r="I268" s="50">
        <f>IFERROR(VLOOKUP(D268,'Vũ khí đề xuất'!$A:$AO,30,0),"")</f>
        <v/>
      </c>
      <c r="J268" s="50">
        <f>IFERROR(VLOOKUP(D268,'Vũ khí đề xuất'!$A:$AO,32,0),"")</f>
        <v/>
      </c>
      <c r="K268" s="50">
        <f>IFERROR(VLOOKUP(D268,'Vũ khí đề xuất'!$A:$AO,35,0),"")</f>
        <v/>
      </c>
      <c r="L268" s="50">
        <f>IFERROR(VLOOKUP(D268,'Vũ khí đề xuất'!$A:$AO,36,0),"")</f>
        <v/>
      </c>
      <c r="M268" s="39" t="n"/>
    </row>
    <row r="269" ht="15" customHeight="1" s="32">
      <c r="A269" s="41" t="inlineStr">
        <is>
          <t>moloch</t>
        </is>
      </c>
      <c r="B269" s="41" t="inlineStr">
        <is>
          <t>Moloch · Nhà máy di động</t>
        </is>
      </c>
      <c r="C269" s="41" t="inlineStr">
        <is>
          <t>Boss</t>
        </is>
      </c>
      <c r="D269" s="41" t="inlineStr">
        <is>
          <t>gun_120mm</t>
        </is>
      </c>
      <c r="E269" s="41" t="inlineStr">
        <is>
          <t>Rh-120 L/44 120 mm</t>
        </is>
      </c>
      <c r="F269" s="43" t="n">
        <v>1</v>
      </c>
      <c r="G269" s="51">
        <f>IFERROR(VLOOKUP(D269,'Vũ khí đề xuất'!$A:$AO,27,0),"")</f>
        <v/>
      </c>
      <c r="H269" s="51">
        <f>IFERROR(VLOOKUP(D269,'Vũ khí đề xuất'!$A:$AO,28,0),"")</f>
        <v/>
      </c>
      <c r="I269" s="51">
        <f>IFERROR(VLOOKUP(D269,'Vũ khí đề xuất'!$A:$AO,30,0),"")</f>
        <v/>
      </c>
      <c r="J269" s="51">
        <f>IFERROR(VLOOKUP(D269,'Vũ khí đề xuất'!$A:$AO,32,0),"")</f>
        <v/>
      </c>
      <c r="K269" s="51">
        <f>IFERROR(VLOOKUP(D269,'Vũ khí đề xuất'!$A:$AO,35,0),"")</f>
        <v/>
      </c>
      <c r="L269" s="51">
        <f>IFERROR(VLOOKUP(D269,'Vũ khí đề xuất'!$A:$AO,36,0),"")</f>
        <v/>
      </c>
      <c r="M269" s="41" t="n"/>
    </row>
    <row r="270" ht="15" customHeight="1" s="32">
      <c r="A270" s="39" t="inlineStr">
        <is>
          <t>moloch</t>
        </is>
      </c>
      <c r="B270" s="39" t="inlineStr">
        <is>
          <t>Moloch · Nhà máy di động</t>
        </is>
      </c>
      <c r="C270" s="39" t="inlineStr">
        <is>
          <t>Boss</t>
        </is>
      </c>
      <c r="D270" s="39" t="inlineStr">
        <is>
          <t>gun_120mm</t>
        </is>
      </c>
      <c r="E270" s="39" t="inlineStr">
        <is>
          <t>Rh-120 L/44 120 mm</t>
        </is>
      </c>
      <c r="F270" s="42" t="n">
        <v>1</v>
      </c>
      <c r="G270" s="50">
        <f>IFERROR(VLOOKUP(D270,'Vũ khí đề xuất'!$A:$AO,27,0),"")</f>
        <v/>
      </c>
      <c r="H270" s="50">
        <f>IFERROR(VLOOKUP(D270,'Vũ khí đề xuất'!$A:$AO,28,0),"")</f>
        <v/>
      </c>
      <c r="I270" s="50">
        <f>IFERROR(VLOOKUP(D270,'Vũ khí đề xuất'!$A:$AO,30,0),"")</f>
        <v/>
      </c>
      <c r="J270" s="50">
        <f>IFERROR(VLOOKUP(D270,'Vũ khí đề xuất'!$A:$AO,32,0),"")</f>
        <v/>
      </c>
      <c r="K270" s="50">
        <f>IFERROR(VLOOKUP(D270,'Vũ khí đề xuất'!$A:$AO,35,0),"")</f>
        <v/>
      </c>
      <c r="L270" s="50">
        <f>IFERROR(VLOOKUP(D270,'Vũ khí đề xuất'!$A:$AO,36,0),"")</f>
        <v/>
      </c>
      <c r="M270" s="39" t="n"/>
    </row>
    <row r="271" ht="15" customHeight="1" s="32">
      <c r="A271" s="41" t="inlineStr">
        <is>
          <t>moloch</t>
        </is>
      </c>
      <c r="B271" s="41" t="inlineStr">
        <is>
          <t>Moloch · Nhà máy di động</t>
        </is>
      </c>
      <c r="C271" s="41" t="inlineStr">
        <is>
          <t>Boss</t>
        </is>
      </c>
      <c r="D271" s="41" t="inlineStr">
        <is>
          <t>gun_120mm</t>
        </is>
      </c>
      <c r="E271" s="41" t="inlineStr">
        <is>
          <t>Rh-120 L/44 120 mm</t>
        </is>
      </c>
      <c r="F271" s="43" t="n">
        <v>1</v>
      </c>
      <c r="G271" s="51">
        <f>IFERROR(VLOOKUP(D271,'Vũ khí đề xuất'!$A:$AO,27,0),"")</f>
        <v/>
      </c>
      <c r="H271" s="51">
        <f>IFERROR(VLOOKUP(D271,'Vũ khí đề xuất'!$A:$AO,28,0),"")</f>
        <v/>
      </c>
      <c r="I271" s="51">
        <f>IFERROR(VLOOKUP(D271,'Vũ khí đề xuất'!$A:$AO,30,0),"")</f>
        <v/>
      </c>
      <c r="J271" s="51">
        <f>IFERROR(VLOOKUP(D271,'Vũ khí đề xuất'!$A:$AO,32,0),"")</f>
        <v/>
      </c>
      <c r="K271" s="51">
        <f>IFERROR(VLOOKUP(D271,'Vũ khí đề xuất'!$A:$AO,35,0),"")</f>
        <v/>
      </c>
      <c r="L271" s="51">
        <f>IFERROR(VLOOKUP(D271,'Vũ khí đề xuất'!$A:$AO,36,0),"")</f>
        <v/>
      </c>
      <c r="M271" s="41" t="n"/>
    </row>
    <row r="272" ht="15" customHeight="1" s="32">
      <c r="A272" s="39" t="inlineStr">
        <is>
          <t>moloch</t>
        </is>
      </c>
      <c r="B272" s="39" t="inlineStr">
        <is>
          <t>Moloch · Nhà máy di động</t>
        </is>
      </c>
      <c r="C272" s="39" t="inlineStr">
        <is>
          <t>Boss</t>
        </is>
      </c>
      <c r="D272" s="39" t="inlineStr">
        <is>
          <t>boss_flak</t>
        </is>
      </c>
      <c r="E272" s="39" t="inlineStr">
        <is>
          <t>Oerlikon 35 mm (twin)</t>
        </is>
      </c>
      <c r="F272" s="42" t="n">
        <v>1</v>
      </c>
      <c r="G272" s="50">
        <f>IFERROR(VLOOKUP(D272,'Vũ khí đề xuất'!$A:$AO,27,0),"")</f>
        <v/>
      </c>
      <c r="H272" s="50">
        <f>IFERROR(VLOOKUP(D272,'Vũ khí đề xuất'!$A:$AO,28,0),"")</f>
        <v/>
      </c>
      <c r="I272" s="50">
        <f>IFERROR(VLOOKUP(D272,'Vũ khí đề xuất'!$A:$AO,30,0),"")</f>
        <v/>
      </c>
      <c r="J272" s="50">
        <f>IFERROR(VLOOKUP(D272,'Vũ khí đề xuất'!$A:$AO,32,0),"")</f>
        <v/>
      </c>
      <c r="K272" s="50">
        <f>IFERROR(VLOOKUP(D272,'Vũ khí đề xuất'!$A:$AO,35,0),"")</f>
        <v/>
      </c>
      <c r="L272" s="50">
        <f>IFERROR(VLOOKUP(D272,'Vũ khí đề xuất'!$A:$AO,36,0),"")</f>
        <v/>
      </c>
      <c r="M272" s="39" t="n"/>
    </row>
    <row r="273" ht="15" customHeight="1" s="32">
      <c r="A273" s="41" t="inlineStr">
        <is>
          <t>fortress_bastion</t>
        </is>
      </c>
      <c r="B273" s="41" t="inlineStr">
        <is>
          <t>Bastion · Pháo đài</t>
        </is>
      </c>
      <c r="C273" s="41" t="inlineStr">
        <is>
          <t>Boss</t>
        </is>
      </c>
      <c r="D273" s="41" t="inlineStr">
        <is>
          <t>boss_mortar</t>
        </is>
      </c>
      <c r="E273" s="41" t="inlineStr">
        <is>
          <t>2B8 240 mm</t>
        </is>
      </c>
      <c r="F273" s="43" t="n">
        <v>1</v>
      </c>
      <c r="G273" s="51">
        <f>IFERROR(VLOOKUP(D273,'Vũ khí đề xuất'!$A:$AO,27,0),"")</f>
        <v/>
      </c>
      <c r="H273" s="51">
        <f>IFERROR(VLOOKUP(D273,'Vũ khí đề xuất'!$A:$AO,28,0),"")</f>
        <v/>
      </c>
      <c r="I273" s="51">
        <f>IFERROR(VLOOKUP(D273,'Vũ khí đề xuất'!$A:$AO,30,0),"")</f>
        <v/>
      </c>
      <c r="J273" s="51">
        <f>IFERROR(VLOOKUP(D273,'Vũ khí đề xuất'!$A:$AO,32,0),"")</f>
        <v/>
      </c>
      <c r="K273" s="51">
        <f>IFERROR(VLOOKUP(D273,'Vũ khí đề xuất'!$A:$AO,35,0),"")</f>
        <v/>
      </c>
      <c r="L273" s="51">
        <f>IFERROR(VLOOKUP(D273,'Vũ khí đề xuất'!$A:$AO,36,0),"")</f>
        <v/>
      </c>
      <c r="M273" s="41" t="n"/>
    </row>
    <row r="274" ht="15" customHeight="1" s="32">
      <c r="A274" s="39" t="inlineStr">
        <is>
          <t>fortress_bastion</t>
        </is>
      </c>
      <c r="B274" s="39" t="inlineStr">
        <is>
          <t>Bastion · Pháo đài</t>
        </is>
      </c>
      <c r="C274" s="39" t="inlineStr">
        <is>
          <t>Boss</t>
        </is>
      </c>
      <c r="D274" s="39" t="inlineStr">
        <is>
          <t>autocannon_40</t>
        </is>
      </c>
      <c r="E274" s="39" t="inlineStr">
        <is>
          <t>Bofors 40 mm</t>
        </is>
      </c>
      <c r="F274" s="42" t="n">
        <v>1</v>
      </c>
      <c r="G274" s="50">
        <f>IFERROR(VLOOKUP(D274,'Vũ khí đề xuất'!$A:$AO,27,0),"")</f>
        <v/>
      </c>
      <c r="H274" s="50">
        <f>IFERROR(VLOOKUP(D274,'Vũ khí đề xuất'!$A:$AO,28,0),"")</f>
        <v/>
      </c>
      <c r="I274" s="50">
        <f>IFERROR(VLOOKUP(D274,'Vũ khí đề xuất'!$A:$AO,30,0),"")</f>
        <v/>
      </c>
      <c r="J274" s="50">
        <f>IFERROR(VLOOKUP(D274,'Vũ khí đề xuất'!$A:$AO,32,0),"")</f>
        <v/>
      </c>
      <c r="K274" s="50">
        <f>IFERROR(VLOOKUP(D274,'Vũ khí đề xuất'!$A:$AO,35,0),"")</f>
        <v/>
      </c>
      <c r="L274" s="50">
        <f>IFERROR(VLOOKUP(D274,'Vũ khí đề xuất'!$A:$AO,36,0),"")</f>
        <v/>
      </c>
      <c r="M274" s="39" t="n"/>
    </row>
    <row r="275" ht="15" customHeight="1" s="32">
      <c r="A275" s="41" t="inlineStr">
        <is>
          <t>fortress_bastion</t>
        </is>
      </c>
      <c r="B275" s="41" t="inlineStr">
        <is>
          <t>Bastion · Pháo đài</t>
        </is>
      </c>
      <c r="C275" s="41" t="inlineStr">
        <is>
          <t>Boss</t>
        </is>
      </c>
      <c r="D275" s="41" t="inlineStr">
        <is>
          <t>autocannon_40</t>
        </is>
      </c>
      <c r="E275" s="41" t="inlineStr">
        <is>
          <t>Bofors 40 mm</t>
        </is>
      </c>
      <c r="F275" s="43" t="n">
        <v>1</v>
      </c>
      <c r="G275" s="51">
        <f>IFERROR(VLOOKUP(D275,'Vũ khí đề xuất'!$A:$AO,27,0),"")</f>
        <v/>
      </c>
      <c r="H275" s="51">
        <f>IFERROR(VLOOKUP(D275,'Vũ khí đề xuất'!$A:$AO,28,0),"")</f>
        <v/>
      </c>
      <c r="I275" s="51">
        <f>IFERROR(VLOOKUP(D275,'Vũ khí đề xuất'!$A:$AO,30,0),"")</f>
        <v/>
      </c>
      <c r="J275" s="51">
        <f>IFERROR(VLOOKUP(D275,'Vũ khí đề xuất'!$A:$AO,32,0),"")</f>
        <v/>
      </c>
      <c r="K275" s="51">
        <f>IFERROR(VLOOKUP(D275,'Vũ khí đề xuất'!$A:$AO,35,0),"")</f>
        <v/>
      </c>
      <c r="L275" s="51">
        <f>IFERROR(VLOOKUP(D275,'Vũ khí đề xuất'!$A:$AO,36,0),"")</f>
        <v/>
      </c>
      <c r="M275" s="41" t="n"/>
    </row>
    <row r="276" ht="15" customHeight="1" s="32">
      <c r="A276" s="39" t="inlineStr">
        <is>
          <t>fortress_bastion</t>
        </is>
      </c>
      <c r="B276" s="39" t="inlineStr">
        <is>
          <t>Bastion · Pháo đài</t>
        </is>
      </c>
      <c r="C276" s="39" t="inlineStr">
        <is>
          <t>Boss</t>
        </is>
      </c>
      <c r="D276" s="39" t="inlineStr">
        <is>
          <t>autocannon_40</t>
        </is>
      </c>
      <c r="E276" s="39" t="inlineStr">
        <is>
          <t>Bofors 40 mm</t>
        </is>
      </c>
      <c r="F276" s="42" t="n">
        <v>1</v>
      </c>
      <c r="G276" s="50">
        <f>IFERROR(VLOOKUP(D276,'Vũ khí đề xuất'!$A:$AO,27,0),"")</f>
        <v/>
      </c>
      <c r="H276" s="50">
        <f>IFERROR(VLOOKUP(D276,'Vũ khí đề xuất'!$A:$AO,28,0),"")</f>
        <v/>
      </c>
      <c r="I276" s="50">
        <f>IFERROR(VLOOKUP(D276,'Vũ khí đề xuất'!$A:$AO,30,0),"")</f>
        <v/>
      </c>
      <c r="J276" s="50">
        <f>IFERROR(VLOOKUP(D276,'Vũ khí đề xuất'!$A:$AO,32,0),"")</f>
        <v/>
      </c>
      <c r="K276" s="50">
        <f>IFERROR(VLOOKUP(D276,'Vũ khí đề xuất'!$A:$AO,35,0),"")</f>
        <v/>
      </c>
      <c r="L276" s="50">
        <f>IFERROR(VLOOKUP(D276,'Vũ khí đề xuất'!$A:$AO,36,0),"")</f>
        <v/>
      </c>
      <c r="M276" s="39" t="n"/>
    </row>
    <row r="277" ht="15" customHeight="1" s="32">
      <c r="A277" s="41" t="inlineStr">
        <is>
          <t>fortress_bastion</t>
        </is>
      </c>
      <c r="B277" s="41" t="inlineStr">
        <is>
          <t>Bastion · Pháo đài</t>
        </is>
      </c>
      <c r="C277" s="41" t="inlineStr">
        <is>
          <t>Boss</t>
        </is>
      </c>
      <c r="D277" s="41" t="inlineStr">
        <is>
          <t>autocannon_40</t>
        </is>
      </c>
      <c r="E277" s="41" t="inlineStr">
        <is>
          <t>Bofors 40 mm</t>
        </is>
      </c>
      <c r="F277" s="43" t="n">
        <v>1</v>
      </c>
      <c r="G277" s="51">
        <f>IFERROR(VLOOKUP(D277,'Vũ khí đề xuất'!$A:$AO,27,0),"")</f>
        <v/>
      </c>
      <c r="H277" s="51">
        <f>IFERROR(VLOOKUP(D277,'Vũ khí đề xuất'!$A:$AO,28,0),"")</f>
        <v/>
      </c>
      <c r="I277" s="51">
        <f>IFERROR(VLOOKUP(D277,'Vũ khí đề xuất'!$A:$AO,30,0),"")</f>
        <v/>
      </c>
      <c r="J277" s="51">
        <f>IFERROR(VLOOKUP(D277,'Vũ khí đề xuất'!$A:$AO,32,0),"")</f>
        <v/>
      </c>
      <c r="K277" s="51">
        <f>IFERROR(VLOOKUP(D277,'Vũ khí đề xuất'!$A:$AO,35,0),"")</f>
        <v/>
      </c>
      <c r="L277" s="51">
        <f>IFERROR(VLOOKUP(D277,'Vũ khí đề xuất'!$A:$AO,36,0),"")</f>
        <v/>
      </c>
      <c r="M277" s="41" t="n"/>
    </row>
    <row r="278" ht="15" customHeight="1" s="32">
      <c r="A278" s="39" t="inlineStr">
        <is>
          <t>fortress_bastion</t>
        </is>
      </c>
      <c r="B278" s="39" t="inlineStr">
        <is>
          <t>Bastion · Pháo đài</t>
        </is>
      </c>
      <c r="C278" s="39" t="inlineStr">
        <is>
          <t>Boss</t>
        </is>
      </c>
      <c r="D278" s="39" t="inlineStr">
        <is>
          <t>kornet_twin</t>
        </is>
      </c>
      <c r="E278" s="39" t="inlineStr">
        <is>
          <t>9M133 Kornet</t>
        </is>
      </c>
      <c r="F278" s="42" t="n">
        <v>1</v>
      </c>
      <c r="G278" s="50">
        <f>IFERROR(VLOOKUP(D278,'Vũ khí đề xuất'!$A:$AO,27,0),"")</f>
        <v/>
      </c>
      <c r="H278" s="50">
        <f>IFERROR(VLOOKUP(D278,'Vũ khí đề xuất'!$A:$AO,28,0),"")</f>
        <v/>
      </c>
      <c r="I278" s="50">
        <f>IFERROR(VLOOKUP(D278,'Vũ khí đề xuất'!$A:$AO,30,0),"")</f>
        <v/>
      </c>
      <c r="J278" s="50">
        <f>IFERROR(VLOOKUP(D278,'Vũ khí đề xuất'!$A:$AO,32,0),"")</f>
        <v/>
      </c>
      <c r="K278" s="50">
        <f>IFERROR(VLOOKUP(D278,'Vũ khí đề xuất'!$A:$AO,35,0),"")</f>
        <v/>
      </c>
      <c r="L278" s="50">
        <f>IFERROR(VLOOKUP(D278,'Vũ khí đề xuất'!$A:$AO,36,0),"")</f>
        <v/>
      </c>
      <c r="M278" s="39" t="n"/>
    </row>
    <row r="279" ht="15" customHeight="1" s="32">
      <c r="A279" s="41" t="inlineStr">
        <is>
          <t>fortress_bastion</t>
        </is>
      </c>
      <c r="B279" s="41" t="inlineStr">
        <is>
          <t>Bastion · Pháo đài</t>
        </is>
      </c>
      <c r="C279" s="41" t="inlineStr">
        <is>
          <t>Boss</t>
        </is>
      </c>
      <c r="D279" s="41" t="inlineStr">
        <is>
          <t>gun_155_coastal</t>
        </is>
      </c>
      <c r="E279" s="41" t="inlineStr">
        <is>
          <t>M284 155 mm (casemate)</t>
        </is>
      </c>
      <c r="F279" s="43" t="n">
        <v>1</v>
      </c>
      <c r="G279" s="51">
        <f>IFERROR(VLOOKUP(D279,'Vũ khí đề xuất'!$A:$AO,27,0),"")</f>
        <v/>
      </c>
      <c r="H279" s="51">
        <f>IFERROR(VLOOKUP(D279,'Vũ khí đề xuất'!$A:$AO,28,0),"")</f>
        <v/>
      </c>
      <c r="I279" s="51">
        <f>IFERROR(VLOOKUP(D279,'Vũ khí đề xuất'!$A:$AO,30,0),"")</f>
        <v/>
      </c>
      <c r="J279" s="51">
        <f>IFERROR(VLOOKUP(D279,'Vũ khí đề xuất'!$A:$AO,32,0),"")</f>
        <v/>
      </c>
      <c r="K279" s="51">
        <f>IFERROR(VLOOKUP(D279,'Vũ khí đề xuất'!$A:$AO,35,0),"")</f>
        <v/>
      </c>
      <c r="L279" s="51">
        <f>IFERROR(VLOOKUP(D279,'Vũ khí đề xuất'!$A:$AO,36,0),"")</f>
        <v/>
      </c>
      <c r="M279" s="41" t="n"/>
    </row>
    <row r="280" ht="15" customHeight="1" s="32">
      <c r="A280" s="39" t="inlineStr">
        <is>
          <t>fortress_bastion</t>
        </is>
      </c>
      <c r="B280" s="39" t="inlineStr">
        <is>
          <t>Bastion · Pháo đài</t>
        </is>
      </c>
      <c r="C280" s="39" t="inlineStr">
        <is>
          <t>Boss</t>
        </is>
      </c>
      <c r="D280" s="39" t="inlineStr">
        <is>
          <t>zu23</t>
        </is>
      </c>
      <c r="E280" s="39" t="inlineStr">
        <is>
          <t>ZU-23-2 23 mm</t>
        </is>
      </c>
      <c r="F280" s="42" t="n">
        <v>1</v>
      </c>
      <c r="G280" s="50">
        <f>IFERROR(VLOOKUP(D280,'Vũ khí đề xuất'!$A:$AO,27,0),"")</f>
        <v/>
      </c>
      <c r="H280" s="50">
        <f>IFERROR(VLOOKUP(D280,'Vũ khí đề xuất'!$A:$AO,28,0),"")</f>
        <v/>
      </c>
      <c r="I280" s="50">
        <f>IFERROR(VLOOKUP(D280,'Vũ khí đề xuất'!$A:$AO,30,0),"")</f>
        <v/>
      </c>
      <c r="J280" s="50">
        <f>IFERROR(VLOOKUP(D280,'Vũ khí đề xuất'!$A:$AO,32,0),"")</f>
        <v/>
      </c>
      <c r="K280" s="50">
        <f>IFERROR(VLOOKUP(D280,'Vũ khí đề xuất'!$A:$AO,35,0),"")</f>
        <v/>
      </c>
      <c r="L280" s="50">
        <f>IFERROR(VLOOKUP(D280,'Vũ khí đề xuất'!$A:$AO,36,0),"")</f>
        <v/>
      </c>
      <c r="M280" s="39" t="n"/>
    </row>
    <row r="281" ht="15" customHeight="1" s="32">
      <c r="A281" s="41" t="inlineStr">
        <is>
          <t>fortress_bastion</t>
        </is>
      </c>
      <c r="B281" s="41" t="inlineStr">
        <is>
          <t>Bastion · Pháo đài</t>
        </is>
      </c>
      <c r="C281" s="41" t="inlineStr">
        <is>
          <t>Boss</t>
        </is>
      </c>
      <c r="D281" s="41" t="inlineStr">
        <is>
          <t>zu23</t>
        </is>
      </c>
      <c r="E281" s="41" t="inlineStr">
        <is>
          <t>ZU-23-2 23 mm</t>
        </is>
      </c>
      <c r="F281" s="43" t="n">
        <v>1</v>
      </c>
      <c r="G281" s="51">
        <f>IFERROR(VLOOKUP(D281,'Vũ khí đề xuất'!$A:$AO,27,0),"")</f>
        <v/>
      </c>
      <c r="H281" s="51">
        <f>IFERROR(VLOOKUP(D281,'Vũ khí đề xuất'!$A:$AO,28,0),"")</f>
        <v/>
      </c>
      <c r="I281" s="51">
        <f>IFERROR(VLOOKUP(D281,'Vũ khí đề xuất'!$A:$AO,30,0),"")</f>
        <v/>
      </c>
      <c r="J281" s="51">
        <f>IFERROR(VLOOKUP(D281,'Vũ khí đề xuất'!$A:$AO,32,0),"")</f>
        <v/>
      </c>
      <c r="K281" s="51">
        <f>IFERROR(VLOOKUP(D281,'Vũ khí đề xuất'!$A:$AO,35,0),"")</f>
        <v/>
      </c>
      <c r="L281" s="51">
        <f>IFERROR(VLOOKUP(D281,'Vũ khí đề xuất'!$A:$AO,36,0),"")</f>
        <v/>
      </c>
      <c r="M281" s="41" t="n"/>
    </row>
    <row r="282" ht="15" customHeight="1" s="32">
      <c r="A282" s="39" t="inlineStr">
        <is>
          <t>typhon</t>
        </is>
      </c>
      <c r="B282" s="39" t="inlineStr">
        <is>
          <t>Typhon · Tàu ngầm tên lửa</t>
        </is>
      </c>
      <c r="C282" s="39" t="inlineStr">
        <is>
          <t>Boss</t>
        </is>
      </c>
      <c r="D282" s="39" t="inlineStr">
        <is>
          <t>sam_post</t>
        </is>
      </c>
      <c r="E282" s="39" t="inlineStr">
        <is>
          <t>9M317 Buk</t>
        </is>
      </c>
      <c r="F282" s="42" t="n">
        <v>1</v>
      </c>
      <c r="G282" s="50">
        <f>IFERROR(VLOOKUP(D282,'Vũ khí đề xuất'!$A:$AO,27,0),"")</f>
        <v/>
      </c>
      <c r="H282" s="50">
        <f>IFERROR(VLOOKUP(D282,'Vũ khí đề xuất'!$A:$AO,28,0),"")</f>
        <v/>
      </c>
      <c r="I282" s="50">
        <f>IFERROR(VLOOKUP(D282,'Vũ khí đề xuất'!$A:$AO,30,0),"")</f>
        <v/>
      </c>
      <c r="J282" s="50">
        <f>IFERROR(VLOOKUP(D282,'Vũ khí đề xuất'!$A:$AO,32,0),"")</f>
        <v/>
      </c>
      <c r="K282" s="50">
        <f>IFERROR(VLOOKUP(D282,'Vũ khí đề xuất'!$A:$AO,35,0),"")</f>
        <v/>
      </c>
      <c r="L282" s="50">
        <f>IFERROR(VLOOKUP(D282,'Vũ khí đề xuất'!$A:$AO,36,0),"")</f>
        <v/>
      </c>
      <c r="M282" s="39" t="n"/>
    </row>
    <row r="283" ht="15" customHeight="1" s="32">
      <c r="A283" s="41" t="inlineStr">
        <is>
          <t>typhon</t>
        </is>
      </c>
      <c r="B283" s="41" t="inlineStr">
        <is>
          <t>Typhon · Tàu ngầm tên lửa</t>
        </is>
      </c>
      <c r="C283" s="41" t="inlineStr">
        <is>
          <t>Boss</t>
        </is>
      </c>
      <c r="D283" s="41" t="inlineStr">
        <is>
          <t>naval_100</t>
        </is>
      </c>
      <c r="E283" s="41" t="inlineStr">
        <is>
          <t>AK-100 100 mm</t>
        </is>
      </c>
      <c r="F283" s="43" t="n">
        <v>1</v>
      </c>
      <c r="G283" s="51">
        <f>IFERROR(VLOOKUP(D283,'Vũ khí đề xuất'!$A:$AO,27,0),"")</f>
        <v/>
      </c>
      <c r="H283" s="51">
        <f>IFERROR(VLOOKUP(D283,'Vũ khí đề xuất'!$A:$AO,28,0),"")</f>
        <v/>
      </c>
      <c r="I283" s="51">
        <f>IFERROR(VLOOKUP(D283,'Vũ khí đề xuất'!$A:$AO,30,0),"")</f>
        <v/>
      </c>
      <c r="J283" s="51">
        <f>IFERROR(VLOOKUP(D283,'Vũ khí đề xuất'!$A:$AO,32,0),"")</f>
        <v/>
      </c>
      <c r="K283" s="51">
        <f>IFERROR(VLOOKUP(D283,'Vũ khí đề xuất'!$A:$AO,35,0),"")</f>
        <v/>
      </c>
      <c r="L283" s="51">
        <f>IFERROR(VLOOKUP(D283,'Vũ khí đề xuất'!$A:$AO,36,0),"")</f>
        <v/>
      </c>
      <c r="M283" s="41" t="n"/>
    </row>
    <row r="284" ht="15" customHeight="1" s="32">
      <c r="A284" s="39"/>
      <c r="B284" s="39"/>
      <c r="C284" s="39"/>
      <c r="D284" s="39"/>
      <c r="E284" s="39"/>
      <c r="F284" s="42"/>
      <c r="G284" s="50"/>
      <c r="H284" s="50"/>
      <c r="I284" s="50"/>
      <c r="J284" s="50"/>
      <c r="K284" s="50"/>
      <c r="L284" s="50"/>
      <c r="M284" s="39"/>
    </row>
    <row r="285" ht="15" customHeight="1" s="32">
      <c r="A285" s="41"/>
      <c r="B285" s="41"/>
      <c r="C285" s="41"/>
      <c r="D285" s="41"/>
      <c r="E285" s="41"/>
      <c r="F285" s="43"/>
      <c r="G285" s="51"/>
      <c r="H285" s="51"/>
      <c r="I285" s="51"/>
      <c r="J285" s="51"/>
      <c r="K285" s="51"/>
      <c r="L285" s="51"/>
      <c r="M285" s="41"/>
    </row>
    <row r="286" ht="15" customHeight="1" s="32">
      <c r="A286" s="39"/>
      <c r="B286" s="39"/>
      <c r="C286" s="39"/>
      <c r="D286" s="39"/>
      <c r="E286" s="39"/>
      <c r="F286" s="42"/>
      <c r="G286" s="50"/>
      <c r="H286" s="50"/>
      <c r="I286" s="50"/>
      <c r="J286" s="50"/>
      <c r="K286" s="50"/>
      <c r="L286" s="50"/>
      <c r="M286" s="39"/>
    </row>
    <row r="287" ht="15" customHeight="1" s="32">
      <c r="A287" s="41" t="inlineStr">
        <is>
          <t>leviathan</t>
        </is>
      </c>
      <c r="B287" s="41" t="inlineStr">
        <is>
          <t>Leviathan · Thiết giáp hạm</t>
        </is>
      </c>
      <c r="C287" s="41" t="inlineStr">
        <is>
          <t>Boss</t>
        </is>
      </c>
      <c r="D287" s="41" t="inlineStr">
        <is>
          <t>leviathan_460</t>
        </is>
      </c>
      <c r="E287" s="41" t="inlineStr">
        <is>
          <t>Type 94 460 mm/45 (triple)</t>
        </is>
      </c>
      <c r="F287" s="43" t="n">
        <v>1</v>
      </c>
      <c r="G287" s="51">
        <f>IFERROR(VLOOKUP(D287,'Vũ khí đề xuất'!$A:$AO,27,0),"")</f>
        <v/>
      </c>
      <c r="H287" s="51">
        <f>IFERROR(VLOOKUP(D287,'Vũ khí đề xuất'!$A:$AO,28,0),"")</f>
        <v/>
      </c>
      <c r="I287" s="51">
        <f>IFERROR(VLOOKUP(D287,'Vũ khí đề xuất'!$A:$AO,30,0),"")</f>
        <v/>
      </c>
      <c r="J287" s="51">
        <f>IFERROR(VLOOKUP(D287,'Vũ khí đề xuất'!$A:$AO,32,0),"")</f>
        <v/>
      </c>
      <c r="K287" s="51">
        <f>IFERROR(VLOOKUP(D287,'Vũ khí đề xuất'!$A:$AO,35,0),"")</f>
        <v/>
      </c>
      <c r="L287" s="51">
        <f>IFERROR(VLOOKUP(D287,'Vũ khí đề xuất'!$A:$AO,36,0),"")</f>
        <v/>
      </c>
      <c r="M287" s="41" t="n"/>
    </row>
    <row r="288" ht="15" customHeight="1" s="32">
      <c r="A288" s="39" t="inlineStr">
        <is>
          <t>leviathan</t>
        </is>
      </c>
      <c r="B288" s="39" t="inlineStr">
        <is>
          <t>Leviathan · Thiết giáp hạm</t>
        </is>
      </c>
      <c r="C288" s="39" t="inlineStr">
        <is>
          <t>Boss</t>
        </is>
      </c>
      <c r="D288" s="39" t="inlineStr">
        <is>
          <t>leviathan_460</t>
        </is>
      </c>
      <c r="E288" s="39" t="inlineStr">
        <is>
          <t>Type 94 460 mm/45 (triple)</t>
        </is>
      </c>
      <c r="F288" s="42" t="n">
        <v>1</v>
      </c>
      <c r="G288" s="50">
        <f>IFERROR(VLOOKUP(D288,'Vũ khí đề xuất'!$A:$AO,27,0),"")</f>
        <v/>
      </c>
      <c r="H288" s="50">
        <f>IFERROR(VLOOKUP(D288,'Vũ khí đề xuất'!$A:$AO,28,0),"")</f>
        <v/>
      </c>
      <c r="I288" s="50">
        <f>IFERROR(VLOOKUP(D288,'Vũ khí đề xuất'!$A:$AO,30,0),"")</f>
        <v/>
      </c>
      <c r="J288" s="50">
        <f>IFERROR(VLOOKUP(D288,'Vũ khí đề xuất'!$A:$AO,32,0),"")</f>
        <v/>
      </c>
      <c r="K288" s="50">
        <f>IFERROR(VLOOKUP(D288,'Vũ khí đề xuất'!$A:$AO,35,0),"")</f>
        <v/>
      </c>
      <c r="L288" s="50">
        <f>IFERROR(VLOOKUP(D288,'Vũ khí đề xuất'!$A:$AO,36,0),"")</f>
        <v/>
      </c>
      <c r="M288" s="39" t="n"/>
    </row>
    <row r="289" ht="15" customHeight="1" s="32">
      <c r="A289" s="41" t="inlineStr">
        <is>
          <t>leviathan</t>
        </is>
      </c>
      <c r="B289" s="41" t="inlineStr">
        <is>
          <t>Leviathan · Thiết giáp hạm</t>
        </is>
      </c>
      <c r="C289" s="41" t="inlineStr">
        <is>
          <t>Boss</t>
        </is>
      </c>
      <c r="D289" s="41" t="inlineStr">
        <is>
          <t>leviathan_460</t>
        </is>
      </c>
      <c r="E289" s="41" t="inlineStr">
        <is>
          <t>Type 94 460 mm/45 (triple)</t>
        </is>
      </c>
      <c r="F289" s="43" t="n">
        <v>1</v>
      </c>
      <c r="G289" s="51">
        <f>IFERROR(VLOOKUP(D289,'Vũ khí đề xuất'!$A:$AO,27,0),"")</f>
        <v/>
      </c>
      <c r="H289" s="51">
        <f>IFERROR(VLOOKUP(D289,'Vũ khí đề xuất'!$A:$AO,28,0),"")</f>
        <v/>
      </c>
      <c r="I289" s="51">
        <f>IFERROR(VLOOKUP(D289,'Vũ khí đề xuất'!$A:$AO,30,0),"")</f>
        <v/>
      </c>
      <c r="J289" s="51">
        <f>IFERROR(VLOOKUP(D289,'Vũ khí đề xuất'!$A:$AO,32,0),"")</f>
        <v/>
      </c>
      <c r="K289" s="51">
        <f>IFERROR(VLOOKUP(D289,'Vũ khí đề xuất'!$A:$AO,35,0),"")</f>
        <v/>
      </c>
      <c r="L289" s="51">
        <f>IFERROR(VLOOKUP(D289,'Vũ khí đề xuất'!$A:$AO,36,0),"")</f>
        <v/>
      </c>
      <c r="M289" s="41" t="n"/>
    </row>
    <row r="290" ht="15" customHeight="1" s="32">
      <c r="A290" s="39" t="inlineStr">
        <is>
          <t>leviathan</t>
        </is>
      </c>
      <c r="B290" s="39" t="inlineStr">
        <is>
          <t>Leviathan · Thiết giáp hạm</t>
        </is>
      </c>
      <c r="C290" s="39" t="inlineStr">
        <is>
          <t>Boss</t>
        </is>
      </c>
      <c r="D290" s="39" t="inlineStr">
        <is>
          <t>naval_155_triple</t>
        </is>
      </c>
      <c r="E290" s="39" t="inlineStr">
        <is>
          <t>155 mm/60 (triple)</t>
        </is>
      </c>
      <c r="F290" s="42" t="n">
        <v>1</v>
      </c>
      <c r="G290" s="50">
        <f>IFERROR(VLOOKUP(D290,'Vũ khí đề xuất'!$A:$AO,27,0),"")</f>
        <v/>
      </c>
      <c r="H290" s="50">
        <f>IFERROR(VLOOKUP(D290,'Vũ khí đề xuất'!$A:$AO,28,0),"")</f>
        <v/>
      </c>
      <c r="I290" s="50">
        <f>IFERROR(VLOOKUP(D290,'Vũ khí đề xuất'!$A:$AO,30,0),"")</f>
        <v/>
      </c>
      <c r="J290" s="50">
        <f>IFERROR(VLOOKUP(D290,'Vũ khí đề xuất'!$A:$AO,32,0),"")</f>
        <v/>
      </c>
      <c r="K290" s="50">
        <f>IFERROR(VLOOKUP(D290,'Vũ khí đề xuất'!$A:$AO,35,0),"")</f>
        <v/>
      </c>
      <c r="L290" s="50">
        <f>IFERROR(VLOOKUP(D290,'Vũ khí đề xuất'!$A:$AO,36,0),"")</f>
        <v/>
      </c>
      <c r="M290" s="39" t="n"/>
    </row>
    <row r="291" ht="15" customHeight="1" s="32">
      <c r="A291" s="41" t="inlineStr">
        <is>
          <t>leviathan</t>
        </is>
      </c>
      <c r="B291" s="41" t="inlineStr">
        <is>
          <t>Leviathan · Thiết giáp hạm</t>
        </is>
      </c>
      <c r="C291" s="41" t="inlineStr">
        <is>
          <t>Boss</t>
        </is>
      </c>
      <c r="D291" s="41" t="inlineStr">
        <is>
          <t>naval_155_triple</t>
        </is>
      </c>
      <c r="E291" s="41" t="inlineStr">
        <is>
          <t>155 mm/60 (triple)</t>
        </is>
      </c>
      <c r="F291" s="43" t="n">
        <v>1</v>
      </c>
      <c r="G291" s="51">
        <f>IFERROR(VLOOKUP(D291,'Vũ khí đề xuất'!$A:$AO,27,0),"")</f>
        <v/>
      </c>
      <c r="H291" s="51">
        <f>IFERROR(VLOOKUP(D291,'Vũ khí đề xuất'!$A:$AO,28,0),"")</f>
        <v/>
      </c>
      <c r="I291" s="51">
        <f>IFERROR(VLOOKUP(D291,'Vũ khí đề xuất'!$A:$AO,30,0),"")</f>
        <v/>
      </c>
      <c r="J291" s="51">
        <f>IFERROR(VLOOKUP(D291,'Vũ khí đề xuất'!$A:$AO,32,0),"")</f>
        <v/>
      </c>
      <c r="K291" s="51">
        <f>IFERROR(VLOOKUP(D291,'Vũ khí đề xuất'!$A:$AO,35,0),"")</f>
        <v/>
      </c>
      <c r="L291" s="51">
        <f>IFERROR(VLOOKUP(D291,'Vũ khí đề xuất'!$A:$AO,36,0),"")</f>
        <v/>
      </c>
      <c r="M291" s="41" t="n"/>
    </row>
    <row r="292" ht="15" customHeight="1" s="32">
      <c r="A292" s="39" t="inlineStr">
        <is>
          <t>leviathan</t>
        </is>
      </c>
      <c r="B292" s="39" t="inlineStr">
        <is>
          <t>Leviathan · Thiết giáp hạm</t>
        </is>
      </c>
      <c r="C292" s="39" t="inlineStr">
        <is>
          <t>Boss</t>
        </is>
      </c>
      <c r="D292" s="39" t="inlineStr">
        <is>
          <t>hover_ciws</t>
        </is>
      </c>
      <c r="E292" s="39" t="inlineStr">
        <is>
          <t>AK-630 30 mm</t>
        </is>
      </c>
      <c r="F292" s="42" t="n">
        <v>1</v>
      </c>
      <c r="G292" s="50">
        <f>IFERROR(VLOOKUP(D292,'Vũ khí đề xuất'!$A:$AO,27,0),"")</f>
        <v/>
      </c>
      <c r="H292" s="50">
        <f>IFERROR(VLOOKUP(D292,'Vũ khí đề xuất'!$A:$AO,28,0),"")</f>
        <v/>
      </c>
      <c r="I292" s="50">
        <f>IFERROR(VLOOKUP(D292,'Vũ khí đề xuất'!$A:$AO,30,0),"")</f>
        <v/>
      </c>
      <c r="J292" s="50">
        <f>IFERROR(VLOOKUP(D292,'Vũ khí đề xuất'!$A:$AO,32,0),"")</f>
        <v/>
      </c>
      <c r="K292" s="50">
        <f>IFERROR(VLOOKUP(D292,'Vũ khí đề xuất'!$A:$AO,35,0),"")</f>
        <v/>
      </c>
      <c r="L292" s="50">
        <f>IFERROR(VLOOKUP(D292,'Vũ khí đề xuất'!$A:$AO,36,0),"")</f>
        <v/>
      </c>
      <c r="M292" s="39" t="n"/>
    </row>
    <row r="293" ht="15" customHeight="1" s="32">
      <c r="A293" s="41" t="inlineStr">
        <is>
          <t>leviathan</t>
        </is>
      </c>
      <c r="B293" s="41" t="inlineStr">
        <is>
          <t>Leviathan · Thiết giáp hạm</t>
        </is>
      </c>
      <c r="C293" s="41" t="inlineStr">
        <is>
          <t>Boss</t>
        </is>
      </c>
      <c r="D293" s="41" t="inlineStr">
        <is>
          <t>hover_ciws</t>
        </is>
      </c>
      <c r="E293" s="41" t="inlineStr">
        <is>
          <t>AK-630 30 mm</t>
        </is>
      </c>
      <c r="F293" s="43" t="n">
        <v>1</v>
      </c>
      <c r="G293" s="51">
        <f>IFERROR(VLOOKUP(D293,'Vũ khí đề xuất'!$A:$AO,27,0),"")</f>
        <v/>
      </c>
      <c r="H293" s="51">
        <f>IFERROR(VLOOKUP(D293,'Vũ khí đề xuất'!$A:$AO,28,0),"")</f>
        <v/>
      </c>
      <c r="I293" s="51">
        <f>IFERROR(VLOOKUP(D293,'Vũ khí đề xuất'!$A:$AO,30,0),"")</f>
        <v/>
      </c>
      <c r="J293" s="51">
        <f>IFERROR(VLOOKUP(D293,'Vũ khí đề xuất'!$A:$AO,32,0),"")</f>
        <v/>
      </c>
      <c r="K293" s="51">
        <f>IFERROR(VLOOKUP(D293,'Vũ khí đề xuất'!$A:$AO,35,0),"")</f>
        <v/>
      </c>
      <c r="L293" s="51">
        <f>IFERROR(VLOOKUP(D293,'Vũ khí đề xuất'!$A:$AO,36,0),"")</f>
        <v/>
      </c>
      <c r="M293" s="41" t="n"/>
    </row>
    <row r="294" ht="15" customHeight="1" s="32">
      <c r="A294" s="39" t="inlineStr">
        <is>
          <t>leviathan</t>
        </is>
      </c>
      <c r="B294" s="39" t="inlineStr">
        <is>
          <t>Leviathan · Thiết giáp hạm</t>
        </is>
      </c>
      <c r="C294" s="39" t="inlineStr">
        <is>
          <t>Boss</t>
        </is>
      </c>
      <c r="D294" s="39" t="inlineStr">
        <is>
          <t>aa_25_triple</t>
        </is>
      </c>
      <c r="E294" s="39" t="inlineStr">
        <is>
          <t>Type 96 25 mm (triple)</t>
        </is>
      </c>
      <c r="F294" s="42" t="n">
        <v>1</v>
      </c>
      <c r="G294" s="50">
        <f>IFERROR(VLOOKUP(D294,'Vũ khí đề xuất'!$A:$AO,27,0),"")</f>
        <v/>
      </c>
      <c r="H294" s="50">
        <f>IFERROR(VLOOKUP(D294,'Vũ khí đề xuất'!$A:$AO,28,0),"")</f>
        <v/>
      </c>
      <c r="I294" s="50">
        <f>IFERROR(VLOOKUP(D294,'Vũ khí đề xuất'!$A:$AO,30,0),"")</f>
        <v/>
      </c>
      <c r="J294" s="50">
        <f>IFERROR(VLOOKUP(D294,'Vũ khí đề xuất'!$A:$AO,32,0),"")</f>
        <v/>
      </c>
      <c r="K294" s="50">
        <f>IFERROR(VLOOKUP(D294,'Vũ khí đề xuất'!$A:$AO,35,0),"")</f>
        <v/>
      </c>
      <c r="L294" s="50">
        <f>IFERROR(VLOOKUP(D294,'Vũ khí đề xuất'!$A:$AO,36,0),"")</f>
        <v/>
      </c>
      <c r="M294" s="39" t="n"/>
    </row>
    <row r="295" ht="15" customHeight="1" s="32">
      <c r="A295" s="41" t="inlineStr">
        <is>
          <t>leviathan</t>
        </is>
      </c>
      <c r="B295" s="41" t="inlineStr">
        <is>
          <t>Leviathan · Thiết giáp hạm</t>
        </is>
      </c>
      <c r="C295" s="41" t="inlineStr">
        <is>
          <t>Boss</t>
        </is>
      </c>
      <c r="D295" s="41" t="inlineStr">
        <is>
          <t>aa_25_triple</t>
        </is>
      </c>
      <c r="E295" s="41" t="inlineStr">
        <is>
          <t>Type 96 25 mm (triple)</t>
        </is>
      </c>
      <c r="F295" s="43" t="n">
        <v>1</v>
      </c>
      <c r="G295" s="51">
        <f>IFERROR(VLOOKUP(D295,'Vũ khí đề xuất'!$A:$AO,27,0),"")</f>
        <v/>
      </c>
      <c r="H295" s="51">
        <f>IFERROR(VLOOKUP(D295,'Vũ khí đề xuất'!$A:$AO,28,0),"")</f>
        <v/>
      </c>
      <c r="I295" s="51">
        <f>IFERROR(VLOOKUP(D295,'Vũ khí đề xuất'!$A:$AO,30,0),"")</f>
        <v/>
      </c>
      <c r="J295" s="51">
        <f>IFERROR(VLOOKUP(D295,'Vũ khí đề xuất'!$A:$AO,32,0),"")</f>
        <v/>
      </c>
      <c r="K295" s="51">
        <f>IFERROR(VLOOKUP(D295,'Vũ khí đề xuất'!$A:$AO,35,0),"")</f>
        <v/>
      </c>
      <c r="L295" s="51">
        <f>IFERROR(VLOOKUP(D295,'Vũ khí đề xuất'!$A:$AO,36,0),"")</f>
        <v/>
      </c>
      <c r="M295" s="41" t="n"/>
    </row>
    <row r="296" ht="15" customHeight="1" s="32">
      <c r="A296" s="39" t="inlineStr">
        <is>
          <t>leviathan</t>
        </is>
      </c>
      <c r="B296" s="39" t="inlineStr">
        <is>
          <t>Leviathan · Thiết giáp hạm</t>
        </is>
      </c>
      <c r="C296" s="39" t="inlineStr">
        <is>
          <t>Boss</t>
        </is>
      </c>
      <c r="D296" s="39" t="inlineStr">
        <is>
          <t>aa_25_triple</t>
        </is>
      </c>
      <c r="E296" s="39" t="inlineStr">
        <is>
          <t>Type 96 25 mm (triple)</t>
        </is>
      </c>
      <c r="F296" s="42" t="n">
        <v>1</v>
      </c>
      <c r="G296" s="50">
        <f>IFERROR(VLOOKUP(D296,'Vũ khí đề xuất'!$A:$AO,27,0),"")</f>
        <v/>
      </c>
      <c r="H296" s="50">
        <f>IFERROR(VLOOKUP(D296,'Vũ khí đề xuất'!$A:$AO,28,0),"")</f>
        <v/>
      </c>
      <c r="I296" s="50">
        <f>IFERROR(VLOOKUP(D296,'Vũ khí đề xuất'!$A:$AO,30,0),"")</f>
        <v/>
      </c>
      <c r="J296" s="50">
        <f>IFERROR(VLOOKUP(D296,'Vũ khí đề xuất'!$A:$AO,32,0),"")</f>
        <v/>
      </c>
      <c r="K296" s="50">
        <f>IFERROR(VLOOKUP(D296,'Vũ khí đề xuất'!$A:$AO,35,0),"")</f>
        <v/>
      </c>
      <c r="L296" s="50">
        <f>IFERROR(VLOOKUP(D296,'Vũ khí đề xuất'!$A:$AO,36,0),"")</f>
        <v/>
      </c>
      <c r="M296" s="39" t="n"/>
    </row>
    <row r="297" ht="15" customHeight="1" s="32">
      <c r="A297" s="41" t="inlineStr">
        <is>
          <t>leviathan</t>
        </is>
      </c>
      <c r="B297" s="41" t="inlineStr">
        <is>
          <t>Leviathan · Thiết giáp hạm</t>
        </is>
      </c>
      <c r="C297" s="41" t="inlineStr">
        <is>
          <t>Boss</t>
        </is>
      </c>
      <c r="D297" s="41" t="inlineStr">
        <is>
          <t>aa_25_triple</t>
        </is>
      </c>
      <c r="E297" s="41" t="inlineStr">
        <is>
          <t>Type 96 25 mm (triple)</t>
        </is>
      </c>
      <c r="F297" s="43" t="n">
        <v>1</v>
      </c>
      <c r="G297" s="51">
        <f>IFERROR(VLOOKUP(D297,'Vũ khí đề xuất'!$A:$AO,27,0),"")</f>
        <v/>
      </c>
      <c r="H297" s="51">
        <f>IFERROR(VLOOKUP(D297,'Vũ khí đề xuất'!$A:$AO,28,0),"")</f>
        <v/>
      </c>
      <c r="I297" s="51">
        <f>IFERROR(VLOOKUP(D297,'Vũ khí đề xuất'!$A:$AO,30,0),"")</f>
        <v/>
      </c>
      <c r="J297" s="51">
        <f>IFERROR(VLOOKUP(D297,'Vũ khí đề xuất'!$A:$AO,32,0),"")</f>
        <v/>
      </c>
      <c r="K297" s="51">
        <f>IFERROR(VLOOKUP(D297,'Vũ khí đề xuất'!$A:$AO,35,0),"")</f>
        <v/>
      </c>
      <c r="L297" s="51">
        <f>IFERROR(VLOOKUP(D297,'Vũ khí đề xuất'!$A:$AO,36,0),"")</f>
        <v/>
      </c>
      <c r="M297" s="41" t="n"/>
    </row>
    <row r="298" ht="15" customHeight="1" s="32">
      <c r="A298" s="39" t="inlineStr">
        <is>
          <t>leviathan</t>
        </is>
      </c>
      <c r="B298" s="39" t="inlineStr">
        <is>
          <t>Leviathan · Thiết giáp hạm</t>
        </is>
      </c>
      <c r="C298" s="39" t="inlineStr">
        <is>
          <t>Boss</t>
        </is>
      </c>
      <c r="D298" s="39" t="inlineStr">
        <is>
          <t>aa_25_triple</t>
        </is>
      </c>
      <c r="E298" s="39" t="inlineStr">
        <is>
          <t>Type 96 25 mm (triple)</t>
        </is>
      </c>
      <c r="F298" s="42" t="n">
        <v>1</v>
      </c>
      <c r="G298" s="50">
        <f>IFERROR(VLOOKUP(D298,'Vũ khí đề xuất'!$A:$AO,27,0),"")</f>
        <v/>
      </c>
      <c r="H298" s="50">
        <f>IFERROR(VLOOKUP(D298,'Vũ khí đề xuất'!$A:$AO,28,0),"")</f>
        <v/>
      </c>
      <c r="I298" s="50">
        <f>IFERROR(VLOOKUP(D298,'Vũ khí đề xuất'!$A:$AO,30,0),"")</f>
        <v/>
      </c>
      <c r="J298" s="50">
        <f>IFERROR(VLOOKUP(D298,'Vũ khí đề xuất'!$A:$AO,32,0),"")</f>
        <v/>
      </c>
      <c r="K298" s="50">
        <f>IFERROR(VLOOKUP(D298,'Vũ khí đề xuất'!$A:$AO,35,0),"")</f>
        <v/>
      </c>
      <c r="L298" s="50">
        <f>IFERROR(VLOOKUP(D298,'Vũ khí đề xuất'!$A:$AO,36,0),"")</f>
        <v/>
      </c>
      <c r="M298" s="39" t="n"/>
    </row>
    <row r="299" ht="15" customHeight="1" s="32">
      <c r="A299" s="41" t="inlineStr">
        <is>
          <t>leviathan</t>
        </is>
      </c>
      <c r="B299" s="41" t="inlineStr">
        <is>
          <t>Leviathan · Thiết giáp hạm</t>
        </is>
      </c>
      <c r="C299" s="41" t="inlineStr">
        <is>
          <t>Boss</t>
        </is>
      </c>
      <c r="D299" s="41" t="inlineStr">
        <is>
          <t>aa_25_triple</t>
        </is>
      </c>
      <c r="E299" s="41" t="inlineStr">
        <is>
          <t>Type 96 25 mm (triple)</t>
        </is>
      </c>
      <c r="F299" s="43" t="n">
        <v>1</v>
      </c>
      <c r="G299" s="51">
        <f>IFERROR(VLOOKUP(D299,'Vũ khí đề xuất'!$A:$AO,27,0),"")</f>
        <v/>
      </c>
      <c r="H299" s="51">
        <f>IFERROR(VLOOKUP(D299,'Vũ khí đề xuất'!$A:$AO,28,0),"")</f>
        <v/>
      </c>
      <c r="I299" s="51">
        <f>IFERROR(VLOOKUP(D299,'Vũ khí đề xuất'!$A:$AO,30,0),"")</f>
        <v/>
      </c>
      <c r="J299" s="51">
        <f>IFERROR(VLOOKUP(D299,'Vũ khí đề xuất'!$A:$AO,32,0),"")</f>
        <v/>
      </c>
      <c r="K299" s="51">
        <f>IFERROR(VLOOKUP(D299,'Vũ khí đề xuất'!$A:$AO,35,0),"")</f>
        <v/>
      </c>
      <c r="L299" s="51">
        <f>IFERROR(VLOOKUP(D299,'Vũ khí đề xuất'!$A:$AO,36,0),"")</f>
        <v/>
      </c>
      <c r="M299" s="41" t="n"/>
    </row>
    <row r="300" ht="15" customHeight="1" s="32">
      <c r="A300" s="39" t="inlineStr">
        <is>
          <t>leviathan</t>
        </is>
      </c>
      <c r="B300" s="39" t="inlineStr">
        <is>
          <t>Leviathan · Thiết giáp hạm</t>
        </is>
      </c>
      <c r="C300" s="39" t="inlineStr">
        <is>
          <t>Boss</t>
        </is>
      </c>
      <c r="D300" s="39" t="inlineStr">
        <is>
          <t>aa_25_triple</t>
        </is>
      </c>
      <c r="E300" s="39" t="inlineStr">
        <is>
          <t>Type 96 25 mm (triple)</t>
        </is>
      </c>
      <c r="F300" s="42" t="n">
        <v>1</v>
      </c>
      <c r="G300" s="50">
        <f>IFERROR(VLOOKUP(D300,'Vũ khí đề xuất'!$A:$AO,27,0),"")</f>
        <v/>
      </c>
      <c r="H300" s="50">
        <f>IFERROR(VLOOKUP(D300,'Vũ khí đề xuất'!$A:$AO,28,0),"")</f>
        <v/>
      </c>
      <c r="I300" s="50">
        <f>IFERROR(VLOOKUP(D300,'Vũ khí đề xuất'!$A:$AO,30,0),"")</f>
        <v/>
      </c>
      <c r="J300" s="50">
        <f>IFERROR(VLOOKUP(D300,'Vũ khí đề xuất'!$A:$AO,32,0),"")</f>
        <v/>
      </c>
      <c r="K300" s="50">
        <f>IFERROR(VLOOKUP(D300,'Vũ khí đề xuất'!$A:$AO,35,0),"")</f>
        <v/>
      </c>
      <c r="L300" s="50">
        <f>IFERROR(VLOOKUP(D300,'Vũ khí đề xuất'!$A:$AO,36,0),"")</f>
        <v/>
      </c>
      <c r="M300" s="39" t="n"/>
    </row>
    <row r="301" ht="15" customHeight="1" s="32">
      <c r="A301" s="41" t="inlineStr">
        <is>
          <t>leviathan</t>
        </is>
      </c>
      <c r="B301" s="41" t="inlineStr">
        <is>
          <t>Leviathan · Thiết giáp hạm</t>
        </is>
      </c>
      <c r="C301" s="41" t="inlineStr">
        <is>
          <t>Boss</t>
        </is>
      </c>
      <c r="D301" s="41" t="inlineStr">
        <is>
          <t>aa_25_triple</t>
        </is>
      </c>
      <c r="E301" s="41" t="inlineStr">
        <is>
          <t>Type 96 25 mm (triple)</t>
        </is>
      </c>
      <c r="F301" s="43" t="n">
        <v>1</v>
      </c>
      <c r="G301" s="51">
        <f>IFERROR(VLOOKUP(D301,'Vũ khí đề xuất'!$A:$AO,27,0),"")</f>
        <v/>
      </c>
      <c r="H301" s="51">
        <f>IFERROR(VLOOKUP(D301,'Vũ khí đề xuất'!$A:$AO,28,0),"")</f>
        <v/>
      </c>
      <c r="I301" s="51">
        <f>IFERROR(VLOOKUP(D301,'Vũ khí đề xuất'!$A:$AO,30,0),"")</f>
        <v/>
      </c>
      <c r="J301" s="51">
        <f>IFERROR(VLOOKUP(D301,'Vũ khí đề xuất'!$A:$AO,32,0),"")</f>
        <v/>
      </c>
      <c r="K301" s="51">
        <f>IFERROR(VLOOKUP(D301,'Vũ khí đề xuất'!$A:$AO,35,0),"")</f>
        <v/>
      </c>
      <c r="L301" s="51">
        <f>IFERROR(VLOOKUP(D301,'Vũ khí đề xuất'!$A:$AO,36,0),"")</f>
        <v/>
      </c>
      <c r="M301" s="41" t="n"/>
    </row>
    <row r="302" ht="15" customHeight="1" s="32">
      <c r="A302" s="39" t="inlineStr">
        <is>
          <t>drone_mothership</t>
        </is>
      </c>
      <c r="B302" s="39" t="inlineStr">
        <is>
          <t>Matriarch · Tàu mẹ drone</t>
        </is>
      </c>
      <c r="C302" s="39" t="inlineStr">
        <is>
          <t>Boss</t>
        </is>
      </c>
      <c r="D302" s="39" t="inlineStr">
        <is>
          <t>mothership_cannon</t>
        </is>
      </c>
      <c r="E302" s="39" t="inlineStr">
        <is>
          <t>AU-220 57 mm</t>
        </is>
      </c>
      <c r="F302" s="42" t="n">
        <v>1</v>
      </c>
      <c r="G302" s="50">
        <f>IFERROR(VLOOKUP(D302,'Vũ khí đề xuất'!$A:$AO,27,0),"")</f>
        <v/>
      </c>
      <c r="H302" s="50">
        <f>IFERROR(VLOOKUP(D302,'Vũ khí đề xuất'!$A:$AO,28,0),"")</f>
        <v/>
      </c>
      <c r="I302" s="50">
        <f>IFERROR(VLOOKUP(D302,'Vũ khí đề xuất'!$A:$AO,30,0),"")</f>
        <v/>
      </c>
      <c r="J302" s="50">
        <f>IFERROR(VLOOKUP(D302,'Vũ khí đề xuất'!$A:$AO,32,0),"")</f>
        <v/>
      </c>
      <c r="K302" s="50">
        <f>IFERROR(VLOOKUP(D302,'Vũ khí đề xuất'!$A:$AO,35,0),"")</f>
        <v/>
      </c>
      <c r="L302" s="50">
        <f>IFERROR(VLOOKUP(D302,'Vũ khí đề xuất'!$A:$AO,36,0),"")</f>
        <v/>
      </c>
      <c r="M302" s="39" t="n"/>
    </row>
    <row r="303" ht="15" customHeight="1" s="32">
      <c r="A303" s="41" t="inlineStr">
        <is>
          <t>drone_mothership</t>
        </is>
      </c>
      <c r="B303" s="41" t="inlineStr">
        <is>
          <t>Matriarch · Tàu mẹ drone</t>
        </is>
      </c>
      <c r="C303" s="41" t="inlineStr">
        <is>
          <t>Boss</t>
        </is>
      </c>
      <c r="D303" s="41" t="inlineStr">
        <is>
          <t>mothership_drones</t>
        </is>
      </c>
      <c r="E303" s="41" t="inlineStr">
        <is>
          <t>ZALA Lancet-3 (3 kg)</t>
        </is>
      </c>
      <c r="F303" s="43" t="n">
        <v>1</v>
      </c>
      <c r="G303" s="51">
        <f>IFERROR(VLOOKUP(D303,'Vũ khí đề xuất'!$A:$AO,27,0),"")</f>
        <v/>
      </c>
      <c r="H303" s="51">
        <f>IFERROR(VLOOKUP(D303,'Vũ khí đề xuất'!$A:$AO,28,0),"")</f>
        <v/>
      </c>
      <c r="I303" s="51">
        <f>IFERROR(VLOOKUP(D303,'Vũ khí đề xuất'!$A:$AO,30,0),"")</f>
        <v/>
      </c>
      <c r="J303" s="51">
        <f>IFERROR(VLOOKUP(D303,'Vũ khí đề xuất'!$A:$AO,32,0),"")</f>
        <v/>
      </c>
      <c r="K303" s="51">
        <f>IFERROR(VLOOKUP(D303,'Vũ khí đề xuất'!$A:$AO,35,0),"")</f>
        <v/>
      </c>
      <c r="L303" s="51">
        <f>IFERROR(VLOOKUP(D303,'Vũ khí đề xuất'!$A:$AO,36,0),"")</f>
        <v/>
      </c>
      <c r="M303" s="41" t="n"/>
    </row>
    <row r="304" ht="15" customHeight="1" s="32">
      <c r="A304" s="39" t="inlineStr">
        <is>
          <t>drone_mothership</t>
        </is>
      </c>
      <c r="B304" s="39" t="inlineStr">
        <is>
          <t>Matriarch · Tàu mẹ drone</t>
        </is>
      </c>
      <c r="C304" s="39" t="inlineStr">
        <is>
          <t>Boss</t>
        </is>
      </c>
      <c r="D304" s="39" t="inlineStr">
        <is>
          <t>boss_flak</t>
        </is>
      </c>
      <c r="E304" s="39" t="inlineStr">
        <is>
          <t>Oerlikon 35 mm (twin)</t>
        </is>
      </c>
      <c r="F304" s="42" t="n">
        <v>1</v>
      </c>
      <c r="G304" s="50">
        <f>IFERROR(VLOOKUP(D304,'Vũ khí đề xuất'!$A:$AO,27,0),"")</f>
        <v/>
      </c>
      <c r="H304" s="50">
        <f>IFERROR(VLOOKUP(D304,'Vũ khí đề xuất'!$A:$AO,28,0),"")</f>
        <v/>
      </c>
      <c r="I304" s="50">
        <f>IFERROR(VLOOKUP(D304,'Vũ khí đề xuất'!$A:$AO,30,0),"")</f>
        <v/>
      </c>
      <c r="J304" s="50">
        <f>IFERROR(VLOOKUP(D304,'Vũ khí đề xuất'!$A:$AO,32,0),"")</f>
        <v/>
      </c>
      <c r="K304" s="50">
        <f>IFERROR(VLOOKUP(D304,'Vũ khí đề xuất'!$A:$AO,35,0),"")</f>
        <v/>
      </c>
      <c r="L304" s="50">
        <f>IFERROR(VLOOKUP(D304,'Vũ khí đề xuất'!$A:$AO,36,0),"")</f>
        <v/>
      </c>
      <c r="M304" s="39" t="n"/>
    </row>
    <row r="305" ht="15" customHeight="1" s="32">
      <c r="A305" s="41" t="inlineStr">
        <is>
          <t>drone_mothership</t>
        </is>
      </c>
      <c r="B305" s="41" t="inlineStr">
        <is>
          <t>Matriarch · Tàu mẹ drone</t>
        </is>
      </c>
      <c r="C305" s="41" t="inlineStr">
        <is>
          <t>Boss</t>
        </is>
      </c>
      <c r="D305" s="41" t="inlineStr">
        <is>
          <t>boss_flak</t>
        </is>
      </c>
      <c r="E305" s="41" t="inlineStr">
        <is>
          <t>Oerlikon 35 mm (twin)</t>
        </is>
      </c>
      <c r="F305" s="43" t="n">
        <v>1</v>
      </c>
      <c r="G305" s="51">
        <f>IFERROR(VLOOKUP(D305,'Vũ khí đề xuất'!$A:$AO,27,0),"")</f>
        <v/>
      </c>
      <c r="H305" s="51">
        <f>IFERROR(VLOOKUP(D305,'Vũ khí đề xuất'!$A:$AO,28,0),"")</f>
        <v/>
      </c>
      <c r="I305" s="51">
        <f>IFERROR(VLOOKUP(D305,'Vũ khí đề xuất'!$A:$AO,30,0),"")</f>
        <v/>
      </c>
      <c r="J305" s="51">
        <f>IFERROR(VLOOKUP(D305,'Vũ khí đề xuất'!$A:$AO,32,0),"")</f>
        <v/>
      </c>
      <c r="K305" s="51">
        <f>IFERROR(VLOOKUP(D305,'Vũ khí đề xuất'!$A:$AO,35,0),"")</f>
        <v/>
      </c>
      <c r="L305" s="51">
        <f>IFERROR(VLOOKUP(D305,'Vũ khí đề xuất'!$A:$AO,36,0),"")</f>
        <v/>
      </c>
      <c r="M305" s="41" t="n"/>
    </row>
    <row r="306" ht="15" customHeight="1" s="32">
      <c r="A306" s="39" t="inlineStr">
        <is>
          <t>drone_mothership</t>
        </is>
      </c>
      <c r="B306" s="39" t="inlineStr">
        <is>
          <t>Matriarch · Tàu mẹ drone</t>
        </is>
      </c>
      <c r="C306" s="39" t="inlineStr">
        <is>
          <t>Boss</t>
        </is>
      </c>
      <c r="D306" s="39" t="inlineStr">
        <is>
          <t>mothership_cannon</t>
        </is>
      </c>
      <c r="E306" s="39" t="inlineStr">
        <is>
          <t>AU-220 57 mm</t>
        </is>
      </c>
      <c r="F306" s="42" t="n">
        <v>1</v>
      </c>
      <c r="G306" s="50">
        <f>IFERROR(VLOOKUP(D306,'Vũ khí đề xuất'!$A:$AO,27,0),"")</f>
        <v/>
      </c>
      <c r="H306" s="50">
        <f>IFERROR(VLOOKUP(D306,'Vũ khí đề xuất'!$A:$AO,28,0),"")</f>
        <v/>
      </c>
      <c r="I306" s="50">
        <f>IFERROR(VLOOKUP(D306,'Vũ khí đề xuất'!$A:$AO,30,0),"")</f>
        <v/>
      </c>
      <c r="J306" s="50">
        <f>IFERROR(VLOOKUP(D306,'Vũ khí đề xuất'!$A:$AO,32,0),"")</f>
        <v/>
      </c>
      <c r="K306" s="50">
        <f>IFERROR(VLOOKUP(D306,'Vũ khí đề xuất'!$A:$AO,35,0),"")</f>
        <v/>
      </c>
      <c r="L306" s="50">
        <f>IFERROR(VLOOKUP(D306,'Vũ khí đề xuất'!$A:$AO,36,0),"")</f>
        <v/>
      </c>
      <c r="M306" s="39" t="n"/>
    </row>
    <row r="307" ht="15" customHeight="1" s="32">
      <c r="A307" s="41" t="inlineStr">
        <is>
          <t>drone_mothership</t>
        </is>
      </c>
      <c r="B307" s="41" t="inlineStr">
        <is>
          <t>Matriarch · Tàu mẹ drone</t>
        </is>
      </c>
      <c r="C307" s="41" t="inlineStr">
        <is>
          <t>Boss</t>
        </is>
      </c>
      <c r="D307" s="41" t="inlineStr">
        <is>
          <t>autocannon_30</t>
        </is>
      </c>
      <c r="E307" s="41" t="inlineStr">
        <is>
          <t>2A42 30 mm</t>
        </is>
      </c>
      <c r="F307" s="43" t="n">
        <v>1</v>
      </c>
      <c r="G307" s="51">
        <f>IFERROR(VLOOKUP(D307,'Vũ khí đề xuất'!$A:$AO,27,0),"")</f>
        <v/>
      </c>
      <c r="H307" s="51">
        <f>IFERROR(VLOOKUP(D307,'Vũ khí đề xuất'!$A:$AO,28,0),"")</f>
        <v/>
      </c>
      <c r="I307" s="51">
        <f>IFERROR(VLOOKUP(D307,'Vũ khí đề xuất'!$A:$AO,30,0),"")</f>
        <v/>
      </c>
      <c r="J307" s="51">
        <f>IFERROR(VLOOKUP(D307,'Vũ khí đề xuất'!$A:$AO,32,0),"")</f>
        <v/>
      </c>
      <c r="K307" s="51">
        <f>IFERROR(VLOOKUP(D307,'Vũ khí đề xuất'!$A:$AO,35,0),"")</f>
        <v/>
      </c>
      <c r="L307" s="51">
        <f>IFERROR(VLOOKUP(D307,'Vũ khí đề xuất'!$A:$AO,36,0),"")</f>
        <v/>
      </c>
      <c r="M307" s="41" t="n"/>
    </row>
    <row r="308" ht="15" customHeight="1" s="32">
      <c r="A308" s="39" t="inlineStr">
        <is>
          <t>drone_mothership</t>
        </is>
      </c>
      <c r="B308" s="39" t="inlineStr">
        <is>
          <t>Matriarch · Tàu mẹ drone</t>
        </is>
      </c>
      <c r="C308" s="39" t="inlineStr">
        <is>
          <t>Boss</t>
        </is>
      </c>
      <c r="D308" s="39" t="inlineStr">
        <is>
          <t>autocannon_30</t>
        </is>
      </c>
      <c r="E308" s="39" t="inlineStr">
        <is>
          <t>2A42 30 mm</t>
        </is>
      </c>
      <c r="F308" s="42" t="n">
        <v>1</v>
      </c>
      <c r="G308" s="50">
        <f>IFERROR(VLOOKUP(D308,'Vũ khí đề xuất'!$A:$AO,27,0),"")</f>
        <v/>
      </c>
      <c r="H308" s="50">
        <f>IFERROR(VLOOKUP(D308,'Vũ khí đề xuất'!$A:$AO,28,0),"")</f>
        <v/>
      </c>
      <c r="I308" s="50">
        <f>IFERROR(VLOOKUP(D308,'Vũ khí đề xuất'!$A:$AO,30,0),"")</f>
        <v/>
      </c>
      <c r="J308" s="50">
        <f>IFERROR(VLOOKUP(D308,'Vũ khí đề xuất'!$A:$AO,32,0),"")</f>
        <v/>
      </c>
      <c r="K308" s="50">
        <f>IFERROR(VLOOKUP(D308,'Vũ khí đề xuất'!$A:$AO,35,0),"")</f>
        <v/>
      </c>
      <c r="L308" s="50">
        <f>IFERROR(VLOOKUP(D308,'Vũ khí đề xuất'!$A:$AO,36,0),"")</f>
        <v/>
      </c>
      <c r="M308" s="39" t="n"/>
    </row>
    <row r="309" ht="15" customHeight="1" s="32">
      <c r="A309" s="41" t="inlineStr">
        <is>
          <t>drone_mothership</t>
        </is>
      </c>
      <c r="B309" s="41" t="inlineStr">
        <is>
          <t>Matriarch · Tàu mẹ drone</t>
        </is>
      </c>
      <c r="C309" s="41" t="inlineStr">
        <is>
          <t>Boss</t>
        </is>
      </c>
      <c r="D309" s="41" t="inlineStr">
        <is>
          <t>mothership_drones</t>
        </is>
      </c>
      <c r="E309" s="41" t="inlineStr">
        <is>
          <t>ZALA Lancet-3 (3 kg)</t>
        </is>
      </c>
      <c r="F309" s="43" t="n">
        <v>1</v>
      </c>
      <c r="G309" s="51">
        <f>IFERROR(VLOOKUP(D309,'Vũ khí đề xuất'!$A:$AO,27,0),"")</f>
        <v/>
      </c>
      <c r="H309" s="51">
        <f>IFERROR(VLOOKUP(D309,'Vũ khí đề xuất'!$A:$AO,28,0),"")</f>
        <v/>
      </c>
      <c r="I309" s="51">
        <f>IFERROR(VLOOKUP(D309,'Vũ khí đề xuất'!$A:$AO,30,0),"")</f>
        <v/>
      </c>
      <c r="J309" s="51">
        <f>IFERROR(VLOOKUP(D309,'Vũ khí đề xuất'!$A:$AO,32,0),"")</f>
        <v/>
      </c>
      <c r="K309" s="51">
        <f>IFERROR(VLOOKUP(D309,'Vũ khí đề xuất'!$A:$AO,35,0),"")</f>
        <v/>
      </c>
      <c r="L309" s="51">
        <f>IFERROR(VLOOKUP(D309,'Vũ khí đề xuất'!$A:$AO,36,0),"")</f>
        <v/>
      </c>
      <c r="M309" s="41" t="n"/>
    </row>
    <row r="310" ht="21.75" customHeight="1" s="32">
      <c r="A310" s="39" t="inlineStr">
        <is>
          <t>swarm_carrier</t>
        </is>
      </c>
      <c r="B310" s="39" t="inlineStr">
        <is>
          <t>Máy bay mẹ thả drone</t>
        </is>
      </c>
      <c r="C310" s="39" t="inlineStr">
        <is>
          <t>Xe</t>
        </is>
      </c>
      <c r="D310" s="39" t="inlineStr">
        <is>
          <t>jassm</t>
        </is>
      </c>
      <c r="E310" s="39" t="inlineStr">
        <is>
          <t>Rapid Dragon (tên lửa hành trình thả từ khoang)</t>
        </is>
      </c>
      <c r="F310" s="42" t="n">
        <v>1</v>
      </c>
      <c r="G310" s="50">
        <f>IFERROR(VLOOKUP(D310,'Vũ khí đề xuất'!$A:$AO,27,0),"")</f>
        <v/>
      </c>
      <c r="H310" s="50">
        <f>IFERROR(VLOOKUP(D310,'Vũ khí đề xuất'!$A:$AO,28,0),"")</f>
        <v/>
      </c>
      <c r="I310" s="50">
        <f>IFERROR(VLOOKUP(D310,'Vũ khí đề xuất'!$A:$AO,30,0),"")</f>
        <v/>
      </c>
      <c r="J310" s="50">
        <f>IFERROR(VLOOKUP(D310,'Vũ khí đề xuất'!$A:$AO,32,0),"")</f>
        <v/>
      </c>
      <c r="K310" s="50">
        <f>IFERROR(VLOOKUP(D310,'Vũ khí đề xuất'!$A:$AO,35,0),"")</f>
        <v/>
      </c>
      <c r="L310" s="50">
        <f>IFERROR(VLOOKUP(D310,'Vũ khí đề xuất'!$A:$AO,36,0),"")</f>
        <v/>
      </c>
      <c r="M310" s="39" t="inlineStr">
        <is>
          <t>Vũ khí thêm theo đề xuất</t>
        </is>
      </c>
    </row>
    <row r="311" ht="15" customHeight="1" s="32">
      <c r="A311" s="41" t="inlineStr">
        <is>
          <t>wheeled_gun</t>
        </is>
      </c>
      <c r="B311" s="41" t="inlineStr">
        <is>
          <t>Pháo bánh lốp diệt tăng</t>
        </is>
      </c>
      <c r="C311" s="41" t="inlineStr">
        <is>
          <t>Xe</t>
        </is>
      </c>
      <c r="D311" s="41" t="inlineStr">
        <is>
          <t>hmg_roof</t>
        </is>
      </c>
      <c r="E311" s="41" t="inlineStr">
        <is>
          <t>M2 Browning 12.7 mm (thêm)</t>
        </is>
      </c>
      <c r="F311" s="43" t="n">
        <v>1</v>
      </c>
      <c r="G311" s="51">
        <f>IFERROR(VLOOKUP(D311,'Vũ khí đề xuất'!$A:$AO,27,0),"")</f>
        <v/>
      </c>
      <c r="H311" s="51">
        <f>IFERROR(VLOOKUP(D311,'Vũ khí đề xuất'!$A:$AO,28,0),"")</f>
        <v/>
      </c>
      <c r="I311" s="51">
        <f>IFERROR(VLOOKUP(D311,'Vũ khí đề xuất'!$A:$AO,30,0),"")</f>
        <v/>
      </c>
      <c r="J311" s="51">
        <f>IFERROR(VLOOKUP(D311,'Vũ khí đề xuất'!$A:$AO,32,0),"")</f>
        <v/>
      </c>
      <c r="K311" s="51">
        <f>IFERROR(VLOOKUP(D311,'Vũ khí đề xuất'!$A:$AO,35,0),"")</f>
        <v/>
      </c>
      <c r="L311" s="51">
        <f>IFERROR(VLOOKUP(D311,'Vũ khí đề xuất'!$A:$AO,36,0),"")</f>
        <v/>
      </c>
      <c r="M311" s="41" t="inlineStr">
        <is>
          <t>Vũ khí thêm theo đề xuất</t>
        </is>
      </c>
    </row>
  </sheetData>
  <autoFilter ref="A1:M31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M1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0" customWidth="1" style="31" min="2" max="2"/>
    <col width="10" customWidth="1" style="31" min="3" max="3"/>
    <col width="6" customWidth="1" style="31" min="4" max="4"/>
    <col width="9" customWidth="1" style="31" min="5" max="7"/>
    <col width="10" customWidth="1" style="31" min="8" max="8"/>
    <col width="9" customWidth="1" style="31" min="9" max="11"/>
    <col width="10" customWidth="1" style="31" min="12" max="12"/>
    <col width="60" customWidth="1" style="31" min="13" max="13"/>
  </cols>
  <sheetData>
    <row r="1" ht="42" customHeight="1" s="32">
      <c r="A1" s="37" t="inlineStr">
        <is>
          <t>id</t>
        </is>
      </c>
      <c r="B1" s="37" t="inlineStr">
        <is>
          <t>Đơn vị</t>
        </is>
      </c>
      <c r="C1" s="37" t="inlineStr">
        <is>
          <t>Nhóm</t>
        </is>
      </c>
      <c r="D1" s="37" t="inlineStr">
        <is>
          <t>CP</t>
        </is>
      </c>
      <c r="E1" s="44" t="inlineStr">
        <is>
          <t>DPS nhẹ hiện (thẻ)</t>
        </is>
      </c>
      <c r="F1" s="44" t="inlineStr">
        <is>
          <t>DPS nặng hiện (thẻ)</t>
        </is>
      </c>
      <c r="G1" s="44" t="inlineStr">
        <is>
          <t>DPS bay hiện (thẻ)</t>
        </is>
      </c>
      <c r="H1" s="45" t="inlineStr">
        <is>
          <t>DPS đề xuất vs giáp 1</t>
        </is>
      </c>
      <c r="I1" s="37" t="inlineStr">
        <is>
          <t>vs giáp 3</t>
        </is>
      </c>
      <c r="J1" s="37" t="inlineStr">
        <is>
          <t>trên không</t>
        </is>
      </c>
      <c r="K1" s="37" t="inlineStr">
        <is>
          <t>công trình</t>
        </is>
      </c>
      <c r="L1" s="45" t="inlineStr">
        <is>
          <t>DPS đề xuất vs giáp 3 / CP</t>
        </is>
      </c>
      <c r="M1" s="37" t="inlineStr">
        <is>
          <t>Thay đổi bộ vũ khí</t>
        </is>
      </c>
    </row>
    <row r="2" ht="15" customHeight="1" s="32">
      <c r="A2" s="39" t="inlineStr">
        <is>
          <t>hover_gunboat</t>
        </is>
      </c>
      <c r="B2" s="39" t="inlineStr">
        <is>
          <t>Xuồng cao tốc đệm khí</t>
        </is>
      </c>
      <c r="C2" s="39" t="inlineStr">
        <is>
          <t>Xe</t>
        </is>
      </c>
      <c r="D2" s="42" t="n">
        <v>0</v>
      </c>
      <c r="E2" s="42" t="n">
        <v>22</v>
      </c>
      <c r="F2" s="42" t="n">
        <v>11</v>
      </c>
      <c r="G2" s="42" t="n">
        <v>7</v>
      </c>
      <c r="H2" s="54">
        <f>SUMPRODUCT(('Đơn vị – vũ khí'!$A$2:$A$311=A2)*('Đơn vị – vũ khí'!$F$2:$F$311=1)*N(+'Đơn vị – vũ khí'!$I$2:$I$311))</f>
        <v/>
      </c>
      <c r="I2" s="54">
        <f>SUMPRODUCT(('Đơn vị – vũ khí'!$A$2:$A$311=A2)*('Đơn vị – vũ khí'!$F$2:$F$311=1)*N(+'Đơn vị – vũ khí'!$J$2:$J$311))</f>
        <v/>
      </c>
      <c r="J2" s="54">
        <f>SUMPRODUCT(('Đơn vị – vũ khí'!$A$2:$A$311=A2)*('Đơn vị – vũ khí'!$F$2:$F$311=1)*N(+'Đơn vị – vũ khí'!$K$2:$K$311))</f>
        <v/>
      </c>
      <c r="K2" s="54">
        <f>SUMPRODUCT(('Đơn vị – vũ khí'!$A$2:$A$311=A2)*('Đơn vị – vũ khí'!$F$2:$F$311=1)*N(+'Đơn vị – vũ khí'!$L$2:$L$311))</f>
        <v/>
      </c>
      <c r="L2" s="54">
        <f>IFERROR(I2/D2,"")</f>
        <v/>
      </c>
      <c r="M2" s="39" t="n"/>
    </row>
    <row r="3" ht="15" customHeight="1" s="32">
      <c r="A3" s="41" t="inlineStr">
        <is>
          <t>armored_car</t>
        </is>
      </c>
      <c r="B3" s="41" t="inlineStr">
        <is>
          <t>Xe bọc thép</t>
        </is>
      </c>
      <c r="C3" s="41" t="inlineStr">
        <is>
          <t>Xe</t>
        </is>
      </c>
      <c r="D3" s="43" t="n">
        <v>3</v>
      </c>
      <c r="E3" s="43" t="n">
        <v>78</v>
      </c>
      <c r="F3" s="43" t="n">
        <v>32</v>
      </c>
      <c r="G3" s="43" t="n">
        <v>12</v>
      </c>
      <c r="H3" s="55">
        <f>SUMPRODUCT(('Đơn vị – vũ khí'!$A$2:$A$311=A3)*('Đơn vị – vũ khí'!$F$2:$F$311=1)*N(+'Đơn vị – vũ khí'!$I$2:$I$311))</f>
        <v/>
      </c>
      <c r="I3" s="55">
        <f>SUMPRODUCT(('Đơn vị – vũ khí'!$A$2:$A$311=A3)*('Đơn vị – vũ khí'!$F$2:$F$311=1)*N(+'Đơn vị – vũ khí'!$J$2:$J$311))</f>
        <v/>
      </c>
      <c r="J3" s="55">
        <f>SUMPRODUCT(('Đơn vị – vũ khí'!$A$2:$A$311=A3)*('Đơn vị – vũ khí'!$F$2:$F$311=1)*N(+'Đơn vị – vũ khí'!$K$2:$K$311))</f>
        <v/>
      </c>
      <c r="K3" s="55">
        <f>SUMPRODUCT(('Đơn vị – vũ khí'!$A$2:$A$311=A3)*('Đơn vị – vũ khí'!$F$2:$F$311=1)*N(+'Đơn vị – vũ khí'!$L$2:$L$311))</f>
        <v/>
      </c>
      <c r="L3" s="55">
        <f>IFERROR(I3/D3,"")</f>
        <v/>
      </c>
      <c r="M3" s="41" t="n"/>
    </row>
    <row r="4" ht="15" customHeight="1" s="32">
      <c r="A4" s="39" t="inlineStr">
        <is>
          <t>ifv</t>
        </is>
      </c>
      <c r="B4" s="39" t="inlineStr">
        <is>
          <t>Xe chiến đấu bộ binh</t>
        </is>
      </c>
      <c r="C4" s="39" t="inlineStr">
        <is>
          <t>Xe</t>
        </is>
      </c>
      <c r="D4" s="42" t="n">
        <v>6</v>
      </c>
      <c r="E4" s="42" t="n">
        <v>136</v>
      </c>
      <c r="F4" s="42" t="n">
        <v>67</v>
      </c>
      <c r="G4" s="42" t="n">
        <v>12</v>
      </c>
      <c r="H4" s="54">
        <f>SUMPRODUCT(('Đơn vị – vũ khí'!$A$2:$A$311=A4)*('Đơn vị – vũ khí'!$F$2:$F$311=1)*N(+'Đơn vị – vũ khí'!$I$2:$I$311))</f>
        <v/>
      </c>
      <c r="I4" s="54">
        <f>SUMPRODUCT(('Đơn vị – vũ khí'!$A$2:$A$311=A4)*('Đơn vị – vũ khí'!$F$2:$F$311=1)*N(+'Đơn vị – vũ khí'!$J$2:$J$311))</f>
        <v/>
      </c>
      <c r="J4" s="54">
        <f>SUMPRODUCT(('Đơn vị – vũ khí'!$A$2:$A$311=A4)*('Đơn vị – vũ khí'!$F$2:$F$311=1)*N(+'Đơn vị – vũ khí'!$K$2:$K$311))</f>
        <v/>
      </c>
      <c r="K4" s="54">
        <f>SUMPRODUCT(('Đơn vị – vũ khí'!$A$2:$A$311=A4)*('Đơn vị – vũ khí'!$F$2:$F$311=1)*N(+'Đơn vị – vũ khí'!$L$2:$L$311))</f>
        <v/>
      </c>
      <c r="L4" s="54">
        <f>IFERROR(I4/D4,"")</f>
        <v/>
      </c>
      <c r="M4" s="39" t="n"/>
    </row>
    <row r="5" ht="15" customHeight="1" s="32">
      <c r="A5" s="41" t="inlineStr">
        <is>
          <t>supply_truck</t>
        </is>
      </c>
      <c r="B5" s="41" t="inlineStr">
        <is>
          <t>Xe tiếp tế</t>
        </is>
      </c>
      <c r="C5" s="41" t="inlineStr">
        <is>
          <t>Xe</t>
        </is>
      </c>
      <c r="D5" s="43" t="n">
        <v>0</v>
      </c>
      <c r="E5" s="43" t="n">
        <v>46</v>
      </c>
      <c r="F5" s="43" t="n">
        <v>14</v>
      </c>
      <c r="G5" s="43" t="n">
        <v>16</v>
      </c>
      <c r="H5" s="55">
        <f>SUMPRODUCT(('Đơn vị – vũ khí'!$A$2:$A$311=A5)*('Đơn vị – vũ khí'!$F$2:$F$311=1)*N(+'Đơn vị – vũ khí'!$I$2:$I$311))</f>
        <v/>
      </c>
      <c r="I5" s="55">
        <f>SUMPRODUCT(('Đơn vị – vũ khí'!$A$2:$A$311=A5)*('Đơn vị – vũ khí'!$F$2:$F$311=1)*N(+'Đơn vị – vũ khí'!$J$2:$J$311))</f>
        <v/>
      </c>
      <c r="J5" s="55">
        <f>SUMPRODUCT(('Đơn vị – vũ khí'!$A$2:$A$311=A5)*('Đơn vị – vũ khí'!$F$2:$F$311=1)*N(+'Đơn vị – vũ khí'!$K$2:$K$311))</f>
        <v/>
      </c>
      <c r="K5" s="55">
        <f>SUMPRODUCT(('Đơn vị – vũ khí'!$A$2:$A$311=A5)*('Đơn vị – vũ khí'!$F$2:$F$311=1)*N(+'Đơn vị – vũ khí'!$L$2:$L$311))</f>
        <v/>
      </c>
      <c r="L5" s="55">
        <f>IFERROR(I5/D5,"")</f>
        <v/>
      </c>
      <c r="M5" s="41" t="n"/>
    </row>
    <row r="6" ht="15" customHeight="1" s="32">
      <c r="A6" s="39" t="inlineStr">
        <is>
          <t>engineer_vehicle</t>
        </is>
      </c>
      <c r="B6" s="39" t="inlineStr">
        <is>
          <t>Xe công binh</t>
        </is>
      </c>
      <c r="C6" s="39" t="inlineStr">
        <is>
          <t>Xe</t>
        </is>
      </c>
      <c r="D6" s="42" t="n">
        <v>3</v>
      </c>
      <c r="E6" s="42" t="n">
        <v>46</v>
      </c>
      <c r="F6" s="42" t="n">
        <v>13</v>
      </c>
      <c r="G6" s="42" t="n">
        <v>16</v>
      </c>
      <c r="H6" s="54">
        <f>SUMPRODUCT(('Đơn vị – vũ khí'!$A$2:$A$311=A6)*('Đơn vị – vũ khí'!$F$2:$F$311=1)*N(+'Đơn vị – vũ khí'!$I$2:$I$311))</f>
        <v/>
      </c>
      <c r="I6" s="54">
        <f>SUMPRODUCT(('Đơn vị – vũ khí'!$A$2:$A$311=A6)*('Đơn vị – vũ khí'!$F$2:$F$311=1)*N(+'Đơn vị – vũ khí'!$J$2:$J$311))</f>
        <v/>
      </c>
      <c r="J6" s="54">
        <f>SUMPRODUCT(('Đơn vị – vũ khí'!$A$2:$A$311=A6)*('Đơn vị – vũ khí'!$F$2:$F$311=1)*N(+'Đơn vị – vũ khí'!$K$2:$K$311))</f>
        <v/>
      </c>
      <c r="K6" s="54">
        <f>SUMPRODUCT(('Đơn vị – vũ khí'!$A$2:$A$311=A6)*('Đơn vị – vũ khí'!$F$2:$F$311=1)*N(+'Đơn vị – vũ khí'!$L$2:$L$311))</f>
        <v/>
      </c>
      <c r="L6" s="54">
        <f>IFERROR(I6/D6,"")</f>
        <v/>
      </c>
      <c r="M6" s="39" t="n"/>
    </row>
    <row r="7" ht="15" customHeight="1" s="32">
      <c r="A7" s="41"/>
      <c r="B7" s="41"/>
      <c r="C7" s="41"/>
      <c r="D7" s="43"/>
      <c r="E7" s="43"/>
      <c r="F7" s="43"/>
      <c r="G7" s="43"/>
      <c r="H7" s="55"/>
      <c r="I7" s="55"/>
      <c r="J7" s="55"/>
      <c r="K7" s="55"/>
      <c r="L7" s="55"/>
      <c r="M7" s="41"/>
    </row>
    <row r="8" ht="15" customHeight="1" s="32">
      <c r="A8" s="39" t="inlineStr">
        <is>
          <t>ammo_carrier</t>
        </is>
      </c>
      <c r="B8" s="39" t="inlineStr">
        <is>
          <t>Xe tiếp đạn</t>
        </is>
      </c>
      <c r="C8" s="39" t="inlineStr">
        <is>
          <t>Xe</t>
        </is>
      </c>
      <c r="D8" s="42" t="n">
        <v>4</v>
      </c>
      <c r="E8" s="42" t="n">
        <v>46</v>
      </c>
      <c r="F8" s="42" t="n">
        <v>13</v>
      </c>
      <c r="G8" s="42" t="n">
        <v>16</v>
      </c>
      <c r="H8" s="54">
        <f>SUMPRODUCT(('Đơn vị – vũ khí'!$A$2:$A$311=A8)*('Đơn vị – vũ khí'!$F$2:$F$311=1)*N(+'Đơn vị – vũ khí'!$I$2:$I$311))</f>
        <v/>
      </c>
      <c r="I8" s="54">
        <f>SUMPRODUCT(('Đơn vị – vũ khí'!$A$2:$A$311=A8)*('Đơn vị – vũ khí'!$F$2:$F$311=1)*N(+'Đơn vị – vũ khí'!$J$2:$J$311))</f>
        <v/>
      </c>
      <c r="J8" s="54">
        <f>SUMPRODUCT(('Đơn vị – vũ khí'!$A$2:$A$311=A8)*('Đơn vị – vũ khí'!$F$2:$F$311=1)*N(+'Đơn vị – vũ khí'!$K$2:$K$311))</f>
        <v/>
      </c>
      <c r="K8" s="54">
        <f>SUMPRODUCT(('Đơn vị – vũ khí'!$A$2:$A$311=A8)*('Đơn vị – vũ khí'!$F$2:$F$311=1)*N(+'Đơn vị – vũ khí'!$L$2:$L$311))</f>
        <v/>
      </c>
      <c r="L8" s="54">
        <f>IFERROR(I8/D8,"")</f>
        <v/>
      </c>
      <c r="M8" s="39" t="n"/>
    </row>
    <row r="9" ht="15" customHeight="1" s="32">
      <c r="A9" s="41"/>
      <c r="B9" s="41"/>
      <c r="C9" s="41"/>
      <c r="D9" s="43"/>
      <c r="E9" s="43"/>
      <c r="F9" s="43"/>
      <c r="G9" s="43"/>
      <c r="H9" s="55"/>
      <c r="I9" s="55"/>
      <c r="J9" s="55"/>
      <c r="K9" s="55"/>
      <c r="L9" s="55"/>
      <c r="M9" s="41"/>
    </row>
    <row r="10" ht="15" customHeight="1" s="32">
      <c r="A10" s="39" t="inlineStr">
        <is>
          <t>ew_jammer</t>
        </is>
      </c>
      <c r="B10" s="39" t="inlineStr">
        <is>
          <t>Xe tác chiến điện tử</t>
        </is>
      </c>
      <c r="C10" s="39" t="inlineStr">
        <is>
          <t>Xe</t>
        </is>
      </c>
      <c r="D10" s="42" t="n">
        <v>5</v>
      </c>
      <c r="E10" s="42" t="n">
        <v>46</v>
      </c>
      <c r="F10" s="42" t="n">
        <v>13</v>
      </c>
      <c r="G10" s="42" t="n">
        <v>16</v>
      </c>
      <c r="H10" s="54">
        <f>SUMPRODUCT(('Đơn vị – vũ khí'!$A$2:$A$311=A10)*('Đơn vị – vũ khí'!$F$2:$F$311=1)*N(+'Đơn vị – vũ khí'!$I$2:$I$311))</f>
        <v/>
      </c>
      <c r="I10" s="54">
        <f>SUMPRODUCT(('Đơn vị – vũ khí'!$A$2:$A$311=A10)*('Đơn vị – vũ khí'!$F$2:$F$311=1)*N(+'Đơn vị – vũ khí'!$J$2:$J$311))</f>
        <v/>
      </c>
      <c r="J10" s="54">
        <f>SUMPRODUCT(('Đơn vị – vũ khí'!$A$2:$A$311=A10)*('Đơn vị – vũ khí'!$F$2:$F$311=1)*N(+'Đơn vị – vũ khí'!$K$2:$K$311))</f>
        <v/>
      </c>
      <c r="K10" s="54">
        <f>SUMPRODUCT(('Đơn vị – vũ khí'!$A$2:$A$311=A10)*('Đơn vị – vũ khí'!$F$2:$F$311=1)*N(+'Đơn vị – vũ khí'!$L$2:$L$311))</f>
        <v/>
      </c>
      <c r="L10" s="54">
        <f>IFERROR(I10/D10,"")</f>
        <v/>
      </c>
      <c r="M10" s="39" t="n"/>
    </row>
    <row r="11" ht="15" customHeight="1" s="32">
      <c r="A11" s="41" t="inlineStr">
        <is>
          <t>mine_layer</t>
        </is>
      </c>
      <c r="B11" s="41" t="inlineStr">
        <is>
          <t>Xe rải mìn</t>
        </is>
      </c>
      <c r="C11" s="41" t="inlineStr">
        <is>
          <t>Xe</t>
        </is>
      </c>
      <c r="D11" s="43" t="n">
        <v>5</v>
      </c>
      <c r="E11" s="43" t="n">
        <v>46</v>
      </c>
      <c r="F11" s="43" t="n">
        <v>13</v>
      </c>
      <c r="G11" s="43" t="n">
        <v>16</v>
      </c>
      <c r="H11" s="55">
        <f>SUMPRODUCT(('Đơn vị – vũ khí'!$A$2:$A$311=A11)*('Đơn vị – vũ khí'!$F$2:$F$311=1)*N(+'Đơn vị – vũ khí'!$I$2:$I$311))</f>
        <v/>
      </c>
      <c r="I11" s="55">
        <f>SUMPRODUCT(('Đơn vị – vũ khí'!$A$2:$A$311=A11)*('Đơn vị – vũ khí'!$F$2:$F$311=1)*N(+'Đơn vị – vũ khí'!$J$2:$J$311))</f>
        <v/>
      </c>
      <c r="J11" s="55">
        <f>SUMPRODUCT(('Đơn vị – vũ khí'!$A$2:$A$311=A11)*('Đơn vị – vũ khí'!$F$2:$F$311=1)*N(+'Đơn vị – vũ khí'!$K$2:$K$311))</f>
        <v/>
      </c>
      <c r="K11" s="55">
        <f>SUMPRODUCT(('Đơn vị – vũ khí'!$A$2:$A$311=A11)*('Đơn vị – vũ khí'!$F$2:$F$311=1)*N(+'Đơn vị – vũ khí'!$L$2:$L$311))</f>
        <v/>
      </c>
      <c r="L11" s="55">
        <f>IFERROR(I11/D11,"")</f>
        <v/>
      </c>
      <c r="M11" s="41" t="n"/>
    </row>
    <row r="12" ht="15" customHeight="1" s="32">
      <c r="A12" s="39" t="inlineStr">
        <is>
          <t>command_vehicle</t>
        </is>
      </c>
      <c r="B12" s="39" t="inlineStr">
        <is>
          <t>Xe chỉ huy</t>
        </is>
      </c>
      <c r="C12" s="39" t="inlineStr">
        <is>
          <t>Xe</t>
        </is>
      </c>
      <c r="D12" s="42" t="n">
        <v>6</v>
      </c>
      <c r="E12" s="42" t="n">
        <v>46</v>
      </c>
      <c r="F12" s="42" t="n">
        <v>13</v>
      </c>
      <c r="G12" s="42" t="n">
        <v>16</v>
      </c>
      <c r="H12" s="54">
        <f>SUMPRODUCT(('Đơn vị – vũ khí'!$A$2:$A$311=A12)*('Đơn vị – vũ khí'!$F$2:$F$311=1)*N(+'Đơn vị – vũ khí'!$I$2:$I$311))</f>
        <v/>
      </c>
      <c r="I12" s="54">
        <f>SUMPRODUCT(('Đơn vị – vũ khí'!$A$2:$A$311=A12)*('Đơn vị – vũ khí'!$F$2:$F$311=1)*N(+'Đơn vị – vũ khí'!$J$2:$J$311))</f>
        <v/>
      </c>
      <c r="J12" s="54">
        <f>SUMPRODUCT(('Đơn vị – vũ khí'!$A$2:$A$311=A12)*('Đơn vị – vũ khí'!$F$2:$F$311=1)*N(+'Đơn vị – vũ khí'!$K$2:$K$311))</f>
        <v/>
      </c>
      <c r="K12" s="54">
        <f>SUMPRODUCT(('Đơn vị – vũ khí'!$A$2:$A$311=A12)*('Đơn vị – vũ khí'!$F$2:$F$311=1)*N(+'Đơn vị – vũ khí'!$L$2:$L$311))</f>
        <v/>
      </c>
      <c r="L12" s="54">
        <f>IFERROR(I12/D12,"")</f>
        <v/>
      </c>
      <c r="M12" s="39" t="n"/>
    </row>
    <row r="13" ht="15" customHeight="1" s="32">
      <c r="A13" s="41" t="inlineStr">
        <is>
          <t>shield_carrier</t>
        </is>
      </c>
      <c r="B13" s="41" t="inlineStr">
        <is>
          <t>Xe phát khiên</t>
        </is>
      </c>
      <c r="C13" s="41" t="inlineStr">
        <is>
          <t>Xe</t>
        </is>
      </c>
      <c r="D13" s="43" t="n">
        <v>7</v>
      </c>
      <c r="E13" s="43" t="n">
        <v>46</v>
      </c>
      <c r="F13" s="43" t="n">
        <v>13</v>
      </c>
      <c r="G13" s="43" t="n">
        <v>16</v>
      </c>
      <c r="H13" s="55">
        <f>SUMPRODUCT(('Đơn vị – vũ khí'!$A$2:$A$311=A13)*('Đơn vị – vũ khí'!$F$2:$F$311=1)*N(+'Đơn vị – vũ khí'!$I$2:$I$311))</f>
        <v/>
      </c>
      <c r="I13" s="55">
        <f>SUMPRODUCT(('Đơn vị – vũ khí'!$A$2:$A$311=A13)*('Đơn vị – vũ khí'!$F$2:$F$311=1)*N(+'Đơn vị – vũ khí'!$J$2:$J$311))</f>
        <v/>
      </c>
      <c r="J13" s="55">
        <f>SUMPRODUCT(('Đơn vị – vũ khí'!$A$2:$A$311=A13)*('Đơn vị – vũ khí'!$F$2:$F$311=1)*N(+'Đơn vị – vũ khí'!$K$2:$K$311))</f>
        <v/>
      </c>
      <c r="K13" s="55">
        <f>SUMPRODUCT(('Đơn vị – vũ khí'!$A$2:$A$311=A13)*('Đơn vị – vũ khí'!$F$2:$F$311=1)*N(+'Đơn vị – vũ khí'!$L$2:$L$311))</f>
        <v/>
      </c>
      <c r="L13" s="55">
        <f>IFERROR(I13/D13,"")</f>
        <v/>
      </c>
      <c r="M13" s="41" t="n"/>
    </row>
    <row r="14" ht="15" customHeight="1" s="32">
      <c r="A14" s="39" t="inlineStr">
        <is>
          <t>scout_jeep</t>
        </is>
      </c>
      <c r="B14" s="39" t="inlineStr">
        <is>
          <t>Xe trinh sát</t>
        </is>
      </c>
      <c r="C14" s="39" t="inlineStr">
        <is>
          <t>Xe</t>
        </is>
      </c>
      <c r="D14" s="42" t="n">
        <v>2</v>
      </c>
      <c r="E14" s="42" t="n">
        <v>46</v>
      </c>
      <c r="F14" s="42" t="n">
        <v>14</v>
      </c>
      <c r="G14" s="42" t="n">
        <v>16</v>
      </c>
      <c r="H14" s="54">
        <f>SUMPRODUCT(('Đơn vị – vũ khí'!$A$2:$A$311=A14)*('Đơn vị – vũ khí'!$F$2:$F$311=1)*N(+'Đơn vị – vũ khí'!$I$2:$I$311))</f>
        <v/>
      </c>
      <c r="I14" s="54">
        <f>SUMPRODUCT(('Đơn vị – vũ khí'!$A$2:$A$311=A14)*('Đơn vị – vũ khí'!$F$2:$F$311=1)*N(+'Đơn vị – vũ khí'!$J$2:$J$311))</f>
        <v/>
      </c>
      <c r="J14" s="54">
        <f>SUMPRODUCT(('Đơn vị – vũ khí'!$A$2:$A$311=A14)*('Đơn vị – vũ khí'!$F$2:$F$311=1)*N(+'Đơn vị – vũ khí'!$K$2:$K$311))</f>
        <v/>
      </c>
      <c r="K14" s="54">
        <f>SUMPRODUCT(('Đơn vị – vũ khí'!$A$2:$A$311=A14)*('Đơn vị – vũ khí'!$F$2:$F$311=1)*N(+'Đơn vị – vũ khí'!$L$2:$L$311))</f>
        <v/>
      </c>
      <c r="L14" s="54">
        <f>IFERROR(I14/D14,"")</f>
        <v/>
      </c>
      <c r="M14" s="39" t="n"/>
    </row>
    <row r="15" ht="15" customHeight="1" s="32">
      <c r="A15" s="41" t="inlineStr">
        <is>
          <t>vbied</t>
        </is>
      </c>
      <c r="B15" s="41" t="inlineStr">
        <is>
          <t>Xe bom tự sát bọc thép</t>
        </is>
      </c>
      <c r="C15" s="41" t="inlineStr">
        <is>
          <t>Xe</t>
        </is>
      </c>
      <c r="D15" s="43" t="n">
        <v>3</v>
      </c>
      <c r="E15" s="43" t="n">
        <v>924</v>
      </c>
      <c r="F15" s="43" t="n">
        <v>770</v>
      </c>
      <c r="G15" s="43" t="n">
        <v>0</v>
      </c>
      <c r="H15" s="55">
        <f>SUMPRODUCT(('Đơn vị – vũ khí'!$A$2:$A$311=A15)*('Đơn vị – vũ khí'!$F$2:$F$311=1)*N(+'Đơn vị – vũ khí'!$I$2:$I$311))</f>
        <v/>
      </c>
      <c r="I15" s="55">
        <f>SUMPRODUCT(('Đơn vị – vũ khí'!$A$2:$A$311=A15)*('Đơn vị – vũ khí'!$F$2:$F$311=1)*N(+'Đơn vị – vũ khí'!$J$2:$J$311))</f>
        <v/>
      </c>
      <c r="J15" s="55">
        <f>SUMPRODUCT(('Đơn vị – vũ khí'!$A$2:$A$311=A15)*('Đơn vị – vũ khí'!$F$2:$F$311=1)*N(+'Đơn vị – vũ khí'!$K$2:$K$311))</f>
        <v/>
      </c>
      <c r="K15" s="55">
        <f>SUMPRODUCT(('Đơn vị – vũ khí'!$A$2:$A$311=A15)*('Đơn vị – vũ khí'!$F$2:$F$311=1)*N(+'Đơn vị – vũ khí'!$L$2:$L$311))</f>
        <v/>
      </c>
      <c r="L15" s="55">
        <f>IFERROR(I15/D15,"")</f>
        <v/>
      </c>
      <c r="M15" s="41" t="n"/>
    </row>
    <row r="16" ht="32.25" customHeight="1" s="32">
      <c r="A16" s="39" t="inlineStr">
        <is>
          <t>light_tank</t>
        </is>
      </c>
      <c r="B16" s="39" t="inlineStr">
        <is>
          <t>Tăng hạng nhẹ</t>
        </is>
      </c>
      <c r="C16" s="39" t="inlineStr">
        <is>
          <t>Xe</t>
        </is>
      </c>
      <c r="D16" s="42" t="n">
        <v>3</v>
      </c>
      <c r="E16" s="42" t="n">
        <v>54</v>
      </c>
      <c r="F16" s="42" t="n">
        <v>20</v>
      </c>
      <c r="G16" s="42" t="n">
        <v>12</v>
      </c>
      <c r="H16" s="54">
        <f>SUMPRODUCT(('Đơn vị – vũ khí'!$A$2:$A$311=A16)*('Đơn vị – vũ khí'!$F$2:$F$311=1)*N(+'Đơn vị – vũ khí'!$I$2:$I$311))</f>
        <v/>
      </c>
      <c r="I16" s="54">
        <f>SUMPRODUCT(('Đơn vị – vũ khí'!$A$2:$A$311=A16)*('Đơn vị – vũ khí'!$F$2:$F$311=1)*N(+'Đơn vị – vũ khí'!$J$2:$J$311))</f>
        <v/>
      </c>
      <c r="J16" s="54">
        <f>SUMPRODUCT(('Đơn vị – vũ khí'!$A$2:$A$311=A16)*('Đơn vị – vũ khí'!$F$2:$F$311=1)*N(+'Đơn vị – vũ khí'!$K$2:$K$311))</f>
        <v/>
      </c>
      <c r="K16" s="54">
        <f>SUMPRODUCT(('Đơn vị – vũ khí'!$A$2:$A$311=A16)*('Đơn vị – vũ khí'!$F$2:$F$311=1)*N(+'Đơn vị – vũ khí'!$L$2:$L$311))</f>
        <v/>
      </c>
      <c r="L16" s="54">
        <f>IFERROR(I16/D16,"")</f>
        <v/>
      </c>
      <c r="M16" s="39" t="inlineStr">
        <is>
          <t>Thêm tên lửa bắn qua nòng (1 quả × 200, xuyên 3, mỗi 20 s, tầm 34) — ZBD-05 và nhiều tăng nhẹ bắn được tên lửa qua nòng; cho tăng nhẹ một cách đối phó xe giáp.</t>
        </is>
      </c>
    </row>
    <row r="17" ht="15" customHeight="1" s="32">
      <c r="A17" s="41" t="inlineStr">
        <is>
          <t>flame_tank</t>
        </is>
      </c>
      <c r="B17" s="41" t="inlineStr">
        <is>
          <t>Tăng phun lửa</t>
        </is>
      </c>
      <c r="C17" s="41" t="inlineStr">
        <is>
          <t>Xe</t>
        </is>
      </c>
      <c r="D17" s="43" t="n">
        <v>5</v>
      </c>
      <c r="E17" s="43" t="n">
        <v>143</v>
      </c>
      <c r="F17" s="43" t="n">
        <v>40</v>
      </c>
      <c r="G17" s="43" t="n">
        <v>12</v>
      </c>
      <c r="H17" s="55">
        <f>SUMPRODUCT(('Đơn vị – vũ khí'!$A$2:$A$311=A17)*('Đơn vị – vũ khí'!$F$2:$F$311=1)*N(+'Đơn vị – vũ khí'!$I$2:$I$311))</f>
        <v/>
      </c>
      <c r="I17" s="55">
        <f>SUMPRODUCT(('Đơn vị – vũ khí'!$A$2:$A$311=A17)*('Đơn vị – vũ khí'!$F$2:$F$311=1)*N(+'Đơn vị – vũ khí'!$J$2:$J$311))</f>
        <v/>
      </c>
      <c r="J17" s="55">
        <f>SUMPRODUCT(('Đơn vị – vũ khí'!$A$2:$A$311=A17)*('Đơn vị – vũ khí'!$F$2:$F$311=1)*N(+'Đơn vị – vũ khí'!$K$2:$K$311))</f>
        <v/>
      </c>
      <c r="K17" s="55">
        <f>SUMPRODUCT(('Đơn vị – vũ khí'!$A$2:$A$311=A17)*('Đơn vị – vũ khí'!$F$2:$F$311=1)*N(+'Đơn vị – vũ khí'!$L$2:$L$311))</f>
        <v/>
      </c>
      <c r="L17" s="55">
        <f>IFERROR(I17/D17,"")</f>
        <v/>
      </c>
      <c r="M17" s="41" t="n"/>
    </row>
    <row r="18" ht="15" customHeight="1" s="32">
      <c r="A18" s="39"/>
      <c r="B18" s="39"/>
      <c r="C18" s="39"/>
      <c r="D18" s="42"/>
      <c r="E18" s="42"/>
      <c r="F18" s="42"/>
      <c r="G18" s="42"/>
      <c r="H18" s="54"/>
      <c r="I18" s="54"/>
      <c r="J18" s="54"/>
      <c r="K18" s="54"/>
      <c r="L18" s="54"/>
      <c r="M18" s="39"/>
    </row>
    <row r="19" ht="15" customHeight="1" s="32">
      <c r="A19" s="41"/>
      <c r="B19" s="41"/>
      <c r="C19" s="41"/>
      <c r="D19" s="43"/>
      <c r="E19" s="43"/>
      <c r="F19" s="43"/>
      <c r="G19" s="43"/>
      <c r="H19" s="55"/>
      <c r="I19" s="55"/>
      <c r="J19" s="55"/>
      <c r="K19" s="55"/>
      <c r="L19" s="55"/>
      <c r="M19" s="41"/>
    </row>
    <row r="20" ht="15" customHeight="1" s="32">
      <c r="A20" s="39" t="inlineStr">
        <is>
          <t>rocket_technical</t>
        </is>
      </c>
      <c r="B20" s="39" t="inlineStr">
        <is>
          <t>Bán tải rốc-két</t>
        </is>
      </c>
      <c r="C20" s="39" t="inlineStr">
        <is>
          <t>Xe</t>
        </is>
      </c>
      <c r="D20" s="42" t="n">
        <v>3</v>
      </c>
      <c r="E20" s="42" t="n">
        <v>71</v>
      </c>
      <c r="F20" s="42" t="n">
        <v>38</v>
      </c>
      <c r="G20" s="42" t="n">
        <v>16</v>
      </c>
      <c r="H20" s="54">
        <f>SUMPRODUCT(('Đơn vị – vũ khí'!$A$2:$A$311=A20)*('Đơn vị – vũ khí'!$F$2:$F$311=1)*N(+'Đơn vị – vũ khí'!$I$2:$I$311))</f>
        <v/>
      </c>
      <c r="I20" s="54">
        <f>SUMPRODUCT(('Đơn vị – vũ khí'!$A$2:$A$311=A20)*('Đơn vị – vũ khí'!$F$2:$F$311=1)*N(+'Đơn vị – vũ khí'!$J$2:$J$311))</f>
        <v/>
      </c>
      <c r="J20" s="54">
        <f>SUMPRODUCT(('Đơn vị – vũ khí'!$A$2:$A$311=A20)*('Đơn vị – vũ khí'!$F$2:$F$311=1)*N(+'Đơn vị – vũ khí'!$K$2:$K$311))</f>
        <v/>
      </c>
      <c r="K20" s="54">
        <f>SUMPRODUCT(('Đơn vị – vũ khí'!$A$2:$A$311=A20)*('Đơn vị – vũ khí'!$F$2:$F$311=1)*N(+'Đơn vị – vũ khí'!$L$2:$L$311))</f>
        <v/>
      </c>
      <c r="L20" s="54">
        <f>IFERROR(I20/D20,"")</f>
        <v/>
      </c>
      <c r="M20" s="39" t="n"/>
    </row>
    <row r="21" ht="15" customHeight="1" s="32">
      <c r="A21" s="41" t="inlineStr">
        <is>
          <t>mortar_carrier</t>
        </is>
      </c>
      <c r="B21" s="41" t="inlineStr">
        <is>
          <t>Xe súng cối</t>
        </is>
      </c>
      <c r="C21" s="41" t="inlineStr">
        <is>
          <t>Xe</t>
        </is>
      </c>
      <c r="D21" s="43" t="n">
        <v>4</v>
      </c>
      <c r="E21" s="43" t="n">
        <v>65</v>
      </c>
      <c r="F21" s="43" t="n">
        <v>33</v>
      </c>
      <c r="G21" s="43" t="n">
        <v>16</v>
      </c>
      <c r="H21" s="55">
        <f>SUMPRODUCT(('Đơn vị – vũ khí'!$A$2:$A$311=A21)*('Đơn vị – vũ khí'!$F$2:$F$311=1)*N(+'Đơn vị – vũ khí'!$I$2:$I$311))</f>
        <v/>
      </c>
      <c r="I21" s="55">
        <f>SUMPRODUCT(('Đơn vị – vũ khí'!$A$2:$A$311=A21)*('Đơn vị – vũ khí'!$F$2:$F$311=1)*N(+'Đơn vị – vũ khí'!$J$2:$J$311))</f>
        <v/>
      </c>
      <c r="J21" s="55">
        <f>SUMPRODUCT(('Đơn vị – vũ khí'!$A$2:$A$311=A21)*('Đơn vị – vũ khí'!$F$2:$F$311=1)*N(+'Đơn vị – vũ khí'!$K$2:$K$311))</f>
        <v/>
      </c>
      <c r="K21" s="55">
        <f>SUMPRODUCT(('Đơn vị – vũ khí'!$A$2:$A$311=A21)*('Đơn vị – vũ khí'!$F$2:$F$311=1)*N(+'Đơn vị – vũ khí'!$L$2:$L$311))</f>
        <v/>
      </c>
      <c r="L21" s="55">
        <f>IFERROR(I21/D21,"")</f>
        <v/>
      </c>
      <c r="M21" s="41" t="n"/>
    </row>
    <row r="22" ht="15" customHeight="1" s="32">
      <c r="A22" s="39" t="inlineStr">
        <is>
          <t>artillery</t>
        </is>
      </c>
      <c r="B22" s="39" t="inlineStr">
        <is>
          <t>Pháo tự hành</t>
        </is>
      </c>
      <c r="C22" s="39" t="inlineStr">
        <is>
          <t>Xe</t>
        </is>
      </c>
      <c r="D22" s="42" t="n">
        <v>6</v>
      </c>
      <c r="E22" s="42" t="n">
        <v>72</v>
      </c>
      <c r="F22" s="42" t="n">
        <v>40</v>
      </c>
      <c r="G22" s="42" t="n">
        <v>16</v>
      </c>
      <c r="H22" s="54">
        <f>SUMPRODUCT(('Đơn vị – vũ khí'!$A$2:$A$311=A22)*('Đơn vị – vũ khí'!$F$2:$F$311=1)*N(+'Đơn vị – vũ khí'!$I$2:$I$311))</f>
        <v/>
      </c>
      <c r="I22" s="54">
        <f>SUMPRODUCT(('Đơn vị – vũ khí'!$A$2:$A$311=A22)*('Đơn vị – vũ khí'!$F$2:$F$311=1)*N(+'Đơn vị – vũ khí'!$J$2:$J$311))</f>
        <v/>
      </c>
      <c r="J22" s="54">
        <f>SUMPRODUCT(('Đơn vị – vũ khí'!$A$2:$A$311=A22)*('Đơn vị – vũ khí'!$F$2:$F$311=1)*N(+'Đơn vị – vũ khí'!$K$2:$K$311))</f>
        <v/>
      </c>
      <c r="K22" s="54">
        <f>SUMPRODUCT(('Đơn vị – vũ khí'!$A$2:$A$311=A22)*('Đơn vị – vũ khí'!$F$2:$F$311=1)*N(+'Đơn vị – vũ khí'!$L$2:$L$311))</f>
        <v/>
      </c>
      <c r="L22" s="54">
        <f>IFERROR(I22/D22,"")</f>
        <v/>
      </c>
      <c r="M22" s="39" t="n"/>
    </row>
    <row r="23" ht="21.75" customHeight="1" s="32">
      <c r="A23" s="41" t="inlineStr">
        <is>
          <t>mlrs</t>
        </is>
      </c>
      <c r="B23" s="41" t="inlineStr">
        <is>
          <t>Pháo phản lực</t>
        </is>
      </c>
      <c r="C23" s="41" t="inlineStr">
        <is>
          <t>Xe</t>
        </is>
      </c>
      <c r="D23" s="43" t="n">
        <v>6</v>
      </c>
      <c r="E23" s="43" t="n">
        <v>79</v>
      </c>
      <c r="F23" s="43" t="n">
        <v>47</v>
      </c>
      <c r="G23" s="43" t="n">
        <v>16</v>
      </c>
      <c r="H23" s="55">
        <f>SUMPRODUCT(('Đơn vị – vũ khí'!$A$2:$A$311=A23)*('Đơn vị – vũ khí'!$F$2:$F$311=1)*N(+'Đơn vị – vũ khí'!$I$2:$I$311))</f>
        <v/>
      </c>
      <c r="I23" s="55">
        <f>SUMPRODUCT(('Đơn vị – vũ khí'!$A$2:$A$311=A23)*('Đơn vị – vũ khí'!$F$2:$F$311=1)*N(+'Đơn vị – vũ khí'!$J$2:$J$311))</f>
        <v/>
      </c>
      <c r="J23" s="55">
        <f>SUMPRODUCT(('Đơn vị – vũ khí'!$A$2:$A$311=A23)*('Đơn vị – vũ khí'!$F$2:$F$311=1)*N(+'Đơn vị – vũ khí'!$K$2:$K$311))</f>
        <v/>
      </c>
      <c r="K23" s="55">
        <f>SUMPRODUCT(('Đơn vị – vũ khí'!$A$2:$A$311=A23)*('Đơn vị – vũ khí'!$F$2:$F$311=1)*N(+'Đơn vị – vũ khí'!$L$2:$L$311))</f>
        <v/>
      </c>
      <c r="L23" s="55">
        <f>IFERROR(I23/D23,"")</f>
        <v/>
      </c>
      <c r="M23" s="41" t="inlineStr">
        <is>
          <t>Bỏ súng máy M2 — HIMARS thường không mang súng máy; tăng rủi ro khi bị áp sát.</t>
        </is>
      </c>
    </row>
    <row r="24" ht="15" customHeight="1" s="32">
      <c r="A24" s="39" t="inlineStr">
        <is>
          <t>shahed_truck</t>
        </is>
      </c>
      <c r="B24" s="39" t="inlineStr">
        <is>
          <t>Xe phóng Shahed</t>
        </is>
      </c>
      <c r="C24" s="39" t="inlineStr">
        <is>
          <t>Xe</t>
        </is>
      </c>
      <c r="D24" s="42" t="n">
        <v>8</v>
      </c>
      <c r="E24" s="42" t="n">
        <v>79</v>
      </c>
      <c r="F24" s="42" t="n">
        <v>47</v>
      </c>
      <c r="G24" s="42" t="n">
        <v>16</v>
      </c>
      <c r="H24" s="54">
        <f>SUMPRODUCT(('Đơn vị – vũ khí'!$A$2:$A$311=A24)*('Đơn vị – vũ khí'!$F$2:$F$311=1)*N(+'Đơn vị – vũ khí'!$I$2:$I$311))</f>
        <v/>
      </c>
      <c r="I24" s="54">
        <f>SUMPRODUCT(('Đơn vị – vũ khí'!$A$2:$A$311=A24)*('Đơn vị – vũ khí'!$F$2:$F$311=1)*N(+'Đơn vị – vũ khí'!$J$2:$J$311))</f>
        <v/>
      </c>
      <c r="J24" s="54">
        <f>SUMPRODUCT(('Đơn vị – vũ khí'!$A$2:$A$311=A24)*('Đơn vị – vũ khí'!$F$2:$F$311=1)*N(+'Đơn vị – vũ khí'!$K$2:$K$311))</f>
        <v/>
      </c>
      <c r="K24" s="54">
        <f>SUMPRODUCT(('Đơn vị – vũ khí'!$A$2:$A$311=A24)*('Đơn vị – vũ khí'!$F$2:$F$311=1)*N(+'Đơn vị – vũ khí'!$L$2:$L$311))</f>
        <v/>
      </c>
      <c r="L24" s="54">
        <f>IFERROR(I24/D24,"")</f>
        <v/>
      </c>
      <c r="M24" s="39" t="n"/>
    </row>
    <row r="25" ht="15" customHeight="1" s="32">
      <c r="A25" s="41" t="inlineStr">
        <is>
          <t>thermobaric_launcher</t>
        </is>
      </c>
      <c r="B25" s="41" t="inlineStr">
        <is>
          <t>Pháo phản lực nhiệt áp</t>
        </is>
      </c>
      <c r="C25" s="41" t="inlineStr">
        <is>
          <t>Xe</t>
        </is>
      </c>
      <c r="D25" s="43" t="n">
        <v>8</v>
      </c>
      <c r="E25" s="43" t="n">
        <v>93</v>
      </c>
      <c r="F25" s="43" t="n">
        <v>61</v>
      </c>
      <c r="G25" s="43" t="n">
        <v>16</v>
      </c>
      <c r="H25" s="55">
        <f>SUMPRODUCT(('Đơn vị – vũ khí'!$A$2:$A$311=A25)*('Đơn vị – vũ khí'!$F$2:$F$311=1)*N(+'Đơn vị – vũ khí'!$I$2:$I$311))</f>
        <v/>
      </c>
      <c r="I25" s="55">
        <f>SUMPRODUCT(('Đơn vị – vũ khí'!$A$2:$A$311=A25)*('Đơn vị – vũ khí'!$F$2:$F$311=1)*N(+'Đơn vị – vũ khí'!$J$2:$J$311))</f>
        <v/>
      </c>
      <c r="J25" s="55">
        <f>SUMPRODUCT(('Đơn vị – vũ khí'!$A$2:$A$311=A25)*('Đơn vị – vũ khí'!$F$2:$F$311=1)*N(+'Đơn vị – vũ khí'!$K$2:$K$311))</f>
        <v/>
      </c>
      <c r="K25" s="55">
        <f>SUMPRODUCT(('Đơn vị – vũ khí'!$A$2:$A$311=A25)*('Đơn vị – vũ khí'!$F$2:$F$311=1)*N(+'Đơn vị – vũ khí'!$L$2:$L$311))</f>
        <v/>
      </c>
      <c r="L25" s="55">
        <f>IFERROR(I25/D25,"")</f>
        <v/>
      </c>
      <c r="M25" s="41" t="n"/>
    </row>
    <row r="26" ht="15" customHeight="1" s="32">
      <c r="A26" s="39" t="inlineStr">
        <is>
          <t>ballistic_launcher</t>
        </is>
      </c>
      <c r="B26" s="39" t="inlineStr">
        <is>
          <t>Xe phóng tên lửa đạn đạo</t>
        </is>
      </c>
      <c r="C26" s="39" t="inlineStr">
        <is>
          <t>Xe</t>
        </is>
      </c>
      <c r="D26" s="42" t="n">
        <v>11</v>
      </c>
      <c r="E26" s="42" t="n">
        <v>86</v>
      </c>
      <c r="F26" s="42" t="n">
        <v>54</v>
      </c>
      <c r="G26" s="42" t="n">
        <v>16</v>
      </c>
      <c r="H26" s="54">
        <f>SUMPRODUCT(('Đơn vị – vũ khí'!$A$2:$A$311=A26)*('Đơn vị – vũ khí'!$F$2:$F$311=1)*N(+'Đơn vị – vũ khí'!$I$2:$I$311))</f>
        <v/>
      </c>
      <c r="I26" s="54">
        <f>SUMPRODUCT(('Đơn vị – vũ khí'!$A$2:$A$311=A26)*('Đơn vị – vũ khí'!$F$2:$F$311=1)*N(+'Đơn vị – vũ khí'!$J$2:$J$311))</f>
        <v/>
      </c>
      <c r="J26" s="54">
        <f>SUMPRODUCT(('Đơn vị – vũ khí'!$A$2:$A$311=A26)*('Đơn vị – vũ khí'!$F$2:$F$311=1)*N(+'Đơn vị – vũ khí'!$K$2:$K$311))</f>
        <v/>
      </c>
      <c r="K26" s="54">
        <f>SUMPRODUCT(('Đơn vị – vũ khí'!$A$2:$A$311=A26)*('Đơn vị – vũ khí'!$F$2:$F$311=1)*N(+'Đơn vị – vũ khí'!$L$2:$L$311))</f>
        <v/>
      </c>
      <c r="L26" s="54">
        <f>IFERROR(I26/D26,"")</f>
        <v/>
      </c>
      <c r="M26" s="39" t="inlineStr">
        <is>
          <t>Bỏ súng máy M2 — Iskander không có súng máy tự vệ.</t>
        </is>
      </c>
    </row>
    <row r="27" ht="15" customHeight="1" s="32">
      <c r="A27" s="41" t="inlineStr">
        <is>
          <t>heavy_rocket_artillery</t>
        </is>
      </c>
      <c r="B27" s="41" t="inlineStr">
        <is>
          <t>Pháo phản lực hạng nặng</t>
        </is>
      </c>
      <c r="C27" s="41" t="inlineStr">
        <is>
          <t>Xe</t>
        </is>
      </c>
      <c r="D27" s="43" t="n">
        <v>11</v>
      </c>
      <c r="E27" s="43" t="n">
        <v>110</v>
      </c>
      <c r="F27" s="43" t="n">
        <v>78</v>
      </c>
      <c r="G27" s="43" t="n">
        <v>16</v>
      </c>
      <c r="H27" s="55">
        <f>SUMPRODUCT(('Đơn vị – vũ khí'!$A$2:$A$311=A27)*('Đơn vị – vũ khí'!$F$2:$F$311=1)*N(+'Đơn vị – vũ khí'!$I$2:$I$311))</f>
        <v/>
      </c>
      <c r="I27" s="55">
        <f>SUMPRODUCT(('Đơn vị – vũ khí'!$A$2:$A$311=A27)*('Đơn vị – vũ khí'!$F$2:$F$311=1)*N(+'Đơn vị – vũ khí'!$J$2:$J$311))</f>
        <v/>
      </c>
      <c r="J27" s="55">
        <f>SUMPRODUCT(('Đơn vị – vũ khí'!$A$2:$A$311=A27)*('Đơn vị – vũ khí'!$F$2:$F$311=1)*N(+'Đơn vị – vũ khí'!$K$2:$K$311))</f>
        <v/>
      </c>
      <c r="K27" s="55">
        <f>SUMPRODUCT(('Đơn vị – vũ khí'!$A$2:$A$311=A27)*('Đơn vị – vũ khí'!$F$2:$F$311=1)*N(+'Đơn vị – vũ khí'!$L$2:$L$311))</f>
        <v/>
      </c>
      <c r="L27" s="55">
        <f>IFERROR(I27/D27,"")</f>
        <v/>
      </c>
      <c r="M27" s="41" t="inlineStr">
        <is>
          <t>Bỏ súng máy M2 — Smerch không có súng máy tự vệ.</t>
        </is>
      </c>
    </row>
    <row r="28" ht="15" customHeight="1" s="32">
      <c r="A28" s="39" t="inlineStr">
        <is>
          <t>siege_tank</t>
        </is>
      </c>
      <c r="B28" s="39" t="inlineStr">
        <is>
          <t>Tăng công thành</t>
        </is>
      </c>
      <c r="C28" s="39" t="inlineStr">
        <is>
          <t>Xe</t>
        </is>
      </c>
      <c r="D28" s="42" t="n">
        <v>12</v>
      </c>
      <c r="E28" s="42" t="n">
        <v>144</v>
      </c>
      <c r="F28" s="42" t="n">
        <v>96</v>
      </c>
      <c r="G28" s="42" t="n">
        <v>16</v>
      </c>
      <c r="H28" s="54">
        <f>SUMPRODUCT(('Đơn vị – vũ khí'!$A$2:$A$311=A28)*('Đơn vị – vũ khí'!$F$2:$F$311=1)*N(+'Đơn vị – vũ khí'!$I$2:$I$311))</f>
        <v/>
      </c>
      <c r="I28" s="54">
        <f>SUMPRODUCT(('Đơn vị – vũ khí'!$A$2:$A$311=A28)*('Đơn vị – vũ khí'!$F$2:$F$311=1)*N(+'Đơn vị – vũ khí'!$J$2:$J$311))</f>
        <v/>
      </c>
      <c r="J28" s="54">
        <f>SUMPRODUCT(('Đơn vị – vũ khí'!$A$2:$A$311=A28)*('Đơn vị – vũ khí'!$F$2:$F$311=1)*N(+'Đơn vị – vũ khí'!$K$2:$K$311))</f>
        <v/>
      </c>
      <c r="K28" s="54">
        <f>SUMPRODUCT(('Đơn vị – vũ khí'!$A$2:$A$311=A28)*('Đơn vị – vũ khí'!$F$2:$F$311=1)*N(+'Đơn vị – vũ khí'!$L$2:$L$311))</f>
        <v/>
      </c>
      <c r="L28" s="54">
        <f>IFERROR(I28/D28,"")</f>
        <v/>
      </c>
      <c r="M28" s="39" t="n"/>
    </row>
    <row r="29" ht="15" customHeight="1" s="32">
      <c r="A29" s="41" t="inlineStr">
        <is>
          <t>zu23_technical</t>
        </is>
      </c>
      <c r="B29" s="41" t="inlineStr">
        <is>
          <t>Bán tải ZU-23</t>
        </is>
      </c>
      <c r="C29" s="41" t="inlineStr">
        <is>
          <t>Xe</t>
        </is>
      </c>
      <c r="D29" s="43" t="n">
        <v>3</v>
      </c>
      <c r="E29" s="43" t="n">
        <v>61</v>
      </c>
      <c r="F29" s="43" t="n">
        <v>18</v>
      </c>
      <c r="G29" s="43" t="n">
        <v>186</v>
      </c>
      <c r="H29" s="55">
        <f>SUMPRODUCT(('Đơn vị – vũ khí'!$A$2:$A$311=A29)*('Đơn vị – vũ khí'!$F$2:$F$311=1)*N(+'Đơn vị – vũ khí'!$I$2:$I$311))</f>
        <v/>
      </c>
      <c r="I29" s="55">
        <f>SUMPRODUCT(('Đơn vị – vũ khí'!$A$2:$A$311=A29)*('Đơn vị – vũ khí'!$F$2:$F$311=1)*N(+'Đơn vị – vũ khí'!$J$2:$J$311))</f>
        <v/>
      </c>
      <c r="J29" s="55">
        <f>SUMPRODUCT(('Đơn vị – vũ khí'!$A$2:$A$311=A29)*('Đơn vị – vũ khí'!$F$2:$F$311=1)*N(+'Đơn vị – vũ khí'!$K$2:$K$311))</f>
        <v/>
      </c>
      <c r="K29" s="55">
        <f>SUMPRODUCT(('Đơn vị – vũ khí'!$A$2:$A$311=A29)*('Đơn vị – vũ khí'!$F$2:$F$311=1)*N(+'Đơn vị – vũ khí'!$L$2:$L$311))</f>
        <v/>
      </c>
      <c r="L29" s="55">
        <f>IFERROR(I29/D29,"")</f>
        <v/>
      </c>
      <c r="M29" s="41" t="n"/>
    </row>
    <row r="30" ht="15" customHeight="1" s="32">
      <c r="A30" s="39" t="inlineStr">
        <is>
          <t>aa_vehicle</t>
        </is>
      </c>
      <c r="B30" s="39" t="inlineStr">
        <is>
          <t>Xe phòng không</t>
        </is>
      </c>
      <c r="C30" s="39" t="inlineStr">
        <is>
          <t>Xe</t>
        </is>
      </c>
      <c r="D30" s="42" t="n">
        <v>4</v>
      </c>
      <c r="E30" s="42" t="n">
        <v>48</v>
      </c>
      <c r="F30" s="42" t="n">
        <v>24</v>
      </c>
      <c r="G30" s="42" t="n">
        <v>174</v>
      </c>
      <c r="H30" s="54">
        <f>SUMPRODUCT(('Đơn vị – vũ khí'!$A$2:$A$311=A30)*('Đơn vị – vũ khí'!$F$2:$F$311=1)*N(+'Đơn vị – vũ khí'!$I$2:$I$311))</f>
        <v/>
      </c>
      <c r="I30" s="54">
        <f>SUMPRODUCT(('Đơn vị – vũ khí'!$A$2:$A$311=A30)*('Đơn vị – vũ khí'!$F$2:$F$311=1)*N(+'Đơn vị – vũ khí'!$J$2:$J$311))</f>
        <v/>
      </c>
      <c r="J30" s="54">
        <f>SUMPRODUCT(('Đơn vị – vũ khí'!$A$2:$A$311=A30)*('Đơn vị – vũ khí'!$F$2:$F$311=1)*N(+'Đơn vị – vũ khí'!$K$2:$K$311))</f>
        <v/>
      </c>
      <c r="K30" s="54">
        <f>SUMPRODUCT(('Đơn vị – vũ khí'!$A$2:$A$311=A30)*('Đơn vị – vũ khí'!$F$2:$F$311=1)*N(+'Đơn vị – vũ khí'!$L$2:$L$311))</f>
        <v/>
      </c>
      <c r="L30" s="54">
        <f>IFERROR(I30/D30,"")</f>
        <v/>
      </c>
      <c r="M30" s="39" t="inlineStr">
        <is>
          <t>Giữ Stinger phụ — Gepard bản nâng cấp có thể mang Stinger.</t>
        </is>
      </c>
    </row>
    <row r="31" ht="21.75" customHeight="1" s="32">
      <c r="A31" s="41" t="inlineStr">
        <is>
          <t>sam_launcher</t>
        </is>
      </c>
      <c r="B31" s="41" t="inlineStr">
        <is>
          <t>Tên lửa phòng không</t>
        </is>
      </c>
      <c r="C31" s="41" t="inlineStr">
        <is>
          <t>Xe</t>
        </is>
      </c>
      <c r="D31" s="43" t="n">
        <v>5</v>
      </c>
      <c r="E31" s="43" t="n">
        <v>46</v>
      </c>
      <c r="F31" s="43" t="n">
        <v>13</v>
      </c>
      <c r="G31" s="43" t="n">
        <v>313</v>
      </c>
      <c r="H31" s="55">
        <f>SUMPRODUCT(('Đơn vị – vũ khí'!$A$2:$A$311=A31)*('Đơn vị – vũ khí'!$F$2:$F$311=1)*N(+'Đơn vị – vũ khí'!$I$2:$I$311))</f>
        <v/>
      </c>
      <c r="I31" s="55">
        <f>SUMPRODUCT(('Đơn vị – vũ khí'!$A$2:$A$311=A31)*('Đơn vị – vũ khí'!$F$2:$F$311=1)*N(+'Đơn vị – vũ khí'!$J$2:$J$311))</f>
        <v/>
      </c>
      <c r="J31" s="55">
        <f>SUMPRODUCT(('Đơn vị – vũ khí'!$A$2:$A$311=A31)*('Đơn vị – vũ khí'!$F$2:$F$311=1)*N(+'Đơn vị – vũ khí'!$K$2:$K$311))</f>
        <v/>
      </c>
      <c r="K31" s="55">
        <f>SUMPRODUCT(('Đơn vị – vũ khí'!$A$2:$A$311=A31)*('Đơn vị – vũ khí'!$F$2:$F$311=1)*N(+'Đơn vị – vũ khí'!$L$2:$L$311))</f>
        <v/>
      </c>
      <c r="L31" s="55">
        <f>IFERROR(I31/D31,"")</f>
        <v/>
      </c>
      <c r="M31" s="41" t="inlineStr">
        <is>
          <t>Bỏ súng máy M2 — Buk TELAR thật không có súng máy; để xe phóng tên lửa yếu khi bị áp sát (cần hộ tống).</t>
        </is>
      </c>
    </row>
    <row r="32" ht="21.75" customHeight="1" s="32">
      <c r="A32" s="39" t="inlineStr">
        <is>
          <t>heavy_aa</t>
        </is>
      </c>
      <c r="B32" s="39" t="inlineStr">
        <is>
          <t>Pháo tên lửa phòng không</t>
        </is>
      </c>
      <c r="C32" s="39" t="inlineStr">
        <is>
          <t>Xe</t>
        </is>
      </c>
      <c r="D32" s="42" t="n">
        <v>6</v>
      </c>
      <c r="E32" s="42" t="n">
        <v>126</v>
      </c>
      <c r="F32" s="42" t="n">
        <v>63</v>
      </c>
      <c r="G32" s="42" t="n">
        <v>378</v>
      </c>
      <c r="H32" s="54">
        <f>SUMPRODUCT(('Đơn vị – vũ khí'!$A$2:$A$311=A32)*('Đơn vị – vũ khí'!$F$2:$F$311=1)*N(+'Đơn vị – vũ khí'!$I$2:$I$311))</f>
        <v/>
      </c>
      <c r="I32" s="54">
        <f>SUMPRODUCT(('Đơn vị – vũ khí'!$A$2:$A$311=A32)*('Đơn vị – vũ khí'!$F$2:$F$311=1)*N(+'Đơn vị – vũ khí'!$J$2:$J$311))</f>
        <v/>
      </c>
      <c r="J32" s="54">
        <f>SUMPRODUCT(('Đơn vị – vũ khí'!$A$2:$A$311=A32)*('Đơn vị – vũ khí'!$F$2:$F$311=1)*N(+'Đơn vị – vũ khí'!$K$2:$K$311))</f>
        <v/>
      </c>
      <c r="K32" s="54">
        <f>SUMPRODUCT(('Đơn vị – vũ khí'!$A$2:$A$311=A32)*('Đơn vị – vũ khí'!$F$2:$F$311=1)*N(+'Đơn vị – vũ khí'!$L$2:$L$311))</f>
        <v/>
      </c>
      <c r="L32" s="54">
        <f>IFERROR(I32/D32,"")</f>
        <v/>
      </c>
      <c r="M32" s="39" t="inlineStr">
        <is>
          <t>Đổi Stinger → tên lửa 57E6 (Pantsir): 1 × 220, Mảnh xuyên 3, tầm 55, tốc độ 55 — Pantsir thật mang tên lửa riêng tầm xa hơn Stinger.</t>
        </is>
      </c>
    </row>
    <row r="33" ht="15" customHeight="1" s="32">
      <c r="A33" s="41" t="inlineStr">
        <is>
          <t>iron_beam</t>
        </is>
      </c>
      <c r="B33" s="41" t="inlineStr">
        <is>
          <t>La-de phòng không</t>
        </is>
      </c>
      <c r="C33" s="41" t="inlineStr">
        <is>
          <t>Xe</t>
        </is>
      </c>
      <c r="D33" s="43" t="n">
        <v>7</v>
      </c>
      <c r="E33" s="43" t="n">
        <v>0</v>
      </c>
      <c r="F33" s="43" t="n">
        <v>0</v>
      </c>
      <c r="G33" s="43" t="n">
        <v>214</v>
      </c>
      <c r="H33" s="55">
        <f>SUMPRODUCT(('Đơn vị – vũ khí'!$A$2:$A$311=A33)*('Đơn vị – vũ khí'!$F$2:$F$311=1)*N(+'Đơn vị – vũ khí'!$I$2:$I$311))</f>
        <v/>
      </c>
      <c r="I33" s="55">
        <f>SUMPRODUCT(('Đơn vị – vũ khí'!$A$2:$A$311=A33)*('Đơn vị – vũ khí'!$F$2:$F$311=1)*N(+'Đơn vị – vũ khí'!$J$2:$J$311))</f>
        <v/>
      </c>
      <c r="J33" s="55">
        <f>SUMPRODUCT(('Đơn vị – vũ khí'!$A$2:$A$311=A33)*('Đơn vị – vũ khí'!$F$2:$F$311=1)*N(+'Đơn vị – vũ khí'!$K$2:$K$311))</f>
        <v/>
      </c>
      <c r="K33" s="55">
        <f>SUMPRODUCT(('Đơn vị – vũ khí'!$A$2:$A$311=A33)*('Đơn vị – vũ khí'!$F$2:$F$311=1)*N(+'Đơn vị – vũ khí'!$L$2:$L$311))</f>
        <v/>
      </c>
      <c r="L33" s="55">
        <f>IFERROR(I33/D33,"")</f>
        <v/>
      </c>
      <c r="M33" s="41" t="n"/>
    </row>
    <row r="34" ht="15" customHeight="1" s="32">
      <c r="A34" s="39" t="inlineStr">
        <is>
          <t>long_sam</t>
        </is>
      </c>
      <c r="B34" s="39" t="inlineStr">
        <is>
          <t>Tên lửa phòng không tầm xa</t>
        </is>
      </c>
      <c r="C34" s="39" t="inlineStr">
        <is>
          <t>Xe</t>
        </is>
      </c>
      <c r="D34" s="42" t="n">
        <v>11</v>
      </c>
      <c r="E34" s="42" t="n">
        <v>0</v>
      </c>
      <c r="F34" s="42" t="n">
        <v>0</v>
      </c>
      <c r="G34" s="42" t="n">
        <v>114</v>
      </c>
      <c r="H34" s="54">
        <f>SUMPRODUCT(('Đơn vị – vũ khí'!$A$2:$A$311=A34)*('Đơn vị – vũ khí'!$F$2:$F$311=1)*N(+'Đơn vị – vũ khí'!$I$2:$I$311))</f>
        <v/>
      </c>
      <c r="I34" s="54">
        <f>SUMPRODUCT(('Đơn vị – vũ khí'!$A$2:$A$311=A34)*('Đơn vị – vũ khí'!$F$2:$F$311=1)*N(+'Đơn vị – vũ khí'!$J$2:$J$311))</f>
        <v/>
      </c>
      <c r="J34" s="54">
        <f>SUMPRODUCT(('Đơn vị – vũ khí'!$A$2:$A$311=A34)*('Đơn vị – vũ khí'!$F$2:$F$311=1)*N(+'Đơn vị – vũ khí'!$K$2:$K$311))</f>
        <v/>
      </c>
      <c r="K34" s="54">
        <f>SUMPRODUCT(('Đơn vị – vũ khí'!$A$2:$A$311=A34)*('Đơn vị – vũ khí'!$F$2:$F$311=1)*N(+'Đơn vị – vũ khí'!$L$2:$L$311))</f>
        <v/>
      </c>
      <c r="L34" s="54">
        <f>IFERROR(I34/D34,"")</f>
        <v/>
      </c>
      <c r="M34" s="39" t="n"/>
    </row>
    <row r="35" ht="21.75" customHeight="1" s="32">
      <c r="A35" s="41" t="inlineStr">
        <is>
          <t>scout_heli</t>
        </is>
      </c>
      <c r="B35" s="41" t="inlineStr">
        <is>
          <t>Trực thăng trinh sát</t>
        </is>
      </c>
      <c r="C35" s="41" t="inlineStr">
        <is>
          <t>Xe</t>
        </is>
      </c>
      <c r="D35" s="43" t="n">
        <v>4</v>
      </c>
      <c r="E35" s="43" t="n">
        <v>58</v>
      </c>
      <c r="F35" s="43" t="n">
        <v>20</v>
      </c>
      <c r="G35" s="43" t="n">
        <v>15</v>
      </c>
      <c r="H35" s="55">
        <f>SUMPRODUCT(('Đơn vị – vũ khí'!$A$2:$A$311=A35)*('Đơn vị – vũ khí'!$F$2:$F$311=1)*N(+'Đơn vị – vũ khí'!$I$2:$I$311))</f>
        <v/>
      </c>
      <c r="I35" s="55">
        <f>SUMPRODUCT(('Đơn vị – vũ khí'!$A$2:$A$311=A35)*('Đơn vị – vũ khí'!$F$2:$F$311=1)*N(+'Đơn vị – vũ khí'!$J$2:$J$311))</f>
        <v/>
      </c>
      <c r="J35" s="55">
        <f>SUMPRODUCT(('Đơn vị – vũ khí'!$A$2:$A$311=A35)*('Đơn vị – vũ khí'!$F$2:$F$311=1)*N(+'Đơn vị – vũ khí'!$K$2:$K$311))</f>
        <v/>
      </c>
      <c r="K35" s="55">
        <f>SUMPRODUCT(('Đơn vị – vũ khí'!$A$2:$A$311=A35)*('Đơn vị – vũ khí'!$F$2:$F$311=1)*N(+'Đơn vị – vũ khí'!$L$2:$L$311))</f>
        <v/>
      </c>
      <c r="L35" s="55">
        <f>IFERROR(I35/D35,"")</f>
        <v/>
      </c>
      <c r="M35" s="41" t="inlineStr">
        <is>
          <t>Hydra: 12 → 6 quả mỗi lần đầy đạn — Trực thăng trinh sát đang diệt xe nhẹ mạnh nhất game theo CP.</t>
        </is>
      </c>
    </row>
    <row r="36" ht="15" customHeight="1" s="32">
      <c r="A36" s="39" t="inlineStr">
        <is>
          <t>recon_drone</t>
        </is>
      </c>
      <c r="B36" s="39" t="inlineStr">
        <is>
          <t>UAV trinh sát</t>
        </is>
      </c>
      <c r="C36" s="39" t="inlineStr">
        <is>
          <t>Xe</t>
        </is>
      </c>
      <c r="D36" s="42" t="n">
        <v>6</v>
      </c>
      <c r="E36" s="42" t="n">
        <v>17</v>
      </c>
      <c r="F36" s="42" t="n">
        <v>12</v>
      </c>
      <c r="G36" s="42" t="n">
        <v>0</v>
      </c>
      <c r="H36" s="54">
        <f>SUMPRODUCT(('Đơn vị – vũ khí'!$A$2:$A$311=A36)*('Đơn vị – vũ khí'!$F$2:$F$311=1)*N(+'Đơn vị – vũ khí'!$I$2:$I$311))</f>
        <v/>
      </c>
      <c r="I36" s="54">
        <f>SUMPRODUCT(('Đơn vị – vũ khí'!$A$2:$A$311=A36)*('Đơn vị – vũ khí'!$F$2:$F$311=1)*N(+'Đơn vị – vũ khí'!$J$2:$J$311))</f>
        <v/>
      </c>
      <c r="J36" s="54">
        <f>SUMPRODUCT(('Đơn vị – vũ khí'!$A$2:$A$311=A36)*('Đơn vị – vũ khí'!$F$2:$F$311=1)*N(+'Đơn vị – vũ khí'!$K$2:$K$311))</f>
        <v/>
      </c>
      <c r="K36" s="54">
        <f>SUMPRODUCT(('Đơn vị – vũ khí'!$A$2:$A$311=A36)*('Đơn vị – vũ khí'!$F$2:$F$311=1)*N(+'Đơn vị – vũ khí'!$L$2:$L$311))</f>
        <v/>
      </c>
      <c r="L36" s="54">
        <f>IFERROR(I36/D36,"")</f>
        <v/>
      </c>
      <c r="M36" s="39" t="n"/>
    </row>
    <row r="37" ht="15" customHeight="1" s="32">
      <c r="A37" s="41"/>
      <c r="B37" s="41"/>
      <c r="C37" s="41"/>
      <c r="D37" s="43"/>
      <c r="E37" s="43"/>
      <c r="F37" s="43"/>
      <c r="G37" s="43"/>
      <c r="H37" s="55"/>
      <c r="I37" s="55"/>
      <c r="J37" s="55"/>
      <c r="K37" s="55"/>
      <c r="L37" s="55"/>
      <c r="M37" s="41"/>
    </row>
    <row r="38" ht="15" customHeight="1" s="32">
      <c r="A38" s="39" t="inlineStr">
        <is>
          <t>strike_drone</t>
        </is>
      </c>
      <c r="B38" s="39" t="inlineStr">
        <is>
          <t>UAV tấn công</t>
        </is>
      </c>
      <c r="C38" s="39" t="inlineStr">
        <is>
          <t>Xe</t>
        </is>
      </c>
      <c r="D38" s="42" t="n">
        <v>8</v>
      </c>
      <c r="E38" s="42" t="n">
        <v>68</v>
      </c>
      <c r="F38" s="42" t="n">
        <v>60</v>
      </c>
      <c r="G38" s="42" t="n">
        <v>0</v>
      </c>
      <c r="H38" s="54">
        <f>SUMPRODUCT(('Đơn vị – vũ khí'!$A$2:$A$311=A38)*('Đơn vị – vũ khí'!$F$2:$F$311=1)*N(+'Đơn vị – vũ khí'!$I$2:$I$311))</f>
        <v/>
      </c>
      <c r="I38" s="54">
        <f>SUMPRODUCT(('Đơn vị – vũ khí'!$A$2:$A$311=A38)*('Đơn vị – vũ khí'!$F$2:$F$311=1)*N(+'Đơn vị – vũ khí'!$J$2:$J$311))</f>
        <v/>
      </c>
      <c r="J38" s="54">
        <f>SUMPRODUCT(('Đơn vị – vũ khí'!$A$2:$A$311=A38)*('Đơn vị – vũ khí'!$F$2:$F$311=1)*N(+'Đơn vị – vũ khí'!$K$2:$K$311))</f>
        <v/>
      </c>
      <c r="K38" s="54">
        <f>SUMPRODUCT(('Đơn vị – vũ khí'!$A$2:$A$311=A38)*('Đơn vị – vũ khí'!$F$2:$F$311=1)*N(+'Đơn vị – vũ khí'!$L$2:$L$311))</f>
        <v/>
      </c>
      <c r="L38" s="54">
        <f>IFERROR(I38/D38,"")</f>
        <v/>
      </c>
      <c r="M38" s="39" t="n"/>
    </row>
    <row r="39" ht="32.25" customHeight="1" s="32">
      <c r="A39" s="41" t="inlineStr">
        <is>
          <t>swarm_carrier</t>
        </is>
      </c>
      <c r="B39" s="41" t="inlineStr">
        <is>
          <t>Máy bay mẹ thả drone</t>
        </is>
      </c>
      <c r="C39" s="41" t="inlineStr">
        <is>
          <t>Xe</t>
        </is>
      </c>
      <c r="D39" s="43" t="n">
        <v>8</v>
      </c>
      <c r="E39" s="43" t="n">
        <v>41</v>
      </c>
      <c r="F39" s="43" t="n">
        <v>41</v>
      </c>
      <c r="G39" s="43" t="n">
        <v>0</v>
      </c>
      <c r="H39" s="55">
        <f>SUMPRODUCT(('Đơn vị – vũ khí'!$A$2:$A$311=A39)*('Đơn vị – vũ khí'!$F$2:$F$311=1)*N(+'Đơn vị – vũ khí'!$I$2:$I$311))</f>
        <v/>
      </c>
      <c r="I39" s="55">
        <f>SUMPRODUCT(('Đơn vị – vũ khí'!$A$2:$A$311=A39)*('Đơn vị – vũ khí'!$F$2:$F$311=1)*N(+'Đơn vị – vũ khí'!$J$2:$J$311))</f>
        <v/>
      </c>
      <c r="J39" s="55">
        <f>SUMPRODUCT(('Đơn vị – vũ khí'!$A$2:$A$311=A39)*('Đơn vị – vũ khí'!$F$2:$F$311=1)*N(+'Đơn vị – vũ khí'!$K$2:$K$311))</f>
        <v/>
      </c>
      <c r="K39" s="55">
        <f>SUMPRODUCT(('Đơn vị – vũ khí'!$A$2:$A$311=A39)*('Đơn vị – vũ khí'!$F$2:$F$311=1)*N(+'Đơn vị – vũ khí'!$L$2:$L$311))</f>
        <v/>
      </c>
      <c r="L39" s="55">
        <f>IFERROR(I39/D39,"")</f>
        <v/>
      </c>
      <c r="M39" s="41" t="inlineStr">
        <is>
          <t>Bỏ bom SDB; thêm 2 tên lửa hành trình Rapid Dragon mỗi lượt — C-130 không mang bom dẫn đường, nhưng thả được tên lửa hành trình theo pallet (Rapid Dragon); xứng với kích thước và giá mới 13 CP.</t>
        </is>
      </c>
    </row>
    <row r="40" ht="15" customHeight="1" s="32">
      <c r="A40" s="39" t="inlineStr">
        <is>
          <t>attack_helicopter</t>
        </is>
      </c>
      <c r="B40" s="39" t="inlineStr">
        <is>
          <t>Trực thăng tấn công</t>
        </is>
      </c>
      <c r="C40" s="39" t="inlineStr">
        <is>
          <t>Xe</t>
        </is>
      </c>
      <c r="D40" s="42" t="n">
        <v>11</v>
      </c>
      <c r="E40" s="42" t="n">
        <v>166</v>
      </c>
      <c r="F40" s="42" t="n">
        <v>104</v>
      </c>
      <c r="G40" s="42" t="n">
        <v>40</v>
      </c>
      <c r="H40" s="54">
        <f>SUMPRODUCT(('Đơn vị – vũ khí'!$A$2:$A$311=A40)*('Đơn vị – vũ khí'!$F$2:$F$311=1)*N(+'Đơn vị – vũ khí'!$I$2:$I$311))</f>
        <v/>
      </c>
      <c r="I40" s="54">
        <f>SUMPRODUCT(('Đơn vị – vũ khí'!$A$2:$A$311=A40)*('Đơn vị – vũ khí'!$F$2:$F$311=1)*N(+'Đơn vị – vũ khí'!$J$2:$J$311))</f>
        <v/>
      </c>
      <c r="J40" s="54">
        <f>SUMPRODUCT(('Đơn vị – vũ khí'!$A$2:$A$311=A40)*('Đơn vị – vũ khí'!$F$2:$F$311=1)*N(+'Đơn vị – vũ khí'!$K$2:$K$311))</f>
        <v/>
      </c>
      <c r="K40" s="54">
        <f>SUMPRODUCT(('Đơn vị – vũ khí'!$A$2:$A$311=A40)*('Đơn vị – vũ khí'!$F$2:$F$311=1)*N(+'Đơn vị – vũ khí'!$L$2:$L$311))</f>
        <v/>
      </c>
      <c r="L40" s="54">
        <f>IFERROR(I40/D40,"")</f>
        <v/>
      </c>
      <c r="M40" s="39" t="n"/>
    </row>
    <row r="41" ht="15" customHeight="1" s="32">
      <c r="A41" s="41" t="inlineStr">
        <is>
          <t>fighter_jet</t>
        </is>
      </c>
      <c r="B41" s="41" t="inlineStr">
        <is>
          <t>Tiêm kích</t>
        </is>
      </c>
      <c r="C41" s="41" t="inlineStr">
        <is>
          <t>Xe</t>
        </is>
      </c>
      <c r="D41" s="43" t="n">
        <v>12</v>
      </c>
      <c r="E41" s="43" t="n">
        <v>67</v>
      </c>
      <c r="F41" s="43" t="n">
        <v>33</v>
      </c>
      <c r="G41" s="43" t="n">
        <v>269</v>
      </c>
      <c r="H41" s="55">
        <f>SUMPRODUCT(('Đơn vị – vũ khí'!$A$2:$A$311=A41)*('Đơn vị – vũ khí'!$F$2:$F$311=1)*N(+'Đơn vị – vũ khí'!$I$2:$I$311))</f>
        <v/>
      </c>
      <c r="I41" s="55">
        <f>SUMPRODUCT(('Đơn vị – vũ khí'!$A$2:$A$311=A41)*('Đơn vị – vũ khí'!$F$2:$F$311=1)*N(+'Đơn vị – vũ khí'!$J$2:$J$311))</f>
        <v/>
      </c>
      <c r="J41" s="55">
        <f>SUMPRODUCT(('Đơn vị – vũ khí'!$A$2:$A$311=A41)*('Đơn vị – vũ khí'!$F$2:$F$311=1)*N(+'Đơn vị – vũ khí'!$K$2:$K$311))</f>
        <v/>
      </c>
      <c r="K41" s="55">
        <f>SUMPRODUCT(('Đơn vị – vũ khí'!$A$2:$A$311=A41)*('Đơn vị – vũ khí'!$F$2:$F$311=1)*N(+'Đơn vị – vũ khí'!$L$2:$L$311))</f>
        <v/>
      </c>
      <c r="L41" s="55">
        <f>IFERROR(I41/D41,"")</f>
        <v/>
      </c>
      <c r="M41" s="41" t="n"/>
    </row>
    <row r="42" ht="15" customHeight="1" s="32">
      <c r="A42" s="39" t="inlineStr">
        <is>
          <t>stealth_fighter</t>
        </is>
      </c>
      <c r="B42" s="39" t="inlineStr">
        <is>
          <t>Tiêm kích tàng hình</t>
        </is>
      </c>
      <c r="C42" s="39" t="inlineStr">
        <is>
          <t>Xe</t>
        </is>
      </c>
      <c r="D42" s="42" t="n">
        <v>14</v>
      </c>
      <c r="E42" s="42" t="n">
        <v>84</v>
      </c>
      <c r="F42" s="42" t="n">
        <v>51</v>
      </c>
      <c r="G42" s="42" t="n">
        <v>230</v>
      </c>
      <c r="H42" s="54">
        <f>SUMPRODUCT(('Đơn vị – vũ khí'!$A$2:$A$311=A42)*('Đơn vị – vũ khí'!$F$2:$F$311=1)*N(+'Đơn vị – vũ khí'!$I$2:$I$311))</f>
        <v/>
      </c>
      <c r="I42" s="54">
        <f>SUMPRODUCT(('Đơn vị – vũ khí'!$A$2:$A$311=A42)*('Đơn vị – vũ khí'!$F$2:$F$311=1)*N(+'Đơn vị – vũ khí'!$J$2:$J$311))</f>
        <v/>
      </c>
      <c r="J42" s="54">
        <f>SUMPRODUCT(('Đơn vị – vũ khí'!$A$2:$A$311=A42)*('Đơn vị – vũ khí'!$F$2:$F$311=1)*N(+'Đơn vị – vũ khí'!$K$2:$K$311))</f>
        <v/>
      </c>
      <c r="K42" s="54">
        <f>SUMPRODUCT(('Đơn vị – vũ khí'!$A$2:$A$311=A42)*('Đơn vị – vũ khí'!$F$2:$F$311=1)*N(+'Đơn vị – vũ khí'!$L$2:$L$311))</f>
        <v/>
      </c>
      <c r="L42" s="54">
        <f>IFERROR(I42/D42,"")</f>
        <v/>
      </c>
      <c r="M42" s="39" t="inlineStr">
        <is>
          <t>Thêm 1 AIM-120 mỗi lần đầy đạn — Kém tiêm kích thường ở vai trò chính.</t>
        </is>
      </c>
    </row>
    <row r="43" ht="15" customHeight="1" s="32">
      <c r="A43" s="41"/>
      <c r="B43" s="41"/>
      <c r="C43" s="41"/>
      <c r="D43" s="43"/>
      <c r="E43" s="43"/>
      <c r="F43" s="43"/>
      <c r="G43" s="43"/>
      <c r="H43" s="55"/>
      <c r="I43" s="55"/>
      <c r="J43" s="55"/>
      <c r="K43" s="55"/>
      <c r="L43" s="55"/>
      <c r="M43" s="41"/>
    </row>
    <row r="44" ht="21.75" customHeight="1" s="32">
      <c r="A44" s="39" t="inlineStr">
        <is>
          <t>attack_jet</t>
        </is>
      </c>
      <c r="B44" s="39" t="inlineStr">
        <is>
          <t>Máy bay cường kích</t>
        </is>
      </c>
      <c r="C44" s="39" t="inlineStr">
        <is>
          <t>Xe</t>
        </is>
      </c>
      <c r="D44" s="42" t="n">
        <v>16</v>
      </c>
      <c r="E44" s="42" t="n">
        <v>441</v>
      </c>
      <c r="F44" s="42" t="n">
        <v>244</v>
      </c>
      <c r="G44" s="42" t="n">
        <v>17</v>
      </c>
      <c r="H44" s="54">
        <f>SUMPRODUCT(('Đơn vị – vũ khí'!$A$2:$A$311=A44)*('Đơn vị – vũ khí'!$F$2:$F$311=1)*N(+'Đơn vị – vũ khí'!$I$2:$I$311))</f>
        <v/>
      </c>
      <c r="I44" s="54">
        <f>SUMPRODUCT(('Đơn vị – vũ khí'!$A$2:$A$311=A44)*('Đơn vị – vũ khí'!$F$2:$F$311=1)*N(+'Đơn vị – vũ khí'!$J$2:$J$311))</f>
        <v/>
      </c>
      <c r="J44" s="54">
        <f>SUMPRODUCT(('Đơn vị – vũ khí'!$A$2:$A$311=A44)*('Đơn vị – vũ khí'!$F$2:$F$311=1)*N(+'Đơn vị – vũ khí'!$K$2:$K$311))</f>
        <v/>
      </c>
      <c r="K44" s="54">
        <f>SUMPRODUCT(('Đơn vị – vũ khí'!$A$2:$A$311=A44)*('Đơn vị – vũ khí'!$F$2:$F$311=1)*N(+'Đơn vị – vũ khí'!$L$2:$L$311))</f>
        <v/>
      </c>
      <c r="L44" s="54">
        <f>IFERROR(I44/D44,"")</f>
        <v/>
      </c>
      <c r="M44" s="39" t="inlineStr">
        <is>
          <t>FAB-250: 2 → 1 quả mỗi lần đầy đạn — Giá trị lên công sự cao nhất nhóm cùng giá.</t>
        </is>
      </c>
    </row>
    <row r="45" ht="15" customHeight="1" s="32">
      <c r="A45" s="41" t="inlineStr">
        <is>
          <t>stealth_bomber</t>
        </is>
      </c>
      <c r="B45" s="41" t="inlineStr">
        <is>
          <t>Máy bay ném bom tàng hình</t>
        </is>
      </c>
      <c r="C45" s="41" t="inlineStr">
        <is>
          <t>Xe</t>
        </is>
      </c>
      <c r="D45" s="43" t="n">
        <v>18</v>
      </c>
      <c r="E45" s="43" t="n">
        <v>114</v>
      </c>
      <c r="F45" s="43" t="n">
        <v>98</v>
      </c>
      <c r="G45" s="43" t="n">
        <v>0</v>
      </c>
      <c r="H45" s="55">
        <f>SUMPRODUCT(('Đơn vị – vũ khí'!$A$2:$A$311=A45)*('Đơn vị – vũ khí'!$F$2:$F$311=1)*N(+'Đơn vị – vũ khí'!$I$2:$I$311))</f>
        <v/>
      </c>
      <c r="I45" s="55">
        <f>SUMPRODUCT(('Đơn vị – vũ khí'!$A$2:$A$311=A45)*('Đơn vị – vũ khí'!$F$2:$F$311=1)*N(+'Đơn vị – vũ khí'!$J$2:$J$311))</f>
        <v/>
      </c>
      <c r="J45" s="55">
        <f>SUMPRODUCT(('Đơn vị – vũ khí'!$A$2:$A$311=A45)*('Đơn vị – vũ khí'!$F$2:$F$311=1)*N(+'Đơn vị – vũ khí'!$K$2:$K$311))</f>
        <v/>
      </c>
      <c r="K45" s="55">
        <f>SUMPRODUCT(('Đơn vị – vũ khí'!$A$2:$A$311=A45)*('Đơn vị – vũ khí'!$F$2:$F$311=1)*N(+'Đơn vị – vũ khí'!$L$2:$L$311))</f>
        <v/>
      </c>
      <c r="L45" s="55">
        <f>IFERROR(I45/D45,"")</f>
        <v/>
      </c>
      <c r="M45" s="41" t="n"/>
    </row>
    <row r="46" ht="15" customHeight="1" s="32">
      <c r="A46" s="39" t="inlineStr">
        <is>
          <t>heavy_bomber</t>
        </is>
      </c>
      <c r="B46" s="39" t="inlineStr">
        <is>
          <t>Oanh tạc cơ hạng nặng</t>
        </is>
      </c>
      <c r="C46" s="39" t="inlineStr">
        <is>
          <t>Xe</t>
        </is>
      </c>
      <c r="D46" s="42" t="n">
        <v>22</v>
      </c>
      <c r="E46" s="42" t="n">
        <v>156</v>
      </c>
      <c r="F46" s="42" t="n">
        <v>149</v>
      </c>
      <c r="G46" s="42" t="n">
        <v>23</v>
      </c>
      <c r="H46" s="54">
        <f>SUMPRODUCT(('Đơn vị – vũ khí'!$A$2:$A$311=A46)*('Đơn vị – vũ khí'!$F$2:$F$311=1)*N(+'Đơn vị – vũ khí'!$I$2:$I$311))</f>
        <v/>
      </c>
      <c r="I46" s="54">
        <f>SUMPRODUCT(('Đơn vị – vũ khí'!$A$2:$A$311=A46)*('Đơn vị – vũ khí'!$F$2:$F$311=1)*N(+'Đơn vị – vũ khí'!$J$2:$J$311))</f>
        <v/>
      </c>
      <c r="J46" s="54">
        <f>SUMPRODUCT(('Đơn vị – vũ khí'!$A$2:$A$311=A46)*('Đơn vị – vũ khí'!$F$2:$F$311=1)*N(+'Đơn vị – vũ khí'!$K$2:$K$311))</f>
        <v/>
      </c>
      <c r="K46" s="54">
        <f>SUMPRODUCT(('Đơn vị – vũ khí'!$A$2:$A$311=A46)*('Đơn vị – vũ khí'!$F$2:$F$311=1)*N(+'Đơn vị – vũ khí'!$L$2:$L$311))</f>
        <v/>
      </c>
      <c r="L46" s="54">
        <f>IFERROR(I46/D46,"")</f>
        <v/>
      </c>
      <c r="M46" s="39" t="n"/>
    </row>
    <row r="47" ht="15" customHeight="1" s="32">
      <c r="A47" s="41" t="inlineStr">
        <is>
          <t>sky_gunship</t>
        </is>
      </c>
      <c r="B47" s="41" t="inlineStr">
        <is>
          <t>Pháo hạm AC-130</t>
        </is>
      </c>
      <c r="C47" s="41" t="inlineStr">
        <is>
          <t>Xe</t>
        </is>
      </c>
      <c r="D47" s="43" t="n">
        <v>22</v>
      </c>
      <c r="E47" s="43" t="n">
        <v>376</v>
      </c>
      <c r="F47" s="43" t="n">
        <v>188</v>
      </c>
      <c r="G47" s="43" t="n">
        <v>0</v>
      </c>
      <c r="H47" s="55">
        <f>SUMPRODUCT(('Đơn vị – vũ khí'!$A$2:$A$311=A47)*('Đơn vị – vũ khí'!$F$2:$F$311=1)*N(+'Đơn vị – vũ khí'!$I$2:$I$311))</f>
        <v/>
      </c>
      <c r="I47" s="55">
        <f>SUMPRODUCT(('Đơn vị – vũ khí'!$A$2:$A$311=A47)*('Đơn vị – vũ khí'!$F$2:$F$311=1)*N(+'Đơn vị – vũ khí'!$J$2:$J$311))</f>
        <v/>
      </c>
      <c r="J47" s="55">
        <f>SUMPRODUCT(('Đơn vị – vũ khí'!$A$2:$A$311=A47)*('Đơn vị – vũ khí'!$F$2:$F$311=1)*N(+'Đơn vị – vũ khí'!$K$2:$K$311))</f>
        <v/>
      </c>
      <c r="K47" s="55">
        <f>SUMPRODUCT(('Đơn vị – vũ khí'!$A$2:$A$311=A47)*('Đơn vị – vũ khí'!$F$2:$F$311=1)*N(+'Đơn vị – vũ khí'!$L$2:$L$311))</f>
        <v/>
      </c>
      <c r="L47" s="55">
        <f>IFERROR(I47/D47,"")</f>
        <v/>
      </c>
      <c r="M47" s="41" t="n"/>
    </row>
    <row r="48" ht="15" customHeight="1" s="32">
      <c r="A48" s="39"/>
      <c r="B48" s="39"/>
      <c r="C48" s="39"/>
      <c r="D48" s="42"/>
      <c r="E48" s="42"/>
      <c r="F48" s="42"/>
      <c r="G48" s="42"/>
      <c r="H48" s="54"/>
      <c r="I48" s="54"/>
      <c r="J48" s="54"/>
      <c r="K48" s="54"/>
      <c r="L48" s="54"/>
      <c r="M48" s="39"/>
    </row>
    <row r="49" ht="15" customHeight="1" s="32">
      <c r="A49" s="41" t="inlineStr">
        <is>
          <t>armored_bulldozer</t>
        </is>
      </c>
      <c r="B49" s="41" t="inlineStr">
        <is>
          <t>Xe ủi bọc thép</t>
        </is>
      </c>
      <c r="C49" s="41" t="inlineStr">
        <is>
          <t>Xe</t>
        </is>
      </c>
      <c r="D49" s="43" t="n">
        <v>7</v>
      </c>
      <c r="E49" s="43" t="n">
        <v>91</v>
      </c>
      <c r="F49" s="43" t="n">
        <v>37</v>
      </c>
      <c r="G49" s="43" t="n">
        <v>16</v>
      </c>
      <c r="H49" s="55">
        <f>SUMPRODUCT(('Đơn vị – vũ khí'!$A$2:$A$311=A49)*('Đơn vị – vũ khí'!$F$2:$F$311=1)*N(+'Đơn vị – vũ khí'!$I$2:$I$311))</f>
        <v/>
      </c>
      <c r="I49" s="55">
        <f>SUMPRODUCT(('Đơn vị – vũ khí'!$A$2:$A$311=A49)*('Đơn vị – vũ khí'!$F$2:$F$311=1)*N(+'Đơn vị – vũ khí'!$J$2:$J$311))</f>
        <v/>
      </c>
      <c r="J49" s="55">
        <f>SUMPRODUCT(('Đơn vị – vũ khí'!$A$2:$A$311=A49)*('Đơn vị – vũ khí'!$F$2:$F$311=1)*N(+'Đơn vị – vũ khí'!$K$2:$K$311))</f>
        <v/>
      </c>
      <c r="K49" s="55">
        <f>SUMPRODUCT(('Đơn vị – vũ khí'!$A$2:$A$311=A49)*('Đơn vị – vũ khí'!$F$2:$F$311=1)*N(+'Đơn vị – vũ khí'!$L$2:$L$311))</f>
        <v/>
      </c>
      <c r="L49" s="55">
        <f>IFERROR(I49/D49,"")</f>
        <v/>
      </c>
      <c r="M49" s="41" t="n"/>
    </row>
    <row r="50" ht="15" customHeight="1" s="32">
      <c r="A50" s="39" t="inlineStr">
        <is>
          <t>main_battle_tank</t>
        </is>
      </c>
      <c r="B50" s="39" t="inlineStr">
        <is>
          <t>Tăng chủ lực</t>
        </is>
      </c>
      <c r="C50" s="39" t="inlineStr">
        <is>
          <t>Xe</t>
        </is>
      </c>
      <c r="D50" s="42" t="n">
        <v>7</v>
      </c>
      <c r="E50" s="42" t="n">
        <v>126</v>
      </c>
      <c r="F50" s="42" t="n">
        <v>65</v>
      </c>
      <c r="G50" s="42" t="n">
        <v>28</v>
      </c>
      <c r="H50" s="54">
        <f>SUMPRODUCT(('Đơn vị – vũ khí'!$A$2:$A$311=A50)*('Đơn vị – vũ khí'!$F$2:$F$311=1)*N(+'Đơn vị – vũ khí'!$I$2:$I$311))</f>
        <v/>
      </c>
      <c r="I50" s="54">
        <f>SUMPRODUCT(('Đơn vị – vũ khí'!$A$2:$A$311=A50)*('Đơn vị – vũ khí'!$F$2:$F$311=1)*N(+'Đơn vị – vũ khí'!$J$2:$J$311))</f>
        <v/>
      </c>
      <c r="J50" s="54">
        <f>SUMPRODUCT(('Đơn vị – vũ khí'!$A$2:$A$311=A50)*('Đơn vị – vũ khí'!$F$2:$F$311=1)*N(+'Đơn vị – vũ khí'!$K$2:$K$311))</f>
        <v/>
      </c>
      <c r="K50" s="54">
        <f>SUMPRODUCT(('Đơn vị – vũ khí'!$A$2:$A$311=A50)*('Đơn vị – vũ khí'!$F$2:$F$311=1)*N(+'Đơn vị – vũ khí'!$L$2:$L$311))</f>
        <v/>
      </c>
      <c r="L50" s="54">
        <f>IFERROR(I50/D50,"")</f>
        <v/>
      </c>
      <c r="M50" s="39" t="n"/>
    </row>
    <row r="51" ht="15" customHeight="1" s="32">
      <c r="A51" s="41" t="inlineStr">
        <is>
          <t>twin_tank</t>
        </is>
      </c>
      <c r="B51" s="41" t="inlineStr">
        <is>
          <t>Tăng hai nòng</t>
        </is>
      </c>
      <c r="C51" s="41" t="inlineStr">
        <is>
          <t>Xe</t>
        </is>
      </c>
      <c r="D51" s="43" t="n">
        <v>9</v>
      </c>
      <c r="E51" s="43" t="n">
        <v>181</v>
      </c>
      <c r="F51" s="43" t="n">
        <v>111</v>
      </c>
      <c r="G51" s="43" t="n">
        <v>28</v>
      </c>
      <c r="H51" s="55">
        <f>SUMPRODUCT(('Đơn vị – vũ khí'!$A$2:$A$311=A51)*('Đơn vị – vũ khí'!$F$2:$F$311=1)*N(+'Đơn vị – vũ khí'!$I$2:$I$311))</f>
        <v/>
      </c>
      <c r="I51" s="55">
        <f>SUMPRODUCT(('Đơn vị – vũ khí'!$A$2:$A$311=A51)*('Đơn vị – vũ khí'!$F$2:$F$311=1)*N(+'Đơn vị – vũ khí'!$J$2:$J$311))</f>
        <v/>
      </c>
      <c r="J51" s="55">
        <f>SUMPRODUCT(('Đơn vị – vũ khí'!$A$2:$A$311=A51)*('Đơn vị – vũ khí'!$F$2:$F$311=1)*N(+'Đơn vị – vũ khí'!$K$2:$K$311))</f>
        <v/>
      </c>
      <c r="K51" s="55">
        <f>SUMPRODUCT(('Đơn vị – vũ khí'!$A$2:$A$311=A51)*('Đơn vị – vũ khí'!$F$2:$F$311=1)*N(+'Đơn vị – vũ khí'!$L$2:$L$311))</f>
        <v/>
      </c>
      <c r="L51" s="55">
        <f>IFERROR(I51/D51,"")</f>
        <v/>
      </c>
      <c r="M51" s="41" t="n"/>
    </row>
    <row r="52" ht="15" customHeight="1" s="32">
      <c r="A52" s="39" t="inlineStr">
        <is>
          <t>heavy_tank</t>
        </is>
      </c>
      <c r="B52" s="39" t="inlineStr">
        <is>
          <t>Tăng hạng nặng</t>
        </is>
      </c>
      <c r="C52" s="39" t="inlineStr">
        <is>
          <t>Xe</t>
        </is>
      </c>
      <c r="D52" s="42" t="n">
        <v>12</v>
      </c>
      <c r="E52" s="42" t="n">
        <v>179</v>
      </c>
      <c r="F52" s="42" t="n">
        <v>102</v>
      </c>
      <c r="G52" s="42" t="n">
        <v>16</v>
      </c>
      <c r="H52" s="54">
        <f>SUMPRODUCT(('Đơn vị – vũ khí'!$A$2:$A$311=A52)*('Đơn vị – vũ khí'!$F$2:$F$311=1)*N(+'Đơn vị – vũ khí'!$I$2:$I$311))</f>
        <v/>
      </c>
      <c r="I52" s="54">
        <f>SUMPRODUCT(('Đơn vị – vũ khí'!$A$2:$A$311=A52)*('Đơn vị – vũ khí'!$F$2:$F$311=1)*N(+'Đơn vị – vũ khí'!$J$2:$J$311))</f>
        <v/>
      </c>
      <c r="J52" s="54">
        <f>SUMPRODUCT(('Đơn vị – vũ khí'!$A$2:$A$311=A52)*('Đơn vị – vũ khí'!$F$2:$F$311=1)*N(+'Đơn vị – vũ khí'!$K$2:$K$311))</f>
        <v/>
      </c>
      <c r="K52" s="54">
        <f>SUMPRODUCT(('Đơn vị – vũ khí'!$A$2:$A$311=A52)*('Đơn vị – vũ khí'!$F$2:$F$311=1)*N(+'Đơn vị – vũ khí'!$L$2:$L$311))</f>
        <v/>
      </c>
      <c r="L52" s="54">
        <f>IFERROR(I52/D52,"")</f>
        <v/>
      </c>
      <c r="M52" s="39" t="n"/>
    </row>
    <row r="53" ht="15" customHeight="1" s="32">
      <c r="A53" s="41" t="inlineStr">
        <is>
          <t>titan_tank</t>
        </is>
      </c>
      <c r="B53" s="41" t="inlineStr">
        <is>
          <t>Siêu tăng Titan</t>
        </is>
      </c>
      <c r="C53" s="41" t="inlineStr">
        <is>
          <t>Xe</t>
        </is>
      </c>
      <c r="D53" s="43" t="n">
        <v>16</v>
      </c>
      <c r="E53" s="43" t="n">
        <v>241</v>
      </c>
      <c r="F53" s="43" t="n">
        <v>161</v>
      </c>
      <c r="G53" s="43" t="n">
        <v>28</v>
      </c>
      <c r="H53" s="55">
        <f>SUMPRODUCT(('Đơn vị – vũ khí'!$A$2:$A$311=A53)*('Đơn vị – vũ khí'!$F$2:$F$311=1)*N(+'Đơn vị – vũ khí'!$I$2:$I$311))</f>
        <v/>
      </c>
      <c r="I53" s="55">
        <f>SUMPRODUCT(('Đơn vị – vũ khí'!$A$2:$A$311=A53)*('Đơn vị – vũ khí'!$F$2:$F$311=1)*N(+'Đơn vị – vũ khí'!$J$2:$J$311))</f>
        <v/>
      </c>
      <c r="J53" s="55">
        <f>SUMPRODUCT(('Đơn vị – vũ khí'!$A$2:$A$311=A53)*('Đơn vị – vũ khí'!$F$2:$F$311=1)*N(+'Đơn vị – vũ khí'!$K$2:$K$311))</f>
        <v/>
      </c>
      <c r="K53" s="55">
        <f>SUMPRODUCT(('Đơn vị – vũ khí'!$A$2:$A$311=A53)*('Đơn vị – vũ khí'!$F$2:$F$311=1)*N(+'Đơn vị – vũ khí'!$L$2:$L$311))</f>
        <v/>
      </c>
      <c r="L53" s="55">
        <f>IFERROR(I53/D53,"")</f>
        <v/>
      </c>
      <c r="M53" s="41" t="n"/>
    </row>
    <row r="54" ht="15" customHeight="1" s="32">
      <c r="A54" s="39" t="inlineStr">
        <is>
          <t>fpv_carrier</t>
        </is>
      </c>
      <c r="B54" s="39" t="inlineStr">
        <is>
          <t>Xe phóng drone FPV</t>
        </is>
      </c>
      <c r="C54" s="39" t="inlineStr">
        <is>
          <t>Xe</t>
        </is>
      </c>
      <c r="D54" s="42" t="n">
        <v>6</v>
      </c>
      <c r="E54" s="42" t="n">
        <v>87</v>
      </c>
      <c r="F54" s="42" t="n">
        <v>55</v>
      </c>
      <c r="G54" s="42" t="n">
        <v>16</v>
      </c>
      <c r="H54" s="54">
        <f>SUMPRODUCT(('Đơn vị – vũ khí'!$A$2:$A$311=A54)*('Đơn vị – vũ khí'!$F$2:$F$311=1)*N(+'Đơn vị – vũ khí'!$I$2:$I$311))</f>
        <v/>
      </c>
      <c r="I54" s="54">
        <f>SUMPRODUCT(('Đơn vị – vũ khí'!$A$2:$A$311=A54)*('Đơn vị – vũ khí'!$F$2:$F$311=1)*N(+'Đơn vị – vũ khí'!$J$2:$J$311))</f>
        <v/>
      </c>
      <c r="J54" s="54">
        <f>SUMPRODUCT(('Đơn vị – vũ khí'!$A$2:$A$311=A54)*('Đơn vị – vũ khí'!$F$2:$F$311=1)*N(+'Đơn vị – vũ khí'!$K$2:$K$311))</f>
        <v/>
      </c>
      <c r="K54" s="54">
        <f>SUMPRODUCT(('Đơn vị – vũ khí'!$A$2:$A$311=A54)*('Đơn vị – vũ khí'!$F$2:$F$311=1)*N(+'Đơn vị – vũ khí'!$L$2:$L$311))</f>
        <v/>
      </c>
      <c r="L54" s="54">
        <f>IFERROR(I54/D54,"")</f>
        <v/>
      </c>
      <c r="M54" s="39" t="n"/>
    </row>
    <row r="55" ht="15" customHeight="1" s="32">
      <c r="A55" s="41"/>
      <c r="B55" s="41"/>
      <c r="C55" s="41"/>
      <c r="D55" s="43"/>
      <c r="E55" s="43"/>
      <c r="F55" s="43"/>
      <c r="G55" s="43"/>
      <c r="H55" s="55"/>
      <c r="I55" s="55"/>
      <c r="J55" s="55"/>
      <c r="K55" s="55"/>
      <c r="L55" s="55"/>
      <c r="M55" s="41"/>
    </row>
    <row r="56" ht="21.75" customHeight="1" s="32">
      <c r="A56" s="39" t="inlineStr">
        <is>
          <t>wheeled_gun</t>
        </is>
      </c>
      <c r="B56" s="39" t="inlineStr">
        <is>
          <t>Pháo bánh lốp diệt tăng</t>
        </is>
      </c>
      <c r="C56" s="39" t="inlineStr">
        <is>
          <t>Xe</t>
        </is>
      </c>
      <c r="D56" s="42" t="n">
        <v>6</v>
      </c>
      <c r="E56" s="42" t="n">
        <v>136</v>
      </c>
      <c r="F56" s="42" t="n">
        <v>99</v>
      </c>
      <c r="G56" s="42" t="n">
        <v>12</v>
      </c>
      <c r="H56" s="54">
        <f>SUMPRODUCT(('Đơn vị – vũ khí'!$A$2:$A$311=A56)*('Đơn vị – vũ khí'!$F$2:$F$311=1)*N(+'Đơn vị – vũ khí'!$I$2:$I$311))</f>
        <v/>
      </c>
      <c r="I56" s="54">
        <f>SUMPRODUCT(('Đơn vị – vũ khí'!$A$2:$A$311=A56)*('Đơn vị – vũ khí'!$F$2:$F$311=1)*N(+'Đơn vị – vũ khí'!$J$2:$J$311))</f>
        <v/>
      </c>
      <c r="J56" s="54">
        <f>SUMPRODUCT(('Đơn vị – vũ khí'!$A$2:$A$311=A56)*('Đơn vị – vũ khí'!$F$2:$F$311=1)*N(+'Đơn vị – vũ khí'!$K$2:$K$311))</f>
        <v/>
      </c>
      <c r="K56" s="54">
        <f>SUMPRODUCT(('Đơn vị – vũ khí'!$A$2:$A$311=A56)*('Đơn vị – vũ khí'!$F$2:$F$311=1)*N(+'Đơn vị – vũ khí'!$L$2:$L$311))</f>
        <v/>
      </c>
      <c r="L56" s="54">
        <f>IFERROR(I56/D56,"")</f>
        <v/>
      </c>
      <c r="M56" s="39" t="inlineStr">
        <is>
          <t>Thêm súng máy 12,7 mm trên nóc — Centauro II có súng máy trên nóc; tự vệ trước drone và xe nhẹ.</t>
        </is>
      </c>
    </row>
    <row r="57" ht="15" customHeight="1" s="32">
      <c r="A57" s="41" t="inlineStr">
        <is>
          <t>tank_destroyer</t>
        </is>
      </c>
      <c r="B57" s="41" t="inlineStr">
        <is>
          <t>Pháo chống tăng</t>
        </is>
      </c>
      <c r="C57" s="41" t="inlineStr">
        <is>
          <t>Xe</t>
        </is>
      </c>
      <c r="D57" s="43" t="n">
        <v>7</v>
      </c>
      <c r="E57" s="43" t="n">
        <v>128</v>
      </c>
      <c r="F57" s="43" t="n">
        <v>82</v>
      </c>
      <c r="G57" s="43" t="n">
        <v>16</v>
      </c>
      <c r="H57" s="55">
        <f>SUMPRODUCT(('Đơn vị – vũ khí'!$A$2:$A$311=A57)*('Đơn vị – vũ khí'!$F$2:$F$311=1)*N(+'Đơn vị – vũ khí'!$I$2:$I$311))</f>
        <v/>
      </c>
      <c r="I57" s="55">
        <f>SUMPRODUCT(('Đơn vị – vũ khí'!$A$2:$A$311=A57)*('Đơn vị – vũ khí'!$F$2:$F$311=1)*N(+'Đơn vị – vũ khí'!$J$2:$J$311))</f>
        <v/>
      </c>
      <c r="J57" s="55">
        <f>SUMPRODUCT(('Đơn vị – vũ khí'!$A$2:$A$311=A57)*('Đơn vị – vũ khí'!$F$2:$F$311=1)*N(+'Đơn vị – vũ khí'!$K$2:$K$311))</f>
        <v/>
      </c>
      <c r="K57" s="55">
        <f>SUMPRODUCT(('Đơn vị – vũ khí'!$A$2:$A$311=A57)*('Đơn vị – vũ khí'!$F$2:$F$311=1)*N(+'Đơn vị – vũ khí'!$L$2:$L$311))</f>
        <v/>
      </c>
      <c r="L57" s="55">
        <f>IFERROR(I57/D57,"")</f>
        <v/>
      </c>
      <c r="M57" s="41" t="n"/>
    </row>
    <row r="58" ht="15" customHeight="1" s="32">
      <c r="A58" s="39" t="inlineStr">
        <is>
          <t>railgun_truck</t>
        </is>
      </c>
      <c r="B58" s="39" t="inlineStr">
        <is>
          <t>Xe súng điện từ</t>
        </is>
      </c>
      <c r="C58" s="39" t="inlineStr">
        <is>
          <t>Xe</t>
        </is>
      </c>
      <c r="D58" s="42" t="n">
        <v>9</v>
      </c>
      <c r="E58" s="42" t="n">
        <v>87</v>
      </c>
      <c r="F58" s="42" t="n">
        <v>73</v>
      </c>
      <c r="G58" s="42" t="n">
        <v>0</v>
      </c>
      <c r="H58" s="54">
        <f>SUMPRODUCT(('Đơn vị – vũ khí'!$A$2:$A$311=A58)*('Đơn vị – vũ khí'!$F$2:$F$311=1)*N(+'Đơn vị – vũ khí'!$I$2:$I$311))</f>
        <v/>
      </c>
      <c r="I58" s="54">
        <f>SUMPRODUCT(('Đơn vị – vũ khí'!$A$2:$A$311=A58)*('Đơn vị – vũ khí'!$F$2:$F$311=1)*N(+'Đơn vị – vũ khí'!$J$2:$J$311))</f>
        <v/>
      </c>
      <c r="J58" s="54">
        <f>SUMPRODUCT(('Đơn vị – vũ khí'!$A$2:$A$311=A58)*('Đơn vị – vũ khí'!$F$2:$F$311=1)*N(+'Đơn vị – vũ khí'!$K$2:$K$311))</f>
        <v/>
      </c>
      <c r="K58" s="54">
        <f>SUMPRODUCT(('Đơn vị – vũ khí'!$A$2:$A$311=A58)*('Đơn vị – vũ khí'!$F$2:$F$311=1)*N(+'Đơn vị – vũ khí'!$L$2:$L$311))</f>
        <v/>
      </c>
      <c r="L58" s="54">
        <f>IFERROR(I58/D58,"")</f>
        <v/>
      </c>
      <c r="M58" s="39" t="n"/>
    </row>
    <row r="59" ht="15" customHeight="1" s="32">
      <c r="A59" s="41" t="inlineStr">
        <is>
          <t>laser_tank</t>
        </is>
      </c>
      <c r="B59" s="41" t="inlineStr">
        <is>
          <t>Xe la-de tập trung</t>
        </is>
      </c>
      <c r="C59" s="41" t="inlineStr">
        <is>
          <t>Xe</t>
        </is>
      </c>
      <c r="D59" s="43" t="n">
        <v>10</v>
      </c>
      <c r="E59" s="43" t="n">
        <v>128</v>
      </c>
      <c r="F59" s="43" t="n">
        <v>106</v>
      </c>
      <c r="G59" s="43" t="n">
        <v>0</v>
      </c>
      <c r="H59" s="55">
        <f>SUMPRODUCT(('Đơn vị – vũ khí'!$A$2:$A$311=A59)*('Đơn vị – vũ khí'!$F$2:$F$311=1)*N(+'Đơn vị – vũ khí'!$I$2:$I$311))</f>
        <v/>
      </c>
      <c r="I59" s="55">
        <f>SUMPRODUCT(('Đơn vị – vũ khí'!$A$2:$A$311=A59)*('Đơn vị – vũ khí'!$F$2:$F$311=1)*N(+'Đơn vị – vũ khí'!$J$2:$J$311))</f>
        <v/>
      </c>
      <c r="J59" s="55">
        <f>SUMPRODUCT(('Đơn vị – vũ khí'!$A$2:$A$311=A59)*('Đơn vị – vũ khí'!$F$2:$F$311=1)*N(+'Đơn vị – vũ khí'!$K$2:$K$311))</f>
        <v/>
      </c>
      <c r="K59" s="55">
        <f>SUMPRODUCT(('Đơn vị – vũ khí'!$A$2:$A$311=A59)*('Đơn vị – vũ khí'!$F$2:$F$311=1)*N(+'Đơn vị – vũ khí'!$L$2:$L$311))</f>
        <v/>
      </c>
      <c r="L59" s="55">
        <f>IFERROR(I59/D59,"")</f>
        <v/>
      </c>
      <c r="M59" s="41" t="n"/>
    </row>
    <row r="60" ht="15" customHeight="1" s="32">
      <c r="A60" s="39" t="inlineStr">
        <is>
          <t>aa_turret</t>
        </is>
      </c>
      <c r="B60" s="39" t="inlineStr">
        <is>
          <t>Tháp phòng không</t>
        </is>
      </c>
      <c r="C60" s="39" t="inlineStr">
        <is>
          <t>Công trình</t>
        </is>
      </c>
      <c r="D60" s="39" t="n"/>
      <c r="E60" s="42" t="n">
        <v>46</v>
      </c>
      <c r="F60" s="42" t="n">
        <v>19</v>
      </c>
      <c r="G60" s="42" t="n">
        <v>300</v>
      </c>
      <c r="H60" s="54">
        <f>SUMPRODUCT(('Đơn vị – vũ khí'!$A$2:$A$311=A60)*('Đơn vị – vũ khí'!$F$2:$F$311=1)*N(+'Đơn vị – vũ khí'!$I$2:$I$311))</f>
        <v/>
      </c>
      <c r="I60" s="54">
        <f>SUMPRODUCT(('Đơn vị – vũ khí'!$A$2:$A$311=A60)*('Đơn vị – vũ khí'!$F$2:$F$311=1)*N(+'Đơn vị – vũ khí'!$J$2:$J$311))</f>
        <v/>
      </c>
      <c r="J60" s="54">
        <f>SUMPRODUCT(('Đơn vị – vũ khí'!$A$2:$A$311=A60)*('Đơn vị – vũ khí'!$F$2:$F$311=1)*N(+'Đơn vị – vũ khí'!$K$2:$K$311))</f>
        <v/>
      </c>
      <c r="K60" s="54">
        <f>SUMPRODUCT(('Đơn vị – vũ khí'!$A$2:$A$311=A60)*('Đơn vị – vũ khí'!$F$2:$F$311=1)*N(+'Đơn vị – vũ khí'!$L$2:$L$311))</f>
        <v/>
      </c>
      <c r="L60" s="54">
        <f>IFERROR(I60/D60,"")</f>
        <v/>
      </c>
      <c r="M60" s="39" t="n"/>
    </row>
    <row r="61" ht="21.75" customHeight="1" s="32">
      <c r="A61" s="41" t="inlineStr">
        <is>
          <t>aa_turret.flak</t>
        </is>
      </c>
      <c r="B61" s="41" t="inlineStr">
        <is>
          <t>Tháp phòng không · nhánh Tháp cao xạ</t>
        </is>
      </c>
      <c r="C61" s="41" t="inlineStr">
        <is>
          <t>Công trình</t>
        </is>
      </c>
      <c r="D61" s="41" t="n"/>
      <c r="E61" s="43" t="n">
        <v>100</v>
      </c>
      <c r="F61" s="43" t="n">
        <v>29</v>
      </c>
      <c r="G61" s="43" t="n">
        <v>305</v>
      </c>
      <c r="H61" s="55">
        <f>SUMPRODUCT(('Đơn vị – vũ khí'!$A$2:$A$311=A61)*('Đơn vị – vũ khí'!$F$2:$F$311=1)*N(+'Đơn vị – vũ khí'!$I$2:$I$311))</f>
        <v/>
      </c>
      <c r="I61" s="55">
        <f>SUMPRODUCT(('Đơn vị – vũ khí'!$A$2:$A$311=A61)*('Đơn vị – vũ khí'!$F$2:$F$311=1)*N(+'Đơn vị – vũ khí'!$J$2:$J$311))</f>
        <v/>
      </c>
      <c r="J61" s="55">
        <f>SUMPRODUCT(('Đơn vị – vũ khí'!$A$2:$A$311=A61)*('Đơn vị – vũ khí'!$F$2:$F$311=1)*N(+'Đơn vị – vũ khí'!$K$2:$K$311))</f>
        <v/>
      </c>
      <c r="K61" s="55">
        <f>SUMPRODUCT(('Đơn vị – vũ khí'!$A$2:$A$311=A61)*('Đơn vị – vũ khí'!$F$2:$F$311=1)*N(+'Đơn vị – vũ khí'!$L$2:$L$311))</f>
        <v/>
      </c>
      <c r="L61" s="55">
        <f>IFERROR(I61/D61,"")</f>
        <v/>
      </c>
      <c r="M61" s="41" t="n"/>
    </row>
    <row r="62" ht="21.75" customHeight="1" s="32">
      <c r="A62" s="39" t="inlineStr">
        <is>
          <t>aa_turret.sam</t>
        </is>
      </c>
      <c r="B62" s="39" t="inlineStr">
        <is>
          <t>Tháp phòng không · nhánh Trạm tên lửa</t>
        </is>
      </c>
      <c r="C62" s="39" t="inlineStr">
        <is>
          <t>Công trình</t>
        </is>
      </c>
      <c r="D62" s="39" t="n"/>
      <c r="E62" s="42" t="n">
        <v>0</v>
      </c>
      <c r="F62" s="42" t="n">
        <v>0</v>
      </c>
      <c r="G62" s="42" t="n">
        <v>213</v>
      </c>
      <c r="H62" s="54">
        <f>SUMPRODUCT(('Đơn vị – vũ khí'!$A$2:$A$311=A62)*('Đơn vị – vũ khí'!$F$2:$F$311=1)*N(+'Đơn vị – vũ khí'!$I$2:$I$311))</f>
        <v/>
      </c>
      <c r="I62" s="54">
        <f>SUMPRODUCT(('Đơn vị – vũ khí'!$A$2:$A$311=A62)*('Đơn vị – vũ khí'!$F$2:$F$311=1)*N(+'Đơn vị – vũ khí'!$J$2:$J$311))</f>
        <v/>
      </c>
      <c r="J62" s="54">
        <f>SUMPRODUCT(('Đơn vị – vũ khí'!$A$2:$A$311=A62)*('Đơn vị – vũ khí'!$F$2:$F$311=1)*N(+'Đơn vị – vũ khí'!$K$2:$K$311))</f>
        <v/>
      </c>
      <c r="K62" s="54">
        <f>SUMPRODUCT(('Đơn vị – vũ khí'!$A$2:$A$311=A62)*('Đơn vị – vũ khí'!$F$2:$F$311=1)*N(+'Đơn vị – vũ khí'!$L$2:$L$311))</f>
        <v/>
      </c>
      <c r="L62" s="54">
        <f>IFERROR(I62/D62,"")</f>
        <v/>
      </c>
      <c r="M62" s="39" t="n"/>
    </row>
    <row r="63" ht="15" customHeight="1" s="32">
      <c r="A63" s="41" t="inlineStr">
        <is>
          <t>guard_tower</t>
        </is>
      </c>
      <c r="B63" s="41" t="inlineStr">
        <is>
          <t>Tháp canh</t>
        </is>
      </c>
      <c r="C63" s="41" t="inlineStr">
        <is>
          <t>Công trình</t>
        </is>
      </c>
      <c r="D63" s="41" t="n"/>
      <c r="E63" s="43" t="n">
        <v>75</v>
      </c>
      <c r="F63" s="43" t="n">
        <v>22</v>
      </c>
      <c r="G63" s="43" t="n">
        <v>27</v>
      </c>
      <c r="H63" s="55">
        <f>SUMPRODUCT(('Đơn vị – vũ khí'!$A$2:$A$311=A63)*('Đơn vị – vũ khí'!$F$2:$F$311=1)*N(+'Đơn vị – vũ khí'!$I$2:$I$311))</f>
        <v/>
      </c>
      <c r="I63" s="55">
        <f>SUMPRODUCT(('Đơn vị – vũ khí'!$A$2:$A$311=A63)*('Đơn vị – vũ khí'!$F$2:$F$311=1)*N(+'Đơn vị – vũ khí'!$J$2:$J$311))</f>
        <v/>
      </c>
      <c r="J63" s="55">
        <f>SUMPRODUCT(('Đơn vị – vũ khí'!$A$2:$A$311=A63)*('Đơn vị – vũ khí'!$F$2:$F$311=1)*N(+'Đơn vị – vũ khí'!$K$2:$K$311))</f>
        <v/>
      </c>
      <c r="K63" s="55">
        <f>SUMPRODUCT(('Đơn vị – vũ khí'!$A$2:$A$311=A63)*('Đơn vị – vũ khí'!$F$2:$F$311=1)*N(+'Đơn vị – vũ khí'!$L$2:$L$311))</f>
        <v/>
      </c>
      <c r="L63" s="55">
        <f>IFERROR(I63/D63,"")</f>
        <v/>
      </c>
      <c r="M63" s="41" t="n"/>
    </row>
    <row r="64" ht="15" customHeight="1" s="32">
      <c r="A64" s="39" t="inlineStr">
        <is>
          <t>guard_tower.watch</t>
        </is>
      </c>
      <c r="B64" s="39" t="inlineStr">
        <is>
          <t>Tháp canh · nhánh Tháp quan sát</t>
        </is>
      </c>
      <c r="C64" s="39" t="inlineStr">
        <is>
          <t>Công trình</t>
        </is>
      </c>
      <c r="D64" s="39" t="n"/>
      <c r="E64" s="42" t="n">
        <v>75</v>
      </c>
      <c r="F64" s="42" t="n">
        <v>22</v>
      </c>
      <c r="G64" s="42" t="n">
        <v>27</v>
      </c>
      <c r="H64" s="54">
        <f>SUMPRODUCT(('Đơn vị – vũ khí'!$A$2:$A$311=A64)*('Đơn vị – vũ khí'!$F$2:$F$311=1)*N(+'Đơn vị – vũ khí'!$I$2:$I$311))</f>
        <v/>
      </c>
      <c r="I64" s="54">
        <f>SUMPRODUCT(('Đơn vị – vũ khí'!$A$2:$A$311=A64)*('Đơn vị – vũ khí'!$F$2:$F$311=1)*N(+'Đơn vị – vũ khí'!$J$2:$J$311))</f>
        <v/>
      </c>
      <c r="J64" s="54">
        <f>SUMPRODUCT(('Đơn vị – vũ khí'!$A$2:$A$311=A64)*('Đơn vị – vũ khí'!$F$2:$F$311=1)*N(+'Đơn vị – vũ khí'!$K$2:$K$311))</f>
        <v/>
      </c>
      <c r="K64" s="54">
        <f>SUMPRODUCT(('Đơn vị – vũ khí'!$A$2:$A$311=A64)*('Đơn vị – vũ khí'!$F$2:$F$311=1)*N(+'Đơn vị – vũ khí'!$L$2:$L$311))</f>
        <v/>
      </c>
      <c r="L64" s="54">
        <f>IFERROR(I64/D64,"")</f>
        <v/>
      </c>
      <c r="M64" s="39" t="n"/>
    </row>
    <row r="65" ht="15" customHeight="1" s="32">
      <c r="A65" s="41" t="inlineStr">
        <is>
          <t>guard_tower.nest</t>
        </is>
      </c>
      <c r="B65" s="41" t="inlineStr">
        <is>
          <t>Tháp canh · nhánh Ổ súng</t>
        </is>
      </c>
      <c r="C65" s="41" t="inlineStr">
        <is>
          <t>Công trình</t>
        </is>
      </c>
      <c r="D65" s="41" t="n"/>
      <c r="E65" s="43" t="n">
        <v>69</v>
      </c>
      <c r="F65" s="43" t="n">
        <v>34</v>
      </c>
      <c r="G65" s="43" t="n">
        <v>0</v>
      </c>
      <c r="H65" s="55">
        <f>SUMPRODUCT(('Đơn vị – vũ khí'!$A$2:$A$311=A65)*('Đơn vị – vũ khí'!$F$2:$F$311=1)*N(+'Đơn vị – vũ khí'!$I$2:$I$311))</f>
        <v/>
      </c>
      <c r="I65" s="55">
        <f>SUMPRODUCT(('Đơn vị – vũ khí'!$A$2:$A$311=A65)*('Đơn vị – vũ khí'!$F$2:$F$311=1)*N(+'Đơn vị – vũ khí'!$J$2:$J$311))</f>
        <v/>
      </c>
      <c r="J65" s="55">
        <f>SUMPRODUCT(('Đơn vị – vũ khí'!$A$2:$A$311=A65)*('Đơn vị – vũ khí'!$F$2:$F$311=1)*N(+'Đơn vị – vũ khí'!$K$2:$K$311))</f>
        <v/>
      </c>
      <c r="K65" s="55">
        <f>SUMPRODUCT(('Đơn vị – vũ khí'!$A$2:$A$311=A65)*('Đơn vị – vũ khí'!$F$2:$F$311=1)*N(+'Đơn vị – vũ khí'!$L$2:$L$311))</f>
        <v/>
      </c>
      <c r="L65" s="55">
        <f>IFERROR(I65/D65,"")</f>
        <v/>
      </c>
      <c r="M65" s="41" t="n"/>
    </row>
    <row r="66" ht="15" customHeight="1" s="32">
      <c r="A66" s="39" t="inlineStr">
        <is>
          <t>headquarters</t>
        </is>
      </c>
      <c r="B66" s="39" t="inlineStr">
        <is>
          <t>Sở chỉ huy</t>
        </is>
      </c>
      <c r="C66" s="39" t="inlineStr">
        <is>
          <t>Công trình</t>
        </is>
      </c>
      <c r="D66" s="39" t="n"/>
      <c r="E66" s="42" t="n">
        <v>327</v>
      </c>
      <c r="F66" s="42" t="n">
        <v>206</v>
      </c>
      <c r="G66" s="42" t="n">
        <v>419</v>
      </c>
      <c r="H66" s="54">
        <f>SUMPRODUCT(('Đơn vị – vũ khí'!$A$2:$A$311=A66)*('Đơn vị – vũ khí'!$F$2:$F$311=1)*N(+'Đơn vị – vũ khí'!$I$2:$I$311))</f>
        <v/>
      </c>
      <c r="I66" s="54">
        <f>SUMPRODUCT(('Đơn vị – vũ khí'!$A$2:$A$311=A66)*('Đơn vị – vũ khí'!$F$2:$F$311=1)*N(+'Đơn vị – vũ khí'!$J$2:$J$311))</f>
        <v/>
      </c>
      <c r="J66" s="54">
        <f>SUMPRODUCT(('Đơn vị – vũ khí'!$A$2:$A$311=A66)*('Đơn vị – vũ khí'!$F$2:$F$311=1)*N(+'Đơn vị – vũ khí'!$K$2:$K$311))</f>
        <v/>
      </c>
      <c r="K66" s="54">
        <f>SUMPRODUCT(('Đơn vị – vũ khí'!$A$2:$A$311=A66)*('Đơn vị – vũ khí'!$F$2:$F$311=1)*N(+'Đơn vị – vũ khí'!$L$2:$L$311))</f>
        <v/>
      </c>
      <c r="L66" s="54">
        <f>IFERROR(I66/D66,"")</f>
        <v/>
      </c>
      <c r="M66" s="39" t="n"/>
    </row>
    <row r="67" ht="15" customHeight="1" s="32">
      <c r="A67" s="41" t="inlineStr">
        <is>
          <t>mg_bunker</t>
        </is>
      </c>
      <c r="B67" s="41" t="inlineStr">
        <is>
          <t>Lô cốt súng máy</t>
        </is>
      </c>
      <c r="C67" s="41" t="inlineStr">
        <is>
          <t>Công trình</t>
        </is>
      </c>
      <c r="D67" s="41" t="n"/>
      <c r="E67" s="43" t="n">
        <v>102</v>
      </c>
      <c r="F67" s="43" t="n">
        <v>30</v>
      </c>
      <c r="G67" s="43" t="n">
        <v>36</v>
      </c>
      <c r="H67" s="55">
        <f>SUMPRODUCT(('Đơn vị – vũ khí'!$A$2:$A$311=A67)*('Đơn vị – vũ khí'!$F$2:$F$311=1)*N(+'Đơn vị – vũ khí'!$I$2:$I$311))</f>
        <v/>
      </c>
      <c r="I67" s="55">
        <f>SUMPRODUCT(('Đơn vị – vũ khí'!$A$2:$A$311=A67)*('Đơn vị – vũ khí'!$F$2:$F$311=1)*N(+'Đơn vị – vũ khí'!$J$2:$J$311))</f>
        <v/>
      </c>
      <c r="J67" s="55">
        <f>SUMPRODUCT(('Đơn vị – vũ khí'!$A$2:$A$311=A67)*('Đơn vị – vũ khí'!$F$2:$F$311=1)*N(+'Đơn vị – vũ khí'!$K$2:$K$311))</f>
        <v/>
      </c>
      <c r="K67" s="55">
        <f>SUMPRODUCT(('Đơn vị – vũ khí'!$A$2:$A$311=A67)*('Đơn vị – vũ khí'!$F$2:$F$311=1)*N(+'Đơn vị – vũ khí'!$L$2:$L$311))</f>
        <v/>
      </c>
      <c r="L67" s="55">
        <f>IFERROR(I67/D67,"")</f>
        <v/>
      </c>
      <c r="M67" s="41" t="n"/>
    </row>
    <row r="68" ht="15" customHeight="1" s="32">
      <c r="A68" s="39" t="inlineStr">
        <is>
          <t>mg_bunker.twin</t>
        </is>
      </c>
      <c r="B68" s="39" t="inlineStr">
        <is>
          <t>Lô cốt súng máy · nhánh Súng máy đôi</t>
        </is>
      </c>
      <c r="C68" s="39" t="inlineStr">
        <is>
          <t>Công trình</t>
        </is>
      </c>
      <c r="D68" s="39" t="n"/>
      <c r="E68" s="42" t="n">
        <v>122</v>
      </c>
      <c r="F68" s="42" t="n">
        <v>36</v>
      </c>
      <c r="G68" s="42" t="n">
        <v>43</v>
      </c>
      <c r="H68" s="54">
        <f>SUMPRODUCT(('Đơn vị – vũ khí'!$A$2:$A$311=A68)*('Đơn vị – vũ khí'!$F$2:$F$311=1)*N(+'Đơn vị – vũ khí'!$I$2:$I$311))</f>
        <v/>
      </c>
      <c r="I68" s="54">
        <f>SUMPRODUCT(('Đơn vị – vũ khí'!$A$2:$A$311=A68)*('Đơn vị – vũ khí'!$F$2:$F$311=1)*N(+'Đơn vị – vũ khí'!$J$2:$J$311))</f>
        <v/>
      </c>
      <c r="J68" s="54">
        <f>SUMPRODUCT(('Đơn vị – vũ khí'!$A$2:$A$311=A68)*('Đơn vị – vũ khí'!$F$2:$F$311=1)*N(+'Đơn vị – vũ khí'!$K$2:$K$311))</f>
        <v/>
      </c>
      <c r="K68" s="54">
        <f>SUMPRODUCT(('Đơn vị – vũ khí'!$A$2:$A$311=A68)*('Đơn vị – vũ khí'!$F$2:$F$311=1)*N(+'Đơn vị – vũ khí'!$L$2:$L$311))</f>
        <v/>
      </c>
      <c r="L68" s="54">
        <f>IFERROR(I68/D68,"")</f>
        <v/>
      </c>
      <c r="M68" s="39" t="n"/>
    </row>
    <row r="69" ht="21.75" customHeight="1" s="32">
      <c r="A69" s="41" t="inlineStr">
        <is>
          <t>mg_bunker.flame</t>
        </is>
      </c>
      <c r="B69" s="41" t="inlineStr">
        <is>
          <t>Lô cốt súng máy · nhánh Lô cốt phun lửa</t>
        </is>
      </c>
      <c r="C69" s="41" t="inlineStr">
        <is>
          <t>Công trình</t>
        </is>
      </c>
      <c r="D69" s="41" t="n"/>
      <c r="E69" s="43" t="n">
        <v>170</v>
      </c>
      <c r="F69" s="43" t="n">
        <v>50</v>
      </c>
      <c r="G69" s="43" t="n">
        <v>0</v>
      </c>
      <c r="H69" s="55">
        <f>SUMPRODUCT(('Đơn vị – vũ khí'!$A$2:$A$311=A69)*('Đơn vị – vũ khí'!$F$2:$F$311=1)*N(+'Đơn vị – vũ khí'!$I$2:$I$311))</f>
        <v/>
      </c>
      <c r="I69" s="55">
        <f>SUMPRODUCT(('Đơn vị – vũ khí'!$A$2:$A$311=A69)*('Đơn vị – vũ khí'!$F$2:$F$311=1)*N(+'Đơn vị – vũ khí'!$J$2:$J$311))</f>
        <v/>
      </c>
      <c r="J69" s="55">
        <f>SUMPRODUCT(('Đơn vị – vũ khí'!$A$2:$A$311=A69)*('Đơn vị – vũ khí'!$F$2:$F$311=1)*N(+'Đơn vị – vũ khí'!$K$2:$K$311))</f>
        <v/>
      </c>
      <c r="K69" s="55">
        <f>SUMPRODUCT(('Đơn vị – vũ khí'!$A$2:$A$311=A69)*('Đơn vị – vũ khí'!$F$2:$F$311=1)*N(+'Đơn vị – vũ khí'!$L$2:$L$311))</f>
        <v/>
      </c>
      <c r="L69" s="55">
        <f>IFERROR(I69/D69,"")</f>
        <v/>
      </c>
      <c r="M69" s="41" t="n"/>
    </row>
    <row r="70" ht="15" customHeight="1" s="32">
      <c r="A70" s="39" t="inlineStr">
        <is>
          <t>atgm_tower</t>
        </is>
      </c>
      <c r="B70" s="39" t="inlineStr">
        <is>
          <t>Tháp tên lửa chống tăng</t>
        </is>
      </c>
      <c r="C70" s="39" t="inlineStr">
        <is>
          <t>Công trình</t>
        </is>
      </c>
      <c r="D70" s="39" t="n"/>
      <c r="E70" s="42" t="n">
        <v>45</v>
      </c>
      <c r="F70" s="42" t="n">
        <v>93</v>
      </c>
      <c r="G70" s="42" t="n">
        <v>0</v>
      </c>
      <c r="H70" s="54">
        <f>SUMPRODUCT(('Đơn vị – vũ khí'!$A$2:$A$311=A70)*('Đơn vị – vũ khí'!$F$2:$F$311=1)*N(+'Đơn vị – vũ khí'!$I$2:$I$311))</f>
        <v/>
      </c>
      <c r="I70" s="54">
        <f>SUMPRODUCT(('Đơn vị – vũ khí'!$A$2:$A$311=A70)*('Đơn vị – vũ khí'!$F$2:$F$311=1)*N(+'Đơn vị – vũ khí'!$J$2:$J$311))</f>
        <v/>
      </c>
      <c r="J70" s="54">
        <f>SUMPRODUCT(('Đơn vị – vũ khí'!$A$2:$A$311=A70)*('Đơn vị – vũ khí'!$F$2:$F$311=1)*N(+'Đơn vị – vũ khí'!$K$2:$K$311))</f>
        <v/>
      </c>
      <c r="K70" s="54">
        <f>SUMPRODUCT(('Đơn vị – vũ khí'!$A$2:$A$311=A70)*('Đơn vị – vũ khí'!$F$2:$F$311=1)*N(+'Đơn vị – vũ khí'!$L$2:$L$311))</f>
        <v/>
      </c>
      <c r="L70" s="54">
        <f>IFERROR(I70/D70,"")</f>
        <v/>
      </c>
      <c r="M70" s="39" t="n"/>
    </row>
    <row r="71" ht="21.75" customHeight="1" s="32">
      <c r="A71" s="41" t="inlineStr">
        <is>
          <t>atgm_tower.top</t>
        </is>
      </c>
      <c r="B71" s="41" t="inlineStr">
        <is>
          <t>Tháp tên lửa chống tăng · nhánh Tấn công từ trên</t>
        </is>
      </c>
      <c r="C71" s="41" t="inlineStr">
        <is>
          <t>Công trình</t>
        </is>
      </c>
      <c r="D71" s="41" t="n"/>
      <c r="E71" s="43" t="n">
        <v>40</v>
      </c>
      <c r="F71" s="43" t="n">
        <v>100</v>
      </c>
      <c r="G71" s="43" t="n">
        <v>0</v>
      </c>
      <c r="H71" s="55">
        <f>SUMPRODUCT(('Đơn vị – vũ khí'!$A$2:$A$311=A71)*('Đơn vị – vũ khí'!$F$2:$F$311=1)*N(+'Đơn vị – vũ khí'!$I$2:$I$311))</f>
        <v/>
      </c>
      <c r="I71" s="55">
        <f>SUMPRODUCT(('Đơn vị – vũ khí'!$A$2:$A$311=A71)*('Đơn vị – vũ khí'!$F$2:$F$311=1)*N(+'Đơn vị – vũ khí'!$J$2:$J$311))</f>
        <v/>
      </c>
      <c r="J71" s="55">
        <f>SUMPRODUCT(('Đơn vị – vũ khí'!$A$2:$A$311=A71)*('Đơn vị – vũ khí'!$F$2:$F$311=1)*N(+'Đơn vị – vũ khí'!$K$2:$K$311))</f>
        <v/>
      </c>
      <c r="K71" s="55">
        <f>SUMPRODUCT(('Đơn vị – vũ khí'!$A$2:$A$311=A71)*('Đơn vị – vũ khí'!$F$2:$F$311=1)*N(+'Đơn vị – vũ khí'!$L$2:$L$311))</f>
        <v/>
      </c>
      <c r="L71" s="55">
        <f>IFERROR(I71/D71,"")</f>
        <v/>
      </c>
      <c r="M71" s="41" t="n"/>
    </row>
    <row r="72" ht="21.75" customHeight="1" s="32">
      <c r="A72" s="39" t="inlineStr">
        <is>
          <t>atgm_tower.multi</t>
        </is>
      </c>
      <c r="B72" s="39" t="inlineStr">
        <is>
          <t>Tháp tên lửa chống tăng · nhánh Đa năng</t>
        </is>
      </c>
      <c r="C72" s="39" t="inlineStr">
        <is>
          <t>Công trình</t>
        </is>
      </c>
      <c r="D72" s="39" t="n"/>
      <c r="E72" s="42" t="n">
        <v>67</v>
      </c>
      <c r="F72" s="42" t="n">
        <v>79</v>
      </c>
      <c r="G72" s="42" t="n">
        <v>28</v>
      </c>
      <c r="H72" s="54">
        <f>SUMPRODUCT(('Đơn vị – vũ khí'!$A$2:$A$311=A72)*('Đơn vị – vũ khí'!$F$2:$F$311=1)*N(+'Đơn vị – vũ khí'!$I$2:$I$311))</f>
        <v/>
      </c>
      <c r="I72" s="54">
        <f>SUMPRODUCT(('Đơn vị – vũ khí'!$A$2:$A$311=A72)*('Đơn vị – vũ khí'!$F$2:$F$311=1)*N(+'Đơn vị – vũ khí'!$J$2:$J$311))</f>
        <v/>
      </c>
      <c r="J72" s="54">
        <f>SUMPRODUCT(('Đơn vị – vũ khí'!$A$2:$A$311=A72)*('Đơn vị – vũ khí'!$F$2:$F$311=1)*N(+'Đơn vị – vũ khí'!$K$2:$K$311))</f>
        <v/>
      </c>
      <c r="K72" s="54">
        <f>SUMPRODUCT(('Đơn vị – vũ khí'!$A$2:$A$311=A72)*('Đơn vị – vũ khí'!$F$2:$F$311=1)*N(+'Đơn vị – vũ khí'!$L$2:$L$311))</f>
        <v/>
      </c>
      <c r="L72" s="54">
        <f>IFERROR(I72/D72,"")</f>
        <v/>
      </c>
      <c r="M72" s="39" t="n"/>
    </row>
    <row r="73" ht="15" customHeight="1" s="32">
      <c r="A73" s="41" t="inlineStr">
        <is>
          <t>c_ram</t>
        </is>
      </c>
      <c r="B73" s="41" t="inlineStr">
        <is>
          <t>Trạm C-RAM</t>
        </is>
      </c>
      <c r="C73" s="41" t="inlineStr">
        <is>
          <t>Công trình</t>
        </is>
      </c>
      <c r="D73" s="41" t="n"/>
      <c r="E73" s="43" t="n">
        <v>0</v>
      </c>
      <c r="F73" s="43" t="n">
        <v>0</v>
      </c>
      <c r="G73" s="43" t="n">
        <v>0</v>
      </c>
      <c r="H73" s="55">
        <f>SUMPRODUCT(('Đơn vị – vũ khí'!$A$2:$A$311=A73)*('Đơn vị – vũ khí'!$F$2:$F$311=1)*N(+'Đơn vị – vũ khí'!$I$2:$I$311))</f>
        <v/>
      </c>
      <c r="I73" s="55">
        <f>SUMPRODUCT(('Đơn vị – vũ khí'!$A$2:$A$311=A73)*('Đơn vị – vũ khí'!$F$2:$F$311=1)*N(+'Đơn vị – vũ khí'!$J$2:$J$311))</f>
        <v/>
      </c>
      <c r="J73" s="55">
        <f>SUMPRODUCT(('Đơn vị – vũ khí'!$A$2:$A$311=A73)*('Đơn vị – vũ khí'!$F$2:$F$311=1)*N(+'Đơn vị – vũ khí'!$K$2:$K$311))</f>
        <v/>
      </c>
      <c r="K73" s="55">
        <f>SUMPRODUCT(('Đơn vị – vũ khí'!$A$2:$A$311=A73)*('Đơn vị – vũ khí'!$F$2:$F$311=1)*N(+'Đơn vị – vũ khí'!$L$2:$L$311))</f>
        <v/>
      </c>
      <c r="L73" s="55">
        <f>IFERROR(I73/D73,"")</f>
        <v/>
      </c>
      <c r="M73" s="41" t="n"/>
    </row>
    <row r="74" ht="15" customHeight="1" s="32">
      <c r="A74" s="39" t="inlineStr">
        <is>
          <t>c_ram.centurion</t>
        </is>
      </c>
      <c r="B74" s="39" t="inlineStr">
        <is>
          <t>Trạm C-RAM · nhánh Centurion</t>
        </is>
      </c>
      <c r="C74" s="39" t="inlineStr">
        <is>
          <t>Công trình</t>
        </is>
      </c>
      <c r="D74" s="39" t="n"/>
      <c r="E74" s="42" t="n">
        <v>0</v>
      </c>
      <c r="F74" s="42" t="n">
        <v>0</v>
      </c>
      <c r="G74" s="42" t="n">
        <v>0</v>
      </c>
      <c r="H74" s="54">
        <f>SUMPRODUCT(('Đơn vị – vũ khí'!$A$2:$A$311=A74)*('Đơn vị – vũ khí'!$F$2:$F$311=1)*N(+'Đơn vị – vũ khí'!$I$2:$I$311))</f>
        <v/>
      </c>
      <c r="I74" s="54">
        <f>SUMPRODUCT(('Đơn vị – vũ khí'!$A$2:$A$311=A74)*('Đơn vị – vũ khí'!$F$2:$F$311=1)*N(+'Đơn vị – vũ khí'!$J$2:$J$311))</f>
        <v/>
      </c>
      <c r="J74" s="54">
        <f>SUMPRODUCT(('Đơn vị – vũ khí'!$A$2:$A$311=A74)*('Đơn vị – vũ khí'!$F$2:$F$311=1)*N(+'Đơn vị – vũ khí'!$K$2:$K$311))</f>
        <v/>
      </c>
      <c r="K74" s="54">
        <f>SUMPRODUCT(('Đơn vị – vũ khí'!$A$2:$A$311=A74)*('Đơn vị – vũ khí'!$F$2:$F$311=1)*N(+'Đơn vị – vũ khí'!$L$2:$L$311))</f>
        <v/>
      </c>
      <c r="L74" s="54">
        <f>IFERROR(I74/D74,"")</f>
        <v/>
      </c>
      <c r="M74" s="39" t="n"/>
    </row>
    <row r="75" ht="15" customHeight="1" s="32">
      <c r="A75" s="41" t="inlineStr">
        <is>
          <t>c_ram.dome</t>
        </is>
      </c>
      <c r="B75" s="41" t="inlineStr">
        <is>
          <t>Trạm C-RAM · nhánh Vòm Sắt</t>
        </is>
      </c>
      <c r="C75" s="41" t="inlineStr">
        <is>
          <t>Công trình</t>
        </is>
      </c>
      <c r="D75" s="41" t="n"/>
      <c r="E75" s="43" t="n">
        <v>0</v>
      </c>
      <c r="F75" s="43" t="n">
        <v>0</v>
      </c>
      <c r="G75" s="43" t="n">
        <v>21</v>
      </c>
      <c r="H75" s="55">
        <f>SUMPRODUCT(('Đơn vị – vũ khí'!$A$2:$A$311=A75)*('Đơn vị – vũ khí'!$F$2:$F$311=1)*N(+'Đơn vị – vũ khí'!$I$2:$I$311))</f>
        <v/>
      </c>
      <c r="I75" s="55">
        <f>SUMPRODUCT(('Đơn vị – vũ khí'!$A$2:$A$311=A75)*('Đơn vị – vũ khí'!$F$2:$F$311=1)*N(+'Đơn vị – vũ khí'!$J$2:$J$311))</f>
        <v/>
      </c>
      <c r="J75" s="55">
        <f>SUMPRODUCT(('Đơn vị – vũ khí'!$A$2:$A$311=A75)*('Đơn vị – vũ khí'!$F$2:$F$311=1)*N(+'Đơn vị – vũ khí'!$K$2:$K$311))</f>
        <v/>
      </c>
      <c r="K75" s="55">
        <f>SUMPRODUCT(('Đơn vị – vũ khí'!$A$2:$A$311=A75)*('Đơn vị – vũ khí'!$F$2:$F$311=1)*N(+'Đơn vị – vũ khí'!$L$2:$L$311))</f>
        <v/>
      </c>
      <c r="L75" s="55">
        <f>IFERROR(I75/D75,"")</f>
        <v/>
      </c>
      <c r="M75" s="41" t="n"/>
    </row>
    <row r="76" ht="15" customHeight="1" s="32">
      <c r="A76" s="39" t="inlineStr">
        <is>
          <t>gun_turret</t>
        </is>
      </c>
      <c r="B76" s="39" t="inlineStr">
        <is>
          <t>Tháp pháo</t>
        </is>
      </c>
      <c r="C76" s="39" t="inlineStr">
        <is>
          <t>Công trình</t>
        </is>
      </c>
      <c r="D76" s="39" t="n"/>
      <c r="E76" s="42" t="n">
        <v>65</v>
      </c>
      <c r="F76" s="42" t="n">
        <v>83</v>
      </c>
      <c r="G76" s="42" t="n">
        <v>0</v>
      </c>
      <c r="H76" s="54">
        <f>SUMPRODUCT(('Đơn vị – vũ khí'!$A$2:$A$311=A76)*('Đơn vị – vũ khí'!$F$2:$F$311=1)*N(+'Đơn vị – vũ khí'!$I$2:$I$311))</f>
        <v/>
      </c>
      <c r="I76" s="54">
        <f>SUMPRODUCT(('Đơn vị – vũ khí'!$A$2:$A$311=A76)*('Đơn vị – vũ khí'!$F$2:$F$311=1)*N(+'Đơn vị – vũ khí'!$J$2:$J$311))</f>
        <v/>
      </c>
      <c r="J76" s="54">
        <f>SUMPRODUCT(('Đơn vị – vũ khí'!$A$2:$A$311=A76)*('Đơn vị – vũ khí'!$F$2:$F$311=1)*N(+'Đơn vị – vũ khí'!$K$2:$K$311))</f>
        <v/>
      </c>
      <c r="K76" s="54">
        <f>SUMPRODUCT(('Đơn vị – vũ khí'!$A$2:$A$311=A76)*('Đơn vị – vũ khí'!$F$2:$F$311=1)*N(+'Đơn vị – vũ khí'!$L$2:$L$311))</f>
        <v/>
      </c>
      <c r="L76" s="54">
        <f>IFERROR(I76/D76,"")</f>
        <v/>
      </c>
      <c r="M76" s="39" t="n"/>
    </row>
    <row r="77" ht="15" customHeight="1" s="32">
      <c r="A77" s="41" t="inlineStr">
        <is>
          <t>gun_turret.long</t>
        </is>
      </c>
      <c r="B77" s="41" t="inlineStr">
        <is>
          <t>Tháp pháo · nhánh Pháo bắn tỉa</t>
        </is>
      </c>
      <c r="C77" s="41" t="inlineStr">
        <is>
          <t>Công trình</t>
        </is>
      </c>
      <c r="D77" s="41" t="n"/>
      <c r="E77" s="43" t="n">
        <v>48</v>
      </c>
      <c r="F77" s="43" t="n">
        <v>62</v>
      </c>
      <c r="G77" s="43" t="n">
        <v>0</v>
      </c>
      <c r="H77" s="55">
        <f>SUMPRODUCT(('Đơn vị – vũ khí'!$A$2:$A$311=A77)*('Đơn vị – vũ khí'!$F$2:$F$311=1)*N(+'Đơn vị – vũ khí'!$I$2:$I$311))</f>
        <v/>
      </c>
      <c r="I77" s="55">
        <f>SUMPRODUCT(('Đơn vị – vũ khí'!$A$2:$A$311=A77)*('Đơn vị – vũ khí'!$F$2:$F$311=1)*N(+'Đơn vị – vũ khí'!$J$2:$J$311))</f>
        <v/>
      </c>
      <c r="J77" s="55">
        <f>SUMPRODUCT(('Đơn vị – vũ khí'!$A$2:$A$311=A77)*('Đơn vị – vũ khí'!$F$2:$F$311=1)*N(+'Đơn vị – vũ khí'!$K$2:$K$311))</f>
        <v/>
      </c>
      <c r="K77" s="55">
        <f>SUMPRODUCT(('Đơn vị – vũ khí'!$A$2:$A$311=A77)*('Đơn vị – vũ khí'!$F$2:$F$311=1)*N(+'Đơn vị – vũ khí'!$L$2:$L$311))</f>
        <v/>
      </c>
      <c r="L77" s="55">
        <f>IFERROR(I77/D77,"")</f>
        <v/>
      </c>
      <c r="M77" s="41" t="n"/>
    </row>
    <row r="78" ht="21.75" customHeight="1" s="32">
      <c r="A78" s="39" t="inlineStr">
        <is>
          <t>gun_turret.auto</t>
        </is>
      </c>
      <c r="B78" s="39" t="inlineStr">
        <is>
          <t>Tháp pháo · nhánh Pháo tự động 57 mm</t>
        </is>
      </c>
      <c r="C78" s="39" t="inlineStr">
        <is>
          <t>Công trình</t>
        </is>
      </c>
      <c r="D78" s="39" t="n"/>
      <c r="E78" s="42" t="n">
        <v>86</v>
      </c>
      <c r="F78" s="42" t="n">
        <v>43</v>
      </c>
      <c r="G78" s="42" t="n">
        <v>111</v>
      </c>
      <c r="H78" s="54">
        <f>SUMPRODUCT(('Đơn vị – vũ khí'!$A$2:$A$311=A78)*('Đơn vị – vũ khí'!$F$2:$F$311=1)*N(+'Đơn vị – vũ khí'!$I$2:$I$311))</f>
        <v/>
      </c>
      <c r="I78" s="54">
        <f>SUMPRODUCT(('Đơn vị – vũ khí'!$A$2:$A$311=A78)*('Đơn vị – vũ khí'!$F$2:$F$311=1)*N(+'Đơn vị – vũ khí'!$J$2:$J$311))</f>
        <v/>
      </c>
      <c r="J78" s="54">
        <f>SUMPRODUCT(('Đơn vị – vũ khí'!$A$2:$A$311=A78)*('Đơn vị – vũ khí'!$F$2:$F$311=1)*N(+'Đơn vị – vũ khí'!$K$2:$K$311))</f>
        <v/>
      </c>
      <c r="K78" s="54">
        <f>SUMPRODUCT(('Đơn vị – vũ khí'!$A$2:$A$311=A78)*('Đơn vị – vũ khí'!$F$2:$F$311=1)*N(+'Đơn vị – vũ khí'!$L$2:$L$311))</f>
        <v/>
      </c>
      <c r="L78" s="54">
        <f>IFERROR(I78/D78,"")</f>
        <v/>
      </c>
      <c r="M78" s="39" t="n"/>
    </row>
    <row r="79" ht="15" customHeight="1" s="32">
      <c r="A79" s="41" t="inlineStr">
        <is>
          <t>rocket_turret</t>
        </is>
      </c>
      <c r="B79" s="41" t="inlineStr">
        <is>
          <t>Dàn rốc-két</t>
        </is>
      </c>
      <c r="C79" s="41" t="inlineStr">
        <is>
          <t>Công trình</t>
        </is>
      </c>
      <c r="D79" s="41" t="n"/>
      <c r="E79" s="43" t="n">
        <v>87</v>
      </c>
      <c r="F79" s="43" t="n">
        <v>40</v>
      </c>
      <c r="G79" s="43" t="n">
        <v>0</v>
      </c>
      <c r="H79" s="55">
        <f>SUMPRODUCT(('Đơn vị – vũ khí'!$A$2:$A$311=A79)*('Đơn vị – vũ khí'!$F$2:$F$311=1)*N(+'Đơn vị – vũ khí'!$I$2:$I$311))</f>
        <v/>
      </c>
      <c r="I79" s="55">
        <f>SUMPRODUCT(('Đơn vị – vũ khí'!$A$2:$A$311=A79)*('Đơn vị – vũ khí'!$F$2:$F$311=1)*N(+'Đơn vị – vũ khí'!$J$2:$J$311))</f>
        <v/>
      </c>
      <c r="J79" s="55">
        <f>SUMPRODUCT(('Đơn vị – vũ khí'!$A$2:$A$311=A79)*('Đơn vị – vũ khí'!$F$2:$F$311=1)*N(+'Đơn vị – vũ khí'!$K$2:$K$311))</f>
        <v/>
      </c>
      <c r="K79" s="55">
        <f>SUMPRODUCT(('Đơn vị – vũ khí'!$A$2:$A$311=A79)*('Đơn vị – vũ khí'!$F$2:$F$311=1)*N(+'Đơn vị – vũ khí'!$L$2:$L$311))</f>
        <v/>
      </c>
      <c r="L79" s="55">
        <f>IFERROR(I79/D79,"")</f>
        <v/>
      </c>
      <c r="M79" s="41" t="n"/>
    </row>
    <row r="80" ht="15" customHeight="1" s="32">
      <c r="A80" s="39" t="inlineStr">
        <is>
          <t>rocket_turret.cluster</t>
        </is>
      </c>
      <c r="B80" s="39" t="inlineStr">
        <is>
          <t>Dàn rốc-két · nhánh Rốc-két chùm</t>
        </is>
      </c>
      <c r="C80" s="39" t="inlineStr">
        <is>
          <t>Công trình</t>
        </is>
      </c>
      <c r="D80" s="39" t="n"/>
      <c r="E80" s="42" t="n">
        <v>90</v>
      </c>
      <c r="F80" s="42" t="n">
        <v>41</v>
      </c>
      <c r="G80" s="42" t="n">
        <v>0</v>
      </c>
      <c r="H80" s="54">
        <f>SUMPRODUCT(('Đơn vị – vũ khí'!$A$2:$A$311=A80)*('Đơn vị – vũ khí'!$F$2:$F$311=1)*N(+'Đơn vị – vũ khí'!$I$2:$I$311))</f>
        <v/>
      </c>
      <c r="I80" s="54">
        <f>SUMPRODUCT(('Đơn vị – vũ khí'!$A$2:$A$311=A80)*('Đơn vị – vũ khí'!$F$2:$F$311=1)*N(+'Đơn vị – vũ khí'!$J$2:$J$311))</f>
        <v/>
      </c>
      <c r="J80" s="54">
        <f>SUMPRODUCT(('Đơn vị – vũ khí'!$A$2:$A$311=A80)*('Đơn vị – vũ khí'!$F$2:$F$311=1)*N(+'Đơn vị – vũ khí'!$K$2:$K$311))</f>
        <v/>
      </c>
      <c r="K80" s="54">
        <f>SUMPRODUCT(('Đơn vị – vũ khí'!$A$2:$A$311=A80)*('Đơn vị – vũ khí'!$F$2:$F$311=1)*N(+'Đơn vị – vũ khí'!$L$2:$L$311))</f>
        <v/>
      </c>
      <c r="L80" s="54">
        <f>IFERROR(I80/D80,"")</f>
        <v/>
      </c>
      <c r="M80" s="39" t="n"/>
    </row>
    <row r="81" ht="21.75" customHeight="1" s="32">
      <c r="A81" s="41" t="inlineStr">
        <is>
          <t>rocket_turret.guided</t>
        </is>
      </c>
      <c r="B81" s="41" t="inlineStr">
        <is>
          <t>Dàn rốc-két · nhánh Rốc-két dẫn đường</t>
        </is>
      </c>
      <c r="C81" s="41" t="inlineStr">
        <is>
          <t>Công trình</t>
        </is>
      </c>
      <c r="D81" s="41" t="n"/>
      <c r="E81" s="43" t="n">
        <v>27</v>
      </c>
      <c r="F81" s="43" t="n">
        <v>27</v>
      </c>
      <c r="G81" s="43" t="n">
        <v>0</v>
      </c>
      <c r="H81" s="55">
        <f>SUMPRODUCT(('Đơn vị – vũ khí'!$A$2:$A$311=A81)*('Đơn vị – vũ khí'!$F$2:$F$311=1)*N(+'Đơn vị – vũ khí'!$I$2:$I$311))</f>
        <v/>
      </c>
      <c r="I81" s="55">
        <f>SUMPRODUCT(('Đơn vị – vũ khí'!$A$2:$A$311=A81)*('Đơn vị – vũ khí'!$F$2:$F$311=1)*N(+'Đơn vị – vũ khí'!$J$2:$J$311))</f>
        <v/>
      </c>
      <c r="J81" s="55">
        <f>SUMPRODUCT(('Đơn vị – vũ khí'!$A$2:$A$311=A81)*('Đơn vị – vũ khí'!$F$2:$F$311=1)*N(+'Đơn vị – vũ khí'!$K$2:$K$311))</f>
        <v/>
      </c>
      <c r="K81" s="55">
        <f>SUMPRODUCT(('Đơn vị – vũ khí'!$A$2:$A$311=A81)*('Đơn vị – vũ khí'!$F$2:$F$311=1)*N(+'Đơn vị – vũ khí'!$L$2:$L$311))</f>
        <v/>
      </c>
      <c r="L81" s="55">
        <f>IFERROR(I81/D81,"")</f>
        <v/>
      </c>
      <c r="M81" s="41" t="n"/>
    </row>
    <row r="82" ht="15" customHeight="1" s="32">
      <c r="A82" s="39"/>
      <c r="B82" s="39"/>
      <c r="C82" s="39"/>
      <c r="D82" s="39"/>
      <c r="E82" s="42"/>
      <c r="F82" s="42"/>
      <c r="G82" s="42"/>
      <c r="H82" s="54"/>
      <c r="I82" s="54"/>
      <c r="J82" s="54"/>
      <c r="K82" s="54"/>
      <c r="L82" s="54"/>
      <c r="M82" s="39"/>
    </row>
    <row r="83" ht="15" customHeight="1" s="32">
      <c r="A83" s="41"/>
      <c r="B83" s="41"/>
      <c r="C83" s="41"/>
      <c r="D83" s="41"/>
      <c r="E83" s="43"/>
      <c r="F83" s="43"/>
      <c r="G83" s="43"/>
      <c r="H83" s="55"/>
      <c r="I83" s="55"/>
      <c r="J83" s="55"/>
      <c r="K83" s="55"/>
      <c r="L83" s="55"/>
      <c r="M83" s="41"/>
    </row>
    <row r="84" ht="21.75" customHeight="1" s="32">
      <c r="A84" s="39"/>
      <c r="B84" s="39"/>
      <c r="C84" s="39"/>
      <c r="D84" s="39"/>
      <c r="E84" s="42"/>
      <c r="F84" s="42"/>
      <c r="G84" s="42"/>
      <c r="H84" s="54"/>
      <c r="I84" s="54"/>
      <c r="J84" s="54"/>
      <c r="K84" s="54"/>
      <c r="L84" s="54"/>
      <c r="M84" s="39"/>
    </row>
    <row r="85" ht="15" customHeight="1" s="32">
      <c r="A85" s="41" t="inlineStr">
        <is>
          <t>drone_hangar</t>
        </is>
      </c>
      <c r="B85" s="41" t="inlineStr">
        <is>
          <t>Nhà chứa drone</t>
        </is>
      </c>
      <c r="C85" s="41" t="inlineStr">
        <is>
          <t>Công trình</t>
        </is>
      </c>
      <c r="D85" s="41" t="n"/>
      <c r="E85" s="43" t="n">
        <v>59</v>
      </c>
      <c r="F85" s="43" t="n">
        <v>59</v>
      </c>
      <c r="G85" s="43" t="n">
        <v>0</v>
      </c>
      <c r="H85" s="55">
        <f>SUMPRODUCT(('Đơn vị – vũ khí'!$A$2:$A$311=A85)*('Đơn vị – vũ khí'!$F$2:$F$311=1)*N(+'Đơn vị – vũ khí'!$I$2:$I$311))</f>
        <v/>
      </c>
      <c r="I85" s="55">
        <f>SUMPRODUCT(('Đơn vị – vũ khí'!$A$2:$A$311=A85)*('Đơn vị – vũ khí'!$F$2:$F$311=1)*N(+'Đơn vị – vũ khí'!$J$2:$J$311))</f>
        <v/>
      </c>
      <c r="J85" s="55">
        <f>SUMPRODUCT(('Đơn vị – vũ khí'!$A$2:$A$311=A85)*('Đơn vị – vũ khí'!$F$2:$F$311=1)*N(+'Đơn vị – vũ khí'!$K$2:$K$311))</f>
        <v/>
      </c>
      <c r="K85" s="55">
        <f>SUMPRODUCT(('Đơn vị – vũ khí'!$A$2:$A$311=A85)*('Đơn vị – vũ khí'!$F$2:$F$311=1)*N(+'Đơn vị – vũ khí'!$L$2:$L$311))</f>
        <v/>
      </c>
      <c r="L85" s="55">
        <f>IFERROR(I85/D85,"")</f>
        <v/>
      </c>
      <c r="M85" s="41" t="n"/>
    </row>
    <row r="86" ht="21.75" customHeight="1" s="32">
      <c r="A86" s="39" t="inlineStr">
        <is>
          <t>drone_hangar.lancet</t>
        </is>
      </c>
      <c r="B86" s="39" t="inlineStr">
        <is>
          <t>Nhà chứa drone · nhánh Nhà chứa Lancet</t>
        </is>
      </c>
      <c r="C86" s="39" t="inlineStr">
        <is>
          <t>Công trình</t>
        </is>
      </c>
      <c r="D86" s="39" t="n"/>
      <c r="E86" s="42" t="n">
        <v>67</v>
      </c>
      <c r="F86" s="42" t="n">
        <v>67</v>
      </c>
      <c r="G86" s="42" t="n">
        <v>0</v>
      </c>
      <c r="H86" s="54">
        <f>SUMPRODUCT(('Đơn vị – vũ khí'!$A$2:$A$311=A86)*('Đơn vị – vũ khí'!$F$2:$F$311=1)*N(+'Đơn vị – vũ khí'!$I$2:$I$311))</f>
        <v/>
      </c>
      <c r="I86" s="54">
        <f>SUMPRODUCT(('Đơn vị – vũ khí'!$A$2:$A$311=A86)*('Đơn vị – vũ khí'!$F$2:$F$311=1)*N(+'Đơn vị – vũ khí'!$J$2:$J$311))</f>
        <v/>
      </c>
      <c r="J86" s="54">
        <f>SUMPRODUCT(('Đơn vị – vũ khí'!$A$2:$A$311=A86)*('Đơn vị – vũ khí'!$F$2:$F$311=1)*N(+'Đơn vị – vũ khí'!$K$2:$K$311))</f>
        <v/>
      </c>
      <c r="K86" s="54">
        <f>SUMPRODUCT(('Đơn vị – vũ khí'!$A$2:$A$311=A86)*('Đơn vị – vũ khí'!$F$2:$F$311=1)*N(+'Đơn vị – vũ khí'!$L$2:$L$311))</f>
        <v/>
      </c>
      <c r="L86" s="54">
        <f>IFERROR(I86/D86,"")</f>
        <v/>
      </c>
      <c r="M86" s="39" t="n"/>
    </row>
    <row r="87" ht="15" customHeight="1" s="32">
      <c r="A87" s="41" t="inlineStr">
        <is>
          <t>drone_hangar.swarm</t>
        </is>
      </c>
      <c r="B87" s="41" t="inlineStr">
        <is>
          <t>Nhà chứa drone · nhánh Bầy đàn</t>
        </is>
      </c>
      <c r="C87" s="41" t="inlineStr">
        <is>
          <t>Công trình</t>
        </is>
      </c>
      <c r="D87" s="41" t="n"/>
      <c r="E87" s="43" t="n">
        <v>77</v>
      </c>
      <c r="F87" s="43" t="n">
        <v>77</v>
      </c>
      <c r="G87" s="43" t="n">
        <v>0</v>
      </c>
      <c r="H87" s="55">
        <f>SUMPRODUCT(('Đơn vị – vũ khí'!$A$2:$A$311=A87)*('Đơn vị – vũ khí'!$F$2:$F$311=1)*N(+'Đơn vị – vũ khí'!$I$2:$I$311))</f>
        <v/>
      </c>
      <c r="I87" s="55">
        <f>SUMPRODUCT(('Đơn vị – vũ khí'!$A$2:$A$311=A87)*('Đơn vị – vũ khí'!$F$2:$F$311=1)*N(+'Đơn vị – vũ khí'!$J$2:$J$311))</f>
        <v/>
      </c>
      <c r="J87" s="55">
        <f>SUMPRODUCT(('Đơn vị – vũ khí'!$A$2:$A$311=A87)*('Đơn vị – vũ khí'!$F$2:$F$311=1)*N(+'Đơn vị – vũ khí'!$K$2:$K$311))</f>
        <v/>
      </c>
      <c r="K87" s="55">
        <f>SUMPRODUCT(('Đơn vị – vũ khí'!$A$2:$A$311=A87)*('Đơn vị – vũ khí'!$F$2:$F$311=1)*N(+'Đơn vị – vũ khí'!$L$2:$L$311))</f>
        <v/>
      </c>
      <c r="L87" s="55">
        <f>IFERROR(I87/D87,"")</f>
        <v/>
      </c>
      <c r="M87" s="41" t="n"/>
    </row>
    <row r="88" ht="15" customHeight="1" s="32">
      <c r="A88" s="39" t="inlineStr">
        <is>
          <t>heavy_turret</t>
        </is>
      </c>
      <c r="B88" s="39" t="inlineStr">
        <is>
          <t>Pháo đài hạng nặng</t>
        </is>
      </c>
      <c r="C88" s="39" t="inlineStr">
        <is>
          <t>Công trình</t>
        </is>
      </c>
      <c r="D88" s="39" t="n"/>
      <c r="E88" s="42" t="n">
        <v>138</v>
      </c>
      <c r="F88" s="42" t="n">
        <v>98</v>
      </c>
      <c r="G88" s="42" t="n">
        <v>0</v>
      </c>
      <c r="H88" s="54">
        <f>SUMPRODUCT(('Đơn vị – vũ khí'!$A$2:$A$311=A88)*('Đơn vị – vũ khí'!$F$2:$F$311=1)*N(+'Đơn vị – vũ khí'!$I$2:$I$311))</f>
        <v/>
      </c>
      <c r="I88" s="54">
        <f>SUMPRODUCT(('Đơn vị – vũ khí'!$A$2:$A$311=A88)*('Đơn vị – vũ khí'!$F$2:$F$311=1)*N(+'Đơn vị – vũ khí'!$J$2:$J$311))</f>
        <v/>
      </c>
      <c r="J88" s="54">
        <f>SUMPRODUCT(('Đơn vị – vũ khí'!$A$2:$A$311=A88)*('Đơn vị – vũ khí'!$F$2:$F$311=1)*N(+'Đơn vị – vũ khí'!$K$2:$K$311))</f>
        <v/>
      </c>
      <c r="K88" s="54">
        <f>SUMPRODUCT(('Đơn vị – vũ khí'!$A$2:$A$311=A88)*('Đơn vị – vũ khí'!$F$2:$F$311=1)*N(+'Đơn vị – vũ khí'!$L$2:$L$311))</f>
        <v/>
      </c>
      <c r="L88" s="54">
        <f>IFERROR(I88/D88,"")</f>
        <v/>
      </c>
      <c r="M88" s="39" t="n"/>
    </row>
    <row r="89" ht="21.75" customHeight="1" s="32">
      <c r="A89" s="41" t="inlineStr">
        <is>
          <t>heavy_turret.coastal</t>
        </is>
      </c>
      <c r="B89" s="41" t="inlineStr">
        <is>
          <t>Pháo đài hạng nặng · nhánh Pháo bờ biển tầm xa</t>
        </is>
      </c>
      <c r="C89" s="41" t="inlineStr">
        <is>
          <t>Công trình</t>
        </is>
      </c>
      <c r="D89" s="41" t="n"/>
      <c r="E89" s="43" t="n">
        <v>138</v>
      </c>
      <c r="F89" s="43" t="n">
        <v>98</v>
      </c>
      <c r="G89" s="43" t="n">
        <v>0</v>
      </c>
      <c r="H89" s="55">
        <f>SUMPRODUCT(('Đơn vị – vũ khí'!$A$2:$A$311=A89)*('Đơn vị – vũ khí'!$F$2:$F$311=1)*N(+'Đơn vị – vũ khí'!$I$2:$I$311))</f>
        <v/>
      </c>
      <c r="I89" s="55">
        <f>SUMPRODUCT(('Đơn vị – vũ khí'!$A$2:$A$311=A89)*('Đơn vị – vũ khí'!$F$2:$F$311=1)*N(+'Đơn vị – vũ khí'!$J$2:$J$311))</f>
        <v/>
      </c>
      <c r="J89" s="55">
        <f>SUMPRODUCT(('Đơn vị – vũ khí'!$A$2:$A$311=A89)*('Đơn vị – vũ khí'!$F$2:$F$311=1)*N(+'Đơn vị – vũ khí'!$K$2:$K$311))</f>
        <v/>
      </c>
      <c r="K89" s="55">
        <f>SUMPRODUCT(('Đơn vị – vũ khí'!$A$2:$A$311=A89)*('Đơn vị – vũ khí'!$F$2:$F$311=1)*N(+'Đơn vị – vũ khí'!$L$2:$L$311))</f>
        <v/>
      </c>
      <c r="L89" s="55">
        <f>IFERROR(I89/D89,"")</f>
        <v/>
      </c>
      <c r="M89" s="41" t="n"/>
    </row>
    <row r="90" ht="21.75" customHeight="1" s="32">
      <c r="A90" s="39" t="inlineStr">
        <is>
          <t>heavy_turret.bastion</t>
        </is>
      </c>
      <c r="B90" s="39" t="inlineStr">
        <is>
          <t>Pháo đài hạng nặng · nhánh Pháo đài thép</t>
        </is>
      </c>
      <c r="C90" s="39" t="inlineStr">
        <is>
          <t>Công trình</t>
        </is>
      </c>
      <c r="D90" s="39" t="n"/>
      <c r="E90" s="42" t="n">
        <v>229</v>
      </c>
      <c r="F90" s="42" t="n">
        <v>125</v>
      </c>
      <c r="G90" s="42" t="n">
        <v>32</v>
      </c>
      <c r="H90" s="54">
        <f>SUMPRODUCT(('Đơn vị – vũ khí'!$A$2:$A$311=A90)*('Đơn vị – vũ khí'!$F$2:$F$311=1)*N(+'Đơn vị – vũ khí'!$I$2:$I$311))</f>
        <v/>
      </c>
      <c r="I90" s="54">
        <f>SUMPRODUCT(('Đơn vị – vũ khí'!$A$2:$A$311=A90)*('Đơn vị – vũ khí'!$F$2:$F$311=1)*N(+'Đơn vị – vũ khí'!$J$2:$J$311))</f>
        <v/>
      </c>
      <c r="J90" s="54">
        <f>SUMPRODUCT(('Đơn vị – vũ khí'!$A$2:$A$311=A90)*('Đơn vị – vũ khí'!$F$2:$F$311=1)*N(+'Đơn vị – vũ khí'!$K$2:$K$311))</f>
        <v/>
      </c>
      <c r="K90" s="54">
        <f>SUMPRODUCT(('Đơn vị – vũ khí'!$A$2:$A$311=A90)*('Đơn vị – vũ khí'!$F$2:$F$311=1)*N(+'Đơn vị – vũ khí'!$L$2:$L$311))</f>
        <v/>
      </c>
      <c r="L90" s="54">
        <f>IFERROR(I90/D90,"")</f>
        <v/>
      </c>
      <c r="M90" s="39" t="n"/>
    </row>
    <row r="91" ht="15" customHeight="1" s="32">
      <c r="A91" s="41" t="inlineStr">
        <is>
          <t>missile_battery</t>
        </is>
      </c>
      <c r="B91" s="41" t="inlineStr">
        <is>
          <t>Tên lửa Patriot tầm xa</t>
        </is>
      </c>
      <c r="C91" s="41" t="inlineStr">
        <is>
          <t>Công trình</t>
        </is>
      </c>
      <c r="D91" s="41" t="n"/>
      <c r="E91" s="43" t="n">
        <v>0</v>
      </c>
      <c r="F91" s="43" t="n">
        <v>0</v>
      </c>
      <c r="G91" s="43" t="n">
        <v>188</v>
      </c>
      <c r="H91" s="55">
        <f>SUMPRODUCT(('Đơn vị – vũ khí'!$A$2:$A$311=A91)*('Đơn vị – vũ khí'!$F$2:$F$311=1)*N(+'Đơn vị – vũ khí'!$I$2:$I$311))</f>
        <v/>
      </c>
      <c r="I91" s="55">
        <f>SUMPRODUCT(('Đơn vị – vũ khí'!$A$2:$A$311=A91)*('Đơn vị – vũ khí'!$F$2:$F$311=1)*N(+'Đơn vị – vũ khí'!$J$2:$J$311))</f>
        <v/>
      </c>
      <c r="J91" s="55">
        <f>SUMPRODUCT(('Đơn vị – vũ khí'!$A$2:$A$311=A91)*('Đơn vị – vũ khí'!$F$2:$F$311=1)*N(+'Đơn vị – vũ khí'!$K$2:$K$311))</f>
        <v/>
      </c>
      <c r="K91" s="55">
        <f>SUMPRODUCT(('Đơn vị – vũ khí'!$A$2:$A$311=A91)*('Đơn vị – vũ khí'!$F$2:$F$311=1)*N(+'Đơn vị – vũ khí'!$L$2:$L$311))</f>
        <v/>
      </c>
      <c r="L91" s="55">
        <f>IFERROR(I91/D91,"")</f>
        <v/>
      </c>
      <c r="M91" s="41" t="n"/>
    </row>
    <row r="92" ht="21.75" customHeight="1" s="32">
      <c r="A92" s="39" t="inlineStr">
        <is>
          <t>missile_battery.pac3</t>
        </is>
      </c>
      <c r="B92" s="39" t="inlineStr">
        <is>
          <t>Tên lửa Patriot tầm xa · nhánh PAC-3 đánh chặn</t>
        </is>
      </c>
      <c r="C92" s="39" t="inlineStr">
        <is>
          <t>Công trình</t>
        </is>
      </c>
      <c r="D92" s="39" t="n"/>
      <c r="E92" s="42" t="n">
        <v>0</v>
      </c>
      <c r="F92" s="42" t="n">
        <v>0</v>
      </c>
      <c r="G92" s="42" t="n">
        <v>150</v>
      </c>
      <c r="H92" s="54">
        <f>SUMPRODUCT(('Đơn vị – vũ khí'!$A$2:$A$311=A92)*('Đơn vị – vũ khí'!$F$2:$F$311=1)*N(+'Đơn vị – vũ khí'!$I$2:$I$311))</f>
        <v/>
      </c>
      <c r="I92" s="54">
        <f>SUMPRODUCT(('Đơn vị – vũ khí'!$A$2:$A$311=A92)*('Đơn vị – vũ khí'!$F$2:$F$311=1)*N(+'Đơn vị – vũ khí'!$J$2:$J$311))</f>
        <v/>
      </c>
      <c r="J92" s="54">
        <f>SUMPRODUCT(('Đơn vị – vũ khí'!$A$2:$A$311=A92)*('Đơn vị – vũ khí'!$F$2:$F$311=1)*N(+'Đơn vị – vũ khí'!$K$2:$K$311))</f>
        <v/>
      </c>
      <c r="K92" s="54">
        <f>SUMPRODUCT(('Đơn vị – vũ khí'!$A$2:$A$311=A92)*('Đơn vị – vũ khí'!$F$2:$F$311=1)*N(+'Đơn vị – vũ khí'!$L$2:$L$311))</f>
        <v/>
      </c>
      <c r="L92" s="54">
        <f>IFERROR(I92/D92,"")</f>
        <v/>
      </c>
      <c r="M92" s="39" t="n"/>
    </row>
    <row r="93" ht="21.75" customHeight="1" s="32">
      <c r="A93" s="41" t="inlineStr">
        <is>
          <t>missile_battery.lrr</t>
        </is>
      </c>
      <c r="B93" s="41" t="inlineStr">
        <is>
          <t>Tên lửa Patriot tầm xa · nhánh Radar tầm xa</t>
        </is>
      </c>
      <c r="C93" s="41" t="inlineStr">
        <is>
          <t>Công trình</t>
        </is>
      </c>
      <c r="D93" s="41" t="n"/>
      <c r="E93" s="43" t="n">
        <v>0</v>
      </c>
      <c r="F93" s="43" t="n">
        <v>0</v>
      </c>
      <c r="G93" s="43" t="n">
        <v>186</v>
      </c>
      <c r="H93" s="55">
        <f>SUMPRODUCT(('Đơn vị – vũ khí'!$A$2:$A$311=A93)*('Đơn vị – vũ khí'!$F$2:$F$311=1)*N(+'Đơn vị – vũ khí'!$I$2:$I$311))</f>
        <v/>
      </c>
      <c r="I93" s="55">
        <f>SUMPRODUCT(('Đơn vị – vũ khí'!$A$2:$A$311=A93)*('Đơn vị – vũ khí'!$F$2:$F$311=1)*N(+'Đơn vị – vũ khí'!$J$2:$J$311))</f>
        <v/>
      </c>
      <c r="J93" s="55">
        <f>SUMPRODUCT(('Đơn vị – vũ khí'!$A$2:$A$311=A93)*('Đơn vị – vũ khí'!$F$2:$F$311=1)*N(+'Đơn vị – vũ khí'!$K$2:$K$311))</f>
        <v/>
      </c>
      <c r="K93" s="55">
        <f>SUMPRODUCT(('Đơn vị – vũ khí'!$A$2:$A$311=A93)*('Đơn vị – vũ khí'!$F$2:$F$311=1)*N(+'Đơn vị – vũ khí'!$L$2:$L$311))</f>
        <v/>
      </c>
      <c r="L93" s="55">
        <f>IFERROR(I93/D93,"")</f>
        <v/>
      </c>
      <c r="M93" s="41" t="n"/>
    </row>
    <row r="94" ht="15" customHeight="1" s="32">
      <c r="A94" s="39" t="inlineStr">
        <is>
          <t>bulwark_post</t>
        </is>
      </c>
      <c r="B94" s="39" t="inlineStr">
        <is>
          <t>Ụ súng tạm</t>
        </is>
      </c>
      <c r="C94" s="39" t="inlineStr">
        <is>
          <t>Công trình</t>
        </is>
      </c>
      <c r="D94" s="39" t="n"/>
      <c r="E94" s="42" t="n">
        <v>102</v>
      </c>
      <c r="F94" s="42" t="n">
        <v>30</v>
      </c>
      <c r="G94" s="42" t="n">
        <v>36</v>
      </c>
      <c r="H94" s="54">
        <f>SUMPRODUCT(('Đơn vị – vũ khí'!$A$2:$A$311=A94)*('Đơn vị – vũ khí'!$F$2:$F$311=1)*N(+'Đơn vị – vũ khí'!$I$2:$I$311))</f>
        <v/>
      </c>
      <c r="I94" s="54">
        <f>SUMPRODUCT(('Đơn vị – vũ khí'!$A$2:$A$311=A94)*('Đơn vị – vũ khí'!$F$2:$F$311=1)*N(+'Đơn vị – vũ khí'!$J$2:$J$311))</f>
        <v/>
      </c>
      <c r="J94" s="54">
        <f>SUMPRODUCT(('Đơn vị – vũ khí'!$A$2:$A$311=A94)*('Đơn vị – vũ khí'!$F$2:$F$311=1)*N(+'Đơn vị – vũ khí'!$K$2:$K$311))</f>
        <v/>
      </c>
      <c r="K94" s="54">
        <f>SUMPRODUCT(('Đơn vị – vũ khí'!$A$2:$A$311=A94)*('Đơn vị – vũ khí'!$F$2:$F$311=1)*N(+'Đơn vị – vũ khí'!$L$2:$L$311))</f>
        <v/>
      </c>
      <c r="L94" s="54">
        <f>IFERROR(I94/D94,"")</f>
        <v/>
      </c>
      <c r="M94" s="39" t="n"/>
    </row>
    <row r="95" ht="15" customHeight="1" s="32">
      <c r="A95" s="41" t="inlineStr">
        <is>
          <t>coastal_battery</t>
        </is>
      </c>
      <c r="B95" s="41" t="inlineStr">
        <is>
          <t>Trận địa pháo bờ biển</t>
        </is>
      </c>
      <c r="C95" s="41" t="inlineStr">
        <is>
          <t>Công trình</t>
        </is>
      </c>
      <c r="D95" s="41" t="n"/>
      <c r="E95" s="43" t="n">
        <v>87</v>
      </c>
      <c r="F95" s="43" t="n">
        <v>62</v>
      </c>
      <c r="G95" s="43" t="n">
        <v>0</v>
      </c>
      <c r="H95" s="55">
        <f>SUMPRODUCT(('Đơn vị – vũ khí'!$A$2:$A$311=A95)*('Đơn vị – vũ khí'!$F$2:$F$311=1)*N(+'Đơn vị – vũ khí'!$I$2:$I$311))</f>
        <v/>
      </c>
      <c r="I95" s="55">
        <f>SUMPRODUCT(('Đơn vị – vũ khí'!$A$2:$A$311=A95)*('Đơn vị – vũ khí'!$F$2:$F$311=1)*N(+'Đơn vị – vũ khí'!$J$2:$J$311))</f>
        <v/>
      </c>
      <c r="J95" s="55">
        <f>SUMPRODUCT(('Đơn vị – vũ khí'!$A$2:$A$311=A95)*('Đơn vị – vũ khí'!$F$2:$F$311=1)*N(+'Đơn vị – vũ khí'!$K$2:$K$311))</f>
        <v/>
      </c>
      <c r="K95" s="55">
        <f>SUMPRODUCT(('Đơn vị – vũ khí'!$A$2:$A$311=A95)*('Đơn vị – vũ khí'!$F$2:$F$311=1)*N(+'Đơn vị – vũ khí'!$L$2:$L$311))</f>
        <v/>
      </c>
      <c r="L95" s="55">
        <f>IFERROR(I95/D95,"")</f>
        <v/>
      </c>
      <c r="M95" s="41" t="n"/>
    </row>
    <row r="96" ht="15" customHeight="1" s="32">
      <c r="A96" s="39"/>
      <c r="B96" s="39"/>
      <c r="C96" s="39"/>
      <c r="D96" s="39"/>
      <c r="E96" s="42"/>
      <c r="F96" s="42"/>
      <c r="G96" s="42"/>
      <c r="H96" s="54"/>
      <c r="I96" s="54"/>
      <c r="J96" s="54"/>
      <c r="K96" s="54"/>
      <c r="L96" s="54"/>
      <c r="M96" s="39"/>
    </row>
    <row r="97" ht="15" customHeight="1" s="32">
      <c r="A97" s="41" t="inlineStr">
        <is>
          <t>spawn_bastion</t>
        </is>
      </c>
      <c r="B97" s="41" t="inlineStr">
        <is>
          <t>Tháp căn cứ</t>
        </is>
      </c>
      <c r="C97" s="41" t="inlineStr">
        <is>
          <t>Công trình</t>
        </is>
      </c>
      <c r="D97" s="41" t="n"/>
      <c r="E97" s="43" t="n">
        <v>147</v>
      </c>
      <c r="F97" s="43" t="n">
        <v>123</v>
      </c>
      <c r="G97" s="43" t="n">
        <v>0</v>
      </c>
      <c r="H97" s="55">
        <f>SUMPRODUCT(('Đơn vị – vũ khí'!$A$2:$A$311=A97)*('Đơn vị – vũ khí'!$F$2:$F$311=1)*N(+'Đơn vị – vũ khí'!$I$2:$I$311))</f>
        <v/>
      </c>
      <c r="I97" s="55">
        <f>SUMPRODUCT(('Đơn vị – vũ khí'!$A$2:$A$311=A97)*('Đơn vị – vũ khí'!$F$2:$F$311=1)*N(+'Đơn vị – vũ khí'!$J$2:$J$311))</f>
        <v/>
      </c>
      <c r="J97" s="55">
        <f>SUMPRODUCT(('Đơn vị – vũ khí'!$A$2:$A$311=A97)*('Đơn vị – vũ khí'!$F$2:$F$311=1)*N(+'Đơn vị – vũ khí'!$K$2:$K$311))</f>
        <v/>
      </c>
      <c r="K97" s="55">
        <f>SUMPRODUCT(('Đơn vị – vũ khí'!$A$2:$A$311=A97)*('Đơn vị – vũ khí'!$F$2:$F$311=1)*N(+'Đơn vị – vũ khí'!$L$2:$L$311))</f>
        <v/>
      </c>
      <c r="L97" s="55">
        <f>IFERROR(I97/D97,"")</f>
        <v/>
      </c>
      <c r="M97" s="41" t="n"/>
    </row>
    <row r="98" ht="21.75" customHeight="1" s="32">
      <c r="A98" s="39" t="inlineStr">
        <is>
          <t>behemoth_mk0</t>
        </is>
      </c>
      <c r="B98" s="39" t="inlineStr">
        <is>
          <t>Behemoth Mk.0 · Behemoth nguyên mẫu</t>
        </is>
      </c>
      <c r="C98" s="39" t="inlineStr">
        <is>
          <t>Boss</t>
        </is>
      </c>
      <c r="D98" s="39" t="n"/>
      <c r="E98" s="42" t="n">
        <v>286</v>
      </c>
      <c r="F98" s="42" t="n">
        <v>199</v>
      </c>
      <c r="G98" s="42" t="n">
        <v>0</v>
      </c>
      <c r="H98" s="54">
        <f>SUMPRODUCT(('Đơn vị – vũ khí'!$A$2:$A$311=A98)*('Đơn vị – vũ khí'!$F$2:$F$311=1)*N(+'Đơn vị – vũ khí'!$I$2:$I$311))</f>
        <v/>
      </c>
      <c r="I98" s="54">
        <f>SUMPRODUCT(('Đơn vị – vũ khí'!$A$2:$A$311=A98)*('Đơn vị – vũ khí'!$F$2:$F$311=1)*N(+'Đơn vị – vũ khí'!$J$2:$J$311))</f>
        <v/>
      </c>
      <c r="J98" s="54">
        <f>SUMPRODUCT(('Đơn vị – vũ khí'!$A$2:$A$311=A98)*('Đơn vị – vũ khí'!$F$2:$F$311=1)*N(+'Đơn vị – vũ khí'!$K$2:$K$311))</f>
        <v/>
      </c>
      <c r="K98" s="54">
        <f>SUMPRODUCT(('Đơn vị – vũ khí'!$A$2:$A$311=A98)*('Đơn vị – vũ khí'!$F$2:$F$311=1)*N(+'Đơn vị – vũ khí'!$L$2:$L$311))</f>
        <v/>
      </c>
      <c r="L98" s="54">
        <f>IFERROR(I98/D98,"")</f>
        <v/>
      </c>
      <c r="M98" s="39" t="n"/>
    </row>
    <row r="99" ht="15" customHeight="1" s="32">
      <c r="A99" s="41" t="inlineStr">
        <is>
          <t>armored_train</t>
        </is>
      </c>
      <c r="B99" s="41" t="inlineStr">
        <is>
          <t>Juggernaut · Đoàn tàu bọc thép</t>
        </is>
      </c>
      <c r="C99" s="41" t="inlineStr">
        <is>
          <t>Boss</t>
        </is>
      </c>
      <c r="D99" s="41" t="n"/>
      <c r="E99" s="43" t="n">
        <v>346</v>
      </c>
      <c r="F99" s="43" t="n">
        <v>220</v>
      </c>
      <c r="G99" s="43" t="n">
        <v>252</v>
      </c>
      <c r="H99" s="55">
        <f>SUMPRODUCT(('Đơn vị – vũ khí'!$A$2:$A$311=A99)*('Đơn vị – vũ khí'!$F$2:$F$311=1)*N(+'Đơn vị – vũ khí'!$I$2:$I$311))</f>
        <v/>
      </c>
      <c r="I99" s="55">
        <f>SUMPRODUCT(('Đơn vị – vũ khí'!$A$2:$A$311=A99)*('Đơn vị – vũ khí'!$F$2:$F$311=1)*N(+'Đơn vị – vũ khí'!$J$2:$J$311))</f>
        <v/>
      </c>
      <c r="J99" s="55">
        <f>SUMPRODUCT(('Đơn vị – vũ khí'!$A$2:$A$311=A99)*('Đơn vị – vũ khí'!$F$2:$F$311=1)*N(+'Đơn vị – vũ khí'!$K$2:$K$311))</f>
        <v/>
      </c>
      <c r="K99" s="55">
        <f>SUMPRODUCT(('Đơn vị – vũ khí'!$A$2:$A$311=A99)*('Đơn vị – vũ khí'!$F$2:$F$311=1)*N(+'Đơn vị – vũ khí'!$L$2:$L$311))</f>
        <v/>
      </c>
      <c r="L99" s="55">
        <f>IFERROR(I99/D99,"")</f>
        <v/>
      </c>
      <c r="M99" s="41" t="n"/>
    </row>
    <row r="100" ht="15" customHeight="1" s="32">
      <c r="A100" s="39" t="inlineStr">
        <is>
          <t>behemoth_tempest</t>
        </is>
      </c>
      <c r="B100" s="39" t="inlineStr">
        <is>
          <t>Tempest · Behemoth pháo điện từ</t>
        </is>
      </c>
      <c r="C100" s="39" t="inlineStr">
        <is>
          <t>Boss</t>
        </is>
      </c>
      <c r="D100" s="39" t="n"/>
      <c r="E100" s="42" t="n">
        <v>372</v>
      </c>
      <c r="F100" s="42" t="n">
        <v>310</v>
      </c>
      <c r="G100" s="42" t="n">
        <v>66</v>
      </c>
      <c r="H100" s="54">
        <f>SUMPRODUCT(('Đơn vị – vũ khí'!$A$2:$A$311=A100)*('Đơn vị – vũ khí'!$F$2:$F$311=1)*N(+'Đơn vị – vũ khí'!$I$2:$I$311))</f>
        <v/>
      </c>
      <c r="I100" s="54">
        <f>SUMPRODUCT(('Đơn vị – vũ khí'!$A$2:$A$311=A100)*('Đơn vị – vũ khí'!$F$2:$F$311=1)*N(+'Đơn vị – vũ khí'!$J$2:$J$311))</f>
        <v/>
      </c>
      <c r="J100" s="54">
        <f>SUMPRODUCT(('Đơn vị – vũ khí'!$A$2:$A$311=A100)*('Đơn vị – vũ khí'!$F$2:$F$311=1)*N(+'Đơn vị – vũ khí'!$K$2:$K$311))</f>
        <v/>
      </c>
      <c r="K100" s="54">
        <f>SUMPRODUCT(('Đơn vị – vũ khí'!$A$2:$A$311=A100)*('Đơn vị – vũ khí'!$F$2:$F$311=1)*N(+'Đơn vị – vũ khí'!$L$2:$L$311))</f>
        <v/>
      </c>
      <c r="L100" s="54">
        <f>IFERROR(I100/D100,"")</f>
        <v/>
      </c>
      <c r="M100" s="39" t="n"/>
    </row>
    <row r="101" ht="15" customHeight="1" s="32">
      <c r="A101" s="41" t="inlineStr">
        <is>
          <t>locust</t>
        </is>
      </c>
      <c r="B101" s="41" t="inlineStr">
        <is>
          <t>Locust · Tàu con drone</t>
        </is>
      </c>
      <c r="C101" s="41" t="inlineStr">
        <is>
          <t>Boss</t>
        </is>
      </c>
      <c r="D101" s="41" t="n"/>
      <c r="E101" s="43" t="n">
        <v>201</v>
      </c>
      <c r="F101" s="43" t="n">
        <v>153</v>
      </c>
      <c r="G101" s="43" t="n">
        <v>248</v>
      </c>
      <c r="H101" s="55">
        <f>SUMPRODUCT(('Đơn vị – vũ khí'!$A$2:$A$311=A101)*('Đơn vị – vũ khí'!$F$2:$F$311=1)*N(+'Đơn vị – vũ khí'!$I$2:$I$311))</f>
        <v/>
      </c>
      <c r="I101" s="55">
        <f>SUMPRODUCT(('Đơn vị – vũ khí'!$A$2:$A$311=A101)*('Đơn vị – vũ khí'!$F$2:$F$311=1)*N(+'Đơn vị – vũ khí'!$J$2:$J$311))</f>
        <v/>
      </c>
      <c r="J101" s="55">
        <f>SUMPRODUCT(('Đơn vị – vũ khí'!$A$2:$A$311=A101)*('Đơn vị – vũ khí'!$F$2:$F$311=1)*N(+'Đơn vị – vũ khí'!$K$2:$K$311))</f>
        <v/>
      </c>
      <c r="K101" s="55">
        <f>SUMPRODUCT(('Đơn vị – vũ khí'!$A$2:$A$311=A101)*('Đơn vị – vũ khí'!$F$2:$F$311=1)*N(+'Đơn vị – vũ khí'!$L$2:$L$311))</f>
        <v/>
      </c>
      <c r="L101" s="55">
        <f>IFERROR(I101/D101,"")</f>
        <v/>
      </c>
      <c r="M101" s="41" t="n"/>
    </row>
    <row r="102" ht="15" customHeight="1" s="32">
      <c r="A102" s="39"/>
      <c r="B102" s="39"/>
      <c r="C102" s="39"/>
      <c r="D102" s="39"/>
      <c r="E102" s="42"/>
      <c r="F102" s="42"/>
      <c r="G102" s="42"/>
      <c r="H102" s="54"/>
      <c r="I102" s="54"/>
      <c r="J102" s="54"/>
      <c r="K102" s="54"/>
      <c r="L102" s="54"/>
      <c r="M102" s="39"/>
    </row>
    <row r="103" ht="15" customHeight="1" s="32">
      <c r="A103" s="41" t="inlineStr">
        <is>
          <t>behemoth_mk2</t>
        </is>
      </c>
      <c r="B103" s="41" t="inlineStr">
        <is>
          <t>Behemoth Mk.II · Behemoth nâng cấp</t>
        </is>
      </c>
      <c r="C103" s="41" t="inlineStr">
        <is>
          <t>Boss</t>
        </is>
      </c>
      <c r="D103" s="41" t="n"/>
      <c r="E103" s="43" t="n">
        <v>276</v>
      </c>
      <c r="F103" s="43" t="n">
        <v>156</v>
      </c>
      <c r="G103" s="43" t="n">
        <v>495</v>
      </c>
      <c r="H103" s="55">
        <f>SUMPRODUCT(('Đơn vị – vũ khí'!$A$2:$A$311=A103)*('Đơn vị – vũ khí'!$F$2:$F$311=1)*N(+'Đơn vị – vũ khí'!$I$2:$I$311))</f>
        <v/>
      </c>
      <c r="I103" s="55">
        <f>SUMPRODUCT(('Đơn vị – vũ khí'!$A$2:$A$311=A103)*('Đơn vị – vũ khí'!$F$2:$F$311=1)*N(+'Đơn vị – vũ khí'!$J$2:$J$311))</f>
        <v/>
      </c>
      <c r="J103" s="55">
        <f>SUMPRODUCT(('Đơn vị – vũ khí'!$A$2:$A$311=A103)*('Đơn vị – vũ khí'!$F$2:$F$311=1)*N(+'Đơn vị – vũ khí'!$K$2:$K$311))</f>
        <v/>
      </c>
      <c r="K103" s="55">
        <f>SUMPRODUCT(('Đơn vị – vũ khí'!$A$2:$A$311=A103)*('Đơn vị – vũ khí'!$F$2:$F$311=1)*N(+'Đơn vị – vũ khí'!$L$2:$L$311))</f>
        <v/>
      </c>
      <c r="L103" s="55">
        <f>IFERROR(I103/D103,"")</f>
        <v/>
      </c>
      <c r="M103" s="41" t="n"/>
    </row>
    <row r="104" ht="15" customHeight="1" s="32">
      <c r="A104" s="39" t="inlineStr">
        <is>
          <t>landing_hovercraft</t>
        </is>
      </c>
      <c r="B104" s="39" t="inlineStr">
        <is>
          <t>Charybdis · Tàu đệm khí đổ bộ</t>
        </is>
      </c>
      <c r="C104" s="39" t="inlineStr">
        <is>
          <t>Boss</t>
        </is>
      </c>
      <c r="D104" s="39" t="n"/>
      <c r="E104" s="42" t="n">
        <v>106</v>
      </c>
      <c r="F104" s="42" t="n">
        <v>84</v>
      </c>
      <c r="G104" s="42" t="n">
        <v>20</v>
      </c>
      <c r="H104" s="54">
        <f>SUMPRODUCT(('Đơn vị – vũ khí'!$A$2:$A$311=A104)*('Đơn vị – vũ khí'!$F$2:$F$311=1)*N(+'Đơn vị – vũ khí'!$I$2:$I$311))</f>
        <v/>
      </c>
      <c r="I104" s="54">
        <f>SUMPRODUCT(('Đơn vị – vũ khí'!$A$2:$A$311=A104)*('Đơn vị – vũ khí'!$F$2:$F$311=1)*N(+'Đơn vị – vũ khí'!$J$2:$J$311))</f>
        <v/>
      </c>
      <c r="J104" s="54">
        <f>SUMPRODUCT(('Đơn vị – vũ khí'!$A$2:$A$311=A104)*('Đơn vị – vũ khí'!$F$2:$F$311=1)*N(+'Đơn vị – vũ khí'!$K$2:$K$311))</f>
        <v/>
      </c>
      <c r="K104" s="54">
        <f>SUMPRODUCT(('Đơn vị – vũ khí'!$A$2:$A$311=A104)*('Đơn vị – vũ khí'!$F$2:$F$311=1)*N(+'Đơn vị – vũ khí'!$L$2:$L$311))</f>
        <v/>
      </c>
      <c r="L104" s="54">
        <f>IFERROR(I104/D104,"")</f>
        <v/>
      </c>
      <c r="M104" s="39" t="n"/>
    </row>
    <row r="105" ht="15" customHeight="1" s="32">
      <c r="A105" s="41" t="inlineStr">
        <is>
          <t>argus</t>
        </is>
      </c>
      <c r="B105" s="41" t="inlineStr">
        <is>
          <t>Argus · Khí cầu trinh sát</t>
        </is>
      </c>
      <c r="C105" s="41" t="inlineStr">
        <is>
          <t>Boss</t>
        </is>
      </c>
      <c r="D105" s="41" t="n"/>
      <c r="E105" s="43" t="n">
        <v>128</v>
      </c>
      <c r="F105" s="43" t="n">
        <v>64</v>
      </c>
      <c r="G105" s="43" t="n">
        <v>332</v>
      </c>
      <c r="H105" s="55">
        <f>SUMPRODUCT(('Đơn vị – vũ khí'!$A$2:$A$311=A105)*('Đơn vị – vũ khí'!$F$2:$F$311=1)*N(+'Đơn vị – vũ khí'!$I$2:$I$311))</f>
        <v/>
      </c>
      <c r="I105" s="55">
        <f>SUMPRODUCT(('Đơn vị – vũ khí'!$A$2:$A$311=A105)*('Đơn vị – vũ khí'!$F$2:$F$311=1)*N(+'Đơn vị – vũ khí'!$J$2:$J$311))</f>
        <v/>
      </c>
      <c r="J105" s="55">
        <f>SUMPRODUCT(('Đơn vị – vũ khí'!$A$2:$A$311=A105)*('Đơn vị – vũ khí'!$F$2:$F$311=1)*N(+'Đơn vị – vũ khí'!$K$2:$K$311))</f>
        <v/>
      </c>
      <c r="K105" s="55">
        <f>SUMPRODUCT(('Đơn vị – vũ khí'!$A$2:$A$311=A105)*('Đơn vị – vũ khí'!$F$2:$F$311=1)*N(+'Đơn vị – vũ khí'!$L$2:$L$311))</f>
        <v/>
      </c>
      <c r="L105" s="55">
        <f>IFERROR(I105/D105,"")</f>
        <v/>
      </c>
      <c r="M105" s="41" t="n"/>
    </row>
    <row r="106" ht="15" customHeight="1" s="32">
      <c r="A106" s="39" t="inlineStr">
        <is>
          <t>ixion</t>
        </is>
      </c>
      <c r="B106" s="39" t="inlineStr">
        <is>
          <t>Ixion · Xe bánh khổng lồ</t>
        </is>
      </c>
      <c r="C106" s="39" t="inlineStr">
        <is>
          <t>Boss</t>
        </is>
      </c>
      <c r="D106" s="39" t="n"/>
      <c r="E106" s="42" t="n">
        <v>69</v>
      </c>
      <c r="F106" s="42" t="n">
        <v>49</v>
      </c>
      <c r="G106" s="42" t="n">
        <v>0</v>
      </c>
      <c r="H106" s="54">
        <f>SUMPRODUCT(('Đơn vị – vũ khí'!$A$2:$A$311=A106)*('Đơn vị – vũ khí'!$F$2:$F$311=1)*N(+'Đơn vị – vũ khí'!$I$2:$I$311))</f>
        <v/>
      </c>
      <c r="I106" s="54">
        <f>SUMPRODUCT(('Đơn vị – vũ khí'!$A$2:$A$311=A106)*('Đơn vị – vũ khí'!$F$2:$F$311=1)*N(+'Đơn vị – vũ khí'!$J$2:$J$311))</f>
        <v/>
      </c>
      <c r="J106" s="54">
        <f>SUMPRODUCT(('Đơn vị – vũ khí'!$A$2:$A$311=A106)*('Đơn vị – vũ khí'!$F$2:$F$311=1)*N(+'Đơn vị – vũ khí'!$K$2:$K$311))</f>
        <v/>
      </c>
      <c r="K106" s="54">
        <f>SUMPRODUCT(('Đơn vị – vũ khí'!$A$2:$A$311=A106)*('Đơn vị – vũ khí'!$F$2:$F$311=1)*N(+'Đơn vị – vũ khí'!$L$2:$L$311))</f>
        <v/>
      </c>
      <c r="L106" s="54">
        <f>IFERROR(I106/D106,"")</f>
        <v/>
      </c>
      <c r="M106" s="39" t="n"/>
    </row>
    <row r="107" ht="15" customHeight="1" s="32">
      <c r="A107" s="41"/>
      <c r="B107" s="41"/>
      <c r="C107" s="41"/>
      <c r="D107" s="41"/>
      <c r="E107" s="43"/>
      <c r="F107" s="43"/>
      <c r="G107" s="43"/>
      <c r="H107" s="55"/>
      <c r="I107" s="55"/>
      <c r="J107" s="55"/>
      <c r="K107" s="55"/>
      <c r="L107" s="55"/>
      <c r="M107" s="41"/>
    </row>
    <row r="108" ht="15" customHeight="1" s="32">
      <c r="A108" s="39"/>
      <c r="B108" s="39"/>
      <c r="C108" s="39"/>
      <c r="D108" s="39"/>
      <c r="E108" s="42"/>
      <c r="F108" s="42"/>
      <c r="G108" s="42"/>
      <c r="H108" s="54"/>
      <c r="I108" s="54"/>
      <c r="J108" s="54"/>
      <c r="K108" s="54"/>
      <c r="L108" s="54"/>
      <c r="M108" s="39"/>
    </row>
    <row r="109" ht="15" customHeight="1" s="32">
      <c r="A109" s="41"/>
      <c r="B109" s="41"/>
      <c r="C109" s="41"/>
      <c r="D109" s="41"/>
      <c r="E109" s="43"/>
      <c r="F109" s="43"/>
      <c r="G109" s="43"/>
      <c r="H109" s="55"/>
      <c r="I109" s="55"/>
      <c r="J109" s="55"/>
      <c r="K109" s="55"/>
      <c r="L109" s="55"/>
      <c r="M109" s="41"/>
    </row>
    <row r="110" ht="15" customHeight="1" s="32">
      <c r="A110" s="39"/>
      <c r="B110" s="39"/>
      <c r="C110" s="39"/>
      <c r="D110" s="39"/>
      <c r="E110" s="42"/>
      <c r="F110" s="42"/>
      <c r="G110" s="42"/>
      <c r="H110" s="54"/>
      <c r="I110" s="54"/>
      <c r="J110" s="54"/>
      <c r="K110" s="54"/>
      <c r="L110" s="54"/>
      <c r="M110" s="39"/>
    </row>
    <row r="111" ht="15" customHeight="1" s="32">
      <c r="A111" s="41" t="inlineStr">
        <is>
          <t>icarus_mk0</t>
        </is>
      </c>
      <c r="B111" s="41" t="inlineStr">
        <is>
          <t>Icarus Mk.0 · Phi thuyền nguyên mẫu</t>
        </is>
      </c>
      <c r="C111" s="41" t="inlineStr">
        <is>
          <t>Boss</t>
        </is>
      </c>
      <c r="D111" s="41" t="n"/>
      <c r="E111" s="43" t="n">
        <v>108</v>
      </c>
      <c r="F111" s="43" t="n">
        <v>90</v>
      </c>
      <c r="G111" s="43" t="n">
        <v>0</v>
      </c>
      <c r="H111" s="55">
        <f>SUMPRODUCT(('Đơn vị – vũ khí'!$A$2:$A$311=A111)*('Đơn vị – vũ khí'!$F$2:$F$311=1)*N(+'Đơn vị – vũ khí'!$I$2:$I$311))</f>
        <v/>
      </c>
      <c r="I111" s="55">
        <f>SUMPRODUCT(('Đơn vị – vũ khí'!$A$2:$A$311=A111)*('Đơn vị – vũ khí'!$F$2:$F$311=1)*N(+'Đơn vị – vũ khí'!$J$2:$J$311))</f>
        <v/>
      </c>
      <c r="J111" s="55">
        <f>SUMPRODUCT(('Đơn vị – vũ khí'!$A$2:$A$311=A111)*('Đơn vị – vũ khí'!$F$2:$F$311=1)*N(+'Đơn vị – vũ khí'!$K$2:$K$311))</f>
        <v/>
      </c>
      <c r="K111" s="55">
        <f>SUMPRODUCT(('Đơn vị – vũ khí'!$A$2:$A$311=A111)*('Đơn vị – vũ khí'!$F$2:$F$311=1)*N(+'Đơn vị – vũ khí'!$L$2:$L$311))</f>
        <v/>
      </c>
      <c r="L111" s="55">
        <f>IFERROR(I111/D111,"")</f>
        <v/>
      </c>
      <c r="M111" s="41" t="n"/>
    </row>
    <row r="112" ht="15" customHeight="1" s="32">
      <c r="A112" s="39" t="inlineStr">
        <is>
          <t>behemoth_inferno</t>
        </is>
      </c>
      <c r="B112" s="39" t="inlineStr">
        <is>
          <t>Inferno · Behemoth phun lửa</t>
        </is>
      </c>
      <c r="C112" s="39" t="inlineStr">
        <is>
          <t>Boss</t>
        </is>
      </c>
      <c r="D112" s="39" t="n"/>
      <c r="E112" s="42" t="n">
        <v>402</v>
      </c>
      <c r="F112" s="42" t="n">
        <v>222</v>
      </c>
      <c r="G112" s="42" t="n">
        <v>0</v>
      </c>
      <c r="H112" s="54">
        <f>SUMPRODUCT(('Đơn vị – vũ khí'!$A$2:$A$311=A112)*('Đơn vị – vũ khí'!$F$2:$F$311=1)*N(+'Đơn vị – vũ khí'!$I$2:$I$311))</f>
        <v/>
      </c>
      <c r="I112" s="54">
        <f>SUMPRODUCT(('Đơn vị – vũ khí'!$A$2:$A$311=A112)*('Đơn vị – vũ khí'!$F$2:$F$311=1)*N(+'Đơn vị – vũ khí'!$J$2:$J$311))</f>
        <v/>
      </c>
      <c r="J112" s="54">
        <f>SUMPRODUCT(('Đơn vị – vũ khí'!$A$2:$A$311=A112)*('Đơn vị – vũ khí'!$F$2:$F$311=1)*N(+'Đơn vị – vũ khí'!$K$2:$K$311))</f>
        <v/>
      </c>
      <c r="K112" s="54">
        <f>SUMPRODUCT(('Đơn vị – vũ khí'!$A$2:$A$311=A112)*('Đơn vị – vũ khí'!$F$2:$F$311=1)*N(+'Đơn vị – vũ khí'!$L$2:$L$311))</f>
        <v/>
      </c>
      <c r="L112" s="54">
        <f>IFERROR(I112/D112,"")</f>
        <v/>
      </c>
      <c r="M112" s="39" t="n"/>
    </row>
    <row r="113" ht="15" customHeight="1" s="32">
      <c r="A113" s="41" t="inlineStr">
        <is>
          <t>fenrir</t>
        </is>
      </c>
      <c r="B113" s="41" t="inlineStr">
        <is>
          <t>Fenrir · Xe tiên phong</t>
        </is>
      </c>
      <c r="C113" s="41" t="inlineStr">
        <is>
          <t>Boss</t>
        </is>
      </c>
      <c r="D113" s="41" t="n"/>
      <c r="E113" s="43" t="n">
        <v>271</v>
      </c>
      <c r="F113" s="43" t="n">
        <v>135</v>
      </c>
      <c r="G113" s="43" t="n">
        <v>248</v>
      </c>
      <c r="H113" s="55">
        <f>SUMPRODUCT(('Đơn vị – vũ khí'!$A$2:$A$311=A113)*('Đơn vị – vũ khí'!$F$2:$F$311=1)*N(+'Đơn vị – vũ khí'!$I$2:$I$311))</f>
        <v/>
      </c>
      <c r="I113" s="55">
        <f>SUMPRODUCT(('Đơn vị – vũ khí'!$A$2:$A$311=A113)*('Đơn vị – vũ khí'!$F$2:$F$311=1)*N(+'Đơn vị – vũ khí'!$J$2:$J$311))</f>
        <v/>
      </c>
      <c r="J113" s="55">
        <f>SUMPRODUCT(('Đơn vị – vũ khí'!$A$2:$A$311=A113)*('Đơn vị – vũ khí'!$F$2:$F$311=1)*N(+'Đơn vị – vũ khí'!$K$2:$K$311))</f>
        <v/>
      </c>
      <c r="K113" s="55">
        <f>SUMPRODUCT(('Đơn vị – vũ khí'!$A$2:$A$311=A113)*('Đơn vị – vũ khí'!$F$2:$F$311=1)*N(+'Đơn vị – vũ khí'!$L$2:$L$311))</f>
        <v/>
      </c>
      <c r="L113" s="55">
        <f>IFERROR(I113/D113,"")</f>
        <v/>
      </c>
      <c r="M113" s="41" t="n"/>
    </row>
    <row r="114" ht="15" customHeight="1" s="32">
      <c r="A114" s="39" t="inlineStr">
        <is>
          <t>daedalus</t>
        </is>
      </c>
      <c r="B114" s="39" t="inlineStr">
        <is>
          <t>Daedalus · Tàu đổ bộ quỹ đạo</t>
        </is>
      </c>
      <c r="C114" s="39" t="inlineStr">
        <is>
          <t>Boss</t>
        </is>
      </c>
      <c r="D114" s="39" t="n"/>
      <c r="E114" s="42" t="n">
        <v>132</v>
      </c>
      <c r="F114" s="42" t="n">
        <v>66</v>
      </c>
      <c r="G114" s="42" t="n">
        <v>0</v>
      </c>
      <c r="H114" s="54">
        <f>SUMPRODUCT(('Đơn vị – vũ khí'!$A$2:$A$311=A114)*('Đơn vị – vũ khí'!$F$2:$F$311=1)*N(+'Đơn vị – vũ khí'!$I$2:$I$311))</f>
        <v/>
      </c>
      <c r="I114" s="54">
        <f>SUMPRODUCT(('Đơn vị – vũ khí'!$A$2:$A$311=A114)*('Đơn vị – vũ khí'!$F$2:$F$311=1)*N(+'Đơn vị – vũ khí'!$J$2:$J$311))</f>
        <v/>
      </c>
      <c r="J114" s="54">
        <f>SUMPRODUCT(('Đơn vị – vũ khí'!$A$2:$A$311=A114)*('Đơn vị – vũ khí'!$F$2:$F$311=1)*N(+'Đơn vị – vũ khí'!$K$2:$K$311))</f>
        <v/>
      </c>
      <c r="K114" s="54">
        <f>SUMPRODUCT(('Đơn vị – vũ khí'!$A$2:$A$311=A114)*('Đơn vị – vũ khí'!$F$2:$F$311=1)*N(+'Đơn vị – vũ khí'!$L$2:$L$311))</f>
        <v/>
      </c>
      <c r="L114" s="54">
        <f>IFERROR(I114/D114,"")</f>
        <v/>
      </c>
      <c r="M114" s="39" t="n"/>
    </row>
    <row r="115" ht="15" customHeight="1" s="32">
      <c r="A115" s="41" t="inlineStr">
        <is>
          <t>mega_gunship</t>
        </is>
      </c>
      <c r="B115" s="41" t="inlineStr">
        <is>
          <t>Harpy · Trực thăng khổng lồ</t>
        </is>
      </c>
      <c r="C115" s="41" t="inlineStr">
        <is>
          <t>Boss</t>
        </is>
      </c>
      <c r="D115" s="41" t="n"/>
      <c r="E115" s="43" t="n">
        <v>209</v>
      </c>
      <c r="F115" s="43" t="n">
        <v>100</v>
      </c>
      <c r="G115" s="43" t="n">
        <v>35</v>
      </c>
      <c r="H115" s="55">
        <f>SUMPRODUCT(('Đơn vị – vũ khí'!$A$2:$A$311=A115)*('Đơn vị – vũ khí'!$F$2:$F$311=1)*N(+'Đơn vị – vũ khí'!$I$2:$I$311))</f>
        <v/>
      </c>
      <c r="I115" s="55">
        <f>SUMPRODUCT(('Đơn vị – vũ khí'!$A$2:$A$311=A115)*('Đơn vị – vũ khí'!$F$2:$F$311=1)*N(+'Đơn vị – vũ khí'!$J$2:$J$311))</f>
        <v/>
      </c>
      <c r="J115" s="55">
        <f>SUMPRODUCT(('Đơn vị – vũ khí'!$A$2:$A$311=A115)*('Đơn vị – vũ khí'!$F$2:$F$311=1)*N(+'Đơn vị – vũ khí'!$K$2:$K$311))</f>
        <v/>
      </c>
      <c r="K115" s="55">
        <f>SUMPRODUCT(('Đơn vị – vũ khí'!$A$2:$A$311=A115)*('Đơn vị – vũ khí'!$F$2:$F$311=1)*N(+'Đơn vị – vũ khí'!$L$2:$L$311))</f>
        <v/>
      </c>
      <c r="L115" s="55">
        <f>IFERROR(I115/D115,"")</f>
        <v/>
      </c>
      <c r="M115" s="41" t="n"/>
    </row>
    <row r="116" ht="15" customHeight="1" s="32">
      <c r="A116" s="39" t="inlineStr">
        <is>
          <t>behemoth</t>
        </is>
      </c>
      <c r="B116" s="39" t="inlineStr">
        <is>
          <t>Behemoth · Quái vật thép</t>
        </is>
      </c>
      <c r="C116" s="39" t="inlineStr">
        <is>
          <t>Boss</t>
        </is>
      </c>
      <c r="D116" s="39" t="n"/>
      <c r="E116" s="42" t="n">
        <v>620</v>
      </c>
      <c r="F116" s="42" t="n">
        <v>413</v>
      </c>
      <c r="G116" s="42" t="n">
        <v>495</v>
      </c>
      <c r="H116" s="54">
        <f>SUMPRODUCT(('Đơn vị – vũ khí'!$A$2:$A$311=A116)*('Đơn vị – vũ khí'!$F$2:$F$311=1)*N(+'Đơn vị – vũ khí'!$I$2:$I$311))</f>
        <v/>
      </c>
      <c r="I116" s="54">
        <f>SUMPRODUCT(('Đơn vị – vũ khí'!$A$2:$A$311=A116)*('Đơn vị – vũ khí'!$F$2:$F$311=1)*N(+'Đơn vị – vũ khí'!$J$2:$J$311))</f>
        <v/>
      </c>
      <c r="J116" s="54">
        <f>SUMPRODUCT(('Đơn vị – vũ khí'!$A$2:$A$311=A116)*('Đơn vị – vũ khí'!$F$2:$F$311=1)*N(+'Đơn vị – vũ khí'!$K$2:$K$311))</f>
        <v/>
      </c>
      <c r="K116" s="54">
        <f>SUMPRODUCT(('Đơn vị – vũ khí'!$A$2:$A$311=A116)*('Đơn vị – vũ khí'!$F$2:$F$311=1)*N(+'Đơn vị – vũ khí'!$L$2:$L$311))</f>
        <v/>
      </c>
      <c r="L116" s="54">
        <f>IFERROR(I116/D116,"")</f>
        <v/>
      </c>
      <c r="M116" s="39" t="n"/>
    </row>
    <row r="117" ht="15" customHeight="1" s="32">
      <c r="A117" s="41" t="inlineStr">
        <is>
          <t>earth_borer</t>
        </is>
      </c>
      <c r="B117" s="41" t="inlineStr">
        <is>
          <t>Tartarus · Máy khoan</t>
        </is>
      </c>
      <c r="C117" s="41" t="inlineStr">
        <is>
          <t>Boss</t>
        </is>
      </c>
      <c r="D117" s="41" t="n"/>
      <c r="E117" s="43" t="n">
        <v>346</v>
      </c>
      <c r="F117" s="43" t="n">
        <v>271</v>
      </c>
      <c r="G117" s="43" t="n">
        <v>0</v>
      </c>
      <c r="H117" s="55">
        <f>SUMPRODUCT(('Đơn vị – vũ khí'!$A$2:$A$311=A117)*('Đơn vị – vũ khí'!$F$2:$F$311=1)*N(+'Đơn vị – vũ khí'!$I$2:$I$311))</f>
        <v/>
      </c>
      <c r="I117" s="55">
        <f>SUMPRODUCT(('Đơn vị – vũ khí'!$A$2:$A$311=A117)*('Đơn vị – vũ khí'!$F$2:$F$311=1)*N(+'Đơn vị – vũ khí'!$J$2:$J$311))</f>
        <v/>
      </c>
      <c r="J117" s="55">
        <f>SUMPRODUCT(('Đơn vị – vũ khí'!$A$2:$A$311=A117)*('Đơn vị – vũ khí'!$F$2:$F$311=1)*N(+'Đơn vị – vũ khí'!$K$2:$K$311))</f>
        <v/>
      </c>
      <c r="K117" s="55">
        <f>SUMPRODUCT(('Đơn vị – vũ khí'!$A$2:$A$311=A117)*('Đơn vị – vũ khí'!$F$2:$F$311=1)*N(+'Đơn vị – vũ khí'!$L$2:$L$311))</f>
        <v/>
      </c>
      <c r="L117" s="55">
        <f>IFERROR(I117/D117,"")</f>
        <v/>
      </c>
      <c r="M117" s="41" t="n"/>
    </row>
    <row r="118" ht="15" customHeight="1" s="32">
      <c r="A118" s="39" t="inlineStr">
        <is>
          <t>bastion_mk0</t>
        </is>
      </c>
      <c r="B118" s="39" t="inlineStr">
        <is>
          <t>Bastion Mk.0 · Pháo đài nguyên mẫu</t>
        </is>
      </c>
      <c r="C118" s="39" t="inlineStr">
        <is>
          <t>Boss</t>
        </is>
      </c>
      <c r="D118" s="39" t="n"/>
      <c r="E118" s="42" t="n">
        <v>227</v>
      </c>
      <c r="F118" s="42" t="n">
        <v>136</v>
      </c>
      <c r="G118" s="42" t="n">
        <v>54</v>
      </c>
      <c r="H118" s="54">
        <f>SUMPRODUCT(('Đơn vị – vũ khí'!$A$2:$A$311=A118)*('Đơn vị – vũ khí'!$F$2:$F$311=1)*N(+'Đơn vị – vũ khí'!$I$2:$I$311))</f>
        <v/>
      </c>
      <c r="I118" s="54">
        <f>SUMPRODUCT(('Đơn vị – vũ khí'!$A$2:$A$311=A118)*('Đơn vị – vũ khí'!$F$2:$F$311=1)*N(+'Đơn vị – vũ khí'!$J$2:$J$311))</f>
        <v/>
      </c>
      <c r="J118" s="54">
        <f>SUMPRODUCT(('Đơn vị – vũ khí'!$A$2:$A$311=A118)*('Đơn vị – vũ khí'!$F$2:$F$311=1)*N(+'Đơn vị – vũ khí'!$K$2:$K$311))</f>
        <v/>
      </c>
      <c r="K118" s="54">
        <f>SUMPRODUCT(('Đơn vị – vũ khí'!$A$2:$A$311=A118)*('Đơn vị – vũ khí'!$F$2:$F$311=1)*N(+'Đơn vị – vũ khí'!$L$2:$L$311))</f>
        <v/>
      </c>
      <c r="L118" s="54">
        <f>IFERROR(I118/D118,"")</f>
        <v/>
      </c>
      <c r="M118" s="39" t="n"/>
    </row>
    <row r="119" ht="15" customHeight="1" s="32">
      <c r="A119" s="41" t="inlineStr">
        <is>
          <t>nuke_train</t>
        </is>
      </c>
      <c r="B119" s="41" t="inlineStr">
        <is>
          <t>Nemesis · Đoàn tàu tên lửa</t>
        </is>
      </c>
      <c r="C119" s="41" t="inlineStr">
        <is>
          <t>Boss</t>
        </is>
      </c>
      <c r="D119" s="41" t="n"/>
      <c r="E119" s="43" t="n">
        <v>523</v>
      </c>
      <c r="F119" s="43" t="n">
        <v>293</v>
      </c>
      <c r="G119" s="43" t="n">
        <v>827</v>
      </c>
      <c r="H119" s="55">
        <f>SUMPRODUCT(('Đơn vị – vũ khí'!$A$2:$A$311=A119)*('Đơn vị – vũ khí'!$F$2:$F$311=1)*N(+'Đơn vị – vũ khí'!$I$2:$I$311))</f>
        <v/>
      </c>
      <c r="I119" s="55">
        <f>SUMPRODUCT(('Đơn vị – vũ khí'!$A$2:$A$311=A119)*('Đơn vị – vũ khí'!$F$2:$F$311=1)*N(+'Đơn vị – vũ khí'!$J$2:$J$311))</f>
        <v/>
      </c>
      <c r="J119" s="55">
        <f>SUMPRODUCT(('Đơn vị – vũ khí'!$A$2:$A$311=A119)*('Đơn vị – vũ khí'!$F$2:$F$311=1)*N(+'Đơn vị – vũ khí'!$K$2:$K$311))</f>
        <v/>
      </c>
      <c r="K119" s="55">
        <f>SUMPRODUCT(('Đơn vị – vũ khí'!$A$2:$A$311=A119)*('Đơn vị – vũ khí'!$F$2:$F$311=1)*N(+'Đơn vị – vũ khí'!$L$2:$L$311))</f>
        <v/>
      </c>
      <c r="L119" s="55">
        <f>IFERROR(I119/D119,"")</f>
        <v/>
      </c>
      <c r="M119" s="41" t="n"/>
    </row>
    <row r="120" ht="15" customHeight="1" s="32">
      <c r="A120" s="39" t="inlineStr">
        <is>
          <t>scylla</t>
        </is>
      </c>
      <c r="B120" s="39" t="inlineStr">
        <is>
          <t>Scylla · Tàu khu trục</t>
        </is>
      </c>
      <c r="C120" s="39" t="inlineStr">
        <is>
          <t>Boss</t>
        </is>
      </c>
      <c r="D120" s="39" t="n"/>
      <c r="E120" s="42" t="n">
        <v>104</v>
      </c>
      <c r="F120" s="42" t="n">
        <v>79</v>
      </c>
      <c r="G120" s="42" t="n">
        <v>7</v>
      </c>
      <c r="H120" s="54">
        <f>SUMPRODUCT(('Đơn vị – vũ khí'!$A$2:$A$311=A120)*('Đơn vị – vũ khí'!$F$2:$F$311=1)*N(+'Đơn vị – vũ khí'!$I$2:$I$311))</f>
        <v/>
      </c>
      <c r="I120" s="54">
        <f>SUMPRODUCT(('Đơn vị – vũ khí'!$A$2:$A$311=A120)*('Đơn vị – vũ khí'!$F$2:$F$311=1)*N(+'Đơn vị – vũ khí'!$J$2:$J$311))</f>
        <v/>
      </c>
      <c r="J120" s="54">
        <f>SUMPRODUCT(('Đơn vị – vũ khí'!$A$2:$A$311=A120)*('Đơn vị – vũ khí'!$F$2:$F$311=1)*N(+'Đơn vị – vũ khí'!$K$2:$K$311))</f>
        <v/>
      </c>
      <c r="K120" s="54">
        <f>SUMPRODUCT(('Đơn vị – vũ khí'!$A$2:$A$311=A120)*('Đơn vị – vũ khí'!$F$2:$F$311=1)*N(+'Đơn vị – vũ khí'!$L$2:$L$311))</f>
        <v/>
      </c>
      <c r="L120" s="54">
        <f>IFERROR(I120/D120,"")</f>
        <v/>
      </c>
      <c r="M120" s="39" t="n"/>
    </row>
    <row r="121" ht="15" customHeight="1" s="32">
      <c r="A121" s="41" t="inlineStr">
        <is>
          <t>silver_bug</t>
        </is>
      </c>
      <c r="B121" s="41" t="inlineStr">
        <is>
          <t>Icarus · Phi thuyền quỹ đạo</t>
        </is>
      </c>
      <c r="C121" s="41" t="inlineStr">
        <is>
          <t>Boss</t>
        </is>
      </c>
      <c r="D121" s="41" t="n"/>
      <c r="E121" s="43" t="n">
        <v>592</v>
      </c>
      <c r="F121" s="43" t="n">
        <v>370</v>
      </c>
      <c r="G121" s="43" t="n">
        <v>550</v>
      </c>
      <c r="H121" s="55">
        <f>SUMPRODUCT(('Đơn vị – vũ khí'!$A$2:$A$311=A121)*('Đơn vị – vũ khí'!$F$2:$F$311=1)*N(+'Đơn vị – vũ khí'!$I$2:$I$311))</f>
        <v/>
      </c>
      <c r="I121" s="55">
        <f>SUMPRODUCT(('Đơn vị – vũ khí'!$A$2:$A$311=A121)*('Đơn vị – vũ khí'!$F$2:$F$311=1)*N(+'Đơn vị – vũ khí'!$J$2:$J$311))</f>
        <v/>
      </c>
      <c r="J121" s="55">
        <f>SUMPRODUCT(('Đơn vị – vũ khí'!$A$2:$A$311=A121)*('Đơn vị – vũ khí'!$F$2:$F$311=1)*N(+'Đơn vị – vũ khí'!$K$2:$K$311))</f>
        <v/>
      </c>
      <c r="K121" s="55">
        <f>SUMPRODUCT(('Đơn vị – vũ khí'!$A$2:$A$311=A121)*('Đơn vị – vũ khí'!$F$2:$F$311=1)*N(+'Đơn vị – vũ khí'!$L$2:$L$311))</f>
        <v/>
      </c>
      <c r="L121" s="55">
        <f>IFERROR(I121/D121,"")</f>
        <v/>
      </c>
      <c r="M121" s="41" t="n"/>
    </row>
    <row r="122" ht="15" customHeight="1" s="32">
      <c r="A122" s="39" t="inlineStr">
        <is>
          <t>mobile_fortress</t>
        </is>
      </c>
      <c r="B122" s="39" t="inlineStr">
        <is>
          <t>Jötunn · Pháo đài di động</t>
        </is>
      </c>
      <c r="C122" s="39" t="inlineStr">
        <is>
          <t>Boss</t>
        </is>
      </c>
      <c r="D122" s="39" t="n"/>
      <c r="E122" s="42" t="n">
        <v>516</v>
      </c>
      <c r="F122" s="42" t="n">
        <v>308</v>
      </c>
      <c r="G122" s="42" t="n">
        <v>709</v>
      </c>
      <c r="H122" s="54">
        <f>SUMPRODUCT(('Đơn vị – vũ khí'!$A$2:$A$311=A122)*('Đơn vị – vũ khí'!$F$2:$F$311=1)*N(+'Đơn vị – vũ khí'!$I$2:$I$311))</f>
        <v/>
      </c>
      <c r="I122" s="54">
        <f>SUMPRODUCT(('Đơn vị – vũ khí'!$A$2:$A$311=A122)*('Đơn vị – vũ khí'!$F$2:$F$311=1)*N(+'Đơn vị – vũ khí'!$J$2:$J$311))</f>
        <v/>
      </c>
      <c r="J122" s="54">
        <f>SUMPRODUCT(('Đơn vị – vũ khí'!$A$2:$A$311=A122)*('Đơn vị – vũ khí'!$F$2:$F$311=1)*N(+'Đơn vị – vũ khí'!$K$2:$K$311))</f>
        <v/>
      </c>
      <c r="K122" s="54">
        <f>SUMPRODUCT(('Đơn vị – vũ khí'!$A$2:$A$311=A122)*('Đơn vị – vũ khí'!$F$2:$F$311=1)*N(+'Đơn vị – vũ khí'!$L$2:$L$311))</f>
        <v/>
      </c>
      <c r="L122" s="54">
        <f>IFERROR(I122/D122,"")</f>
        <v/>
      </c>
      <c r="M122" s="39" t="n"/>
    </row>
    <row r="123" ht="15" customHeight="1" s="32">
      <c r="A123" s="41" t="inlineStr">
        <is>
          <t>command_airship</t>
        </is>
      </c>
      <c r="B123" s="41" t="inlineStr">
        <is>
          <t>Roc · Khí cầu chỉ huy</t>
        </is>
      </c>
      <c r="C123" s="41" t="inlineStr">
        <is>
          <t>Boss</t>
        </is>
      </c>
      <c r="D123" s="41" t="n"/>
      <c r="E123" s="43" t="n">
        <v>370</v>
      </c>
      <c r="F123" s="43" t="n">
        <v>233</v>
      </c>
      <c r="G123" s="43" t="n">
        <v>332</v>
      </c>
      <c r="H123" s="55">
        <f>SUMPRODUCT(('Đơn vị – vũ khí'!$A$2:$A$311=A123)*('Đơn vị – vũ khí'!$F$2:$F$311=1)*N(+'Đơn vị – vũ khí'!$I$2:$I$311))</f>
        <v/>
      </c>
      <c r="I123" s="55">
        <f>SUMPRODUCT(('Đơn vị – vũ khí'!$A$2:$A$311=A123)*('Đơn vị – vũ khí'!$F$2:$F$311=1)*N(+'Đơn vị – vũ khí'!$J$2:$J$311))</f>
        <v/>
      </c>
      <c r="J123" s="55">
        <f>SUMPRODUCT(('Đơn vị – vũ khí'!$A$2:$A$311=A123)*('Đơn vị – vũ khí'!$F$2:$F$311=1)*N(+'Đơn vị – vũ khí'!$K$2:$K$311))</f>
        <v/>
      </c>
      <c r="K123" s="55">
        <f>SUMPRODUCT(('Đơn vị – vũ khí'!$A$2:$A$311=A123)*('Đơn vị – vũ khí'!$F$2:$F$311=1)*N(+'Đơn vị – vũ khí'!$L$2:$L$311))</f>
        <v/>
      </c>
      <c r="L123" s="55">
        <f>IFERROR(I123/D123,"")</f>
        <v/>
      </c>
      <c r="M123" s="41" t="n"/>
    </row>
    <row r="124" ht="15" customHeight="1" s="32">
      <c r="A124" s="39" t="inlineStr">
        <is>
          <t>moloch</t>
        </is>
      </c>
      <c r="B124" s="39" t="inlineStr">
        <is>
          <t>Moloch · Nhà máy di động</t>
        </is>
      </c>
      <c r="C124" s="39" t="inlineStr">
        <is>
          <t>Boss</t>
        </is>
      </c>
      <c r="D124" s="39" t="n"/>
      <c r="E124" s="42" t="n">
        <v>321</v>
      </c>
      <c r="F124" s="42" t="n">
        <v>236</v>
      </c>
      <c r="G124" s="42" t="n">
        <v>248</v>
      </c>
      <c r="H124" s="54">
        <f>SUMPRODUCT(('Đơn vị – vũ khí'!$A$2:$A$311=A124)*('Đơn vị – vũ khí'!$F$2:$F$311=1)*N(+'Đơn vị – vũ khí'!$I$2:$I$311))</f>
        <v/>
      </c>
      <c r="I124" s="54">
        <f>SUMPRODUCT(('Đơn vị – vũ khí'!$A$2:$A$311=A124)*('Đơn vị – vũ khí'!$F$2:$F$311=1)*N(+'Đơn vị – vũ khí'!$J$2:$J$311))</f>
        <v/>
      </c>
      <c r="J124" s="54">
        <f>SUMPRODUCT(('Đơn vị – vũ khí'!$A$2:$A$311=A124)*('Đơn vị – vũ khí'!$F$2:$F$311=1)*N(+'Đơn vị – vũ khí'!$K$2:$K$311))</f>
        <v/>
      </c>
      <c r="K124" s="54">
        <f>SUMPRODUCT(('Đơn vị – vũ khí'!$A$2:$A$311=A124)*('Đơn vị – vũ khí'!$F$2:$F$311=1)*N(+'Đơn vị – vũ khí'!$L$2:$L$311))</f>
        <v/>
      </c>
      <c r="L124" s="54">
        <f>IFERROR(I124/D124,"")</f>
        <v/>
      </c>
      <c r="M124" s="39" t="n"/>
    </row>
    <row r="125" ht="15" customHeight="1" s="32">
      <c r="A125" s="41" t="inlineStr">
        <is>
          <t>fortress_bastion</t>
        </is>
      </c>
      <c r="B125" s="41" t="inlineStr">
        <is>
          <t>Bastion · Pháo đài</t>
        </is>
      </c>
      <c r="C125" s="41" t="inlineStr">
        <is>
          <t>Boss</t>
        </is>
      </c>
      <c r="D125" s="41" t="n"/>
      <c r="E125" s="43" t="n">
        <v>606</v>
      </c>
      <c r="F125" s="43" t="n">
        <v>331</v>
      </c>
      <c r="G125" s="43" t="n">
        <v>480</v>
      </c>
      <c r="H125" s="55">
        <f>SUMPRODUCT(('Đơn vị – vũ khí'!$A$2:$A$311=A125)*('Đơn vị – vũ khí'!$F$2:$F$311=1)*N(+'Đơn vị – vũ khí'!$I$2:$I$311))</f>
        <v/>
      </c>
      <c r="I125" s="55">
        <f>SUMPRODUCT(('Đơn vị – vũ khí'!$A$2:$A$311=A125)*('Đơn vị – vũ khí'!$F$2:$F$311=1)*N(+'Đơn vị – vũ khí'!$J$2:$J$311))</f>
        <v/>
      </c>
      <c r="J125" s="55">
        <f>SUMPRODUCT(('Đơn vị – vũ khí'!$A$2:$A$311=A125)*('Đơn vị – vũ khí'!$F$2:$F$311=1)*N(+'Đơn vị – vũ khí'!$K$2:$K$311))</f>
        <v/>
      </c>
      <c r="K125" s="55">
        <f>SUMPRODUCT(('Đơn vị – vũ khí'!$A$2:$A$311=A125)*('Đơn vị – vũ khí'!$F$2:$F$311=1)*N(+'Đơn vị – vũ khí'!$L$2:$L$311))</f>
        <v/>
      </c>
      <c r="L125" s="55">
        <f>IFERROR(I125/D125,"")</f>
        <v/>
      </c>
      <c r="M125" s="41" t="n"/>
    </row>
    <row r="126" ht="15" customHeight="1" s="32">
      <c r="A126" s="39" t="inlineStr">
        <is>
          <t>typhon</t>
        </is>
      </c>
      <c r="B126" s="39" t="inlineStr">
        <is>
          <t>Typhon · Tàu ngầm tên lửa</t>
        </is>
      </c>
      <c r="C126" s="39" t="inlineStr">
        <is>
          <t>Boss</t>
        </is>
      </c>
      <c r="D126" s="39" t="n"/>
      <c r="E126" s="42" t="n">
        <v>110</v>
      </c>
      <c r="F126" s="42" t="n">
        <v>78</v>
      </c>
      <c r="G126" s="42" t="n">
        <v>213</v>
      </c>
      <c r="H126" s="54">
        <f>SUMPRODUCT(('Đơn vị – vũ khí'!$A$2:$A$311=A126)*('Đơn vị – vũ khí'!$F$2:$F$311=1)*N(+'Đơn vị – vũ khí'!$I$2:$I$311))</f>
        <v/>
      </c>
      <c r="I126" s="54">
        <f>SUMPRODUCT(('Đơn vị – vũ khí'!$A$2:$A$311=A126)*('Đơn vị – vũ khí'!$F$2:$F$311=1)*N(+'Đơn vị – vũ khí'!$J$2:$J$311))</f>
        <v/>
      </c>
      <c r="J126" s="54">
        <f>SUMPRODUCT(('Đơn vị – vũ khí'!$A$2:$A$311=A126)*('Đơn vị – vũ khí'!$F$2:$F$311=1)*N(+'Đơn vị – vũ khí'!$K$2:$K$311))</f>
        <v/>
      </c>
      <c r="K126" s="54">
        <f>SUMPRODUCT(('Đơn vị – vũ khí'!$A$2:$A$311=A126)*('Đơn vị – vũ khí'!$F$2:$F$311=1)*N(+'Đơn vị – vũ khí'!$L$2:$L$311))</f>
        <v/>
      </c>
      <c r="L126" s="54">
        <f>IFERROR(I126/D126,"")</f>
        <v/>
      </c>
      <c r="M126" s="39" t="n"/>
    </row>
    <row r="127" ht="15" customHeight="1" s="32">
      <c r="A127" s="41"/>
      <c r="B127" s="41"/>
      <c r="C127" s="41"/>
      <c r="D127" s="41"/>
      <c r="E127" s="43"/>
      <c r="F127" s="43"/>
      <c r="G127" s="43"/>
      <c r="H127" s="55"/>
      <c r="I127" s="55"/>
      <c r="J127" s="55"/>
      <c r="K127" s="55"/>
      <c r="L127" s="55"/>
      <c r="M127" s="41"/>
    </row>
    <row r="128" ht="15" customHeight="1" s="32">
      <c r="A128" s="39" t="inlineStr">
        <is>
          <t>leviathan</t>
        </is>
      </c>
      <c r="B128" s="39" t="inlineStr">
        <is>
          <t>Leviathan · Thiết giáp hạm</t>
        </is>
      </c>
      <c r="C128" s="39" t="inlineStr">
        <is>
          <t>Boss</t>
        </is>
      </c>
      <c r="D128" s="39" t="n"/>
      <c r="E128" s="42" t="n">
        <v>508</v>
      </c>
      <c r="F128" s="42" t="n">
        <v>381</v>
      </c>
      <c r="G128" s="42" t="n">
        <v>869</v>
      </c>
      <c r="H128" s="54">
        <f>SUMPRODUCT(('Đơn vị – vũ khí'!$A$2:$A$311=A128)*('Đơn vị – vũ khí'!$F$2:$F$311=1)*N(+'Đơn vị – vũ khí'!$I$2:$I$311))</f>
        <v/>
      </c>
      <c r="I128" s="54">
        <f>SUMPRODUCT(('Đơn vị – vũ khí'!$A$2:$A$311=A128)*('Đơn vị – vũ khí'!$F$2:$F$311=1)*N(+'Đơn vị – vũ khí'!$J$2:$J$311))</f>
        <v/>
      </c>
      <c r="J128" s="54">
        <f>SUMPRODUCT(('Đơn vị – vũ khí'!$A$2:$A$311=A128)*('Đơn vị – vũ khí'!$F$2:$F$311=1)*N(+'Đơn vị – vũ khí'!$K$2:$K$311))</f>
        <v/>
      </c>
      <c r="K128" s="54">
        <f>SUMPRODUCT(('Đơn vị – vũ khí'!$A$2:$A$311=A128)*('Đơn vị – vũ khí'!$F$2:$F$311=1)*N(+'Đơn vị – vũ khí'!$L$2:$L$311))</f>
        <v/>
      </c>
      <c r="L128" s="54">
        <f>IFERROR(I128/D128,"")</f>
        <v/>
      </c>
      <c r="M128" s="39" t="n"/>
    </row>
    <row r="129" ht="15" customHeight="1" s="32">
      <c r="A129" s="41" t="inlineStr">
        <is>
          <t>drone_mothership</t>
        </is>
      </c>
      <c r="B129" s="41" t="inlineStr">
        <is>
          <t>Matriarch · Tàu mẹ drone</t>
        </is>
      </c>
      <c r="C129" s="41" t="inlineStr">
        <is>
          <t>Boss</t>
        </is>
      </c>
      <c r="D129" s="41" t="n"/>
      <c r="E129" s="43" t="n">
        <v>664</v>
      </c>
      <c r="F129" s="43" t="n">
        <v>438</v>
      </c>
      <c r="G129" s="43" t="n">
        <v>495</v>
      </c>
      <c r="H129" s="55">
        <f>SUMPRODUCT(('Đơn vị – vũ khí'!$A$2:$A$311=A129)*('Đơn vị – vũ khí'!$F$2:$F$311=1)*N(+'Đơn vị – vũ khí'!$I$2:$I$311))</f>
        <v/>
      </c>
      <c r="I129" s="55">
        <f>SUMPRODUCT(('Đơn vị – vũ khí'!$A$2:$A$311=A129)*('Đơn vị – vũ khí'!$F$2:$F$311=1)*N(+'Đơn vị – vũ khí'!$J$2:$J$311))</f>
        <v/>
      </c>
      <c r="J129" s="55">
        <f>SUMPRODUCT(('Đơn vị – vũ khí'!$A$2:$A$311=A129)*('Đơn vị – vũ khí'!$F$2:$F$311=1)*N(+'Đơn vị – vũ khí'!$K$2:$K$311))</f>
        <v/>
      </c>
      <c r="K129" s="55">
        <f>SUMPRODUCT(('Đơn vị – vũ khí'!$A$2:$A$311=A129)*('Đơn vị – vũ khí'!$F$2:$F$311=1)*N(+'Đơn vị – vũ khí'!$L$2:$L$311))</f>
        <v/>
      </c>
      <c r="L129" s="55">
        <f>IFERROR(I129/D129,"")</f>
        <v/>
      </c>
      <c r="M129" s="41" t="n"/>
    </row>
  </sheetData>
  <autoFilter ref="A1:M1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26" customWidth="1" style="31" min="2" max="2"/>
    <col width="28" customWidth="1" style="31" min="3" max="3"/>
    <col width="12" customWidth="1" style="31" min="4" max="4"/>
    <col width="8" customWidth="1" style="31" min="5" max="5"/>
    <col width="9" customWidth="1" style="31" min="6" max="7"/>
    <col width="11" customWidth="1" style="31" min="8" max="8"/>
    <col width="9" customWidth="1" style="31" min="9" max="11"/>
    <col width="60" customWidth="1" style="31" min="12" max="12"/>
  </cols>
  <sheetData>
    <row r="1" ht="42" customHeight="1" s="32">
      <c r="A1" s="37" t="inlineStr">
        <is>
          <t>id</t>
        </is>
      </c>
      <c r="B1" s="37" t="inlineStr">
        <is>
          <t>Tên thật</t>
        </is>
      </c>
      <c r="C1" s="37" t="inlineStr">
        <is>
          <t>Dùng bởi</t>
        </is>
      </c>
      <c r="D1" s="37" t="inlineStr">
        <is>
          <t>Dạng</t>
        </is>
      </c>
      <c r="E1" s="37" t="inlineStr">
        <is>
          <t>Tầm (m)</t>
        </is>
      </c>
      <c r="F1" s="44" t="inlineStr">
        <is>
          <t>Tốc độ hiện (m/s)</t>
        </is>
      </c>
      <c r="G1" s="37" t="inlineStr">
        <is>
          <t>Bay tới tầm tối đa (s)</t>
        </is>
      </c>
      <c r="H1" s="37" t="inlineStr">
        <is>
          <t>Mục tiêu nhanh nhất cần bắt (m/s)</t>
        </is>
      </c>
      <c r="I1" s="45" t="inlineStr">
        <is>
          <t>Tốc độ đề xuất (m/s)</t>
        </is>
      </c>
      <c r="J1" s="45" t="inlineStr">
        <is>
          <t>Bay tới tầm tối đa mới (s)</t>
        </is>
      </c>
      <c r="K1" s="37" t="inlineStr">
        <is>
          <t>Nhanh hơn mục tiêu (lần)</t>
        </is>
      </c>
      <c r="L1" s="46" t="inlineStr">
        <is>
          <t>Lý do</t>
        </is>
      </c>
    </row>
    <row r="2" ht="15" customHeight="1" s="32">
      <c r="A2" s="39" t="inlineStr">
        <is>
          <t>aim9</t>
        </is>
      </c>
      <c r="B2" s="39" t="inlineStr">
        <is>
          <t>AIM-9 Sidewinder</t>
        </is>
      </c>
      <c r="C2" s="39" t="inlineStr">
        <is>
          <t>Drone hộ vệ</t>
        </is>
      </c>
      <c r="D2" s="39" t="inlineStr">
        <is>
          <t>Sam</t>
        </is>
      </c>
      <c r="E2" s="42" t="n">
        <v>30</v>
      </c>
      <c r="F2" s="42" t="n">
        <v>24</v>
      </c>
      <c r="G2" s="56">
        <f>IFERROR(E2/F2,"")</f>
        <v/>
      </c>
      <c r="H2" s="57" t="n">
        <v>46</v>
      </c>
      <c r="I2" s="57" t="n">
        <v>55</v>
      </c>
      <c r="J2" s="56">
        <f>IFERROR(E2/I2,"")</f>
        <v/>
      </c>
      <c r="K2" s="56">
        <f>IFERROR(I2/H2,"")</f>
        <v/>
      </c>
      <c r="L2" s="39" t="inlineStr">
        <is>
          <t>Phải nhanh hơn máy bay nhanh nhất (drone hộ vệ 46 m/s).</t>
        </is>
      </c>
    </row>
    <row r="3" ht="15" customHeight="1" s="32">
      <c r="A3" s="41" t="inlineStr">
        <is>
          <t>air_cruise_missile</t>
        </is>
      </c>
      <c r="B3" s="41" t="inlineStr">
        <is>
          <t>Kh-101 (400 kg)</t>
        </is>
      </c>
      <c r="C3" s="41" t="inlineStr">
        <is>
          <t>Oanh tạc cơ</t>
        </is>
      </c>
      <c r="D3" s="41" t="inlineStr">
        <is>
          <t>Cruise</t>
        </is>
      </c>
      <c r="E3" s="43" t="n">
        <v>110</v>
      </c>
      <c r="F3" s="43" t="n">
        <v>17</v>
      </c>
      <c r="G3" s="58">
        <f>IFERROR(E3/F3,"")</f>
        <v/>
      </c>
      <c r="H3" s="58" t="n"/>
      <c r="I3" s="59" t="n">
        <v>22</v>
      </c>
      <c r="J3" s="58">
        <f>IFERROR(E3/I3,"")</f>
        <v/>
      </c>
      <c r="K3" s="58" t="n"/>
      <c r="L3" s="41" t="inlineStr">
        <is>
          <t>Tên lửa hành trình: chậm có chủ đích (~5 s) để bị đánh chặn.</t>
        </is>
      </c>
    </row>
    <row r="4" ht="15" customHeight="1" s="32">
      <c r="A4" s="39" t="inlineStr">
        <is>
          <t>air_to_air</t>
        </is>
      </c>
      <c r="B4" s="39" t="inlineStr">
        <is>
          <t>AIM-120 AMRAAM</t>
        </is>
      </c>
      <c r="C4" s="39" t="inlineStr">
        <is>
          <t>Morrigan, TK tàng hình,</t>
        </is>
      </c>
      <c r="D4" s="39" t="inlineStr">
        <is>
          <t>Sam</t>
        </is>
      </c>
      <c r="E4" s="42" t="n">
        <v>60</v>
      </c>
      <c r="F4" s="42" t="n">
        <v>24</v>
      </c>
      <c r="G4" s="56">
        <f>IFERROR(E4/F4,"")</f>
        <v/>
      </c>
      <c r="H4" s="57" t="n">
        <v>46</v>
      </c>
      <c r="I4" s="57" t="n">
        <v>60</v>
      </c>
      <c r="J4" s="56">
        <f>IFERROR(E4/I4,"")</f>
        <v/>
      </c>
      <c r="K4" s="56">
        <f>IFERROR(I4/H4,"")</f>
        <v/>
      </c>
      <c r="L4" s="39" t="inlineStr">
        <is>
          <t>Tên lửa tầm trung: nhanh hơn tên lửa tầm gần, bay ~1 s ở tầm 60.</t>
        </is>
      </c>
    </row>
    <row r="5" ht="15" customHeight="1" s="32">
      <c r="A5" s="41" t="inlineStr">
        <is>
          <t>airship_drones</t>
        </is>
      </c>
      <c r="B5" s="41" t="inlineStr">
        <is>
          <t>FPV drone (1.5 kg)</t>
        </is>
      </c>
      <c r="C5" s="41" t="inlineStr">
        <is>
          <t>Roc</t>
        </is>
      </c>
      <c r="D5" s="41" t="inlineStr">
        <is>
          <t>Fpv</t>
        </is>
      </c>
      <c r="E5" s="43" t="n">
        <v>70</v>
      </c>
      <c r="F5" s="43" t="n">
        <v>26</v>
      </c>
      <c r="G5" s="58">
        <f>IFERROR(E5/F5,"")</f>
        <v/>
      </c>
      <c r="H5" s="58" t="n"/>
      <c r="I5" s="59" t="n">
        <v>26</v>
      </c>
      <c r="J5" s="58">
        <f>IFERROR(E5/I5,"")</f>
        <v/>
      </c>
      <c r="K5" s="58" t="n"/>
      <c r="L5" s="41" t="inlineStr">
        <is>
          <t>Tốc độ hiện phù hợp; giữ.</t>
        </is>
      </c>
    </row>
    <row r="6" ht="15" customHeight="1" s="32">
      <c r="A6" s="39" t="inlineStr">
        <is>
          <t>ataka</t>
        </is>
      </c>
      <c r="B6" s="39" t="inlineStr">
        <is>
          <t>9M120 Ataka</t>
        </is>
      </c>
      <c r="C6" s="39" t="inlineStr">
        <is>
          <t>BMPT</t>
        </is>
      </c>
      <c r="D6" s="39" t="inlineStr">
        <is>
          <t>Atgm</t>
        </is>
      </c>
      <c r="E6" s="42" t="n">
        <v>40</v>
      </c>
      <c r="F6" s="42" t="n">
        <v>19</v>
      </c>
      <c r="G6" s="56">
        <f>IFERROR(E6/F6,"")</f>
        <v/>
      </c>
      <c r="H6" s="56" t="n"/>
      <c r="I6" s="57" t="n">
        <v>26</v>
      </c>
      <c r="J6" s="56">
        <f>IFERROR(E6/I6,"")</f>
        <v/>
      </c>
      <c r="K6" s="56" t="n"/>
      <c r="L6" s="39" t="inlineStr">
        <is>
          <t>Nhanh hơn Kornet (Mach 1,5 ngoài đời).</t>
        </is>
      </c>
    </row>
    <row r="7" ht="15" customHeight="1" s="32">
      <c r="A7" s="41" t="inlineStr">
        <is>
          <t>atgm</t>
        </is>
      </c>
      <c r="B7" s="41" t="inlineStr">
        <is>
          <t>BGM-71 TOW-2</t>
        </is>
      </c>
      <c r="C7" s="41" t="inlineStr">
        <is>
          <t>Bọc thép TN, Siêu tăng, Xe</t>
        </is>
      </c>
      <c r="D7" s="41" t="inlineStr">
        <is>
          <t>Atgm</t>
        </is>
      </c>
      <c r="E7" s="43" t="n">
        <v>34</v>
      </c>
      <c r="F7" s="43" t="n">
        <v>19</v>
      </c>
      <c r="G7" s="58">
        <f>IFERROR(E7/F7,"")</f>
        <v/>
      </c>
      <c r="H7" s="58" t="n"/>
      <c r="I7" s="59" t="n">
        <v>20</v>
      </c>
      <c r="J7" s="58">
        <f>IFERROR(E7/I7,"")</f>
        <v/>
      </c>
      <c r="K7" s="58" t="n"/>
      <c r="L7" s="41" t="inlineStr">
        <is>
          <t>Tên lửa lái bằng dây: chậm có chủ đích (~2 s) để APS, khói và né có tác dụng.</t>
        </is>
      </c>
    </row>
    <row r="8" ht="21.75" customHeight="1" s="32">
      <c r="A8" s="39" t="inlineStr">
        <is>
          <t>ballistic_missile</t>
        </is>
      </c>
      <c r="B8" s="39" t="inlineStr">
        <is>
          <t>9M723 Iskander (700</t>
        </is>
      </c>
      <c r="C8" s="39" t="inlineStr">
        <is>
          <t>Đạn đạo</t>
        </is>
      </c>
      <c r="D8" s="39" t="inlineStr">
        <is>
          <t>Ballistic</t>
        </is>
      </c>
      <c r="E8" s="42" t="n">
        <v>180</v>
      </c>
      <c r="F8" s="42" t="n">
        <v>24</v>
      </c>
      <c r="G8" s="56">
        <f>IFERROR(E8/F8,"")</f>
        <v/>
      </c>
      <c r="H8" s="56" t="n"/>
      <c r="I8" s="57" t="n">
        <v>50</v>
      </c>
      <c r="J8" s="56">
        <f>IFERROR(E8/I8,"")</f>
        <v/>
      </c>
      <c r="K8" s="56" t="n"/>
      <c r="L8" s="39" t="inlineStr">
        <is>
          <t>Đạn đạo nhanh nhất (~3,6 s ở 180 m), vẫn trong tầm đánh chặn của PAC-3 (65).</t>
        </is>
      </c>
    </row>
    <row r="9" ht="15" customHeight="1" s="32">
      <c r="A9" s="41" t="inlineStr">
        <is>
          <t>boat_rockets</t>
        </is>
      </c>
      <c r="B9" s="41" t="inlineStr">
        <is>
          <t>S-8 80 mm</t>
        </is>
      </c>
      <c r="C9" s="41" t="inlineStr">
        <is>
          <t>Xuồng tên lửa</t>
        </is>
      </c>
      <c r="D9" s="41" t="inlineStr">
        <is>
          <t>RocketSmall</t>
        </is>
      </c>
      <c r="E9" s="43" t="n">
        <v>55</v>
      </c>
      <c r="F9" s="43" t="n">
        <v>48</v>
      </c>
      <c r="G9" s="58">
        <f>IFERROR(E9/F9,"")</f>
        <v/>
      </c>
      <c r="H9" s="58" t="n"/>
      <c r="I9" s="59" t="n">
        <v>40</v>
      </c>
      <c r="J9" s="58">
        <f>IFERROR(E9/I9,"")</f>
        <v/>
      </c>
      <c r="K9" s="58" t="n"/>
      <c r="L9" s="41" t="inlineStr">
        <is>
          <t>Thống nhất tốc độ rốc-két nhỏ ở mọi đơn vị (40 m/s).</t>
        </is>
      </c>
    </row>
    <row r="10" ht="15" customHeight="1" s="32">
      <c r="A10" s="39" t="inlineStr">
        <is>
          <t>boss_missiles</t>
        </is>
      </c>
      <c r="B10" s="39" t="inlineStr">
        <is>
          <t>9M133 Kornet</t>
        </is>
      </c>
      <c r="C10" s="39" t="inlineStr">
        <is>
          <t>Behemoth, Behemoth của</t>
        </is>
      </c>
      <c r="D10" s="39" t="inlineStr">
        <is>
          <t>Atgm</t>
        </is>
      </c>
      <c r="E10" s="42" t="n">
        <v>45</v>
      </c>
      <c r="F10" s="42" t="n">
        <v>19</v>
      </c>
      <c r="G10" s="56">
        <f>IFERROR(E10/F10,"")</f>
        <v/>
      </c>
      <c r="H10" s="56" t="n"/>
      <c r="I10" s="57" t="n">
        <v>22</v>
      </c>
      <c r="J10" s="56">
        <f>IFERROR(E10/I10,"")</f>
        <v/>
      </c>
      <c r="K10" s="56" t="n"/>
      <c r="L10" s="39" t="inlineStr">
        <is>
          <t>Thống nhất tốc độ Kornet ở mọi đơn vị (22 m/s).</t>
        </is>
      </c>
    </row>
    <row r="11" ht="15" customHeight="1" s="32">
      <c r="A11" s="41" t="inlineStr">
        <is>
          <t>boss_rockets</t>
        </is>
      </c>
      <c r="B11" s="41" t="inlineStr">
        <is>
          <t>BM-21 Grad 122 mm</t>
        </is>
      </c>
      <c r="C11" s="41" t="inlineStr">
        <is>
          <t>Behemoth, Behemoth Mk.0,</t>
        </is>
      </c>
      <c r="D11" s="41" t="inlineStr">
        <is>
          <t>RocketSmall</t>
        </is>
      </c>
      <c r="E11" s="43" t="n">
        <v>45</v>
      </c>
      <c r="F11" s="43" t="n">
        <v>55</v>
      </c>
      <c r="G11" s="58">
        <f>IFERROR(E11/F11,"")</f>
        <v/>
      </c>
      <c r="H11" s="58" t="n"/>
      <c r="I11" s="59" t="n">
        <v>45</v>
      </c>
      <c r="J11" s="58">
        <f>IFERROR(E11/I11,"")</f>
        <v/>
      </c>
      <c r="K11" s="58" t="n"/>
      <c r="L11" s="41" t="inlineStr">
        <is>
          <t>Thống nhất tốc độ Grad ở mọi đơn vị (45 m/s).</t>
        </is>
      </c>
    </row>
    <row r="12" ht="15" customHeight="1" s="32">
      <c r="A12" s="39" t="inlineStr">
        <is>
          <t>boss_thermo</t>
        </is>
      </c>
      <c r="B12" s="39" t="inlineStr">
        <is>
          <t>TOS-1A 220 mm</t>
        </is>
      </c>
      <c r="C12" s="39" t="inlineStr">
        <is>
          <t>Inferno</t>
        </is>
      </c>
      <c r="D12" s="39" t="inlineStr">
        <is>
          <t>RocketBig</t>
        </is>
      </c>
      <c r="E12" s="42" t="n">
        <v>46</v>
      </c>
      <c r="F12" s="42" t="n">
        <v>45</v>
      </c>
      <c r="G12" s="56">
        <f>IFERROR(E12/F12,"")</f>
        <v/>
      </c>
      <c r="H12" s="56" t="n"/>
      <c r="I12" s="57" t="n">
        <v>35</v>
      </c>
      <c r="J12" s="56">
        <f>IFERROR(E12/I12,"")</f>
        <v/>
      </c>
      <c r="K12" s="56" t="n"/>
      <c r="L12" s="39" t="inlineStr">
        <is>
          <t>Thống nhất tốc độ TOS ở mọi đơn vị (35 m/s).</t>
        </is>
      </c>
    </row>
    <row r="13" ht="15" customHeight="1" s="32">
      <c r="A13" s="41" t="inlineStr">
        <is>
          <t>buk_launcher</t>
        </is>
      </c>
      <c r="B13" s="41" t="inlineStr">
        <is>
          <t>9M317 Buk</t>
        </is>
      </c>
      <c r="C13" s="41" t="inlineStr">
        <is>
          <t>Tên lửa PK</t>
        </is>
      </c>
      <c r="D13" s="41" t="inlineStr">
        <is>
          <t>Sam</t>
        </is>
      </c>
      <c r="E13" s="43" t="n">
        <v>55</v>
      </c>
      <c r="F13" s="43" t="n">
        <v>24</v>
      </c>
      <c r="G13" s="58">
        <f>IFERROR(E13/F13,"")</f>
        <v/>
      </c>
      <c r="H13" s="59" t="n">
        <v>40</v>
      </c>
      <c r="I13" s="59" t="n">
        <v>50</v>
      </c>
      <c r="J13" s="58">
        <f>IFERROR(E13/I13,"")</f>
        <v/>
      </c>
      <c r="K13" s="58">
        <f>IFERROR(I13/H13,"")</f>
        <v/>
      </c>
      <c r="L13" s="41" t="inlineStr">
        <is>
          <t>Tên lửa phòng không tầm trung: bắt được tiêm kích, bay ~1,1 s.</t>
        </is>
      </c>
    </row>
    <row r="14" ht="15" customHeight="1" s="32">
      <c r="A14" s="39" t="inlineStr">
        <is>
          <t>drone_missile</t>
        </is>
      </c>
      <c r="B14" s="39" t="inlineStr">
        <is>
          <t>AGM-114 Hellfire</t>
        </is>
      </c>
      <c r="C14" s="39" t="inlineStr">
        <is>
          <t>UAV tấn công</t>
        </is>
      </c>
      <c r="D14" s="39" t="inlineStr">
        <is>
          <t>Atgm</t>
        </is>
      </c>
      <c r="E14" s="42" t="n">
        <v>48</v>
      </c>
      <c r="F14" s="42" t="n">
        <v>21</v>
      </c>
      <c r="G14" s="56">
        <f>IFERROR(E14/F14,"")</f>
        <v/>
      </c>
      <c r="H14" s="56" t="n"/>
      <c r="I14" s="57" t="n">
        <v>26</v>
      </c>
      <c r="J14" s="56">
        <f>IFERROR(E14/I14,"")</f>
        <v/>
      </c>
      <c r="K14" s="56" t="n"/>
      <c r="L14" s="39" t="inlineStr">
        <is>
          <t>Thống nhất Hellfire.</t>
        </is>
      </c>
    </row>
    <row r="15" ht="15" customHeight="1" s="32">
      <c r="A15" s="41" t="inlineStr">
        <is>
          <t>fpv_hangar</t>
        </is>
      </c>
      <c r="B15" s="41" t="inlineStr">
        <is>
          <t>FPV drone (1.5 kg)</t>
        </is>
      </c>
      <c r="C15" s="41" t="inlineStr">
        <is>
          <t>Nhà chứa drone</t>
        </is>
      </c>
      <c r="D15" s="41" t="inlineStr">
        <is>
          <t>Fpv</t>
        </is>
      </c>
      <c r="E15" s="43" t="n">
        <v>70</v>
      </c>
      <c r="F15" s="43" t="n">
        <v>26</v>
      </c>
      <c r="G15" s="58">
        <f>IFERROR(E15/F15,"")</f>
        <v/>
      </c>
      <c r="H15" s="58" t="n"/>
      <c r="I15" s="59" t="n">
        <v>26</v>
      </c>
      <c r="J15" s="58">
        <f>IFERROR(E15/I15,"")</f>
        <v/>
      </c>
      <c r="K15" s="58" t="n"/>
      <c r="L15" s="41" t="inlineStr">
        <is>
          <t>Tốc độ hiện phù hợp; giữ.</t>
        </is>
      </c>
    </row>
    <row r="16" ht="15" customHeight="1" s="32">
      <c r="A16" s="39" t="inlineStr">
        <is>
          <t>fpv_hangar_swarm</t>
        </is>
      </c>
      <c r="B16" s="39" t="inlineStr">
        <is>
          <t>FPV drone (1.5 kg)</t>
        </is>
      </c>
      <c r="C16" s="39" t="inlineStr">
        <is>
          <t>Bầy đàn</t>
        </is>
      </c>
      <c r="D16" s="39" t="inlineStr">
        <is>
          <t>Fpv</t>
        </is>
      </c>
      <c r="E16" s="42" t="n">
        <v>70</v>
      </c>
      <c r="F16" s="42" t="n">
        <v>26</v>
      </c>
      <c r="G16" s="56">
        <f>IFERROR(E16/F16,"")</f>
        <v/>
      </c>
      <c r="H16" s="56" t="n"/>
      <c r="I16" s="57" t="n">
        <v>26</v>
      </c>
      <c r="J16" s="56">
        <f>IFERROR(E16/I16,"")</f>
        <v/>
      </c>
      <c r="K16" s="56" t="n"/>
      <c r="L16" s="39" t="inlineStr">
        <is>
          <t>Tốc độ hiện phù hợp; giữ.</t>
        </is>
      </c>
    </row>
    <row r="17" ht="15" customHeight="1" s="32">
      <c r="A17" s="41" t="inlineStr">
        <is>
          <t>fpv_swarm</t>
        </is>
      </c>
      <c r="B17" s="41" t="inlineStr">
        <is>
          <t>FPV drone (1.5 kg)</t>
        </is>
      </c>
      <c r="C17" s="41" t="inlineStr">
        <is>
          <t>Drone FPV, Drone FPV TN</t>
        </is>
      </c>
      <c r="D17" s="41" t="inlineStr">
        <is>
          <t>Fpv</t>
        </is>
      </c>
      <c r="E17" s="43" t="n">
        <v>75</v>
      </c>
      <c r="F17" s="43" t="n">
        <v>26</v>
      </c>
      <c r="G17" s="58">
        <f>IFERROR(E17/F17,"")</f>
        <v/>
      </c>
      <c r="H17" s="58" t="n"/>
      <c r="I17" s="59" t="n">
        <v>26</v>
      </c>
      <c r="J17" s="58">
        <f>IFERROR(E17/I17,"")</f>
        <v/>
      </c>
      <c r="K17" s="58" t="n"/>
      <c r="L17" s="41" t="inlineStr">
        <is>
          <t>Drone chậm có chủ đích (dễ bị bắn hạ): giữ.</t>
        </is>
      </c>
    </row>
    <row r="18" ht="15" customHeight="1" s="32">
      <c r="A18" s="39" t="inlineStr">
        <is>
          <t>grad_cluster</t>
        </is>
      </c>
      <c r="B18" s="39" t="inlineStr">
        <is>
          <t>BM-21 Grad 122 mm</t>
        </is>
      </c>
      <c r="C18" s="39" t="inlineStr">
        <is>
          <t>Grad TN</t>
        </is>
      </c>
      <c r="D18" s="39" t="inlineStr">
        <is>
          <t>Cluster</t>
        </is>
      </c>
      <c r="E18" s="42" t="n">
        <v>78</v>
      </c>
      <c r="F18" s="42" t="n">
        <v>52</v>
      </c>
      <c r="G18" s="56">
        <f>IFERROR(E18/F18,"")</f>
        <v/>
      </c>
      <c r="H18" s="56" t="n"/>
      <c r="I18" s="57" t="n">
        <v>45</v>
      </c>
      <c r="J18" s="56">
        <f>IFERROR(E18/I18,"")</f>
        <v/>
      </c>
      <c r="K18" s="56" t="n"/>
      <c r="L18" s="39" t="inlineStr">
        <is>
          <t>Thống nhất tốc độ Grad ở mọi đơn vị (45 m/s).</t>
        </is>
      </c>
    </row>
    <row r="19" ht="15" customHeight="1" s="32">
      <c r="A19" s="41"/>
      <c r="B19" s="41"/>
      <c r="C19" s="41"/>
      <c r="D19" s="41"/>
      <c r="E19" s="43"/>
      <c r="F19" s="43"/>
      <c r="G19" s="58"/>
      <c r="H19" s="58"/>
      <c r="I19" s="59"/>
      <c r="J19" s="58"/>
      <c r="K19" s="58"/>
      <c r="L19" s="41"/>
    </row>
    <row r="20" ht="15" customHeight="1" s="32">
      <c r="A20" s="39" t="inlineStr">
        <is>
          <t>guided_bomb</t>
        </is>
      </c>
      <c r="B20" s="39" t="inlineStr">
        <is>
          <t>GBU-39 SDB (110 kg)</t>
        </is>
      </c>
      <c r="C20" s="39" t="inlineStr">
        <is>
          <t>Morrigan, Máy bay mẹ, TK</t>
        </is>
      </c>
      <c r="D20" s="39" t="inlineStr">
        <is>
          <t>GuidedBomb</t>
        </is>
      </c>
      <c r="E20" s="42" t="n">
        <v>30</v>
      </c>
      <c r="F20" s="42" t="n">
        <v>40</v>
      </c>
      <c r="G20" s="56">
        <f>IFERROR(E20/F20,"")</f>
        <v/>
      </c>
      <c r="H20" s="56" t="n"/>
      <c r="I20" s="57" t="n">
        <v>40</v>
      </c>
      <c r="J20" s="56">
        <f>IFERROR(E20/I20,"")</f>
        <v/>
      </c>
      <c r="K20" s="56" t="n"/>
      <c r="L20" s="39" t="inlineStr">
        <is>
          <t>Tốc độ hiện phù hợp; giữ.</t>
        </is>
      </c>
    </row>
    <row r="21" ht="15" customHeight="1" s="32">
      <c r="A21" s="41" t="inlineStr">
        <is>
          <t>gunship_rockets</t>
        </is>
      </c>
      <c r="B21" s="41" t="inlineStr">
        <is>
          <t>S-8 80 mm</t>
        </is>
      </c>
      <c r="C21" s="41" t="inlineStr">
        <is>
          <t>Harpy, TT hỏa lực</t>
        </is>
      </c>
      <c r="D21" s="41" t="inlineStr">
        <is>
          <t>RocketSmall</t>
        </is>
      </c>
      <c r="E21" s="43" t="n">
        <v>34</v>
      </c>
      <c r="F21" s="43" t="n">
        <v>27</v>
      </c>
      <c r="G21" s="58">
        <f>IFERROR(E21/F21,"")</f>
        <v/>
      </c>
      <c r="H21" s="58" t="n"/>
      <c r="I21" s="59" t="n">
        <v>40</v>
      </c>
      <c r="J21" s="58">
        <f>IFERROR(E21/I21,"")</f>
        <v/>
      </c>
      <c r="K21" s="58" t="n"/>
      <c r="L21" s="41" t="inlineStr">
        <is>
          <t>Thống nhất tốc độ rốc-két nhỏ ở mọi đơn vị (40 m/s).</t>
        </is>
      </c>
    </row>
    <row r="22" ht="15" customHeight="1" s="32">
      <c r="A22" s="39" t="inlineStr">
        <is>
          <t>heli_atgm</t>
        </is>
      </c>
      <c r="B22" s="39" t="inlineStr">
        <is>
          <t>AGM-114 Hellfire</t>
        </is>
      </c>
      <c r="C22" s="39" t="inlineStr">
        <is>
          <t>TT hỏa lực</t>
        </is>
      </c>
      <c r="D22" s="39" t="inlineStr">
        <is>
          <t>Atgm</t>
        </is>
      </c>
      <c r="E22" s="42" t="n">
        <v>34</v>
      </c>
      <c r="F22" s="42" t="n">
        <v>12</v>
      </c>
      <c r="G22" s="56">
        <f>IFERROR(E22/F22,"")</f>
        <v/>
      </c>
      <c r="H22" s="56" t="n"/>
      <c r="I22" s="57" t="n">
        <v>26</v>
      </c>
      <c r="J22" s="56">
        <f>IFERROR(E22/I22,"")</f>
        <v/>
      </c>
      <c r="K22" s="56" t="n"/>
      <c r="L22" s="39" t="inlineStr">
        <is>
          <t>Hellfire thống nhất 26 m/s mọi nơi (đang 12 ở đây, chậm nhất game).</t>
        </is>
      </c>
    </row>
    <row r="23" ht="15" customHeight="1" s="32">
      <c r="A23" s="41" t="inlineStr">
        <is>
          <t>heli_rockets</t>
        </is>
      </c>
      <c r="B23" s="41" t="inlineStr">
        <is>
          <t>Hydra 70 mm</t>
        </is>
      </c>
      <c r="C23" s="41" t="inlineStr">
        <is>
          <t>Trực thăng, Trực thăng TN</t>
        </is>
      </c>
      <c r="D23" s="41" t="inlineStr">
        <is>
          <t>RocketSmall</t>
        </is>
      </c>
      <c r="E23" s="43" t="n">
        <v>30</v>
      </c>
      <c r="F23" s="43" t="n">
        <v>48</v>
      </c>
      <c r="G23" s="58">
        <f>IFERROR(E23/F23,"")</f>
        <v/>
      </c>
      <c r="H23" s="58" t="n"/>
      <c r="I23" s="59" t="n">
        <v>40</v>
      </c>
      <c r="J23" s="58">
        <f>IFERROR(E23/I23,"")</f>
        <v/>
      </c>
      <c r="K23" s="58" t="n"/>
      <c r="L23" s="41" t="inlineStr">
        <is>
          <t>Thống nhất tốc độ rốc-két nhỏ ở mọi đơn vị (40 m/s).</t>
        </is>
      </c>
    </row>
    <row r="24" ht="15" customHeight="1" s="32">
      <c r="A24" s="39" t="inlineStr">
        <is>
          <t>hellfire_standoff</t>
        </is>
      </c>
      <c r="B24" s="39" t="inlineStr">
        <is>
          <t>AGM-114L Hellfire</t>
        </is>
      </c>
      <c r="C24" s="39" t="inlineStr">
        <is>
          <t>Trực thăng</t>
        </is>
      </c>
      <c r="D24" s="39" t="inlineStr">
        <is>
          <t>Atgm</t>
        </is>
      </c>
      <c r="E24" s="42" t="n">
        <v>55</v>
      </c>
      <c r="F24" s="42" t="n">
        <v>24</v>
      </c>
      <c r="G24" s="56">
        <f>IFERROR(E24/F24,"")</f>
        <v/>
      </c>
      <c r="H24" s="56" t="n"/>
      <c r="I24" s="57" t="n">
        <v>26</v>
      </c>
      <c r="J24" s="56">
        <f>IFERROR(E24/I24,"")</f>
        <v/>
      </c>
      <c r="K24" s="56" t="n"/>
      <c r="L24" s="39" t="inlineStr">
        <is>
          <t>Thống nhất Hellfire.</t>
        </is>
      </c>
    </row>
    <row r="25" ht="15" customHeight="1" s="32">
      <c r="A25" s="41" t="inlineStr">
        <is>
          <t>hellfire_volley</t>
        </is>
      </c>
      <c r="B25" s="41" t="inlineStr">
        <is>
          <t>AGM-114L Hellfire</t>
        </is>
      </c>
      <c r="C25" s="41" t="inlineStr">
        <is>
          <t>Trực thăng TN</t>
        </is>
      </c>
      <c r="D25" s="41" t="inlineStr">
        <is>
          <t>Atgm</t>
        </is>
      </c>
      <c r="E25" s="43" t="n">
        <v>34</v>
      </c>
      <c r="F25" s="43" t="n">
        <v>21</v>
      </c>
      <c r="G25" s="58">
        <f>IFERROR(E25/F25,"")</f>
        <v/>
      </c>
      <c r="H25" s="58" t="n"/>
      <c r="I25" s="59" t="n">
        <v>26</v>
      </c>
      <c r="J25" s="58">
        <f>IFERROR(E25/I25,"")</f>
        <v/>
      </c>
      <c r="K25" s="58" t="n"/>
      <c r="L25" s="41" t="inlineStr">
        <is>
          <t>Thống nhất Hellfire.</t>
        </is>
      </c>
    </row>
    <row r="26" ht="15" customHeight="1" s="32">
      <c r="A26" s="39" t="inlineStr">
        <is>
          <t>hover_rockets</t>
        </is>
      </c>
      <c r="B26" s="39" t="inlineStr">
        <is>
          <t>A-22 Ogon 140 mm</t>
        </is>
      </c>
      <c r="C26" s="39" t="inlineStr">
        <is>
          <t>Charybdis</t>
        </is>
      </c>
      <c r="D26" s="39" t="inlineStr">
        <is>
          <t>RocketSmall</t>
        </is>
      </c>
      <c r="E26" s="42" t="n">
        <v>55</v>
      </c>
      <c r="F26" s="42" t="n">
        <v>50</v>
      </c>
      <c r="G26" s="56">
        <f>IFERROR(E26/F26,"")</f>
        <v/>
      </c>
      <c r="H26" s="56" t="n"/>
      <c r="I26" s="57" t="n">
        <v>50</v>
      </c>
      <c r="J26" s="56">
        <f>IFERROR(E26/I26,"")</f>
        <v/>
      </c>
      <c r="K26" s="56" t="n"/>
      <c r="L26" s="39" t="inlineStr">
        <is>
          <t>Tốc độ hiện phù hợp; giữ.</t>
        </is>
      </c>
    </row>
    <row r="27" ht="15" customHeight="1" s="32">
      <c r="A27" s="41" t="inlineStr">
        <is>
          <t>jassm</t>
        </is>
      </c>
      <c r="B27" s="41" t="inlineStr">
        <is>
          <t>AGM-158 JASSM (450</t>
        </is>
      </c>
      <c r="C27" s="41" t="inlineStr">
        <is>
          <t>Tàng hình</t>
        </is>
      </c>
      <c r="D27" s="41" t="inlineStr">
        <is>
          <t>Cruise</t>
        </is>
      </c>
      <c r="E27" s="43" t="n">
        <v>90</v>
      </c>
      <c r="F27" s="43" t="n">
        <v>17</v>
      </c>
      <c r="G27" s="58">
        <f>IFERROR(E27/F27,"")</f>
        <v/>
      </c>
      <c r="H27" s="58" t="n"/>
      <c r="I27" s="59" t="n">
        <v>20</v>
      </c>
      <c r="J27" s="58">
        <f>IFERROR(E27/I27,"")</f>
        <v/>
      </c>
      <c r="K27" s="58" t="n"/>
      <c r="L27" s="41" t="inlineStr">
        <is>
          <t>Thống nhất tốc độ tên lửa hành trình ở mọi đơn vị (20 m/s).</t>
        </is>
      </c>
    </row>
    <row r="28" ht="15" customHeight="1" s="32">
      <c r="A28" s="39" t="inlineStr">
        <is>
          <t>kh29</t>
        </is>
      </c>
      <c r="B28" s="39" t="inlineStr">
        <is>
          <t>Kh-29L</t>
        </is>
      </c>
      <c r="C28" s="39" t="inlineStr">
        <is>
          <t>Cường kích, Cường kích TN</t>
        </is>
      </c>
      <c r="D28" s="39" t="inlineStr">
        <is>
          <t>Atgm</t>
        </is>
      </c>
      <c r="E28" s="42" t="n">
        <v>40</v>
      </c>
      <c r="F28" s="42" t="n">
        <v>10</v>
      </c>
      <c r="G28" s="56">
        <f>IFERROR(E28/F28,"")</f>
        <v/>
      </c>
      <c r="H28" s="56" t="n"/>
      <c r="I28" s="57" t="n">
        <v>32</v>
      </c>
      <c r="J28" s="56">
        <f>IFERROR(E28/I28,"")</f>
        <v/>
      </c>
      <c r="K28" s="56" t="n"/>
      <c r="L28" s="39" t="inlineStr">
        <is>
          <t>Tên lửa không đối đất nặng Mach 2,5 ngoài đời: đang 10 m/s như drone.</t>
        </is>
      </c>
    </row>
    <row r="29" ht="15" customHeight="1" s="32">
      <c r="A29" s="41" t="inlineStr">
        <is>
          <t>kornet_multi</t>
        </is>
      </c>
      <c r="B29" s="41" t="inlineStr">
        <is>
          <t>9M133 Kornet</t>
        </is>
      </c>
      <c r="C29" s="41" t="inlineStr">
        <is>
          <t>Đa năng</t>
        </is>
      </c>
      <c r="D29" s="41" t="inlineStr">
        <is>
          <t>Atgm</t>
        </is>
      </c>
      <c r="E29" s="43" t="n">
        <v>50</v>
      </c>
      <c r="F29" s="43" t="n">
        <v>20</v>
      </c>
      <c r="G29" s="58">
        <f>IFERROR(E29/F29,"")</f>
        <v/>
      </c>
      <c r="H29" s="58" t="n"/>
      <c r="I29" s="59" t="n">
        <v>22</v>
      </c>
      <c r="J29" s="58">
        <f>IFERROR(E29/I29,"")</f>
        <v/>
      </c>
      <c r="K29" s="58" t="n"/>
      <c r="L29" s="41" t="inlineStr">
        <is>
          <t>Thống nhất tốc độ Kornet ở mọi đơn vị (22 m/s).</t>
        </is>
      </c>
    </row>
    <row r="30" ht="15" customHeight="1" s="32">
      <c r="A30" s="39" t="inlineStr">
        <is>
          <t>kornet_top</t>
        </is>
      </c>
      <c r="B30" s="39" t="inlineStr">
        <is>
          <t>9M133 Kornet</t>
        </is>
      </c>
      <c r="C30" s="39" t="inlineStr">
        <is>
          <t>Đánh từ trên</t>
        </is>
      </c>
      <c r="D30" s="39" t="inlineStr">
        <is>
          <t>Atgm</t>
        </is>
      </c>
      <c r="E30" s="42" t="n">
        <v>50</v>
      </c>
      <c r="F30" s="42" t="n">
        <v>20</v>
      </c>
      <c r="G30" s="56">
        <f>IFERROR(E30/F30,"")</f>
        <v/>
      </c>
      <c r="H30" s="56" t="n"/>
      <c r="I30" s="57" t="n">
        <v>22</v>
      </c>
      <c r="J30" s="56">
        <f>IFERROR(E30/I30,"")</f>
        <v/>
      </c>
      <c r="K30" s="56" t="n"/>
      <c r="L30" s="39" t="inlineStr">
        <is>
          <t>Thống nhất tốc độ Kornet ở mọi đơn vị (22 m/s).</t>
        </is>
      </c>
    </row>
    <row r="31" ht="15" customHeight="1" s="32">
      <c r="A31" s="41" t="inlineStr">
        <is>
          <t>kornet_twin</t>
        </is>
      </c>
      <c r="B31" s="41" t="inlineStr">
        <is>
          <t>9M133 Kornet</t>
        </is>
      </c>
      <c r="C31" s="41" t="inlineStr">
        <is>
          <t>Bastion</t>
        </is>
      </c>
      <c r="D31" s="41" t="inlineStr">
        <is>
          <t>Atgm</t>
        </is>
      </c>
      <c r="E31" s="43" t="n">
        <v>50</v>
      </c>
      <c r="F31" s="43" t="n">
        <v>20</v>
      </c>
      <c r="G31" s="58">
        <f>IFERROR(E31/F31,"")</f>
        <v/>
      </c>
      <c r="H31" s="58" t="n"/>
      <c r="I31" s="59" t="n">
        <v>22</v>
      </c>
      <c r="J31" s="58">
        <f>IFERROR(E31/I31,"")</f>
        <v/>
      </c>
      <c r="K31" s="58" t="n"/>
      <c r="L31" s="41" t="inlineStr">
        <is>
          <t>Thống nhất tốc độ Kornet ở mọi đơn vị (22 m/s).</t>
        </is>
      </c>
    </row>
    <row r="32" ht="15" customHeight="1" s="32">
      <c r="A32" s="39" t="inlineStr">
        <is>
          <t>lancet</t>
        </is>
      </c>
      <c r="B32" s="39" t="inlineStr">
        <is>
          <t>ZALA Lancet-3 (3 kg)</t>
        </is>
      </c>
      <c r="C32" s="39" t="inlineStr">
        <is>
          <t>Lancet</t>
        </is>
      </c>
      <c r="D32" s="39" t="inlineStr">
        <is>
          <t>Lancet</t>
        </is>
      </c>
      <c r="E32" s="42" t="n">
        <v>100</v>
      </c>
      <c r="F32" s="42" t="n">
        <v>28</v>
      </c>
      <c r="G32" s="56">
        <f>IFERROR(E32/F32,"")</f>
        <v/>
      </c>
      <c r="H32" s="56" t="n"/>
      <c r="I32" s="57" t="n">
        <v>28</v>
      </c>
      <c r="J32" s="56">
        <f>IFERROR(E32/I32,"")</f>
        <v/>
      </c>
      <c r="K32" s="56" t="n"/>
      <c r="L32" s="39" t="inlineStr">
        <is>
          <t>Tốc độ hiện phù hợp; giữ.</t>
        </is>
      </c>
    </row>
    <row r="33" ht="15" customHeight="1" s="32">
      <c r="A33" s="41" t="inlineStr">
        <is>
          <t>lancet_hangar</t>
        </is>
      </c>
      <c r="B33" s="41" t="inlineStr">
        <is>
          <t>ZALA Lancet-3 (3 kg)</t>
        </is>
      </c>
      <c r="C33" s="41" t="inlineStr">
        <is>
          <t>Lancet</t>
        </is>
      </c>
      <c r="D33" s="41" t="inlineStr">
        <is>
          <t>Lancet</t>
        </is>
      </c>
      <c r="E33" s="43" t="n">
        <v>100</v>
      </c>
      <c r="F33" s="43" t="n">
        <v>28</v>
      </c>
      <c r="G33" s="58">
        <f>IFERROR(E33/F33,"")</f>
        <v/>
      </c>
      <c r="H33" s="58" t="n"/>
      <c r="I33" s="59" t="n">
        <v>28</v>
      </c>
      <c r="J33" s="58">
        <f>IFERROR(E33/I33,"")</f>
        <v/>
      </c>
      <c r="K33" s="58" t="n"/>
      <c r="L33" s="41" t="inlineStr">
        <is>
          <t>Tốc độ hiện phù hợp; giữ.</t>
        </is>
      </c>
    </row>
    <row r="34" ht="15" customHeight="1" s="32">
      <c r="A34" s="39" t="inlineStr">
        <is>
          <t>mlrs_elite</t>
        </is>
      </c>
      <c r="B34" s="39" t="inlineStr">
        <is>
          <t>M30 GMLRS 227 mm</t>
        </is>
      </c>
      <c r="C34" s="39" t="inlineStr">
        <is>
          <t>Phản lực TN</t>
        </is>
      </c>
      <c r="D34" s="39" t="inlineStr">
        <is>
          <t>Cluster</t>
        </is>
      </c>
      <c r="E34" s="42" t="n">
        <v>75</v>
      </c>
      <c r="F34" s="42" t="n">
        <v>52</v>
      </c>
      <c r="G34" s="56">
        <f>IFERROR(E34/F34,"")</f>
        <v/>
      </c>
      <c r="H34" s="56" t="n"/>
      <c r="I34" s="57" t="n">
        <v>50</v>
      </c>
      <c r="J34" s="56">
        <f>IFERROR(E34/I34,"")</f>
        <v/>
      </c>
      <c r="K34" s="56" t="n"/>
      <c r="L34" s="39" t="inlineStr">
        <is>
          <t>Thống nhất tốc độ GMLRS ở mọi đơn vị (50 m/s).</t>
        </is>
      </c>
    </row>
    <row r="35" ht="15" customHeight="1" s="32">
      <c r="A35" s="41" t="inlineStr">
        <is>
          <t>mlrs_rockets</t>
        </is>
      </c>
      <c r="B35" s="41" t="inlineStr">
        <is>
          <t>M31 GMLRS 227 mm</t>
        </is>
      </c>
      <c r="C35" s="41" t="inlineStr">
        <is>
          <t>Phản lực</t>
        </is>
      </c>
      <c r="D35" s="41" t="inlineStr">
        <is>
          <t>RocketBig</t>
        </is>
      </c>
      <c r="E35" s="43" t="n">
        <v>110</v>
      </c>
      <c r="F35" s="43" t="n">
        <v>52</v>
      </c>
      <c r="G35" s="58">
        <f>IFERROR(E35/F35,"")</f>
        <v/>
      </c>
      <c r="H35" s="58" t="n"/>
      <c r="I35" s="59" t="n">
        <v>50</v>
      </c>
      <c r="J35" s="58">
        <f>IFERROR(E35/I35,"")</f>
        <v/>
      </c>
      <c r="K35" s="58" t="n"/>
      <c r="L35" s="41" t="inlineStr">
        <is>
          <t>GMLRS: bay ~2,2 s ở tầm 110.</t>
        </is>
      </c>
    </row>
    <row r="36" ht="15" customHeight="1" s="32">
      <c r="A36" s="39" t="inlineStr">
        <is>
          <t>mothership_drones</t>
        </is>
      </c>
      <c r="B36" s="39" t="inlineStr">
        <is>
          <t>ZALA Lancet-3 (3 kg)</t>
        </is>
      </c>
      <c r="C36" s="39" t="inlineStr">
        <is>
          <t>Hive, Locust, Matriarch</t>
        </is>
      </c>
      <c r="D36" s="39" t="inlineStr">
        <is>
          <t>Lancet</t>
        </is>
      </c>
      <c r="E36" s="42" t="n">
        <v>70</v>
      </c>
      <c r="F36" s="42" t="n">
        <v>16</v>
      </c>
      <c r="G36" s="56">
        <f>IFERROR(E36/F36,"")</f>
        <v/>
      </c>
      <c r="H36" s="56" t="n"/>
      <c r="I36" s="57" t="n">
        <v>28</v>
      </c>
      <c r="J36" s="56">
        <f>IFERROR(E36/I36,"")</f>
        <v/>
      </c>
      <c r="K36" s="56" t="n"/>
      <c r="L36" s="39" t="inlineStr">
        <is>
          <t>Cùng Lancet nhưng đang 16: thống nhất 28.</t>
        </is>
      </c>
    </row>
    <row r="37" ht="15" customHeight="1" s="32">
      <c r="A37" s="41" t="inlineStr">
        <is>
          <t>patriot</t>
        </is>
      </c>
      <c r="B37" s="41" t="inlineStr">
        <is>
          <t>MIM-104 Patriot PAC-</t>
        </is>
      </c>
      <c r="C37" s="41" t="inlineStr">
        <is>
          <t>Patriot</t>
        </is>
      </c>
      <c r="D37" s="41" t="inlineStr">
        <is>
          <t>Sam</t>
        </is>
      </c>
      <c r="E37" s="43" t="n">
        <v>90</v>
      </c>
      <c r="F37" s="43" t="n">
        <v>24</v>
      </c>
      <c r="G37" s="58">
        <f>IFERROR(E37/F37,"")</f>
        <v/>
      </c>
      <c r="H37" s="59" t="n">
        <v>46</v>
      </c>
      <c r="I37" s="59" t="n">
        <v>60</v>
      </c>
      <c r="J37" s="58">
        <f>IFERROR(E37/I37,"")</f>
        <v/>
      </c>
      <c r="K37" s="58">
        <f>IFERROR(I37/H37,"")</f>
        <v/>
      </c>
      <c r="L37" s="41" t="inlineStr">
        <is>
          <t>Tầm xa: bay ~1,5 s tới rìa tầm, bắt được mọi máy bay.</t>
        </is>
      </c>
    </row>
    <row r="38" ht="15" customHeight="1" s="32">
      <c r="A38" s="39" t="inlineStr">
        <is>
          <t>r60</t>
        </is>
      </c>
      <c r="B38" s="39" t="inlineStr">
        <is>
          <t>R-60</t>
        </is>
      </c>
      <c r="C38" s="39" t="inlineStr">
        <is>
          <t>Cường kích, Cường kích TN</t>
        </is>
      </c>
      <c r="D38" s="39" t="inlineStr">
        <is>
          <t>Sam</t>
        </is>
      </c>
      <c r="E38" s="42" t="n">
        <v>28</v>
      </c>
      <c r="F38" s="42" t="n">
        <v>10</v>
      </c>
      <c r="G38" s="56">
        <f>IFERROR(E38/F38,"")</f>
        <v/>
      </c>
      <c r="H38" s="57" t="n">
        <v>40</v>
      </c>
      <c r="I38" s="57" t="n">
        <v>42</v>
      </c>
      <c r="J38" s="56">
        <f>IFERROR(E38/I38,"")</f>
        <v/>
      </c>
      <c r="K38" s="56">
        <f>IFERROR(I38/H38,"")</f>
        <v/>
      </c>
      <c r="L38" s="39" t="inlineStr">
        <is>
          <t>Tên lửa không đối không tầm gần phải bắt kịp tiêm kích (40 m/s).</t>
        </is>
      </c>
    </row>
    <row r="39" ht="15" customHeight="1" s="32">
      <c r="A39" s="41" t="inlineStr">
        <is>
          <t>recon_missile</t>
        </is>
      </c>
      <c r="B39" s="41" t="inlineStr">
        <is>
          <t>MAM-L</t>
        </is>
      </c>
      <c r="C39" s="41" t="inlineStr">
        <is>
          <t>UAV do thám</t>
        </is>
      </c>
      <c r="D39" s="41" t="inlineStr">
        <is>
          <t>Atgm</t>
        </is>
      </c>
      <c r="E39" s="43" t="n">
        <v>50</v>
      </c>
      <c r="F39" s="43" t="n">
        <v>21</v>
      </c>
      <c r="G39" s="58">
        <f>IFERROR(E39/F39,"")</f>
        <v/>
      </c>
      <c r="H39" s="58" t="n"/>
      <c r="I39" s="59" t="n">
        <v>22</v>
      </c>
      <c r="J39" s="58">
        <f>IFERROR(E39/I39,"")</f>
        <v/>
      </c>
      <c r="K39" s="58" t="n"/>
      <c r="L39" s="41" t="inlineStr">
        <is>
          <t>Tên lửa nhỏ.</t>
        </is>
      </c>
    </row>
    <row r="40" ht="15" customHeight="1" s="32">
      <c r="A40" s="39" t="inlineStr">
        <is>
          <t>rockets_300mm</t>
        </is>
      </c>
      <c r="B40" s="39" t="inlineStr">
        <is>
          <t>9M55 Smerch 300 mm</t>
        </is>
      </c>
      <c r="C40" s="39" t="inlineStr">
        <is>
          <t>Phản lực 300</t>
        </is>
      </c>
      <c r="D40" s="39" t="inlineStr">
        <is>
          <t>RocketBig</t>
        </is>
      </c>
      <c r="E40" s="42" t="n">
        <v>140</v>
      </c>
      <c r="F40" s="42" t="n">
        <v>24</v>
      </c>
      <c r="G40" s="56">
        <f>IFERROR(E40/F40,"")</f>
        <v/>
      </c>
      <c r="H40" s="56" t="n"/>
      <c r="I40" s="57" t="n">
        <v>55</v>
      </c>
      <c r="J40" s="56">
        <f>IFERROR(E40/I40,"")</f>
        <v/>
      </c>
      <c r="K40" s="56" t="n"/>
      <c r="L40" s="39" t="inlineStr">
        <is>
          <t>Rốc-két lớn nhất bay nhanh nhất (~2,5 s ở 140).</t>
        </is>
      </c>
    </row>
    <row r="41" ht="15" customHeight="1" s="32">
      <c r="A41" s="41" t="inlineStr">
        <is>
          <t>s8_pods</t>
        </is>
      </c>
      <c r="B41" s="41" t="inlineStr">
        <is>
          <t>S-8 80 mm</t>
        </is>
      </c>
      <c r="C41" s="41" t="inlineStr">
        <is>
          <t>Cường kích, Cường kích TN</t>
        </is>
      </c>
      <c r="D41" s="41" t="inlineStr">
        <is>
          <t>RocketSmall</t>
        </is>
      </c>
      <c r="E41" s="43" t="n">
        <v>34</v>
      </c>
      <c r="F41" s="43" t="n">
        <v>20</v>
      </c>
      <c r="G41" s="58">
        <f>IFERROR(E41/F41,"")</f>
        <v/>
      </c>
      <c r="H41" s="58" t="n"/>
      <c r="I41" s="59" t="n">
        <v>40</v>
      </c>
      <c r="J41" s="58">
        <f>IFERROR(E41/I41,"")</f>
        <v/>
      </c>
      <c r="K41" s="58" t="n"/>
      <c r="L41" s="41" t="inlineStr">
        <is>
          <t>Thống nhất rốc-két nhỏ không điều khiển 40 m/s.</t>
        </is>
      </c>
    </row>
    <row r="42" ht="21.75" customHeight="1" s="32">
      <c r="A42" s="39" t="inlineStr">
        <is>
          <t>sam</t>
        </is>
      </c>
      <c r="B42" s="39" t="inlineStr">
        <is>
          <t>Starstreak / Stinger</t>
        </is>
      </c>
      <c r="C42" s="39" t="inlineStr">
        <is>
          <t>PK hỗn hợp, Phòng không,</t>
        </is>
      </c>
      <c r="D42" s="39" t="inlineStr">
        <is>
          <t>Sam</t>
        </is>
      </c>
      <c r="E42" s="42" t="n">
        <v>44</v>
      </c>
      <c r="F42" s="42" t="n">
        <v>24</v>
      </c>
      <c r="G42" s="56">
        <f>IFERROR(E42/F42,"")</f>
        <v/>
      </c>
      <c r="H42" s="57" t="n">
        <v>32</v>
      </c>
      <c r="I42" s="57" t="n">
        <v>42</v>
      </c>
      <c r="J42" s="56">
        <f>IFERROR(E42/I42,"")</f>
        <v/>
      </c>
      <c r="K42" s="56">
        <f>IFERROR(I42/H42,"")</f>
        <v/>
      </c>
      <c r="L42" s="39" t="inlineStr">
        <is>
          <t>Tên lửa vác vai: phải nhanh hơn cường kích (32 m/s); bay ~1 s để còn thấy được và bị pháo sáng đánh lừa.</t>
        </is>
      </c>
    </row>
    <row r="43" ht="15" customHeight="1" s="32">
      <c r="A43" s="41" t="inlineStr">
        <is>
          <t>sam_48n6</t>
        </is>
      </c>
      <c r="B43" s="41" t="inlineStr">
        <is>
          <t>S-400 48N6</t>
        </is>
      </c>
      <c r="C43" s="41" t="inlineStr">
        <is>
          <t>SAM tầm xa, SAM tầm xa TN</t>
        </is>
      </c>
      <c r="D43" s="41" t="inlineStr">
        <is>
          <t>Sam</t>
        </is>
      </c>
      <c r="E43" s="43" t="n">
        <v>95</v>
      </c>
      <c r="F43" s="43" t="n">
        <v>24</v>
      </c>
      <c r="G43" s="58">
        <f>IFERROR(E43/F43,"")</f>
        <v/>
      </c>
      <c r="H43" s="59" t="n">
        <v>46</v>
      </c>
      <c r="I43" s="59" t="n">
        <v>65</v>
      </c>
      <c r="J43" s="58">
        <f>IFERROR(E43/I43,"")</f>
        <v/>
      </c>
      <c r="K43" s="58">
        <f>IFERROR(I43/H43,"")</f>
        <v/>
      </c>
      <c r="L43" s="41" t="inlineStr">
        <is>
          <t>Tên lửa tầm xa nhất: bay ~1,5 s ở tầm 95.</t>
        </is>
      </c>
    </row>
    <row r="44" ht="15" customHeight="1" s="32">
      <c r="A44" s="39" t="inlineStr">
        <is>
          <t>sam_battery</t>
        </is>
      </c>
      <c r="B44" s="39" t="inlineStr">
        <is>
          <t>MIM-104 Patriot PAC-</t>
        </is>
      </c>
      <c r="C44" s="39" t="inlineStr">
        <is>
          <t>Nemesis</t>
        </is>
      </c>
      <c r="D44" s="39" t="inlineStr">
        <is>
          <t>Sam</t>
        </is>
      </c>
      <c r="E44" s="42" t="n">
        <v>90</v>
      </c>
      <c r="F44" s="42" t="n">
        <v>24</v>
      </c>
      <c r="G44" s="56">
        <f>IFERROR(E44/F44,"")</f>
        <v/>
      </c>
      <c r="H44" s="57" t="n">
        <v>46</v>
      </c>
      <c r="I44" s="57" t="n">
        <v>60</v>
      </c>
      <c r="J44" s="56">
        <f>IFERROR(E44/I44,"")</f>
        <v/>
      </c>
      <c r="K44" s="56">
        <f>IFERROR(I44/H44,"")</f>
        <v/>
      </c>
      <c r="L44" s="39" t="inlineStr">
        <is>
          <t>Thống nhất tốc độ Patriot ở mọi đơn vị (60 m/s).</t>
        </is>
      </c>
    </row>
    <row r="45" ht="15" customHeight="1" s="32">
      <c r="A45" s="41" t="inlineStr">
        <is>
          <t>sam_battery_lrr</t>
        </is>
      </c>
      <c r="B45" s="41" t="inlineStr">
        <is>
          <t>MIM-104 Patriot PAC-</t>
        </is>
      </c>
      <c r="C45" s="41" t="inlineStr">
        <is>
          <t>Radar tầm xa</t>
        </is>
      </c>
      <c r="D45" s="41" t="inlineStr">
        <is>
          <t>Sam</t>
        </is>
      </c>
      <c r="E45" s="43" t="n">
        <v>100</v>
      </c>
      <c r="F45" s="43" t="n">
        <v>24</v>
      </c>
      <c r="G45" s="58">
        <f>IFERROR(E45/F45,"")</f>
        <v/>
      </c>
      <c r="H45" s="59" t="n">
        <v>46</v>
      </c>
      <c r="I45" s="59" t="n">
        <v>60</v>
      </c>
      <c r="J45" s="58">
        <f>IFERROR(E45/I45,"")</f>
        <v/>
      </c>
      <c r="K45" s="58">
        <f>IFERROR(I45/H45,"")</f>
        <v/>
      </c>
      <c r="L45" s="41" t="inlineStr">
        <is>
          <t>Thống nhất tốc độ Patriot ở mọi đơn vị (60 m/s).</t>
        </is>
      </c>
    </row>
    <row r="46" ht="21.75" customHeight="1" s="32">
      <c r="A46" s="39" t="inlineStr">
        <is>
          <t>sam_pac3</t>
        </is>
      </c>
      <c r="B46" s="39" t="inlineStr">
        <is>
          <t>Patriot PAC-3 MSE</t>
        </is>
      </c>
      <c r="C46" s="39" t="inlineStr">
        <is>
          <t>PAC-3</t>
        </is>
      </c>
      <c r="D46" s="39" t="inlineStr">
        <is>
          <t>Sam</t>
        </is>
      </c>
      <c r="E46" s="42" t="n">
        <v>72</v>
      </c>
      <c r="F46" s="42" t="n">
        <v>24</v>
      </c>
      <c r="G46" s="56">
        <f>IFERROR(E46/F46,"")</f>
        <v/>
      </c>
      <c r="H46" s="57" t="n">
        <v>55</v>
      </c>
      <c r="I46" s="57" t="n">
        <v>65</v>
      </c>
      <c r="J46" s="56">
        <f>IFERROR(E46/I46,"")</f>
        <v/>
      </c>
      <c r="K46" s="56">
        <f>IFERROR(I46/H46,"")</f>
        <v/>
      </c>
      <c r="L46" s="39" t="inlineStr">
        <is>
          <t>Đánh chặn tên lửa đạn đạo (đề xuất 50 m/s) và hành trình: phải nhanh hơn chúng.</t>
        </is>
      </c>
    </row>
    <row r="47" ht="15" customHeight="1" s="32">
      <c r="A47" s="41" t="inlineStr">
        <is>
          <t>sam_post</t>
        </is>
      </c>
      <c r="B47" s="41" t="inlineStr">
        <is>
          <t>9M317 Buk</t>
        </is>
      </c>
      <c r="C47" s="41" t="inlineStr">
        <is>
          <t>Jötunn, Trạm tên lửa, Typhon</t>
        </is>
      </c>
      <c r="D47" s="41" t="inlineStr">
        <is>
          <t>Sam</t>
        </is>
      </c>
      <c r="E47" s="43" t="n">
        <v>60</v>
      </c>
      <c r="F47" s="43" t="n">
        <v>24</v>
      </c>
      <c r="G47" s="58">
        <f>IFERROR(E47/F47,"")</f>
        <v/>
      </c>
      <c r="H47" s="59" t="n">
        <v>40</v>
      </c>
      <c r="I47" s="59" t="n">
        <v>50</v>
      </c>
      <c r="J47" s="58">
        <f>IFERROR(E47/I47,"")</f>
        <v/>
      </c>
      <c r="K47" s="58">
        <f>IFERROR(I47/H47,"")</f>
        <v/>
      </c>
      <c r="L47" s="41" t="inlineStr">
        <is>
          <t>Thống nhất tốc độ Buk ở mọi đơn vị (50 m/s).</t>
        </is>
      </c>
    </row>
    <row r="48" ht="15" customHeight="1" s="32">
      <c r="A48" s="39" t="inlineStr">
        <is>
          <t>scout_rockets</t>
        </is>
      </c>
      <c r="B48" s="39" t="inlineStr">
        <is>
          <t>Hydra 70 mm</t>
        </is>
      </c>
      <c r="C48" s="39" t="inlineStr">
        <is>
          <t>TT trinh sát</t>
        </is>
      </c>
      <c r="D48" s="39" t="inlineStr">
        <is>
          <t>RocketSmall</t>
        </is>
      </c>
      <c r="E48" s="42" t="n">
        <v>28</v>
      </c>
      <c r="F48" s="42" t="n">
        <v>38</v>
      </c>
      <c r="G48" s="56">
        <f>IFERROR(E48/F48,"")</f>
        <v/>
      </c>
      <c r="H48" s="56" t="n"/>
      <c r="I48" s="57" t="n">
        <v>40</v>
      </c>
      <c r="J48" s="56">
        <f>IFERROR(E48/I48,"")</f>
        <v/>
      </c>
      <c r="K48" s="56" t="n"/>
      <c r="L48" s="39" t="inlineStr">
        <is>
          <t>Thống nhất tốc độ rốc-két nhỏ ở mọi đơn vị (40 m/s).</t>
        </is>
      </c>
    </row>
    <row r="49" ht="15" customHeight="1" s="32">
      <c r="A49" s="41" t="inlineStr">
        <is>
          <t>shahed</t>
        </is>
      </c>
      <c r="B49" s="41" t="inlineStr">
        <is>
          <t>Shahed-136 (50 kg)</t>
        </is>
      </c>
      <c r="C49" s="41" t="inlineStr">
        <is>
          <t>Shahed</t>
        </is>
      </c>
      <c r="D49" s="41" t="inlineStr">
        <is>
          <t>Shahed</t>
        </is>
      </c>
      <c r="E49" s="43" t="n">
        <v>150</v>
      </c>
      <c r="F49" s="43" t="n">
        <v>20</v>
      </c>
      <c r="G49" s="58">
        <f>IFERROR(E49/F49,"")</f>
        <v/>
      </c>
      <c r="H49" s="58" t="n"/>
      <c r="I49" s="59" t="n">
        <v>20</v>
      </c>
      <c r="J49" s="58">
        <f>IFERROR(E49/I49,"")</f>
        <v/>
      </c>
      <c r="K49" s="58" t="n"/>
      <c r="L49" s="41" t="inlineStr">
        <is>
          <t>Chậm có chủ đích (~7,5 s) để phòng không có cơ hội: giữ.</t>
        </is>
      </c>
    </row>
    <row r="50" ht="15" customHeight="1" s="32">
      <c r="A50" s="39" t="inlineStr">
        <is>
          <t>stinger_atas</t>
        </is>
      </c>
      <c r="B50" s="39" t="inlineStr">
        <is>
          <t>FIM-92 Stinger (ATAS)</t>
        </is>
      </c>
      <c r="C50" s="39" t="inlineStr">
        <is>
          <t>Trực thăng, Trực thăng TN</t>
        </is>
      </c>
      <c r="D50" s="39" t="inlineStr">
        <is>
          <t>Sam</t>
        </is>
      </c>
      <c r="E50" s="42" t="n">
        <v>30</v>
      </c>
      <c r="F50" s="42" t="n">
        <v>24</v>
      </c>
      <c r="G50" s="56">
        <f>IFERROR(E50/F50,"")</f>
        <v/>
      </c>
      <c r="H50" s="57" t="n">
        <v>32</v>
      </c>
      <c r="I50" s="57" t="n">
        <v>42</v>
      </c>
      <c r="J50" s="56">
        <f>IFERROR(E50/I50,"")</f>
        <v/>
      </c>
      <c r="K50" s="56">
        <f>IFERROR(I50/H50,"")</f>
        <v/>
      </c>
      <c r="L50" s="39" t="inlineStr">
        <is>
          <t>Thống nhất tốc độ Stinger ở mọi đơn vị (42 m/s).</t>
        </is>
      </c>
    </row>
    <row r="51" ht="15" customHeight="1" s="32">
      <c r="A51" s="41" t="inlineStr">
        <is>
          <t>swarm_drones</t>
        </is>
      </c>
      <c r="B51" s="41" t="inlineStr">
        <is>
          <t>FPV drone (1.5 kg)</t>
        </is>
      </c>
      <c r="C51" s="41" t="inlineStr">
        <is>
          <t>Máy bay mẹ</t>
        </is>
      </c>
      <c r="D51" s="41" t="inlineStr">
        <is>
          <t>Fpv</t>
        </is>
      </c>
      <c r="E51" s="43" t="n">
        <v>60</v>
      </c>
      <c r="F51" s="43" t="n">
        <v>18</v>
      </c>
      <c r="G51" s="58">
        <f>IFERROR(E51/F51,"")</f>
        <v/>
      </c>
      <c r="H51" s="58" t="n"/>
      <c r="I51" s="59" t="n">
        <v>26</v>
      </c>
      <c r="J51" s="58">
        <f>IFERROR(E51/I51,"")</f>
        <v/>
      </c>
      <c r="K51" s="58" t="n"/>
      <c r="L51" s="41" t="inlineStr">
        <is>
          <t>Cùng loại FPV nhưng đang 18: thống nhất 26.</t>
        </is>
      </c>
    </row>
    <row r="52" ht="15" customHeight="1" s="32">
      <c r="A52" s="39" t="inlineStr">
        <is>
          <t>tamir</t>
        </is>
      </c>
      <c r="B52" s="39" t="inlineStr">
        <is>
          <t>Tamir interceptor (Iron</t>
        </is>
      </c>
      <c r="C52" s="39" t="inlineStr">
        <is>
          <t>Vòm Sắt</t>
        </is>
      </c>
      <c r="D52" s="39" t="inlineStr">
        <is>
          <t>Sam</t>
        </is>
      </c>
      <c r="E52" s="42" t="n">
        <v>60</v>
      </c>
      <c r="F52" s="42" t="n">
        <v>24</v>
      </c>
      <c r="G52" s="56">
        <f>IFERROR(E52/F52,"")</f>
        <v/>
      </c>
      <c r="H52" s="57" t="n">
        <v>55</v>
      </c>
      <c r="I52" s="57" t="n">
        <v>50</v>
      </c>
      <c r="J52" s="56">
        <f>IFERROR(E52/I52,"")</f>
        <v/>
      </c>
      <c r="K52" s="56">
        <f>IFERROR(I52/H52,"")</f>
        <v/>
      </c>
      <c r="L52" s="39" t="inlineStr">
        <is>
          <t>Đánh chặn rốc-két Grad và GMLRS (45–50 m/s) từ phía trước.</t>
        </is>
      </c>
    </row>
    <row r="53" ht="15" customHeight="1" s="32">
      <c r="A53" s="41" t="inlineStr">
        <is>
          <t>technical_rockets</t>
        </is>
      </c>
      <c r="B53" s="41" t="inlineStr">
        <is>
          <t>Type 63 107 mm</t>
        </is>
      </c>
      <c r="C53" s="41" t="inlineStr">
        <is>
          <t>Bán tải</t>
        </is>
      </c>
      <c r="D53" s="41" t="inlineStr">
        <is>
          <t>RocketSmall</t>
        </is>
      </c>
      <c r="E53" s="43" t="n">
        <v>48</v>
      </c>
      <c r="F53" s="43" t="n">
        <v>38</v>
      </c>
      <c r="G53" s="58">
        <f>IFERROR(E53/F53,"")</f>
        <v/>
      </c>
      <c r="H53" s="58" t="n"/>
      <c r="I53" s="59" t="n">
        <v>38</v>
      </c>
      <c r="J53" s="58">
        <f>IFERROR(E53/I53,"")</f>
        <v/>
      </c>
      <c r="K53" s="58" t="n"/>
      <c r="L53" s="41" t="inlineStr">
        <is>
          <t>Tốc độ hiện phù hợp; giữ.</t>
        </is>
      </c>
    </row>
    <row r="54" ht="15" customHeight="1" s="32">
      <c r="A54" s="39" t="inlineStr">
        <is>
          <t>thermobaric_rockets</t>
        </is>
      </c>
      <c r="B54" s="39" t="inlineStr">
        <is>
          <t>TOS-1A 220 mm</t>
        </is>
      </c>
      <c r="C54" s="39" t="inlineStr">
        <is>
          <t>Nhiệt áp</t>
        </is>
      </c>
      <c r="D54" s="39" t="inlineStr">
        <is>
          <t>RocketBig</t>
        </is>
      </c>
      <c r="E54" s="42" t="n">
        <v>48</v>
      </c>
      <c r="F54" s="42" t="n">
        <v>24</v>
      </c>
      <c r="G54" s="56">
        <f>IFERROR(E54/F54,"")</f>
        <v/>
      </c>
      <c r="H54" s="56" t="n"/>
      <c r="I54" s="57" t="n">
        <v>35</v>
      </c>
      <c r="J54" s="56">
        <f>IFERROR(E54/I54,"")</f>
        <v/>
      </c>
      <c r="K54" s="56" t="n"/>
      <c r="L54" s="39" t="inlineStr">
        <is>
          <t>Thống nhất TOS 35 m/s.</t>
        </is>
      </c>
    </row>
    <row r="55" ht="15" customHeight="1" s="32">
      <c r="A55" s="41" t="inlineStr">
        <is>
          <t>tower_kornet</t>
        </is>
      </c>
      <c r="B55" s="41" t="inlineStr">
        <is>
          <t>9M133 Kornet</t>
        </is>
      </c>
      <c r="C55" s="41" t="inlineStr">
        <is>
          <t>Tháp ATGM</t>
        </is>
      </c>
      <c r="D55" s="41" t="inlineStr">
        <is>
          <t>Atgm</t>
        </is>
      </c>
      <c r="E55" s="43" t="n">
        <v>50</v>
      </c>
      <c r="F55" s="43" t="n">
        <v>20</v>
      </c>
      <c r="G55" s="58">
        <f>IFERROR(E55/F55,"")</f>
        <v/>
      </c>
      <c r="H55" s="58" t="n"/>
      <c r="I55" s="59" t="n">
        <v>22</v>
      </c>
      <c r="J55" s="58">
        <f>IFERROR(E55/I55,"")</f>
        <v/>
      </c>
      <c r="K55" s="58" t="n"/>
      <c r="L55" s="41" t="inlineStr">
        <is>
          <t>Bay ~2,3 s ở tầm 50; nhanh hơn TOW một chút.</t>
        </is>
      </c>
    </row>
    <row r="56" ht="15" customHeight="1" s="32">
      <c r="A56" s="39" t="inlineStr">
        <is>
          <t>turret_gmlrs</t>
        </is>
      </c>
      <c r="B56" s="39" t="inlineStr">
        <is>
          <t>M31 GMLRS 227 mm</t>
        </is>
      </c>
      <c r="C56" s="39" t="inlineStr">
        <is>
          <t>Dẫn đường</t>
        </is>
      </c>
      <c r="D56" s="39" t="inlineStr">
        <is>
          <t>RocketBig</t>
        </is>
      </c>
      <c r="E56" s="42" t="n">
        <v>90</v>
      </c>
      <c r="F56" s="42" t="n">
        <v>24</v>
      </c>
      <c r="G56" s="56">
        <f>IFERROR(E56/F56,"")</f>
        <v/>
      </c>
      <c r="H56" s="56" t="n"/>
      <c r="I56" s="57" t="n">
        <v>50</v>
      </c>
      <c r="J56" s="56">
        <f>IFERROR(E56/I56,"")</f>
        <v/>
      </c>
      <c r="K56" s="56" t="n"/>
      <c r="L56" s="39" t="inlineStr">
        <is>
          <t>Thống nhất tốc độ GMLRS ở mọi đơn vị (50 m/s).</t>
        </is>
      </c>
    </row>
    <row r="57" ht="15" customHeight="1" s="32">
      <c r="A57" s="41" t="inlineStr">
        <is>
          <t>turret_rockets</t>
        </is>
      </c>
      <c r="B57" s="41" t="inlineStr">
        <is>
          <t>BM-21 Grad 122 mm</t>
        </is>
      </c>
      <c r="C57" s="41" t="inlineStr">
        <is>
          <t>Dàn rốc-két</t>
        </is>
      </c>
      <c r="D57" s="41" t="inlineStr">
        <is>
          <t>RocketSmall</t>
        </is>
      </c>
      <c r="E57" s="43" t="n">
        <v>55</v>
      </c>
      <c r="F57" s="43" t="n">
        <v>24</v>
      </c>
      <c r="G57" s="58">
        <f>IFERROR(E57/F57,"")</f>
        <v/>
      </c>
      <c r="H57" s="58" t="n"/>
      <c r="I57" s="59" t="n">
        <v>45</v>
      </c>
      <c r="J57" s="58">
        <f>IFERROR(E57/I57,"")</f>
        <v/>
      </c>
      <c r="K57" s="58" t="n"/>
      <c r="L57" s="41" t="inlineStr">
        <is>
          <t>Thống nhất Grad 45 m/s.</t>
        </is>
      </c>
    </row>
    <row r="58" ht="15" customHeight="1" s="32">
      <c r="A58" s="39" t="inlineStr">
        <is>
          <t>turret_rockets_cluster</t>
        </is>
      </c>
      <c r="B58" s="39" t="inlineStr">
        <is>
          <t>BM-21 Grad 122 mm</t>
        </is>
      </c>
      <c r="C58" s="39" t="inlineStr">
        <is>
          <t>Rốc-két chùm</t>
        </is>
      </c>
      <c r="D58" s="39" t="inlineStr">
        <is>
          <t>Cluster</t>
        </is>
      </c>
      <c r="E58" s="42" t="n">
        <v>55</v>
      </c>
      <c r="F58" s="42" t="n">
        <v>24</v>
      </c>
      <c r="G58" s="56">
        <f>IFERROR(E58/F58,"")</f>
        <v/>
      </c>
      <c r="H58" s="56" t="n"/>
      <c r="I58" s="57" t="n">
        <v>45</v>
      </c>
      <c r="J58" s="56">
        <f>IFERROR(E58/I58,"")</f>
        <v/>
      </c>
      <c r="K58" s="56" t="n"/>
      <c r="L58" s="39" t="inlineStr">
        <is>
          <t>Thống nhất tốc độ Grad ở mọi đơn vị (45 m/s).</t>
        </is>
      </c>
    </row>
    <row r="59" ht="15" customHeight="1" s="32">
      <c r="A59" s="41" t="inlineStr">
        <is>
          <t>wvr_aam</t>
        </is>
      </c>
      <c r="B59" s="41" t="inlineStr">
        <is>
          <t>AIM-9X Sidewinder</t>
        </is>
      </c>
      <c r="C59" s="41" t="inlineStr">
        <is>
          <t>Tiêm kích</t>
        </is>
      </c>
      <c r="D59" s="41" t="inlineStr">
        <is>
          <t>Sam</t>
        </is>
      </c>
      <c r="E59" s="43" t="n">
        <v>30</v>
      </c>
      <c r="F59" s="43" t="n">
        <v>24</v>
      </c>
      <c r="G59" s="58">
        <f>IFERROR(E59/F59,"")</f>
        <v/>
      </c>
      <c r="H59" s="59" t="n">
        <v>46</v>
      </c>
      <c r="I59" s="59" t="n">
        <v>55</v>
      </c>
      <c r="J59" s="58">
        <f>IFERROR(E59/I59,"")</f>
        <v/>
      </c>
      <c r="K59" s="58">
        <f>IFERROR(I59/H59,"")</f>
        <v/>
      </c>
      <c r="L59" s="41" t="inlineStr">
        <is>
          <t>Thống nhất tốc độ AIM-9 ở mọi đơn vị (55 m/s).</t>
        </is>
      </c>
    </row>
  </sheetData>
  <autoFilter ref="A1:L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L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31" min="1" max="1"/>
    <col width="20" customWidth="1" style="31" min="2" max="2"/>
    <col width="28" customWidth="1" style="31" min="3" max="3"/>
    <col width="9" customWidth="1" style="31" min="4" max="5"/>
    <col width="8" customWidth="1" style="31" min="6" max="6"/>
    <col width="10" customWidth="1" style="31" min="7" max="7"/>
    <col width="8" customWidth="1" style="31" min="8" max="8"/>
    <col width="9" customWidth="1" style="31" min="9" max="9"/>
    <col width="8" customWidth="1" style="31" min="10" max="10"/>
    <col width="9" customWidth="1" style="31" min="11" max="11"/>
    <col width="60" customWidth="1" style="31" min="12" max="12"/>
  </cols>
  <sheetData>
    <row r="1" ht="42" customHeight="1" s="32">
      <c r="A1" s="37" t="inlineStr">
        <is>
          <t>Model đạn</t>
        </is>
      </c>
      <c r="B1" s="37" t="inlineStr">
        <is>
          <t>Vũ khí</t>
        </is>
      </c>
      <c r="C1" s="37" t="inlineStr">
        <is>
          <t>Tên thật</t>
        </is>
      </c>
      <c r="D1" s="44" t="inlineStr">
        <is>
          <t>Dài model hiện (m)</t>
        </is>
      </c>
      <c r="E1" s="37" t="inlineStr">
        <is>
          <t>Dài thật (m)</t>
        </is>
      </c>
      <c r="F1" s="44" t="inlineStr">
        <is>
          <t>Tỷ lệ hiện</t>
        </is>
      </c>
      <c r="G1" s="37" t="inlineStr">
        <is>
          <t>Phóng từ</t>
        </is>
      </c>
      <c r="H1" s="37" t="inlineStr">
        <is>
          <t>Tỷ lệ mục tiêu</t>
        </is>
      </c>
      <c r="I1" s="45" t="inlineStr">
        <is>
          <t>Dài đề xuất (m)</t>
        </is>
      </c>
      <c r="J1" s="37" t="inlineStr">
        <is>
          <t>Lệch</t>
        </is>
      </c>
      <c r="K1" s="46" t="inlineStr">
        <is>
          <t>Kết quả</t>
        </is>
      </c>
      <c r="L1" s="46" t="inlineStr">
        <is>
          <t>Lý do</t>
        </is>
      </c>
    </row>
    <row r="2" ht="32.25" customHeight="1" s="32">
      <c r="A2" s="39" t="inlineStr">
        <is>
          <t>aim9</t>
        </is>
      </c>
      <c r="B2" s="39" t="inlineStr">
        <is>
          <t>aim9</t>
        </is>
      </c>
      <c r="C2" s="39" t="inlineStr">
        <is>
          <t>AIM-9 Sidewinder</t>
        </is>
      </c>
      <c r="D2" s="42" t="n">
        <v>1.54</v>
      </c>
      <c r="E2" s="42" t="n">
        <v>3.02</v>
      </c>
      <c r="F2" s="56">
        <f>IFERROR(D2/E2,"")</f>
        <v/>
      </c>
      <c r="G2" s="56" t="inlineStr">
        <is>
          <t>máy bay</t>
        </is>
      </c>
      <c r="H2" s="57" t="n">
        <v>0.5</v>
      </c>
      <c r="I2" s="56">
        <f>IFERROR(MAX(0.8,E2*H2),"")</f>
        <v/>
      </c>
      <c r="J2" s="60">
        <f>IFERROR(D2/I2-1,"")</f>
        <v/>
      </c>
      <c r="K2" s="39">
        <f>IF(ABS(J2)&gt;0.25,"Đổi","Giữ")</f>
        <v/>
      </c>
      <c r="L2" s="39" t="inlineStr">
        <is>
          <t>Tỷ lệ chung: đạn phóng từ mặt đất 0,8 × thật (bằng tỷ lệ xe), phóng từ máy bay 0,5 × thật (máy bay ở 0,4 nên tên lửa không to hơn cánh); tối thiểu 0,8 m để còn nhìn thấy trên điện thoại.</t>
        </is>
      </c>
    </row>
    <row r="3" ht="32.25" customHeight="1" s="32">
      <c r="A3" s="41" t="inlineStr">
        <is>
          <t>cruise_missile</t>
        </is>
      </c>
      <c r="B3" s="41" t="inlineStr">
        <is>
          <t>air_cruise_missile</t>
        </is>
      </c>
      <c r="C3" s="41" t="inlineStr">
        <is>
          <t>Kh-101 (400 kg)</t>
        </is>
      </c>
      <c r="D3" s="43" t="n">
        <v>4.04</v>
      </c>
      <c r="E3" s="43" t="n">
        <v>7.45</v>
      </c>
      <c r="F3" s="58">
        <f>IFERROR(D3/E3,"")</f>
        <v/>
      </c>
      <c r="G3" s="58" t="inlineStr">
        <is>
          <t>máy bay</t>
        </is>
      </c>
      <c r="H3" s="59" t="n">
        <v>0.5</v>
      </c>
      <c r="I3" s="58">
        <f>IFERROR(MAX(0.8,E3*H3),"")</f>
        <v/>
      </c>
      <c r="J3" s="61">
        <f>IFERROR(D3/I3-1,"")</f>
        <v/>
      </c>
      <c r="K3" s="41">
        <f>IF(ABS(J3)&gt;0.25,"Đổi","Giữ")</f>
        <v/>
      </c>
      <c r="L3" s="41" t="inlineStr">
        <is>
          <t>Tỷ lệ chung: đạn phóng từ mặt đất 0,8 × thật (bằng tỷ lệ xe), phóng từ máy bay 0,5 × thật (máy bay ở 0,4 nên tên lửa không to hơn cánh); tối thiểu 0,8 m để còn nhìn thấy trên điện thoại.</t>
        </is>
      </c>
    </row>
    <row r="4" ht="32.25" customHeight="1" s="32">
      <c r="A4" s="39" t="inlineStr">
        <is>
          <t>aim120</t>
        </is>
      </c>
      <c r="B4" s="39" t="inlineStr">
        <is>
          <t>air_to_air</t>
        </is>
      </c>
      <c r="C4" s="39" t="inlineStr">
        <is>
          <t>AIM-120 AMRAAM</t>
        </is>
      </c>
      <c r="D4" s="42" t="n">
        <v>2.21</v>
      </c>
      <c r="E4" s="42" t="n">
        <v>3.65</v>
      </c>
      <c r="F4" s="56">
        <f>IFERROR(D4/E4,"")</f>
        <v/>
      </c>
      <c r="G4" s="56" t="inlineStr">
        <is>
          <t>máy bay</t>
        </is>
      </c>
      <c r="H4" s="57" t="n">
        <v>0.5</v>
      </c>
      <c r="I4" s="56">
        <f>IFERROR(MAX(0.8,E4*H4),"")</f>
        <v/>
      </c>
      <c r="J4" s="60">
        <f>IFERROR(D4/I4-1,"")</f>
        <v/>
      </c>
      <c r="K4" s="39">
        <f>IF(ABS(J4)&gt;0.25,"Đổi","Giữ")</f>
        <v/>
      </c>
      <c r="L4" s="39" t="inlineStr">
        <is>
          <t>Tỷ lệ chung: đạn phóng từ mặt đất 0,8 × thật (bằng tỷ lệ xe), phóng từ máy bay 0,5 × thật (máy bay ở 0,4 nên tên lửa không to hơn cánh); tối thiểu 0,8 m để còn nhìn thấy trên điện thoại.</t>
        </is>
      </c>
    </row>
    <row r="5" ht="32.25" customHeight="1" s="32">
      <c r="A5" s="41" t="inlineStr">
        <is>
          <t>atgm_ataka</t>
        </is>
      </c>
      <c r="B5" s="41" t="inlineStr">
        <is>
          <t>ataka</t>
        </is>
      </c>
      <c r="C5" s="41" t="inlineStr">
        <is>
          <t>9M120 Ataka</t>
        </is>
      </c>
      <c r="D5" s="43" t="n">
        <v>1.32</v>
      </c>
      <c r="E5" s="43" t="n">
        <v>1.83</v>
      </c>
      <c r="F5" s="58">
        <f>IFERROR(D5/E5,"")</f>
        <v/>
      </c>
      <c r="G5" s="58" t="inlineStr">
        <is>
          <t>mặt đất</t>
        </is>
      </c>
      <c r="H5" s="59" t="n">
        <v>0.8</v>
      </c>
      <c r="I5" s="58">
        <f>IFERROR(MAX(0.8,E5*H5),"")</f>
        <v/>
      </c>
      <c r="J5" s="61">
        <f>IFERROR(D5/I5-1,"")</f>
        <v/>
      </c>
      <c r="K5" s="41">
        <f>IF(ABS(J5)&gt;0.25,"Đổi","Giữ")</f>
        <v/>
      </c>
      <c r="L5" s="41" t="inlineStr">
        <is>
          <t>Tỷ lệ chung: đạn phóng từ mặt đất 0,8 × thật (bằng tỷ lệ xe), phóng từ máy bay 0,5 × thật (máy bay ở 0,4 nên tên lửa không to hơn cánh); tối thiểu 0,8 m để còn nhìn thấy trên điện thoại.</t>
        </is>
      </c>
    </row>
    <row r="6" ht="32.25" customHeight="1" s="32">
      <c r="A6" s="39" t="inlineStr">
        <is>
          <t>atgm_tow</t>
        </is>
      </c>
      <c r="B6" s="39" t="inlineStr">
        <is>
          <t>atgm</t>
        </is>
      </c>
      <c r="C6" s="39" t="inlineStr">
        <is>
          <t>BGM-71 TOW-2</t>
        </is>
      </c>
      <c r="D6" s="42" t="n">
        <v>1.04</v>
      </c>
      <c r="E6" s="42" t="n">
        <v>1.17</v>
      </c>
      <c r="F6" s="56">
        <f>IFERROR(D6/E6,"")</f>
        <v/>
      </c>
      <c r="G6" s="56" t="inlineStr">
        <is>
          <t>mặt đất</t>
        </is>
      </c>
      <c r="H6" s="57" t="n">
        <v>0.8</v>
      </c>
      <c r="I6" s="56">
        <f>IFERROR(MAX(0.8,E6*H6),"")</f>
        <v/>
      </c>
      <c r="J6" s="60">
        <f>IFERROR(D6/I6-1,"")</f>
        <v/>
      </c>
      <c r="K6" s="39">
        <f>IF(ABS(J6)&gt;0.25,"Đổi","Giữ")</f>
        <v/>
      </c>
      <c r="L6" s="39" t="inlineStr">
        <is>
          <t>Tỷ lệ chung: đạn phóng từ mặt đất 0,8 × thật (bằng tỷ lệ xe), phóng từ máy bay 0,5 × thật (máy bay ở 0,4 nên tên lửa không to hơn cánh); tối thiểu 0,8 m để còn nhìn thấy trên điện thoại.</t>
        </is>
      </c>
    </row>
    <row r="7" ht="32.25" customHeight="1" s="32">
      <c r="A7" s="41" t="inlineStr">
        <is>
          <t>s8</t>
        </is>
      </c>
      <c r="B7" s="41" t="inlineStr">
        <is>
          <t>boat_rockets</t>
        </is>
      </c>
      <c r="C7" s="41" t="inlineStr">
        <is>
          <t>S-8 80 mm</t>
        </is>
      </c>
      <c r="D7" s="43" t="n">
        <v>1.08</v>
      </c>
      <c r="E7" s="43" t="n">
        <v>1.57</v>
      </c>
      <c r="F7" s="58">
        <f>IFERROR(D7/E7,"")</f>
        <v/>
      </c>
      <c r="G7" s="58" t="inlineStr">
        <is>
          <t>mặt đất</t>
        </is>
      </c>
      <c r="H7" s="59" t="n">
        <v>0.8</v>
      </c>
      <c r="I7" s="58">
        <f>IFERROR(MAX(0.8,E7*H7),"")</f>
        <v/>
      </c>
      <c r="J7" s="61">
        <f>IFERROR(D7/I7-1,"")</f>
        <v/>
      </c>
      <c r="K7" s="41">
        <f>IF(ABS(J7)&gt;0.25,"Đổi","Giữ")</f>
        <v/>
      </c>
      <c r="L7" s="41" t="inlineStr">
        <is>
          <t>Tỷ lệ chung: đạn phóng từ mặt đất 0,8 × thật (bằng tỷ lệ xe), phóng từ máy bay 0,5 × thật (máy bay ở 0,4 nên tên lửa không to hơn cánh); tối thiểu 0,8 m để còn nhìn thấy trên điện thoại.</t>
        </is>
      </c>
    </row>
    <row r="8" ht="32.25" customHeight="1" s="32">
      <c r="A8" s="39" t="inlineStr">
        <is>
          <t>bomb</t>
        </is>
      </c>
      <c r="B8" s="39" t="inlineStr">
        <is>
          <t>bomber_payload</t>
        </is>
      </c>
      <c r="C8" s="39" t="inlineStr">
        <is>
          <t>FAB-500 (500 kg)</t>
        </is>
      </c>
      <c r="D8" s="42" t="n">
        <v>1.64</v>
      </c>
      <c r="E8" s="42" t="n">
        <v>2.4</v>
      </c>
      <c r="F8" s="56">
        <f>IFERROR(D8/E8,"")</f>
        <v/>
      </c>
      <c r="G8" s="56" t="inlineStr">
        <is>
          <t>máy bay</t>
        </is>
      </c>
      <c r="H8" s="57" t="n">
        <v>0.5</v>
      </c>
      <c r="I8" s="56">
        <f>IFERROR(MAX(0.8,E8*H8),"")</f>
        <v/>
      </c>
      <c r="J8" s="60">
        <f>IFERROR(D8/I8-1,"")</f>
        <v/>
      </c>
      <c r="K8" s="39">
        <f>IF(ABS(J8)&gt;0.25,"Đổi","Giữ")</f>
        <v/>
      </c>
      <c r="L8" s="39" t="inlineStr">
        <is>
          <t>Tỷ lệ chung: đạn phóng từ mặt đất 0,8 × thật (bằng tỷ lệ xe), phóng từ máy bay 0,5 × thật (máy bay ở 0,4 nên tên lửa không to hơn cánh); tối thiểu 0,8 m để còn nhìn thấy trên điện thoại.</t>
        </is>
      </c>
    </row>
    <row r="9" ht="42.75" customHeight="1" s="32">
      <c r="A9" s="41" t="inlineStr">
        <is>
          <t>shell_155</t>
        </is>
      </c>
      <c r="B9" s="41" t="inlineStr">
        <is>
          <t>boss_howitzer</t>
        </is>
      </c>
      <c r="C9" s="41" t="inlineStr">
        <is>
          <t>2A44 203 mm</t>
        </is>
      </c>
      <c r="D9" s="43" t="n">
        <v>1.1</v>
      </c>
      <c r="E9" s="43" t="n">
        <v>1</v>
      </c>
      <c r="F9" s="58">
        <f>IFERROR(D9/E9,"")</f>
        <v/>
      </c>
      <c r="G9" s="58" t="inlineStr">
        <is>
          <t>mặt đất</t>
        </is>
      </c>
      <c r="H9" s="59" t="n">
        <v>0.8</v>
      </c>
      <c r="I9" s="58">
        <f>IFERROR(MAX(0.8,E9*H9),"")</f>
        <v/>
      </c>
      <c r="J9" s="61">
        <f>IFERROR(D9/I9-1,"")</f>
        <v/>
      </c>
      <c r="K9" s="41">
        <f>IF(ABS(J9)&gt;0.25,"Đổi","Giữ")</f>
        <v/>
      </c>
      <c r="L9" s="41" t="inlineStr">
        <is>
          <t>Dùng model đạn 155 mm ×1 cho đạn 203 mm (to hơn 155 mm): tỷ lệ ~1,3. Tỷ lệ chung: đạn phóng từ mặt đất 0,8 × thật (bằng tỷ lệ xe), phóng từ máy bay 0,5 × thật (máy bay ở 0,4 nên tên lửa không to hơn cánh); tối thiểu 0,8 m để còn nhìn thấy trên điện thoại.</t>
        </is>
      </c>
    </row>
    <row r="10" ht="32.25" customHeight="1" s="32">
      <c r="A10" s="39" t="inlineStr">
        <is>
          <t>atgm_kornet</t>
        </is>
      </c>
      <c r="B10" s="39" t="inlineStr">
        <is>
          <t>boss_missiles</t>
        </is>
      </c>
      <c r="C10" s="39" t="inlineStr">
        <is>
          <t>9M133 Kornet</t>
        </is>
      </c>
      <c r="D10" s="42" t="n">
        <v>1.3</v>
      </c>
      <c r="E10" s="42" t="n">
        <v>1.2</v>
      </c>
      <c r="F10" s="56">
        <f>IFERROR(D10/E10,"")</f>
        <v/>
      </c>
      <c r="G10" s="56" t="inlineStr">
        <is>
          <t>mặt đất</t>
        </is>
      </c>
      <c r="H10" s="57" t="n">
        <v>0.8</v>
      </c>
      <c r="I10" s="56">
        <f>IFERROR(MAX(0.8,E10*H10),"")</f>
        <v/>
      </c>
      <c r="J10" s="60">
        <f>IFERROR(D10/I10-1,"")</f>
        <v/>
      </c>
      <c r="K10" s="39">
        <f>IF(ABS(J10)&gt;0.25,"Đổi","Giữ")</f>
        <v/>
      </c>
      <c r="L10" s="39" t="inlineStr">
        <is>
          <t>Tỷ lệ chung: đạn phóng từ mặt đất 0,8 × thật (bằng tỷ lệ xe), phóng từ máy bay 0,5 × thật (máy bay ở 0,4 nên tên lửa không to hơn cánh); tối thiểu 0,8 m để còn nhìn thấy trên điện thoại.</t>
        </is>
      </c>
    </row>
    <row r="11" ht="32.25" customHeight="1" s="32">
      <c r="A11" s="41" t="inlineStr">
        <is>
          <t>mortar_bomb</t>
        </is>
      </c>
      <c r="B11" s="41" t="inlineStr">
        <is>
          <t>boss_mortar</t>
        </is>
      </c>
      <c r="C11" s="41" t="inlineStr">
        <is>
          <t>2B8 240 mm</t>
        </is>
      </c>
      <c r="D11" s="43" t="n">
        <v>1.8</v>
      </c>
      <c r="E11" s="43" t="n">
        <v>1.5</v>
      </c>
      <c r="F11" s="58">
        <f>IFERROR(D11/E11,"")</f>
        <v/>
      </c>
      <c r="G11" s="58" t="inlineStr">
        <is>
          <t>mặt đất</t>
        </is>
      </c>
      <c r="H11" s="59" t="n">
        <v>0.8</v>
      </c>
      <c r="I11" s="58">
        <f>IFERROR(MAX(0.8,E11*H11),"")</f>
        <v/>
      </c>
      <c r="J11" s="61">
        <f>IFERROR(D11/I11-1,"")</f>
        <v/>
      </c>
      <c r="K11" s="41">
        <f>IF(ABS(J11)&gt;0.25,"Đổi","Giữ")</f>
        <v/>
      </c>
      <c r="L11" s="41" t="inlineStr">
        <is>
          <t>Tỷ lệ chung: đạn phóng từ mặt đất 0,8 × thật (bằng tỷ lệ xe), phóng từ máy bay 0,5 × thật (máy bay ở 0,4 nên tên lửa không to hơn cánh); tối thiểu 0,8 m để còn nhìn thấy trên điện thoại.</t>
        </is>
      </c>
    </row>
    <row r="12" ht="32.25" customHeight="1" s="32">
      <c r="A12" s="39" t="inlineStr">
        <is>
          <t>rail_slug</t>
        </is>
      </c>
      <c r="B12" s="39" t="inlineStr">
        <is>
          <t>boss_railgun</t>
        </is>
      </c>
      <c r="C12" s="39" t="inlineStr">
        <is>
          <t>railgun (64 MJ)</t>
        </is>
      </c>
      <c r="D12" s="42" t="n">
        <v>0.9</v>
      </c>
      <c r="E12" s="42" t="n">
        <v>0.5</v>
      </c>
      <c r="F12" s="56">
        <f>IFERROR(D12/E12,"")</f>
        <v/>
      </c>
      <c r="G12" s="56" t="inlineStr">
        <is>
          <t>mặt đất</t>
        </is>
      </c>
      <c r="H12" s="57" t="n">
        <v>0.8</v>
      </c>
      <c r="I12" s="56">
        <f>IFERROR(MAX(0.8,E12*H12),"")</f>
        <v/>
      </c>
      <c r="J12" s="60">
        <f>IFERROR(D12/I12-1,"")</f>
        <v/>
      </c>
      <c r="K12" s="39">
        <f>IF(ABS(J12)&gt;0.25,"Đổi","Giữ")</f>
        <v/>
      </c>
      <c r="L12" s="39" t="inlineStr">
        <is>
          <t>Giả tưởng. Tỷ lệ chung: đạn phóng từ mặt đất 0,8 × thật (bằng tỷ lệ xe), phóng từ máy bay 0,5 × thật (máy bay ở 0,4 nên tên lửa không to hơn cánh); tối thiểu 0,8 m để còn nhìn thấy trên điện thoại.</t>
        </is>
      </c>
    </row>
    <row r="13" ht="32.25" customHeight="1" s="32">
      <c r="A13" s="41" t="inlineStr">
        <is>
          <t>grad</t>
        </is>
      </c>
      <c r="B13" s="41" t="inlineStr">
        <is>
          <t>boss_rockets</t>
        </is>
      </c>
      <c r="C13" s="41" t="inlineStr">
        <is>
          <t>BM-21 Grad 122 mm</t>
        </is>
      </c>
      <c r="D13" s="43" t="n">
        <v>2.2</v>
      </c>
      <c r="E13" s="43" t="n">
        <v>2.87</v>
      </c>
      <c r="F13" s="58">
        <f>IFERROR(D13/E13,"")</f>
        <v/>
      </c>
      <c r="G13" s="58" t="inlineStr">
        <is>
          <t>mặt đất</t>
        </is>
      </c>
      <c r="H13" s="59" t="n">
        <v>0.8</v>
      </c>
      <c r="I13" s="58">
        <f>IFERROR(MAX(0.8,E13*H13),"")</f>
        <v/>
      </c>
      <c r="J13" s="61">
        <f>IFERROR(D13/I13-1,"")</f>
        <v/>
      </c>
      <c r="K13" s="41">
        <f>IF(ABS(J13)&gt;0.25,"Đổi","Giữ")</f>
        <v/>
      </c>
      <c r="L13" s="41" t="inlineStr">
        <is>
          <t>Tỷ lệ chung: đạn phóng từ mặt đất 0,8 × thật (bằng tỷ lệ xe), phóng từ máy bay 0,5 × thật (máy bay ở 0,4 nên tên lửa không to hơn cánh); tối thiểu 0,8 m để còn nhìn thấy trên điện thoại.</t>
        </is>
      </c>
    </row>
    <row r="14" ht="32.25" customHeight="1" s="32">
      <c r="A14" s="39" t="inlineStr">
        <is>
          <t>tos_rocket</t>
        </is>
      </c>
      <c r="B14" s="39" t="inlineStr">
        <is>
          <t>boss_thermo</t>
        </is>
      </c>
      <c r="C14" s="39" t="inlineStr">
        <is>
          <t>TOS-1A 220 mm thermobaric</t>
        </is>
      </c>
      <c r="D14" s="42" t="n">
        <v>2.4</v>
      </c>
      <c r="E14" s="42" t="n">
        <v>3.3</v>
      </c>
      <c r="F14" s="56">
        <f>IFERROR(D14/E14,"")</f>
        <v/>
      </c>
      <c r="G14" s="56" t="inlineStr">
        <is>
          <t>mặt đất</t>
        </is>
      </c>
      <c r="H14" s="57" t="n">
        <v>0.8</v>
      </c>
      <c r="I14" s="56">
        <f>IFERROR(MAX(0.8,E14*H14),"")</f>
        <v/>
      </c>
      <c r="J14" s="60">
        <f>IFERROR(D14/I14-1,"")</f>
        <v/>
      </c>
      <c r="K14" s="39">
        <f>IF(ABS(J14)&gt;0.25,"Đổi","Giữ")</f>
        <v/>
      </c>
      <c r="L14" s="39" t="inlineStr">
        <is>
          <t>Tỷ lệ chung: đạn phóng từ mặt đất 0,8 × thật (bằng tỷ lệ xe), phóng từ máy bay 0,5 × thật (máy bay ở 0,4 nên tên lửa không to hơn cánh); tối thiểu 0,8 m để còn nhìn thấy trên điện thoại.</t>
        </is>
      </c>
    </row>
    <row r="15" ht="32.25" customHeight="1" s="32">
      <c r="A15" s="41" t="inlineStr">
        <is>
          <t>buk</t>
        </is>
      </c>
      <c r="B15" s="41" t="inlineStr">
        <is>
          <t>buk_launcher</t>
        </is>
      </c>
      <c r="C15" s="41" t="inlineStr">
        <is>
          <t>9M317 Buk</t>
        </is>
      </c>
      <c r="D15" s="43" t="n">
        <v>2.16</v>
      </c>
      <c r="E15" s="43" t="n">
        <v>5.55</v>
      </c>
      <c r="F15" s="58">
        <f>IFERROR(D15/E15,"")</f>
        <v/>
      </c>
      <c r="G15" s="58" t="inlineStr">
        <is>
          <t>mặt đất</t>
        </is>
      </c>
      <c r="H15" s="59" t="n">
        <v>0.8</v>
      </c>
      <c r="I15" s="58">
        <f>IFERROR(MAX(0.8,E15*H15),"")</f>
        <v/>
      </c>
      <c r="J15" s="61">
        <f>IFERROR(D15/I15-1,"")</f>
        <v/>
      </c>
      <c r="K15" s="41">
        <f>IF(ABS(J15)&gt;0.25,"Đổi","Giữ")</f>
        <v/>
      </c>
      <c r="L15" s="41" t="inlineStr">
        <is>
          <t>Tỷ lệ chung: đạn phóng từ mặt đất 0,8 × thật (bằng tỷ lệ xe), phóng từ máy bay 0,5 × thật (máy bay ở 0,4 nên tên lửa không to hơn cánh); tối thiểu 0,8 m để còn nhìn thấy trên điện thoại.</t>
        </is>
      </c>
    </row>
    <row r="16" ht="32.25" customHeight="1" s="32">
      <c r="A16" s="39" t="inlineStr">
        <is>
          <t>shell_155</t>
        </is>
      </c>
      <c r="B16" s="39" t="inlineStr">
        <is>
          <t>cruiser_203</t>
        </is>
      </c>
      <c r="C16" s="39" t="inlineStr">
        <is>
          <t>Mk 71 203 mm (twin)</t>
        </is>
      </c>
      <c r="D16" s="42" t="n">
        <v>1.43</v>
      </c>
      <c r="E16" s="42" t="n">
        <v>1</v>
      </c>
      <c r="F16" s="56">
        <f>IFERROR(D16/E16,"")</f>
        <v/>
      </c>
      <c r="G16" s="56" t="inlineStr">
        <is>
          <t>mặt đất</t>
        </is>
      </c>
      <c r="H16" s="57" t="n">
        <v>0.8</v>
      </c>
      <c r="I16" s="56">
        <f>IFERROR(MAX(0.8,E16*H16),"")</f>
        <v/>
      </c>
      <c r="J16" s="60">
        <f>IFERROR(D16/I16-1,"")</f>
        <v/>
      </c>
      <c r="K16" s="39">
        <f>IF(ABS(J16)&gt;0.25,"Đổi","Giữ")</f>
        <v/>
      </c>
      <c r="L16" s="39" t="inlineStr">
        <is>
          <t>Dùng model đạn 155 mm cho đạn 203 mm. Tỷ lệ chung: đạn phóng từ mặt đất 0,8 × thật (bằng tỷ lệ xe), phóng từ máy bay 0,5 × thật (máy bay ở 0,4 nên tên lửa không to hơn cánh); tối thiểu 0,8 m để còn nhìn thấy trên điện thoại.</t>
        </is>
      </c>
    </row>
    <row r="17" ht="32.25" customHeight="1" s="32">
      <c r="A17" s="41" t="inlineStr">
        <is>
          <t>hellfire</t>
        </is>
      </c>
      <c r="B17" s="41" t="inlineStr">
        <is>
          <t>drone_missile</t>
        </is>
      </c>
      <c r="C17" s="41" t="inlineStr">
        <is>
          <t>AGM-114 Hellfire</t>
        </is>
      </c>
      <c r="D17" s="43" t="n">
        <v>0.91</v>
      </c>
      <c r="E17" s="43" t="n">
        <v>1.63</v>
      </c>
      <c r="F17" s="58">
        <f>IFERROR(D17/E17,"")</f>
        <v/>
      </c>
      <c r="G17" s="58" t="inlineStr">
        <is>
          <t>máy bay</t>
        </is>
      </c>
      <c r="H17" s="59" t="n">
        <v>0.5</v>
      </c>
      <c r="I17" s="58">
        <f>IFERROR(MAX(0.8,E17*H17),"")</f>
        <v/>
      </c>
      <c r="J17" s="61">
        <f>IFERROR(D17/I17-1,"")</f>
        <v/>
      </c>
      <c r="K17" s="41">
        <f>IF(ABS(J17)&gt;0.25,"Đổi","Giữ")</f>
        <v/>
      </c>
      <c r="L17" s="41" t="inlineStr">
        <is>
          <t>Tỷ lệ chung: đạn phóng từ mặt đất 0,8 × thật (bằng tỷ lệ xe), phóng từ máy bay 0,5 × thật (máy bay ở 0,4 nên tên lửa không to hơn cánh); tối thiểu 0,8 m để còn nhìn thấy trên điện thoại.</t>
        </is>
      </c>
    </row>
    <row r="18" ht="32.25" customHeight="1" s="32">
      <c r="A18" s="39" t="inlineStr">
        <is>
          <t>grad_cluster</t>
        </is>
      </c>
      <c r="B18" s="39" t="inlineStr">
        <is>
          <t>grad_cluster</t>
        </is>
      </c>
      <c r="C18" s="39" t="inlineStr">
        <is>
          <t>BM-21 Grad 122 mm (cluster)</t>
        </is>
      </c>
      <c r="D18" s="42" t="n">
        <v>2.2</v>
      </c>
      <c r="E18" s="42" t="n">
        <v>2.87</v>
      </c>
      <c r="F18" s="56">
        <f>IFERROR(D18/E18,"")</f>
        <v/>
      </c>
      <c r="G18" s="56" t="inlineStr">
        <is>
          <t>mặt đất</t>
        </is>
      </c>
      <c r="H18" s="57" t="n">
        <v>0.8</v>
      </c>
      <c r="I18" s="56">
        <f>IFERROR(MAX(0.8,E18*H18),"")</f>
        <v/>
      </c>
      <c r="J18" s="60">
        <f>IFERROR(D18/I18-1,"")</f>
        <v/>
      </c>
      <c r="K18" s="39">
        <f>IF(ABS(J18)&gt;0.25,"Đổi","Giữ")</f>
        <v/>
      </c>
      <c r="L18" s="39" t="inlineStr">
        <is>
          <t>Tỷ lệ chung: đạn phóng từ mặt đất 0,8 × thật (bằng tỷ lệ xe), phóng từ máy bay 0,5 × thật (máy bay ở 0,4 nên tên lửa không to hơn cánh); tối thiểu 0,8 m để còn nhìn thấy trên điện thoại.</t>
        </is>
      </c>
    </row>
    <row r="19" ht="32.25" customHeight="1" s="32">
      <c r="A19" s="41"/>
      <c r="B19" s="41"/>
      <c r="C19" s="41"/>
      <c r="D19" s="43"/>
      <c r="E19" s="43"/>
      <c r="F19" s="58"/>
      <c r="G19" s="58"/>
      <c r="H19" s="59"/>
      <c r="I19" s="58"/>
      <c r="J19" s="61"/>
      <c r="K19" s="41"/>
      <c r="L19" s="41"/>
    </row>
    <row r="20" ht="42.75" customHeight="1" s="32">
      <c r="A20" s="39" t="inlineStr">
        <is>
          <t>gbu12</t>
        </is>
      </c>
      <c r="B20" s="39" t="inlineStr">
        <is>
          <t>guided_bomb</t>
        </is>
      </c>
      <c r="C20" s="39" t="inlineStr">
        <is>
          <t>GBU-39 SDB (110 kg)</t>
        </is>
      </c>
      <c r="D20" s="42" t="n">
        <v>2.2</v>
      </c>
      <c r="E20" s="42" t="n">
        <v>1.8</v>
      </c>
      <c r="F20" s="56">
        <f>IFERROR(D20/E20,"")</f>
        <v/>
      </c>
      <c r="G20" s="56" t="inlineStr">
        <is>
          <t>máy bay</t>
        </is>
      </c>
      <c r="H20" s="57" t="n">
        <v>0.5</v>
      </c>
      <c r="I20" s="56">
        <f>IFERROR(MAX(0.8,E20*H20),"")</f>
        <v/>
      </c>
      <c r="J20" s="60">
        <f>IFERROR(D20/I20-1,"")</f>
        <v/>
      </c>
      <c r="K20" s="39">
        <f>IF(ABS(J20)&gt;0.25,"Đổi","Giữ")</f>
        <v/>
      </c>
      <c r="L20" s="39" t="inlineStr">
        <is>
          <t>Dùng model "gbu12" (bom 227 kg) cho GBU-39 SDB (bom nhỏ 110 kg, thân mảnh có cánh gập): cần model riêng. Tỷ lệ chung: đạn phóng từ mặt đất 0,8 × thật (bằng tỷ lệ xe), phóng từ máy bay 0,5 × thật (máy bay ở 0,4 nên tên lửa không to hơn cánh); tối thiểu 0,8 m để còn nhìn thấy trên điện thoại.</t>
        </is>
      </c>
    </row>
    <row r="21" ht="32.25" customHeight="1" s="32">
      <c r="A21" s="41" t="inlineStr">
        <is>
          <t>hellfire</t>
        </is>
      </c>
      <c r="B21" s="41" t="inlineStr">
        <is>
          <t>heli_atgm</t>
        </is>
      </c>
      <c r="C21" s="41" t="inlineStr">
        <is>
          <t>AGM-114 Hellfire</t>
        </is>
      </c>
      <c r="D21" s="43" t="n">
        <v>0.87</v>
      </c>
      <c r="E21" s="43" t="n">
        <v>1.63</v>
      </c>
      <c r="F21" s="58">
        <f>IFERROR(D21/E21,"")</f>
        <v/>
      </c>
      <c r="G21" s="58" t="inlineStr">
        <is>
          <t>máy bay</t>
        </is>
      </c>
      <c r="H21" s="59" t="n">
        <v>0.5</v>
      </c>
      <c r="I21" s="58">
        <f>IFERROR(MAX(0.8,E21*H21),"")</f>
        <v/>
      </c>
      <c r="J21" s="61">
        <f>IFERROR(D21/I21-1,"")</f>
        <v/>
      </c>
      <c r="K21" s="41">
        <f>IF(ABS(J21)&gt;0.25,"Đổi","Giữ")</f>
        <v/>
      </c>
      <c r="L21" s="41" t="inlineStr">
        <is>
          <t>Tỷ lệ chung: đạn phóng từ mặt đất 0,8 × thật (bằng tỷ lệ xe), phóng từ máy bay 0,5 × thật (máy bay ở 0,4 nên tên lửa không to hơn cánh); tối thiểu 0,8 m để còn nhìn thấy trên điện thoại.</t>
        </is>
      </c>
    </row>
    <row r="22" ht="32.25" customHeight="1" s="32">
      <c r="A22" s="39" t="inlineStr">
        <is>
          <t>hydra</t>
        </is>
      </c>
      <c r="B22" s="39" t="inlineStr">
        <is>
          <t>heli_rockets</t>
        </is>
      </c>
      <c r="C22" s="39" t="inlineStr">
        <is>
          <t>Hydra 70 mm</t>
        </is>
      </c>
      <c r="D22" s="42" t="n">
        <v>1</v>
      </c>
      <c r="E22" s="42" t="n">
        <v>1.06</v>
      </c>
      <c r="F22" s="56">
        <f>IFERROR(D22/E22,"")</f>
        <v/>
      </c>
      <c r="G22" s="56" t="inlineStr">
        <is>
          <t>máy bay</t>
        </is>
      </c>
      <c r="H22" s="57" t="n">
        <v>0.5</v>
      </c>
      <c r="I22" s="56">
        <f>IFERROR(MAX(0.8,E22*H22),"")</f>
        <v/>
      </c>
      <c r="J22" s="60">
        <f>IFERROR(D22/I22-1,"")</f>
        <v/>
      </c>
      <c r="K22" s="39">
        <f>IF(ABS(J22)&gt;0.25,"Đổi","Giữ")</f>
        <v/>
      </c>
      <c r="L22" s="39" t="inlineStr">
        <is>
          <t>Tỷ lệ chung: đạn phóng từ mặt đất 0,8 × thật (bằng tỷ lệ xe), phóng từ máy bay 0,5 × thật (máy bay ở 0,4 nên tên lửa không to hơn cánh); tối thiểu 0,8 m để còn nhìn thấy trên điện thoại.</t>
        </is>
      </c>
    </row>
    <row r="23" ht="32.25" customHeight="1" s="32">
      <c r="A23" s="41" t="inlineStr">
        <is>
          <t>hellfire_longbow</t>
        </is>
      </c>
      <c r="B23" s="41" t="inlineStr">
        <is>
          <t>hellfire_standoff</t>
        </is>
      </c>
      <c r="C23" s="41" t="inlineStr">
        <is>
          <t>AGM-114L Hellfire Longbow</t>
        </is>
      </c>
      <c r="D23" s="43" t="n">
        <v>0.91</v>
      </c>
      <c r="E23" s="43" t="n">
        <v>1.78</v>
      </c>
      <c r="F23" s="58">
        <f>IFERROR(D23/E23,"")</f>
        <v/>
      </c>
      <c r="G23" s="58" t="inlineStr">
        <is>
          <t>máy bay</t>
        </is>
      </c>
      <c r="H23" s="59" t="n">
        <v>0.5</v>
      </c>
      <c r="I23" s="58">
        <f>IFERROR(MAX(0.8,E23*H23),"")</f>
        <v/>
      </c>
      <c r="J23" s="61">
        <f>IFERROR(D23/I23-1,"")</f>
        <v/>
      </c>
      <c r="K23" s="41">
        <f>IF(ABS(J23)&gt;0.25,"Đổi","Giữ")</f>
        <v/>
      </c>
      <c r="L23" s="41" t="inlineStr">
        <is>
          <t>Tỷ lệ chung: đạn phóng từ mặt đất 0,8 × thật (bằng tỷ lệ xe), phóng từ máy bay 0,5 × thật (máy bay ở 0,4 nên tên lửa không to hơn cánh); tối thiểu 0,8 m để còn nhìn thấy trên điện thoại.</t>
        </is>
      </c>
    </row>
    <row r="24" ht="32.25" customHeight="1" s="32">
      <c r="A24" s="39" t="inlineStr">
        <is>
          <t>jassm</t>
        </is>
      </c>
      <c r="B24" s="39" t="inlineStr">
        <is>
          <t>jassm</t>
        </is>
      </c>
      <c r="C24" s="39" t="inlineStr">
        <is>
          <t>AGM-158 JASSM (450 kg)</t>
        </is>
      </c>
      <c r="D24" s="42" t="n">
        <v>3.01</v>
      </c>
      <c r="E24" s="42" t="n">
        <v>4.27</v>
      </c>
      <c r="F24" s="56">
        <f>IFERROR(D24/E24,"")</f>
        <v/>
      </c>
      <c r="G24" s="56" t="inlineStr">
        <is>
          <t>máy bay</t>
        </is>
      </c>
      <c r="H24" s="57" t="n">
        <v>0.5</v>
      </c>
      <c r="I24" s="56">
        <f>IFERROR(MAX(0.8,E24*H24),"")</f>
        <v/>
      </c>
      <c r="J24" s="60">
        <f>IFERROR(D24/I24-1,"")</f>
        <v/>
      </c>
      <c r="K24" s="39">
        <f>IF(ABS(J24)&gt;0.25,"Đổi","Giữ")</f>
        <v/>
      </c>
      <c r="L24" s="39" t="inlineStr">
        <is>
          <t>Tỷ lệ chung: đạn phóng từ mặt đất 0,8 × thật (bằng tỷ lệ xe), phóng từ máy bay 0,5 × thật (máy bay ở 0,4 nên tên lửa không to hơn cánh); tối thiểu 0,8 m để còn nhìn thấy trên điện thoại.</t>
        </is>
      </c>
    </row>
    <row r="25" ht="32.25" customHeight="1" s="32">
      <c r="A25" s="41" t="inlineStr">
        <is>
          <t>bomb_fab</t>
        </is>
      </c>
      <c r="B25" s="41" t="inlineStr">
        <is>
          <t>jet_bombs</t>
        </is>
      </c>
      <c r="C25" s="41" t="inlineStr">
        <is>
          <t>FAB-250 (250 kg)</t>
        </is>
      </c>
      <c r="D25" s="43" t="n">
        <v>1.8</v>
      </c>
      <c r="E25" s="43" t="n">
        <v>1.96</v>
      </c>
      <c r="F25" s="58">
        <f>IFERROR(D25/E25,"")</f>
        <v/>
      </c>
      <c r="G25" s="58" t="inlineStr">
        <is>
          <t>máy bay</t>
        </is>
      </c>
      <c r="H25" s="59" t="n">
        <v>0.5</v>
      </c>
      <c r="I25" s="58">
        <f>IFERROR(MAX(0.8,E25*H25),"")</f>
        <v/>
      </c>
      <c r="J25" s="61">
        <f>IFERROR(D25/I25-1,"")</f>
        <v/>
      </c>
      <c r="K25" s="41">
        <f>IF(ABS(J25)&gt;0.25,"Đổi","Giữ")</f>
        <v/>
      </c>
      <c r="L25" s="41" t="inlineStr">
        <is>
          <t>Tỷ lệ chung: đạn phóng từ mặt đất 0,8 × thật (bằng tỷ lệ xe), phóng từ máy bay 0,5 × thật (máy bay ở 0,4 nên tên lửa không to hơn cánh); tối thiểu 0,8 m để còn nhìn thấy trên điện thoại.</t>
        </is>
      </c>
    </row>
    <row r="26" ht="42.75" customHeight="1" s="32">
      <c r="A26" s="39" t="inlineStr">
        <is>
          <t>maverick</t>
        </is>
      </c>
      <c r="B26" s="39" t="inlineStr">
        <is>
          <t>kh29</t>
        </is>
      </c>
      <c r="C26" s="39" t="inlineStr">
        <is>
          <t>Kh-29L</t>
        </is>
      </c>
      <c r="D26" s="42" t="n">
        <v>1.16</v>
      </c>
      <c r="E26" s="42" t="n">
        <v>3.9</v>
      </c>
      <c r="F26" s="56">
        <f>IFERROR(D26/E26,"")</f>
        <v/>
      </c>
      <c r="G26" s="56" t="inlineStr">
        <is>
          <t>máy bay</t>
        </is>
      </c>
      <c r="H26" s="57" t="n">
        <v>0.5</v>
      </c>
      <c r="I26" s="56">
        <f>IFERROR(MAX(0.8,E26*H26),"")</f>
        <v/>
      </c>
      <c r="J26" s="60">
        <f>IFERROR(D26/I26-1,"")</f>
        <v/>
      </c>
      <c r="K26" s="39">
        <f>IF(ABS(J26)&gt;0.25,"Đổi","Giữ")</f>
        <v/>
      </c>
      <c r="L26" s="39" t="inlineStr">
        <is>
          <t>Dùng model "maverick" (AGM-65) cho Kh-29L: cần model riêng (Kh-29 dài và to hơn nhiều). Tỷ lệ chung: đạn phóng từ mặt đất 0,8 × thật (bằng tỷ lệ xe), phóng từ máy bay 0,5 × thật (máy bay ở 0,4 nên tên lửa không to hơn cánh); tối thiểu 0,8 m để còn nhìn thấy trên điện thoại.</t>
        </is>
      </c>
    </row>
    <row r="27" ht="32.25" customHeight="1" s="32">
      <c r="A27" s="41" t="inlineStr">
        <is>
          <t>lancet</t>
        </is>
      </c>
      <c r="B27" s="41" t="inlineStr">
        <is>
          <t>lancet</t>
        </is>
      </c>
      <c r="C27" s="41" t="inlineStr">
        <is>
          <t>ZALA Lancet-3 (3 kg)</t>
        </is>
      </c>
      <c r="D27" s="43" t="n">
        <v>1.4</v>
      </c>
      <c r="E27" s="43" t="n">
        <v>1.65</v>
      </c>
      <c r="F27" s="58">
        <f>IFERROR(D27/E27,"")</f>
        <v/>
      </c>
      <c r="G27" s="58" t="inlineStr">
        <is>
          <t>mặt đất</t>
        </is>
      </c>
      <c r="H27" s="59" t="n">
        <v>0.8</v>
      </c>
      <c r="I27" s="58">
        <f>IFERROR(MAX(0.8,E27*H27),"")</f>
        <v/>
      </c>
      <c r="J27" s="61">
        <f>IFERROR(D27/I27-1,"")</f>
        <v/>
      </c>
      <c r="K27" s="41">
        <f>IF(ABS(J27)&gt;0.25,"Đổi","Giữ")</f>
        <v/>
      </c>
      <c r="L27" s="41" t="inlineStr">
        <is>
          <t>Tỷ lệ chung: đạn phóng từ mặt đất 0,8 × thật (bằng tỷ lệ xe), phóng từ máy bay 0,5 × thật (máy bay ở 0,4 nên tên lửa không to hơn cánh); tối thiểu 0,8 m để còn nhìn thấy trên điện thoại.</t>
        </is>
      </c>
    </row>
    <row r="28" ht="32.25" customHeight="1" s="32">
      <c r="A28" s="39" t="inlineStr">
        <is>
          <t>shell_155</t>
        </is>
      </c>
      <c r="B28" s="39" t="inlineStr">
        <is>
          <t>leviathan_460</t>
        </is>
      </c>
      <c r="C28" s="39" t="inlineStr">
        <is>
          <t>Type 94 460 mm/45 (triple)</t>
        </is>
      </c>
      <c r="D28" s="42" t="n">
        <v>2.2</v>
      </c>
      <c r="E28" s="42" t="n">
        <v>1.95</v>
      </c>
      <c r="F28" s="56">
        <f>IFERROR(D28/E28,"")</f>
        <v/>
      </c>
      <c r="G28" s="56" t="inlineStr">
        <is>
          <t>mặt đất</t>
        </is>
      </c>
      <c r="H28" s="57" t="n">
        <v>0.8</v>
      </c>
      <c r="I28" s="56">
        <f>IFERROR(MAX(0.8,E28*H28),"")</f>
        <v/>
      </c>
      <c r="J28" s="60">
        <f>IFERROR(D28/I28-1,"")</f>
        <v/>
      </c>
      <c r="K28" s="39">
        <f>IF(ABS(J28)&gt;0.25,"Đổi","Giữ")</f>
        <v/>
      </c>
      <c r="L28" s="39" t="inlineStr">
        <is>
          <t>Tỷ lệ chung: đạn phóng từ mặt đất 0,8 × thật (bằng tỷ lệ xe), phóng từ máy bay 0,5 × thật (máy bay ở 0,4 nên tên lửa không to hơn cánh); tối thiểu 0,8 m để còn nhìn thấy trên điện thoại.</t>
        </is>
      </c>
    </row>
    <row r="29" ht="32.25" customHeight="1" s="32">
      <c r="A29" s="41" t="inlineStr">
        <is>
          <t>gmlrs</t>
        </is>
      </c>
      <c r="B29" s="41" t="inlineStr">
        <is>
          <t>mlrs_elite</t>
        </is>
      </c>
      <c r="C29" s="41" t="inlineStr">
        <is>
          <t>M30 GMLRS 227 mm (cluster)</t>
        </is>
      </c>
      <c r="D29" s="43" t="n">
        <v>2.8</v>
      </c>
      <c r="E29" s="43" t="n">
        <v>3.94</v>
      </c>
      <c r="F29" s="58">
        <f>IFERROR(D29/E29,"")</f>
        <v/>
      </c>
      <c r="G29" s="58" t="inlineStr">
        <is>
          <t>mặt đất</t>
        </is>
      </c>
      <c r="H29" s="59" t="n">
        <v>0.8</v>
      </c>
      <c r="I29" s="58">
        <f>IFERROR(MAX(0.8,E29*H29),"")</f>
        <v/>
      </c>
      <c r="J29" s="61">
        <f>IFERROR(D29/I29-1,"")</f>
        <v/>
      </c>
      <c r="K29" s="41">
        <f>IF(ABS(J29)&gt;0.25,"Đổi","Giữ")</f>
        <v/>
      </c>
      <c r="L29" s="41" t="inlineStr">
        <is>
          <t>Tỷ lệ chung: đạn phóng từ mặt đất 0,8 × thật (bằng tỷ lệ xe), phóng từ máy bay 0,5 × thật (máy bay ở 0,4 nên tên lửa không to hơn cánh); tối thiểu 0,8 m để còn nhìn thấy trên điện thoại.</t>
        </is>
      </c>
    </row>
    <row r="30" ht="32.25" customHeight="1" s="32">
      <c r="A30" s="39" t="inlineStr">
        <is>
          <t>mortar_bomb</t>
        </is>
      </c>
      <c r="B30" s="39" t="inlineStr">
        <is>
          <t>mortar_120</t>
        </is>
      </c>
      <c r="C30" s="39" t="inlineStr">
        <is>
          <t>2B11 120 mm</t>
        </is>
      </c>
      <c r="D30" s="42" t="n">
        <v>0.9</v>
      </c>
      <c r="E30" s="42" t="n">
        <v>0.7</v>
      </c>
      <c r="F30" s="56">
        <f>IFERROR(D30/E30,"")</f>
        <v/>
      </c>
      <c r="G30" s="56" t="inlineStr">
        <is>
          <t>mặt đất</t>
        </is>
      </c>
      <c r="H30" s="57" t="n">
        <v>0.8</v>
      </c>
      <c r="I30" s="56">
        <f>IFERROR(MAX(0.8,E30*H30),"")</f>
        <v/>
      </c>
      <c r="J30" s="60">
        <f>IFERROR(D30/I30-1,"")</f>
        <v/>
      </c>
      <c r="K30" s="39">
        <f>IF(ABS(J30)&gt;0.25,"Đổi","Giữ")</f>
        <v/>
      </c>
      <c r="L30" s="39" t="inlineStr">
        <is>
          <t>Tỷ lệ chung: đạn phóng từ mặt đất 0,8 × thật (bằng tỷ lệ xe), phóng từ máy bay 0,5 × thật (máy bay ở 0,4 nên tên lửa không to hơn cánh); tối thiểu 0,8 m để còn nhìn thấy trên điện thoại.</t>
        </is>
      </c>
    </row>
    <row r="31" ht="32.25" customHeight="1" s="32">
      <c r="A31" s="41" t="inlineStr">
        <is>
          <t>mortar_bomb</t>
        </is>
      </c>
      <c r="B31" s="41" t="inlineStr">
        <is>
          <t>mortar_240_fixed</t>
        </is>
      </c>
      <c r="C31" s="41" t="inlineStr">
        <is>
          <t>2B8 240 mm (emplacement)</t>
        </is>
      </c>
      <c r="D31" s="43" t="n">
        <v>1.62</v>
      </c>
      <c r="E31" s="43" t="n">
        <v>1.5</v>
      </c>
      <c r="F31" s="58">
        <f>IFERROR(D31/E31,"")</f>
        <v/>
      </c>
      <c r="G31" s="58" t="inlineStr">
        <is>
          <t>mặt đất</t>
        </is>
      </c>
      <c r="H31" s="59" t="n">
        <v>0.8</v>
      </c>
      <c r="I31" s="58">
        <f>IFERROR(MAX(0.8,E31*H31),"")</f>
        <v/>
      </c>
      <c r="J31" s="61">
        <f>IFERROR(D31/I31-1,"")</f>
        <v/>
      </c>
      <c r="K31" s="41">
        <f>IF(ABS(J31)&gt;0.25,"Đổi","Giữ")</f>
        <v/>
      </c>
      <c r="L31" s="41" t="inlineStr">
        <is>
          <t>Tỷ lệ chung: đạn phóng từ mặt đất 0,8 × thật (bằng tỷ lệ xe), phóng từ máy bay 0,5 × thật (máy bay ở 0,4 nên tên lửa không to hơn cánh); tối thiểu 0,8 m để còn nhìn thấy trên điện thoại.</t>
        </is>
      </c>
    </row>
    <row r="32" ht="32.25" customHeight="1" s="32">
      <c r="A32" s="39" t="inlineStr">
        <is>
          <t>patriot</t>
        </is>
      </c>
      <c r="B32" s="39" t="inlineStr">
        <is>
          <t>patriot</t>
        </is>
      </c>
      <c r="C32" s="39" t="inlineStr">
        <is>
          <t>MIM-104 Patriot PAC-2</t>
        </is>
      </c>
      <c r="D32" s="42" t="n">
        <v>3.13</v>
      </c>
      <c r="E32" s="42" t="n">
        <v>5.3</v>
      </c>
      <c r="F32" s="56">
        <f>IFERROR(D32/E32,"")</f>
        <v/>
      </c>
      <c r="G32" s="56" t="inlineStr">
        <is>
          <t>mặt đất</t>
        </is>
      </c>
      <c r="H32" s="57" t="n">
        <v>0.8</v>
      </c>
      <c r="I32" s="56">
        <f>IFERROR(MAX(0.8,E32*H32),"")</f>
        <v/>
      </c>
      <c r="J32" s="60">
        <f>IFERROR(D32/I32-1,"")</f>
        <v/>
      </c>
      <c r="K32" s="39">
        <f>IF(ABS(J32)&gt;0.25,"Đổi","Giữ")</f>
        <v/>
      </c>
      <c r="L32" s="39" t="inlineStr">
        <is>
          <t>Tỷ lệ chung: đạn phóng từ mặt đất 0,8 × thật (bằng tỷ lệ xe), phóng từ máy bay 0,5 × thật (máy bay ở 0,4 nên tên lửa không to hơn cánh); tối thiểu 0,8 m để còn nhìn thấy trên điện thoại.</t>
        </is>
      </c>
    </row>
    <row r="33" ht="32.25" customHeight="1" s="32">
      <c r="A33" s="41" t="inlineStr">
        <is>
          <t>r60</t>
        </is>
      </c>
      <c r="B33" s="41" t="inlineStr">
        <is>
          <t>r60</t>
        </is>
      </c>
      <c r="C33" s="41" t="inlineStr">
        <is>
          <t>R-60</t>
        </is>
      </c>
      <c r="D33" s="43" t="n">
        <v>1.04</v>
      </c>
      <c r="E33" s="43" t="n">
        <v>2.09</v>
      </c>
      <c r="F33" s="58">
        <f>IFERROR(D33/E33,"")</f>
        <v/>
      </c>
      <c r="G33" s="58" t="inlineStr">
        <is>
          <t>máy bay</t>
        </is>
      </c>
      <c r="H33" s="59" t="n">
        <v>0.5</v>
      </c>
      <c r="I33" s="58">
        <f>IFERROR(MAX(0.8,E33*H33),"")</f>
        <v/>
      </c>
      <c r="J33" s="61">
        <f>IFERROR(D33/I33-1,"")</f>
        <v/>
      </c>
      <c r="K33" s="41">
        <f>IF(ABS(J33)&gt;0.25,"Đổi","Giữ")</f>
        <v/>
      </c>
      <c r="L33" s="41" t="inlineStr">
        <is>
          <t>Tỷ lệ chung: đạn phóng từ mặt đất 0,8 × thật (bằng tỷ lệ xe), phóng từ máy bay 0,5 × thật (máy bay ở 0,4 nên tên lửa không to hơn cánh); tối thiểu 0,8 m để còn nhìn thấy trên điện thoại.</t>
        </is>
      </c>
    </row>
    <row r="34" ht="32.25" customHeight="1" s="32">
      <c r="A34" s="39" t="inlineStr">
        <is>
          <t>mam_l</t>
        </is>
      </c>
      <c r="B34" s="39" t="inlineStr">
        <is>
          <t>recon_missile</t>
        </is>
      </c>
      <c r="C34" s="39" t="inlineStr">
        <is>
          <t>MAM-L</t>
        </is>
      </c>
      <c r="D34" s="42" t="n">
        <v>0.6</v>
      </c>
      <c r="E34" s="42" t="n">
        <v>1</v>
      </c>
      <c r="F34" s="56">
        <f>IFERROR(D34/E34,"")</f>
        <v/>
      </c>
      <c r="G34" s="56" t="inlineStr">
        <is>
          <t>máy bay</t>
        </is>
      </c>
      <c r="H34" s="57" t="n">
        <v>0.5</v>
      </c>
      <c r="I34" s="56">
        <f>IFERROR(MAX(0.8,E34*H34),"")</f>
        <v/>
      </c>
      <c r="J34" s="60">
        <f>IFERROR(D34/I34-1,"")</f>
        <v/>
      </c>
      <c r="K34" s="39">
        <f>IF(ABS(J34)&gt;0.25,"Đổi","Giữ")</f>
        <v/>
      </c>
      <c r="L34" s="39" t="inlineStr">
        <is>
          <t>Tỷ lệ chung: đạn phóng từ mặt đất 0,8 × thật (bằng tỷ lệ xe), phóng từ máy bay 0,5 × thật (máy bay ở 0,4 nên tên lửa không to hơn cánh); tối thiểu 0,8 m để còn nhìn thấy trên điện thoại.</t>
        </is>
      </c>
    </row>
    <row r="35" ht="32.25" customHeight="1" s="32">
      <c r="A35" s="41" t="inlineStr">
        <is>
          <t>shorad_dart</t>
        </is>
      </c>
      <c r="B35" s="41" t="inlineStr">
        <is>
          <t>sam</t>
        </is>
      </c>
      <c r="C35" s="41" t="inlineStr">
        <is>
          <t>Starstreak / Stinger SHORAD</t>
        </is>
      </c>
      <c r="D35" s="43" t="n">
        <v>1.65</v>
      </c>
      <c r="E35" s="43" t="n">
        <v>1.52</v>
      </c>
      <c r="F35" s="58">
        <f>IFERROR(D35/E35,"")</f>
        <v/>
      </c>
      <c r="G35" s="58" t="inlineStr">
        <is>
          <t>mặt đất</t>
        </is>
      </c>
      <c r="H35" s="59" t="n">
        <v>0.8</v>
      </c>
      <c r="I35" s="58">
        <f>IFERROR(MAX(0.8,E35*H35),"")</f>
        <v/>
      </c>
      <c r="J35" s="61">
        <f>IFERROR(D35/I35-1,"")</f>
        <v/>
      </c>
      <c r="K35" s="41">
        <f>IF(ABS(J35)&gt;0.25,"Đổi","Giữ")</f>
        <v/>
      </c>
      <c r="L35" s="41" t="inlineStr">
        <is>
          <t>Tỷ lệ chung: đạn phóng từ mặt đất 0,8 × thật (bằng tỷ lệ xe), phóng từ máy bay 0,5 × thật (máy bay ở 0,4 nên tên lửa không to hơn cánh); tối thiểu 0,8 m để còn nhìn thấy trên điện thoại.</t>
        </is>
      </c>
    </row>
    <row r="36" ht="32.25" customHeight="1" s="32">
      <c r="A36" s="39" t="inlineStr">
        <is>
          <t>patriot</t>
        </is>
      </c>
      <c r="B36" s="39" t="inlineStr">
        <is>
          <t>sam_48n6</t>
        </is>
      </c>
      <c r="C36" s="39" t="inlineStr">
        <is>
          <t>S-400 48N6</t>
        </is>
      </c>
      <c r="D36" s="42" t="n">
        <v>4.42</v>
      </c>
      <c r="E36" s="42" t="n">
        <v>7.5</v>
      </c>
      <c r="F36" s="56">
        <f>IFERROR(D36/E36,"")</f>
        <v/>
      </c>
      <c r="G36" s="56" t="inlineStr">
        <is>
          <t>mặt đất</t>
        </is>
      </c>
      <c r="H36" s="57" t="n">
        <v>0.8</v>
      </c>
      <c r="I36" s="56">
        <f>IFERROR(MAX(0.8,E36*H36),"")</f>
        <v/>
      </c>
      <c r="J36" s="60">
        <f>IFERROR(D36/I36-1,"")</f>
        <v/>
      </c>
      <c r="K36" s="39">
        <f>IF(ABS(J36)&gt;0.25,"Đổi","Giữ")</f>
        <v/>
      </c>
      <c r="L36" s="39" t="inlineStr">
        <is>
          <t>Tỷ lệ chung: đạn phóng từ mặt đất 0,8 × thật (bằng tỷ lệ xe), phóng từ máy bay 0,5 × thật (máy bay ở 0,4 nên tên lửa không to hơn cánh); tối thiểu 0,8 m để còn nhìn thấy trên điện thoại.</t>
        </is>
      </c>
    </row>
    <row r="37" ht="32.25" customHeight="1" s="32">
      <c r="A37" s="41" t="inlineStr">
        <is>
          <t>hydra</t>
        </is>
      </c>
      <c r="B37" s="41" t="inlineStr">
        <is>
          <t>scout_rockets</t>
        </is>
      </c>
      <c r="C37" s="41" t="inlineStr">
        <is>
          <t>Hydra 70 mm</t>
        </is>
      </c>
      <c r="D37" s="43" t="n">
        <v>0.72</v>
      </c>
      <c r="E37" s="43" t="n">
        <v>1.06</v>
      </c>
      <c r="F37" s="58">
        <f>IFERROR(D37/E37,"")</f>
        <v/>
      </c>
      <c r="G37" s="58" t="inlineStr">
        <is>
          <t>máy bay</t>
        </is>
      </c>
      <c r="H37" s="59" t="n">
        <v>0.5</v>
      </c>
      <c r="I37" s="58">
        <f>IFERROR(MAX(0.8,E37*H37),"")</f>
        <v/>
      </c>
      <c r="J37" s="61">
        <f>IFERROR(D37/I37-1,"")</f>
        <v/>
      </c>
      <c r="K37" s="41">
        <f>IF(ABS(J37)&gt;0.25,"Đổi","Giữ")</f>
        <v/>
      </c>
      <c r="L37" s="41" t="inlineStr">
        <is>
          <t>Tỷ lệ chung: đạn phóng từ mặt đất 0,8 × thật (bằng tỷ lệ xe), phóng từ máy bay 0,5 × thật (máy bay ở 0,4 nên tên lửa không to hơn cánh); tối thiểu 0,8 m để còn nhìn thấy trên điện thoại.</t>
        </is>
      </c>
    </row>
    <row r="38" ht="32.25" customHeight="1" s="32">
      <c r="A38" s="39" t="inlineStr">
        <is>
          <t>shahed</t>
        </is>
      </c>
      <c r="B38" s="39" t="inlineStr">
        <is>
          <t>shahed</t>
        </is>
      </c>
      <c r="C38" s="39" t="inlineStr">
        <is>
          <t>Shahed-136 (50 kg)</t>
        </is>
      </c>
      <c r="D38" s="42" t="n">
        <v>2.6</v>
      </c>
      <c r="E38" s="42" t="n">
        <v>3.5</v>
      </c>
      <c r="F38" s="56">
        <f>IFERROR(D38/E38,"")</f>
        <v/>
      </c>
      <c r="G38" s="56" t="inlineStr">
        <is>
          <t>mặt đất</t>
        </is>
      </c>
      <c r="H38" s="57" t="n">
        <v>0.8</v>
      </c>
      <c r="I38" s="56">
        <f>IFERROR(MAX(0.8,E38*H38),"")</f>
        <v/>
      </c>
      <c r="J38" s="60">
        <f>IFERROR(D38/I38-1,"")</f>
        <v/>
      </c>
      <c r="K38" s="39">
        <f>IF(ABS(J38)&gt;0.25,"Đổi","Giữ")</f>
        <v/>
      </c>
      <c r="L38" s="39" t="inlineStr">
        <is>
          <t>Tỷ lệ chung: đạn phóng từ mặt đất 0,8 × thật (bằng tỷ lệ xe), phóng từ máy bay 0,5 × thật (máy bay ở 0,4 nên tên lửa không to hơn cánh); tối thiểu 0,8 m để còn nhìn thấy trên điện thoại.</t>
        </is>
      </c>
    </row>
    <row r="39" ht="32.25" customHeight="1" s="32">
      <c r="A39" s="41" t="inlineStr">
        <is>
          <t>jdam</t>
        </is>
      </c>
      <c r="B39" s="41" t="inlineStr">
        <is>
          <t>stealth_payload</t>
        </is>
      </c>
      <c r="C39" s="41" t="inlineStr">
        <is>
          <t>GBU-31 JDAM (907 kg)</t>
        </is>
      </c>
      <c r="D39" s="43" t="n">
        <v>2.7</v>
      </c>
      <c r="E39" s="43" t="n">
        <v>3.88</v>
      </c>
      <c r="F39" s="58">
        <f>IFERROR(D39/E39,"")</f>
        <v/>
      </c>
      <c r="G39" s="58" t="inlineStr">
        <is>
          <t>máy bay</t>
        </is>
      </c>
      <c r="H39" s="59" t="n">
        <v>0.5</v>
      </c>
      <c r="I39" s="58">
        <f>IFERROR(MAX(0.8,E39*H39),"")</f>
        <v/>
      </c>
      <c r="J39" s="61">
        <f>IFERROR(D39/I39-1,"")</f>
        <v/>
      </c>
      <c r="K39" s="41">
        <f>IF(ABS(J39)&gt;0.25,"Đổi","Giữ")</f>
        <v/>
      </c>
      <c r="L39" s="41" t="inlineStr">
        <is>
          <t>Tỷ lệ chung: đạn phóng từ mặt đất 0,8 × thật (bằng tỷ lệ xe), phóng từ máy bay 0,5 × thật (máy bay ở 0,4 nên tên lửa không to hơn cánh); tối thiểu 0,8 m để còn nhìn thấy trên điện thoại.</t>
        </is>
      </c>
    </row>
    <row r="40" ht="32.25" customHeight="1" s="32">
      <c r="A40" s="39" t="inlineStr">
        <is>
          <t>stinger</t>
        </is>
      </c>
      <c r="B40" s="39" t="inlineStr">
        <is>
          <t>stinger_atas</t>
        </is>
      </c>
      <c r="C40" s="39" t="inlineStr">
        <is>
          <t>FIM-92 Stinger (ATAS)</t>
        </is>
      </c>
      <c r="D40" s="42" t="n">
        <v>0.91</v>
      </c>
      <c r="E40" s="42" t="n">
        <v>1.52</v>
      </c>
      <c r="F40" s="56">
        <f>IFERROR(D40/E40,"")</f>
        <v/>
      </c>
      <c r="G40" s="56" t="inlineStr">
        <is>
          <t>máy bay</t>
        </is>
      </c>
      <c r="H40" s="57" t="n">
        <v>0.5</v>
      </c>
      <c r="I40" s="56">
        <f>IFERROR(MAX(0.8,E40*H40),"")</f>
        <v/>
      </c>
      <c r="J40" s="60">
        <f>IFERROR(D40/I40-1,"")</f>
        <v/>
      </c>
      <c r="K40" s="39">
        <f>IF(ABS(J40)&gt;0.25,"Đổi","Giữ")</f>
        <v/>
      </c>
      <c r="L40" s="39" t="inlineStr">
        <is>
          <t>Tỷ lệ chung: đạn phóng từ mặt đất 0,8 × thật (bằng tỷ lệ xe), phóng từ máy bay 0,5 × thật (máy bay ở 0,4 nên tên lửa không to hơn cánh); tối thiểu 0,8 m để còn nhìn thấy trên điện thoại.</t>
        </is>
      </c>
    </row>
    <row r="41" ht="32.25" customHeight="1" s="32">
      <c r="A41" s="41" t="inlineStr">
        <is>
          <t>fpv_drone</t>
        </is>
      </c>
      <c r="B41" s="41" t="inlineStr">
        <is>
          <t>swarm_drones</t>
        </is>
      </c>
      <c r="C41" s="41" t="inlineStr">
        <is>
          <t>FPV drone (1.5 kg)</t>
        </is>
      </c>
      <c r="D41" s="43" t="n">
        <v>0.55</v>
      </c>
      <c r="E41" s="43" t="n">
        <v>0.5</v>
      </c>
      <c r="F41" s="58">
        <f>IFERROR(D41/E41,"")</f>
        <v/>
      </c>
      <c r="G41" s="58" t="inlineStr">
        <is>
          <t>máy bay</t>
        </is>
      </c>
      <c r="H41" s="59" t="n">
        <v>0.5</v>
      </c>
      <c r="I41" s="58">
        <f>IFERROR(MAX(0.8,E41*H41),"")</f>
        <v/>
      </c>
      <c r="J41" s="61">
        <f>IFERROR(D41/I41-1,"")</f>
        <v/>
      </c>
      <c r="K41" s="41">
        <f>IF(ABS(J41)&gt;0.25,"Đổi","Giữ")</f>
        <v/>
      </c>
      <c r="L41" s="41" t="inlineStr">
        <is>
          <t>Tỷ lệ chung: đạn phóng từ mặt đất 0,8 × thật (bằng tỷ lệ xe), phóng từ máy bay 0,5 × thật (máy bay ở 0,4 nên tên lửa không to hơn cánh); tối thiểu 0,8 m để còn nhìn thấy trên điện thoại.</t>
        </is>
      </c>
    </row>
    <row r="42" ht="32.25" customHeight="1" s="32">
      <c r="A42" s="39" t="inlineStr">
        <is>
          <t>shorad_dart</t>
        </is>
      </c>
      <c r="B42" s="39" t="inlineStr">
        <is>
          <t>tamir</t>
        </is>
      </c>
      <c r="C42" s="39" t="inlineStr">
        <is>
          <t>Tamir interceptor (Iron Dome)</t>
        </is>
      </c>
      <c r="D42" s="42" t="n">
        <v>1.98</v>
      </c>
      <c r="E42" s="42" t="n">
        <v>3</v>
      </c>
      <c r="F42" s="56">
        <f>IFERROR(D42/E42,"")</f>
        <v/>
      </c>
      <c r="G42" s="56" t="inlineStr">
        <is>
          <t>mặt đất</t>
        </is>
      </c>
      <c r="H42" s="57" t="n">
        <v>0.8</v>
      </c>
      <c r="I42" s="56">
        <f>IFERROR(MAX(0.8,E42*H42),"")</f>
        <v/>
      </c>
      <c r="J42" s="60">
        <f>IFERROR(D42/I42-1,"")</f>
        <v/>
      </c>
      <c r="K42" s="39">
        <f>IF(ABS(J42)&gt;0.25,"Đổi","Giữ")</f>
        <v/>
      </c>
      <c r="L42" s="39" t="inlineStr">
        <is>
          <t>Tỷ lệ chung: đạn phóng từ mặt đất 0,8 × thật (bằng tỷ lệ xe), phóng từ máy bay 0,5 × thật (máy bay ở 0,4 nên tên lửa không to hơn cánh); tối thiểu 0,8 m để còn nhìn thấy trên điện thoại.</t>
        </is>
      </c>
    </row>
    <row r="43" ht="32.25" customHeight="1" s="32">
      <c r="A43" s="41" t="inlineStr">
        <is>
          <t>rocket_107</t>
        </is>
      </c>
      <c r="B43" s="41" t="inlineStr">
        <is>
          <t>technical_rockets</t>
        </is>
      </c>
      <c r="C43" s="41" t="inlineStr">
        <is>
          <t>Type 63 107 mm</t>
        </is>
      </c>
      <c r="D43" s="43" t="n">
        <v>0.9</v>
      </c>
      <c r="E43" s="43" t="n">
        <v>0.84</v>
      </c>
      <c r="F43" s="58">
        <f>IFERROR(D43/E43,"")</f>
        <v/>
      </c>
      <c r="G43" s="58" t="inlineStr">
        <is>
          <t>mặt đất</t>
        </is>
      </c>
      <c r="H43" s="59" t="n">
        <v>0.8</v>
      </c>
      <c r="I43" s="58">
        <f>IFERROR(MAX(0.8,E43*H43),"")</f>
        <v/>
      </c>
      <c r="J43" s="61">
        <f>IFERROR(D43/I43-1,"")</f>
        <v/>
      </c>
      <c r="K43" s="41">
        <f>IF(ABS(J43)&gt;0.25,"Đổi","Giữ")</f>
        <v/>
      </c>
      <c r="L43" s="41" t="inlineStr">
        <is>
          <t>Tỷ lệ chung: đạn phóng từ mặt đất 0,8 × thật (bằng tỷ lệ xe), phóng từ máy bay 0,5 × thật (máy bay ở 0,4 nên tên lửa không to hơn cánh); tối thiểu 0,8 m để còn nhìn thấy trên điện thoại.</t>
        </is>
      </c>
    </row>
    <row r="44" ht="32.25" customHeight="1" s="32">
      <c r="A44" s="39" t="inlineStr">
        <is>
          <t>aim9</t>
        </is>
      </c>
      <c r="B44" s="39" t="inlineStr">
        <is>
          <t>wvr_aam</t>
        </is>
      </c>
      <c r="C44" s="39" t="inlineStr">
        <is>
          <t>AIM-9X Sidewinder</t>
        </is>
      </c>
      <c r="D44" s="42" t="n">
        <v>1.76</v>
      </c>
      <c r="E44" s="42" t="n">
        <v>3.02</v>
      </c>
      <c r="F44" s="56">
        <f>IFERROR(D44/E44,"")</f>
        <v/>
      </c>
      <c r="G44" s="56" t="inlineStr">
        <is>
          <t>máy bay</t>
        </is>
      </c>
      <c r="H44" s="57" t="n">
        <v>0.5</v>
      </c>
      <c r="I44" s="56">
        <f>IFERROR(MAX(0.8,E44*H44),"")</f>
        <v/>
      </c>
      <c r="J44" s="60">
        <f>IFERROR(D44/I44-1,"")</f>
        <v/>
      </c>
      <c r="K44" s="39">
        <f>IF(ABS(J44)&gt;0.25,"Đổi","Giữ")</f>
        <v/>
      </c>
      <c r="L44" s="39" t="inlineStr">
        <is>
          <t>Tỷ lệ chung: đạn phóng từ mặt đất 0,8 × thật (bằng tỷ lệ xe), phóng từ máy bay 0,5 × thật (máy bay ở 0,4 nên tên lửa không to hơn cánh); tối thiểu 0,8 m để còn nhìn thấy trên điện thoại.</t>
        </is>
      </c>
    </row>
  </sheetData>
  <autoFilter ref="A1:L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31" min="1" max="1"/>
    <col width="12" customWidth="1" style="31" min="2" max="3"/>
    <col width="14" customWidth="1" style="31" min="4" max="4"/>
  </cols>
  <sheetData>
    <row r="1" ht="42" customHeight="1" s="32">
      <c r="A1" s="37" t="inlineStr">
        <is>
          <t>Loại sát thương</t>
        </is>
      </c>
      <c r="B1" s="37" t="inlineStr">
        <is>
          <t>Lên mặt đất</t>
        </is>
      </c>
      <c r="C1" s="37" t="inlineStr">
        <is>
          <t>Lên máy bay</t>
        </is>
      </c>
      <c r="D1" s="37" t="inlineStr">
        <is>
          <t>Lên công trình</t>
        </is>
      </c>
    </row>
    <row r="2" ht="15" customHeight="1" s="32">
      <c r="A2" s="39" t="inlineStr">
        <is>
          <t>Động năng</t>
        </is>
      </c>
      <c r="B2" s="42" t="n">
        <v>1</v>
      </c>
      <c r="C2" s="42" t="n">
        <v>0.3</v>
      </c>
      <c r="D2" s="42" t="n">
        <v>0.6</v>
      </c>
    </row>
    <row r="3" ht="15" customHeight="1" s="32">
      <c r="A3" s="41" t="inlineStr">
        <is>
          <t>Nổ lõm</t>
        </is>
      </c>
      <c r="B3" s="43" t="n">
        <v>1</v>
      </c>
      <c r="C3" s="43" t="n">
        <v>0.3</v>
      </c>
      <c r="D3" s="43" t="n">
        <v>0.6</v>
      </c>
    </row>
    <row r="4" ht="15" customHeight="1" s="32">
      <c r="A4" s="39" t="inlineStr">
        <is>
          <t>Nổ mạnh</t>
        </is>
      </c>
      <c r="B4" s="42" t="n">
        <v>1</v>
      </c>
      <c r="C4" s="42" t="n">
        <v>0</v>
      </c>
      <c r="D4" s="42" t="n">
        <v>1.5</v>
      </c>
    </row>
    <row r="5" ht="15" customHeight="1" s="32">
      <c r="A5" s="41" t="inlineStr">
        <is>
          <t>Lửa</t>
        </is>
      </c>
      <c r="B5" s="43" t="n">
        <v>1.5</v>
      </c>
      <c r="C5" s="43" t="n">
        <v>0</v>
      </c>
      <c r="D5" s="43" t="n">
        <v>1</v>
      </c>
    </row>
    <row r="6" ht="15" customHeight="1" s="32">
      <c r="A6" s="39" t="inlineStr">
        <is>
          <t>Mảnh</t>
        </is>
      </c>
      <c r="B6" s="42" t="n">
        <v>0.5</v>
      </c>
      <c r="C6" s="42" t="n">
        <v>1.3</v>
      </c>
      <c r="D6" s="42" t="n">
        <v>0.1</v>
      </c>
    </row>
    <row r="7" ht="15" customHeight="1" s="32">
      <c r="A7" s="41" t="inlineStr">
        <is>
          <t>Năng lượng</t>
        </is>
      </c>
      <c r="B7" s="43" t="n">
        <v>1</v>
      </c>
      <c r="C7" s="43" t="n">
        <v>1.5</v>
      </c>
      <c r="D7" s="43" t="n">
        <v>0.5</v>
      </c>
    </row>
    <row r="8" ht="15" customHeight="1" s="32">
      <c r="A8" s="39" t="inlineStr">
        <is>
          <t>—</t>
        </is>
      </c>
      <c r="B8" s="42" t="n">
        <v>0</v>
      </c>
      <c r="C8" s="42" t="n">
        <v>0</v>
      </c>
      <c r="D8" s="42" t="n">
        <v>0</v>
      </c>
    </row>
    <row r="9" ht="15" customHeight="1" s="32">
      <c r="A9" s="41" t="n"/>
      <c r="B9" s="41" t="n"/>
      <c r="C9" s="41" t="n"/>
      <c r="D9" s="41" t="n"/>
    </row>
    <row r="10" ht="15" customHeight="1" s="32">
      <c r="A10" s="39" t="inlineStr">
        <is>
          <t>Chênh xuyên − giáp</t>
        </is>
      </c>
      <c r="B10" s="39" t="inlineStr">
        <is>
          <t>Hệ số</t>
        </is>
      </c>
      <c r="C10" s="39" t="n"/>
      <c r="D10" s="39" t="inlineStr">
        <is>
          <t>Ghi chú</t>
        </is>
      </c>
    </row>
    <row r="11" ht="15" customHeight="1" s="32">
      <c r="A11" s="41" t="inlineStr">
        <is>
          <t>≥ +2</t>
        </is>
      </c>
      <c r="B11" s="43" t="n">
        <v>1.2</v>
      </c>
      <c r="C11" s="41" t="n"/>
      <c r="D11" s="41" t="inlineStr">
        <is>
          <t>Theo prompt 15</t>
        </is>
      </c>
    </row>
    <row r="12" ht="15" customHeight="1" s="32">
      <c r="A12" s="39" t="inlineStr">
        <is>
          <t>+1</t>
        </is>
      </c>
      <c r="B12" s="42" t="n">
        <v>1</v>
      </c>
      <c r="C12" s="39" t="n"/>
      <c r="D12" s="39" t="inlineStr">
        <is>
          <t>Theo prompt 15</t>
        </is>
      </c>
    </row>
    <row r="13" ht="15" customHeight="1" s="32">
      <c r="A13" s="41" t="inlineStr">
        <is>
          <t>0</t>
        </is>
      </c>
      <c r="B13" s="43" t="n">
        <v>0.85</v>
      </c>
      <c r="C13" s="41" t="n"/>
      <c r="D13" s="41" t="inlineStr">
        <is>
          <t>Theo prompt 15</t>
        </is>
      </c>
    </row>
    <row r="14" ht="15" customHeight="1" s="32">
      <c r="A14" s="39" t="inlineStr">
        <is>
          <t>−1</t>
        </is>
      </c>
      <c r="B14" s="42" t="n">
        <v>0.5</v>
      </c>
      <c r="C14" s="39" t="n"/>
      <c r="D14" s="39" t="inlineStr">
        <is>
          <t>Theo prompt 15</t>
        </is>
      </c>
    </row>
    <row r="15" ht="15" customHeight="1" s="32">
      <c r="A15" s="41" t="inlineStr">
        <is>
          <t>−2</t>
        </is>
      </c>
      <c r="B15" s="43" t="n">
        <v>0.25</v>
      </c>
      <c r="C15" s="41" t="n"/>
      <c r="D15" s="41" t="inlineStr">
        <is>
          <t>Theo prompt 15</t>
        </is>
      </c>
    </row>
    <row r="16" ht="15" customHeight="1" s="32">
      <c r="A16" s="39" t="inlineStr">
        <is>
          <t>≤ −3</t>
        </is>
      </c>
      <c r="B16" s="42" t="n">
        <v>0.1</v>
      </c>
      <c r="C16" s="39" t="n"/>
      <c r="D16" s="39" t="inlineStr">
        <is>
          <t>Theo prompt 15</t>
        </is>
      </c>
    </row>
    <row r="17" ht="53.25" customHeight="1" s="32">
      <c r="A17" s="41" t="inlineStr">
        <is>
          <t>Công trình tính như giáp cấp 2; máy bay chỉ nhân hệ số loại sát thương (theo bảng hiệu quả trong game).</t>
        </is>
      </c>
      <c r="B17" s="41" t="n"/>
      <c r="C17" s="41" t="n"/>
      <c r="D17" s="41" t="n"/>
    </row>
  </sheetData>
  <autoFilter ref="A1:D1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6" customWidth="1" style="31" min="2" max="2"/>
    <col width="11" customWidth="1" style="31" min="3" max="3"/>
    <col width="7" customWidth="1" style="31" min="4" max="4"/>
    <col width="32" customWidth="1" style="31" min="5" max="5"/>
    <col width="18" customWidth="1" style="31" min="6" max="6"/>
    <col width="10" customWidth="1" style="31" min="7" max="10"/>
    <col width="9" customWidth="1" style="31" min="11" max="11"/>
    <col width="60" customWidth="1" style="31" min="12" max="12"/>
  </cols>
  <sheetData>
    <row r="1" ht="42" customHeight="1" s="32">
      <c r="A1" s="37" t="inlineStr">
        <is>
          <t>id</t>
        </is>
      </c>
      <c r="B1" s="37" t="inlineStr">
        <is>
          <t>Tên</t>
        </is>
      </c>
      <c r="C1" s="37" t="inlineStr">
        <is>
          <t>Nhóm (9b)</t>
        </is>
      </c>
      <c r="D1" s="44" t="inlineStr">
        <is>
          <t>CP hiện</t>
        </is>
      </c>
      <c r="E1" s="37" t="inlineStr">
        <is>
          <t>Giá ngoài đời (USD, ước lượng)</t>
        </is>
      </c>
      <c r="F1" s="37" t="inlineStr">
        <is>
          <t>Giá trị dùng để so</t>
        </is>
      </c>
      <c r="G1" s="37" t="inlineStr">
        <is>
          <t>Giá trị thực chiến / CP</t>
        </is>
      </c>
      <c r="H1" s="37" t="inlineStr">
        <is>
          <t>Trung vị nhóm</t>
        </is>
      </c>
      <c r="I1" s="37" t="inlineStr">
        <is>
          <t>Hệ số (giá trị / trung vị)</t>
        </is>
      </c>
      <c r="J1" s="37" t="inlineStr">
        <is>
          <t>CP nếu cân theo hiệu quả</t>
        </is>
      </c>
      <c r="K1" s="45" t="inlineStr">
        <is>
          <t>CP đề xuất</t>
        </is>
      </c>
      <c r="L1" s="46" t="inlineStr">
        <is>
          <t>Lý do</t>
        </is>
      </c>
    </row>
    <row r="2" ht="15" customHeight="1" s="32">
      <c r="A2" s="39" t="inlineStr">
        <is>
          <t>hover_gunboat</t>
        </is>
      </c>
      <c r="B2" s="39" t="inlineStr">
        <is>
          <t>Xuồng cao tốc đệm khí</t>
        </is>
      </c>
      <c r="C2" s="39" t="n"/>
      <c r="D2" s="42" t="n">
        <v>0</v>
      </c>
      <c r="E2" s="39" t="inlineStr">
        <is>
          <t>—</t>
        </is>
      </c>
      <c r="F2" s="39" t="n"/>
      <c r="G2" s="39" t="n"/>
      <c r="H2" s="39" t="n"/>
      <c r="I2" s="56">
        <f>IFERROR(G2/H2,"")</f>
        <v/>
      </c>
      <c r="J2" s="56">
        <f>IFERROR(ROUND(D2*I2,1),"")</f>
        <v/>
      </c>
      <c r="K2" s="42" t="n">
        <v>0</v>
      </c>
      <c r="L2" s="39" t="inlineStr">
        <is>
          <t>Không có số đo (xe hỗ trợ hoặc boss hộ tống).</t>
        </is>
      </c>
    </row>
    <row r="3" ht="15" customHeight="1" s="32">
      <c r="A3" s="41" t="inlineStr">
        <is>
          <t>armored_car</t>
        </is>
      </c>
      <c r="B3" s="41" t="inlineStr">
        <is>
          <t>Xe bọc thép</t>
        </is>
      </c>
      <c r="C3" s="41" t="inlineStr">
        <is>
          <t>Light</t>
        </is>
      </c>
      <c r="D3" s="43" t="n">
        <v>3</v>
      </c>
      <c r="E3" s="41" t="inlineStr">
        <is>
          <t>~1,5 triệu</t>
        </is>
      </c>
      <c r="F3" s="41" t="inlineStr">
        <is>
          <t>nhẹ+tăng</t>
        </is>
      </c>
      <c r="G3" s="43" t="n">
        <v>138</v>
      </c>
      <c r="H3" s="43" t="n">
        <v>156</v>
      </c>
      <c r="I3" s="58">
        <f>IFERROR(G3/H3,"")</f>
        <v/>
      </c>
      <c r="J3" s="58">
        <f>IFERROR(ROUND(D3*I3,1),"")</f>
        <v/>
      </c>
      <c r="K3" s="43" t="n">
        <v>3</v>
      </c>
      <c r="L3" s="41" t="inlineStr">
        <is>
          <t>Giữ: hiệu quả trong khoảng ±25% trung vị, và thứ tự giá hợp với ngoài đời.</t>
        </is>
      </c>
    </row>
    <row r="4" ht="15" customHeight="1" s="32">
      <c r="A4" s="39" t="inlineStr">
        <is>
          <t>ifv</t>
        </is>
      </c>
      <c r="B4" s="39" t="inlineStr">
        <is>
          <t>Xe chiến đấu bộ binh</t>
        </is>
      </c>
      <c r="C4" s="39" t="inlineStr">
        <is>
          <t>Light</t>
        </is>
      </c>
      <c r="D4" s="42" t="n">
        <v>6</v>
      </c>
      <c r="E4" s="39" t="inlineStr">
        <is>
          <t>~2–4 triệu (BMP-3 / Bradley)</t>
        </is>
      </c>
      <c r="F4" s="39" t="inlineStr">
        <is>
          <t>nhẹ+tăng</t>
        </is>
      </c>
      <c r="G4" s="42" t="n">
        <v>174</v>
      </c>
      <c r="H4" s="42" t="n">
        <v>156</v>
      </c>
      <c r="I4" s="56">
        <f>IFERROR(G4/H4,"")</f>
        <v/>
      </c>
      <c r="J4" s="56">
        <f>IFERROR(ROUND(D4*I4,1),"")</f>
        <v/>
      </c>
      <c r="K4" s="42" t="n">
        <v>6</v>
      </c>
      <c r="L4" s="39" t="inlineStr">
        <is>
          <t>Giữ: hiệu quả trong khoảng ±25% trung vị, và thứ tự giá hợp với ngoài đời.</t>
        </is>
      </c>
    </row>
    <row r="5" ht="15" customHeight="1" s="32">
      <c r="A5" s="41" t="inlineStr">
        <is>
          <t>supply_truck</t>
        </is>
      </c>
      <c r="B5" s="41" t="inlineStr">
        <is>
          <t>Xe tiếp tế</t>
        </is>
      </c>
      <c r="C5" s="41" t="n"/>
      <c r="D5" s="43" t="n">
        <v>0</v>
      </c>
      <c r="E5" s="41" t="inlineStr">
        <is>
          <t>~0,5 triệu</t>
        </is>
      </c>
      <c r="F5" s="41" t="n"/>
      <c r="G5" s="41" t="n"/>
      <c r="H5" s="41" t="n"/>
      <c r="I5" s="58">
        <f>IFERROR(G5/H5,"")</f>
        <v/>
      </c>
      <c r="J5" s="58">
        <f>IFERROR(ROUND(D5*I5,1),"")</f>
        <v/>
      </c>
      <c r="K5" s="43" t="n">
        <v>0</v>
      </c>
      <c r="L5" s="41" t="inlineStr">
        <is>
          <t>Không có số đo (xe hỗ trợ hoặc boss hộ tống).</t>
        </is>
      </c>
    </row>
    <row r="6" ht="15" customHeight="1" s="32">
      <c r="A6" s="39" t="inlineStr">
        <is>
          <t>engineer_vehicle</t>
        </is>
      </c>
      <c r="B6" s="39" t="inlineStr">
        <is>
          <t>Xe công binh</t>
        </is>
      </c>
      <c r="C6" s="39" t="inlineStr">
        <is>
          <t>Support</t>
        </is>
      </c>
      <c r="D6" s="42" t="n">
        <v>3</v>
      </c>
      <c r="E6" s="39" t="inlineStr">
        <is>
          <t>~3 triệu (M88A2)</t>
        </is>
      </c>
      <c r="F6" s="39" t="inlineStr">
        <is>
          <t>nhẹ</t>
        </is>
      </c>
      <c r="G6" s="39" t="n"/>
      <c r="H6" s="42" t="n">
        <v>164</v>
      </c>
      <c r="I6" s="56">
        <f>IFERROR(G6/H6,"")</f>
        <v/>
      </c>
      <c r="J6" s="56">
        <f>IFERROR(ROUND(D6*I6,1),"")</f>
        <v/>
      </c>
      <c r="K6" s="42" t="n">
        <v>3</v>
      </c>
      <c r="L6" s="39" t="inlineStr">
        <is>
          <t>Giữ: hiệu quả trong khoảng ±25% trung vị, và thứ tự giá hợp với ngoài đời.</t>
        </is>
      </c>
    </row>
    <row r="7" ht="15" customHeight="1" s="32">
      <c r="A7" s="41"/>
      <c r="B7" s="41"/>
      <c r="C7" s="41"/>
      <c r="D7" s="43"/>
      <c r="E7" s="41"/>
      <c r="F7" s="41"/>
      <c r="G7" s="43"/>
      <c r="H7" s="43"/>
      <c r="I7" s="58"/>
      <c r="J7" s="58"/>
      <c r="K7" s="43"/>
      <c r="L7" s="41"/>
    </row>
    <row r="8" ht="15" customHeight="1" s="32">
      <c r="A8" s="39" t="inlineStr">
        <is>
          <t>ammo_carrier</t>
        </is>
      </c>
      <c r="B8" s="39" t="inlineStr">
        <is>
          <t>Xe tiếp đạn</t>
        </is>
      </c>
      <c r="C8" s="39" t="inlineStr">
        <is>
          <t>Support</t>
        </is>
      </c>
      <c r="D8" s="42" t="n">
        <v>4</v>
      </c>
      <c r="E8" s="39" t="inlineStr">
        <is>
          <t>~0,5 triệu</t>
        </is>
      </c>
      <c r="F8" s="39" t="inlineStr">
        <is>
          <t>nhẹ</t>
        </is>
      </c>
      <c r="G8" s="39" t="n"/>
      <c r="H8" s="42" t="n">
        <v>164</v>
      </c>
      <c r="I8" s="56">
        <f>IFERROR(G8/H8,"")</f>
        <v/>
      </c>
      <c r="J8" s="56">
        <f>IFERROR(ROUND(D8*I8,1),"")</f>
        <v/>
      </c>
      <c r="K8" s="42" t="n">
        <v>4</v>
      </c>
      <c r="L8" s="39" t="inlineStr">
        <is>
          <t>Giữ: hiệu quả trong khoảng ±25% trung vị, và thứ tự giá hợp với ngoài đời.</t>
        </is>
      </c>
    </row>
    <row r="9" ht="15" customHeight="1" s="32">
      <c r="A9" s="41"/>
      <c r="B9" s="41"/>
      <c r="C9" s="41"/>
      <c r="D9" s="43"/>
      <c r="E9" s="41"/>
      <c r="F9" s="41"/>
      <c r="G9" s="41"/>
      <c r="H9" s="43"/>
      <c r="I9" s="58"/>
      <c r="J9" s="58"/>
      <c r="K9" s="43"/>
      <c r="L9" s="41"/>
    </row>
    <row r="10" ht="15" customHeight="1" s="32">
      <c r="A10" s="39" t="inlineStr">
        <is>
          <t>ew_jammer</t>
        </is>
      </c>
      <c r="B10" s="39" t="inlineStr">
        <is>
          <t>Xe tác chiến điện tử</t>
        </is>
      </c>
      <c r="C10" s="39" t="inlineStr">
        <is>
          <t>Support</t>
        </is>
      </c>
      <c r="D10" s="42" t="n">
        <v>5</v>
      </c>
      <c r="E10" s="39" t="inlineStr">
        <is>
          <t>~10–20 triệu (ước lượng)</t>
        </is>
      </c>
      <c r="F10" s="39" t="inlineStr">
        <is>
          <t>nhẹ</t>
        </is>
      </c>
      <c r="G10" s="39" t="n"/>
      <c r="H10" s="42" t="n">
        <v>164</v>
      </c>
      <c r="I10" s="56">
        <f>IFERROR(G10/H10,"")</f>
        <v/>
      </c>
      <c r="J10" s="56">
        <f>IFERROR(ROUND(D10*I10,1),"")</f>
        <v/>
      </c>
      <c r="K10" s="42" t="n">
        <v>5</v>
      </c>
      <c r="L10" s="39" t="inlineStr">
        <is>
          <t>Giữ: hiệu quả trong khoảng ±25% trung vị, và thứ tự giá hợp với ngoài đời.</t>
        </is>
      </c>
    </row>
    <row r="11" ht="15" customHeight="1" s="32">
      <c r="A11" s="41" t="inlineStr">
        <is>
          <t>mine_layer</t>
        </is>
      </c>
      <c r="B11" s="41" t="inlineStr">
        <is>
          <t>Xe rải mìn</t>
        </is>
      </c>
      <c r="C11" s="41" t="inlineStr">
        <is>
          <t>Support</t>
        </is>
      </c>
      <c r="D11" s="43" t="n">
        <v>5</v>
      </c>
      <c r="E11" s="41" t="inlineStr">
        <is>
          <t>~1 triệu</t>
        </is>
      </c>
      <c r="F11" s="41" t="inlineStr">
        <is>
          <t>nhẹ</t>
        </is>
      </c>
      <c r="G11" s="43" t="n">
        <v>102</v>
      </c>
      <c r="H11" s="43" t="n">
        <v>164</v>
      </c>
      <c r="I11" s="58">
        <f>IFERROR(G11/H11,"")</f>
        <v/>
      </c>
      <c r="J11" s="58">
        <f>IFERROR(ROUND(D11*I11,1),"")</f>
        <v/>
      </c>
      <c r="K11" s="43" t="n">
        <v>5</v>
      </c>
      <c r="L11" s="41" t="inlineStr">
        <is>
          <t>Giữ: hiệu quả trong khoảng ±25% trung vị, và thứ tự giá hợp với ngoài đời.</t>
        </is>
      </c>
    </row>
    <row r="12" ht="15" customHeight="1" s="32">
      <c r="A12" s="39" t="inlineStr">
        <is>
          <t>command_vehicle</t>
        </is>
      </c>
      <c r="B12" s="39" t="inlineStr">
        <is>
          <t>Xe chỉ huy</t>
        </is>
      </c>
      <c r="C12" s="39" t="inlineStr">
        <is>
          <t>Support</t>
        </is>
      </c>
      <c r="D12" s="42" t="n">
        <v>6</v>
      </c>
      <c r="E12" s="39" t="inlineStr">
        <is>
          <t>~4 triệu</t>
        </is>
      </c>
      <c r="F12" s="39" t="inlineStr">
        <is>
          <t>nhẹ</t>
        </is>
      </c>
      <c r="G12" s="39" t="n"/>
      <c r="H12" s="42" t="n">
        <v>164</v>
      </c>
      <c r="I12" s="56">
        <f>IFERROR(G12/H12,"")</f>
        <v/>
      </c>
      <c r="J12" s="56">
        <f>IFERROR(ROUND(D12*I12,1),"")</f>
        <v/>
      </c>
      <c r="K12" s="42" t="n">
        <v>6</v>
      </c>
      <c r="L12" s="39" t="inlineStr">
        <is>
          <t>Giữ: hiệu quả trong khoảng ±25% trung vị, và thứ tự giá hợp với ngoài đời.</t>
        </is>
      </c>
    </row>
    <row r="13" ht="15" customHeight="1" s="32">
      <c r="A13" s="41" t="inlineStr">
        <is>
          <t>shield_carrier</t>
        </is>
      </c>
      <c r="B13" s="41" t="inlineStr">
        <is>
          <t>Xe phát khiên</t>
        </is>
      </c>
      <c r="C13" s="41" t="inlineStr">
        <is>
          <t>Support</t>
        </is>
      </c>
      <c r="D13" s="43" t="n">
        <v>7</v>
      </c>
      <c r="E13" s="41" t="inlineStr">
        <is>
          <t>— (giả tưởng)</t>
        </is>
      </c>
      <c r="F13" s="41" t="inlineStr">
        <is>
          <t>nhẹ</t>
        </is>
      </c>
      <c r="G13" s="41" t="n"/>
      <c r="H13" s="43" t="n">
        <v>164</v>
      </c>
      <c r="I13" s="58">
        <f>IFERROR(G13/H13,"")</f>
        <v/>
      </c>
      <c r="J13" s="58">
        <f>IFERROR(ROUND(D13*I13,1),"")</f>
        <v/>
      </c>
      <c r="K13" s="43" t="n">
        <v>7</v>
      </c>
      <c r="L13" s="41" t="inlineStr">
        <is>
          <t>Giữ: hiệu quả trong khoảng ±25% trung vị, và thứ tự giá hợp với ngoài đời.</t>
        </is>
      </c>
    </row>
    <row r="14" ht="15" customHeight="1" s="32">
      <c r="A14" s="39" t="inlineStr">
        <is>
          <t>scout_jeep</t>
        </is>
      </c>
      <c r="B14" s="39" t="inlineStr">
        <is>
          <t>Xe trinh sát</t>
        </is>
      </c>
      <c r="C14" s="39" t="inlineStr">
        <is>
          <t>Scout</t>
        </is>
      </c>
      <c r="D14" s="42" t="n">
        <v>2</v>
      </c>
      <c r="E14" s="39" t="inlineStr">
        <is>
          <t>~0,1 triệu</t>
        </is>
      </c>
      <c r="F14" s="39" t="inlineStr">
        <is>
          <t>nhẹ</t>
        </is>
      </c>
      <c r="G14" s="42" t="n">
        <v>84</v>
      </c>
      <c r="H14" s="42" t="n">
        <v>81</v>
      </c>
      <c r="I14" s="56">
        <f>IFERROR(G14/H14,"")</f>
        <v/>
      </c>
      <c r="J14" s="56">
        <f>IFERROR(ROUND(D14*I14,1),"")</f>
        <v/>
      </c>
      <c r="K14" s="42" t="n">
        <v>2</v>
      </c>
      <c r="L14" s="39" t="inlineStr">
        <is>
          <t>Giữ: hiệu quả trong khoảng ±25% trung vị, và thứ tự giá hợp với ngoài đời.</t>
        </is>
      </c>
    </row>
    <row r="15" ht="21.75" customHeight="1" s="32">
      <c r="A15" s="41" t="inlineStr">
        <is>
          <t>vbied</t>
        </is>
      </c>
      <c r="B15" s="41" t="inlineStr">
        <is>
          <t>Xe bom tự sát bọc thép</t>
        </is>
      </c>
      <c r="C15" s="41" t="inlineStr">
        <is>
          <t>Scout</t>
        </is>
      </c>
      <c r="D15" s="43" t="n">
        <v>3</v>
      </c>
      <c r="E15" s="41" t="inlineStr">
        <is>
          <t>&lt;0,05 triệu</t>
        </is>
      </c>
      <c r="F15" s="41" t="inlineStr">
        <is>
          <t>nhẹ</t>
        </is>
      </c>
      <c r="G15" s="43" t="n">
        <v>78</v>
      </c>
      <c r="H15" s="43" t="n">
        <v>81</v>
      </c>
      <c r="I15" s="58">
        <f>IFERROR(G15/H15,"")</f>
        <v/>
      </c>
      <c r="J15" s="58">
        <f>IFERROR(ROUND(D15*I15,1),"")</f>
        <v/>
      </c>
      <c r="K15" s="43" t="n">
        <v>3</v>
      </c>
      <c r="L15" s="41" t="inlineStr">
        <is>
          <t>Tên "bọc thép" nhưng giáp 0; chỉ gây sát thương 4% thời gian vì chết trước khi tới.</t>
        </is>
      </c>
    </row>
    <row r="16" ht="15" customHeight="1" s="32">
      <c r="A16" s="39" t="inlineStr">
        <is>
          <t>light_tank</t>
        </is>
      </c>
      <c r="B16" s="39" t="inlineStr">
        <is>
          <t>Tăng hạng nhẹ</t>
        </is>
      </c>
      <c r="C16" s="39" t="inlineStr">
        <is>
          <t>Tank</t>
        </is>
      </c>
      <c r="D16" s="42" t="n">
        <v>3</v>
      </c>
      <c r="E16" s="39" t="inlineStr">
        <is>
          <t>~2 triệu</t>
        </is>
      </c>
      <c r="F16" s="39" t="inlineStr">
        <is>
          <t>nhẹ+tăng</t>
        </is>
      </c>
      <c r="G16" s="42" t="n">
        <v>222</v>
      </c>
      <c r="H16" s="42" t="n">
        <v>466</v>
      </c>
      <c r="I16" s="56">
        <f>IFERROR(G16/H16,"")</f>
        <v/>
      </c>
      <c r="J16" s="56">
        <f>IFERROR(ROUND(D16*I16,1),"")</f>
        <v/>
      </c>
      <c r="K16" s="42" t="n">
        <v>3</v>
      </c>
      <c r="L16" s="39" t="inlineStr">
        <is>
          <t>Giữ: hiệu quả trong khoảng ±25% trung vị, và thứ tự giá hợp với ngoài đời.</t>
        </is>
      </c>
    </row>
    <row r="17" ht="15" customHeight="1" s="32">
      <c r="A17" s="41" t="inlineStr">
        <is>
          <t>flame_tank</t>
        </is>
      </c>
      <c r="B17" s="41" t="inlineStr">
        <is>
          <t>Tăng phun lửa</t>
        </is>
      </c>
      <c r="C17" s="41" t="inlineStr">
        <is>
          <t>Heavy</t>
        </is>
      </c>
      <c r="D17" s="43" t="n">
        <v>5</v>
      </c>
      <c r="E17" s="41" t="inlineStr">
        <is>
          <t>~2 triệu</t>
        </is>
      </c>
      <c r="F17" s="41" t="inlineStr">
        <is>
          <t>nhẹ+tăng+công sự</t>
        </is>
      </c>
      <c r="G17" s="43" t="n">
        <v>258</v>
      </c>
      <c r="H17" s="43" t="n">
        <v>393</v>
      </c>
      <c r="I17" s="58">
        <f>IFERROR(G17/H17,"")</f>
        <v/>
      </c>
      <c r="J17" s="58">
        <f>IFERROR(ROUND(D17*I17,1),"")</f>
        <v/>
      </c>
      <c r="K17" s="43" t="n">
        <v>5</v>
      </c>
      <c r="L17" s="41" t="inlineStr">
        <is>
          <t>Giữ: hiệu quả trong khoảng ±25% trung vị, và thứ tự giá hợp với ngoài đời.</t>
        </is>
      </c>
    </row>
    <row r="18" ht="15" customHeight="1" s="32">
      <c r="A18" s="39"/>
      <c r="B18" s="39"/>
      <c r="C18" s="39"/>
      <c r="D18" s="42"/>
      <c r="E18" s="39"/>
      <c r="F18" s="39"/>
      <c r="G18" s="42"/>
      <c r="H18" s="42"/>
      <c r="I18" s="56"/>
      <c r="J18" s="56"/>
      <c r="K18" s="42"/>
      <c r="L18" s="39"/>
    </row>
    <row r="19" ht="15" customHeight="1" s="32">
      <c r="A19" s="41"/>
      <c r="B19" s="41"/>
      <c r="C19" s="41"/>
      <c r="D19" s="43"/>
      <c r="E19" s="41"/>
      <c r="F19" s="41"/>
      <c r="G19" s="43"/>
      <c r="H19" s="43"/>
      <c r="I19" s="58"/>
      <c r="J19" s="58"/>
      <c r="K19" s="43"/>
      <c r="L19" s="41"/>
    </row>
    <row r="20" ht="15" customHeight="1" s="32">
      <c r="A20" s="39" t="inlineStr">
        <is>
          <t>rocket_technical</t>
        </is>
      </c>
      <c r="B20" s="39" t="inlineStr">
        <is>
          <t>Bán tải rốc-két</t>
        </is>
      </c>
      <c r="C20" s="39" t="inlineStr">
        <is>
          <t>Artillery</t>
        </is>
      </c>
      <c r="D20" s="42" t="n">
        <v>3</v>
      </c>
      <c r="E20" s="39" t="inlineStr">
        <is>
          <t>~0,05 triệu</t>
        </is>
      </c>
      <c r="F20" s="39" t="inlineStr">
        <is>
          <t>tăng+công sự</t>
        </is>
      </c>
      <c r="G20" s="42" t="n">
        <v>253</v>
      </c>
      <c r="H20" s="42" t="n">
        <v>449</v>
      </c>
      <c r="I20" s="56">
        <f>IFERROR(G20/H20,"")</f>
        <v/>
      </c>
      <c r="J20" s="56">
        <f>IFERROR(ROUND(D20*I20,1),"")</f>
        <v/>
      </c>
      <c r="K20" s="42" t="n">
        <v>3</v>
      </c>
      <c r="L20" s="39" t="inlineStr">
        <is>
          <t>Giữ: hiệu quả trong khoảng ±25% trung vị, và thứ tự giá hợp với ngoài đời.</t>
        </is>
      </c>
    </row>
    <row r="21" ht="15" customHeight="1" s="32">
      <c r="A21" s="41" t="inlineStr">
        <is>
          <t>mortar_carrier</t>
        </is>
      </c>
      <c r="B21" s="41" t="inlineStr">
        <is>
          <t>Xe súng cối</t>
        </is>
      </c>
      <c r="C21" s="41" t="inlineStr">
        <is>
          <t>Artillery</t>
        </is>
      </c>
      <c r="D21" s="43" t="n">
        <v>4</v>
      </c>
      <c r="E21" s="41" t="inlineStr">
        <is>
          <t>~1 triệu</t>
        </is>
      </c>
      <c r="F21" s="41" t="inlineStr">
        <is>
          <t>tăng+công sự</t>
        </is>
      </c>
      <c r="G21" s="43" t="n">
        <v>324</v>
      </c>
      <c r="H21" s="43" t="n">
        <v>449</v>
      </c>
      <c r="I21" s="58">
        <f>IFERROR(G21/H21,"")</f>
        <v/>
      </c>
      <c r="J21" s="58">
        <f>IFERROR(ROUND(D21*I21,1),"")</f>
        <v/>
      </c>
      <c r="K21" s="43" t="n">
        <v>4</v>
      </c>
      <c r="L21" s="41" t="inlineStr">
        <is>
          <t>Giữ: hiệu quả trong khoảng ±25% trung vị, và thứ tự giá hợp với ngoài đời.</t>
        </is>
      </c>
    </row>
    <row r="22" ht="15" customHeight="1" s="32">
      <c r="A22" s="39" t="inlineStr">
        <is>
          <t>artillery</t>
        </is>
      </c>
      <c r="B22" s="39" t="inlineStr">
        <is>
          <t>Pháo tự hành</t>
        </is>
      </c>
      <c r="C22" s="39" t="inlineStr">
        <is>
          <t>Artillery</t>
        </is>
      </c>
      <c r="D22" s="42" t="n">
        <v>6</v>
      </c>
      <c r="E22" s="39" t="inlineStr">
        <is>
          <t>~5–14 triệu (CAESAR / M109A7)</t>
        </is>
      </c>
      <c r="F22" s="39" t="inlineStr">
        <is>
          <t>tăng+công sự</t>
        </is>
      </c>
      <c r="G22" s="42" t="n">
        <v>331</v>
      </c>
      <c r="H22" s="42" t="n">
        <v>449</v>
      </c>
      <c r="I22" s="56">
        <f>IFERROR(G22/H22,"")</f>
        <v/>
      </c>
      <c r="J22" s="56">
        <f>IFERROR(ROUND(D22*I22,1),"")</f>
        <v/>
      </c>
      <c r="K22" s="42" t="n">
        <v>6</v>
      </c>
      <c r="L22" s="39" t="inlineStr">
        <is>
          <t>Giữ: hiệu quả trong khoảng ±25% trung vị, và thứ tự giá hợp với ngoài đời.</t>
        </is>
      </c>
    </row>
    <row r="23" ht="15" customHeight="1" s="32">
      <c r="A23" s="41" t="inlineStr">
        <is>
          <t>mlrs</t>
        </is>
      </c>
      <c r="B23" s="41" t="inlineStr">
        <is>
          <t>Pháo phản lực</t>
        </is>
      </c>
      <c r="C23" s="41" t="inlineStr">
        <is>
          <t>Artillery</t>
        </is>
      </c>
      <c r="D23" s="43" t="n">
        <v>6</v>
      </c>
      <c r="E23" s="41" t="inlineStr">
        <is>
          <t>~5 triệu bệ + 0,16 triệu/rốc-két</t>
        </is>
      </c>
      <c r="F23" s="41" t="inlineStr">
        <is>
          <t>tăng+công sự</t>
        </is>
      </c>
      <c r="G23" s="43" t="n">
        <v>510</v>
      </c>
      <c r="H23" s="43" t="n">
        <v>449</v>
      </c>
      <c r="I23" s="58">
        <f>IFERROR(G23/H23,"")</f>
        <v/>
      </c>
      <c r="J23" s="58">
        <f>IFERROR(ROUND(D23*I23,1),"")</f>
        <v/>
      </c>
      <c r="K23" s="43" t="n">
        <v>7</v>
      </c>
      <c r="L23" s="41" t="inlineStr">
        <is>
          <t>Mạnh hơn pháo tự hành cùng giá; HIMARS ngoài đời đắt hơn lựu pháo.</t>
        </is>
      </c>
    </row>
    <row r="24" ht="15" customHeight="1" s="32">
      <c r="A24" s="39" t="inlineStr">
        <is>
          <t>shahed_truck</t>
        </is>
      </c>
      <c r="B24" s="39" t="inlineStr">
        <is>
          <t>Xe phóng Shahed</t>
        </is>
      </c>
      <c r="C24" s="39" t="inlineStr">
        <is>
          <t>Artillery</t>
        </is>
      </c>
      <c r="D24" s="42" t="n">
        <v>8</v>
      </c>
      <c r="E24" s="39" t="inlineStr">
        <is>
          <t>~0,5 triệu xe + 0,02–0,05 triệu/drone</t>
        </is>
      </c>
      <c r="F24" s="39" t="inlineStr">
        <is>
          <t>tăng+công sự</t>
        </is>
      </c>
      <c r="G24" s="42" t="n">
        <v>472</v>
      </c>
      <c r="H24" s="42" t="n">
        <v>449</v>
      </c>
      <c r="I24" s="56">
        <f>IFERROR(G24/H24,"")</f>
        <v/>
      </c>
      <c r="J24" s="56">
        <f>IFERROR(ROUND(D24*I24,1),"")</f>
        <v/>
      </c>
      <c r="K24" s="42" t="n">
        <v>8</v>
      </c>
      <c r="L24" s="39" t="inlineStr">
        <is>
          <t>Giữ: hiệu quả trong khoảng ±25% trung vị, và thứ tự giá hợp với ngoài đời.</t>
        </is>
      </c>
    </row>
    <row r="25" ht="15" customHeight="1" s="32">
      <c r="A25" s="41" t="inlineStr">
        <is>
          <t>thermobaric_launcher</t>
        </is>
      </c>
      <c r="B25" s="41" t="inlineStr">
        <is>
          <t>Pháo phản lực nhiệt áp</t>
        </is>
      </c>
      <c r="C25" s="41" t="inlineStr">
        <is>
          <t>Artillery</t>
        </is>
      </c>
      <c r="D25" s="43" t="n">
        <v>8</v>
      </c>
      <c r="E25" s="41" t="inlineStr">
        <is>
          <t>~5–10 triệu (ước lượng)</t>
        </is>
      </c>
      <c r="F25" s="41" t="inlineStr">
        <is>
          <t>tăng+công sự</t>
        </is>
      </c>
      <c r="G25" s="43" t="n">
        <v>522</v>
      </c>
      <c r="H25" s="43" t="n">
        <v>449</v>
      </c>
      <c r="I25" s="58">
        <f>IFERROR(G25/H25,"")</f>
        <v/>
      </c>
      <c r="J25" s="58">
        <f>IFERROR(ROUND(D25*I25,1),"")</f>
        <v/>
      </c>
      <c r="K25" s="43" t="n">
        <v>9</v>
      </c>
      <c r="L25" s="41" t="inlineStr">
        <is>
          <t>Mạnh nhất nhóm pháo với công sự sau khi sửa hệ số nhiệt áp.</t>
        </is>
      </c>
    </row>
    <row r="26" ht="15" customHeight="1" s="32">
      <c r="A26" s="39" t="inlineStr">
        <is>
          <t>ballistic_launcher</t>
        </is>
      </c>
      <c r="B26" s="39" t="inlineStr">
        <is>
          <t>Xe phóng tên lửa đạn đạo</t>
        </is>
      </c>
      <c r="C26" s="39" t="inlineStr">
        <is>
          <t>Artillery</t>
        </is>
      </c>
      <c r="D26" s="42" t="n">
        <v>11</v>
      </c>
      <c r="E26" s="39" t="inlineStr">
        <is>
          <t>~20 triệu bệ + ~3 triệu/tên lửa</t>
        </is>
      </c>
      <c r="F26" s="39" t="inlineStr">
        <is>
          <t>tăng+công sự</t>
        </is>
      </c>
      <c r="G26" s="42" t="n">
        <v>427</v>
      </c>
      <c r="H26" s="42" t="n">
        <v>449</v>
      </c>
      <c r="I26" s="56">
        <f>IFERROR(G26/H26,"")</f>
        <v/>
      </c>
      <c r="J26" s="56">
        <f>IFERROR(ROUND(D26*I26,1),"")</f>
        <v/>
      </c>
      <c r="K26" s="42" t="n">
        <v>11</v>
      </c>
      <c r="L26" s="39" t="inlineStr">
        <is>
          <t>Giữ: hiệu quả trong khoảng ±25% trung vị, và thứ tự giá hợp với ngoài đời.</t>
        </is>
      </c>
    </row>
    <row r="27" ht="15" customHeight="1" s="32">
      <c r="A27" s="41" t="inlineStr">
        <is>
          <t>heavy_rocket_artillery</t>
        </is>
      </c>
      <c r="B27" s="41" t="inlineStr">
        <is>
          <t>Pháo phản lực hạng nặng</t>
        </is>
      </c>
      <c r="C27" s="41" t="inlineStr">
        <is>
          <t>Artillery</t>
        </is>
      </c>
      <c r="D27" s="43" t="n">
        <v>11</v>
      </c>
      <c r="E27" s="41" t="inlineStr">
        <is>
          <t>~12 triệu</t>
        </is>
      </c>
      <c r="F27" s="41" t="inlineStr">
        <is>
          <t>tăng+công sự</t>
        </is>
      </c>
      <c r="G27" s="43" t="n">
        <v>522</v>
      </c>
      <c r="H27" s="43" t="n">
        <v>449</v>
      </c>
      <c r="I27" s="58">
        <f>IFERROR(G27/H27,"")</f>
        <v/>
      </c>
      <c r="J27" s="58">
        <f>IFERROR(ROUND(D27*I27,1),"")</f>
        <v/>
      </c>
      <c r="K27" s="43" t="n">
        <v>12</v>
      </c>
      <c r="L27" s="41" t="inlineStr">
        <is>
          <t>Mạnh hơn đạn đạo cùng giá.</t>
        </is>
      </c>
    </row>
    <row r="28" ht="15" customHeight="1" s="32">
      <c r="A28" s="39" t="inlineStr">
        <is>
          <t>siege_tank</t>
        </is>
      </c>
      <c r="B28" s="39" t="inlineStr">
        <is>
          <t>Tăng công thành</t>
        </is>
      </c>
      <c r="C28" s="39" t="inlineStr">
        <is>
          <t>Heavy</t>
        </is>
      </c>
      <c r="D28" s="42" t="n">
        <v>12</v>
      </c>
      <c r="E28" s="39" t="inlineStr">
        <is>
          <t>~3–5 triệu (2S4 / 2S7)</t>
        </is>
      </c>
      <c r="F28" s="39" t="inlineStr">
        <is>
          <t>nhẹ+tăng+công sự</t>
        </is>
      </c>
      <c r="G28" s="42" t="n">
        <v>414</v>
      </c>
      <c r="H28" s="42" t="n">
        <v>393</v>
      </c>
      <c r="I28" s="56">
        <f>IFERROR(G28/H28,"")</f>
        <v/>
      </c>
      <c r="J28" s="56">
        <f>IFERROR(ROUND(D28*I28,1),"")</f>
        <v/>
      </c>
      <c r="K28" s="42" t="n">
        <v>12</v>
      </c>
      <c r="L28" s="39" t="inlineStr">
        <is>
          <t>Giữ: hiệu quả trong khoảng ±25% trung vị, và thứ tự giá hợp với ngoài đời.</t>
        </is>
      </c>
    </row>
    <row r="29" ht="15" customHeight="1" s="32">
      <c r="A29" s="41" t="inlineStr">
        <is>
          <t>zu23_technical</t>
        </is>
      </c>
      <c r="B29" s="41" t="inlineStr">
        <is>
          <t>Bán tải ZU-23</t>
        </is>
      </c>
      <c r="C29" s="41" t="inlineStr">
        <is>
          <t>AntiAir</t>
        </is>
      </c>
      <c r="D29" s="43" t="n">
        <v>3</v>
      </c>
      <c r="E29" s="41" t="inlineStr">
        <is>
          <t>~0,1 triệu</t>
        </is>
      </c>
      <c r="F29" s="41" t="inlineStr">
        <is>
          <t>máy bay</t>
        </is>
      </c>
      <c r="G29" s="43" t="n">
        <v>62</v>
      </c>
      <c r="H29" s="43" t="n">
        <v>263</v>
      </c>
      <c r="I29" s="58">
        <f>IFERROR(G29/H29,"")</f>
        <v/>
      </c>
      <c r="J29" s="58">
        <f>IFERROR(ROUND(D29*I29,1),"")</f>
        <v/>
      </c>
      <c r="K29" s="43" t="n">
        <v>3</v>
      </c>
      <c r="L29" s="41" t="inlineStr">
        <is>
          <t>Giữ: hiệu quả trong khoảng ±25% trung vị, và thứ tự giá hợp với ngoài đời.</t>
        </is>
      </c>
    </row>
    <row r="30" ht="15" customHeight="1" s="32">
      <c r="A30" s="39" t="inlineStr">
        <is>
          <t>aa_vehicle</t>
        </is>
      </c>
      <c r="B30" s="39" t="inlineStr">
        <is>
          <t>Xe phòng không</t>
        </is>
      </c>
      <c r="C30" s="39" t="inlineStr">
        <is>
          <t>AntiAir</t>
        </is>
      </c>
      <c r="D30" s="42" t="n">
        <v>4</v>
      </c>
      <c r="E30" s="39" t="inlineStr">
        <is>
          <t>~3 triệu</t>
        </is>
      </c>
      <c r="F30" s="39" t="inlineStr">
        <is>
          <t>máy bay</t>
        </is>
      </c>
      <c r="G30" s="42" t="n">
        <v>226</v>
      </c>
      <c r="H30" s="42" t="n">
        <v>263</v>
      </c>
      <c r="I30" s="56">
        <f>IFERROR(G30/H30,"")</f>
        <v/>
      </c>
      <c r="J30" s="56">
        <f>IFERROR(ROUND(D30*I30,1),"")</f>
        <v/>
      </c>
      <c r="K30" s="42" t="n">
        <v>4</v>
      </c>
      <c r="L30" s="39" t="inlineStr">
        <is>
          <t>Giữ: hiệu quả trong khoảng ±25% trung vị, và thứ tự giá hợp với ngoài đời.</t>
        </is>
      </c>
    </row>
    <row r="31" ht="21.75" customHeight="1" s="32">
      <c r="A31" s="41" t="inlineStr">
        <is>
          <t>sam_launcher</t>
        </is>
      </c>
      <c r="B31" s="41" t="inlineStr">
        <is>
          <t>Tên lửa phòng không</t>
        </is>
      </c>
      <c r="C31" s="41" t="inlineStr">
        <is>
          <t>AntiAir</t>
        </is>
      </c>
      <c r="D31" s="43" t="n">
        <v>5</v>
      </c>
      <c r="E31" s="41" t="inlineStr">
        <is>
          <t>~10–15 triệu (TELAR)</t>
        </is>
      </c>
      <c r="F31" s="41" t="inlineStr">
        <is>
          <t>máy bay</t>
        </is>
      </c>
      <c r="G31" s="43" t="n">
        <v>423</v>
      </c>
      <c r="H31" s="43" t="n">
        <v>263</v>
      </c>
      <c r="I31" s="58">
        <f>IFERROR(G31/H31,"")</f>
        <v/>
      </c>
      <c r="J31" s="58">
        <f>IFERROR(ROUND(D31*I31,1),"")</f>
        <v/>
      </c>
      <c r="K31" s="43" t="n">
        <v>7</v>
      </c>
      <c r="L31" s="41" t="inlineStr">
        <is>
          <t>Hiệu quả cao nhất nhóm phòng không di động; Buk ngoài đời đắt hơn Gepard nhiều.</t>
        </is>
      </c>
    </row>
    <row r="32" ht="15" customHeight="1" s="32">
      <c r="A32" s="39" t="inlineStr">
        <is>
          <t>heavy_aa</t>
        </is>
      </c>
      <c r="B32" s="39" t="inlineStr">
        <is>
          <t>Pháo tên lửa phòng không</t>
        </is>
      </c>
      <c r="C32" s="39" t="inlineStr">
        <is>
          <t>AntiAir</t>
        </is>
      </c>
      <c r="D32" s="42" t="n">
        <v>6</v>
      </c>
      <c r="E32" s="39" t="inlineStr">
        <is>
          <t>~13–15 triệu</t>
        </is>
      </c>
      <c r="F32" s="39" t="inlineStr">
        <is>
          <t>máy bay</t>
        </is>
      </c>
      <c r="G32" s="42" t="n">
        <v>300</v>
      </c>
      <c r="H32" s="42" t="n">
        <v>263</v>
      </c>
      <c r="I32" s="56">
        <f>IFERROR(G32/H32,"")</f>
        <v/>
      </c>
      <c r="J32" s="56">
        <f>IFERROR(ROUND(D32*I32,1),"")</f>
        <v/>
      </c>
      <c r="K32" s="42" t="n">
        <v>7</v>
      </c>
      <c r="L32" s="39" t="inlineStr">
        <is>
          <t>Pantsir đắt ngang hoặc hơn Buk ngoài đời, hiệu quả 1,14 × trung vị.</t>
        </is>
      </c>
    </row>
    <row r="33" ht="15" customHeight="1" s="32">
      <c r="A33" s="41" t="inlineStr">
        <is>
          <t>iron_beam</t>
        </is>
      </c>
      <c r="B33" s="41" t="inlineStr">
        <is>
          <t>La-de phòng không</t>
        </is>
      </c>
      <c r="C33" s="41" t="inlineStr">
        <is>
          <t>AntiAir</t>
        </is>
      </c>
      <c r="D33" s="43" t="n">
        <v>7</v>
      </c>
      <c r="E33" s="41" t="inlineStr">
        <is>
          <t>~? (hệ thống đắt, mỗi phát ~2 USD)</t>
        </is>
      </c>
      <c r="F33" s="41" t="inlineStr">
        <is>
          <t>máy bay</t>
        </is>
      </c>
      <c r="G33" s="43" t="n">
        <v>87</v>
      </c>
      <c r="H33" s="43" t="n">
        <v>263</v>
      </c>
      <c r="I33" s="58">
        <f>IFERROR(G33/H33,"")</f>
        <v/>
      </c>
      <c r="J33" s="58">
        <f>IFERROR(ROUND(D33*I33,1),"")</f>
        <v/>
      </c>
      <c r="K33" s="43" t="n">
        <v>6</v>
      </c>
      <c r="L33" s="41" t="inlineStr">
        <is>
          <t>Gần như vô dụng hiện tại.</t>
        </is>
      </c>
    </row>
    <row r="34" ht="15" customHeight="1" s="32">
      <c r="A34" s="39" t="inlineStr">
        <is>
          <t>long_sam</t>
        </is>
      </c>
      <c r="B34" s="39" t="inlineStr">
        <is>
          <t>Tên lửa phòng không tầm xa</t>
        </is>
      </c>
      <c r="C34" s="39" t="inlineStr">
        <is>
          <t>AntiAir</t>
        </is>
      </c>
      <c r="D34" s="42" t="n">
        <v>11</v>
      </c>
      <c r="E34" s="39" t="inlineStr">
        <is>
          <t>~50 triệu mỗi bệ (tiểu đoàn ~500 triệu)</t>
        </is>
      </c>
      <c r="F34" s="39" t="inlineStr">
        <is>
          <t>máy bay</t>
        </is>
      </c>
      <c r="G34" s="42" t="n">
        <v>601</v>
      </c>
      <c r="H34" s="42" t="n">
        <v>263</v>
      </c>
      <c r="I34" s="56">
        <f>IFERROR(G34/H34,"")</f>
        <v/>
      </c>
      <c r="J34" s="56">
        <f>IFERROR(ROUND(D34*I34,1),"")</f>
        <v/>
      </c>
      <c r="K34" s="42" t="n">
        <v>14</v>
      </c>
      <c r="L34" s="39" t="inlineStr">
        <is>
          <t>Hiệu quả gấp đôi các xe phòng không khác; S-400 ngoài đời cực đắt.</t>
        </is>
      </c>
    </row>
    <row r="35" ht="15" customHeight="1" s="32">
      <c r="A35" s="41" t="inlineStr">
        <is>
          <t>scout_heli</t>
        </is>
      </c>
      <c r="B35" s="41" t="inlineStr">
        <is>
          <t>Trực thăng trinh sát</t>
        </is>
      </c>
      <c r="C35" s="41" t="inlineStr">
        <is>
          <t>Helicopter</t>
        </is>
      </c>
      <c r="D35" s="43" t="n">
        <v>4</v>
      </c>
      <c r="E35" s="41" t="inlineStr">
        <is>
          <t>~5 triệu</t>
        </is>
      </c>
      <c r="F35" s="41" t="inlineStr">
        <is>
          <t>nhẹ+tăng+công sự</t>
        </is>
      </c>
      <c r="G35" s="43" t="n">
        <v>509</v>
      </c>
      <c r="H35" s="43" t="n">
        <v>509</v>
      </c>
      <c r="I35" s="58">
        <f>IFERROR(G35/H35,"")</f>
        <v/>
      </c>
      <c r="J35" s="58">
        <f>IFERROR(ROUND(D35*I35,1),"")</f>
        <v/>
      </c>
      <c r="K35" s="43" t="n">
        <v>5</v>
      </c>
      <c r="L35" s="41" t="inlineStr">
        <is>
          <t>Trực thăng trinh sát đang là thẻ diệt xe nhẹ mạnh nhất.</t>
        </is>
      </c>
    </row>
    <row r="36" ht="15" customHeight="1" s="32">
      <c r="A36" s="39" t="inlineStr">
        <is>
          <t>recon_drone</t>
        </is>
      </c>
      <c r="B36" s="39" t="inlineStr">
        <is>
          <t>UAV trinh sát</t>
        </is>
      </c>
      <c r="C36" s="39" t="inlineStr">
        <is>
          <t>Plane</t>
        </is>
      </c>
      <c r="D36" s="42" t="n">
        <v>6</v>
      </c>
      <c r="E36" s="39" t="inlineStr">
        <is>
          <t>~5 triệu</t>
        </is>
      </c>
      <c r="F36" s="39" t="inlineStr">
        <is>
          <t>nhẹ+tăng+công sự</t>
        </is>
      </c>
      <c r="G36" s="42" t="n">
        <v>111</v>
      </c>
      <c r="H36" s="42" t="n">
        <v>581</v>
      </c>
      <c r="I36" s="56">
        <f>IFERROR(G36/H36,"")</f>
        <v/>
      </c>
      <c r="J36" s="56">
        <f>IFERROR(ROUND(D36*I36,1),"")</f>
        <v/>
      </c>
      <c r="K36" s="42" t="n">
        <v>6</v>
      </c>
      <c r="L36" s="39" t="inlineStr">
        <is>
          <t>Giữ: hiệu quả trong khoảng ±25% trung vị, và thứ tự giá hợp với ngoài đời.</t>
        </is>
      </c>
    </row>
    <row r="37" ht="15" customHeight="1" s="32">
      <c r="A37" s="41"/>
      <c r="B37" s="41"/>
      <c r="C37" s="41"/>
      <c r="D37" s="43"/>
      <c r="E37" s="41"/>
      <c r="F37" s="41"/>
      <c r="G37" s="41"/>
      <c r="H37" s="43"/>
      <c r="I37" s="58"/>
      <c r="J37" s="58"/>
      <c r="K37" s="43"/>
      <c r="L37" s="41"/>
    </row>
    <row r="38" ht="15" customHeight="1" s="32">
      <c r="A38" s="39" t="inlineStr">
        <is>
          <t>strike_drone</t>
        </is>
      </c>
      <c r="B38" s="39" t="inlineStr">
        <is>
          <t>UAV tấn công</t>
        </is>
      </c>
      <c r="C38" s="39" t="inlineStr">
        <is>
          <t>Plane</t>
        </is>
      </c>
      <c r="D38" s="42" t="n">
        <v>8</v>
      </c>
      <c r="E38" s="39" t="inlineStr">
        <is>
          <t>~30 triệu</t>
        </is>
      </c>
      <c r="F38" s="39" t="inlineStr">
        <is>
          <t>nhẹ+tăng+công sự</t>
        </is>
      </c>
      <c r="G38" s="42" t="n">
        <v>624</v>
      </c>
      <c r="H38" s="42" t="n">
        <v>581</v>
      </c>
      <c r="I38" s="56">
        <f>IFERROR(G38/H38,"")</f>
        <v/>
      </c>
      <c r="J38" s="56">
        <f>IFERROR(ROUND(D38*I38,1),"")</f>
        <v/>
      </c>
      <c r="K38" s="42" t="n">
        <v>9</v>
      </c>
      <c r="L38" s="39" t="inlineStr">
        <is>
          <t>Vẫn mạnh gấp rưỡi xe diệt tăng cùng giá khi không có phòng không.</t>
        </is>
      </c>
    </row>
    <row r="39" ht="21.75" customHeight="1" s="32">
      <c r="A39" s="41" t="inlineStr">
        <is>
          <t>swarm_carrier</t>
        </is>
      </c>
      <c r="B39" s="41" t="inlineStr">
        <is>
          <t>Máy bay mẹ thả drone</t>
        </is>
      </c>
      <c r="C39" s="41" t="inlineStr">
        <is>
          <t>Plane</t>
        </is>
      </c>
      <c r="D39" s="43" t="n">
        <v>8</v>
      </c>
      <c r="E39" s="41" t="inlineStr">
        <is>
          <t>~70 triệu</t>
        </is>
      </c>
      <c r="F39" s="41" t="inlineStr">
        <is>
          <t>nhẹ+tăng+công sự</t>
        </is>
      </c>
      <c r="G39" s="43" t="n">
        <v>443</v>
      </c>
      <c r="H39" s="43" t="n">
        <v>581</v>
      </c>
      <c r="I39" s="58">
        <f>IFERROR(G39/H39,"")</f>
        <v/>
      </c>
      <c r="J39" s="58">
        <f>IFERROR(ROUND(D39*I39,1),"")</f>
        <v/>
      </c>
      <c r="K39" s="43" t="n">
        <v>13</v>
      </c>
      <c r="L39" s="41" t="inlineStr">
        <is>
          <t>Ngang tầm máy bay lớn khác sau khi có thêm tên lửa hành trình; C-130 ngoài đời ~70 triệu USD, đắt hơn Apache.</t>
        </is>
      </c>
    </row>
    <row r="40" ht="15" customHeight="1" s="32">
      <c r="A40" s="39" t="inlineStr">
        <is>
          <t>attack_helicopter</t>
        </is>
      </c>
      <c r="B40" s="39" t="inlineStr">
        <is>
          <t>Trực thăng tấn công</t>
        </is>
      </c>
      <c r="C40" s="39" t="inlineStr">
        <is>
          <t>Helicopter</t>
        </is>
      </c>
      <c r="D40" s="42" t="n">
        <v>11</v>
      </c>
      <c r="E40" s="39" t="inlineStr">
        <is>
          <t>~35 triệu</t>
        </is>
      </c>
      <c r="F40" s="39" t="inlineStr">
        <is>
          <t>nhẹ+tăng+công sự</t>
        </is>
      </c>
      <c r="G40" s="42" t="n">
        <v>338</v>
      </c>
      <c r="H40" s="42" t="n">
        <v>509</v>
      </c>
      <c r="I40" s="56">
        <f>IFERROR(G40/H40,"")</f>
        <v/>
      </c>
      <c r="J40" s="56">
        <f>IFERROR(ROUND(D40*I40,1),"")</f>
        <v/>
      </c>
      <c r="K40" s="42" t="n">
        <v>9</v>
      </c>
      <c r="L40" s="39" t="inlineStr">
        <is>
          <t>Yếu hơn các trực thăng khác tính theo CP.</t>
        </is>
      </c>
    </row>
    <row r="41" ht="15" customHeight="1" s="32">
      <c r="A41" s="41" t="inlineStr">
        <is>
          <t>fighter_jet</t>
        </is>
      </c>
      <c r="B41" s="41" t="inlineStr">
        <is>
          <t>Tiêm kích</t>
        </is>
      </c>
      <c r="C41" s="41" t="inlineStr">
        <is>
          <t>Plane</t>
        </is>
      </c>
      <c r="D41" s="43" t="n">
        <v>12</v>
      </c>
      <c r="E41" s="41" t="inlineStr">
        <is>
          <t>~30–40 triệu (Su-27)</t>
        </is>
      </c>
      <c r="F41" s="41" t="inlineStr">
        <is>
          <t>nhẹ+tăng+công sự</t>
        </is>
      </c>
      <c r="G41" s="41" t="n"/>
      <c r="H41" s="43" t="n">
        <v>581</v>
      </c>
      <c r="I41" s="58">
        <f>IFERROR(G41/H41,"")</f>
        <v/>
      </c>
      <c r="J41" s="58">
        <f>IFERROR(ROUND(D41*I41,1),"")</f>
        <v/>
      </c>
      <c r="K41" s="43" t="n">
        <v>12</v>
      </c>
      <c r="L41" s="41" t="inlineStr">
        <is>
          <t>Giữ: hiệu quả trong khoảng ±25% trung vị, và thứ tự giá hợp với ngoài đời.</t>
        </is>
      </c>
    </row>
    <row r="42" ht="15" customHeight="1" s="32">
      <c r="A42" s="39" t="inlineStr">
        <is>
          <t>stealth_fighter</t>
        </is>
      </c>
      <c r="B42" s="39" t="inlineStr">
        <is>
          <t>Tiêm kích tàng hình</t>
        </is>
      </c>
      <c r="C42" s="39" t="inlineStr">
        <is>
          <t>Plane</t>
        </is>
      </c>
      <c r="D42" s="42" t="n">
        <v>14</v>
      </c>
      <c r="E42" s="39" t="inlineStr">
        <is>
          <t>~40–80 triệu (Su-57 / F-35)</t>
        </is>
      </c>
      <c r="F42" s="39" t="inlineStr">
        <is>
          <t>nhẹ+tăng+công sự</t>
        </is>
      </c>
      <c r="G42" s="42" t="n">
        <v>190</v>
      </c>
      <c r="H42" s="42" t="n">
        <v>581</v>
      </c>
      <c r="I42" s="56">
        <f>IFERROR(G42/H42,"")</f>
        <v/>
      </c>
      <c r="J42" s="56">
        <f>IFERROR(ROUND(D42*I42,1),"")</f>
        <v/>
      </c>
      <c r="K42" s="42" t="n">
        <v>13</v>
      </c>
      <c r="L42" s="39" t="inlineStr">
        <is>
          <t>Giữ: hiệu quả trong khoảng ±25% trung vị, và thứ tự giá hợp với ngoài đời.</t>
        </is>
      </c>
    </row>
    <row r="43" ht="21.75" customHeight="1" s="32">
      <c r="A43" s="41"/>
      <c r="B43" s="41"/>
      <c r="C43" s="41"/>
      <c r="D43" s="43"/>
      <c r="E43" s="41"/>
      <c r="F43" s="41"/>
      <c r="G43" s="43"/>
      <c r="H43" s="43"/>
      <c r="I43" s="58"/>
      <c r="J43" s="58"/>
      <c r="K43" s="43"/>
      <c r="L43" s="41"/>
    </row>
    <row r="44" ht="15" customHeight="1" s="32">
      <c r="A44" s="39" t="inlineStr">
        <is>
          <t>attack_jet</t>
        </is>
      </c>
      <c r="B44" s="39" t="inlineStr">
        <is>
          <t>Máy bay cường kích</t>
        </is>
      </c>
      <c r="C44" s="39" t="inlineStr">
        <is>
          <t>Plane</t>
        </is>
      </c>
      <c r="D44" s="42" t="n">
        <v>16</v>
      </c>
      <c r="E44" s="39" t="inlineStr">
        <is>
          <t>~11–19 triệu</t>
        </is>
      </c>
      <c r="F44" s="39" t="inlineStr">
        <is>
          <t>nhẹ+tăng+công sự</t>
        </is>
      </c>
      <c r="G44" s="42" t="n">
        <v>740</v>
      </c>
      <c r="H44" s="42" t="n">
        <v>581</v>
      </c>
      <c r="I44" s="56">
        <f>IFERROR(G44/H44,"")</f>
        <v/>
      </c>
      <c r="J44" s="56">
        <f>IFERROR(ROUND(D44*I44,1),"")</f>
        <v/>
      </c>
      <c r="K44" s="42" t="n">
        <v>18</v>
      </c>
      <c r="L44" s="39" t="inlineStr">
        <is>
          <t>Mạnh nhất nhóm máy bay tính theo CP.</t>
        </is>
      </c>
    </row>
    <row r="45" ht="21.75" customHeight="1" s="32">
      <c r="A45" s="41" t="inlineStr">
        <is>
          <t>stealth_bomber</t>
        </is>
      </c>
      <c r="B45" s="41" t="inlineStr">
        <is>
          <t>Máy bay ném bom tàng hình</t>
        </is>
      </c>
      <c r="C45" s="41" t="inlineStr">
        <is>
          <t>Plane</t>
        </is>
      </c>
      <c r="D45" s="43" t="n">
        <v>18</v>
      </c>
      <c r="E45" s="41" t="inlineStr">
        <is>
          <t>~2 tỷ</t>
        </is>
      </c>
      <c r="F45" s="41" t="inlineStr">
        <is>
          <t>nhẹ+tăng+công sự</t>
        </is>
      </c>
      <c r="G45" s="43" t="n">
        <v>581</v>
      </c>
      <c r="H45" s="43" t="n">
        <v>581</v>
      </c>
      <c r="I45" s="58">
        <f>IFERROR(G45/H45,"")</f>
        <v/>
      </c>
      <c r="J45" s="58">
        <f>IFERROR(ROUND(D45*I45,1),"")</f>
        <v/>
      </c>
      <c r="K45" s="43" t="n">
        <v>21</v>
      </c>
      <c r="L45" s="41" t="inlineStr">
        <is>
          <t>Máy bay ném bom tàng hình đắt nhất thế giới lại rẻ hơn B-52; hiệu quả sau đổi giá vẫn gần trung vị.</t>
        </is>
      </c>
    </row>
    <row r="46" ht="15" customHeight="1" s="32">
      <c r="A46" s="39" t="inlineStr">
        <is>
          <t>heavy_bomber</t>
        </is>
      </c>
      <c r="B46" s="39" t="inlineStr">
        <is>
          <t>Oanh tạc cơ hạng nặng</t>
        </is>
      </c>
      <c r="C46" s="39" t="inlineStr">
        <is>
          <t>Plane</t>
        </is>
      </c>
      <c r="D46" s="42" t="n">
        <v>22</v>
      </c>
      <c r="E46" s="39" t="inlineStr">
        <is>
          <t>~85 triệu (thời giá gốc)</t>
        </is>
      </c>
      <c r="F46" s="39" t="inlineStr">
        <is>
          <t>nhẹ+tăng+công sự</t>
        </is>
      </c>
      <c r="G46" s="42" t="n">
        <v>657</v>
      </c>
      <c r="H46" s="42" t="n">
        <v>581</v>
      </c>
      <c r="I46" s="56">
        <f>IFERROR(G46/H46,"")</f>
        <v/>
      </c>
      <c r="J46" s="56">
        <f>IFERROR(ROUND(D46*I46,1),"")</f>
        <v/>
      </c>
      <c r="K46" s="42" t="n">
        <v>22</v>
      </c>
      <c r="L46" s="39" t="inlineStr">
        <is>
          <t>Giữ: hiệu quả trong khoảng ±25% trung vị, và thứ tự giá hợp với ngoài đời.</t>
        </is>
      </c>
    </row>
    <row r="47" ht="15" customHeight="1" s="32">
      <c r="A47" s="41" t="inlineStr">
        <is>
          <t>sky_gunship</t>
        </is>
      </c>
      <c r="B47" s="41" t="inlineStr">
        <is>
          <t>Pháo hạm AC-130</t>
        </is>
      </c>
      <c r="C47" s="41" t="n"/>
      <c r="D47" s="43" t="n">
        <v>22</v>
      </c>
      <c r="E47" s="41" t="inlineStr">
        <is>
          <t>~165 triệu (AC-130J)</t>
        </is>
      </c>
      <c r="F47" s="41" t="n"/>
      <c r="G47" s="41" t="n"/>
      <c r="H47" s="41" t="n"/>
      <c r="I47" s="58">
        <f>IFERROR(G47/H47,"")</f>
        <v/>
      </c>
      <c r="J47" s="58">
        <f>IFERROR(ROUND(D47*I47,1),"")</f>
        <v/>
      </c>
      <c r="K47" s="43" t="n">
        <v>22</v>
      </c>
      <c r="L47" s="41" t="inlineStr">
        <is>
          <t>Không có số đo (xe hỗ trợ hoặc boss hộ tống).</t>
        </is>
      </c>
    </row>
    <row r="48" ht="15" customHeight="1" s="32">
      <c r="A48" s="39"/>
      <c r="B48" s="39"/>
      <c r="C48" s="39"/>
      <c r="D48" s="42"/>
      <c r="E48" s="39"/>
      <c r="F48" s="39"/>
      <c r="G48" s="42"/>
      <c r="H48" s="42"/>
      <c r="I48" s="56"/>
      <c r="J48" s="56"/>
      <c r="K48" s="42"/>
      <c r="L48" s="39"/>
    </row>
    <row r="49" ht="15" customHeight="1" s="32">
      <c r="A49" s="41" t="inlineStr">
        <is>
          <t>armored_bulldozer</t>
        </is>
      </c>
      <c r="B49" s="41" t="inlineStr">
        <is>
          <t>Xe ủi bọc thép</t>
        </is>
      </c>
      <c r="C49" s="41" t="inlineStr">
        <is>
          <t>Heavy</t>
        </is>
      </c>
      <c r="D49" s="43" t="n">
        <v>7</v>
      </c>
      <c r="E49" s="41" t="inlineStr">
        <is>
          <t>~1–2 triệu</t>
        </is>
      </c>
      <c r="F49" s="41" t="inlineStr">
        <is>
          <t>nhẹ+tăng+công sự</t>
        </is>
      </c>
      <c r="G49" s="43" t="n">
        <v>376</v>
      </c>
      <c r="H49" s="43" t="n">
        <v>393</v>
      </c>
      <c r="I49" s="58">
        <f>IFERROR(G49/H49,"")</f>
        <v/>
      </c>
      <c r="J49" s="58">
        <f>IFERROR(ROUND(D49*I49,1),"")</f>
        <v/>
      </c>
      <c r="K49" s="43" t="n">
        <v>7</v>
      </c>
      <c r="L49" s="41" t="inlineStr">
        <is>
          <t>Giữ: hiệu quả trong khoảng ±25% trung vị, và thứ tự giá hợp với ngoài đời.</t>
        </is>
      </c>
    </row>
    <row r="50" ht="15" customHeight="1" s="32">
      <c r="A50" s="39" t="inlineStr">
        <is>
          <t>main_battle_tank</t>
        </is>
      </c>
      <c r="B50" s="39" t="inlineStr">
        <is>
          <t>Tăng chủ lực</t>
        </is>
      </c>
      <c r="C50" s="39" t="inlineStr">
        <is>
          <t>Heavy</t>
        </is>
      </c>
      <c r="D50" s="42" t="n">
        <v>7</v>
      </c>
      <c r="E50" s="39" t="inlineStr">
        <is>
          <t>~6–9 triệu</t>
        </is>
      </c>
      <c r="F50" s="39" t="inlineStr">
        <is>
          <t>nhẹ+tăng+công sự</t>
        </is>
      </c>
      <c r="G50" s="42" t="n">
        <v>332</v>
      </c>
      <c r="H50" s="42" t="n">
        <v>393</v>
      </c>
      <c r="I50" s="56">
        <f>IFERROR(G50/H50,"")</f>
        <v/>
      </c>
      <c r="J50" s="56">
        <f>IFERROR(ROUND(D50*I50,1),"")</f>
        <v/>
      </c>
      <c r="K50" s="42" t="n">
        <v>7</v>
      </c>
      <c r="L50" s="39" t="inlineStr">
        <is>
          <t>Giữ: hiệu quả trong khoảng ±25% trung vị, và thứ tự giá hợp với ngoài đời.</t>
        </is>
      </c>
    </row>
    <row r="51" ht="15" customHeight="1" s="32">
      <c r="A51" s="41" t="inlineStr">
        <is>
          <t>twin_tank</t>
        </is>
      </c>
      <c r="B51" s="41" t="inlineStr">
        <is>
          <t>Tăng hai nòng</t>
        </is>
      </c>
      <c r="C51" s="41" t="inlineStr">
        <is>
          <t>Heavy</t>
        </is>
      </c>
      <c r="D51" s="43" t="n">
        <v>9</v>
      </c>
      <c r="E51" s="41" t="inlineStr">
        <is>
          <t>— (giả tưởng)</t>
        </is>
      </c>
      <c r="F51" s="41" t="inlineStr">
        <is>
          <t>nhẹ+tăng+công sự</t>
        </is>
      </c>
      <c r="G51" s="43" t="n">
        <v>410</v>
      </c>
      <c r="H51" s="43" t="n">
        <v>393</v>
      </c>
      <c r="I51" s="58">
        <f>IFERROR(G51/H51,"")</f>
        <v/>
      </c>
      <c r="J51" s="58">
        <f>IFERROR(ROUND(D51*I51,1),"")</f>
        <v/>
      </c>
      <c r="K51" s="43" t="n">
        <v>9</v>
      </c>
      <c r="L51" s="41" t="inlineStr">
        <is>
          <t>Giữ: hiệu quả trong khoảng ±25% trung vị, và thứ tự giá hợp với ngoài đời.</t>
        </is>
      </c>
    </row>
    <row r="52" ht="15" customHeight="1" s="32">
      <c r="A52" s="39" t="inlineStr">
        <is>
          <t>heavy_tank</t>
        </is>
      </c>
      <c r="B52" s="39" t="inlineStr">
        <is>
          <t>Tăng hạng nặng</t>
        </is>
      </c>
      <c r="C52" s="39" t="inlineStr">
        <is>
          <t>Heavy</t>
        </is>
      </c>
      <c r="D52" s="42" t="n">
        <v>12</v>
      </c>
      <c r="E52" s="39" t="inlineStr">
        <is>
          <t>~10 triệu (nguyên mẫu)</t>
        </is>
      </c>
      <c r="F52" s="39" t="inlineStr">
        <is>
          <t>nhẹ+tăng+công sự</t>
        </is>
      </c>
      <c r="G52" s="42" t="n">
        <v>455</v>
      </c>
      <c r="H52" s="42" t="n">
        <v>393</v>
      </c>
      <c r="I52" s="56">
        <f>IFERROR(G52/H52,"")</f>
        <v/>
      </c>
      <c r="J52" s="56">
        <f>IFERROR(ROUND(D52*I52,1),"")</f>
        <v/>
      </c>
      <c r="K52" s="42" t="n">
        <v>13</v>
      </c>
      <c r="L52" s="39" t="inlineStr">
        <is>
          <t>Giữ: hiệu quả trong khoảng ±25% trung vị, và thứ tự giá hợp với ngoài đời.</t>
        </is>
      </c>
    </row>
    <row r="53" ht="15" customHeight="1" s="32">
      <c r="A53" s="41" t="inlineStr">
        <is>
          <t>titan_tank</t>
        </is>
      </c>
      <c r="B53" s="41" t="inlineStr">
        <is>
          <t>Siêu tăng Titan</t>
        </is>
      </c>
      <c r="C53" s="41" t="inlineStr">
        <is>
          <t>Heavy</t>
        </is>
      </c>
      <c r="D53" s="43" t="n">
        <v>16</v>
      </c>
      <c r="E53" s="41" t="inlineStr">
        <is>
          <t>— (giả tưởng)</t>
        </is>
      </c>
      <c r="F53" s="41" t="inlineStr">
        <is>
          <t>nhẹ+tăng+công sự</t>
        </is>
      </c>
      <c r="G53" s="43" t="n">
        <v>534</v>
      </c>
      <c r="H53" s="43" t="n">
        <v>393</v>
      </c>
      <c r="I53" s="58">
        <f>IFERROR(G53/H53,"")</f>
        <v/>
      </c>
      <c r="J53" s="58">
        <f>IFERROR(ROUND(D53*I53,1),"")</f>
        <v/>
      </c>
      <c r="K53" s="43" t="n">
        <v>18</v>
      </c>
      <c r="L53" s="41" t="inlineStr">
        <is>
          <t>Giữ: hiệu quả trong khoảng ±25% trung vị, và thứ tự giá hợp với ngoài đời.</t>
        </is>
      </c>
    </row>
    <row r="54" ht="15" customHeight="1" s="32">
      <c r="A54" s="39" t="inlineStr">
        <is>
          <t>fpv_carrier</t>
        </is>
      </c>
      <c r="B54" s="39" t="inlineStr">
        <is>
          <t>Xe phóng drone FPV</t>
        </is>
      </c>
      <c r="C54" s="39" t="inlineStr">
        <is>
          <t>TankHunter</t>
        </is>
      </c>
      <c r="D54" s="42" t="n">
        <v>6</v>
      </c>
      <c r="E54" s="39" t="inlineStr">
        <is>
          <t>~0,6 triệu xe + ~500 USD/drone</t>
        </is>
      </c>
      <c r="F54" s="39" t="inlineStr">
        <is>
          <t>tăng</t>
        </is>
      </c>
      <c r="G54" s="42" t="n">
        <v>500</v>
      </c>
      <c r="H54" s="42" t="n">
        <v>466</v>
      </c>
      <c r="I54" s="56">
        <f>IFERROR(G54/H54,"")</f>
        <v/>
      </c>
      <c r="J54" s="56">
        <f>IFERROR(ROUND(D54*I54,1),"")</f>
        <v/>
      </c>
      <c r="K54" s="42" t="n">
        <v>6</v>
      </c>
      <c r="L54" s="39" t="inlineStr">
        <is>
          <t>Giữ: hiệu quả trong khoảng ±25% trung vị, và thứ tự giá hợp với ngoài đời.</t>
        </is>
      </c>
    </row>
    <row r="55" ht="15" customHeight="1" s="32">
      <c r="A55" s="41"/>
      <c r="B55" s="41"/>
      <c r="C55" s="41"/>
      <c r="D55" s="43"/>
      <c r="E55" s="41"/>
      <c r="F55" s="41"/>
      <c r="G55" s="43"/>
      <c r="H55" s="43"/>
      <c r="I55" s="58"/>
      <c r="J55" s="58"/>
      <c r="K55" s="43"/>
      <c r="L55" s="41"/>
    </row>
    <row r="56" ht="15" customHeight="1" s="32">
      <c r="A56" s="39" t="inlineStr">
        <is>
          <t>wheeled_gun</t>
        </is>
      </c>
      <c r="B56" s="39" t="inlineStr">
        <is>
          <t>Pháo bánh lốp diệt tăng</t>
        </is>
      </c>
      <c r="C56" s="39" t="inlineStr">
        <is>
          <t>TankHunter</t>
        </is>
      </c>
      <c r="D56" s="42" t="n">
        <v>6</v>
      </c>
      <c r="E56" s="39" t="inlineStr">
        <is>
          <t>~9 triệu</t>
        </is>
      </c>
      <c r="F56" s="39" t="inlineStr">
        <is>
          <t>tăng</t>
        </is>
      </c>
      <c r="G56" s="42" t="n">
        <v>469</v>
      </c>
      <c r="H56" s="42" t="n">
        <v>466</v>
      </c>
      <c r="I56" s="56">
        <f>IFERROR(G56/H56,"")</f>
        <v/>
      </c>
      <c r="J56" s="56">
        <f>IFERROR(ROUND(D56*I56,1),"")</f>
        <v/>
      </c>
      <c r="K56" s="42" t="n">
        <v>6</v>
      </c>
      <c r="L56" s="39" t="inlineStr">
        <is>
          <t>Giữ: hiệu quả trong khoảng ±25% trung vị, và thứ tự giá hợp với ngoài đời.</t>
        </is>
      </c>
    </row>
    <row r="57" ht="15" customHeight="1" s="32">
      <c r="A57" s="41" t="inlineStr">
        <is>
          <t>tank_destroyer</t>
        </is>
      </c>
      <c r="B57" s="41" t="inlineStr">
        <is>
          <t>Pháo chống tăng</t>
        </is>
      </c>
      <c r="C57" s="41" t="inlineStr">
        <is>
          <t>TankHunter</t>
        </is>
      </c>
      <c r="D57" s="43" t="n">
        <v>7</v>
      </c>
      <c r="E57" s="41" t="inlineStr">
        <is>
          <t>~3–4 triệu</t>
        </is>
      </c>
      <c r="F57" s="41" t="inlineStr">
        <is>
          <t>tăng</t>
        </is>
      </c>
      <c r="G57" s="43" t="n">
        <v>366</v>
      </c>
      <c r="H57" s="43" t="n">
        <v>466</v>
      </c>
      <c r="I57" s="58">
        <f>IFERROR(G57/H57,"")</f>
        <v/>
      </c>
      <c r="J57" s="58">
        <f>IFERROR(ROUND(D57*I57,1),"")</f>
        <v/>
      </c>
      <c r="K57" s="43" t="n">
        <v>6</v>
      </c>
      <c r="L57" s="41" t="inlineStr">
        <is>
          <t>2S25 Sprut-SD là pháo chống tăng thả dù, giáp rất mỏng.</t>
        </is>
      </c>
    </row>
    <row r="58" ht="15" customHeight="1" s="32">
      <c r="A58" s="39" t="inlineStr">
        <is>
          <t>railgun_truck</t>
        </is>
      </c>
      <c r="B58" s="39" t="inlineStr">
        <is>
          <t>Xe súng điện từ</t>
        </is>
      </c>
      <c r="C58" s="39" t="inlineStr">
        <is>
          <t>TankHunter</t>
        </is>
      </c>
      <c r="D58" s="42" t="n">
        <v>9</v>
      </c>
      <c r="E58" s="39" t="inlineStr">
        <is>
          <t>— (giả tưởng)</t>
        </is>
      </c>
      <c r="F58" s="39" t="inlineStr">
        <is>
          <t>tăng</t>
        </is>
      </c>
      <c r="G58" s="42" t="n">
        <v>570</v>
      </c>
      <c r="H58" s="42" t="n">
        <v>466</v>
      </c>
      <c r="I58" s="56">
        <f>IFERROR(G58/H58,"")</f>
        <v/>
      </c>
      <c r="J58" s="56">
        <f>IFERROR(ROUND(D58*I58,1),"")</f>
        <v/>
      </c>
      <c r="K58" s="42" t="n">
        <v>10</v>
      </c>
      <c r="L58" s="39" t="inlineStr">
        <is>
          <t>Mạnh nhất nhóm diệt tăng.</t>
        </is>
      </c>
    </row>
    <row r="59" ht="15" customHeight="1" s="32">
      <c r="A59" s="41" t="inlineStr">
        <is>
          <t>laser_tank</t>
        </is>
      </c>
      <c r="B59" s="41" t="inlineStr">
        <is>
          <t>Xe la-de tập trung</t>
        </is>
      </c>
      <c r="C59" s="41" t="inlineStr">
        <is>
          <t>TankHunter</t>
        </is>
      </c>
      <c r="D59" s="43" t="n">
        <v>10</v>
      </c>
      <c r="E59" s="41" t="inlineStr">
        <is>
          <t>— (giả tưởng)</t>
        </is>
      </c>
      <c r="F59" s="41" t="inlineStr">
        <is>
          <t>tăng</t>
        </is>
      </c>
      <c r="G59" s="43" t="n">
        <v>335</v>
      </c>
      <c r="H59" s="43" t="n">
        <v>466</v>
      </c>
      <c r="I59" s="58">
        <f>IFERROR(G59/H59,"")</f>
        <v/>
      </c>
      <c r="J59" s="58">
        <f>IFERROR(ROUND(D59*I59,1),"")</f>
        <v/>
      </c>
      <c r="K59" s="43" t="n">
        <v>9</v>
      </c>
      <c r="L59" s="41" t="inlineStr">
        <is>
          <t>Kém Pháo điện từ rẻ hơn ở chính vai trò diệt tăng.</t>
        </is>
      </c>
    </row>
  </sheetData>
  <autoFilter ref="A1:L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E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1" min="1" max="1"/>
    <col width="34" customWidth="1" style="31" min="2" max="2"/>
    <col width="60" customWidth="1" style="31" min="3" max="4"/>
    <col width="8" customWidth="1" style="31" min="5" max="5"/>
  </cols>
  <sheetData>
    <row r="1" ht="42" customHeight="1" s="32">
      <c r="A1" s="37" t="inlineStr">
        <is>
          <t>Thẻ</t>
        </is>
      </c>
      <c r="B1" s="44" t="inlineStr">
        <is>
          <t>Hiện tại</t>
        </is>
      </c>
      <c r="C1" s="45" t="inlineStr">
        <is>
          <t>Đề xuất</t>
        </is>
      </c>
      <c r="D1" s="46" t="inlineStr">
        <is>
          <t>Lý do thay đổi</t>
        </is>
      </c>
      <c r="E1" s="46" t="inlineStr">
        <is>
          <t>Ưu tiên</t>
        </is>
      </c>
    </row>
    <row r="2" ht="21.75" customHeight="1" s="32">
      <c r="A2" s="39" t="inlineStr">
        <is>
          <t>Không kích</t>
        </is>
      </c>
      <c r="B2" s="39" t="inlineStr">
        <is>
          <t>9 CP · 6 quả × 800 · bán kính 6</t>
        </is>
      </c>
      <c r="C2" s="39" t="inlineStr">
        <is>
          <t>4 quả FAB-500 × 420, bán kính 10 m (theo thang bom), giữ 9 CP; hoặc 6 quả FAB-250 × 310, bán kính 8 m, 8 CP.</t>
        </is>
      </c>
      <c r="D2" s="39" t="inlineStr">
        <is>
          <t>800 mỗi quả tương đương bom ~900 kg, cao hơn bom FAB-500 trên Oanh tạc cơ (420) và đi ngược hướng giảm đã đề ra (400).</t>
        </is>
      </c>
      <c r="E2" s="47" t="inlineStr">
        <is>
          <t>Cao</t>
        </is>
      </c>
    </row>
    <row r="3" ht="15" customHeight="1" s="32">
      <c r="A3" s="41" t="inlineStr">
        <is>
          <t>Pháo kích</t>
        </is>
      </c>
      <c r="B3" s="41" t="inlineStr">
        <is>
          <t>5 CP · 8 phát × 320 · bán kính 10</t>
        </is>
      </c>
      <c r="C3" s="41" t="inlineStr">
        <is>
          <t>Bán kính 10→7 m, hoặc 8→6 phát.</t>
        </is>
      </c>
      <c r="D3" s="41" t="inlineStr">
        <is>
          <t>Đạn 155 mm trên pháo có bán kính 7 m nhưng thẻ là 10 m: mạnh so với giá.</t>
        </is>
      </c>
      <c r="E3" s="48" t="inlineStr">
        <is>
          <t>Trung</t>
        </is>
      </c>
    </row>
    <row r="4" ht="21.75" customHeight="1" s="32">
      <c r="A4" s="39" t="inlineStr">
        <is>
          <t>Tên lửa hành trình</t>
        </is>
      </c>
      <c r="B4" s="39" t="inlineStr">
        <is>
          <t>14 CP · 1.040 · bán kính 15</t>
        </is>
      </c>
      <c r="C4" s="39" t="inlineStr">
        <is>
          <t>Sát thương 1.040→600, bán kính 15→10; hoặc giữ sát thương nhưng thành đầu nổ chùm (nhiều điểm nhỏ).</t>
        </is>
      </c>
      <c r="D4" s="39" t="inlineStr">
        <is>
          <t>Tomahawk ngoài đời đầu nổ ~450 kg; theo thang ~420–450, bán kính ~9–10 m. 15 m gần nửa MOAB.</t>
        </is>
      </c>
      <c r="E4" s="48" t="inlineStr">
        <is>
          <t>Trung</t>
        </is>
      </c>
    </row>
    <row r="5" ht="15" customHeight="1" s="32">
      <c r="A5" s="41" t="inlineStr">
        <is>
          <t>Bom napalm</t>
        </is>
      </c>
      <c r="B5" s="41" t="inlineStr">
        <is>
          <t>9 CP · 8 × 300 · bán kính 5</t>
        </is>
      </c>
      <c r="C5" s="41" t="inlineStr">
        <is>
          <t>Giữ.</t>
        </is>
      </c>
      <c r="D5" s="41" t="inlineStr">
        <is>
          <t>Ổn.</t>
        </is>
      </c>
      <c r="E5" s="49" t="inlineStr">
        <is>
          <t>Thấp</t>
        </is>
      </c>
    </row>
    <row r="6" ht="15" customHeight="1" s="32">
      <c r="A6" s="39" t="inlineStr">
        <is>
          <t>Đòn SEAD</t>
        </is>
      </c>
      <c r="B6" s="39" t="inlineStr">
        <is>
          <t>7 CP · 500</t>
        </is>
      </c>
      <c r="C6" s="39" t="inlineStr">
        <is>
          <t>Giữ.</t>
        </is>
      </c>
      <c r="D6" s="39" t="inlineStr">
        <is>
          <t>Ổn.</t>
        </is>
      </c>
      <c r="E6" s="49" t="inlineStr">
        <is>
          <t>Thấp</t>
        </is>
      </c>
    </row>
    <row r="7" ht="21.75" customHeight="1" s="32">
      <c r="A7" s="41" t="inlineStr">
        <is>
          <t>Màn khói, UAV quét, Sửa chữa, Tháp dã chiến</t>
        </is>
      </c>
      <c r="B7" s="41" t="inlineStr">
        <is>
          <t>—</t>
        </is>
      </c>
      <c r="C7" s="41" t="inlineStr">
        <is>
          <t>Giữ.</t>
        </is>
      </c>
      <c r="D7" s="41" t="inlineStr">
        <is>
          <t>Ổn.</t>
        </is>
      </c>
      <c r="E7" s="49" t="inlineStr">
        <is>
          <t>Thấp</t>
        </is>
      </c>
    </row>
  </sheetData>
  <autoFilter ref="A1:E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K1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6" customWidth="1" style="31" min="1" max="1"/>
    <col width="6" customWidth="1" style="31" min="2" max="2"/>
    <col width="7" customWidth="1" style="31" min="3" max="3"/>
    <col width="55" customWidth="1" style="31" min="4" max="4"/>
    <col width="16" customWidth="1" style="31" min="5" max="5"/>
    <col width="12" customWidth="1" style="31" min="6" max="6"/>
    <col width="9" customWidth="1" style="31" min="7" max="7"/>
    <col width="34" customWidth="1" style="31" min="8" max="8"/>
    <col width="45" customWidth="1" style="31" min="9" max="9"/>
    <col width="26" customWidth="1" style="31" min="10" max="10"/>
    <col width="30" customWidth="1" style="31" min="11" max="11"/>
  </cols>
  <sheetData>
    <row r="1" ht="42" customHeight="1" s="32">
      <c r="A1" s="37" t="inlineStr">
        <is>
          <t>Thẻ</t>
        </is>
      </c>
      <c r="B1" s="37" t="inlineStr">
        <is>
          <t>CP</t>
        </is>
      </c>
      <c r="C1" s="37" t="inlineStr">
        <is>
          <t>Hồi (s)</t>
        </is>
      </c>
      <c r="D1" s="37" t="inlineStr">
        <is>
          <t>Tác dụng</t>
        </is>
      </c>
      <c r="E1" s="37" t="inlineStr">
        <is>
          <t>Sát thương</t>
        </is>
      </c>
      <c r="F1" s="37" t="inlineStr">
        <is>
          <t>Vùng</t>
        </is>
      </c>
      <c r="G1" s="37" t="inlineStr">
        <is>
          <t>Thời gian</t>
        </is>
      </c>
      <c r="H1" s="37" t="inlineStr">
        <is>
          <t>Mục đích</t>
        </is>
      </c>
      <c r="I1" s="44" t="inlineStr">
        <is>
          <t>Khác gì thẻ hiện có</t>
        </is>
      </c>
      <c r="J1" s="37" t="inlineStr">
        <is>
          <t>Tham khảo</t>
        </is>
      </c>
      <c r="K1" s="45" t="inlineStr">
        <is>
          <t>Mở khóa đề xuất</t>
        </is>
      </c>
    </row>
    <row r="2" ht="21.75" customHeight="1" s="32">
      <c r="A2" s="39" t="inlineStr">
        <is>
          <t>Bom lượn</t>
        </is>
      </c>
      <c r="B2" s="42" t="n">
        <v>8</v>
      </c>
      <c r="C2" s="42" t="n">
        <v>90</v>
      </c>
      <c r="D2" s="39" t="inlineStr">
        <is>
          <t>Thả 2 bom lượn từ ngoài tầm phòng không gần; bom bay 4 s và bắn hạ được</t>
        </is>
      </c>
      <c r="E2" s="39" t="inlineStr">
        <is>
          <t>2 × 420</t>
        </is>
      </c>
      <c r="F2" s="39" t="inlineStr">
        <is>
          <t>nổ lan 10 m</t>
        </is>
      </c>
      <c r="G2" s="39" t="inlineStr">
        <is>
          <t>—</t>
        </is>
      </c>
      <c r="H2" s="39" t="inlineStr">
        <is>
          <t>Đánh căn cứ có phòng không mạnh</t>
        </is>
      </c>
      <c r="I2" s="39" t="inlineStr">
        <is>
          <t>Không kích phải bay qua mục tiêu; bom lượn thả từ xa nhưng bị bắn hạ</t>
        </is>
      </c>
      <c r="J2" s="39" t="inlineStr">
        <is>
          <t>Su-34 + UMPK</t>
        </is>
      </c>
      <c r="K2" s="39" t="inlineStr">
        <is>
          <t>Cửa hàng: 1.500 xu (CP ≤ 5) / 2.500 xu (CP ≥ 6), hoặc thưởng chương</t>
        </is>
      </c>
    </row>
    <row r="3" ht="15" customHeight="1" s="32">
      <c r="A3" s="41" t="inlineStr">
        <is>
          <t>Đạn pháo dẫn đường</t>
        </is>
      </c>
      <c r="B3" s="43" t="n">
        <v>4</v>
      </c>
      <c r="C3" s="43" t="n">
        <v>45</v>
      </c>
      <c r="D3" s="41" t="inlineStr">
        <is>
          <t>1 phát lựu pháo không tản mát vào đúng điểm chọn</t>
        </is>
      </c>
      <c r="E3" s="41" t="inlineStr">
        <is>
          <t>360</t>
        </is>
      </c>
      <c r="F3" s="41" t="inlineStr">
        <is>
          <t>nổ lan 6 m</t>
        </is>
      </c>
      <c r="G3" s="41" t="inlineStr">
        <is>
          <t>—</t>
        </is>
      </c>
      <c r="H3" s="41" t="inlineStr">
        <is>
          <t>Hạ 1 mục tiêu đứng yên chắc chắn</t>
        </is>
      </c>
      <c r="I3" s="41" t="inlineStr">
        <is>
          <t>Pháo kích là 8 phát tản mát</t>
        </is>
      </c>
      <c r="J3" s="41" t="inlineStr">
        <is>
          <t>M982 Excalibur, Krasnopol</t>
        </is>
      </c>
      <c r="K3" s="41" t="inlineStr">
        <is>
          <t>Cửa hàng: 1.500 xu (CP ≤ 5) / 2.500 xu (CP ≥ 6), hoặc thưởng chương</t>
        </is>
      </c>
    </row>
    <row r="4" ht="21.75" customHeight="1" s="32">
      <c r="A4" s="39" t="inlineStr">
        <is>
          <t>Bom chùm chống tăng</t>
        </is>
      </c>
      <c r="B4" s="42" t="n">
        <v>9</v>
      </c>
      <c r="C4" s="42" t="n">
        <v>90</v>
      </c>
      <c r="D4" s="39" t="inlineStr">
        <is>
          <t>10 đầu đạn con tự tìm xe trong vùng, đánh nóc</t>
        </is>
      </c>
      <c r="E4" s="39" t="inlineStr">
        <is>
          <t>10 × 160 (xuyên 4)</t>
        </is>
      </c>
      <c r="F4" s="39" t="inlineStr">
        <is>
          <t>vùng 25 m</t>
        </is>
      </c>
      <c r="G4" s="39" t="inlineStr">
        <is>
          <t>—</t>
        </is>
      </c>
      <c r="H4" s="39" t="inlineStr">
        <is>
          <t>Diệt cụm xe tăng</t>
        </is>
      </c>
      <c r="I4" s="39" t="inlineStr">
        <is>
          <t>Không kích/Bom napalm mạnh với xe nhẹ và công trình, yếu với tăng</t>
        </is>
      </c>
      <c r="J4" s="39" t="inlineStr">
        <is>
          <t>CBU-97 SFW</t>
        </is>
      </c>
      <c r="K4" s="39" t="inlineStr">
        <is>
          <t>Cửa hàng: 1.500 xu (CP ≤ 5) / 2.500 xu (CP ≥ 6), hoặc thưởng chương</t>
        </is>
      </c>
    </row>
    <row r="5" ht="21.75" customHeight="1" s="32">
      <c r="A5" s="41" t="inlineStr">
        <is>
          <t>UAV lượn tấn công</t>
        </is>
      </c>
      <c r="B5" s="43" t="n">
        <v>6</v>
      </c>
      <c r="C5" s="43" t="n">
        <v>75</v>
      </c>
      <c r="D5" s="41" t="inlineStr">
        <is>
          <t>Một UAV lượn trên vùng 20 s, tự bắn 3 tên lửa vào xe địch mạnh nhất</t>
        </is>
      </c>
      <c r="E5" s="41" t="inlineStr">
        <is>
          <t>3 × 260</t>
        </is>
      </c>
      <c r="F5" s="41" t="inlineStr">
        <is>
          <t>vùng 40 m</t>
        </is>
      </c>
      <c r="G5" s="41" t="inlineStr">
        <is>
          <t>20 s</t>
        </is>
      </c>
      <c r="H5" s="41" t="inlineStr">
        <is>
          <t>Yểm trợ kéo dài, bị phòng không bắn hạ được</t>
        </is>
      </c>
      <c r="I5" s="41" t="inlineStr">
        <is>
          <t>Các thẻ khác là đòn tức thì</t>
        </is>
      </c>
      <c r="J5" s="41" t="inlineStr">
        <is>
          <t>MQ-9 / TB2 trên trời</t>
        </is>
      </c>
      <c r="K5" s="41" t="inlineStr">
        <is>
          <t>Cửa hàng: 1.500 xu (CP ≤ 5) / 2.500 xu (CP ≥ 6), hoặc thưởng chương</t>
        </is>
      </c>
    </row>
    <row r="6" ht="15" customHeight="1" s="32">
      <c r="A6" s="39" t="inlineStr">
        <is>
          <t>Thả dù tiếp đạn</t>
        </is>
      </c>
      <c r="B6" s="42" t="n">
        <v>3</v>
      </c>
      <c r="C6" s="42" t="n">
        <v>60</v>
      </c>
      <c r="D6" s="39" t="inlineStr">
        <is>
          <t>Nạp đầy đạn cho mọi xe ta trong vùng</t>
        </is>
      </c>
      <c r="E6" s="39" t="inlineStr">
        <is>
          <t>—</t>
        </is>
      </c>
      <c r="F6" s="39" t="inlineStr">
        <is>
          <t>vùng 15 m</t>
        </is>
      </c>
      <c r="G6" s="39" t="inlineStr">
        <is>
          <t>—</t>
        </is>
      </c>
      <c r="H6" s="39" t="inlineStr">
        <is>
          <t>Giữ nhịp cho pháo binh và máy bay hết đạn</t>
        </is>
      </c>
      <c r="I6" s="39" t="inlineStr">
        <is>
          <t>Sửa chữa chỉ hồi máu</t>
        </is>
      </c>
      <c r="J6" s="39" t="inlineStr">
        <is>
          <t>Thả dù tiếp tế</t>
        </is>
      </c>
      <c r="K6" s="39" t="inlineStr">
        <is>
          <t>Cửa hàng: 1.500 xu (CP ≤ 5) / 2.500 xu (CP ≥ 6), hoặc thưởng chương</t>
        </is>
      </c>
    </row>
    <row r="7" ht="21.75" customHeight="1" s="32">
      <c r="A7" s="41" t="inlineStr">
        <is>
          <t>Bão gây nhiễu</t>
        </is>
      </c>
      <c r="B7" s="43" t="n">
        <v>5</v>
      </c>
      <c r="C7" s="43" t="n">
        <v>90</v>
      </c>
      <c r="D7" s="41" t="inlineStr">
        <is>
          <t>Vùng gây nhiễu: drone địch rơi, tên lửa dẫn đường của địch trượt 60%, bản đồ nhỏ địch mất vùng đó</t>
        </is>
      </c>
      <c r="E7" s="41" t="inlineStr">
        <is>
          <t>—</t>
        </is>
      </c>
      <c r="F7" s="41" t="inlineStr">
        <is>
          <t>vùng 30 m</t>
        </is>
      </c>
      <c r="G7" s="41" t="inlineStr">
        <is>
          <t>10 s</t>
        </is>
      </c>
      <c r="H7" s="41" t="inlineStr">
        <is>
          <t>Chặn một đợt drone hoặc tên lửa</t>
        </is>
      </c>
      <c r="I7" s="41" t="inlineStr">
        <is>
          <t>Màn khói chặn tầm nhìn và laser, không chặn dẫn đường vô tuyến</t>
        </is>
      </c>
      <c r="J7" s="41" t="inlineStr">
        <is>
          <t>Krasukha, Pole-21</t>
        </is>
      </c>
      <c r="K7" s="41" t="inlineStr">
        <is>
          <t>Cửa hàng: 1.500 xu (CP ≤ 5) / 2.500 xu (CP ≥ 6), hoặc thưởng chương</t>
        </is>
      </c>
    </row>
    <row r="8" ht="21.75" customHeight="1" s="32">
      <c r="A8" s="39" t="inlineStr">
        <is>
          <t>Pháo sáng chiếu sáng</t>
        </is>
      </c>
      <c r="B8" s="42" t="n">
        <v>1</v>
      </c>
      <c r="C8" s="42" t="n">
        <v>30</v>
      </c>
      <c r="D8" s="39" t="inlineStr">
        <is>
          <t>Lộ mọi thứ trong vùng ban đêm và sương mù</t>
        </is>
      </c>
      <c r="E8" s="39" t="inlineStr">
        <is>
          <t>—</t>
        </is>
      </c>
      <c r="F8" s="39" t="inlineStr">
        <is>
          <t>vùng 35 m</t>
        </is>
      </c>
      <c r="G8" s="39" t="inlineStr">
        <is>
          <t>15 s</t>
        </is>
      </c>
      <c r="H8" s="39" t="inlineStr">
        <is>
          <t>Đối phó đêm và thời tiết</t>
        </is>
      </c>
      <c r="I8" s="39" t="inlineStr">
        <is>
          <t>UAV quét lộ cả tàng hình nhưng đắt hơn và không chống đêm</t>
        </is>
      </c>
      <c r="J8" s="39" t="inlineStr">
        <is>
          <t>Đạn pháo sáng</t>
        </is>
      </c>
      <c r="K8" s="39" t="inlineStr">
        <is>
          <t>Cửa hàng: 1.500 xu (CP ≤ 5) / 2.500 xu (CP ≥ 6), hoặc thưởng chương</t>
        </is>
      </c>
    </row>
    <row r="9" ht="15" customHeight="1" s="32">
      <c r="A9" s="41" t="inlineStr">
        <is>
          <t>Mồi nhử thả dù</t>
        </is>
      </c>
      <c r="B9" s="43" t="n">
        <v>2</v>
      </c>
      <c r="C9" s="43" t="n">
        <v>45</v>
      </c>
      <c r="D9" s="41" t="inlineStr">
        <is>
          <t>Thả 3 xe tăng bơm hơi; địch bắn vào chúng tới khi bị lộ</t>
        </is>
      </c>
      <c r="E9" s="41" t="inlineStr">
        <is>
          <t>—</t>
        </is>
      </c>
      <c r="F9" s="41" t="inlineStr">
        <is>
          <t>—</t>
        </is>
      </c>
      <c r="G9" s="41" t="inlineStr">
        <is>
          <t>30 s</t>
        </is>
      </c>
      <c r="H9" s="41" t="inlineStr">
        <is>
          <t>Hút hỏa lực địch</t>
        </is>
      </c>
      <c r="I9" s="41" t="inlineStr">
        <is>
          <t>Không thẻ nào đánh lừa</t>
        </is>
      </c>
      <c r="J9" s="41" t="inlineStr">
        <is>
          <t>Mồi nhử bơm hơi</t>
        </is>
      </c>
      <c r="K9" s="41" t="inlineStr">
        <is>
          <t>Cửa hàng: 1.500 xu (CP ≤ 5) / 2.500 xu (CP ≥ 6), hoặc thưởng chương</t>
        </is>
      </c>
    </row>
    <row r="10" ht="15" customHeight="1" s="32">
      <c r="A10" s="39" t="inlineStr">
        <is>
          <t>Phản pháo tức thì</t>
        </is>
      </c>
      <c r="B10" s="42" t="n">
        <v>6</v>
      </c>
      <c r="C10" s="42" t="n">
        <v>75</v>
      </c>
      <c r="D10" s="39" t="inlineStr">
        <is>
          <t>Mọi pháo binh địch vừa khai hỏa trong 10 s qua bị một loạt pháo đánh trả</t>
        </is>
      </c>
      <c r="E10" s="39" t="inlineStr">
        <is>
          <t>4 × 320 mỗi khẩu</t>
        </is>
      </c>
      <c r="F10" s="39" t="inlineStr">
        <is>
          <t>nổ lan 7 m</t>
        </is>
      </c>
      <c r="G10" s="39" t="inlineStr">
        <is>
          <t>—</t>
        </is>
      </c>
      <c r="H10" s="39" t="inlineStr">
        <is>
          <t>Trừng phạt pháo binh địch</t>
        </is>
      </c>
      <c r="I10" s="39" t="inlineStr">
        <is>
          <t>Radar phản pháo chỉ làm lộ</t>
        </is>
      </c>
      <c r="J10" s="39" t="inlineStr">
        <is>
          <t>Phản pháo có radar dẫn</t>
        </is>
      </c>
      <c r="K10" s="39" t="inlineStr">
        <is>
          <t>Cửa hàng: 1.500 xu (CP ≤ 5) / 2.500 xu (CP ≥ 6), hoặc thưởng chương</t>
        </is>
      </c>
    </row>
    <row r="11" ht="15" customHeight="1" s="32">
      <c r="A11" s="41" t="inlineStr">
        <is>
          <t>Đòn tên lửa đánh chặn drone</t>
        </is>
      </c>
      <c r="B11" s="43" t="n">
        <v>3</v>
      </c>
      <c r="C11" s="43" t="n">
        <v>40</v>
      </c>
      <c r="D11" s="41" t="inlineStr">
        <is>
          <t>Phóng 6 tên lửa nhỏ tự săn drone và đạn lảng vảng trong vùng</t>
        </is>
      </c>
      <c r="E11" s="41" t="inlineStr">
        <is>
          <t>6 × 120 (Mảnh)</t>
        </is>
      </c>
      <c r="F11" s="41" t="inlineStr">
        <is>
          <t>vùng 40 m</t>
        </is>
      </c>
      <c r="G11" s="41" t="inlineStr">
        <is>
          <t>—</t>
        </is>
      </c>
      <c r="H11" s="41" t="inlineStr">
        <is>
          <t>Dập một đợt bầy drone</t>
        </is>
      </c>
      <c r="I11" s="41" t="inlineStr">
        <is>
          <t>Chế áp phòng không đánh phòng không, không đánh drone</t>
        </is>
      </c>
      <c r="J11" s="41" t="inlineStr">
        <is>
          <t>Coyote Block 2</t>
        </is>
      </c>
      <c r="K11" s="41" t="inlineStr">
        <is>
          <t>Cửa hàng: 1.500 xu (CP ≤ 5) / 2.500 xu (CP ≥ 6), hoặc thưởng chương</t>
        </is>
      </c>
    </row>
    <row r="12" ht="15" customHeight="1" s="32">
      <c r="A12" s="39" t="inlineStr">
        <is>
          <t>Rải nhiễu radar (chaff)</t>
        </is>
      </c>
      <c r="B12" s="42" t="n">
        <v>2</v>
      </c>
      <c r="C12" s="42" t="n">
        <v>45</v>
      </c>
      <c r="D12" s="39" t="inlineStr">
        <is>
          <t>Máy bay và tên lửa phòng không địch trong vùng mất khóa mục tiêu</t>
        </is>
      </c>
      <c r="E12" s="39" t="inlineStr">
        <is>
          <t>—</t>
        </is>
      </c>
      <c r="F12" s="39" t="inlineStr">
        <is>
          <t>vùng 30 m</t>
        </is>
      </c>
      <c r="G12" s="39" t="inlineStr">
        <is>
          <t>8 s</t>
        </is>
      </c>
      <c r="H12" s="39" t="inlineStr">
        <is>
          <t>Mở hành lang cho máy bay ta</t>
        </is>
      </c>
      <c r="I12" s="39" t="inlineStr">
        <is>
          <t>Màn khói chỉ chặn tầm nhìn mặt đất</t>
        </is>
      </c>
      <c r="J12" s="39" t="inlineStr">
        <is>
          <t>Nhiễu sợi kim loại</t>
        </is>
      </c>
      <c r="K12" s="39" t="inlineStr">
        <is>
          <t>Cửa hàng: 1.500 xu (CP ≤ 5) / 2.500 xu (CP ≥ 6), hoặc thưởng chương</t>
        </is>
      </c>
    </row>
  </sheetData>
  <autoFilter ref="A1:K1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L5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1" min="1" max="1"/>
    <col width="14" customWidth="1" style="31" min="2" max="2"/>
    <col width="9" customWidth="1" style="31" min="3" max="3"/>
    <col width="55" customWidth="1" style="31" min="4" max="4"/>
    <col width="42" customWidth="1" style="31" min="5" max="5"/>
    <col width="26" customWidth="1" style="31" min="6" max="6"/>
    <col width="32" customWidth="1" style="31" min="7" max="7"/>
    <col width="34" customWidth="1" style="31" min="8" max="8"/>
    <col width="40" customWidth="1" style="31" min="9" max="9"/>
    <col width="28" customWidth="1" style="31" min="10" max="10"/>
    <col width="8" customWidth="1" style="31" min="11" max="11"/>
    <col width="30" customWidth="1" style="31" min="12" max="12"/>
  </cols>
  <sheetData>
    <row r="1" ht="42" customHeight="1" s="32">
      <c r="A1" s="45" t="inlineStr">
        <is>
          <t>Tên đề xuất</t>
        </is>
      </c>
      <c r="B1" s="37" t="inlineStr">
        <is>
          <t>Nhóm</t>
        </is>
      </c>
      <c r="C1" s="37" t="inlineStr">
        <is>
          <t>Ô / CP</t>
        </is>
      </c>
      <c r="D1" s="37" t="inlineStr">
        <is>
          <t>Cơ chế</t>
        </is>
      </c>
      <c r="E1" s="37" t="inlineStr">
        <is>
          <t>Vũ khí gợi ý (cỡ, sát thương, nhịp, tầm)</t>
        </is>
      </c>
      <c r="F1" s="37" t="inlineStr">
        <is>
          <t>Máu / giáp / tốc độ gợi ý</t>
        </is>
      </c>
      <c r="G1" s="37" t="inlineStr">
        <is>
          <t>Tham khảo ngoài đời (mẫu)</t>
        </is>
      </c>
      <c r="H1" s="37" t="inlineStr">
        <is>
          <t>Tham khảo game (tên)</t>
        </is>
      </c>
      <c r="I1" s="37" t="inlineStr">
        <is>
          <t>Cảm giác khác khi chơi (so với)</t>
        </is>
      </c>
      <c r="J1" s="37" t="inlineStr">
        <is>
          <t>Trùng một phần với</t>
        </is>
      </c>
      <c r="K1" s="46" t="inlineStr">
        <is>
          <t>Ưu tiên</t>
        </is>
      </c>
      <c r="L1" s="45" t="inlineStr">
        <is>
          <t>Mở khóa đề xuất</t>
        </is>
      </c>
    </row>
    <row r="2" ht="21.75" customHeight="1" s="32">
      <c r="A2" s="39" t="inlineStr">
        <is>
          <t>Tháp cao xạ hạng nặng 100 mm (KS-19)</t>
        </is>
      </c>
      <c r="B2" s="39" t="inlineStr">
        <is>
          <t>Tháp phòng không</t>
        </is>
      </c>
      <c r="C2" s="39" t="inlineStr">
        <is>
          <t>Ô vừa</t>
        </is>
      </c>
      <c r="D2" s="39" t="inlineStr">
        <is>
          <t>Bắn chậm, đạn nổ trên không bán kính lớn; mạnh với oanh tạc cơ, máy bay mẹ, tốp máy bay bay dày; hạ nòng bắn được xe tăng ở xa.</t>
        </is>
      </c>
      <c r="E2" s="39" t="inlineStr">
        <is>
          <t>88 mm Mảnh xuyên 3 · 120/phát · 0,5 phát/s · nổ lan 6 m · tầm 70 (không) / 50 (đất)</t>
        </is>
      </c>
      <c r="F2" s="39" t="inlineStr">
        <is>
          <t>máu 3.000 · giáp 2</t>
        </is>
      </c>
      <c r="G2" s="39" t="inlineStr">
        <is>
          <t>KS-19 100 mm (1947)</t>
        </is>
      </c>
      <c r="H2" s="39" t="inlineStr">
        <is>
          <t>Red Alert 2 (Flak Cannon)</t>
        </is>
      </c>
      <c r="I2" s="39" t="inlineStr">
        <is>
          <t>Tiếng nổ trầm, cụm khói đen trên trời; khác hẳn luồng đạn 23–35 mm của Tháp phòng không</t>
        </is>
      </c>
      <c r="J2" s="39" t="inlineStr">
        <is>
          <t>Tháp phòng không, Patriot</t>
        </is>
      </c>
      <c r="K2" s="47" t="inlineStr">
        <is>
          <t>Cao</t>
        </is>
      </c>
      <c r="L2" s="39" t="inlineStr">
        <is>
          <t>Cửa hàng: 2.000 xu (ô nhỏ) / 3.000 xu (ô vừa, tiện ích); hoặc thưởng nhiệm vụ phụ</t>
        </is>
      </c>
    </row>
    <row r="3" ht="21.75" customHeight="1" s="32">
      <c r="A3" s="41" t="inlineStr">
        <is>
          <t>Xe cao xạ Bofors 40 mm</t>
        </is>
      </c>
      <c r="B3" s="41" t="inlineStr">
        <is>
          <t>Phòng không</t>
        </is>
      </c>
      <c r="C3" s="41" t="inlineStr">
        <is>
          <t>5 CP</t>
        </is>
      </c>
      <c r="D3" s="41" t="inlineStr">
        <is>
          <t>Ngòi cận đích, nhịp đều; mạnh với trực thăng, drone; bắn được xe nhẹ.</t>
        </is>
      </c>
      <c r="E3" s="41" t="inlineStr">
        <is>
          <t>40 mm Mảnh xuyên 2 · 30/phát · 4 viên/s · nổ lan 2,5 m · tầm 48</t>
        </is>
      </c>
      <c r="F3" s="41" t="inlineStr">
        <is>
          <t>máu 1.000 · giáp 1 · 8 m/s</t>
        </is>
      </c>
      <c r="G3" s="41" t="inlineStr">
        <is>
          <t>Bofors 40 mm L/70, M42 Duster, CV90 AA</t>
        </is>
      </c>
      <c r="H3" s="41" t="inlineStr">
        <is>
          <t>Company of Heroes (Bofors); Wargame</t>
        </is>
      </c>
      <c r="I3" s="41" t="inlineStr">
        <is>
          <t>Nhịp 'bùm-bùm' đều, giữa 23 mm (rất nhanh) và KS-19 100 mm (rất chậm)</t>
        </is>
      </c>
      <c r="J3" s="41" t="inlineStr">
        <is>
          <t>Xe phòng không (Gepard)</t>
        </is>
      </c>
      <c r="K3" s="48" t="inlineStr">
        <is>
          <t>Trung</t>
        </is>
      </c>
      <c r="L3" s="41" t="inlineStr">
        <is>
          <t>Cửa hàng: 1.500 xu</t>
        </is>
      </c>
    </row>
    <row r="4" ht="21.75" customHeight="1" s="32">
      <c r="A4" s="39" t="inlineStr">
        <is>
          <t>Xe tên lửa phòng không Avenger</t>
        </is>
      </c>
      <c r="B4" s="39" t="inlineStr">
        <is>
          <t>Phòng không</t>
        </is>
      </c>
      <c r="C4" s="39" t="inlineStr">
        <is>
          <t>4 CP</t>
        </is>
      </c>
      <c r="D4" s="39" t="inlineStr">
        <is>
          <t>Xe nhẹ nhanh, 8 tên lửa vác vai bắn liên tiếp rồi nạp lâu; vừa chạy vừa bắn.</t>
        </is>
      </c>
      <c r="E4" s="39" t="inlineStr">
        <is>
          <t>8 × Stinger 170/phát · loạt 8 · nạp 15 s · tầm 44 · tốc độ 42</t>
        </is>
      </c>
      <c r="F4" s="39" t="inlineStr">
        <is>
          <t>máu 700 · giáp 0 · 11 m/s</t>
        </is>
      </c>
      <c r="G4" s="39" t="inlineStr">
        <is>
          <t>M1097 Avenger, Stormer HVM</t>
        </is>
      </c>
      <c r="H4" s="39" t="inlineStr">
        <is>
          <t>Wargame; WARNO</t>
        </is>
      </c>
      <c r="I4" s="39" t="inlineStr">
        <is>
          <t>Xả một loạt tên lửa dày rồi 'đói đạn'; khác Buk bắn đều</t>
        </is>
      </c>
      <c r="J4" s="39" t="inlineStr">
        <is>
          <t>Tên lửa phòng không (Buk)</t>
        </is>
      </c>
      <c r="K4" s="48" t="inlineStr">
        <is>
          <t>Trung</t>
        </is>
      </c>
      <c r="L4" s="39" t="inlineStr">
        <is>
          <t>Cửa hàng: 1.500 xu</t>
        </is>
      </c>
    </row>
    <row r="5" ht="21.75" customHeight="1" s="32">
      <c r="A5" s="41" t="inlineStr">
        <is>
          <t>Xe vi sóng chống drone</t>
        </is>
      </c>
      <c r="B5" s="41" t="inlineStr">
        <is>
          <t>Phòng không</t>
        </is>
      </c>
      <c r="C5" s="41" t="inlineStr">
        <is>
          <t>6 CP</t>
        </is>
      </c>
      <c r="D5" s="41" t="inlineStr">
        <is>
          <t>Hình nón vi sóng làm rơi mọi drone trong vùng trong vài giây; không gây sát thương lên xe.</t>
        </is>
      </c>
      <c r="E5" s="41" t="inlineStr">
        <is>
          <t>Vi sóng · hình nón 60° · tầm 30 · hồi 8 s</t>
        </is>
      </c>
      <c r="F5" s="41" t="inlineStr">
        <is>
          <t>máu 900 · giáp 1</t>
        </is>
      </c>
      <c r="G5" s="41" t="inlineStr">
        <is>
          <t>Epirus Leonidas</t>
        </is>
      </c>
      <c r="H5" s="41" t="inlineStr">
        <is>
          <t>gần giống EMP (C&amp;C Generals)</t>
        </is>
      </c>
      <c r="I5" s="41" t="inlineStr">
        <is>
          <t>Cả bầy drone rơi cùng lúc; khác La-de PK bắn từng chiếc</t>
        </is>
      </c>
      <c r="J5" s="41" t="inlineStr">
        <is>
          <t>La-de PK, C-RAM, Tháp EW</t>
        </is>
      </c>
      <c r="K5" s="48" t="inlineStr">
        <is>
          <t>Trung</t>
        </is>
      </c>
      <c r="L5" s="41" t="inlineStr">
        <is>
          <t>Cửa hàng: 1.500 xu</t>
        </is>
      </c>
    </row>
    <row r="6" ht="21.75" customHeight="1" s="32">
      <c r="A6" s="39" t="inlineStr">
        <is>
          <t>Pháo phòng không tự hành 57 mm</t>
        </is>
      </c>
      <c r="B6" s="39" t="inlineStr">
        <is>
          <t>Phòng không</t>
        </is>
      </c>
      <c r="C6" s="39" t="inlineStr">
        <is>
          <t>6 CP</t>
        </is>
      </c>
      <c r="D6" s="39" t="inlineStr">
        <is>
          <t>Đạn lập trình nổ trên không tầm xa hơn 35 mm; bắn được cả xe bọc thép nhẹ.</t>
        </is>
      </c>
      <c r="E6" s="39" t="inlineStr">
        <is>
          <t>57 mm Mảnh xuyên 2 · 70/phát · 2 phát/s · nổ lan 3 m · tầm 52</t>
        </is>
      </c>
      <c r="F6" s="39" t="inlineStr">
        <is>
          <t>máu 1.400 · giáp 2 · 7 m/s</t>
        </is>
      </c>
      <c r="G6" s="39" t="inlineStr">
        <is>
          <t>2S38 Derivatsiya-PVO</t>
        </is>
      </c>
      <c r="H6" s="39" t="inlineStr">
        <is>
          <t>(mới)</t>
        </is>
      </c>
      <c r="I6" s="39" t="inlineStr">
        <is>
          <t>Phòng không 'nặng tay', bắn chậm mà đau</t>
        </is>
      </c>
      <c r="J6" s="39" t="inlineStr">
        <is>
          <t>Xe phòng không, Bofors</t>
        </is>
      </c>
      <c r="K6" s="49" t="inlineStr">
        <is>
          <t>Thấp</t>
        </is>
      </c>
      <c r="L6" s="39" t="inlineStr">
        <is>
          <t>Cửa hàng: 1.500 xu</t>
        </is>
      </c>
    </row>
    <row r="7" ht="21.75" customHeight="1" s="32">
      <c r="A7" s="41" t="inlineStr">
        <is>
          <t>Ụ pháo chống tăng</t>
        </is>
      </c>
      <c r="B7" s="41" t="inlineStr">
        <is>
          <t>Tháp</t>
        </is>
      </c>
      <c r="C7" s="41" t="inlineStr">
        <is>
          <t>Ô nhỏ</t>
        </is>
      </c>
      <c r="D7" s="41" t="inlineStr">
        <is>
          <t>Ô nhỏ hiện không có tháp chống tăng (trừ mìn); ụ pháo kéo rẻ, bắn xuyên, dễ bị pháo binh và bộ đội xe nhẹ áp sát diệt.</t>
        </is>
      </c>
      <c r="E7" s="41" t="inlineStr">
        <is>
          <t>100–125 mm Động năng xuyên 3 · 200/phát · 0,2 phát/s · tầm 38</t>
        </is>
      </c>
      <c r="F7" s="41" t="inlineStr">
        <is>
          <t>máu 1.500 · giáp 1 (có tấm chắn trước 2)</t>
        </is>
      </c>
      <c r="G7" s="41" t="inlineStr">
        <is>
          <t>2A45 Sprut-B 125 mm, MT-12 Rapira 100 mm</t>
        </is>
      </c>
      <c r="H7" s="41" t="inlineStr">
        <is>
          <t>Company of Heroes (pháo chống tăng 57 mm)</t>
        </is>
      </c>
      <c r="I7" s="41" t="inlineStr">
        <is>
          <t>Lấp chỗ trống chống tăng ở ô nhỏ</t>
        </is>
      </c>
      <c r="J7" s="41" t="inlineStr">
        <is>
          <t>Tháp ATGM (ô vừa)</t>
        </is>
      </c>
      <c r="K7" s="47" t="inlineStr">
        <is>
          <t>Cao</t>
        </is>
      </c>
      <c r="L7" s="41" t="inlineStr">
        <is>
          <t>Cửa hàng: 2.000 xu (ô nhỏ) / 3.000 xu (ô vừa, tiện ích); hoặc thưởng nhiệm vụ phụ</t>
        </is>
      </c>
    </row>
    <row r="8" ht="21.75" customHeight="1" s="32">
      <c r="A8" s="39" t="inlineStr">
        <is>
          <t>Xe tên lửa chống tăng bắn ngoài tầm nhìn</t>
        </is>
      </c>
      <c r="B8" s="39" t="inlineStr">
        <is>
          <t>Diệt tăng</t>
        </is>
      </c>
      <c r="C8" s="39" t="inlineStr">
        <is>
          <t>8 CP</t>
        </is>
      </c>
      <c r="D8" s="39" t="inlineStr">
        <is>
          <t>Tầm rất xa, cần đồng đội hoặc UAV đánh dấu; tên lửa bay cao rồi đánh nóc.</t>
        </is>
      </c>
      <c r="E8" s="39" t="inlineStr">
        <is>
          <t>Spike NLOS Nổ lõm xuyên 4 · 300/phát · 0,1 phát/s · tầm 90 · tốc độ 26</t>
        </is>
      </c>
      <c r="F8" s="39" t="inlineStr">
        <is>
          <t>máu 900 · giáp 1</t>
        </is>
      </c>
      <c r="G8" s="39" t="inlineStr">
        <is>
          <t>Spike NLOS, Brimstone</t>
        </is>
      </c>
      <c r="H8" s="39" t="inlineStr">
        <is>
          <t>WARNO; Wargame: Red Dragon</t>
        </is>
      </c>
      <c r="I8" s="39" t="inlineStr">
        <is>
          <t>'Pháo binh chống tăng' chính xác, hạ xe tăng từ sau đồi</t>
        </is>
      </c>
      <c r="J8" s="39" t="inlineStr">
        <is>
          <t>Drone FPV, Lancet, Pháo điện từ</t>
        </is>
      </c>
      <c r="K8" s="48" t="inlineStr">
        <is>
          <t>Trung</t>
        </is>
      </c>
      <c r="L8" s="39" t="inlineStr">
        <is>
          <t>Cửa hàng: 3.000 xu, hoặc thưởng sự kiện</t>
        </is>
      </c>
    </row>
    <row r="9" ht="21.75" customHeight="1" s="32">
      <c r="A9" s="41" t="inlineStr">
        <is>
          <t>Xe tên lửa chống tăng dẫn radar</t>
        </is>
      </c>
      <c r="B9" s="41" t="inlineStr">
        <is>
          <t>Diệt tăng</t>
        </is>
      </c>
      <c r="C9" s="41" t="inlineStr">
        <is>
          <t>7 CP</t>
        </is>
      </c>
      <c r="D9" s="41" t="inlineStr">
        <is>
          <t>Tên lửa dẫn bằng radar nên không bị khói và gây nhiễu quang học ảnh hưởng; bắn loạt 2 quả.</t>
        </is>
      </c>
      <c r="E9" s="41" t="inlineStr">
        <is>
          <t>9M123 Nổ lõm xuyên 4 · 250/phát · loạt 2 · nạp 9 s · tầm 50</t>
        </is>
      </c>
      <c r="F9" s="41" t="inlineStr">
        <is>
          <t>máu 1.300 · giáp 2</t>
        </is>
      </c>
      <c r="G9" s="41" t="inlineStr">
        <is>
          <t>9P157 Khrizantema-S</t>
        </is>
      </c>
      <c r="H9" s="41" t="inlineStr">
        <is>
          <t>(mới)</t>
        </is>
      </c>
      <c r="I9" s="41" t="inlineStr">
        <is>
          <t>Không bị màn khói chặn: khắc chế đối thủ dùng nhiều khói</t>
        </is>
      </c>
      <c r="J9" s="41" t="inlineStr">
        <is>
          <t>Xe bộ binh (TOW), Tháp ATGM</t>
        </is>
      </c>
      <c r="K9" s="48" t="inlineStr">
        <is>
          <t>Trung</t>
        </is>
      </c>
      <c r="L9" s="41" t="inlineStr">
        <is>
          <t>Cửa hàng: 3.000 xu, hoặc thưởng sự kiện</t>
        </is>
      </c>
    </row>
    <row r="10" ht="21.75" customHeight="1" s="32">
      <c r="A10" s="39" t="inlineStr">
        <is>
          <t>Xe jeep súng không giật</t>
        </is>
      </c>
      <c r="B10" s="39" t="inlineStr">
        <is>
          <t>Diệt tăng</t>
        </is>
      </c>
      <c r="C10" s="39" t="inlineStr">
        <is>
          <t>3 CP</t>
        </is>
      </c>
      <c r="D10" s="39" t="inlineStr">
        <is>
          <t>Rẻ, nhanh, mỗi phát đau nhưng nạp lâu và cực mỏng; phục kích từ sườn.</t>
        </is>
      </c>
      <c r="E10" s="39" t="inlineStr">
        <is>
          <t>106 mm Nổ lõm xuyên 3 · 220/phát · 0,15 phát/s · tầm 32</t>
        </is>
      </c>
      <c r="F10" s="39" t="inlineStr">
        <is>
          <t>máu 350 · giáp 0 · 12 m/s</t>
        </is>
      </c>
      <c r="G10" s="39" t="inlineStr">
        <is>
          <t>M40 106 mm trên M151, SPG-9 trên bán tải</t>
        </is>
      </c>
      <c r="H10" s="39" t="inlineStr">
        <is>
          <t>Wargame (M151 TOW); C&amp;C Generals (xe bán tải có vũ khí)</t>
        </is>
      </c>
      <c r="I10" s="39" t="inlineStr">
        <is>
          <t>'Đánh rồi chạy' giá rẻ, khác các xe diệt tăng 6–9 CP</t>
        </is>
      </c>
      <c r="J10" s="39" t="inlineStr">
        <is>
          <t>Xe trinh sát, Pháo bánh lốp</t>
        </is>
      </c>
      <c r="K10" s="48" t="inlineStr">
        <is>
          <t>Trung</t>
        </is>
      </c>
      <c r="L10" s="39" t="inlineStr">
        <is>
          <t>Cửa hàng: 1.500 xu</t>
        </is>
      </c>
    </row>
    <row r="11" ht="21.75" customHeight="1" s="32">
      <c r="A11" s="41" t="inlineStr">
        <is>
          <t>Xe đổ bộ đường không</t>
        </is>
      </c>
      <c r="B11" s="41" t="inlineStr">
        <is>
          <t>Xe nhẹ / Tăng nhẹ</t>
        </is>
      </c>
      <c r="C11" s="41" t="inlineStr">
        <is>
          <t>6 CP</t>
        </is>
      </c>
      <c r="D11" s="41" t="inlineStr">
        <is>
          <t>Thả dù được ở bất kỳ đâu trong tầm nhìn phe ta (trừ căn cứ địch); đang rơi thì bị phòng không bắn được.</t>
        </is>
      </c>
      <c r="E11" s="41" t="inlineStr">
        <is>
          <t>100 mm + 30 mm · tương đương BMD-4</t>
        </is>
      </c>
      <c r="F11" s="41" t="inlineStr">
        <is>
          <t>máu 1.100 · giáp 1</t>
        </is>
      </c>
      <c r="G11" s="41" t="inlineStr">
        <is>
          <t>BMD-4, 2S25 Sprut-SD</t>
        </is>
      </c>
      <c r="H11" s="41" t="inlineStr">
        <is>
          <t>Company of Heroes (thả dù)</t>
        </is>
      </c>
      <c r="I11" s="41" t="inlineStr">
        <is>
          <t>Đánh vòng sau lưng địch</t>
        </is>
      </c>
      <c r="J11" s="41" t="inlineStr">
        <is>
          <t>Xe chỉ huy (bãi thả tiền phương)</t>
        </is>
      </c>
      <c r="K11" s="48" t="inlineStr">
        <is>
          <t>Trung</t>
        </is>
      </c>
      <c r="L11" s="41" t="inlineStr">
        <is>
          <t>Cửa hàng: 1.500 xu</t>
        </is>
      </c>
    </row>
    <row r="12" ht="21.75" customHeight="1" s="32">
      <c r="A12" s="39" t="inlineStr">
        <is>
          <t>Pháo bánh lốp bắn rồi chạy</t>
        </is>
      </c>
      <c r="B12" s="39" t="inlineStr">
        <is>
          <t>Pháo binh</t>
        </is>
      </c>
      <c r="C12" s="39" t="inlineStr">
        <is>
          <t>6 CP</t>
        </is>
      </c>
      <c r="D12" s="39" t="inlineStr">
        <is>
          <t>Bắn loạt 3–4 phát rất nhanh rồi chạy ngay; giáp mỏng; khó bị phản pháo.</t>
        </is>
      </c>
      <c r="E12" s="39" t="inlineStr">
        <is>
          <t>155 mm Nổ mạnh · 320/phát · loạt 4 trong 6 s · nạp 25 s · tầm 90</t>
        </is>
      </c>
      <c r="F12" s="39" t="inlineStr">
        <is>
          <t>máu 700 · giáp 0 · 9 m/s</t>
        </is>
      </c>
      <c r="G12" s="39" t="inlineStr">
        <is>
          <t>CAESAR, Archer, ATMOS</t>
        </is>
      </c>
      <c r="H12" s="39" t="inlineStr">
        <is>
          <t>WARNO</t>
        </is>
      </c>
      <c r="I12" s="39" t="inlineStr">
        <is>
          <t>Nhịp 'bắn–chạy' rõ rệt, khác pháo xích đứng bắn lâu</t>
        </is>
      </c>
      <c r="J12" s="39" t="inlineStr">
        <is>
          <t>Pháo tự hành (sau khi đổi sang M109)</t>
        </is>
      </c>
      <c r="K12" s="48" t="inlineStr">
        <is>
          <t>Trung</t>
        </is>
      </c>
      <c r="L12" s="39" t="inlineStr">
        <is>
          <t>Cửa hàng: 1.500 xu</t>
        </is>
      </c>
    </row>
    <row r="13" ht="21.75" customHeight="1" s="32">
      <c r="A13" s="41" t="inlineStr">
        <is>
          <t>Cối tự hành tháp kín</t>
        </is>
      </c>
      <c r="B13" s="41" t="inlineStr">
        <is>
          <t>Pháo binh</t>
        </is>
      </c>
      <c r="C13" s="41" t="inlineStr">
        <is>
          <t>5 CP</t>
        </is>
      </c>
      <c r="D13" s="41" t="inlineStr">
        <is>
          <t>Cối 120 mm nạp tự động, bắn 4 phát rơi gần như cùng lúc (MRSI) rồi nghỉ; giáp tốt hơn xe cối.</t>
        </is>
      </c>
      <c r="E13" s="41" t="inlineStr">
        <is>
          <t>120 mm Nổ mạnh · 150/phát · loạt 4 · nạp 10 s · tầm 60</t>
        </is>
      </c>
      <c r="F13" s="41" t="inlineStr">
        <is>
          <t>máu 1.200 · giáp 2</t>
        </is>
      </c>
      <c r="G13" s="41" t="inlineStr">
        <is>
          <t>Patria AMOS / NEMO, 2S31 Vena</t>
        </is>
      </c>
      <c r="H13" s="41" t="inlineStr">
        <is>
          <t>Wargame (AMOS)</t>
        </is>
      </c>
      <c r="I13" s="41" t="inlineStr">
        <is>
          <t>'Mưa cối' tập trung một điểm, khác xe cối bắn từng phát</t>
        </is>
      </c>
      <c r="J13" s="41" t="inlineStr">
        <is>
          <t>Xe súng cối</t>
        </is>
      </c>
      <c r="K13" s="48" t="inlineStr">
        <is>
          <t>Trung</t>
        </is>
      </c>
      <c r="L13" s="41" t="inlineStr">
        <is>
          <t>Cửa hàng: 1.500 xu</t>
        </is>
      </c>
    </row>
    <row r="14" ht="21.75" customHeight="1" s="32">
      <c r="A14" s="39" t="inlineStr">
        <is>
          <t>Pháo phản lực rải mìn</t>
        </is>
      </c>
      <c r="B14" s="39" t="inlineStr">
        <is>
          <t>Pháo binh</t>
        </is>
      </c>
      <c r="C14" s="39" t="inlineStr">
        <is>
          <t>7 CP</t>
        </is>
      </c>
      <c r="D14" s="39" t="inlineStr">
        <is>
          <t>Bắn rốc-két rải mìn chống tăng thành một dải trước mặt địch; không gây sát thương trực tiếp.</t>
        </is>
      </c>
      <c r="E14" s="39" t="inlineStr">
        <is>
          <t>Rốc-két rải mìn · 12 mìn mỗi loạt · tầm 90</t>
        </is>
      </c>
      <c r="F14" s="39" t="inlineStr">
        <is>
          <t>máu 800 · giáp 1</t>
        </is>
      </c>
      <c r="G14" s="39" t="inlineStr">
        <is>
          <t>BM-27 Uragan (9M59), Zemledeliye</t>
        </is>
      </c>
      <c r="H14" s="39" t="inlineStr">
        <is>
          <t>(mới)</t>
        </is>
      </c>
      <c r="I14" s="39" t="inlineStr">
        <is>
          <t>Chặn hướng tấn công từ xa, khác thẻ Rải mìn từ xa ở chỗ có thể nhắm lại liên tục</t>
        </is>
      </c>
      <c r="J14" s="39" t="inlineStr">
        <is>
          <t>Xe rải mìn, thẻ Rải mìn</t>
        </is>
      </c>
      <c r="K14" s="49" t="inlineStr">
        <is>
          <t>Thấp</t>
        </is>
      </c>
      <c r="L14" s="39" t="inlineStr">
        <is>
          <t>Cửa hàng: 3.000 xu, hoặc thưởng sự kiện</t>
        </is>
      </c>
    </row>
    <row r="15" ht="21.75" customHeight="1" s="32">
      <c r="A15" s="41" t="inlineStr">
        <is>
          <t>Máy bay ném bom lượn tầm xa</t>
        </is>
      </c>
      <c r="B15" s="41" t="inlineStr">
        <is>
          <t>Máy bay</t>
        </is>
      </c>
      <c r="C15" s="41" t="inlineStr">
        <is>
          <t>16 CP</t>
        </is>
      </c>
      <c r="D15" s="41" t="inlineStr">
        <is>
          <t>Không bay qua mục tiêu: thả bom lượn từ xa ngoài tầm phòng không tầm gần; bom bay chậm, bắn hạ được.</t>
        </is>
      </c>
      <c r="E15" s="41" t="inlineStr">
        <is>
          <t>FAB-500 + bộ lượn · 420/quả · 2 quả · tầm 90 · tốc độ bom 20</t>
        </is>
      </c>
      <c r="F15" s="41" t="inlineStr">
        <is>
          <t>máu 2.200 · giáp 1 · 30 m/s</t>
        </is>
      </c>
      <c r="G15" s="41" t="inlineStr">
        <is>
          <t>Su-34 với bom lượn UMPK</t>
        </is>
      </c>
      <c r="H15" s="41" t="inlineStr">
        <is>
          <t>(mới, theo chiến sự Ukraine)</t>
        </is>
      </c>
      <c r="I15" s="41" t="inlineStr">
        <is>
          <t>Oanh tạc cơ phải bay vào vùng nguy hiểm; máy bay này 'ném từ xa'</t>
        </is>
      </c>
      <c r="J15" s="41" t="inlineStr">
        <is>
          <t>Oanh tạc cơ, Máy bay ném bom tàng hình</t>
        </is>
      </c>
      <c r="K15" s="48" t="inlineStr">
        <is>
          <t>Trung</t>
        </is>
      </c>
      <c r="L15" s="41" t="inlineStr">
        <is>
          <t>Cửa hàng: 5.000 xu, hoặc thưởng thẻ mùa</t>
        </is>
      </c>
    </row>
    <row r="16" ht="21.75" customHeight="1" s="32">
      <c r="A16" s="39" t="inlineStr">
        <is>
          <t>Máy bay trinh sát tốc độ cao</t>
        </is>
      </c>
      <c r="B16" s="39" t="inlineStr">
        <is>
          <t>Máy bay</t>
        </is>
      </c>
      <c r="C16" s="39" t="inlineStr">
        <is>
          <t>8 CP</t>
        </is>
      </c>
      <c r="D16" s="39" t="inlineStr">
        <is>
          <t>Bay ngang map rất nhanh một lần, làm lộ cả một dải rộng kể cả tàng hình; không có vũ khí; chỉ tên lửa tầm xa với tới.</t>
        </is>
      </c>
      <c r="E16" s="39" t="inlineStr">
        <is>
          <t>— · lộ dải 60 m trong 20 s</t>
        </is>
      </c>
      <c r="F16" s="39" t="inlineStr">
        <is>
          <t>máu 800 · giáp 0 · 60 m/s</t>
        </is>
      </c>
      <c r="G16" s="39" t="inlineStr">
        <is>
          <t>SR-71 Blackbird, MiG-25R</t>
        </is>
      </c>
      <c r="H16" s="39" t="inlineStr">
        <is>
          <t>C&amp;C Generals (Spy Plane), Red Alert 2 (Spy Plane)</t>
        </is>
      </c>
      <c r="I16" s="39" t="inlineStr">
        <is>
          <t>Trinh sát 'một phát lớn', khác UAV trinh sát bay vòng lâu</t>
        </is>
      </c>
      <c r="J16" s="39" t="inlineStr">
        <is>
          <t>UAV trinh sát, thẻ UAV quét</t>
        </is>
      </c>
      <c r="K16" s="48" t="inlineStr">
        <is>
          <t>Trung</t>
        </is>
      </c>
      <c r="L16" s="39" t="inlineStr">
        <is>
          <t>Cửa hàng: 3.000 xu, hoặc thưởng sự kiện</t>
        </is>
      </c>
    </row>
    <row r="17" ht="32.25" customHeight="1" s="32">
      <c r="A17" s="41" t="inlineStr">
        <is>
          <t>Tiêm kích đánh chặn</t>
        </is>
      </c>
      <c r="B17" s="41" t="inlineStr">
        <is>
          <t>Máy bay</t>
        </is>
      </c>
      <c r="C17" s="41" t="inlineStr">
        <is>
          <t>13 CP</t>
        </is>
      </c>
      <c r="D17" s="41" t="inlineStr">
        <is>
          <t>Lao vào rất nhanh bắn tên lửa tầm siêu xa rồi quay về; chuyên săn máy bay lớn (oanh tạc cơ, máy bay mẹ, AC-130), kém khi không chiến tầm gần.</t>
        </is>
      </c>
      <c r="E17" s="41" t="inlineStr">
        <is>
          <t>R-37M Mảnh xuyên 3 · 400/phát · 2 quả · tầm 90 · tốc độ 70</t>
        </is>
      </c>
      <c r="F17" s="41" t="inlineStr">
        <is>
          <t>máu 1.300 · giáp 0 · 55 m/s</t>
        </is>
      </c>
      <c r="G17" s="41" t="inlineStr">
        <is>
          <t>MiG-31BM</t>
        </is>
      </c>
      <c r="H17" s="41" t="inlineStr">
        <is>
          <t>Ace Combat; WARNO</t>
        </is>
      </c>
      <c r="I17" s="41" t="inlineStr">
        <is>
          <t>'Bắn rồi chạy' tầm xa, khác tiêm kích quần thảo</t>
        </is>
      </c>
      <c r="J17" s="41" t="inlineStr">
        <is>
          <t>Tiêm kích, Tiêm kích tàng hình</t>
        </is>
      </c>
      <c r="K17" s="48" t="inlineStr">
        <is>
          <t>Trung</t>
        </is>
      </c>
      <c r="L17" s="41" t="inlineStr">
        <is>
          <t>Cửa hàng: 5.000 xu, hoặc thưởng thẻ mùa</t>
        </is>
      </c>
    </row>
    <row r="18" ht="21.75" customHeight="1" s="32">
      <c r="A18" s="39" t="inlineStr">
        <is>
          <t>Máy bay cường kích cánh quạt</t>
        </is>
      </c>
      <c r="B18" s="39" t="inlineStr">
        <is>
          <t>Máy bay</t>
        </is>
      </c>
      <c r="C18" s="39" t="inlineStr">
        <is>
          <t>7 CP</t>
        </is>
      </c>
      <c r="D18" s="39" t="inlineStr">
        <is>
          <t>Rẻ, chậm, bay thấp; súng máy và rốc-két đánh xe nhẹ; dễ bị phòng không hạ nhưng đông.</t>
        </is>
      </c>
      <c r="E18" s="39" t="inlineStr">
        <is>
          <t>12,7 mm + Hydra 70 · tầm 30</t>
        </is>
      </c>
      <c r="F18" s="39" t="inlineStr">
        <is>
          <t>máu 900 · giáp 1 · 18 m/s</t>
        </is>
      </c>
      <c r="G18" s="39" t="inlineStr">
        <is>
          <t>EMB-314 Super Tucano, OV-10 Bronco</t>
        </is>
      </c>
      <c r="H18" s="39" t="inlineStr">
        <is>
          <t>Wargame</t>
        </is>
      </c>
      <c r="I18" s="39" t="inlineStr">
        <is>
          <t>Yểm trợ gần giá rẻ, số đông; khác Cường kích đắt và nặng</t>
        </is>
      </c>
      <c r="J18" s="39" t="inlineStr">
        <is>
          <t>Cường kích, Trực thăng</t>
        </is>
      </c>
      <c r="K18" s="49" t="inlineStr">
        <is>
          <t>Thấp</t>
        </is>
      </c>
      <c r="L18" s="39" t="inlineStr">
        <is>
          <t>Cửa hàng: 3.000 xu, hoặc thưởng sự kiện</t>
        </is>
      </c>
    </row>
    <row r="19" ht="21.75" customHeight="1" s="32">
      <c r="A19" s="41" t="inlineStr">
        <is>
          <t>Trực thăng tấn công hạng nhẹ</t>
        </is>
      </c>
      <c r="B19" s="41" t="inlineStr">
        <is>
          <t>Trực thăng</t>
        </is>
      </c>
      <c r="C19" s="41" t="inlineStr">
        <is>
          <t>7 CP</t>
        </is>
      </c>
      <c r="D19" s="41" t="inlineStr">
        <is>
          <t>Nhanh, rẻ, giáp mỏng; tên lửa chống tăng nhỏ và súng máy; đánh sườn rồi rút.</t>
        </is>
      </c>
      <c r="E19" s="41" t="inlineStr">
        <is>
          <t>Hellfire × 4 + 12,7 mm · tầm 45</t>
        </is>
      </c>
      <c r="F19" s="41" t="inlineStr">
        <is>
          <t>máu 1.100 · giáp 0 · 16 m/s</t>
        </is>
      </c>
      <c r="G19" s="41" t="inlineStr">
        <is>
          <t>AH-1Z Viper (bản nhẹ), Mi-28 (nhỏ)</t>
        </is>
      </c>
      <c r="H19" s="41" t="inlineStr">
        <is>
          <t>(mới)</t>
        </is>
      </c>
      <c r="I19" s="41" t="inlineStr">
        <is>
          <t>Nằm giữa Trực thăng trinh sát và Trực thăng tấn công</t>
        </is>
      </c>
      <c r="J19" s="41" t="inlineStr">
        <is>
          <t>Trực thăng trinh sát, Trực thăng tấn công</t>
        </is>
      </c>
      <c r="K19" s="49" t="inlineStr">
        <is>
          <t>Thấp</t>
        </is>
      </c>
      <c r="L19" s="41" t="inlineStr">
        <is>
          <t>Cửa hàng: 3.000 xu, hoặc thưởng sự kiện</t>
        </is>
      </c>
    </row>
    <row r="20" ht="21.75" customHeight="1" s="32">
      <c r="A20" s="39" t="inlineStr">
        <is>
          <t>Tăng thế hệ mới</t>
        </is>
      </c>
      <c r="B20" s="39" t="inlineStr">
        <is>
          <t>Hạng nặng</t>
        </is>
      </c>
      <c r="C20" s="39" t="inlineStr">
        <is>
          <t>9 CP</t>
        </is>
      </c>
      <c r="D20" s="39" t="inlineStr">
        <is>
          <t>Tháp pháo không người lái (hỏng tháp không mất xe), APS và radar phát hiện tên lửa.</t>
        </is>
      </c>
      <c r="E20" s="39" t="inlineStr">
        <is>
          <t>125 mm xuyên 4 · 260/phát · 0,2 phát/s · APS 2 lần</t>
        </is>
      </c>
      <c r="F20" s="39" t="inlineStr">
        <is>
          <t>máu 2.300 · giáp 4/2/1/1</t>
        </is>
      </c>
      <c r="G20" s="39" t="inlineStr">
        <is>
          <t>T-14 Armata</t>
        </is>
      </c>
      <c r="H20" s="39" t="inlineStr">
        <is>
          <t>(mới)</t>
        </is>
      </c>
      <c r="I20" s="39" t="inlineStr">
        <is>
          <t>Xe tăng 'công nghệ cao', mạnh trước tên lửa chống tăng</t>
        </is>
      </c>
      <c r="J20" s="39" t="inlineStr">
        <is>
          <t>Tăng chủ lực, Tăng hai nòng</t>
        </is>
      </c>
      <c r="K20" s="49" t="inlineStr">
        <is>
          <t>Thấp</t>
        </is>
      </c>
      <c r="L20" s="39" t="inlineStr">
        <is>
          <t>Cửa hàng: 3.000 xu, hoặc thưởng sự kiện</t>
        </is>
      </c>
    </row>
    <row r="21" ht="21.75" customHeight="1" s="32">
      <c r="A21" s="41" t="inlineStr">
        <is>
          <t>Xe trinh sát bọc thép radar mặt đất</t>
        </is>
      </c>
      <c r="B21" s="41" t="inlineStr">
        <is>
          <t>Trinh sát</t>
        </is>
      </c>
      <c r="C21" s="41" t="inlineStr">
        <is>
          <t>4 CP</t>
        </is>
      </c>
      <c r="D21" s="41" t="inlineStr">
        <is>
          <t>Đứng yên thì dựng cột radar, nhìn rất xa và gần như ẩn; di chuyển thì mù hơn.</t>
        </is>
      </c>
      <c r="E21" s="41" t="inlineStr">
        <is>
          <t>12,7 mm tự vệ</t>
        </is>
      </c>
      <c r="F21" s="41" t="inlineStr">
        <is>
          <t>máu 700 · giáp 1 · 11 m/s · tầm nhìn 50 (đứng yên 80)</t>
        </is>
      </c>
      <c r="G21" s="41" t="inlineStr">
        <is>
          <t>Fennek, BRDM-2 có radar</t>
        </is>
      </c>
      <c r="H21" s="41" t="inlineStr">
        <is>
          <t>Wargame (Fennek)</t>
        </is>
      </c>
      <c r="I21" s="41" t="inlineStr">
        <is>
          <t>Trinh sát 'đứng gác', khác xe jeep trinh sát chạy nhanh</t>
        </is>
      </c>
      <c r="J21" s="41" t="inlineStr">
        <is>
          <t>Xe trinh sát</t>
        </is>
      </c>
      <c r="K21" s="48" t="inlineStr">
        <is>
          <t>Trung</t>
        </is>
      </c>
      <c r="L21" s="41" t="inlineStr">
        <is>
          <t>Cửa hàng: 1.500 xu</t>
        </is>
      </c>
    </row>
    <row r="22" ht="21.75" customHeight="1" s="32">
      <c r="A22" s="39" t="inlineStr">
        <is>
          <t>Xe phá mìn bằng dây nổ</t>
        </is>
      </c>
      <c r="B22" s="39" t="inlineStr">
        <is>
          <t>Hỗ trợ</t>
        </is>
      </c>
      <c r="C22" s="39" t="inlineStr">
        <is>
          <t>4 CP</t>
        </is>
      </c>
      <c r="D22" s="39" t="inlineStr">
        <is>
          <t>Bắn dây nổ mở một lối xuyên bãi mìn và chướng ngại, gây sát thương nhẹ lên công trình trên đường.</t>
        </is>
      </c>
      <c r="E22" s="39" t="inlineStr">
        <is>
          <t>Dây nổ · lối 5 × 40 m</t>
        </is>
      </c>
      <c r="F22" s="39" t="inlineStr">
        <is>
          <t>máu 1.200 · giáp 2</t>
        </is>
      </c>
      <c r="G22" s="39" t="inlineStr">
        <is>
          <t>M58 MICLIC</t>
        </is>
      </c>
      <c r="H22" s="39" t="inlineStr">
        <is>
          <t>(mới)</t>
        </is>
      </c>
      <c r="I22" s="39" t="inlineStr">
        <is>
          <t>Mở đường cho đợt tấn công căn cứ nhiều lớp</t>
        </is>
      </c>
      <c r="J22" s="39" t="inlineStr">
        <is>
          <t>Xe ủi, Công binh</t>
        </is>
      </c>
      <c r="K22" s="49" t="inlineStr">
        <is>
          <t>Thấp</t>
        </is>
      </c>
      <c r="L22" s="39" t="inlineStr">
        <is>
          <t>Cửa hàng: 1.500 xu</t>
        </is>
      </c>
    </row>
    <row r="23" ht="15" customHeight="1" s="32">
      <c r="A23" s="41" t="inlineStr">
        <is>
          <t>Xe khi hỏng thành công sự</t>
        </is>
      </c>
      <c r="B23" s="41" t="inlineStr">
        <is>
          <t>Xe nhẹ</t>
        </is>
      </c>
      <c r="C23" s="41" t="inlineStr">
        <is>
          <t>4 CP</t>
        </is>
      </c>
      <c r="D23" s="41" t="inlineStr">
        <is>
          <t>Bị hạ không nổ tung mà thành một ụ súng cố định trong ~30 s.</t>
        </is>
      </c>
      <c r="E23" s="41" t="inlineStr">
        <is>
          <t>12,7 mm</t>
        </is>
      </c>
      <c r="F23" s="41" t="inlineStr">
        <is>
          <t>máu 900 · giáp 1</t>
        </is>
      </c>
      <c r="G23" s="41" t="inlineStr">
        <is>
          <t>(ý tưởng game)</t>
        </is>
      </c>
      <c r="H23" s="41" t="inlineStr">
        <is>
          <t>C&amp;C Generals (Battle Bus)</t>
        </is>
      </c>
      <c r="I23" s="41" t="inlineStr">
        <is>
          <t>Xe 'chết mà vẫn đánh'</t>
        </is>
      </c>
      <c r="J23" s="41" t="inlineStr">
        <is>
          <t>Ụ súng tạm</t>
        </is>
      </c>
      <c r="K23" s="49" t="inlineStr">
        <is>
          <t>Thấp</t>
        </is>
      </c>
      <c r="L23" s="41" t="inlineStr">
        <is>
          <t>Cửa hàng: 1.500 xu</t>
        </is>
      </c>
    </row>
    <row r="24" ht="21.75" customHeight="1" s="32">
      <c r="A24" s="39" t="inlineStr">
        <is>
          <t>Mô-đun cho Siêu tăng</t>
        </is>
      </c>
      <c r="B24" s="39" t="inlineStr">
        <is>
          <t>Nâng cấp</t>
        </is>
      </c>
      <c r="C24" s="39" t="inlineStr">
        <is>
          <t>—</t>
        </is>
      </c>
      <c r="D24" s="39" t="inlineStr">
        <is>
          <t>Khi thả Siêu tăng chọn 1 trong 3 mô-đun nóc: gatling phòng không, bệ tên lửa, trạm sửa nhỏ.</t>
        </is>
      </c>
      <c r="E24" s="39" t="inlineStr">
        <is>
          <t>—</t>
        </is>
      </c>
      <c r="F24" s="39" t="inlineStr">
        <is>
          <t>—</t>
        </is>
      </c>
      <c r="G24" s="39" t="inlineStr">
        <is>
          <t>(ý tưởng game)</t>
        </is>
      </c>
      <c r="H24" s="39" t="inlineStr">
        <is>
          <t>C&amp;C Generals (Overlord)</t>
        </is>
      </c>
      <c r="I24" s="39" t="inlineStr">
        <is>
          <t>Quyết định ngay trong trận cho xe đắt nhất</t>
        </is>
      </c>
      <c r="J24" s="39" t="inlineStr">
        <is>
          <t>—</t>
        </is>
      </c>
      <c r="K24" s="49" t="inlineStr">
        <is>
          <t>Thấp</t>
        </is>
      </c>
      <c r="L24" s="39" t="inlineStr">
        <is>
          <t>Cửa hàng: 1.500 xu</t>
        </is>
      </c>
    </row>
    <row r="25" ht="15" customHeight="1" s="32">
      <c r="A25" s="41" t="inlineStr">
        <is>
          <t>Xe chiếm quyền drone</t>
        </is>
      </c>
      <c r="B25" s="41" t="inlineStr">
        <is>
          <t>Hỗ trợ</t>
        </is>
      </c>
      <c r="C25" s="41" t="inlineStr">
        <is>
          <t>6 CP</t>
        </is>
      </c>
      <c r="D25" s="41" t="inlineStr">
        <is>
          <t>Định kỳ chiếm quyền một drone địch trong ~10 s hoặc làm nó rơi.</t>
        </is>
      </c>
      <c r="E25" s="41" t="inlineStr">
        <is>
          <t>Tác chiến điện tử · tầm 40 · hồi 20 s</t>
        </is>
      </c>
      <c r="F25" s="41" t="inlineStr">
        <is>
          <t>máu 900 · giáp 1</t>
        </is>
      </c>
      <c r="G25" s="41" t="inlineStr">
        <is>
          <t>Tác chiến điện tử chống drone</t>
        </is>
      </c>
      <c r="H25" s="41" t="inlineStr">
        <is>
          <t>Mechabellum (Hacker)</t>
        </is>
      </c>
      <c r="I25" s="41" t="inlineStr">
        <is>
          <t>Lật drone địch về phe mình</t>
        </is>
      </c>
      <c r="J25" s="41" t="inlineStr">
        <is>
          <t>Xe tác chiến điện tử</t>
        </is>
      </c>
      <c r="K25" s="49" t="inlineStr">
        <is>
          <t>Thấp</t>
        </is>
      </c>
      <c r="L25" s="41" t="inlineStr">
        <is>
          <t>Cửa hàng: 1.500 xu</t>
        </is>
      </c>
    </row>
    <row r="26" ht="21.75" customHeight="1" s="32">
      <c r="A26" s="39" t="inlineStr">
        <is>
          <t>Tường chắn đạn</t>
        </is>
      </c>
      <c r="B26" s="39" t="inlineStr">
        <is>
          <t>Công trình</t>
        </is>
      </c>
      <c r="C26" s="39" t="inlineStr">
        <is>
          <t>Ô nhỏ</t>
        </is>
      </c>
      <c r="D26" s="39" t="inlineStr">
        <is>
          <t>Không chặn đường; tháp ngay sau nó nhận ít hơn ~30% sát thương từ đạn bắn thẳng (không chặn đạn cầu vồng, bom, đánh nóc).</t>
        </is>
      </c>
      <c r="E26" s="39" t="inlineStr">
        <is>
          <t>—</t>
        </is>
      </c>
      <c r="F26" s="39" t="inlineStr">
        <is>
          <t>máu 3.000 · giáp 3</t>
        </is>
      </c>
      <c r="G26" s="39" t="inlineStr">
        <is>
          <t>Tường Hesco</t>
        </is>
      </c>
      <c r="H26" s="39" t="inlineStr">
        <is>
          <t>Company of Heroes (vật che)</t>
        </is>
      </c>
      <c r="I26" s="39" t="inlineStr">
        <is>
          <t>Xếp căn cứ theo tuyến che chắn</t>
        </is>
      </c>
      <c r="J26" s="39" t="inlineStr">
        <is>
          <t>Máy phát khiên</t>
        </is>
      </c>
      <c r="K26" s="47" t="inlineStr">
        <is>
          <t>Cao</t>
        </is>
      </c>
      <c r="L26" s="39" t="inlineStr">
        <is>
          <t>Cửa hàng: 2.000 xu (ô nhỏ) / 3.000 xu (ô vừa, tiện ích); hoặc thưởng nhiệm vụ phụ</t>
        </is>
      </c>
    </row>
    <row r="27" ht="21.75" customHeight="1" s="32">
      <c r="A27" s="41" t="inlineStr">
        <is>
          <t>Mồi nhử bơm hơi</t>
        </is>
      </c>
      <c r="B27" s="41" t="inlineStr">
        <is>
          <t>Công trình</t>
        </is>
      </c>
      <c r="C27" s="41" t="inlineStr">
        <is>
          <t>Ô nhỏ</t>
        </is>
      </c>
      <c r="D27" s="41" t="inlineStr">
        <is>
          <t>Tháp giả trông giống thật; AI địch bắn vào cho tới khi trinh sát, radar hoặc UAV quét lật tẩy; rất rẻ, rất ít máu.</t>
        </is>
      </c>
      <c r="E27" s="41" t="inlineStr">
        <is>
          <t>—</t>
        </is>
      </c>
      <c r="F27" s="41" t="inlineStr">
        <is>
          <t>máu 300</t>
        </is>
      </c>
      <c r="G27" s="41" t="inlineStr">
        <is>
          <t>Mồi nhử bơm hơi (chiến sự Ukraine)</t>
        </is>
      </c>
      <c r="H27" s="41" t="inlineStr">
        <is>
          <t>Red Alert (công trình giả của Đồng minh)</t>
        </is>
      </c>
      <c r="I27" s="41" t="inlineStr">
        <is>
          <t>Đánh lừa pháo và tên lửa địch</t>
        </is>
      </c>
      <c r="J27" s="41" t="inlineStr">
        <is>
          <t>Tháp EW nhánh đánh lừa radar</t>
        </is>
      </c>
      <c r="K27" s="47" t="inlineStr">
        <is>
          <t>Cao</t>
        </is>
      </c>
      <c r="L27" s="41" t="inlineStr">
        <is>
          <t>Cửa hàng: 2.000 xu (ô nhỏ) / 3.000 xu (ô vừa, tiện ích); hoặc thưởng nhiệm vụ phụ</t>
        </is>
      </c>
    </row>
    <row r="28" ht="21.75" customHeight="1" s="32">
      <c r="A28" s="39" t="inlineStr">
        <is>
          <t>Trung tâm điều khiển hỏa lực</t>
        </is>
      </c>
      <c r="B28" s="39" t="inlineStr">
        <is>
          <t>Công trình</t>
        </is>
      </c>
      <c r="C28" s="39" t="inlineStr">
        <is>
          <t>Tiện ích</t>
        </is>
      </c>
      <c r="D28" s="39" t="inlineStr">
        <is>
          <t>Tháp phe ta trong ~30 m được +10–15% sát thương và cùng dồn hỏa lực.</t>
        </is>
      </c>
      <c r="E28" s="39" t="inlineStr">
        <is>
          <t>—</t>
        </is>
      </c>
      <c r="F28" s="39" t="inlineStr">
        <is>
          <t>máu 2.500</t>
        </is>
      </c>
      <c r="G28" s="39" t="inlineStr">
        <is>
          <t>Trung tâm điều khiển hỏa lực (FDC)</t>
        </is>
      </c>
      <c r="H28" s="39" t="inlineStr">
        <is>
          <t>Bloons TD 6 (Monkey Village)</t>
        </is>
      </c>
      <c r="I28" s="39" t="inlineStr">
        <is>
          <t>Cụm tháp 'liên kết' thành một khối</t>
        </is>
      </c>
      <c r="J28" s="39" t="inlineStr">
        <is>
          <t>Tháp canh (tăng tầm nhỏ)</t>
        </is>
      </c>
      <c r="K28" s="47" t="inlineStr">
        <is>
          <t>Cao</t>
        </is>
      </c>
      <c r="L28" s="39" t="inlineStr">
        <is>
          <t>Cửa hàng: 2.000 xu (ô nhỏ) / 3.000 xu (ô vừa, tiện ích); hoặc thưởng nhiệm vụ phụ</t>
        </is>
      </c>
    </row>
    <row r="29" ht="21.75" customHeight="1" s="32">
      <c r="A29" s="41" t="inlineStr">
        <is>
          <t>Đèn pha chiến trường</t>
        </is>
      </c>
      <c r="B29" s="41" t="inlineStr">
        <is>
          <t>Công trình</t>
        </is>
      </c>
      <c r="C29" s="41" t="inlineStr">
        <is>
          <t>Ô nhỏ</t>
        </is>
      </c>
      <c r="D29" s="41" t="inlineStr">
        <is>
          <t>Ban đêm và trong sương mù: làm sáng vùng rộng cho phe ta, làm lóa địch (giảm độ chính xác).</t>
        </is>
      </c>
      <c r="E29" s="41" t="inlineStr">
        <is>
          <t>—</t>
        </is>
      </c>
      <c r="F29" s="41" t="inlineStr">
        <is>
          <t>máu 1.200</t>
        </is>
      </c>
      <c r="G29" s="41" t="inlineStr">
        <is>
          <t>Đèn pha phòng thủ</t>
        </is>
      </c>
      <c r="H29" s="41" t="inlineStr">
        <is>
          <t>Company of Heroes; đèn pha pháo đài trong chế độ Công thành</t>
        </is>
      </c>
      <c r="I29" s="41" t="inlineStr">
        <is>
          <t>Có công cụ đối phó ngày đêm đổi giữa trận</t>
        </is>
      </c>
      <c r="J29" s="41" t="inlineStr">
        <is>
          <t>Trạm radar</t>
        </is>
      </c>
      <c r="K29" s="48" t="inlineStr">
        <is>
          <t>Trung</t>
        </is>
      </c>
      <c r="L29" s="41" t="inlineStr">
        <is>
          <t>Cửa hàng: 2.000 xu (ô nhỏ) / 3.000 xu (ô vừa, tiện ích); hoặc thưởng nhiệm vụ phụ</t>
        </is>
      </c>
    </row>
    <row r="30" ht="21.75" customHeight="1" s="32">
      <c r="A30" s="39" t="inlineStr">
        <is>
          <t>Khí cầu neo radar (JLENS)</t>
        </is>
      </c>
      <c r="B30" s="39" t="inlineStr">
        <is>
          <t>Công trình</t>
        </is>
      </c>
      <c r="C30" s="39" t="inlineStr">
        <is>
          <t>Ô nhỏ</t>
        </is>
      </c>
      <c r="D30" s="39" t="inlineStr">
        <is>
          <t>Máy bay địch trong vùng phải bay cao hơn nên ném bom kém chính xác; trực thăng tránh vùng.</t>
        </is>
      </c>
      <c r="E30" s="39" t="inlineStr">
        <is>
          <t>—</t>
        </is>
      </c>
      <c r="F30" s="39" t="inlineStr">
        <is>
          <t>máu 800</t>
        </is>
      </c>
      <c r="G30" s="39" t="inlineStr">
        <is>
          <t>JLENS (khí cầu neo radar)</t>
        </is>
      </c>
      <c r="H30" s="39" t="inlineStr">
        <is>
          <t>Battlefield 1942; Hearts of Iron</t>
        </is>
      </c>
      <c r="I30" s="39" t="inlineStr">
        <is>
          <t>Phòng không 'không bắn'</t>
        </is>
      </c>
      <c r="J30" s="39" t="inlineStr">
        <is>
          <t>Tháp phòng không, Patriot</t>
        </is>
      </c>
      <c r="K30" s="48" t="inlineStr">
        <is>
          <t>Trung</t>
        </is>
      </c>
      <c r="L30" s="39" t="inlineStr">
        <is>
          <t>Cửa hàng: 2.000 xu (ô nhỏ) / 3.000 xu (ô vừa, tiện ích); hoặc thưởng nhiệm vụ phụ</t>
        </is>
      </c>
    </row>
    <row r="31" ht="21.75" customHeight="1" s="32">
      <c r="A31" s="41" t="inlineStr">
        <is>
          <t>Máy tạo nhiễu tầm nhìn</t>
        </is>
      </c>
      <c r="B31" s="41" t="inlineStr">
        <is>
          <t>Công trình</t>
        </is>
      </c>
      <c r="C31" s="41" t="inlineStr">
        <is>
          <t>Tiện ích</t>
        </is>
      </c>
      <c r="D31" s="41" t="inlineStr">
        <is>
          <t>Địch không thấy đơn vị và công trình trong bán kính trừ khi tới gần hoặc có trinh sát.</t>
        </is>
      </c>
      <c r="E31" s="41" t="inlineStr">
        <is>
          <t>—</t>
        </is>
      </c>
      <c r="F31" s="41" t="inlineStr">
        <is>
          <t>máu 2.000</t>
        </is>
      </c>
      <c r="G31" s="41" t="inlineStr">
        <is>
          <t>(ngụy trang điện tử)</t>
        </is>
      </c>
      <c r="H31" s="41" t="inlineStr">
        <is>
          <t>Red Alert (Gap Generator)</t>
        </is>
      </c>
      <c r="I31" s="41" t="inlineStr">
        <is>
          <t>Bảo vệ căn cứ bằng cách che thay vì bắn hạ</t>
        </is>
      </c>
      <c r="J31" s="41" t="inlineStr">
        <is>
          <t>Trạm radar (ngược chiều)</t>
        </is>
      </c>
      <c r="K31" s="48" t="inlineStr">
        <is>
          <t>Trung</t>
        </is>
      </c>
      <c r="L31" s="41" t="inlineStr">
        <is>
          <t>Cửa hàng: 2.000 xu (ô nhỏ) / 3.000 xu (ô vừa, tiện ích); hoặc thưởng nhiệm vụ phụ</t>
        </is>
      </c>
    </row>
    <row r="32" ht="21.75" customHeight="1" s="32">
      <c r="A32" s="39" t="inlineStr">
        <is>
          <t>Tổ tên lửa vác vai</t>
        </is>
      </c>
      <c r="B32" s="39" t="inlineStr">
        <is>
          <t>Công trình</t>
        </is>
      </c>
      <c r="C32" s="39" t="inlineStr">
        <is>
          <t>Ô nhỏ</t>
        </is>
      </c>
      <c r="D32" s="39" t="inlineStr">
        <is>
          <t>Ụ bao cát với 2 bệ tên lửa vác vai; rẻ, chỉ bắn máy bay và trực thăng, tầm ngắn.</t>
        </is>
      </c>
      <c r="E32" s="39" t="inlineStr">
        <is>
          <t>Stinger 170/phát · 0,25 phát/s · tầm 44</t>
        </is>
      </c>
      <c r="F32" s="39" t="inlineStr">
        <is>
          <t>máu 1.200 · giáp 1</t>
        </is>
      </c>
      <c r="G32" s="39" t="inlineStr">
        <is>
          <t>Tổ MANPADS</t>
        </is>
      </c>
      <c r="H32" s="39" t="inlineStr">
        <is>
          <t>Wargame; Company of Heroes (ụ phòng không)</t>
        </is>
      </c>
      <c r="I32" s="39" t="inlineStr">
        <is>
          <t>Phòng không rẻ ở ô nhỏ, khác pháo cao xạ bắn cả đất</t>
        </is>
      </c>
      <c r="J32" s="39" t="inlineStr">
        <is>
          <t>Tháp phòng không nhánh tên lửa</t>
        </is>
      </c>
      <c r="K32" s="49" t="inlineStr">
        <is>
          <t>Thấp</t>
        </is>
      </c>
      <c r="L32" s="39" t="inlineStr">
        <is>
          <t>Cửa hàng: 2.000 xu (ô nhỏ) / 3.000 xu (ô vừa, tiện ích); hoặc thưởng nhiệm vụ phụ</t>
        </is>
      </c>
    </row>
    <row r="33" ht="21.75" customHeight="1" s="32">
      <c r="A33" s="41" t="inlineStr">
        <is>
          <t>Tàu tuần tra sông</t>
        </is>
      </c>
      <c r="B33" s="41" t="inlineStr">
        <is>
          <t>Hải quân</t>
        </is>
      </c>
      <c r="C33" s="41" t="inlineStr">
        <is>
          <t>5 CP</t>
        </is>
      </c>
      <c r="D33" s="41" t="inlineStr">
        <is>
          <t>Tàu nhỏ nhanh trên sông, súng máy và súng phóng lựu.</t>
        </is>
      </c>
      <c r="E33" s="41" t="inlineStr">
        <is>
          <t>12,7 mm + 40 mm · tầm 30</t>
        </is>
      </c>
      <c r="F33" s="41" t="inlineStr">
        <is>
          <t>máu 800 · giáp 0 · 14 m/s</t>
        </is>
      </c>
      <c r="G33" s="41" t="inlineStr">
        <is>
          <t>Mark VI Patrol Boat, Riverine Command Boat</t>
        </is>
      </c>
      <c r="H33" s="41" t="inlineStr">
        <is>
          <t>Battlefield (thuyền), Wargame</t>
        </is>
      </c>
      <c r="I33" s="41" t="inlineStr">
        <is>
          <t>Kiểm soát sông</t>
        </is>
      </c>
      <c r="J33" s="41" t="inlineStr">
        <is>
          <t>Xuồng cao tốc (boss)</t>
        </is>
      </c>
      <c r="K33" s="49" t="inlineStr">
        <is>
          <t>Thấp</t>
        </is>
      </c>
      <c r="L33" s="41" t="inlineStr">
        <is>
          <t>Cửa hàng: 1.500 xu</t>
        </is>
      </c>
    </row>
    <row r="34" ht="15" customHeight="1" s="32">
      <c r="A34" s="39" t="inlineStr">
        <is>
          <t>Pháo hạm sông</t>
        </is>
      </c>
      <c r="B34" s="39" t="inlineStr">
        <is>
          <t>Hải quân</t>
        </is>
      </c>
      <c r="C34" s="39" t="inlineStr">
        <is>
          <t>9 CP</t>
        </is>
      </c>
      <c r="D34" s="39" t="inlineStr">
        <is>
          <t>Tàu chậm mang pháo 100 mm bắn phá bờ.</t>
        </is>
      </c>
      <c r="E34" s="39" t="inlineStr">
        <is>
          <t>100 mm · 160/phát · tầm 70</t>
        </is>
      </c>
      <c r="F34" s="39" t="inlineStr">
        <is>
          <t>máu 2.500 · giáp 2</t>
        </is>
      </c>
      <c r="G34" s="39" t="inlineStr">
        <is>
          <t>Pháo hạm sông lớp Buyan</t>
        </is>
      </c>
      <c r="H34" s="39" t="inlineStr">
        <is>
          <t>(mới)</t>
        </is>
      </c>
      <c r="I34" s="39" t="inlineStr">
        <is>
          <t>Pháo binh di động trên nước</t>
        </is>
      </c>
      <c r="J34" s="39" t="inlineStr">
        <is>
          <t>Pháo tự hành</t>
        </is>
      </c>
      <c r="K34" s="49" t="inlineStr">
        <is>
          <t>Thấp</t>
        </is>
      </c>
      <c r="L34" s="39" t="inlineStr">
        <is>
          <t>Cửa hàng: 3.000 xu, hoặc thưởng sự kiện</t>
        </is>
      </c>
    </row>
    <row r="35" ht="15" customHeight="1" s="32">
      <c r="A35" s="41" t="inlineStr">
        <is>
          <t>Xe tên lửa chống hạm bờ biển</t>
        </is>
      </c>
      <c r="B35" s="41" t="inlineStr">
        <is>
          <t>Pháo binh</t>
        </is>
      </c>
      <c r="C35" s="41" t="inlineStr">
        <is>
          <t>10 CP</t>
        </is>
      </c>
      <c r="D35" s="41" t="inlineStr">
        <is>
          <t>Xe mặt đất bắn tên lửa chống hạm vào tàu; kém với mục tiêu trên bộ.</t>
        </is>
      </c>
      <c r="E35" s="41" t="inlineStr">
        <is>
          <t>NSM/Moskit · 450/phát · tầm 140</t>
        </is>
      </c>
      <c r="F35" s="41" t="inlineStr">
        <is>
          <t>máu 900 · giáp 1</t>
        </is>
      </c>
      <c r="G35" s="41" t="inlineStr">
        <is>
          <t>NSM Coastal Defence, K-300P Bastion</t>
        </is>
      </c>
      <c r="H35" s="41" t="inlineStr">
        <is>
          <t>(mới)</t>
        </is>
      </c>
      <c r="I35" s="41" t="inlineStr">
        <is>
          <t>Đánh tàu từ bờ</t>
        </is>
      </c>
      <c r="J35" s="41" t="inlineStr">
        <is>
          <t>Trận địa pháo bờ biển</t>
        </is>
      </c>
      <c r="K35" s="49" t="inlineStr">
        <is>
          <t>Thấp</t>
        </is>
      </c>
      <c r="L35" s="41" t="inlineStr">
        <is>
          <t>Cửa hàng: 3.000 xu, hoặc thưởng sự kiện</t>
        </is>
      </c>
    </row>
    <row r="36" ht="21.75" customHeight="1" s="32">
      <c r="A36" s="39" t="inlineStr">
        <is>
          <t>Lựu pháo nạp tự động tốc độ cao</t>
        </is>
      </c>
      <c r="B36" s="39" t="inlineStr">
        <is>
          <t>Pháo binh</t>
        </is>
      </c>
      <c r="C36" s="39" t="inlineStr">
        <is>
          <t>8 CP</t>
        </is>
      </c>
      <c r="D36" s="39" t="inlineStr">
        <is>
          <t>Bắn 4 phát trong 10 s rồi nạp lâu; nhiều phát rơi gần như cùng lúc; mạnh với cụm công sự.</t>
        </is>
      </c>
      <c r="E36" s="39" t="inlineStr">
        <is>
          <t>155 mm Nổ mạnh · 320/phát · loạt 4 · nạp 20 s · tầm 95</t>
        </is>
      </c>
      <c r="F36" s="39" t="inlineStr">
        <is>
          <t>máu 1.600 · giáp 2 · 6 m/s</t>
        </is>
      </c>
      <c r="G36" s="39" t="inlineStr">
        <is>
          <t>XM2001 Crusader (dự án bị hủy)</t>
        </is>
      </c>
      <c r="H36" s="39" t="inlineStr">
        <is>
          <t>Broken Arrow (có các mẫu bị hủy như XM2001 Crusader)</t>
        </is>
      </c>
      <c r="I36" s="39" t="inlineStr">
        <is>
          <t>'Dội bom' một lúc rồi im, khác lựu pháo bắn đều</t>
        </is>
      </c>
      <c r="J36" s="39" t="inlineStr">
        <is>
          <t>Pháo tự hành</t>
        </is>
      </c>
      <c r="K36" s="49" t="inlineStr">
        <is>
          <t>Thấp</t>
        </is>
      </c>
      <c r="L36" s="39" t="inlineStr">
        <is>
          <t>Cửa hàng: 3.000 xu, hoặc thưởng sự kiện</t>
        </is>
      </c>
    </row>
    <row r="37" ht="21.75" customHeight="1" s="32">
      <c r="A37" s="41" t="inlineStr">
        <is>
          <t>Xe lội nước tốc độ cao</t>
        </is>
      </c>
      <c r="B37" s="41" t="inlineStr">
        <is>
          <t>Xe nhẹ</t>
        </is>
      </c>
      <c r="C37" s="41" t="inlineStr">
        <is>
          <t>6 CP</t>
        </is>
      </c>
      <c r="D37" s="41" t="inlineStr">
        <is>
          <t>Chạy rất nhanh trên nước, đổ bộ từ biển vào bờ; trên bộ chậm hơn.</t>
        </is>
      </c>
      <c r="E37" s="41" t="inlineStr">
        <is>
          <t>30 mm + súng máy · tầm 30</t>
        </is>
      </c>
      <c r="F37" s="41" t="inlineStr">
        <is>
          <t>máu 1.200 · giáp 1 · 14 m/s trên nước / 8 m/s trên bộ</t>
        </is>
      </c>
      <c r="G37" s="41" t="inlineStr">
        <is>
          <t>EFV (dự án bị hủy), AAV-7</t>
        </is>
      </c>
      <c r="H37" s="41" t="inlineStr">
        <is>
          <t>Broken Arrow (EFV)</t>
        </is>
      </c>
      <c r="I37" s="41" t="inlineStr">
        <is>
          <t>Đổ bộ từ biển trong các map ven biển</t>
        </is>
      </c>
      <c r="J37" s="41" t="inlineStr">
        <is>
          <t>Xe bộ binh</t>
        </is>
      </c>
      <c r="K37" s="49" t="inlineStr">
        <is>
          <t>Thấp</t>
        </is>
      </c>
      <c r="L37" s="41" t="inlineStr">
        <is>
          <t>Cửa hàng: 1.500 xu</t>
        </is>
      </c>
    </row>
    <row r="38" ht="21.75" customHeight="1" s="32">
      <c r="A38" s="39" t="inlineStr">
        <is>
          <t>Tăng nhẹ thả dù</t>
        </is>
      </c>
      <c r="B38" s="39" t="inlineStr">
        <is>
          <t>Xe tăng</t>
        </is>
      </c>
      <c r="C38" s="39" t="inlineStr">
        <is>
          <t>5 CP</t>
        </is>
      </c>
      <c r="D38" s="39" t="inlineStr">
        <is>
          <t>Thả dù được xuống gần tiền tuyến; pháo 105 mm mạnh hơn tăng nhẹ lội nước nhưng giáp mỏng.</t>
        </is>
      </c>
      <c r="E38" s="39" t="inlineStr">
        <is>
          <t>105 mm Động năng xuyên 3 · 212/phát · 0,2 phát/s · tầm 32</t>
        </is>
      </c>
      <c r="F38" s="39" t="inlineStr">
        <is>
          <t>máu 1.300 · giáp 2/1/0/0 · 8 m/s</t>
        </is>
      </c>
      <c r="G38" s="39" t="inlineStr">
        <is>
          <t>M8 AGS (dự án bị hủy), M10 Booker</t>
        </is>
      </c>
      <c r="H38" s="39" t="inlineStr">
        <is>
          <t>Broken Arrow; WARNO</t>
        </is>
      </c>
      <c r="I38" s="39" t="inlineStr">
        <is>
          <t>Tăng có thể 'rơi' xuống sau lưng địch</t>
        </is>
      </c>
      <c r="J38" s="39" t="inlineStr">
        <is>
          <t>Tăng nhẹ, Xe đổ bộ đường không</t>
        </is>
      </c>
      <c r="K38" s="49" t="inlineStr">
        <is>
          <t>Thấp</t>
        </is>
      </c>
      <c r="L38" s="39" t="inlineStr">
        <is>
          <t>Cửa hàng: 1.500 xu</t>
        </is>
      </c>
    </row>
    <row r="39" ht="21.75" customHeight="1" s="32">
      <c r="A39" s="41" t="inlineStr">
        <is>
          <t>Máy bay cường kích tàng hình trên hạm</t>
        </is>
      </c>
      <c r="B39" s="41" t="inlineStr">
        <is>
          <t>Máy bay</t>
        </is>
      </c>
      <c r="C39" s="41" t="inlineStr">
        <is>
          <t>17 CP</t>
        </is>
      </c>
      <c r="D39" s="41" t="inlineStr">
        <is>
          <t>Tàng hình, ném 2 bom dẫn đường chính xác vào công trình và xe đứng yên; không có pháo.</t>
        </is>
      </c>
      <c r="E39" s="41" t="inlineStr">
        <is>
          <t>2 × bom dẫn đường 900 kg · tầm 30</t>
        </is>
      </c>
      <c r="F39" s="41" t="inlineStr">
        <is>
          <t>máu 1.500 · giáp 0 · 30 m/s</t>
        </is>
      </c>
      <c r="G39" s="41" t="inlineStr">
        <is>
          <t>A-12 Avenger II (dự án bị hủy)</t>
        </is>
      </c>
      <c r="H39" s="41" t="inlineStr">
        <is>
          <t>Broken Arrow (A-12)</t>
        </is>
      </c>
      <c r="I39" s="41" t="inlineStr">
        <is>
          <t>Cường kích tàng hình 'bắn tỉa' công trình</t>
        </is>
      </c>
      <c r="J39" s="41" t="inlineStr">
        <is>
          <t>Máy bay ném bom tàng hình</t>
        </is>
      </c>
      <c r="K39" s="49" t="inlineStr">
        <is>
          <t>Thấp</t>
        </is>
      </c>
      <c r="L39" s="41" t="inlineStr">
        <is>
          <t>Cửa hàng: 5.000 xu, hoặc thưởng thẻ mùa</t>
        </is>
      </c>
    </row>
    <row r="40" ht="21.75" customHeight="1" s="32">
      <c r="A40" s="39" t="inlineStr">
        <is>
          <t>Pháo hạm trực thăng hai rô-to</t>
        </is>
      </c>
      <c r="B40" s="39" t="inlineStr">
        <is>
          <t>Trực thăng</t>
        </is>
      </c>
      <c r="C40" s="39" t="inlineStr">
        <is>
          <t>14 CP</t>
        </is>
      </c>
      <c r="D40" s="39" t="inlineStr">
        <is>
          <t>Trực thăng vận tải lớn gắn pháo hai bên, bay vòng như Pháo hạm bay nhưng thấp và chậm, dễ trúng súng máy.</t>
        </is>
      </c>
      <c r="E40" s="39" t="inlineStr">
        <is>
          <t>2 × 20 mm + 40 mm phóng lựu · tầm 30</t>
        </is>
      </c>
      <c r="F40" s="39" t="inlineStr">
        <is>
          <t>máu 3.500 · giáp 1 · 9 m/s</t>
        </is>
      </c>
      <c r="G40" s="39" t="inlineStr">
        <is>
          <t>ACH-47A 'Guns-A-Go-Go'</t>
        </is>
      </c>
      <c r="H40" s="39" t="inlineStr">
        <is>
          <t>(mini boss Harpy đã dùng hình này)</t>
        </is>
      </c>
      <c r="I40" s="39" t="inlineStr">
        <is>
          <t>'Pháo hạm tầm thấp' giữa trực thăng vũ trang và AC-130</t>
        </is>
      </c>
      <c r="J40" s="39" t="inlineStr">
        <is>
          <t>Pháo hạm bay, Trực thăng vũ trang</t>
        </is>
      </c>
      <c r="K40" s="49" t="inlineStr">
        <is>
          <t>Thấp</t>
        </is>
      </c>
      <c r="L40" s="39" t="inlineStr">
        <is>
          <t>Cửa hàng: 5.000 xu, hoặc thưởng thẻ mùa</t>
        </is>
      </c>
    </row>
    <row r="41" ht="21.75" customHeight="1" s="32">
      <c r="A41" s="41" t="inlineStr">
        <is>
          <t>Drone mặt đất mang súng</t>
        </is>
      </c>
      <c r="B41" s="41" t="inlineStr">
        <is>
          <t>Hỗ trợ</t>
        </is>
      </c>
      <c r="C41" s="41" t="inlineStr">
        <is>
          <t>5 CP</t>
        </is>
      </c>
      <c r="D41" s="41" t="inlineStr">
        <is>
          <t>Xe chỉ huy thả 3 robot nhỏ có súng máy chạy trước dò đường, hút đạn; robot hết pin sau 60 s.</t>
        </is>
      </c>
      <c r="E41" s="41" t="inlineStr">
        <is>
          <t>3 robot × 7,62 mm · tầm 22</t>
        </is>
      </c>
      <c r="F41" s="41" t="inlineStr">
        <is>
          <t>robot máu 300 · xe mẹ máu 900</t>
        </is>
      </c>
      <c r="G41" s="41" t="inlineStr">
        <is>
          <t>THeMIS, Uran-9</t>
        </is>
      </c>
      <c r="H41" s="41" t="inlineStr">
        <is>
          <t>(mới)</t>
        </is>
      </c>
      <c r="I41" s="41" t="inlineStr">
        <is>
          <t>Đội hình 'mồi' rẻ, khác drone bay</t>
        </is>
      </c>
      <c r="J41" s="41" t="inlineStr">
        <is>
          <t>Xe phóng drone FPV</t>
        </is>
      </c>
      <c r="K41" s="49" t="inlineStr">
        <is>
          <t>Thấp</t>
        </is>
      </c>
      <c r="L41" s="41" t="inlineStr">
        <is>
          <t>Cửa hàng: 1.500 xu</t>
        </is>
      </c>
    </row>
    <row r="42" ht="21.75" customHeight="1" s="32">
      <c r="A42" s="39" t="inlineStr">
        <is>
          <t>Xe tiếp nhiên liệu – sửa chữa lưu động</t>
        </is>
      </c>
      <c r="B42" s="39" t="inlineStr">
        <is>
          <t>Hỗ trợ</t>
        </is>
      </c>
      <c r="C42" s="39" t="inlineStr">
        <is>
          <t>4 CP</t>
        </is>
      </c>
      <c r="D42" s="39" t="inlineStr">
        <is>
          <t>Sửa xe ta ngoài chiến trường chậm hơn công binh nhưng vùng rộng hơn; không sửa tháp.</t>
        </is>
      </c>
      <c r="E42" s="39" t="inlineStr">
        <is>
          <t>—</t>
        </is>
      </c>
      <c r="F42" s="39" t="inlineStr">
        <is>
          <t>máu 1.300 · giáp 1</t>
        </is>
      </c>
      <c r="G42" s="39" t="inlineStr">
        <is>
          <t>xe sửa chữa lưu động MTO-UB</t>
        </is>
      </c>
      <c r="H42" s="39" t="inlineStr">
        <is>
          <t>(mới)</t>
        </is>
      </c>
      <c r="I42" s="39" t="inlineStr">
        <is>
          <t>Hồi máu diện rộng phía sau tuyến</t>
        </is>
      </c>
      <c r="J42" s="39" t="inlineStr">
        <is>
          <t>Xe công binh</t>
        </is>
      </c>
      <c r="K42" s="49" t="inlineStr">
        <is>
          <t>Thấp</t>
        </is>
      </c>
      <c r="L42" s="39" t="inlineStr">
        <is>
          <t>Cửa hàng: 1.500 xu</t>
        </is>
      </c>
    </row>
    <row r="43" ht="21.75" customHeight="1" s="32">
      <c r="A43" s="41" t="inlineStr">
        <is>
          <t>Xe radar phòng không di động</t>
        </is>
      </c>
      <c r="B43" s="41" t="inlineStr">
        <is>
          <t>Hỗ trợ</t>
        </is>
      </c>
      <c r="C43" s="41" t="inlineStr">
        <is>
          <t>5 CP</t>
        </is>
      </c>
      <c r="D43" s="41" t="inlineStr">
        <is>
          <t>Không bắn; mọi xe phòng không ta trong 50 m được +15% tầm và thấy máy bay tàng hình từ xa hơn.</t>
        </is>
      </c>
      <c r="E43" s="41" t="inlineStr">
        <is>
          <t>—</t>
        </is>
      </c>
      <c r="F43" s="41" t="inlineStr">
        <is>
          <t>máu 900 · giáp 1</t>
        </is>
      </c>
      <c r="G43" s="41" t="inlineStr">
        <is>
          <t>Radar phòng không di động (Giraffe AMB, Kasta)</t>
        </is>
      </c>
      <c r="H43" s="41" t="inlineStr">
        <is>
          <t>Wargame (radar)</t>
        </is>
      </c>
      <c r="I43" s="41" t="inlineStr">
        <is>
          <t>Tăng sức cho nhóm phòng không thay vì tự bắn</t>
        </is>
      </c>
      <c r="J43" s="41" t="inlineStr">
        <is>
          <t>Trạm radar (tháp)</t>
        </is>
      </c>
      <c r="K43" s="49" t="inlineStr">
        <is>
          <t>Thấp</t>
        </is>
      </c>
      <c r="L43" s="41" t="inlineStr">
        <is>
          <t>Cửa hàng: 1.500 xu</t>
        </is>
      </c>
    </row>
    <row r="44" ht="21.75" customHeight="1" s="32">
      <c r="A44" s="39" t="inlineStr">
        <is>
          <t>Pháo chống tăng kéo cỡ lớn (xe)</t>
        </is>
      </c>
      <c r="B44" s="39" t="inlineStr">
        <is>
          <t>Diệt tăng</t>
        </is>
      </c>
      <c r="C44" s="39" t="inlineStr">
        <is>
          <t>4 CP</t>
        </is>
      </c>
      <c r="D44" s="39" t="inlineStr">
        <is>
          <t>Kéo bằng xe tải, phải dừng và triển khai 4 s mới bắn; bắn xa và mạnh, rất mỏng khi đang di chuyển.</t>
        </is>
      </c>
      <c r="E44" s="39" t="inlineStr">
        <is>
          <t>125 mm Động năng xuyên 4 · 250/phát · 0,2 phát/s · tầm 42</t>
        </is>
      </c>
      <c r="F44" s="39" t="inlineStr">
        <is>
          <t>máu 800 · giáp 0 (tấm chắn 1)</t>
        </is>
      </c>
      <c r="G44" s="39" t="inlineStr">
        <is>
          <t>2A45 Sprut-B</t>
        </is>
      </c>
      <c r="H44" s="39" t="inlineStr">
        <is>
          <t>Company of Heroes (pháo chống tăng kéo)</t>
        </is>
      </c>
      <c r="I44" s="39" t="inlineStr">
        <is>
          <t>Diệt tăng rẻ phải 'dựng súng', khác pháo tự hành</t>
        </is>
      </c>
      <c r="J44" s="39" t="inlineStr">
        <is>
          <t>Pháo chống tăng tự hành</t>
        </is>
      </c>
      <c r="K44" s="49" t="inlineStr">
        <is>
          <t>Thấp</t>
        </is>
      </c>
      <c r="L44" s="39" t="inlineStr">
        <is>
          <t>Cửa hàng: 1.500 xu</t>
        </is>
      </c>
    </row>
    <row r="45" ht="21.75" customHeight="1" s="32">
      <c r="A45" s="41" t="inlineStr">
        <is>
          <t>Tháp pháo sáng / chiếu sáng</t>
        </is>
      </c>
      <c r="B45" s="41" t="inlineStr">
        <is>
          <t>Công trình</t>
        </is>
      </c>
      <c r="C45" s="41" t="inlineStr">
        <is>
          <t>Ô nhỏ</t>
        </is>
      </c>
      <c r="D45" s="41" t="inlineStr">
        <is>
          <t>Định kỳ bắn pháo sáng lên vùng xung quanh ban đêm, lộ mọi thứ trong 30 m trong 15 s.</t>
        </is>
      </c>
      <c r="E45" s="41" t="inlineStr">
        <is>
          <t>—</t>
        </is>
      </c>
      <c r="F45" s="41" t="inlineStr">
        <is>
          <t>máu 1.000</t>
        </is>
      </c>
      <c r="G45" s="41" t="inlineStr">
        <is>
          <t>Pháo sáng chiếu sáng chiến trường</t>
        </is>
      </c>
      <c r="H45" s="41" t="inlineStr">
        <is>
          <t>Company of Heroes (pháo sáng)</t>
        </is>
      </c>
      <c r="I45" s="41" t="inlineStr">
        <is>
          <t>Cách đối phó đêm khác đèn pha (theo đợt, rộng hơn)</t>
        </is>
      </c>
      <c r="J45" s="41" t="inlineStr">
        <is>
          <t>Đèn pha chiến trường</t>
        </is>
      </c>
      <c r="K45" s="49" t="inlineStr">
        <is>
          <t>Thấp</t>
        </is>
      </c>
      <c r="L45" s="41" t="inlineStr">
        <is>
          <t>Cửa hàng: 2.000 xu (ô nhỏ) / 3.000 xu (ô vừa, tiện ích); hoặc thưởng nhiệm vụ phụ</t>
        </is>
      </c>
    </row>
    <row r="46" ht="21.75" customHeight="1" s="32">
      <c r="A46" s="39" t="inlineStr">
        <is>
          <t>Ụ súng không giật</t>
        </is>
      </c>
      <c r="B46" s="39" t="inlineStr">
        <is>
          <t>Công trình</t>
        </is>
      </c>
      <c r="C46" s="39" t="inlineStr">
        <is>
          <t>Ô nhỏ</t>
        </is>
      </c>
      <c r="D46" s="39" t="inlineStr">
        <is>
          <t>Chống tăng rẻ ở ô nhỏ, tầm ngắn, nạp lâu.</t>
        </is>
      </c>
      <c r="E46" s="39" t="inlineStr">
        <is>
          <t>SPG-9 73 mm Nổ lõm xuyên 3 · 180/phát · 0,15 phát/s · tầm 28</t>
        </is>
      </c>
      <c r="F46" s="39" t="inlineStr">
        <is>
          <t>máu 1.200 · giáp 1</t>
        </is>
      </c>
      <c r="G46" s="39" t="inlineStr">
        <is>
          <t>SPG-9 Kopyo</t>
        </is>
      </c>
      <c r="H46" s="39" t="inlineStr">
        <is>
          <t>Company of Heroes (súng không giật)</t>
        </is>
      </c>
      <c r="I46" s="39" t="inlineStr">
        <is>
          <t>Chống tăng rẻ, yếu hơn Ụ pháo chống tăng</t>
        </is>
      </c>
      <c r="J46" s="39" t="inlineStr">
        <is>
          <t>Ụ pháo chống tăng</t>
        </is>
      </c>
      <c r="K46" s="49" t="inlineStr">
        <is>
          <t>Thấp</t>
        </is>
      </c>
      <c r="L46" s="39" t="inlineStr">
        <is>
          <t>Cửa hàng: 2.000 xu (ô nhỏ) / 3.000 xu (ô vừa, tiện ích); hoặc thưởng nhiệm vụ phụ</t>
        </is>
      </c>
    </row>
    <row r="47" ht="21.75" customHeight="1" s="32">
      <c r="A47" s="41" t="inlineStr">
        <is>
          <t>Hầm ngầm che quân</t>
        </is>
      </c>
      <c r="B47" s="41" t="inlineStr">
        <is>
          <t>Công trình</t>
        </is>
      </c>
      <c r="C47" s="41" t="inlineStr">
        <is>
          <t>Ô vừa</t>
        </is>
      </c>
      <c r="D47" s="41" t="inlineStr">
        <is>
          <t>Xe đứng trong vùng hầm được che khỏi pháo binh và bom (nhận ít hơn 50% sát thương cầu vồng), nhưng không che trước đạn bắn thẳng.</t>
        </is>
      </c>
      <c r="E47" s="41" t="inlineStr">
        <is>
          <t>—</t>
        </is>
      </c>
      <c r="F47" s="41" t="inlineStr">
        <is>
          <t>máu 4.000 · giáp 3</t>
        </is>
      </c>
      <c r="G47" s="41" t="inlineStr">
        <is>
          <t>Hầm trú ẩn bê tông</t>
        </is>
      </c>
      <c r="H47" s="41" t="inlineStr">
        <is>
          <t>Company of Heroes (boongke)</t>
        </is>
      </c>
      <c r="I47" s="41" t="inlineStr">
        <is>
          <t>Giữ quân sống qua trận pháo kích</t>
        </is>
      </c>
      <c r="J47" s="41" t="inlineStr">
        <is>
          <t>Máy phát khiên, Tường chắn đạn</t>
        </is>
      </c>
      <c r="K47" s="49" t="inlineStr">
        <is>
          <t>Thấp</t>
        </is>
      </c>
      <c r="L47" s="41" t="inlineStr">
        <is>
          <t>Cửa hàng: 2.000 xu (ô nhỏ) / 3.000 xu (ô vừa, tiện ích); hoặc thưởng nhiệm vụ phụ</t>
        </is>
      </c>
    </row>
    <row r="48" ht="21.75" customHeight="1" s="32">
      <c r="A48" s="39" t="inlineStr">
        <is>
          <t>Xe phóng drone FPV cáp quang</t>
        </is>
      </c>
      <c r="B48" s="39" t="inlineStr">
        <is>
          <t>Diệt tăng</t>
        </is>
      </c>
      <c r="C48" s="39" t="inlineStr">
        <is>
          <t>7 CP</t>
        </is>
      </c>
      <c r="D48" s="39" t="inlineStr">
        <is>
          <t>Drone FPV điều khiển qua sợi cáp quang: không bị EW gây nhiễu, nhưng bay chậm hơn và mỗi xe chỉ điều khiển 1 drone một lúc.</t>
        </is>
      </c>
      <c r="E48" s="39" t="inlineStr">
        <is>
          <t>FPV 1,5 kg Nổ lõm xuyên 3 · 160/phát · 1 drone mỗi 6 s · tầm 60</t>
        </is>
      </c>
      <c r="F48" s="39" t="inlineStr">
        <is>
          <t>máu 950 · giáp 1</t>
        </is>
      </c>
      <c r="G48" s="39" t="inlineStr">
        <is>
          <t>FPV cáp quang (chiến sự Ukraine 2024–2025)</t>
        </is>
      </c>
      <c r="H48" s="39" t="inlineStr">
        <is>
          <t>(mới)</t>
        </is>
      </c>
      <c r="I48" s="39" t="inlineStr">
        <is>
          <t>Khắc chế đối thủ dùng nhiều gây nhiễu</t>
        </is>
      </c>
      <c r="J48" s="39" t="inlineStr">
        <is>
          <t>Xe phóng drone FPV</t>
        </is>
      </c>
      <c r="K48" s="48" t="inlineStr">
        <is>
          <t>Trung</t>
        </is>
      </c>
      <c r="L48" s="39" t="inlineStr">
        <is>
          <t>Cửa hàng: 3.000 xu, hoặc thưởng sự kiện</t>
        </is>
      </c>
    </row>
    <row r="49" ht="15" customHeight="1" s="32">
      <c r="A49" s="41" t="inlineStr">
        <is>
          <t>Xe drone đánh chặn</t>
        </is>
      </c>
      <c r="B49" s="41" t="inlineStr">
        <is>
          <t>Phòng không</t>
        </is>
      </c>
      <c r="C49" s="41" t="inlineStr">
        <is>
          <t>5 CP</t>
        </is>
      </c>
      <c r="D49" s="41" t="inlineStr">
        <is>
          <t>Phóng drone đánh chặn lao vào drone và trực thăng địch.</t>
        </is>
      </c>
      <c r="E49" s="41" t="inlineStr">
        <is>
          <t>Drone đánh chặn Mảnh · 120/phát · 1 mỗi 4 s · tầm 60</t>
        </is>
      </c>
      <c r="F49" s="41" t="inlineStr">
        <is>
          <t>máu 900 · giáp 1</t>
        </is>
      </c>
      <c r="G49" s="41" t="inlineStr">
        <is>
          <t>Drone đánh chặn (Ukraine), Coyote</t>
        </is>
      </c>
      <c r="H49" s="41" t="inlineStr">
        <is>
          <t>(mới)</t>
        </is>
      </c>
      <c r="I49" s="41" t="inlineStr">
        <is>
          <t>Chống drone bằng drone</t>
        </is>
      </c>
      <c r="J49" s="41" t="inlineStr">
        <is>
          <t>La-de PK, C-RAM</t>
        </is>
      </c>
      <c r="K49" s="48" t="inlineStr">
        <is>
          <t>Trung</t>
        </is>
      </c>
      <c r="L49" s="41" t="inlineStr">
        <is>
          <t>Cửa hàng: 1.500 xu</t>
        </is>
      </c>
    </row>
    <row r="50" ht="21.75" customHeight="1" s="32">
      <c r="A50" s="39" t="inlineStr">
        <is>
          <t>Xe laser chói lóa</t>
        </is>
      </c>
      <c r="B50" s="39" t="inlineStr">
        <is>
          <t>Hỗ trợ</t>
        </is>
      </c>
      <c r="C50" s="39" t="inlineStr">
        <is>
          <t>5 CP</t>
        </is>
      </c>
      <c r="D50" s="39" t="inlineStr">
        <is>
          <t>Làm mù kính ngắm: xe và tháp địch trong hình nón −40% độ chính xác 6 s; không gây sát thương.</t>
        </is>
      </c>
      <c r="E50" s="39" t="inlineStr">
        <is>
          <t>Laser chói · hình nón 40° · tầm 40 · hồi 12 s</t>
        </is>
      </c>
      <c r="F50" s="39" t="inlineStr">
        <is>
          <t>máu 900 · giáp 1</t>
        </is>
      </c>
      <c r="G50" s="39" t="inlineStr">
        <is>
          <t>Laser chói lóa (Peresvet, dazzler)</t>
        </is>
      </c>
      <c r="H50" s="39" t="inlineStr">
        <is>
          <t>(mới)</t>
        </is>
      </c>
      <c r="I50" s="39" t="inlineStr">
        <is>
          <t>Hỗ trợ bằng cách 'làm mù'</t>
        </is>
      </c>
      <c r="J50" s="39" t="inlineStr">
        <is>
          <t>Xe tạo khói</t>
        </is>
      </c>
      <c r="K50" s="49" t="inlineStr">
        <is>
          <t>Thấp</t>
        </is>
      </c>
      <c r="L50" s="39" t="inlineStr">
        <is>
          <t>Cửa hàng: 1.500 xu</t>
        </is>
      </c>
    </row>
    <row r="51" ht="21.75" customHeight="1" s="32">
      <c r="A51" s="41" t="inlineStr">
        <is>
          <t>Xe phóng tên lửa hành trình mặt đất</t>
        </is>
      </c>
      <c r="B51" s="41" t="inlineStr">
        <is>
          <t>Pháo binh</t>
        </is>
      </c>
      <c r="C51" s="41" t="inlineStr">
        <is>
          <t>12 CP</t>
        </is>
      </c>
      <c r="D51" s="41" t="inlineStr">
        <is>
          <t>Bắn 2 tên lửa hành trình chậm, tầm rất xa, bắn hạ được; mạnh với công trình.</t>
        </is>
      </c>
      <c r="E51" s="41" t="inlineStr">
        <is>
          <t>Tên lửa hành trình 450/phát · loạt 2 · nạp 30 s · tầm 180 · tốc độ 22</t>
        </is>
      </c>
      <c r="F51" s="41" t="inlineStr">
        <is>
          <t>máu 1.000 · giáp 1</t>
        </is>
      </c>
      <c r="G51" s="41" t="inlineStr">
        <is>
          <t>Typhon MRC (Tomahawk mặt đất), Bastion-P</t>
        </is>
      </c>
      <c r="H51" s="41" t="inlineStr">
        <is>
          <t>(mới)</t>
        </is>
      </c>
      <c r="I51" s="41" t="inlineStr">
        <is>
          <t>Đòn chính xác tầm xa, đối thủ có cơ hội bắn hạ</t>
        </is>
      </c>
      <c r="J51" s="41" t="inlineStr">
        <is>
          <t>Xe phóng tên lửa chiến thuật</t>
        </is>
      </c>
      <c r="K51" s="49" t="inlineStr">
        <is>
          <t>Thấp</t>
        </is>
      </c>
      <c r="L51" s="41" t="inlineStr">
        <is>
          <t>Cửa hàng: 5.000 xu, hoặc thưởng thẻ mùa</t>
        </is>
      </c>
    </row>
    <row r="52" ht="21.75" customHeight="1" s="32">
      <c r="A52" s="39" t="inlineStr">
        <is>
          <t>Máy bay tiếp dầu</t>
        </is>
      </c>
      <c r="B52" s="39" t="inlineStr">
        <is>
          <t>Máy bay</t>
        </is>
      </c>
      <c r="C52" s="39" t="inlineStr">
        <is>
          <t>8 CP</t>
        </is>
      </c>
      <c r="D52" s="39" t="inlineStr">
        <is>
          <t>Không đánh; máy bay ta trong vùng bay vòng lâu hơn 50% trước khi phải về nạp đạn.</t>
        </is>
      </c>
      <c r="E52" s="39" t="inlineStr">
        <is>
          <t>—</t>
        </is>
      </c>
      <c r="F52" s="39" t="inlineStr">
        <is>
          <t>máu 2.500 · giáp 0 · 20 m/s</t>
        </is>
      </c>
      <c r="G52" s="39" t="inlineStr">
        <is>
          <t>KC-135, Il-78</t>
        </is>
      </c>
      <c r="H52" s="39" t="inlineStr">
        <is>
          <t>Wargame (máy bay hỗ trợ)</t>
        </is>
      </c>
      <c r="I52" s="39" t="inlineStr">
        <is>
          <t>Tăng sức bền cho không quân</t>
        </is>
      </c>
      <c r="J52" s="39" t="inlineStr">
        <is>
          <t>Sân bay dã chiến</t>
        </is>
      </c>
      <c r="K52" s="49" t="inlineStr">
        <is>
          <t>Thấp</t>
        </is>
      </c>
      <c r="L52" s="39" t="inlineStr">
        <is>
          <t>Cửa hàng: 3.000 xu, hoặc thưởng sự kiện</t>
        </is>
      </c>
    </row>
    <row r="53" ht="21.75" customHeight="1" s="32">
      <c r="A53" s="41" t="inlineStr">
        <is>
          <t>Trực thăng cẩu tháp</t>
        </is>
      </c>
      <c r="B53" s="41" t="inlineStr">
        <is>
          <t>Trực thăng</t>
        </is>
      </c>
      <c r="C53" s="41" t="inlineStr">
        <is>
          <t>7 CP</t>
        </is>
      </c>
      <c r="D53" s="41" t="inlineStr">
        <is>
          <t>Cẩu một tháp nhỏ đặt xuống bất kỳ đâu phe ta nhìn thấy (ngoài căn cứ địch).</t>
        </is>
      </c>
      <c r="E53" s="41" t="inlineStr">
        <is>
          <t>—</t>
        </is>
      </c>
      <c r="F53" s="41" t="inlineStr">
        <is>
          <t>máu 1.800 · giáp 1 · 12 m/s</t>
        </is>
      </c>
      <c r="G53" s="41" t="inlineStr">
        <is>
          <t>CH-47 / Mi-26 cẩu hàng</t>
        </is>
      </c>
      <c r="H53" s="41" t="inlineStr">
        <is>
          <t>(mới)</t>
        </is>
      </c>
      <c r="I53" s="41" t="inlineStr">
        <is>
          <t>Dựng tiền đồn bằng đường không</t>
        </is>
      </c>
      <c r="J53" s="41" t="inlineStr">
        <is>
          <t>Thẻ Tháp dã chiến</t>
        </is>
      </c>
      <c r="K53" s="49" t="inlineStr">
        <is>
          <t>Thấp</t>
        </is>
      </c>
      <c r="L53" s="41" t="inlineStr">
        <is>
          <t>Cửa hàng: 3.000 xu, hoặc thưởng sự kiện</t>
        </is>
      </c>
    </row>
    <row r="54" ht="15" customHeight="1" s="32">
      <c r="A54" s="39" t="inlineStr">
        <is>
          <t>Xe bắc cầu</t>
        </is>
      </c>
      <c r="B54" s="39" t="inlineStr">
        <is>
          <t>Hỗ trợ</t>
        </is>
      </c>
      <c r="C54" s="39" t="inlineStr">
        <is>
          <t>4 CP</t>
        </is>
      </c>
      <c r="D54" s="39" t="inlineStr">
        <is>
          <t>Bắc một cầu tạm qua sông hoặc hào (khi có sông).</t>
        </is>
      </c>
      <c r="E54" s="39" t="inlineStr">
        <is>
          <t>—</t>
        </is>
      </c>
      <c r="F54" s="39" t="inlineStr">
        <is>
          <t>máu 1.500 · giáp 2</t>
        </is>
      </c>
      <c r="G54" s="39" t="inlineStr">
        <is>
          <t>AVLB, MTU-72</t>
        </is>
      </c>
      <c r="H54" s="39" t="inlineStr">
        <is>
          <t>Company of Heroes (công binh bắc cầu)</t>
        </is>
      </c>
      <c r="I54" s="39" t="inlineStr">
        <is>
          <t>Mở lối qua sông</t>
        </is>
      </c>
      <c r="J54" s="39" t="inlineStr">
        <is>
          <t>Công binh</t>
        </is>
      </c>
      <c r="K54" s="49" t="inlineStr">
        <is>
          <t>Thấp</t>
        </is>
      </c>
      <c r="L54" s="39" t="inlineStr">
        <is>
          <t>Cửa hàng: 1.500 xu</t>
        </is>
      </c>
    </row>
    <row r="55" ht="21.75" customHeight="1" s="32">
      <c r="A55" s="41" t="inlineStr">
        <is>
          <t>Xe gây nhiễu định vị</t>
        </is>
      </c>
      <c r="B55" s="41" t="inlineStr">
        <is>
          <t>Hỗ trợ</t>
        </is>
      </c>
      <c r="C55" s="41" t="inlineStr">
        <is>
          <t>5 CP</t>
        </is>
      </c>
      <c r="D55" s="41" t="inlineStr">
        <is>
          <t>Bom dẫn đường GPS, bom lượn và tên lửa hành trình rơi lệch khi vào vùng.</t>
        </is>
      </c>
      <c r="E55" s="41" t="inlineStr">
        <is>
          <t>—</t>
        </is>
      </c>
      <c r="F55" s="41" t="inlineStr">
        <is>
          <t>máu 800 · giáp 1</t>
        </is>
      </c>
      <c r="G55" s="41" t="inlineStr">
        <is>
          <t>Pole-21</t>
        </is>
      </c>
      <c r="H55" s="41" t="inlineStr">
        <is>
          <t>(mới)</t>
        </is>
      </c>
      <c r="I55" s="41" t="inlineStr">
        <is>
          <t>Khắc chế bom lượn và tên lửa hành trình</t>
        </is>
      </c>
      <c r="J55" s="41" t="inlineStr">
        <is>
          <t>Xe gây nhiễu điện tử</t>
        </is>
      </c>
      <c r="K55" s="49" t="inlineStr">
        <is>
          <t>Thấp</t>
        </is>
      </c>
      <c r="L55" s="41" t="inlineStr">
        <is>
          <t>Cửa hàng: 1.500 xu</t>
        </is>
      </c>
    </row>
    <row r="56" ht="21.75" customHeight="1" s="32">
      <c r="A56" s="39" t="inlineStr">
        <is>
          <t>Lưới chắn drone</t>
        </is>
      </c>
      <c r="B56" s="39" t="inlineStr">
        <is>
          <t>Công trình</t>
        </is>
      </c>
      <c r="C56" s="39" t="inlineStr">
        <is>
          <t>Ô nhỏ</t>
        </is>
      </c>
      <c r="D56" s="39" t="inlineStr">
        <is>
          <t>Hành lang lưới: drone bay qua bị mắc và rơi; không cản xe.</t>
        </is>
      </c>
      <c r="E56" s="39" t="inlineStr">
        <is>
          <t>—</t>
        </is>
      </c>
      <c r="F56" s="39" t="inlineStr">
        <is>
          <t>máu 800</t>
        </is>
      </c>
      <c r="G56" s="39" t="inlineStr">
        <is>
          <t>Lưới chống drone phủ đường tiếp tế (Ukraine)</t>
        </is>
      </c>
      <c r="H56" s="39" t="inlineStr">
        <is>
          <t>(mới)</t>
        </is>
      </c>
      <c r="I56" s="39" t="inlineStr">
        <is>
          <t>Chống drone thụ động, rẻ</t>
        </is>
      </c>
      <c r="J56" s="39" t="inlineStr">
        <is>
          <t>Tháp EW, C-RAM</t>
        </is>
      </c>
      <c r="K56" s="49" t="inlineStr">
        <is>
          <t>Thấp</t>
        </is>
      </c>
      <c r="L56" s="39" t="inlineStr">
        <is>
          <t>Cửa hàng: 2.000 xu (ô nhỏ) / 3.000 xu (ô vừa, tiện ích); hoặc thưởng nhiệm vụ phụ</t>
        </is>
      </c>
    </row>
    <row r="57" ht="21.75" customHeight="1" s="32">
      <c r="A57" s="41" t="inlineStr">
        <is>
          <t>Bệ tên lửa phòng thủ một lần</t>
        </is>
      </c>
      <c r="B57" s="41" t="inlineStr">
        <is>
          <t>Công trình</t>
        </is>
      </c>
      <c r="C57" s="41" t="inlineStr">
        <is>
          <t>Ô vừa</t>
        </is>
      </c>
      <c r="D57" s="41" t="inlineStr">
        <is>
          <t>Bắn 1 loạt 8 tên lửa chống tăng khi đợt địch lớn tiến vào, rồi phải thả dù lại.</t>
        </is>
      </c>
      <c r="E57" s="41" t="inlineStr">
        <is>
          <t>8 × Kornet 230 · một lần</t>
        </is>
      </c>
      <c r="F57" s="41" t="inlineStr">
        <is>
          <t>máu 2.000 · giáp 2</t>
        </is>
      </c>
      <c r="G57" s="41" t="inlineStr">
        <is>
          <t>Bệ phóng tự động</t>
        </is>
      </c>
      <c r="H57" s="41" t="inlineStr">
        <is>
          <t>(mới)</t>
        </is>
      </c>
      <c r="I57" s="41" t="inlineStr">
        <is>
          <t>Một cú 'mìn' lớn chống đợt tấn công</t>
        </is>
      </c>
      <c r="J57" s="41" t="inlineStr">
        <is>
          <t>Tháp ATGM</t>
        </is>
      </c>
      <c r="K57" s="49" t="inlineStr">
        <is>
          <t>Thấp</t>
        </is>
      </c>
      <c r="L57" s="41" t="inlineStr">
        <is>
          <t>Cửa hàng: 2.000 xu (ô nhỏ) / 3.000 xu (ô vừa, tiện ích); hoặc thưởng nhiệm vụ phụ</t>
        </is>
      </c>
    </row>
  </sheetData>
  <autoFilter ref="A1:L5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Z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31" min="1" max="1"/>
    <col width="8" customWidth="1" style="31" min="2" max="2"/>
    <col width="7" customWidth="1" style="31" min="3" max="3"/>
    <col width="10" customWidth="1" style="31" min="4" max="4"/>
    <col width="7" customWidth="1" style="31" min="5" max="5"/>
    <col width="20" customWidth="1" style="31" min="6" max="6"/>
    <col width="10" customWidth="1" style="31" min="7" max="7"/>
    <col width="6" customWidth="1" style="31" min="8" max="8"/>
    <col width="8" customWidth="1" style="31" min="9" max="9"/>
    <col width="6" customWidth="1" style="31" min="10" max="10"/>
    <col width="9" customWidth="1" style="31" min="11" max="11"/>
    <col width="8" customWidth="1" style="31" min="12" max="12"/>
    <col width="6" customWidth="1" style="31" min="13" max="15"/>
    <col width="8" customWidth="1" style="31" min="16" max="16"/>
    <col width="7" customWidth="1" style="31" min="17" max="20"/>
    <col width="55" customWidth="1" style="31" min="21" max="21"/>
    <col width="30" customWidth="1" style="31" min="22" max="24"/>
    <col width="8" customWidth="1" style="31" min="25" max="25"/>
    <col width="30" customWidth="1" style="31" min="26" max="26"/>
  </cols>
  <sheetData>
    <row r="1" ht="42" customHeight="1" s="32">
      <c r="A1" s="37" t="inlineStr">
        <is>
          <t>Tên</t>
        </is>
      </c>
      <c r="B1" s="37" t="inlineStr">
        <is>
          <t>Ô</t>
        </is>
      </c>
      <c r="C1" s="37" t="inlineStr">
        <is>
          <t>Máu</t>
        </is>
      </c>
      <c r="D1" s="37" t="inlineStr">
        <is>
          <t>Giáp</t>
        </is>
      </c>
      <c r="E1" s="37" t="inlineStr">
        <is>
          <t>Tầm nhìn</t>
        </is>
      </c>
      <c r="F1" s="37" t="inlineStr">
        <is>
          <t>Vũ khí</t>
        </is>
      </c>
      <c r="G1" s="37" t="inlineStr">
        <is>
          <t>Loại</t>
        </is>
      </c>
      <c r="H1" s="37" t="inlineStr">
        <is>
          <t>Xuyên</t>
        </is>
      </c>
      <c r="I1" s="37" t="inlineStr">
        <is>
          <t>Sát thương/phát</t>
        </is>
      </c>
      <c r="J1" s="37" t="inlineStr">
        <is>
          <t>Viên/s</t>
        </is>
      </c>
      <c r="K1" s="37" t="inlineStr">
        <is>
          <t>Chế độ</t>
        </is>
      </c>
      <c r="L1" s="37" t="inlineStr">
        <is>
          <t>Viên mỗi băng/loạt</t>
        </is>
      </c>
      <c r="M1" s="37" t="inlineStr">
        <is>
          <t>Nạp (s)</t>
        </is>
      </c>
      <c r="N1" s="37" t="inlineStr">
        <is>
          <t>Tầm (m)</t>
        </is>
      </c>
      <c r="O1" s="37" t="inlineStr">
        <is>
          <t>Nổ lan (m)</t>
        </is>
      </c>
      <c r="P1" s="37" t="inlineStr">
        <is>
          <t>DPS duy trì</t>
        </is>
      </c>
      <c r="Q1" s="37" t="inlineStr">
        <is>
          <t>vs giáp 1</t>
        </is>
      </c>
      <c r="R1" s="37" t="inlineStr">
        <is>
          <t>vs giáp 3</t>
        </is>
      </c>
      <c r="S1" s="37" t="inlineStr">
        <is>
          <t>trên không</t>
        </is>
      </c>
      <c r="T1" s="37" t="inlineStr">
        <is>
          <t>công trình</t>
        </is>
      </c>
      <c r="U1" s="37" t="inlineStr">
        <is>
          <t>Cơ chế / hành vi</t>
        </is>
      </c>
      <c r="V1" s="37" t="inlineStr">
        <is>
          <t>Tham khảo ngoài đời</t>
        </is>
      </c>
      <c r="W1" s="37" t="inlineStr">
        <is>
          <t>Tham khảo game</t>
        </is>
      </c>
      <c r="X1" s="37" t="inlineStr">
        <is>
          <t>Cảm giác khác</t>
        </is>
      </c>
      <c r="Y1" s="46" t="inlineStr">
        <is>
          <t>Ưu tiên</t>
        </is>
      </c>
      <c r="Z1" s="45" t="inlineStr">
        <is>
          <t>Mở khóa đề xuất</t>
        </is>
      </c>
    </row>
    <row r="2" ht="21.75" customHeight="1" s="32">
      <c r="A2" s="39" t="inlineStr">
        <is>
          <t>Tháp cao xạ hạng nặng 100 mm (KS-19)</t>
        </is>
      </c>
      <c r="B2" s="39" t="inlineStr">
        <is>
          <t>Vừa</t>
        </is>
      </c>
      <c r="C2" s="42" t="n">
        <v>3000</v>
      </c>
      <c r="D2" s="39" t="inlineStr">
        <is>
          <t>2</t>
        </is>
      </c>
      <c r="E2" s="42" t="n">
        <v>64</v>
      </c>
      <c r="F2" s="39" t="inlineStr">
        <is>
          <t>Pháo cao xạ 88 mm</t>
        </is>
      </c>
      <c r="G2" s="39" t="inlineStr">
        <is>
          <t>Mảnh</t>
        </is>
      </c>
      <c r="H2" s="42" t="n">
        <v>3</v>
      </c>
      <c r="I2" s="42" t="n">
        <v>120</v>
      </c>
      <c r="J2" s="42" t="n">
        <v>0.5</v>
      </c>
      <c r="K2" s="39" t="inlineStr">
        <is>
          <t>từng phát</t>
        </is>
      </c>
      <c r="L2" s="42" t="n">
        <v>1</v>
      </c>
      <c r="M2" s="42" t="n">
        <v>0</v>
      </c>
      <c r="N2" s="42" t="n">
        <v>70</v>
      </c>
      <c r="O2" s="42" t="n">
        <v>6</v>
      </c>
      <c r="P2" s="54">
        <f>IFERROR(IF(K2="từng phát",I2*J2,I2*L2/(L2/J2+M2)),0)</f>
        <v/>
      </c>
      <c r="Q2" s="54">
        <f>IFERROR(P2*VLOOKUP(G2,'Hệ số'!$A$2:$D$8,2,0)*IF((H2-1)&gt;=2,1.2,IF((H2-1)=1,1,IF((H2-1)=0,0.85,IF((H2-1)=-1,0.5,IF((H2-1)=-2,0.25,0.1))))),0)</f>
        <v/>
      </c>
      <c r="R2" s="54">
        <f>IFERROR(P2*VLOOKUP(G2,'Hệ số'!$A$2:$D$8,2,0)*IF((H2-3)&gt;=2,1.2,IF((H2-3)=1,1,IF((H2-3)=0,0.85,IF((H2-3)=-1,0.5,IF((H2-3)=-2,0.25,0.1))))),0)</f>
        <v/>
      </c>
      <c r="S2" s="54">
        <f>IFERROR(P2*VLOOKUP(G2,'Hệ số'!$A$2:$D$8,3,0),0)</f>
        <v/>
      </c>
      <c r="T2" s="54">
        <f>IFERROR(P2*VLOOKUP(G2,'Hệ số'!$A$2:$D$8,4,0)*IF((H2-2)&gt;=2,1.2,IF((H2-2)=1,1,IF((H2-2)=0,0.85,IF((H2-2)=-1,0.5,IF((H2-2)=-2,0.25,0.1))))),0)</f>
        <v/>
      </c>
      <c r="U2" s="39" t="inlineStr">
        <is>
          <t>Đạn nổ trên không bán kính lớn; ưu tiên tốp máy bay và máy bay lớn; hạ nòng bắn xe tăng ở 50 m (xuyên 3).</t>
        </is>
      </c>
      <c r="V2" s="39" t="inlineStr">
        <is>
          <t>KS-19 100 mm (1947)</t>
        </is>
      </c>
      <c r="W2" s="39" t="inlineStr">
        <is>
          <t>Red Alert 2 (Flak Cannon)</t>
        </is>
      </c>
      <c r="X2" s="39" t="inlineStr">
        <is>
          <t>Nổ chậm, to, khói đen trên trời</t>
        </is>
      </c>
      <c r="Y2" s="47" t="inlineStr">
        <is>
          <t>Cao</t>
        </is>
      </c>
      <c r="Z2" s="39" t="inlineStr">
        <is>
          <t>Cửa hàng: 3.000 xu</t>
        </is>
      </c>
    </row>
    <row r="3" ht="21.75" customHeight="1" s="32">
      <c r="A3" s="41" t="inlineStr">
        <is>
          <t>Ụ pháo chống tăng</t>
        </is>
      </c>
      <c r="B3" s="41" t="inlineStr">
        <is>
          <t>Nhỏ</t>
        </is>
      </c>
      <c r="C3" s="43" t="n">
        <v>1500</v>
      </c>
      <c r="D3" s="41" t="inlineStr">
        <is>
          <t>1 (tấm chắn trước 2)</t>
        </is>
      </c>
      <c r="E3" s="43" t="n">
        <v>40</v>
      </c>
      <c r="F3" s="41" t="inlineStr">
        <is>
          <t>Pháo 125 mm kéo</t>
        </is>
      </c>
      <c r="G3" s="41" t="inlineStr">
        <is>
          <t>Động năng</t>
        </is>
      </c>
      <c r="H3" s="43" t="n">
        <v>3</v>
      </c>
      <c r="I3" s="43" t="n">
        <v>200</v>
      </c>
      <c r="J3" s="43" t="n">
        <v>0.2</v>
      </c>
      <c r="K3" s="41" t="inlineStr">
        <is>
          <t>từng phát</t>
        </is>
      </c>
      <c r="L3" s="43" t="n">
        <v>1</v>
      </c>
      <c r="M3" s="43" t="n">
        <v>0</v>
      </c>
      <c r="N3" s="43" t="n">
        <v>38</v>
      </c>
      <c r="O3" s="43" t="n">
        <v>0</v>
      </c>
      <c r="P3" s="55">
        <f>IFERROR(IF(K3="từng phát",I3*J3,I3*L3/(L3/J3+M3)),0)</f>
        <v/>
      </c>
      <c r="Q3" s="55">
        <f>IFERROR(P3*VLOOKUP(G3,'Hệ số'!$A$2:$D$8,2,0)*IF((H3-1)&gt;=2,1.2,IF((H3-1)=1,1,IF((H3-1)=0,0.85,IF((H3-1)=-1,0.5,IF((H3-1)=-2,0.25,0.1))))),0)</f>
        <v/>
      </c>
      <c r="R3" s="55">
        <f>IFERROR(P3*VLOOKUP(G3,'Hệ số'!$A$2:$D$8,2,0)*IF((H3-3)&gt;=2,1.2,IF((H3-3)=1,1,IF((H3-3)=0,0.85,IF((H3-3)=-1,0.5,IF((H3-3)=-2,0.25,0.1))))),0)</f>
        <v/>
      </c>
      <c r="S3" s="55">
        <f>IFERROR(P3*VLOOKUP(G3,'Hệ số'!$A$2:$D$8,3,0),0)</f>
        <v/>
      </c>
      <c r="T3" s="55">
        <f>IFERROR(P3*VLOOKUP(G3,'Hệ số'!$A$2:$D$8,4,0)*IF((H3-2)&gt;=2,1.2,IF((H3-2)=1,1,IF((H3-2)=0,0.85,IF((H3-2)=-1,0.5,IF((H3-2)=-2,0.25,0.1))))),0)</f>
        <v/>
      </c>
      <c r="U3" s="41" t="inlineStr">
        <is>
          <t>Lấp chỗ trống chống tăng ở ô nhỏ; bắn trước mặt 90°, xoay chậm; pháo binh và xe nhẹ đánh sườn diệt nhanh.</t>
        </is>
      </c>
      <c r="V3" s="41" t="inlineStr">
        <is>
          <t>2A45 Sprut-B, MT-12 Rapira</t>
        </is>
      </c>
      <c r="W3" s="41" t="inlineStr">
        <is>
          <t>Company of Heroes (pháo chống tăng)</t>
        </is>
      </c>
      <c r="X3" s="41" t="inlineStr">
        <is>
          <t>Chống tăng rẻ ở vòng ngoài căn cứ</t>
        </is>
      </c>
      <c r="Y3" s="47" t="inlineStr">
        <is>
          <t>Cao</t>
        </is>
      </c>
      <c r="Z3" s="41" t="inlineStr">
        <is>
          <t>Cửa hàng: 2.000 xu</t>
        </is>
      </c>
    </row>
    <row r="4" ht="15" customHeight="1" s="32">
      <c r="A4" s="39" t="inlineStr">
        <is>
          <t>Tổ tên lửa vác vai</t>
        </is>
      </c>
      <c r="B4" s="39" t="inlineStr">
        <is>
          <t>Nhỏ</t>
        </is>
      </c>
      <c r="C4" s="42" t="n">
        <v>1200</v>
      </c>
      <c r="D4" s="39" t="inlineStr">
        <is>
          <t>1</t>
        </is>
      </c>
      <c r="E4" s="42" t="n">
        <v>50</v>
      </c>
      <c r="F4" s="39" t="inlineStr">
        <is>
          <t>Stinger ×2</t>
        </is>
      </c>
      <c r="G4" s="39" t="inlineStr">
        <is>
          <t>Mảnh</t>
        </is>
      </c>
      <c r="H4" s="42" t="n">
        <v>2</v>
      </c>
      <c r="I4" s="42" t="n">
        <v>170</v>
      </c>
      <c r="J4" s="42" t="n">
        <v>0.25</v>
      </c>
      <c r="K4" s="39" t="inlineStr">
        <is>
          <t>từng phát</t>
        </is>
      </c>
      <c r="L4" s="42" t="n">
        <v>1</v>
      </c>
      <c r="M4" s="42" t="n">
        <v>0</v>
      </c>
      <c r="N4" s="42" t="n">
        <v>44</v>
      </c>
      <c r="O4" s="42" t="n">
        <v>2</v>
      </c>
      <c r="P4" s="54">
        <f>IFERROR(IF(K4="từng phát",I4*J4,I4*L4/(L4/J4+M4)),0)</f>
        <v/>
      </c>
      <c r="Q4" s="54">
        <f>IFERROR(P4*VLOOKUP(G4,'Hệ số'!$A$2:$D$8,2,0)*IF((H4-1)&gt;=2,1.2,IF((H4-1)=1,1,IF((H4-1)=0,0.85,IF((H4-1)=-1,0.5,IF((H4-1)=-2,0.25,0.1))))),0)</f>
        <v/>
      </c>
      <c r="R4" s="54">
        <f>IFERROR(P4*VLOOKUP(G4,'Hệ số'!$A$2:$D$8,2,0)*IF((H4-3)&gt;=2,1.2,IF((H4-3)=1,1,IF((H4-3)=0,0.85,IF((H4-3)=-1,0.5,IF((H4-3)=-2,0.25,0.1))))),0)</f>
        <v/>
      </c>
      <c r="S4" s="54">
        <f>IFERROR(P4*VLOOKUP(G4,'Hệ số'!$A$2:$D$8,3,0),0)</f>
        <v/>
      </c>
      <c r="T4" s="54">
        <f>IFERROR(P4*VLOOKUP(G4,'Hệ số'!$A$2:$D$8,4,0)*IF((H4-2)&gt;=2,1.2,IF((H4-2)=1,1,IF((H4-2)=0,0.85,IF((H4-2)=-1,0.5,IF((H4-2)=-2,0.25,0.1))))),0)</f>
        <v/>
      </c>
      <c r="U4" s="39" t="inlineStr">
        <is>
          <t>Chỉ bắn máy bay và trực thăng; rẻ; bị pháo sáng đánh lừa.</t>
        </is>
      </c>
      <c r="V4" s="39" t="inlineStr">
        <is>
          <t>Tổ MANPADS</t>
        </is>
      </c>
      <c r="W4" s="39" t="inlineStr">
        <is>
          <t>Wargame</t>
        </is>
      </c>
      <c r="X4" s="39" t="inlineStr">
        <is>
          <t>Phòng không rẻ, không bắn đất</t>
        </is>
      </c>
      <c r="Y4" s="49" t="inlineStr">
        <is>
          <t>Thấp</t>
        </is>
      </c>
      <c r="Z4" s="39" t="inlineStr">
        <is>
          <t>Cửa hàng: 2.000 xu</t>
        </is>
      </c>
    </row>
    <row r="5" ht="21.75" customHeight="1" s="32">
      <c r="A5" s="41" t="inlineStr">
        <is>
          <t>Ụ súng không giật</t>
        </is>
      </c>
      <c r="B5" s="41" t="inlineStr">
        <is>
          <t>Nhỏ</t>
        </is>
      </c>
      <c r="C5" s="43" t="n">
        <v>1200</v>
      </c>
      <c r="D5" s="41" t="inlineStr">
        <is>
          <t>1</t>
        </is>
      </c>
      <c r="E5" s="43" t="n">
        <v>36</v>
      </c>
      <c r="F5" s="41" t="inlineStr">
        <is>
          <t>SPG-9 73 mm</t>
        </is>
      </c>
      <c r="G5" s="41" t="inlineStr">
        <is>
          <t>Nổ lõm</t>
        </is>
      </c>
      <c r="H5" s="43" t="n">
        <v>3</v>
      </c>
      <c r="I5" s="43" t="n">
        <v>180</v>
      </c>
      <c r="J5" s="43" t="n">
        <v>0.15</v>
      </c>
      <c r="K5" s="41" t="inlineStr">
        <is>
          <t>từng phát</t>
        </is>
      </c>
      <c r="L5" s="43" t="n">
        <v>1</v>
      </c>
      <c r="M5" s="43" t="n">
        <v>0</v>
      </c>
      <c r="N5" s="43" t="n">
        <v>28</v>
      </c>
      <c r="O5" s="43" t="n">
        <v>0</v>
      </c>
      <c r="P5" s="55">
        <f>IFERROR(IF(K5="từng phát",I5*J5,I5*L5/(L5/J5+M5)),0)</f>
        <v/>
      </c>
      <c r="Q5" s="55">
        <f>IFERROR(P5*VLOOKUP(G5,'Hệ số'!$A$2:$D$8,2,0)*IF((H5-1)&gt;=2,1.2,IF((H5-1)=1,1,IF((H5-1)=0,0.85,IF((H5-1)=-1,0.5,IF((H5-1)=-2,0.25,0.1))))),0)</f>
        <v/>
      </c>
      <c r="R5" s="55">
        <f>IFERROR(P5*VLOOKUP(G5,'Hệ số'!$A$2:$D$8,2,0)*IF((H5-3)&gt;=2,1.2,IF((H5-3)=1,1,IF((H5-3)=0,0.85,IF((H5-3)=-1,0.5,IF((H5-3)=-2,0.25,0.1))))),0)</f>
        <v/>
      </c>
      <c r="S5" s="55">
        <f>IFERROR(P5*VLOOKUP(G5,'Hệ số'!$A$2:$D$8,3,0),0)</f>
        <v/>
      </c>
      <c r="T5" s="55">
        <f>IFERROR(P5*VLOOKUP(G5,'Hệ số'!$A$2:$D$8,4,0)*IF((H5-2)&gt;=2,1.2,IF((H5-2)=1,1,IF((H5-2)=0,0.85,IF((H5-2)=-1,0.5,IF((H5-2)=-2,0.25,0.1))))),0)</f>
        <v/>
      </c>
      <c r="U5" s="41" t="inlineStr">
        <is>
          <t>Chống tăng tầm ngắn, nạp lâu; bị APS chặn.</t>
        </is>
      </c>
      <c r="V5" s="41" t="inlineStr">
        <is>
          <t>SPG-9 Kopyo</t>
        </is>
      </c>
      <c r="W5" s="41" t="inlineStr">
        <is>
          <t>Company of Heroes</t>
        </is>
      </c>
      <c r="X5" s="41" t="inlineStr">
        <is>
          <t>Chống tăng rẻ hơn Ụ pháo chống tăng nhưng yếu hơn</t>
        </is>
      </c>
      <c r="Y5" s="49" t="inlineStr">
        <is>
          <t>Thấp</t>
        </is>
      </c>
      <c r="Z5" s="41" t="inlineStr">
        <is>
          <t>Cửa hàng: 2.000 xu</t>
        </is>
      </c>
    </row>
    <row r="6" ht="21.75" customHeight="1" s="32">
      <c r="A6" s="39" t="inlineStr">
        <is>
          <t>Tường chắn đạn</t>
        </is>
      </c>
      <c r="B6" s="39" t="inlineStr">
        <is>
          <t>Nhỏ</t>
        </is>
      </c>
      <c r="C6" s="42" t="n">
        <v>3000</v>
      </c>
      <c r="D6" s="39" t="inlineStr">
        <is>
          <t>3</t>
        </is>
      </c>
      <c r="E6" s="42" t="n">
        <v>0</v>
      </c>
      <c r="F6" s="39" t="inlineStr">
        <is>
          <t>—</t>
        </is>
      </c>
      <c r="G6" s="39" t="inlineStr">
        <is>
          <t>—</t>
        </is>
      </c>
      <c r="H6" s="42" t="n">
        <v>0</v>
      </c>
      <c r="I6" s="42" t="n">
        <v>0</v>
      </c>
      <c r="J6" s="42" t="n">
        <v>0</v>
      </c>
      <c r="K6" s="39" t="inlineStr">
        <is>
          <t>—</t>
        </is>
      </c>
      <c r="L6" s="42" t="n">
        <v>0</v>
      </c>
      <c r="M6" s="42" t="n">
        <v>0</v>
      </c>
      <c r="N6" s="42" t="n">
        <v>0</v>
      </c>
      <c r="O6" s="42" t="n">
        <v>0</v>
      </c>
      <c r="P6" s="54">
        <f>IFERROR(IF(K6="từng phát",I6*J6,I6*L6/(L6/J6+M6)),0)</f>
        <v/>
      </c>
      <c r="Q6" s="54">
        <f>IFERROR(P6*VLOOKUP(G6,'Hệ số'!$A$2:$D$8,2,0)*IF((H6-1)&gt;=2,1.2,IF((H6-1)=1,1,IF((H6-1)=0,0.85,IF((H6-1)=-1,0.5,IF((H6-1)=-2,0.25,0.1))))),0)</f>
        <v/>
      </c>
      <c r="R6" s="54">
        <f>IFERROR(P6*VLOOKUP(G6,'Hệ số'!$A$2:$D$8,2,0)*IF((H6-3)&gt;=2,1.2,IF((H6-3)=1,1,IF((H6-3)=0,0.85,IF((H6-3)=-1,0.5,IF((H6-3)=-2,0.25,0.1))))),0)</f>
        <v/>
      </c>
      <c r="S6" s="54">
        <f>IFERROR(P6*VLOOKUP(G6,'Hệ số'!$A$2:$D$8,3,0),0)</f>
        <v/>
      </c>
      <c r="T6" s="54">
        <f>IFERROR(P6*VLOOKUP(G6,'Hệ số'!$A$2:$D$8,4,0)*IF((H6-2)&gt;=2,1.2,IF((H6-2)=1,1,IF((H6-2)=0,0.85,IF((H6-2)=-1,0.5,IF((H6-2)=-2,0.25,0.1))))),0)</f>
        <v/>
      </c>
      <c r="U6" s="39" t="inlineStr">
        <is>
          <t>Không chặn đường; tháp ngay sau nhận ít hơn 30% sát thương bắn thẳng.</t>
        </is>
      </c>
      <c r="V6" s="39" t="inlineStr">
        <is>
          <t>Tường Hesco</t>
        </is>
      </c>
      <c r="W6" s="39" t="inlineStr">
        <is>
          <t>Company of Heroes (vật che)</t>
        </is>
      </c>
      <c r="X6" s="39" t="inlineStr">
        <is>
          <t>Xếp căn cứ theo tuyến che chắn</t>
        </is>
      </c>
      <c r="Y6" s="47" t="inlineStr">
        <is>
          <t>Cao</t>
        </is>
      </c>
      <c r="Z6" s="39" t="inlineStr">
        <is>
          <t>Cửa hàng: 2.000 xu</t>
        </is>
      </c>
    </row>
    <row r="7" ht="21.75" customHeight="1" s="32">
      <c r="A7" s="41" t="inlineStr">
        <is>
          <t>Mồi nhử bơm hơi</t>
        </is>
      </c>
      <c r="B7" s="41" t="inlineStr">
        <is>
          <t>Nhỏ</t>
        </is>
      </c>
      <c r="C7" s="43" t="n">
        <v>300</v>
      </c>
      <c r="D7" s="41" t="inlineStr">
        <is>
          <t>0</t>
        </is>
      </c>
      <c r="E7" s="43" t="n">
        <v>0</v>
      </c>
      <c r="F7" s="41" t="inlineStr">
        <is>
          <t>—</t>
        </is>
      </c>
      <c r="G7" s="41" t="inlineStr">
        <is>
          <t>—</t>
        </is>
      </c>
      <c r="H7" s="43" t="n">
        <v>0</v>
      </c>
      <c r="I7" s="43" t="n">
        <v>0</v>
      </c>
      <c r="J7" s="43" t="n">
        <v>0</v>
      </c>
      <c r="K7" s="41" t="inlineStr">
        <is>
          <t>—</t>
        </is>
      </c>
      <c r="L7" s="43" t="n">
        <v>0</v>
      </c>
      <c r="M7" s="43" t="n">
        <v>0</v>
      </c>
      <c r="N7" s="43" t="n">
        <v>0</v>
      </c>
      <c r="O7" s="43" t="n">
        <v>0</v>
      </c>
      <c r="P7" s="55">
        <f>IFERROR(IF(K7="từng phát",I7*J7,I7*L7/(L7/J7+M7)),0)</f>
        <v/>
      </c>
      <c r="Q7" s="55">
        <f>IFERROR(P7*VLOOKUP(G7,'Hệ số'!$A$2:$D$8,2,0)*IF((H7-1)&gt;=2,1.2,IF((H7-1)=1,1,IF((H7-1)=0,0.85,IF((H7-1)=-1,0.5,IF((H7-1)=-2,0.25,0.1))))),0)</f>
        <v/>
      </c>
      <c r="R7" s="55">
        <f>IFERROR(P7*VLOOKUP(G7,'Hệ số'!$A$2:$D$8,2,0)*IF((H7-3)&gt;=2,1.2,IF((H7-3)=1,1,IF((H7-3)=0,0.85,IF((H7-3)=-1,0.5,IF((H7-3)=-2,0.25,0.1))))),0)</f>
        <v/>
      </c>
      <c r="S7" s="55">
        <f>IFERROR(P7*VLOOKUP(G7,'Hệ số'!$A$2:$D$8,3,0),0)</f>
        <v/>
      </c>
      <c r="T7" s="55">
        <f>IFERROR(P7*VLOOKUP(G7,'Hệ số'!$A$2:$D$8,4,0)*IF((H7-2)&gt;=2,1.2,IF((H7-2)=1,1,IF((H7-2)=0,0.85,IF((H7-2)=-1,0.5,IF((H7-2)=-2,0.25,0.1))))),0)</f>
        <v/>
      </c>
      <c r="U7" s="41" t="inlineStr">
        <is>
          <t>AI địch coi như tháp thật cho tới khi bị trinh sát, radar hoặc UAV quét lật tẩy.</t>
        </is>
      </c>
      <c r="V7" s="41" t="inlineStr">
        <is>
          <t>Mồi nhử bơm hơi</t>
        </is>
      </c>
      <c r="W7" s="41" t="inlineStr">
        <is>
          <t>Red Alert (công trình giả)</t>
        </is>
      </c>
      <c r="X7" s="41" t="inlineStr">
        <is>
          <t>Đánh lừa pháo và tên lửa địch</t>
        </is>
      </c>
      <c r="Y7" s="47" t="inlineStr">
        <is>
          <t>Cao</t>
        </is>
      </c>
      <c r="Z7" s="41" t="inlineStr">
        <is>
          <t>Cửa hàng: 2.000 xu</t>
        </is>
      </c>
    </row>
    <row r="8" ht="15" customHeight="1" s="32">
      <c r="A8" s="39" t="inlineStr">
        <is>
          <t>Trung tâm điều khiển hỏa lực</t>
        </is>
      </c>
      <c r="B8" s="39" t="inlineStr">
        <is>
          <t>Tiện ích</t>
        </is>
      </c>
      <c r="C8" s="42" t="n">
        <v>2500</v>
      </c>
      <c r="D8" s="39" t="inlineStr">
        <is>
          <t>1</t>
        </is>
      </c>
      <c r="E8" s="42" t="n">
        <v>40</v>
      </c>
      <c r="F8" s="39" t="inlineStr">
        <is>
          <t>—</t>
        </is>
      </c>
      <c r="G8" s="39" t="inlineStr">
        <is>
          <t>—</t>
        </is>
      </c>
      <c r="H8" s="42" t="n">
        <v>0</v>
      </c>
      <c r="I8" s="42" t="n">
        <v>0</v>
      </c>
      <c r="J8" s="42" t="n">
        <v>0</v>
      </c>
      <c r="K8" s="39" t="inlineStr">
        <is>
          <t>—</t>
        </is>
      </c>
      <c r="L8" s="42" t="n">
        <v>0</v>
      </c>
      <c r="M8" s="42" t="n">
        <v>0</v>
      </c>
      <c r="N8" s="42" t="n">
        <v>0</v>
      </c>
      <c r="O8" s="42" t="n">
        <v>0</v>
      </c>
      <c r="P8" s="54">
        <f>IFERROR(IF(K8="từng phát",I8*J8,I8*L8/(L8/J8+M8)),0)</f>
        <v/>
      </c>
      <c r="Q8" s="54">
        <f>IFERROR(P8*VLOOKUP(G8,'Hệ số'!$A$2:$D$8,2,0)*IF((H8-1)&gt;=2,1.2,IF((H8-1)=1,1,IF((H8-1)=0,0.85,IF((H8-1)=-1,0.5,IF((H8-1)=-2,0.25,0.1))))),0)</f>
        <v/>
      </c>
      <c r="R8" s="54">
        <f>IFERROR(P8*VLOOKUP(G8,'Hệ số'!$A$2:$D$8,2,0)*IF((H8-3)&gt;=2,1.2,IF((H8-3)=1,1,IF((H8-3)=0,0.85,IF((H8-3)=-1,0.5,IF((H8-3)=-2,0.25,0.1))))),0)</f>
        <v/>
      </c>
      <c r="S8" s="54">
        <f>IFERROR(P8*VLOOKUP(G8,'Hệ số'!$A$2:$D$8,3,0),0)</f>
        <v/>
      </c>
      <c r="T8" s="54">
        <f>IFERROR(P8*VLOOKUP(G8,'Hệ số'!$A$2:$D$8,4,0)*IF((H8-2)&gt;=2,1.2,IF((H8-2)=1,1,IF((H8-2)=0,0.85,IF((H8-2)=-1,0.5,IF((H8-2)=-2,0.25,0.1))))),0)</f>
        <v/>
      </c>
      <c r="U8" s="39" t="inlineStr">
        <is>
          <t>Tháp trong 30 m +12% sát thương và dồn hỏa lực vào cùng mục tiêu.</t>
        </is>
      </c>
      <c r="V8" s="39" t="inlineStr">
        <is>
          <t>Trung tâm điều khiển hỏa lực (FDC)</t>
        </is>
      </c>
      <c r="W8" s="39" t="inlineStr">
        <is>
          <t>Bloons TD 6 (Monkey Village)</t>
        </is>
      </c>
      <c r="X8" s="39" t="inlineStr">
        <is>
          <t>Cụm tháp liên kết</t>
        </is>
      </c>
      <c r="Y8" s="47" t="inlineStr">
        <is>
          <t>Cao</t>
        </is>
      </c>
      <c r="Z8" s="39" t="inlineStr">
        <is>
          <t>Cửa hàng: 3.000 xu</t>
        </is>
      </c>
    </row>
    <row r="9" ht="21.75" customHeight="1" s="32">
      <c r="A9" s="41" t="inlineStr">
        <is>
          <t>Đèn pha chiến trường</t>
        </is>
      </c>
      <c r="B9" s="41" t="inlineStr">
        <is>
          <t>Nhỏ</t>
        </is>
      </c>
      <c r="C9" s="43" t="n">
        <v>1200</v>
      </c>
      <c r="D9" s="41" t="inlineStr">
        <is>
          <t>1</t>
        </is>
      </c>
      <c r="E9" s="43" t="n">
        <v>70</v>
      </c>
      <c r="F9" s="41" t="inlineStr">
        <is>
          <t>—</t>
        </is>
      </c>
      <c r="G9" s="41" t="inlineStr">
        <is>
          <t>—</t>
        </is>
      </c>
      <c r="H9" s="43" t="n">
        <v>0</v>
      </c>
      <c r="I9" s="43" t="n">
        <v>0</v>
      </c>
      <c r="J9" s="43" t="n">
        <v>0</v>
      </c>
      <c r="K9" s="41" t="inlineStr">
        <is>
          <t>—</t>
        </is>
      </c>
      <c r="L9" s="43" t="n">
        <v>0</v>
      </c>
      <c r="M9" s="43" t="n">
        <v>0</v>
      </c>
      <c r="N9" s="43" t="n">
        <v>0</v>
      </c>
      <c r="O9" s="43" t="n">
        <v>0</v>
      </c>
      <c r="P9" s="55">
        <f>IFERROR(IF(K9="từng phát",I9*J9,I9*L9/(L9/J9+M9)),0)</f>
        <v/>
      </c>
      <c r="Q9" s="55">
        <f>IFERROR(P9*VLOOKUP(G9,'Hệ số'!$A$2:$D$8,2,0)*IF((H9-1)&gt;=2,1.2,IF((H9-1)=1,1,IF((H9-1)=0,0.85,IF((H9-1)=-1,0.5,IF((H9-1)=-2,0.25,0.1))))),0)</f>
        <v/>
      </c>
      <c r="R9" s="55">
        <f>IFERROR(P9*VLOOKUP(G9,'Hệ số'!$A$2:$D$8,2,0)*IF((H9-3)&gt;=2,1.2,IF((H9-3)=1,1,IF((H9-3)=0,0.85,IF((H9-3)=-1,0.5,IF((H9-3)=-2,0.25,0.1))))),0)</f>
        <v/>
      </c>
      <c r="S9" s="55">
        <f>IFERROR(P9*VLOOKUP(G9,'Hệ số'!$A$2:$D$8,3,0),0)</f>
        <v/>
      </c>
      <c r="T9" s="55">
        <f>IFERROR(P9*VLOOKUP(G9,'Hệ số'!$A$2:$D$8,4,0)*IF((H9-2)&gt;=2,1.2,IF((H9-2)=1,1,IF((H9-2)=0,0.85,IF((H9-2)=-1,0.5,IF((H9-2)=-2,0.25,0.1))))),0)</f>
        <v/>
      </c>
      <c r="U9" s="41" t="inlineStr">
        <is>
          <t>Ban đêm/sương mù: sáng vùng 35 m cho phe ta, địch trong vùng −20% độ chính xác.</t>
        </is>
      </c>
      <c r="V9" s="41" t="inlineStr">
        <is>
          <t>Đèn pha phòng thủ</t>
        </is>
      </c>
      <c r="W9" s="41" t="inlineStr">
        <is>
          <t>Company of Heroes</t>
        </is>
      </c>
      <c r="X9" s="41" t="inlineStr">
        <is>
          <t>Đối phó ngày đêm đổi giữa trận</t>
        </is>
      </c>
      <c r="Y9" s="48" t="inlineStr">
        <is>
          <t>Trung</t>
        </is>
      </c>
      <c r="Z9" s="41" t="inlineStr">
        <is>
          <t>Cửa hàng: 2.000 xu</t>
        </is>
      </c>
    </row>
    <row r="10" ht="21.75" customHeight="1" s="32">
      <c r="A10" s="39" t="inlineStr">
        <is>
          <t>Khí cầu neo radar (JLENS)</t>
        </is>
      </c>
      <c r="B10" s="39" t="inlineStr">
        <is>
          <t>Nhỏ</t>
        </is>
      </c>
      <c r="C10" s="42" t="n">
        <v>800</v>
      </c>
      <c r="D10" s="39" t="inlineStr">
        <is>
          <t>0</t>
        </is>
      </c>
      <c r="E10" s="42" t="n">
        <v>0</v>
      </c>
      <c r="F10" s="39" t="inlineStr">
        <is>
          <t>—</t>
        </is>
      </c>
      <c r="G10" s="39" t="inlineStr">
        <is>
          <t>—</t>
        </is>
      </c>
      <c r="H10" s="42" t="n">
        <v>0</v>
      </c>
      <c r="I10" s="42" t="n">
        <v>0</v>
      </c>
      <c r="J10" s="42" t="n">
        <v>0</v>
      </c>
      <c r="K10" s="39" t="inlineStr">
        <is>
          <t>—</t>
        </is>
      </c>
      <c r="L10" s="42" t="n">
        <v>0</v>
      </c>
      <c r="M10" s="42" t="n">
        <v>0</v>
      </c>
      <c r="N10" s="42" t="n">
        <v>0</v>
      </c>
      <c r="O10" s="42" t="n">
        <v>0</v>
      </c>
      <c r="P10" s="54">
        <f>IFERROR(IF(K10="từng phát",I10*J10,I10*L10/(L10/J10+M10)),0)</f>
        <v/>
      </c>
      <c r="Q10" s="54">
        <f>IFERROR(P10*VLOOKUP(G10,'Hệ số'!$A$2:$D$8,2,0)*IF((H10-1)&gt;=2,1.2,IF((H10-1)=1,1,IF((H10-1)=0,0.85,IF((H10-1)=-1,0.5,IF((H10-1)=-2,0.25,0.1))))),0)</f>
        <v/>
      </c>
      <c r="R10" s="54">
        <f>IFERROR(P10*VLOOKUP(G10,'Hệ số'!$A$2:$D$8,2,0)*IF((H10-3)&gt;=2,1.2,IF((H10-3)=1,1,IF((H10-3)=0,0.85,IF((H10-3)=-1,0.5,IF((H10-3)=-2,0.25,0.1))))),0)</f>
        <v/>
      </c>
      <c r="S10" s="54">
        <f>IFERROR(P10*VLOOKUP(G10,'Hệ số'!$A$2:$D$8,3,0),0)</f>
        <v/>
      </c>
      <c r="T10" s="54">
        <f>IFERROR(P10*VLOOKUP(G10,'Hệ số'!$A$2:$D$8,4,0)*IF((H10-2)&gt;=2,1.2,IF((H10-2)=1,1,IF((H10-2)=0,0.85,IF((H10-2)=-1,0.5,IF((H10-2)=-2,0.25,0.1))))),0)</f>
        <v/>
      </c>
      <c r="U10" s="39" t="inlineStr">
        <is>
          <t>Máy bay địch trong 40 m phải bay cao hơn: bom tản mát +50%; trực thăng tránh vùng.</t>
        </is>
      </c>
      <c r="V10" s="39" t="inlineStr">
        <is>
          <t>JLENS (khí cầu neo radar)</t>
        </is>
      </c>
      <c r="W10" s="39" t="inlineStr">
        <is>
          <t>Battlefield 1942</t>
        </is>
      </c>
      <c r="X10" s="39" t="inlineStr">
        <is>
          <t>Phòng không không bắn</t>
        </is>
      </c>
      <c r="Y10" s="48" t="inlineStr">
        <is>
          <t>Trung</t>
        </is>
      </c>
      <c r="Z10" s="39" t="inlineStr">
        <is>
          <t>Cửa hàng: 2.000 xu</t>
        </is>
      </c>
    </row>
    <row r="11" ht="15" customHeight="1" s="32">
      <c r="A11" s="41" t="inlineStr">
        <is>
          <t>Máy tạo nhiễu tầm nhìn</t>
        </is>
      </c>
      <c r="B11" s="41" t="inlineStr">
        <is>
          <t>Tiện ích</t>
        </is>
      </c>
      <c r="C11" s="43" t="n">
        <v>2000</v>
      </c>
      <c r="D11" s="41" t="inlineStr">
        <is>
          <t>1</t>
        </is>
      </c>
      <c r="E11" s="43" t="n">
        <v>30</v>
      </c>
      <c r="F11" s="41" t="inlineStr">
        <is>
          <t>—</t>
        </is>
      </c>
      <c r="G11" s="41" t="inlineStr">
        <is>
          <t>—</t>
        </is>
      </c>
      <c r="H11" s="43" t="n">
        <v>0</v>
      </c>
      <c r="I11" s="43" t="n">
        <v>0</v>
      </c>
      <c r="J11" s="43" t="n">
        <v>0</v>
      </c>
      <c r="K11" s="41" t="inlineStr">
        <is>
          <t>—</t>
        </is>
      </c>
      <c r="L11" s="43" t="n">
        <v>0</v>
      </c>
      <c r="M11" s="43" t="n">
        <v>0</v>
      </c>
      <c r="N11" s="43" t="n">
        <v>0</v>
      </c>
      <c r="O11" s="43" t="n">
        <v>0</v>
      </c>
      <c r="P11" s="55">
        <f>IFERROR(IF(K11="từng phát",I11*J11,I11*L11/(L11/J11+M11)),0)</f>
        <v/>
      </c>
      <c r="Q11" s="55">
        <f>IFERROR(P11*VLOOKUP(G11,'Hệ số'!$A$2:$D$8,2,0)*IF((H11-1)&gt;=2,1.2,IF((H11-1)=1,1,IF((H11-1)=0,0.85,IF((H11-1)=-1,0.5,IF((H11-1)=-2,0.25,0.1))))),0)</f>
        <v/>
      </c>
      <c r="R11" s="55">
        <f>IFERROR(P11*VLOOKUP(G11,'Hệ số'!$A$2:$D$8,2,0)*IF((H11-3)&gt;=2,1.2,IF((H11-3)=1,1,IF((H11-3)=0,0.85,IF((H11-3)=-1,0.5,IF((H11-3)=-2,0.25,0.1))))),0)</f>
        <v/>
      </c>
      <c r="S11" s="55">
        <f>IFERROR(P11*VLOOKUP(G11,'Hệ số'!$A$2:$D$8,3,0),0)</f>
        <v/>
      </c>
      <c r="T11" s="55">
        <f>IFERROR(P11*VLOOKUP(G11,'Hệ số'!$A$2:$D$8,4,0)*IF((H11-2)&gt;=2,1.2,IF((H11-2)=1,1,IF((H11-2)=0,0.85,IF((H11-2)=-1,0.5,IF((H11-2)=-2,0.25,0.1))))),0)</f>
        <v/>
      </c>
      <c r="U11" s="41" t="inlineStr">
        <is>
          <t>Địch không thấy thứ gì trong 35 m trừ khi tới gần 15 m hoặc có trinh sát.</t>
        </is>
      </c>
      <c r="V11" s="41" t="inlineStr">
        <is>
          <t>Ngụy trang điện tử</t>
        </is>
      </c>
      <c r="W11" s="41" t="inlineStr">
        <is>
          <t>Red Alert (Gap Generator)</t>
        </is>
      </c>
      <c r="X11" s="41" t="inlineStr">
        <is>
          <t>Bảo vệ bằng cách che</t>
        </is>
      </c>
      <c r="Y11" s="48" t="inlineStr">
        <is>
          <t>Trung</t>
        </is>
      </c>
      <c r="Z11" s="41" t="inlineStr">
        <is>
          <t>Cửa hàng: 3.000 xu</t>
        </is>
      </c>
    </row>
    <row r="12" ht="21.75" customHeight="1" s="32">
      <c r="A12" s="39" t="inlineStr">
        <is>
          <t>Hầm che quân</t>
        </is>
      </c>
      <c r="B12" s="39" t="inlineStr">
        <is>
          <t>Vừa</t>
        </is>
      </c>
      <c r="C12" s="42" t="n">
        <v>4000</v>
      </c>
      <c r="D12" s="39" t="inlineStr">
        <is>
          <t>3</t>
        </is>
      </c>
      <c r="E12" s="42" t="n">
        <v>30</v>
      </c>
      <c r="F12" s="39" t="inlineStr">
        <is>
          <t>—</t>
        </is>
      </c>
      <c r="G12" s="39" t="inlineStr">
        <is>
          <t>—</t>
        </is>
      </c>
      <c r="H12" s="42" t="n">
        <v>0</v>
      </c>
      <c r="I12" s="42" t="n">
        <v>0</v>
      </c>
      <c r="J12" s="42" t="n">
        <v>0</v>
      </c>
      <c r="K12" s="39" t="inlineStr">
        <is>
          <t>—</t>
        </is>
      </c>
      <c r="L12" s="42" t="n">
        <v>0</v>
      </c>
      <c r="M12" s="42" t="n">
        <v>0</v>
      </c>
      <c r="N12" s="42" t="n">
        <v>0</v>
      </c>
      <c r="O12" s="42" t="n">
        <v>0</v>
      </c>
      <c r="P12" s="54">
        <f>IFERROR(IF(K12="từng phát",I12*J12,I12*L12/(L12/J12+M12)),0)</f>
        <v/>
      </c>
      <c r="Q12" s="54">
        <f>IFERROR(P12*VLOOKUP(G12,'Hệ số'!$A$2:$D$8,2,0)*IF((H12-1)&gt;=2,1.2,IF((H12-1)=1,1,IF((H12-1)=0,0.85,IF((H12-1)=-1,0.5,IF((H12-1)=-2,0.25,0.1))))),0)</f>
        <v/>
      </c>
      <c r="R12" s="54">
        <f>IFERROR(P12*VLOOKUP(G12,'Hệ số'!$A$2:$D$8,2,0)*IF((H12-3)&gt;=2,1.2,IF((H12-3)=1,1,IF((H12-3)=0,0.85,IF((H12-3)=-1,0.5,IF((H12-3)=-2,0.25,0.1))))),0)</f>
        <v/>
      </c>
      <c r="S12" s="54">
        <f>IFERROR(P12*VLOOKUP(G12,'Hệ số'!$A$2:$D$8,3,0),0)</f>
        <v/>
      </c>
      <c r="T12" s="54">
        <f>IFERROR(P12*VLOOKUP(G12,'Hệ số'!$A$2:$D$8,4,0)*IF((H12-2)&gt;=2,1.2,IF((H12-2)=1,1,IF((H12-2)=0,0.85,IF((H12-2)=-1,0.5,IF((H12-2)=-2,0.25,0.1))))),0)</f>
        <v/>
      </c>
      <c r="U12" s="39" t="inlineStr">
        <is>
          <t>Xe ta trong 15 m nhận ít hơn 50% sát thương cầu vồng (pháo, cối, bom); không che đạn bắn thẳng.</t>
        </is>
      </c>
      <c r="V12" s="39" t="inlineStr">
        <is>
          <t>Hầm bê tông</t>
        </is>
      </c>
      <c r="W12" s="39" t="inlineStr">
        <is>
          <t>Company of Heroes (boongke)</t>
        </is>
      </c>
      <c r="X12" s="39" t="inlineStr">
        <is>
          <t>Giữ quân qua trận pháo kích</t>
        </is>
      </c>
      <c r="Y12" s="49" t="inlineStr">
        <is>
          <t>Thấp</t>
        </is>
      </c>
      <c r="Z12" s="39" t="inlineStr">
        <is>
          <t>Cửa hàng: 3.000 xu</t>
        </is>
      </c>
    </row>
    <row r="13" ht="15" customHeight="1" s="32">
      <c r="A13" s="41" t="inlineStr">
        <is>
          <t>Tháp pháo sáng</t>
        </is>
      </c>
      <c r="B13" s="41" t="inlineStr">
        <is>
          <t>Nhỏ</t>
        </is>
      </c>
      <c r="C13" s="43" t="n">
        <v>1000</v>
      </c>
      <c r="D13" s="41" t="inlineStr">
        <is>
          <t>1</t>
        </is>
      </c>
      <c r="E13" s="43" t="n">
        <v>60</v>
      </c>
      <c r="F13" s="41" t="inlineStr">
        <is>
          <t>Pháo sáng</t>
        </is>
      </c>
      <c r="G13" s="41" t="inlineStr">
        <is>
          <t>—</t>
        </is>
      </c>
      <c r="H13" s="43" t="n">
        <v>0</v>
      </c>
      <c r="I13" s="43" t="n">
        <v>0</v>
      </c>
      <c r="J13" s="43" t="n">
        <v>0.07000000000000001</v>
      </c>
      <c r="K13" s="41" t="inlineStr">
        <is>
          <t>từng phát</t>
        </is>
      </c>
      <c r="L13" s="43" t="n">
        <v>1</v>
      </c>
      <c r="M13" s="43" t="n">
        <v>0</v>
      </c>
      <c r="N13" s="43" t="n">
        <v>40</v>
      </c>
      <c r="O13" s="43" t="n">
        <v>30</v>
      </c>
      <c r="P13" s="55">
        <f>IFERROR(IF(K13="từng phát",I13*J13,I13*L13/(L13/J13+M13)),0)</f>
        <v/>
      </c>
      <c r="Q13" s="55">
        <f>IFERROR(P13*VLOOKUP(G13,'Hệ số'!$A$2:$D$8,2,0)*IF((H13-1)&gt;=2,1.2,IF((H13-1)=1,1,IF((H13-1)=0,0.85,IF((H13-1)=-1,0.5,IF((H13-1)=-2,0.25,0.1))))),0)</f>
        <v/>
      </c>
      <c r="R13" s="55">
        <f>IFERROR(P13*VLOOKUP(G13,'Hệ số'!$A$2:$D$8,2,0)*IF((H13-3)&gt;=2,1.2,IF((H13-3)=1,1,IF((H13-3)=0,0.85,IF((H13-3)=-1,0.5,IF((H13-3)=-2,0.25,0.1))))),0)</f>
        <v/>
      </c>
      <c r="S13" s="55">
        <f>IFERROR(P13*VLOOKUP(G13,'Hệ số'!$A$2:$D$8,3,0),0)</f>
        <v/>
      </c>
      <c r="T13" s="55">
        <f>IFERROR(P13*VLOOKUP(G13,'Hệ số'!$A$2:$D$8,4,0)*IF((H13-2)&gt;=2,1.2,IF((H13-2)=1,1,IF((H13-2)=0,0.85,IF((H13-2)=-1,0.5,IF((H13-2)=-2,0.25,0.1))))),0)</f>
        <v/>
      </c>
      <c r="U13" s="41" t="inlineStr">
        <is>
          <t>Mỗi 15 s bắn pháo sáng lộ mọi thứ trong 30 m ban đêm.</t>
        </is>
      </c>
      <c r="V13" s="41" t="inlineStr">
        <is>
          <t>Pháo sáng chiếu sáng</t>
        </is>
      </c>
      <c r="W13" s="41" t="inlineStr">
        <is>
          <t>Company of Heroes</t>
        </is>
      </c>
      <c r="X13" s="41" t="inlineStr">
        <is>
          <t>Chiếu sáng theo đợt</t>
        </is>
      </c>
      <c r="Y13" s="49" t="inlineStr">
        <is>
          <t>Thấp</t>
        </is>
      </c>
      <c r="Z13" s="41" t="inlineStr">
        <is>
          <t>Cửa hàng: 2.000 xu</t>
        </is>
      </c>
    </row>
    <row r="14" ht="21.75" customHeight="1" s="32">
      <c r="A14" s="39" t="inlineStr">
        <is>
          <t>Trạm phòng không laser chống drone</t>
        </is>
      </c>
      <c r="B14" s="39" t="inlineStr">
        <is>
          <t>Vừa</t>
        </is>
      </c>
      <c r="C14" s="42" t="n">
        <v>2500</v>
      </c>
      <c r="D14" s="39" t="inlineStr">
        <is>
          <t>1</t>
        </is>
      </c>
      <c r="E14" s="42" t="n">
        <v>56</v>
      </c>
      <c r="F14" s="39" t="inlineStr">
        <is>
          <t>Laser 50 kW</t>
        </is>
      </c>
      <c r="G14" s="39" t="inlineStr">
        <is>
          <t>Năng lượng</t>
        </is>
      </c>
      <c r="H14" s="42" t="n">
        <v>2</v>
      </c>
      <c r="I14" s="42" t="n">
        <v>6</v>
      </c>
      <c r="J14" s="42" t="n">
        <v>15</v>
      </c>
      <c r="K14" s="39" t="inlineStr">
        <is>
          <t>từng phát</t>
        </is>
      </c>
      <c r="L14" s="42" t="n">
        <v>1</v>
      </c>
      <c r="M14" s="42" t="n">
        <v>0</v>
      </c>
      <c r="N14" s="42" t="n">
        <v>40</v>
      </c>
      <c r="O14" s="42" t="n">
        <v>0</v>
      </c>
      <c r="P14" s="54">
        <f>IFERROR(IF(K14="từng phát",I14*J14,I14*L14/(L14/J14+M14)),0)</f>
        <v/>
      </c>
      <c r="Q14" s="54">
        <f>IFERROR(P14*VLOOKUP(G14,'Hệ số'!$A$2:$D$8,2,0)*IF((H14-1)&gt;=2,1.2,IF((H14-1)=1,1,IF((H14-1)=0,0.85,IF((H14-1)=-1,0.5,IF((H14-1)=-2,0.25,0.1))))),0)</f>
        <v/>
      </c>
      <c r="R14" s="54">
        <f>IFERROR(P14*VLOOKUP(G14,'Hệ số'!$A$2:$D$8,2,0)*IF((H14-3)&gt;=2,1.2,IF((H14-3)=1,1,IF((H14-3)=0,0.85,IF((H14-3)=-1,0.5,IF((H14-3)=-2,0.25,0.1))))),0)</f>
        <v/>
      </c>
      <c r="S14" s="54">
        <f>IFERROR(P14*VLOOKUP(G14,'Hệ số'!$A$2:$D$8,3,0),0)</f>
        <v/>
      </c>
      <c r="T14" s="54">
        <f>IFERROR(P14*VLOOKUP(G14,'Hệ số'!$A$2:$D$8,4,0)*IF((H14-2)&gt;=2,1.2,IF((H14-2)=1,1,IF((H14-2)=0,0.85,IF((H14-2)=-1,0.5,IF((H14-2)=-2,0.25,0.1))))),0)</f>
        <v/>
      </c>
      <c r="U14" s="39" t="inlineStr">
        <is>
          <t>Chỉ bắn drone, rốc-két, cối; bị khói giảm 80%.</t>
        </is>
      </c>
      <c r="V14" s="39" t="inlineStr">
        <is>
          <t>Iron Beam (bản cố định), DragonFire</t>
        </is>
      </c>
      <c r="W14" s="39" t="inlineStr">
        <is>
          <t>(mới)</t>
        </is>
      </c>
      <c r="X14" s="39" t="inlineStr">
        <is>
          <t>Tháp đánh chặn năng lượng, không tốn đạn</t>
        </is>
      </c>
      <c r="Y14" s="49" t="inlineStr">
        <is>
          <t>Thấp</t>
        </is>
      </c>
      <c r="Z14" s="39" t="inlineStr">
        <is>
          <t>Cửa hàng: 3.000 xu</t>
        </is>
      </c>
    </row>
    <row r="15" ht="21.75" customHeight="1" s="32">
      <c r="A15" s="41" t="inlineStr">
        <is>
          <t>Pháo phòng không 40 mm</t>
        </is>
      </c>
      <c r="B15" s="41" t="inlineStr">
        <is>
          <t>Vừa</t>
        </is>
      </c>
      <c r="C15" s="43" t="n">
        <v>2800</v>
      </c>
      <c r="D15" s="41" t="inlineStr">
        <is>
          <t>2</t>
        </is>
      </c>
      <c r="E15" s="43" t="n">
        <v>56</v>
      </c>
      <c r="F15" s="41" t="inlineStr">
        <is>
          <t>Bofors 40 mm L/70</t>
        </is>
      </c>
      <c r="G15" s="41" t="inlineStr">
        <is>
          <t>Mảnh</t>
        </is>
      </c>
      <c r="H15" s="43" t="n">
        <v>2</v>
      </c>
      <c r="I15" s="43" t="n">
        <v>30</v>
      </c>
      <c r="J15" s="43" t="n">
        <v>4</v>
      </c>
      <c r="K15" s="41" t="inlineStr">
        <is>
          <t>băng</t>
        </is>
      </c>
      <c r="L15" s="43" t="n">
        <v>20</v>
      </c>
      <c r="M15" s="43" t="n">
        <v>3</v>
      </c>
      <c r="N15" s="43" t="n">
        <v>48</v>
      </c>
      <c r="O15" s="43" t="n">
        <v>2.5</v>
      </c>
      <c r="P15" s="55">
        <f>IFERROR(IF(K15="từng phát",I15*J15,I15*L15/(L15/J15+M15)),0)</f>
        <v/>
      </c>
      <c r="Q15" s="55">
        <f>IFERROR(P15*VLOOKUP(G15,'Hệ số'!$A$2:$D$8,2,0)*IF((H15-1)&gt;=2,1.2,IF((H15-1)=1,1,IF((H15-1)=0,0.85,IF((H15-1)=-1,0.5,IF((H15-1)=-2,0.25,0.1))))),0)</f>
        <v/>
      </c>
      <c r="R15" s="55">
        <f>IFERROR(P15*VLOOKUP(G15,'Hệ số'!$A$2:$D$8,2,0)*IF((H15-3)&gt;=2,1.2,IF((H15-3)=1,1,IF((H15-3)=0,0.85,IF((H15-3)=-1,0.5,IF((H15-3)=-2,0.25,0.1))))),0)</f>
        <v/>
      </c>
      <c r="S15" s="55">
        <f>IFERROR(P15*VLOOKUP(G15,'Hệ số'!$A$2:$D$8,3,0),0)</f>
        <v/>
      </c>
      <c r="T15" s="55">
        <f>IFERROR(P15*VLOOKUP(G15,'Hệ số'!$A$2:$D$8,4,0)*IF((H15-2)&gt;=2,1.2,IF((H15-2)=1,1,IF((H15-2)=0,0.85,IF((H15-2)=-1,0.5,IF((H15-2)=-2,0.25,0.1))))),0)</f>
        <v/>
      </c>
      <c r="U15" s="41" t="inlineStr">
        <is>
          <t>Bắn cả máy bay và xe nhẹ; nhịp đều.</t>
        </is>
      </c>
      <c r="V15" s="41" t="inlineStr">
        <is>
          <t>Bofors 40 mm L/70</t>
        </is>
      </c>
      <c r="W15" s="41" t="inlineStr">
        <is>
          <t>Company of Heroes (Bofors)</t>
        </is>
      </c>
      <c r="X15" s="41" t="inlineStr">
        <is>
          <t>Giữa Tháp phòng không (nhanh) và KS-19 100 mm (chậm)</t>
        </is>
      </c>
      <c r="Y15" s="49" t="inlineStr">
        <is>
          <t>Thấp</t>
        </is>
      </c>
      <c r="Z15" s="41" t="inlineStr">
        <is>
          <t>Cửa hàng: 3.000 xu</t>
        </is>
      </c>
    </row>
  </sheetData>
  <autoFilter ref="A1:Z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S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1" min="1" max="1"/>
    <col width="12" customWidth="1" style="31" min="2" max="2"/>
    <col width="9" customWidth="1" style="31" min="3" max="3"/>
    <col width="10" customWidth="1" style="31" min="4" max="4"/>
    <col width="6" customWidth="1" style="31" min="5" max="5"/>
    <col width="8" customWidth="1" style="31" min="6" max="6"/>
    <col width="7" customWidth="1" style="31" min="7" max="7"/>
    <col width="8" customWidth="1" style="31" min="8" max="8"/>
    <col width="7" customWidth="1" style="31" min="9" max="9"/>
    <col width="8" customWidth="1" style="31" min="10" max="12"/>
    <col width="10" customWidth="1" style="31" min="13" max="13"/>
    <col width="8" customWidth="1" style="31" min="14" max="14"/>
    <col width="55" customWidth="1" style="31" min="15" max="15"/>
    <col width="28" customWidth="1" style="31" min="16" max="16"/>
    <col width="34" customWidth="1" style="31" min="17" max="17"/>
    <col width="30" customWidth="1" style="31" min="18" max="19"/>
  </cols>
  <sheetData>
    <row r="1" ht="42" customHeight="1" s="32">
      <c r="A1" s="37" t="inlineStr">
        <is>
          <t>Tên</t>
        </is>
      </c>
      <c r="B1" s="37" t="inlineStr">
        <is>
          <t>Dạng</t>
        </is>
      </c>
      <c r="C1" s="37" t="inlineStr">
        <is>
          <t>Khối lượng (kg)</t>
        </is>
      </c>
      <c r="D1" s="37" t="inlineStr">
        <is>
          <t>Loại</t>
        </is>
      </c>
      <c r="E1" s="37" t="inlineStr">
        <is>
          <t>Xuyên</t>
        </is>
      </c>
      <c r="F1" s="37" t="inlineStr">
        <is>
          <t>Sát thương/phát</t>
        </is>
      </c>
      <c r="G1" s="37" t="inlineStr">
        <is>
          <t>Nổ lan (m)</t>
        </is>
      </c>
      <c r="H1" s="37" t="inlineStr">
        <is>
          <t>Tốc độ bay (m/s)</t>
        </is>
      </c>
      <c r="I1" s="37" t="inlineStr">
        <is>
          <t>Tầm (m)</t>
        </is>
      </c>
      <c r="J1" s="37" t="inlineStr">
        <is>
          <t>Thời gian bay (s)</t>
        </is>
      </c>
      <c r="K1" s="37" t="inlineStr">
        <is>
          <t>vs giáp 1</t>
        </is>
      </c>
      <c r="L1" s="37" t="inlineStr">
        <is>
          <t>vs giáp 3</t>
        </is>
      </c>
      <c r="M1" s="37" t="inlineStr">
        <is>
          <t>vs giáp 3 (đánh nóc: nóc giáp 1)</t>
        </is>
      </c>
      <c r="N1" s="37" t="inlineStr">
        <is>
          <t>công trình</t>
        </is>
      </c>
      <c r="O1" s="37" t="inlineStr">
        <is>
          <t>Hành vi</t>
        </is>
      </c>
      <c r="P1" s="37" t="inlineStr">
        <is>
          <t>Tham khảo ngoài đời</t>
        </is>
      </c>
      <c r="Q1" s="37" t="inlineStr">
        <is>
          <t>Dùng cho</t>
        </is>
      </c>
      <c r="R1" s="37" t="inlineStr">
        <is>
          <t>Cảm giác khác</t>
        </is>
      </c>
      <c r="S1" s="45" t="inlineStr">
        <is>
          <t>Mở khóa đề xuất</t>
        </is>
      </c>
    </row>
    <row r="2" ht="15" customHeight="1" s="32">
      <c r="A2" s="39" t="inlineStr">
        <is>
          <t>Bom lượn FAB-500 + bộ lượn</t>
        </is>
      </c>
      <c r="B2" s="39" t="inlineStr">
        <is>
          <t>Bom lượn</t>
        </is>
      </c>
      <c r="C2" s="42" t="n">
        <v>500</v>
      </c>
      <c r="D2" s="39" t="inlineStr">
        <is>
          <t>Nổ mạnh</t>
        </is>
      </c>
      <c r="E2" s="42" t="n">
        <v>3</v>
      </c>
      <c r="F2" s="42" t="n">
        <v>420</v>
      </c>
      <c r="G2" s="42" t="n">
        <v>10</v>
      </c>
      <c r="H2" s="42" t="n">
        <v>20</v>
      </c>
      <c r="I2" s="42" t="n">
        <v>90</v>
      </c>
      <c r="J2" s="50">
        <f>IFERROR(I2/H2,"")</f>
        <v/>
      </c>
      <c r="K2" s="50">
        <f>IFERROR(F2*VLOOKUP(D2,'Hệ số'!$A$2:$D$8,2,0)*IF((E2-1)&gt;=2,1.2,IF((E2-1)=1,1,IF((E2-1)=0,0.85,IF((E2-1)=-1,0.5,IF((E2-1)=-2,0.25,0.1))))),"")</f>
        <v/>
      </c>
      <c r="L2" s="50">
        <f>IFERROR(F2*VLOOKUP(D2,'Hệ số'!$A$2:$D$8,2,0)*IF((E2-3)&gt;=2,1.2,IF((E2-3)=1,1,IF((E2-3)=0,0.85,IF((E2-3)=-1,0.5,IF((E2-3)=-2,0.25,0.1))))),"")</f>
        <v/>
      </c>
      <c r="M2" s="50">
        <f>IFERROR(F2*VLOOKUP(D2,'Hệ số'!$A$2:$D$8,2,0)*IF((E2-1)&gt;=2,1.2,IF((E2-1)=1,1,IF((E2-1)=0,0.85,IF((E2-1)=-1,0.5,IF((E2-1)=-2,0.25,0.1))))),"")</f>
        <v/>
      </c>
      <c r="N2" s="50">
        <f>IFERROR(F2*VLOOKUP(D2,'Hệ số'!$A$2:$D$8,4,0)*IF((E2-2)&gt;=2,1.2,IF((E2-2)=1,1,IF((E2-2)=0,0.85,IF((E2-2)=-1,0.5,IF((E2-2)=-2,0.25,0.1))))),"")</f>
        <v/>
      </c>
      <c r="O2" s="39" t="inlineStr">
        <is>
          <t>Thả từ ngoài tầm phòng không gần; bay chậm 4–5 s nên bắn hạ được.</t>
        </is>
      </c>
      <c r="P2" s="39" t="inlineStr">
        <is>
          <t>Su-34 + UMPK</t>
        </is>
      </c>
      <c r="Q2" s="39" t="inlineStr">
        <is>
          <t>Máy bay ném bom lượn (mới)</t>
        </is>
      </c>
      <c r="R2" s="39" t="inlineStr">
        <is>
          <t>Oanh tạc từ xa</t>
        </is>
      </c>
      <c r="S2" s="39" t="inlineStr">
        <is>
          <t>Cửa hàng (đồ trang bị cho đơn vị dùng nó): 1.500 xu, hoặc rơi từ hòm</t>
        </is>
      </c>
    </row>
    <row r="3" ht="21.75" customHeight="1" s="32">
      <c r="A3" s="41" t="inlineStr">
        <is>
          <t>Bom chùm chống tăng tự tìm</t>
        </is>
      </c>
      <c r="B3" s="41" t="inlineStr">
        <is>
          <t>Bom chùm</t>
        </is>
      </c>
      <c r="C3" s="43" t="n">
        <v>450</v>
      </c>
      <c r="D3" s="41" t="inlineStr">
        <is>
          <t>Nổ lõm</t>
        </is>
      </c>
      <c r="E3" s="43" t="n">
        <v>4</v>
      </c>
      <c r="F3" s="43" t="n">
        <v>160</v>
      </c>
      <c r="G3" s="43" t="n">
        <v>0</v>
      </c>
      <c r="H3" s="43" t="n">
        <v>35</v>
      </c>
      <c r="I3" s="43" t="n">
        <v>30</v>
      </c>
      <c r="J3" s="51">
        <f>IFERROR(I3/H3,"")</f>
        <v/>
      </c>
      <c r="K3" s="51">
        <f>IFERROR(F3*VLOOKUP(D3,'Hệ số'!$A$2:$D$8,2,0)*IF((E3-1)&gt;=2,1.2,IF((E3-1)=1,1,IF((E3-1)=0,0.85,IF((E3-1)=-1,0.5,IF((E3-1)=-2,0.25,0.1))))),"")</f>
        <v/>
      </c>
      <c r="L3" s="51">
        <f>IFERROR(F3*VLOOKUP(D3,'Hệ số'!$A$2:$D$8,2,0)*IF((E3-3)&gt;=2,1.2,IF((E3-3)=1,1,IF((E3-3)=0,0.85,IF((E3-3)=-1,0.5,IF((E3-3)=-2,0.25,0.1))))),"")</f>
        <v/>
      </c>
      <c r="M3" s="51">
        <f>IFERROR(F3*VLOOKUP(D3,'Hệ số'!$A$2:$D$8,2,0)*IF((E3-1)&gt;=2,1.2,IF((E3-1)=1,1,IF((E3-1)=0,0.85,IF((E3-1)=-1,0.5,IF((E3-1)=-2,0.25,0.1))))),"")</f>
        <v/>
      </c>
      <c r="N3" s="51">
        <f>IFERROR(F3*VLOOKUP(D3,'Hệ số'!$A$2:$D$8,4,0)*IF((E3-2)&gt;=2,1.2,IF((E3-2)=1,1,IF((E3-2)=0,0.85,IF((E3-2)=-1,0.5,IF((E3-2)=-2,0.25,0.1))))),"")</f>
        <v/>
      </c>
      <c r="O3" s="41" t="inlineStr">
        <is>
          <t>Thả 10 đầu đạn con tự tìm xe, đánh nóc; chỉ đánh xe, không đánh công trình.</t>
        </is>
      </c>
      <c r="P3" s="41" t="inlineStr">
        <is>
          <t>CBU-97 Sensor Fuzed Weapon</t>
        </is>
      </c>
      <c r="Q3" s="41" t="inlineStr">
        <is>
          <t>Oanh tạc cơ / Cường kích (đồ trang bị)</t>
        </is>
      </c>
      <c r="R3" s="41" t="inlineStr">
        <is>
          <t>Diệt cả cụm xe tăng một lượt</t>
        </is>
      </c>
      <c r="S3" s="41" t="inlineStr">
        <is>
          <t>Cửa hàng (đồ trang bị cho đơn vị dùng nó): 1.500 xu, hoặc rơi từ hòm</t>
        </is>
      </c>
    </row>
    <row r="4" ht="15" customHeight="1" s="32">
      <c r="A4" s="39" t="inlineStr">
        <is>
          <t>Bom xuyên boongke</t>
        </is>
      </c>
      <c r="B4" s="39" t="inlineStr">
        <is>
          <t>Bom</t>
        </is>
      </c>
      <c r="C4" s="42" t="n">
        <v>2100</v>
      </c>
      <c r="D4" s="39" t="inlineStr">
        <is>
          <t>Nổ mạnh</t>
        </is>
      </c>
      <c r="E4" s="42" t="n">
        <v>4</v>
      </c>
      <c r="F4" s="42" t="n">
        <v>1400</v>
      </c>
      <c r="G4" s="42" t="n">
        <v>6</v>
      </c>
      <c r="H4" s="42" t="n">
        <v>35</v>
      </c>
      <c r="I4" s="42" t="n">
        <v>30</v>
      </c>
      <c r="J4" s="50">
        <f>IFERROR(I4/H4,"")</f>
        <v/>
      </c>
      <c r="K4" s="50">
        <f>IFERROR(F4*VLOOKUP(D4,'Hệ số'!$A$2:$D$8,2,0)*IF((E4-1)&gt;=2,1.2,IF((E4-1)=1,1,IF((E4-1)=0,0.85,IF((E4-1)=-1,0.5,IF((E4-1)=-2,0.25,0.1))))),"")</f>
        <v/>
      </c>
      <c r="L4" s="50">
        <f>IFERROR(F4*VLOOKUP(D4,'Hệ số'!$A$2:$D$8,2,0)*IF((E4-3)&gt;=2,1.2,IF((E4-3)=1,1,IF((E4-3)=0,0.85,IF((E4-3)=-1,0.5,IF((E4-3)=-2,0.25,0.1))))),"")</f>
        <v/>
      </c>
      <c r="M4" s="50">
        <f>IFERROR(F4*VLOOKUP(D4,'Hệ số'!$A$2:$D$8,2,0)*IF((E4-1)&gt;=2,1.2,IF((E4-1)=1,1,IF((E4-1)=0,0.85,IF((E4-1)=-1,0.5,IF((E4-1)=-2,0.25,0.1))))),"")</f>
        <v/>
      </c>
      <c r="N4" s="50">
        <f>IFERROR(F4*VLOOKUP(D4,'Hệ số'!$A$2:$D$8,4,0)*IF((E4-2)&gt;=2,1.2,IF((E4-2)=1,1,IF((E4-2)=0,0.85,IF((E4-2)=-1,0.5,IF((E4-2)=-2,0.25,0.1))))),"")</f>
        <v/>
      </c>
      <c r="O4" s="39" t="inlineStr">
        <is>
          <t>Xuyên công trình: ×2 lên công trình, bán kính nhỏ.</t>
        </is>
      </c>
      <c r="P4" s="39" t="inlineStr">
        <is>
          <t>GBU-28</t>
        </is>
      </c>
      <c r="Q4" s="39" t="inlineStr">
        <is>
          <t>Máy bay ném bom tàng hình (nhánh)</t>
        </is>
      </c>
      <c r="R4" s="39" t="inlineStr">
        <is>
          <t>Một phát phá tháp lớn</t>
        </is>
      </c>
      <c r="S4" s="39" t="inlineStr">
        <is>
          <t>Cửa hàng (đồ trang bị cho đơn vị dùng nó): 1.500 xu, hoặc rơi từ hòm</t>
        </is>
      </c>
    </row>
    <row r="5" ht="21.75" customHeight="1" s="32">
      <c r="A5" s="41" t="inlineStr">
        <is>
          <t>Bom nhiệt áp</t>
        </is>
      </c>
      <c r="B5" s="41" t="inlineStr">
        <is>
          <t>Bom</t>
        </is>
      </c>
      <c r="C5" s="43" t="n">
        <v>500</v>
      </c>
      <c r="D5" s="41" t="inlineStr">
        <is>
          <t>Nổ mạnh</t>
        </is>
      </c>
      <c r="E5" s="43" t="n">
        <v>3</v>
      </c>
      <c r="F5" s="43" t="n">
        <v>380</v>
      </c>
      <c r="G5" s="43" t="n">
        <v>12</v>
      </c>
      <c r="H5" s="43" t="n">
        <v>35</v>
      </c>
      <c r="I5" s="43" t="n">
        <v>28</v>
      </c>
      <c r="J5" s="51">
        <f>IFERROR(I5/H5,"")</f>
        <v/>
      </c>
      <c r="K5" s="51">
        <f>IFERROR(F5*VLOOKUP(D5,'Hệ số'!$A$2:$D$8,2,0)*IF((E5-1)&gt;=2,1.2,IF((E5-1)=1,1,IF((E5-1)=0,0.85,IF((E5-1)=-1,0.5,IF((E5-1)=-2,0.25,0.1))))),"")</f>
        <v/>
      </c>
      <c r="L5" s="51">
        <f>IFERROR(F5*VLOOKUP(D5,'Hệ số'!$A$2:$D$8,2,0)*IF((E5-3)&gt;=2,1.2,IF((E5-3)=1,1,IF((E5-3)=0,0.85,IF((E5-3)=-1,0.5,IF((E5-3)=-2,0.25,0.1))))),"")</f>
        <v/>
      </c>
      <c r="M5" s="51">
        <f>IFERROR(F5*VLOOKUP(D5,'Hệ số'!$A$2:$D$8,2,0)*IF((E5-1)&gt;=2,1.2,IF((E5-1)=1,1,IF((E5-1)=0,0.85,IF((E5-1)=-1,0.5,IF((E5-1)=-2,0.25,0.1))))),"")</f>
        <v/>
      </c>
      <c r="N5" s="51">
        <f>IFERROR(F5*VLOOKUP(D5,'Hệ số'!$A$2:$D$8,4,0)*IF((E5-2)&gt;=2,1.2,IF((E5-2)=1,1,IF((E5-2)=0,0.85,IF((E5-2)=-1,0.5,IF((E5-2)=-2,0.25,0.1))))),"")</f>
        <v/>
      </c>
      <c r="O5" s="41" t="inlineStr">
        <is>
          <t>Nhãn nhiệt áp: ×2 lên công trình và xe trong công sự; bán kính lớn, sát thương trung tâm thấp hơn.</t>
        </is>
      </c>
      <c r="P5" s="41" t="inlineStr">
        <is>
          <t>ODAB-500</t>
        </is>
      </c>
      <c r="Q5" s="41" t="inlineStr">
        <is>
          <t>Oanh tạc cơ (đồ trang bị)</t>
        </is>
      </c>
      <c r="R5" s="41" t="inlineStr">
        <is>
          <t>Dọn cụm công sự</t>
        </is>
      </c>
      <c r="S5" s="41" t="inlineStr">
        <is>
          <t>Cửa hàng (đồ trang bị cho đơn vị dùng nó): 1.500 xu, hoặc rơi từ hòm</t>
        </is>
      </c>
    </row>
    <row r="6" ht="15" customHeight="1" s="32">
      <c r="A6" s="39" t="inlineStr">
        <is>
          <t>Tên lửa chống radar</t>
        </is>
      </c>
      <c r="B6" s="39" t="inlineStr">
        <is>
          <t>Tên lửa</t>
        </is>
      </c>
      <c r="C6" s="42" t="n">
        <v>360</v>
      </c>
      <c r="D6" s="39" t="inlineStr">
        <is>
          <t>Nổ mạnh</t>
        </is>
      </c>
      <c r="E6" s="42" t="n">
        <v>3</v>
      </c>
      <c r="F6" s="42" t="n">
        <v>300</v>
      </c>
      <c r="G6" s="42" t="n">
        <v>4</v>
      </c>
      <c r="H6" s="42" t="n">
        <v>45</v>
      </c>
      <c r="I6" s="42" t="n">
        <v>90</v>
      </c>
      <c r="J6" s="50">
        <f>IFERROR(I6/H6,"")</f>
        <v/>
      </c>
      <c r="K6" s="50">
        <f>IFERROR(F6*VLOOKUP(D6,'Hệ số'!$A$2:$D$8,2,0)*IF((E6-1)&gt;=2,1.2,IF((E6-1)=1,1,IF((E6-1)=0,0.85,IF((E6-1)=-1,0.5,IF((E6-1)=-2,0.25,0.1))))),"")</f>
        <v/>
      </c>
      <c r="L6" s="50">
        <f>IFERROR(F6*VLOOKUP(D6,'Hệ số'!$A$2:$D$8,2,0)*IF((E6-3)&gt;=2,1.2,IF((E6-3)=1,1,IF((E6-3)=0,0.85,IF((E6-3)=-1,0.5,IF((E6-3)=-2,0.25,0.1))))),"")</f>
        <v/>
      </c>
      <c r="M6" s="50">
        <f>IFERROR(F6*VLOOKUP(D6,'Hệ số'!$A$2:$D$8,2,0)*IF((E6-1)&gt;=2,1.2,IF((E6-1)=1,1,IF((E6-1)=0,0.85,IF((E6-1)=-1,0.5,IF((E6-1)=-2,0.25,0.1))))),"")</f>
        <v/>
      </c>
      <c r="N6" s="50">
        <f>IFERROR(F6*VLOOKUP(D6,'Hệ số'!$A$2:$D$8,4,0)*IF((E6-2)&gt;=2,1.2,IF((E6-2)=1,1,IF((E6-2)=0,0.85,IF((E6-2)=-1,0.5,IF((E6-2)=-2,0.25,0.1))))),"")</f>
        <v/>
      </c>
      <c r="O6" s="39" t="inlineStr">
        <is>
          <t>Chỉ nhắm radar và phòng không đang bật; tắt chúng 8 s.</t>
        </is>
      </c>
      <c r="P6" s="39" t="inlineStr">
        <is>
          <t>AGM-88 HARM, Kh-31P</t>
        </is>
      </c>
      <c r="Q6" s="39" t="inlineStr">
        <is>
          <t>Tiêm kích (đồ trang bị), thẻ SEAD</t>
        </is>
      </c>
      <c r="R6" s="39" t="inlineStr">
        <is>
          <t>Săn phòng không từ xa</t>
        </is>
      </c>
      <c r="S6" s="39" t="inlineStr">
        <is>
          <t>Cửa hàng (đồ trang bị cho đơn vị dùng nó): 1.500 xu, hoặc rơi từ hòm</t>
        </is>
      </c>
    </row>
    <row r="7" ht="21.75" customHeight="1" s="32">
      <c r="A7" s="41" t="inlineStr">
        <is>
          <t>Rốc-két dẫn đường laser giá rẻ</t>
        </is>
      </c>
      <c r="B7" s="41" t="inlineStr">
        <is>
          <t>Rốc-két</t>
        </is>
      </c>
      <c r="C7" s="43" t="n">
        <v>15</v>
      </c>
      <c r="D7" s="41" t="inlineStr">
        <is>
          <t>Nổ lõm</t>
        </is>
      </c>
      <c r="E7" s="43" t="n">
        <v>2</v>
      </c>
      <c r="F7" s="43" t="n">
        <v>90</v>
      </c>
      <c r="G7" s="43" t="n">
        <v>2</v>
      </c>
      <c r="H7" s="43" t="n">
        <v>45</v>
      </c>
      <c r="I7" s="43" t="n">
        <v>40</v>
      </c>
      <c r="J7" s="51">
        <f>IFERROR(I7/H7,"")</f>
        <v/>
      </c>
      <c r="K7" s="51">
        <f>IFERROR(F7*VLOOKUP(D7,'Hệ số'!$A$2:$D$8,2,0)*IF((E7-1)&gt;=2,1.2,IF((E7-1)=1,1,IF((E7-1)=0,0.85,IF((E7-1)=-1,0.5,IF((E7-1)=-2,0.25,0.1))))),"")</f>
        <v/>
      </c>
      <c r="L7" s="51">
        <f>IFERROR(F7*VLOOKUP(D7,'Hệ số'!$A$2:$D$8,2,0)*IF((E7-3)&gt;=2,1.2,IF((E7-3)=1,1,IF((E7-3)=0,0.85,IF((E7-3)=-1,0.5,IF((E7-3)=-2,0.25,0.1))))),"")</f>
        <v/>
      </c>
      <c r="M7" s="51">
        <f>IFERROR(F7*VLOOKUP(D7,'Hệ số'!$A$2:$D$8,2,0)*IF((E7-1)&gt;=2,1.2,IF((E7-1)=1,1,IF((E7-1)=0,0.85,IF((E7-1)=-1,0.5,IF((E7-1)=-2,0.25,0.1))))),"")</f>
        <v/>
      </c>
      <c r="N7" s="51">
        <f>IFERROR(F7*VLOOKUP(D7,'Hệ số'!$A$2:$D$8,4,0)*IF((E7-2)&gt;=2,1.2,IF((E7-2)=1,1,IF((E7-2)=0,0.85,IF((E7-2)=-1,0.5,IF((E7-2)=-2,0.25,0.1))))),"")</f>
        <v/>
      </c>
      <c r="O7" s="41" t="inlineStr">
        <is>
          <t>Rốc-két 70 mm có đầu dẫn: chính xác, rẻ; bắn được drone.</t>
        </is>
      </c>
      <c r="P7" s="41" t="inlineStr">
        <is>
          <t>APKWS (Hydra dẫn laser)</t>
        </is>
      </c>
      <c r="Q7" s="41" t="inlineStr">
        <is>
          <t>Trực thăng, Cường kích (đồ trang bị)</t>
        </is>
      </c>
      <c r="R7" s="41" t="inlineStr">
        <is>
          <t>Nhiều phát chính xác thay cho loạt tản mát</t>
        </is>
      </c>
      <c r="S7" s="41" t="inlineStr">
        <is>
          <t>Cửa hàng (đồ trang bị cho đơn vị dùng nó): 1.500 xu, hoặc rơi từ hòm</t>
        </is>
      </c>
    </row>
    <row r="8" ht="15" customHeight="1" s="32">
      <c r="A8" s="39" t="inlineStr">
        <is>
          <t>Tên lửa đánh chặn drone</t>
        </is>
      </c>
      <c r="B8" s="39" t="inlineStr">
        <is>
          <t>Tên lửa</t>
        </is>
      </c>
      <c r="C8" s="42" t="n">
        <v>5</v>
      </c>
      <c r="D8" s="39" t="inlineStr">
        <is>
          <t>Mảnh</t>
        </is>
      </c>
      <c r="E8" s="42" t="n">
        <v>2</v>
      </c>
      <c r="F8" s="42" t="n">
        <v>120</v>
      </c>
      <c r="G8" s="42" t="n">
        <v>2</v>
      </c>
      <c r="H8" s="42" t="n">
        <v>40</v>
      </c>
      <c r="I8" s="42" t="n">
        <v>45</v>
      </c>
      <c r="J8" s="50">
        <f>IFERROR(I8/H8,"")</f>
        <v/>
      </c>
      <c r="K8" s="50">
        <f>IFERROR(F8*VLOOKUP(D8,'Hệ số'!$A$2:$D$8,2,0)*IF((E8-1)&gt;=2,1.2,IF((E8-1)=1,1,IF((E8-1)=0,0.85,IF((E8-1)=-1,0.5,IF((E8-1)=-2,0.25,0.1))))),"")</f>
        <v/>
      </c>
      <c r="L8" s="50">
        <f>IFERROR(F8*VLOOKUP(D8,'Hệ số'!$A$2:$D$8,2,0)*IF((E8-3)&gt;=2,1.2,IF((E8-3)=1,1,IF((E8-3)=0,0.85,IF((E8-3)=-1,0.5,IF((E8-3)=-2,0.25,0.1))))),"")</f>
        <v/>
      </c>
      <c r="M8" s="50">
        <f>IFERROR(F8*VLOOKUP(D8,'Hệ số'!$A$2:$D$8,2,0)*IF((E8-1)&gt;=2,1.2,IF((E8-1)=1,1,IF((E8-1)=0,0.85,IF((E8-1)=-1,0.5,IF((E8-1)=-2,0.25,0.1))))),"")</f>
        <v/>
      </c>
      <c r="N8" s="50">
        <f>IFERROR(F8*VLOOKUP(D8,'Hệ số'!$A$2:$D$8,4,0)*IF((E8-2)&gt;=2,1.2,IF((E8-2)=1,1,IF((E8-2)=0,0.85,IF((E8-2)=-1,0.5,IF((E8-2)=-2,0.25,0.1))))),"")</f>
        <v/>
      </c>
      <c r="O8" s="39" t="inlineStr">
        <is>
          <t>Chỉ bắn drone và đạn lảng vảng; rẻ, nạp nhanh.</t>
        </is>
      </c>
      <c r="P8" s="39" t="inlineStr">
        <is>
          <t>Coyote Block 2</t>
        </is>
      </c>
      <c r="Q8" s="39" t="inlineStr">
        <is>
          <t>Trạm C-RAM (nhánh), xe phòng không</t>
        </is>
      </c>
      <c r="R8" s="39" t="inlineStr">
        <is>
          <t>Khắc chế bầy drone</t>
        </is>
      </c>
      <c r="S8" s="39" t="inlineStr">
        <is>
          <t>Cửa hàng (đồ trang bị cho đơn vị dùng nó): 1.500 xu, hoặc rơi từ hòm</t>
        </is>
      </c>
    </row>
    <row r="9" ht="15" customHeight="1" s="32">
      <c r="A9" s="41" t="inlineStr">
        <is>
          <t>Đạn pháo dẫn đường 155 mm</t>
        </is>
      </c>
      <c r="B9" s="41" t="inlineStr">
        <is>
          <t>Đạn pháo</t>
        </is>
      </c>
      <c r="C9" s="43" t="n">
        <v>48</v>
      </c>
      <c r="D9" s="41" t="inlineStr">
        <is>
          <t>Nổ mạnh</t>
        </is>
      </c>
      <c r="E9" s="43" t="n">
        <v>3</v>
      </c>
      <c r="F9" s="43" t="n">
        <v>360</v>
      </c>
      <c r="G9" s="43" t="n">
        <v>6</v>
      </c>
      <c r="H9" s="43" t="n">
        <v>45</v>
      </c>
      <c r="I9" s="43" t="n">
        <v>90</v>
      </c>
      <c r="J9" s="51">
        <f>IFERROR(I9/H9,"")</f>
        <v/>
      </c>
      <c r="K9" s="51">
        <f>IFERROR(F9*VLOOKUP(D9,'Hệ số'!$A$2:$D$8,2,0)*IF((E9-1)&gt;=2,1.2,IF((E9-1)=1,1,IF((E9-1)=0,0.85,IF((E9-1)=-1,0.5,IF((E9-1)=-2,0.25,0.1))))),"")</f>
        <v/>
      </c>
      <c r="L9" s="51">
        <f>IFERROR(F9*VLOOKUP(D9,'Hệ số'!$A$2:$D$8,2,0)*IF((E9-3)&gt;=2,1.2,IF((E9-3)=1,1,IF((E9-3)=0,0.85,IF((E9-3)=-1,0.5,IF((E9-3)=-2,0.25,0.1))))),"")</f>
        <v/>
      </c>
      <c r="M9" s="51">
        <f>IFERROR(F9*VLOOKUP(D9,'Hệ số'!$A$2:$D$8,2,0)*IF((E9-1)&gt;=2,1.2,IF((E9-1)=1,1,IF((E9-1)=0,0.85,IF((E9-1)=-1,0.5,IF((E9-1)=-2,0.25,0.1))))),"")</f>
        <v/>
      </c>
      <c r="N9" s="51">
        <f>IFERROR(F9*VLOOKUP(D9,'Hệ số'!$A$2:$D$8,4,0)*IF((E9-2)&gt;=2,1.2,IF((E9-2)=1,1,IF((E9-2)=0,0.85,IF((E9-2)=-1,0.5,IF((E9-2)=-2,0.25,0.1))))),"")</f>
        <v/>
      </c>
      <c r="O9" s="41" t="inlineStr">
        <is>
          <t>Không tản mát; trúng xe đang đứng yên chắc chắn.</t>
        </is>
      </c>
      <c r="P9" s="41" t="inlineStr">
        <is>
          <t>M982 Excalibur, Krasnopol</t>
        </is>
      </c>
      <c r="Q9" s="41" t="inlineStr">
        <is>
          <t>Lựu pháo (nhánh / đồ trang bị)</t>
        </is>
      </c>
      <c r="R9" s="41" t="inlineStr">
        <is>
          <t>Pháo binh "bắn tỉa"</t>
        </is>
      </c>
      <c r="S9" s="41" t="inlineStr">
        <is>
          <t>Cửa hàng (đồ trang bị cho đơn vị dùng nó): 1.500 xu, hoặc rơi từ hòm</t>
        </is>
      </c>
    </row>
    <row r="10" ht="15" customHeight="1" s="32">
      <c r="A10" s="39" t="inlineStr">
        <is>
          <t>Đạn pháo chống tăng đánh nóc</t>
        </is>
      </c>
      <c r="B10" s="39" t="inlineStr">
        <is>
          <t>Đạn pháo</t>
        </is>
      </c>
      <c r="C10" s="42" t="n">
        <v>47</v>
      </c>
      <c r="D10" s="39" t="inlineStr">
        <is>
          <t>Nổ lõm</t>
        </is>
      </c>
      <c r="E10" s="42" t="n">
        <v>4</v>
      </c>
      <c r="F10" s="42" t="n">
        <v>220</v>
      </c>
      <c r="G10" s="42" t="n">
        <v>0</v>
      </c>
      <c r="H10" s="42" t="n">
        <v>45</v>
      </c>
      <c r="I10" s="42" t="n">
        <v>90</v>
      </c>
      <c r="J10" s="50">
        <f>IFERROR(I10/H10,"")</f>
        <v/>
      </c>
      <c r="K10" s="50">
        <f>IFERROR(F10*VLOOKUP(D10,'Hệ số'!$A$2:$D$8,2,0)*IF((E10-1)&gt;=2,1.2,IF((E10-1)=1,1,IF((E10-1)=0,0.85,IF((E10-1)=-1,0.5,IF((E10-1)=-2,0.25,0.1))))),"")</f>
        <v/>
      </c>
      <c r="L10" s="50">
        <f>IFERROR(F10*VLOOKUP(D10,'Hệ số'!$A$2:$D$8,2,0)*IF((E10-3)&gt;=2,1.2,IF((E10-3)=1,1,IF((E10-3)=0,0.85,IF((E10-3)=-1,0.5,IF((E10-3)=-2,0.25,0.1))))),"")</f>
        <v/>
      </c>
      <c r="M10" s="50">
        <f>IFERROR(F10*VLOOKUP(D10,'Hệ số'!$A$2:$D$8,2,0)*IF((E10-1)&gt;=2,1.2,IF((E10-1)=1,1,IF((E10-1)=0,0.85,IF((E10-1)=-1,0.5,IF((E10-1)=-2,0.25,0.1))))),"")</f>
        <v/>
      </c>
      <c r="N10" s="50">
        <f>IFERROR(F10*VLOOKUP(D10,'Hệ số'!$A$2:$D$8,4,0)*IF((E10-2)&gt;=2,1.2,IF((E10-2)=1,1,IF((E10-2)=0,0.85,IF((E10-2)=-1,0.5,IF((E10-2)=-2,0.25,0.1))))),"")</f>
        <v/>
      </c>
      <c r="O10" s="39" t="inlineStr">
        <is>
          <t>2 đầu đạn con tự tìm xe, đánh nóc (giáp nóc thấp).</t>
        </is>
      </c>
      <c r="P10" s="39" t="inlineStr">
        <is>
          <t>SMArt 155, BONUS</t>
        </is>
      </c>
      <c r="Q10" s="39" t="inlineStr">
        <is>
          <t>Lựu pháo (đồ trang bị)</t>
        </is>
      </c>
      <c r="R10" s="39" t="inlineStr">
        <is>
          <t>Pháo binh diệt tăng</t>
        </is>
      </c>
      <c r="S10" s="39" t="inlineStr">
        <is>
          <t>Cửa hàng (đồ trang bị cho đơn vị dùng nó): 1.500 xu, hoặc rơi từ hòm</t>
        </is>
      </c>
    </row>
    <row r="11" ht="15" customHeight="1" s="32">
      <c r="A11" s="41" t="inlineStr">
        <is>
          <t>Tên lửa không đối không tầm siêu xa</t>
        </is>
      </c>
      <c r="B11" s="41" t="inlineStr">
        <is>
          <t>Tên lửa</t>
        </is>
      </c>
      <c r="C11" s="43" t="n">
        <v>510</v>
      </c>
      <c r="D11" s="41" t="inlineStr">
        <is>
          <t>Mảnh</t>
        </is>
      </c>
      <c r="E11" s="43" t="n">
        <v>3</v>
      </c>
      <c r="F11" s="43" t="n">
        <v>400</v>
      </c>
      <c r="G11" s="43" t="n">
        <v>6</v>
      </c>
      <c r="H11" s="43" t="n">
        <v>70</v>
      </c>
      <c r="I11" s="43" t="n">
        <v>90</v>
      </c>
      <c r="J11" s="51">
        <f>IFERROR(I11/H11,"")</f>
        <v/>
      </c>
      <c r="K11" s="51">
        <f>IFERROR(F11*VLOOKUP(D11,'Hệ số'!$A$2:$D$8,2,0)*IF((E11-1)&gt;=2,1.2,IF((E11-1)=1,1,IF((E11-1)=0,0.85,IF((E11-1)=-1,0.5,IF((E11-1)=-2,0.25,0.1))))),"")</f>
        <v/>
      </c>
      <c r="L11" s="51">
        <f>IFERROR(F11*VLOOKUP(D11,'Hệ số'!$A$2:$D$8,2,0)*IF((E11-3)&gt;=2,1.2,IF((E11-3)=1,1,IF((E11-3)=0,0.85,IF((E11-3)=-1,0.5,IF((E11-3)=-2,0.25,0.1))))),"")</f>
        <v/>
      </c>
      <c r="M11" s="51">
        <f>IFERROR(F11*VLOOKUP(D11,'Hệ số'!$A$2:$D$8,2,0)*IF((E11-1)&gt;=2,1.2,IF((E11-1)=1,1,IF((E11-1)=0,0.85,IF((E11-1)=-1,0.5,IF((E11-1)=-2,0.25,0.1))))),"")</f>
        <v/>
      </c>
      <c r="N11" s="51">
        <f>IFERROR(F11*VLOOKUP(D11,'Hệ số'!$A$2:$D$8,4,0)*IF((E11-2)&gt;=2,1.2,IF((E11-2)=1,1,IF((E11-2)=0,0.85,IF((E11-2)=-1,0.5,IF((E11-2)=-2,0.25,0.1))))),"")</f>
        <v/>
      </c>
      <c r="O11" s="41" t="inlineStr">
        <is>
          <t>Nhắm máy bay lớn trước (oanh tạc cơ, AC-130, máy bay mẹ).</t>
        </is>
      </c>
      <c r="P11" s="41" t="inlineStr">
        <is>
          <t>R-37M, Meteor</t>
        </is>
      </c>
      <c r="Q11" s="41" t="inlineStr">
        <is>
          <t>Tiêm kích đánh chặn (mới)</t>
        </is>
      </c>
      <c r="R11" s="41" t="inlineStr">
        <is>
          <t>Hạ máy bay lớn từ rất xa</t>
        </is>
      </c>
      <c r="S11" s="41" t="inlineStr">
        <is>
          <t>Cửa hàng (đồ trang bị cho đơn vị dùng nó): 1.500 xu, hoặc rơi từ hòm</t>
        </is>
      </c>
    </row>
    <row r="12" ht="15" customHeight="1" s="32">
      <c r="A12" s="39" t="inlineStr">
        <is>
          <t>Tên lửa chống tăng bắn ngoài tầm nhìn</t>
        </is>
      </c>
      <c r="B12" s="39" t="inlineStr">
        <is>
          <t>Tên lửa</t>
        </is>
      </c>
      <c r="C12" s="42" t="n">
        <v>70</v>
      </c>
      <c r="D12" s="39" t="inlineStr">
        <is>
          <t>Nổ lõm</t>
        </is>
      </c>
      <c r="E12" s="42" t="n">
        <v>4</v>
      </c>
      <c r="F12" s="42" t="n">
        <v>300</v>
      </c>
      <c r="G12" s="42" t="n">
        <v>0</v>
      </c>
      <c r="H12" s="42" t="n">
        <v>26</v>
      </c>
      <c r="I12" s="42" t="n">
        <v>90</v>
      </c>
      <c r="J12" s="50">
        <f>IFERROR(I12/H12,"")</f>
        <v/>
      </c>
      <c r="K12" s="50">
        <f>IFERROR(F12*VLOOKUP(D12,'Hệ số'!$A$2:$D$8,2,0)*IF((E12-1)&gt;=2,1.2,IF((E12-1)=1,1,IF((E12-1)=0,0.85,IF((E12-1)=-1,0.5,IF((E12-1)=-2,0.25,0.1))))),"")</f>
        <v/>
      </c>
      <c r="L12" s="50">
        <f>IFERROR(F12*VLOOKUP(D12,'Hệ số'!$A$2:$D$8,2,0)*IF((E12-3)&gt;=2,1.2,IF((E12-3)=1,1,IF((E12-3)=0,0.85,IF((E12-3)=-1,0.5,IF((E12-3)=-2,0.25,0.1))))),"")</f>
        <v/>
      </c>
      <c r="M12" s="50">
        <f>IFERROR(F12*VLOOKUP(D12,'Hệ số'!$A$2:$D$8,2,0)*IF((E12-1)&gt;=2,1.2,IF((E12-1)=1,1,IF((E12-1)=0,0.85,IF((E12-1)=-1,0.5,IF((E12-1)=-2,0.25,0.1))))),"")</f>
        <v/>
      </c>
      <c r="N12" s="50">
        <f>IFERROR(F12*VLOOKUP(D12,'Hệ số'!$A$2:$D$8,4,0)*IF((E12-2)&gt;=2,1.2,IF((E12-2)=1,1,IF((E12-2)=0,0.85,IF((E12-2)=-1,0.5,IF((E12-2)=-2,0.25,0.1))))),"")</f>
        <v/>
      </c>
      <c r="O12" s="39" t="inlineStr">
        <is>
          <t>Cần đồng đội soi; bay cao rồi đánh nóc.</t>
        </is>
      </c>
      <c r="P12" s="39" t="inlineStr">
        <is>
          <t>Spike NLOS, Brimstone</t>
        </is>
      </c>
      <c r="Q12" s="39" t="inlineStr">
        <is>
          <t>Xe tên lửa chống tăng NLOS (mới)</t>
        </is>
      </c>
      <c r="R12" s="39" t="inlineStr">
        <is>
          <t>Diệt tăng sau đồi</t>
        </is>
      </c>
      <c r="S12" s="39" t="inlineStr">
        <is>
          <t>Cửa hàng (đồ trang bị cho đơn vị dùng nó): 1.500 xu, hoặc rơi từ hòm</t>
        </is>
      </c>
    </row>
    <row r="13" ht="15" customHeight="1" s="32">
      <c r="A13" s="41" t="inlineStr">
        <is>
          <t>Tên lửa hành trình tàng hình</t>
        </is>
      </c>
      <c r="B13" s="41" t="inlineStr">
        <is>
          <t>Tên lửa</t>
        </is>
      </c>
      <c r="C13" s="43" t="n">
        <v>1000</v>
      </c>
      <c r="D13" s="41" t="inlineStr">
        <is>
          <t>Nổ mạnh</t>
        </is>
      </c>
      <c r="E13" s="43" t="n">
        <v>3</v>
      </c>
      <c r="F13" s="43" t="n">
        <v>450</v>
      </c>
      <c r="G13" s="43" t="n">
        <v>9</v>
      </c>
      <c r="H13" s="43" t="n">
        <v>22</v>
      </c>
      <c r="I13" s="43" t="n">
        <v>140</v>
      </c>
      <c r="J13" s="51">
        <f>IFERROR(I13/H13,"")</f>
        <v/>
      </c>
      <c r="K13" s="51">
        <f>IFERROR(F13*VLOOKUP(D13,'Hệ số'!$A$2:$D$8,2,0)*IF((E13-1)&gt;=2,1.2,IF((E13-1)=1,1,IF((E13-1)=0,0.85,IF((E13-1)=-1,0.5,IF((E13-1)=-2,0.25,0.1))))),"")</f>
        <v/>
      </c>
      <c r="L13" s="51">
        <f>IFERROR(F13*VLOOKUP(D13,'Hệ số'!$A$2:$D$8,2,0)*IF((E13-3)&gt;=2,1.2,IF((E13-3)=1,1,IF((E13-3)=0,0.85,IF((E13-3)=-1,0.5,IF((E13-3)=-2,0.25,0.1))))),"")</f>
        <v/>
      </c>
      <c r="M13" s="51">
        <f>IFERROR(F13*VLOOKUP(D13,'Hệ số'!$A$2:$D$8,2,0)*IF((E13-1)&gt;=2,1.2,IF((E13-1)=1,1,IF((E13-1)=0,0.85,IF((E13-1)=-1,0.5,IF((E13-1)=-2,0.25,0.1))))),"")</f>
        <v/>
      </c>
      <c r="N13" s="51">
        <f>IFERROR(F13*VLOOKUP(D13,'Hệ số'!$A$2:$D$8,4,0)*IF((E13-2)&gt;=2,1.2,IF((E13-2)=1,1,IF((E13-2)=0,0.85,IF((E13-2)=-1,0.5,IF((E13-2)=-2,0.25,0.1))))),"")</f>
        <v/>
      </c>
      <c r="O13" s="41" t="inlineStr">
        <is>
          <t>Bay thấp, khó bị phát hiện (chỉ lộ ở 50% tầm nhìn radar).</t>
        </is>
      </c>
      <c r="P13" s="41" t="inlineStr">
        <is>
          <t>Storm Shadow, Tomahawk</t>
        </is>
      </c>
      <c r="Q13" s="41" t="inlineStr">
        <is>
          <t>Thẻ Tên lửa hành trình (đổi)</t>
        </is>
      </c>
      <c r="R13" s="41" t="inlineStr">
        <is>
          <t>Đòn chính xác xuyên phòng không</t>
        </is>
      </c>
      <c r="S13" s="41" t="inlineStr">
        <is>
          <t>Cửa hàng (đồ trang bị cho đơn vị dùng nó): 1.500 xu, hoặc rơi từ hòm</t>
        </is>
      </c>
    </row>
    <row r="14" ht="15" customHeight="1" s="32">
      <c r="A14" s="39" t="inlineStr">
        <is>
          <t>Drone cảm tử bầy nhỏ</t>
        </is>
      </c>
      <c r="B14" s="39" t="inlineStr">
        <is>
          <t>Drone</t>
        </is>
      </c>
      <c r="C14" s="42" t="n">
        <v>3</v>
      </c>
      <c r="D14" s="39" t="inlineStr">
        <is>
          <t>Nổ lõm</t>
        </is>
      </c>
      <c r="E14" s="42" t="n">
        <v>3</v>
      </c>
      <c r="F14" s="42" t="n">
        <v>90</v>
      </c>
      <c r="G14" s="42" t="n">
        <v>2</v>
      </c>
      <c r="H14" s="42" t="n">
        <v>30</v>
      </c>
      <c r="I14" s="42" t="n">
        <v>50</v>
      </c>
      <c r="J14" s="50">
        <f>IFERROR(I14/H14,"")</f>
        <v/>
      </c>
      <c r="K14" s="50">
        <f>IFERROR(F14*VLOOKUP(D14,'Hệ số'!$A$2:$D$8,2,0)*IF((E14-1)&gt;=2,1.2,IF((E14-1)=1,1,IF((E14-1)=0,0.85,IF((E14-1)=-1,0.5,IF((E14-1)=-2,0.25,0.1))))),"")</f>
        <v/>
      </c>
      <c r="L14" s="50">
        <f>IFERROR(F14*VLOOKUP(D14,'Hệ số'!$A$2:$D$8,2,0)*IF((E14-3)&gt;=2,1.2,IF((E14-3)=1,1,IF((E14-3)=0,0.85,IF((E14-3)=-1,0.5,IF((E14-3)=-2,0.25,0.1))))),"")</f>
        <v/>
      </c>
      <c r="M14" s="50">
        <f>IFERROR(F14*VLOOKUP(D14,'Hệ số'!$A$2:$D$8,2,0)*IF((E14-1)&gt;=2,1.2,IF((E14-1)=1,1,IF((E14-1)=0,0.85,IF((E14-1)=-1,0.5,IF((E14-1)=-2,0.25,0.1))))),"")</f>
        <v/>
      </c>
      <c r="N14" s="50">
        <f>IFERROR(F14*VLOOKUP(D14,'Hệ số'!$A$2:$D$8,4,0)*IF((E14-2)&gt;=2,1.2,IF((E14-2)=1,1,IF((E14-2)=0,0.85,IF((E14-2)=-1,0.5,IF((E14-2)=-2,0.25,0.1))))),"")</f>
        <v/>
      </c>
      <c r="O14" s="39" t="inlineStr">
        <is>
          <t>Bầy 6 chiếc; mỗi chiếc yếu; bị súng máy và EW bắn hạ dễ.</t>
        </is>
      </c>
      <c r="P14" s="39" t="inlineStr">
        <is>
          <t>Switchblade 300</t>
        </is>
      </c>
      <c r="Q14" s="39" t="inlineStr">
        <is>
          <t>Xe phóng drone FPV (nhánh)</t>
        </is>
      </c>
      <c r="R14" s="39" t="inlineStr">
        <is>
          <t>Nhiều mục tiêu nhỏ cho phòng không</t>
        </is>
      </c>
      <c r="S14" s="39" t="inlineStr">
        <is>
          <t>Cửa hàng (đồ trang bị cho đơn vị dùng nó): 1.500 xu, hoặc rơi từ hòm</t>
        </is>
      </c>
    </row>
    <row r="15" ht="15" customHeight="1" s="32">
      <c r="A15" s="41" t="inlineStr">
        <is>
          <t>Tên lửa chống hạm</t>
        </is>
      </c>
      <c r="B15" s="41" t="inlineStr">
        <is>
          <t>Tên lửa</t>
        </is>
      </c>
      <c r="C15" s="43" t="n">
        <v>680</v>
      </c>
      <c r="D15" s="41" t="inlineStr">
        <is>
          <t>Nổ mạnh</t>
        </is>
      </c>
      <c r="E15" s="43" t="n">
        <v>4</v>
      </c>
      <c r="F15" s="43" t="n">
        <v>450</v>
      </c>
      <c r="G15" s="43" t="n">
        <v>7</v>
      </c>
      <c r="H15" s="43" t="n">
        <v>30</v>
      </c>
      <c r="I15" s="43" t="n">
        <v>140</v>
      </c>
      <c r="J15" s="51">
        <f>IFERROR(I15/H15,"")</f>
        <v/>
      </c>
      <c r="K15" s="51">
        <f>IFERROR(F15*VLOOKUP(D15,'Hệ số'!$A$2:$D$8,2,0)*IF((E15-1)&gt;=2,1.2,IF((E15-1)=1,1,IF((E15-1)=0,0.85,IF((E15-1)=-1,0.5,IF((E15-1)=-2,0.25,0.1))))),"")</f>
        <v/>
      </c>
      <c r="L15" s="51">
        <f>IFERROR(F15*VLOOKUP(D15,'Hệ số'!$A$2:$D$8,2,0)*IF((E15-3)&gt;=2,1.2,IF((E15-3)=1,1,IF((E15-3)=0,0.85,IF((E15-3)=-1,0.5,IF((E15-3)=-2,0.25,0.1))))),"")</f>
        <v/>
      </c>
      <c r="M15" s="51">
        <f>IFERROR(F15*VLOOKUP(D15,'Hệ số'!$A$2:$D$8,2,0)*IF((E15-1)&gt;=2,1.2,IF((E15-1)=1,1,IF((E15-1)=0,0.85,IF((E15-1)=-1,0.5,IF((E15-1)=-2,0.25,0.1))))),"")</f>
        <v/>
      </c>
      <c r="N15" s="51">
        <f>IFERROR(F15*VLOOKUP(D15,'Hệ số'!$A$2:$D$8,4,0)*IF((E15-2)&gt;=2,1.2,IF((E15-2)=1,1,IF((E15-2)=0,0.85,IF((E15-2)=-1,0.5,IF((E15-2)=-2,0.25,0.1))))),"")</f>
        <v/>
      </c>
      <c r="O15" s="41" t="inlineStr">
        <is>
          <t>Chỉ nhắm tàu; bay sát mặt nước.</t>
        </is>
      </c>
      <c r="P15" s="41" t="inlineStr">
        <is>
          <t>NSM, P-800 Oniks</t>
        </is>
      </c>
      <c r="Q15" s="41" t="inlineStr">
        <is>
          <t>Xe tên lửa chống hạm bờ biển (mới)</t>
        </is>
      </c>
      <c r="R15" s="41" t="inlineStr">
        <is>
          <t>Đánh tàu từ bờ</t>
        </is>
      </c>
      <c r="S15" s="41" t="inlineStr">
        <is>
          <t>Cửa hàng (đồ trang bị cho đơn vị dùng nó): 1.500 xu, hoặc rơi từ hòm</t>
        </is>
      </c>
    </row>
  </sheetData>
  <autoFilter ref="A1:S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L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2" customWidth="1" style="31" min="1" max="1"/>
    <col width="9" customWidth="1" style="31" min="2" max="2"/>
    <col width="30" customWidth="1" style="31" min="3" max="3"/>
    <col width="9" customWidth="1" style="31" min="4" max="4"/>
    <col width="10" customWidth="1" style="31" min="5" max="5"/>
    <col width="50" customWidth="1" style="31" min="6" max="6"/>
    <col width="55" customWidth="1" style="31" min="7" max="7"/>
    <col width="50" customWidth="1" style="31" min="8" max="8"/>
    <col width="30" customWidth="1" style="31" min="9" max="10"/>
    <col width="55" customWidth="1" style="31" min="11" max="11"/>
    <col width="30" customWidth="1" style="31" min="12" max="12"/>
  </cols>
  <sheetData>
    <row r="1" ht="42" customHeight="1" s="32">
      <c r="A1" s="37" t="inlineStr">
        <is>
          <t>Tên · dòng phụ</t>
        </is>
      </c>
      <c r="B1" s="37" t="inlineStr">
        <is>
          <t>Cấp</t>
        </is>
      </c>
      <c r="C1" s="37" t="inlineStr">
        <is>
          <t>Tướng / mùa</t>
        </is>
      </c>
      <c r="D1" s="37" t="inlineStr">
        <is>
          <t>Máu gốc</t>
        </is>
      </c>
      <c r="E1" s="37" t="inlineStr">
        <is>
          <t>DPS thường (vs giáp 3)</t>
        </is>
      </c>
      <c r="F1" s="37" t="inlineStr">
        <is>
          <t>Vũ khí thường</t>
        </is>
      </c>
      <c r="G1" s="37" t="inlineStr">
        <is>
          <t>Siêu vũ khí</t>
        </is>
      </c>
      <c r="H1" s="37" t="inlineStr">
        <is>
          <t>Cơ chế đặc biệt</t>
        </is>
      </c>
      <c r="I1" s="37" t="inlineStr">
        <is>
          <t>Mẫu thật</t>
        </is>
      </c>
      <c r="J1" s="37" t="inlineStr">
        <is>
          <t>Tham khảo game</t>
        </is>
      </c>
      <c r="K1" s="37" t="inlineStr">
        <is>
          <t>Hình dạng (cho AI vẽ)</t>
        </is>
      </c>
      <c r="L1" s="45" t="inlineStr">
        <is>
          <t>Ra mắt đề xuất</t>
        </is>
      </c>
    </row>
    <row r="2" ht="21.75" customHeight="1" s="32">
      <c r="A2" s="39" t="inlineStr">
        <is>
          <t>Kraken · Tàu sân bay</t>
        </is>
      </c>
      <c r="B2" s="39" t="inlineStr">
        <is>
          <t>Chủ lực</t>
        </is>
      </c>
      <c r="C2" s="39" t="inlineStr">
        <is>
          <t>Mùa hải quân (đô đốc mới của Hegemon)</t>
        </is>
      </c>
      <c r="D2" s="42" t="n">
        <v>25000</v>
      </c>
      <c r="E2" s="42" t="n">
        <v>650</v>
      </c>
      <c r="F2" s="39" t="inlineStr">
        <is>
          <t>4 CIWS 30 mm, 2 bệ tên lửa phòng không, thả 2 tiêm kích và 4 drone mỗi 40 s</t>
        </is>
      </c>
      <c r="G2" s="39" t="inlineStr">
        <is>
          <t>Đợt không kích: 12 bom × 400 · nổ lan 9 m · dải 90 × 14 m · mỗi 75 s · cảnh báo 4 s</t>
        </is>
      </c>
      <c r="H2" s="39" t="inlineStr">
        <is>
          <t>Phá cáp hãm và đường băng thì ngừng phóng máy bay; boong có thang máy là điểm yếu giáp 2</t>
        </is>
      </c>
      <c r="I2" s="39" t="inlineStr">
        <is>
          <t>Lớp Nimitz / Kuznetsov</t>
        </is>
      </c>
      <c r="J2" s="39" t="inlineStr">
        <is>
          <t>Red Alert 3 (Shogun), World of Warships</t>
        </is>
      </c>
      <c r="K2" s="39" t="inlineStr">
        <is>
          <t>Tàu dài nhất game (~110 m), boong phẳng, đảo chỉ huy lệch phải, máy bay đậu trên boong</t>
        </is>
      </c>
      <c r="L2" s="39" t="inlineStr">
        <is>
          <t>Theo mùa: boss chủ lực là trùm của mùa; mini boss là sự kiện tuần</t>
        </is>
      </c>
    </row>
    <row r="3" ht="21.75" customHeight="1" s="32">
      <c r="A3" s="41" t="inlineStr">
        <is>
          <t>Monster · Pháo tự hành 800 mm</t>
        </is>
      </c>
      <c r="B3" s="41" t="inlineStr">
        <is>
          <t>Chủ lực</t>
        </is>
      </c>
      <c r="C3" s="41" t="inlineStr">
        <is>
          <t>Mùa đất liền (thay Gungnir làm mối đe dọa lớn)</t>
        </is>
      </c>
      <c r="D3" s="43" t="n">
        <v>23000</v>
      </c>
      <c r="E3" s="43" t="n">
        <v>500</v>
      </c>
      <c r="F3" s="41" t="inlineStr">
        <is>
          <t>2 tháp 150 mm phụ, 4 bệ 20 mm phòng không</t>
        </is>
      </c>
      <c r="G3" s="41" t="inlineStr">
        <is>
          <t>Đạn 800 mm: 1 × 4.000 · nổ lan 20 m · mỗi 80 s · cảnh báo 6 s (nòng nâng lên từ từ)</t>
        </is>
      </c>
      <c r="H3" s="41" t="inlineStr">
        <is>
          <t>Chạy rất chậm; phá 4 cụm xích thì dừng hẳn; nòng chính là bộ phận có máu riêng</t>
        </is>
      </c>
      <c r="I3" s="41" t="inlineStr">
        <is>
          <t>2B1 Oka và Object 271 (1957)</t>
        </is>
      </c>
      <c r="J3" s="41" t="inlineStr">
        <is>
          <t>Company of Heroes (pháo siêu nặng), Metal Gear</t>
        </is>
      </c>
      <c r="K3" s="41" t="inlineStr">
        <is>
          <t>Khối thép khổng lồ 4 dải xích, một nòng 800 mm dài bằng nửa thân</t>
        </is>
      </c>
      <c r="L3" s="41" t="inlineStr">
        <is>
          <t>Theo mùa: boss chủ lực là trùm của mùa; mini boss là sự kiện tuần</t>
        </is>
      </c>
    </row>
    <row r="4" ht="21.75" customHeight="1" s="32">
      <c r="A4" s="39" t="inlineStr">
        <is>
          <t>Garuda · Cánh bay ném bom khổng lồ</t>
        </is>
      </c>
      <c r="B4" s="39" t="inlineStr">
        <is>
          <t>Chủ lực</t>
        </is>
      </c>
      <c r="C4" s="39" t="inlineStr">
        <is>
          <t>Mùa không quân (người kế nhiệm Wolff)</t>
        </is>
      </c>
      <c r="D4" s="42" t="n">
        <v>24000</v>
      </c>
      <c r="E4" s="42" t="n">
        <v>600</v>
      </c>
      <c r="F4" s="39" t="inlineStr">
        <is>
          <t>6 tháp súng phòng thủ 20 mm, 2 bệ tên lửa không đối không</t>
        </is>
      </c>
      <c r="G4" s="39" t="inlineStr">
        <is>
          <t>Rải thảm: 20 bom × 350 · dải 100 × 14 m · mỗi 70 s</t>
        </is>
      </c>
      <c r="H4" s="39" t="inlineStr">
        <is>
          <t>Bay vòng tròn lớn; chỉ tầng thấp mới trúng được phòng không tầm gần; hộ tống 4 tiêm kích</t>
        </is>
      </c>
      <c r="I4" s="39" t="inlineStr">
        <is>
          <t>Cánh bay B-2 phóng to; B-21 Raider</t>
        </is>
      </c>
      <c r="J4" s="39" t="inlineStr">
        <is>
          <t>Ace Combat (Hresvelgr, Aigaion)</t>
        </is>
      </c>
      <c r="K4" s="39" t="inlineStr">
        <is>
          <t>Cánh bay răng cưa sải ~70 m, có khoang bom mở dưới bụng</t>
        </is>
      </c>
      <c r="L4" s="39" t="inlineStr">
        <is>
          <t>Theo mùa: boss chủ lực là trùm của mùa; mini boss là sự kiện tuần</t>
        </is>
      </c>
    </row>
    <row r="5" ht="21.75" customHeight="1" s="32">
      <c r="A5" s="41" t="inlineStr">
        <is>
          <t>Hyperion · Trạm gương quỹ đạo</t>
        </is>
      </c>
      <c r="B5" s="41" t="inlineStr">
        <is>
          <t>Chủ lực</t>
        </is>
      </c>
      <c r="C5" s="41" t="inlineStr">
        <is>
          <t>Nối tiếp phần kết (các chấm sáng còn lại trên quỹ đạo)</t>
        </is>
      </c>
      <c r="D5" s="43" t="n">
        <v>28000</v>
      </c>
      <c r="E5" s="43" t="n">
        <v>700</v>
      </c>
      <c r="F5" s="41" t="inlineStr">
        <is>
          <t>4 tháp laser phòng thủ điểm, thả 2 khoang đổ bộ mỗi 60 s</t>
        </is>
      </c>
      <c r="G5" s="41" t="inlineStr">
        <is>
          <t>Tia mặt trời: dải 70 × 6 m đốt liên tục 4 s × 500 mỗi giây · mỗi 65 s · khói giảm 80%</t>
        </is>
      </c>
      <c r="H5" s="41" t="inlineStr">
        <is>
          <t>Không bao giờ xuống tầng thấp; chỉ tên lửa tầm xa và pháo điện từ với tới; phá 3 gương phụ thì đòn yếu đi</t>
        </is>
      </c>
      <c r="I5" s="41" t="inlineStr">
        <is>
          <t>Gương quỹ đạo Znamya (Nga, thử nghiệm 1993)</t>
        </is>
      </c>
      <c r="J5" s="41" t="inlineStr">
        <is>
          <t>Ace Combat 5 (SOLG), C&amp;C (Ion Cannon)</t>
        </is>
      </c>
      <c r="K5" s="41" t="inlineStr">
        <is>
          <t>Vòng gương lục giác lớn quanh lõi trạm, pin mặt trời dài</t>
        </is>
      </c>
      <c r="L5" s="41" t="inlineStr">
        <is>
          <t>Theo mùa: boss chủ lực là trùm của mùa; mini boss là sự kiện tuần</t>
        </is>
      </c>
    </row>
    <row r="6" ht="21.75" customHeight="1" s="32">
      <c r="A6" s="39" t="inlineStr">
        <is>
          <t>Stymphalos · Bầy UAV phản lực</t>
        </is>
      </c>
      <c r="B6" s="39" t="inlineStr">
        <is>
          <t>Mini</t>
        </is>
      </c>
      <c r="C6" s="39" t="inlineStr">
        <is>
          <t>Mùa không quân</t>
        </is>
      </c>
      <c r="D6" s="42" t="n">
        <v>11000</v>
      </c>
      <c r="E6" s="42" t="n">
        <v>320</v>
      </c>
      <c r="F6" s="39" t="inlineStr">
        <is>
          <t>Bầy 8 UAV phản lực nhỏ, mỗi chiếc 1.300 máu, bắn tên lửa nhỏ</t>
        </is>
      </c>
      <c r="G6" s="39" t="inlineStr">
        <is>
          <t>Không có (mini boss)</t>
        </is>
      </c>
      <c r="H6" s="39" t="inlineStr">
        <is>
          <t>Không có thân chính: phải hạ hết cả bầy; bầy tản ra khi bị pháo nổ trên không bắn</t>
        </is>
      </c>
      <c r="I6" s="39" t="inlineStr">
        <is>
          <t>Loyal Wingman (MQ-28, XQ-58)</t>
        </is>
      </c>
      <c r="J6" s="39" t="inlineStr">
        <is>
          <t>Mechabellum (Wasp), Ace Combat</t>
        </is>
      </c>
      <c r="K6" s="39" t="inlineStr">
        <is>
          <t>8 drone cánh tam giác bay theo đội hình chữ V</t>
        </is>
      </c>
      <c r="L6" s="39" t="inlineStr">
        <is>
          <t>Theo mùa: boss chủ lực là trùm của mùa; mini boss là sự kiện tuần</t>
        </is>
      </c>
    </row>
    <row r="7" ht="15" customHeight="1" s="32">
      <c r="A7" s="41" t="inlineStr">
        <is>
          <t>Nyx · Tàu khu trục tàng hình</t>
        </is>
      </c>
      <c r="B7" s="41" t="inlineStr">
        <is>
          <t>Mini</t>
        </is>
      </c>
      <c r="C7" s="41" t="inlineStr">
        <is>
          <t>Mùa hải quân</t>
        </is>
      </c>
      <c r="D7" s="43" t="n">
        <v>10000</v>
      </c>
      <c r="E7" s="43" t="n">
        <v>330</v>
      </c>
      <c r="F7" s="41" t="inlineStr">
        <is>
          <t>Pháo điện từ 1 × 600 mỗi 8 s, 2 CIWS, tên lửa chống hạm</t>
        </is>
      </c>
      <c r="G7" s="41" t="inlineStr">
        <is>
          <t>Không có (mini boss)</t>
        </is>
      </c>
      <c r="H7" s="41" t="inlineStr">
        <is>
          <t>Tàng hình: chỉ lộ khi bắn hoặc khi radar/UAV soi</t>
        </is>
      </c>
      <c r="I7" s="41" t="inlineStr">
        <is>
          <t>Lớp Zumwalt</t>
        </is>
      </c>
      <c r="J7" s="41" t="inlineStr">
        <is>
          <t>World of Warships, Battlefield</t>
        </is>
      </c>
      <c r="K7" s="41" t="inlineStr">
        <is>
          <t>Thân vát ngược "mũi xuyên sóng", thượng tầng hình kim tự tháp</t>
        </is>
      </c>
      <c r="L7" s="41" t="inlineStr">
        <is>
          <t>Theo mùa: boss chủ lực là trùm của mùa; mini boss là sự kiện tuần</t>
        </is>
      </c>
    </row>
    <row r="8" ht="21.75" customHeight="1" s="32">
      <c r="A8" s="39" t="inlineStr">
        <is>
          <t>Cerberus · Đoàn xe ba khung</t>
        </is>
      </c>
      <c r="B8" s="39" t="inlineStr">
        <is>
          <t>Mini</t>
        </is>
      </c>
      <c r="C8" s="39" t="inlineStr">
        <is>
          <t>Mùa đất liền</t>
        </is>
      </c>
      <c r="D8" s="42" t="n">
        <v>11000</v>
      </c>
      <c r="E8" s="42" t="n">
        <v>340</v>
      </c>
      <c r="F8" s="39" t="inlineStr">
        <is>
          <t>3 xe nối nhau: đầu kéo (pháo 125 mm), giữa (phòng không), sau (rốc-két)</t>
        </is>
      </c>
      <c r="G8" s="39" t="inlineStr">
        <is>
          <t>Không có (mini boss)</t>
        </is>
      </c>
      <c r="H8" s="39" t="inlineStr">
        <is>
          <t>Phá xe giữa trước thì hai xe kia mất phòng không; phá đầu kéo thì cả đoàn đứng yên</t>
        </is>
      </c>
      <c r="I8" s="39" t="inlineStr">
        <is>
          <t>Đoàn xe tải quân sự nối rơ-moóc</t>
        </is>
      </c>
      <c r="J8" s="39" t="inlineStr">
        <is>
          <t>Mad Max, C&amp;C (xe hộ tống)</t>
        </is>
      </c>
      <c r="K8" s="39" t="inlineStr">
        <is>
          <t>Ba xe bánh lớn nối bằng khớp, mỗi xe một vũ khí</t>
        </is>
      </c>
      <c r="L8" s="39" t="inlineStr">
        <is>
          <t>Theo mùa: boss chủ lực là trùm của mùa; mini boss là sự kiện tuần</t>
        </is>
      </c>
    </row>
    <row r="9" ht="21.75" customHeight="1" s="32">
      <c r="A9" s="41" t="inlineStr">
        <is>
          <t>Hydra · Tàu ngầm mang drone</t>
        </is>
      </c>
      <c r="B9" s="41" t="inlineStr">
        <is>
          <t>Mini</t>
        </is>
      </c>
      <c r="C9" s="41" t="inlineStr">
        <is>
          <t>Mùa hải quân</t>
        </is>
      </c>
      <c r="D9" s="43" t="n">
        <v>11500</v>
      </c>
      <c r="E9" s="43" t="n">
        <v>300</v>
      </c>
      <c r="F9" s="41" t="inlineStr">
        <is>
          <t>Nổi lên thả 6 drone FPV, AK-630</t>
        </is>
      </c>
      <c r="G9" s="41" t="inlineStr">
        <is>
          <t>Không có (mini boss)</t>
        </is>
      </c>
      <c r="H9" s="41" t="inlineStr">
        <is>
          <t>Lặn/nổi như Typhon nhưng nhanh hơn; chỉ bắn được khi nổi</t>
        </is>
      </c>
      <c r="I9" s="41" t="inlineStr">
        <is>
          <t>Tàu ngầm mang UUV/drone (khái niệm)</t>
        </is>
      </c>
      <c r="J9" s="41" t="inlineStr">
        <is>
          <t>Battlestations: Pacific</t>
        </is>
      </c>
      <c r="K9" s="41" t="inlineStr">
        <is>
          <t>Tàu ngầm nhỏ hơn Typhon, có ống phóng dọc trên lưng</t>
        </is>
      </c>
      <c r="L9" s="41" t="inlineStr">
        <is>
          <t>Theo mùa: boss chủ lực là trùm của mùa; mini boss là sự kiện tuần</t>
        </is>
      </c>
    </row>
  </sheetData>
  <autoFilter ref="A1:L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6" customWidth="1" style="31" min="1" max="1"/>
    <col width="12" customWidth="1" style="31" min="2" max="2"/>
    <col width="10" customWidth="1" style="31" min="3" max="3"/>
    <col width="90" customWidth="1" style="31" min="4" max="4"/>
  </cols>
  <sheetData>
    <row r="1" ht="42" customHeight="1" s="32">
      <c r="A1" s="37" t="inlineStr">
        <is>
          <t>Thông số</t>
        </is>
      </c>
      <c r="B1" s="37" t="inlineStr">
        <is>
          <t>Giá trị</t>
        </is>
      </c>
      <c r="C1" s="37" t="inlineStr">
        <is>
          <t>Đơn vị</t>
        </is>
      </c>
      <c r="D1" s="37" t="inlineStr">
        <is>
          <t>Ghi chú</t>
        </is>
      </c>
    </row>
    <row r="2" ht="15" customHeight="1" s="32">
      <c r="A2" s="39" t="inlineStr">
        <is>
          <t>Map thường (cạnh)</t>
        </is>
      </c>
      <c r="B2" s="42" t="n">
        <v>300</v>
      </c>
      <c r="C2" s="39" t="inlineStr">
        <is>
          <t>m</t>
        </is>
      </c>
      <c r="D2" s="39" t="inlineStr">
        <is>
          <t>Giữ cứ điểm, Tử chiến, Vua đồi, Công phá, Sinh tồn, Săn trùm</t>
        </is>
      </c>
    </row>
    <row r="3" ht="15" customHeight="1" s="32">
      <c r="A3" s="41" t="inlineStr">
        <is>
          <t>Map dài (chiều dài)</t>
        </is>
      </c>
      <c r="B3" s="43" t="n">
        <v>475</v>
      </c>
      <c r="C3" s="41" t="inlineStr">
        <is>
          <t>m</t>
        </is>
      </c>
      <c r="D3" s="41" t="inlineStr">
        <is>
          <t>Công thành, Phòng thủ, Vô tận, Pháo đài tuần (450–500 m)</t>
        </is>
      </c>
    </row>
    <row r="4" ht="15" customHeight="1" s="32">
      <c r="A4" s="39" t="inlineStr">
        <is>
          <t>Tỷ lệ kích thước xe mặt đất</t>
        </is>
      </c>
      <c r="B4" s="42" t="n">
        <v>0.8</v>
      </c>
      <c r="C4" s="39" t="inlineStr">
        <is>
          <t>× thật</t>
        </is>
      </c>
      <c r="D4" s="39" t="inlineStr">
        <is>
          <t>Trung vị hiện tại ~0,82; dùng chung cho mọi xe mặt đất</t>
        </is>
      </c>
    </row>
    <row r="5" ht="15" customHeight="1" s="32">
      <c r="A5" s="41" t="inlineStr">
        <is>
          <t>Tỷ lệ kích thước máy bay, trực thăng</t>
        </is>
      </c>
      <c r="B5" s="43" t="n">
        <v>0.4</v>
      </c>
      <c r="C5" s="41" t="inlineStr">
        <is>
          <t>× thật</t>
        </is>
      </c>
      <c r="D5" s="41" t="inlineStr">
        <is>
          <t>Trung vị hiện tại ~0,38; máy bay nhỏ hơn để không che map</t>
        </is>
      </c>
    </row>
    <row r="6" ht="15" customHeight="1" s="32">
      <c r="A6" s="39" t="inlineStr">
        <is>
          <t>Hệ số tốc độ xe xích</t>
        </is>
      </c>
      <c r="B6" s="42" t="n">
        <v>0.33</v>
      </c>
      <c r="C6" s="39" t="inlineStr">
        <is>
          <t>× tốc độ thật</t>
        </is>
      </c>
      <c r="D6" s="39" t="inlineStr">
        <is>
          <t>Tăng chủ lực 68 km/h ≈ 6,2 m/s</t>
        </is>
      </c>
    </row>
    <row r="7" ht="15" customHeight="1" s="32">
      <c r="A7" s="41" t="inlineStr">
        <is>
          <t>Hệ số tốc độ xe bánh</t>
        </is>
      </c>
      <c r="B7" s="43" t="n">
        <v>0.4</v>
      </c>
      <c r="C7" s="41" t="inlineStr">
        <is>
          <t>× tốc độ thật</t>
        </is>
      </c>
      <c r="D7" s="41" t="inlineStr">
        <is>
          <t>Xe bánh chạy nhanh hơn xe xích rõ rệt</t>
        </is>
      </c>
    </row>
    <row r="8" ht="15" customHeight="1" s="32">
      <c r="A8" s="39" t="inlineStr">
        <is>
          <t>Hệ số tốc độ trực thăng</t>
        </is>
      </c>
      <c r="B8" s="42" t="n">
        <v>0.17</v>
      </c>
      <c r="C8" s="39" t="inlineStr">
        <is>
          <t>× tốc độ thật</t>
        </is>
      </c>
      <c r="D8" s="39" t="inlineStr">
        <is>
          <t>Apache 265 km/h ≈ 12,5 m/s</t>
        </is>
      </c>
    </row>
    <row r="9" ht="15" customHeight="1" s="32">
      <c r="A9" s="41" t="inlineStr">
        <is>
          <t>Hệ số tốc độ máy bay</t>
        </is>
      </c>
      <c r="B9" s="43" t="n">
        <v>0.16</v>
      </c>
      <c r="C9" s="41" t="inlineStr">
        <is>
          <t>× tốc độ thật</t>
        </is>
      </c>
      <c r="D9" s="41" t="inlineStr">
        <is>
          <t>Su-27 900 km/h ≈ 40 m/s</t>
        </is>
      </c>
    </row>
    <row r="10" ht="15" customHeight="1" s="32">
      <c r="A10" s="39" t="inlineStr">
        <is>
          <t>Tầm pháo tăng trong game</t>
        </is>
      </c>
      <c r="B10" s="42" t="n">
        <v>34</v>
      </c>
      <c r="C10" s="39" t="inlineStr">
        <is>
          <t>m</t>
        </is>
      </c>
      <c r="D10" s="39" t="inlineStr">
        <is>
          <t>Ngoài đời ~2.500 m</t>
        </is>
      </c>
    </row>
    <row r="11" ht="15" customHeight="1" s="32">
      <c r="A11" s="41" t="inlineStr">
        <is>
          <t>Tỷ lệ nén tầm (pháo tăng)</t>
        </is>
      </c>
      <c r="B11" s="41">
        <f>2500/B10</f>
        <v/>
      </c>
      <c r="C11" s="41" t="inlineStr">
        <is>
          <t>lần</t>
        </is>
      </c>
      <c r="D11" s="41" t="inlineStr">
        <is>
          <t>Tầm bị nén rất mạnh so với kích thước (0,8×): khoảng cách giữa hai xe tăng đấu nhau chỉ ~5 thân xe</t>
        </is>
      </c>
    </row>
    <row r="12" ht="15" customHeight="1" s="32">
      <c r="A12" s="39" t="inlineStr">
        <is>
          <t>Tăng chủ lực chạy hết map thường</t>
        </is>
      </c>
      <c r="B12" s="39">
        <f>B2/6</f>
        <v/>
      </c>
      <c r="C12" s="39" t="inlineStr">
        <is>
          <t>s</t>
        </is>
      </c>
      <c r="D12" s="39" t="inlineStr">
        <is>
          <t>Tốc độ 6 m/s</t>
        </is>
      </c>
    </row>
    <row r="13" ht="15" customHeight="1" s="32">
      <c r="A13" s="41" t="inlineStr">
        <is>
          <t>Tiêm kích bay hết map thường</t>
        </is>
      </c>
      <c r="B13" s="41">
        <f>B2/40</f>
        <v/>
      </c>
      <c r="C13" s="41" t="inlineStr">
        <is>
          <t>s</t>
        </is>
      </c>
      <c r="D13" s="41" t="inlineStr">
        <is>
          <t>Tốc độ 40 m/s</t>
        </is>
      </c>
    </row>
    <row r="14" ht="15" customHeight="1" s="32">
      <c r="A14" s="39" t="inlineStr">
        <is>
          <t>Tên lửa phòng không cần nhanh hơn tiêm kích</t>
        </is>
      </c>
      <c r="B14" s="39">
        <f>40*1.3</f>
        <v/>
      </c>
      <c r="C14" s="39" t="inlineStr">
        <is>
          <t>m/s</t>
        </is>
      </c>
      <c r="D14" s="39" t="inlineStr">
        <is>
          <t>Tối thiểu 1,3 lần mục tiêu để bắt kịp</t>
        </is>
      </c>
    </row>
    <row r="15" ht="42.75" customHeight="1" s="32">
      <c r="A15" s="41" t="inlineStr">
        <is>
          <t>Kết luận</t>
        </is>
      </c>
      <c r="B15" s="41" t="n"/>
      <c r="C15" s="41" t="n"/>
      <c r="D15" s="41" t="inlineStr">
        <is>
          <t>Không thể theo tầm thật (sẽ vượt cả map). Nguyên tắc: kích thước theo tỷ lệ cố định; tốc độ theo hệ số từng loại; tầm và tầm nhìn giữ trong khoảng 15–180 m, sắp theo thứ tự thật (súng máy &lt; pháo tự động &lt; pháo tăng &lt; tên lửa chống tăng &lt; cối &lt; lựu pháo &lt; pháo phản lực &lt; tên lửa); tên lửa phòng không nhanh hơn mục tiêu; thời gian bay 0,6–2 s cho tên lửa thường.</t>
        </is>
      </c>
    </row>
  </sheetData>
  <autoFilter ref="A1:D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31" min="1" max="1"/>
    <col width="150" customWidth="1" style="31" min="2" max="2"/>
  </cols>
  <sheetData>
    <row r="1" ht="42" customHeight="1" s="32">
      <c r="A1" s="37" t="inlineStr">
        <is>
          <t>Mục</t>
        </is>
      </c>
      <c r="B1" s="37" t="inlineStr">
        <is>
          <t>Hướng dẫn cho agent dựng model (để ra sản phẩm chất lượng cao)</t>
        </is>
      </c>
    </row>
    <row r="2" ht="15" customHeight="1" s="32">
      <c r="A2" s="39" t="inlineStr">
        <is>
          <t>Mục tiêu</t>
        </is>
      </c>
      <c r="B2" s="39" t="inlineStr">
        <is>
          <t>Mỗi xe, tháp, boss phải nhận ra được ngay ở zoom mặc định trên điện thoại (camera chéo 45–60°), nhìn giống khí tài thật đủ để người chơi nhận ra loại, nhưng không phải bản sao có thương hiệu.</t>
        </is>
      </c>
    </row>
    <row r="3" ht="32.25" customHeight="1" s="32">
      <c r="A3" s="41" t="inlineStr">
        <is>
          <t>Quy trình</t>
        </is>
      </c>
      <c r="B3" s="41" t="inlineStr">
        <is>
          <t>1) Đọc cột "Hình dạng (cho AI vẽ)" và kích thước đề xuất. 2) Tìm ảnh tham chiếu của mẫu thật ở 4 góc (trước, bên, trên, 3/4). 3) Chặn khối lớn (thân, tháp, nòng, bánh/xích) đúng tỷ lệ trước, chưa thêm chi tiết. 4) Render thử ở camera trong game, so bóng (silhouette) với các xe cùng lớp. 5) Mới thêm chi tiết vừa (cửa, ống khói, hộp đạn, ăng-ten). 6) Làm bản vỡ và bản LOD. 7) Chụp ảnh so sánh trước/sau lưu vào docs/ui-screens/.</t>
        </is>
      </c>
    </row>
    <row r="4" ht="21.75" customHeight="1" s="32">
      <c r="A4" s="39" t="inlineStr">
        <is>
          <t>Bóng trước, chi tiết sau</t>
        </is>
      </c>
      <c r="B4" s="39" t="inlineStr">
        <is>
          <t>Người chơi nhận ra xe nhờ bóng nhìn từ trên xuống. Mỗi xe phải có 1–2 đặc điểm nhận dạng lớn nêu trong cột Hình dạng (ví dụ nòng rất dài, 2 nòng song song, đĩa radar, mái rùa). Nếu tô đen toàn bộ model mà vẫn nhận ra được xe là đạt.</t>
        </is>
      </c>
    </row>
    <row r="5" ht="15" customHeight="1" s="32">
      <c r="A5" s="41" t="inlineStr">
        <is>
          <t>Phóng đại có chủ đích</t>
        </is>
      </c>
      <c r="B5" s="41" t="inlineStr">
        <is>
          <t>Phóng đại khoảng 10–20% các bộ phận nhận dạng: nòng pháo, tháp, bệ tên lửa, đĩa radar, rô-to. Không phóng đại thân xe (giữ đúng tỷ lệ 0,8 × thật cho mặt đất, 0,4 × cho máy bay).</t>
        </is>
      </c>
    </row>
    <row r="6" ht="21.75" customHeight="1" s="32">
      <c r="A6" s="39" t="inlineStr">
        <is>
          <t>Tỷ lệ</t>
        </is>
      </c>
      <c r="B6" s="39" t="inlineStr">
        <is>
          <t>Mặt đất 0,8 × thật; máy bay, trực thăng 0,4 × thật; đạn phóng từ mặt đất 0,8 ×, từ máy bay 0,5 ×, tối thiểu 0,8 m; boss ×1,3–1,5 so với mẫu gốc. Trong cùng lớp, thứ tự to nhỏ phải đúng như ngoài đời (tăng chủ lực dài hơn xe bộ binh; Su-27 dài hơn Su-25; tăng hai nòng to hơn tăng chủ lực).</t>
        </is>
      </c>
    </row>
    <row r="7" ht="15" customHeight="1" s="32">
      <c r="A7" s="41" t="inlineStr">
        <is>
          <t>Chi tiết nhỏ</t>
        </is>
      </c>
      <c r="B7" s="41" t="inlineStr">
        <is>
          <t>Không làm chi tiết mỏng dưới 0,1 m (dây, lan can mảnh) vì sẽ nhấp nháy trên điện thoại; thay bằng texture. Vát cạnh (bevel) nhẹ mọi cạnh lớn để bắt sáng.</t>
        </is>
      </c>
    </row>
    <row r="8" ht="21.75" customHeight="1" s="32">
      <c r="A8" s="39" t="inlineStr">
        <is>
          <t>Ngân sách</t>
        </is>
      </c>
      <c r="B8" s="39" t="inlineStr">
        <is>
          <t>Khởi điểm: xe nhẹ 1.500–3.000 tam giác; xe tăng 3.000–5.000; máy bay 2.000–4.000; tháp 1.500–3.500; boss 15.000–40.000 (chia bộ phận). LOD1 khoảng 50%, LOD2 khoảng 20%. Texture 512–1024 px, dùng chung atlas theo phe.</t>
        </is>
      </c>
    </row>
    <row r="9" ht="21.75" customHeight="1" s="32">
      <c r="A9" s="41" t="inlineStr">
        <is>
          <t>Vật liệu và màu</t>
        </is>
      </c>
      <c r="B9" s="41" t="inlineStr">
        <is>
          <t>PBR đơn giản (màu nền, độ nhám, kim loại). Màu nền ngụy trang theo phe và biome; vạch màu phe trên nóc và hai hông (theo token giao diện) nhìn rõ ở đồ họa Thấp. Bẩn và trầy nhẹ ở mép, bánh xích, đáy xe. Không dùng phù hiệu, cờ, logo quốc gia hay nhà sản xuất thật.</t>
        </is>
      </c>
    </row>
    <row r="10" ht="15" customHeight="1" s="32">
      <c r="A10" s="39" t="inlineStr">
        <is>
          <t>Điểm gắn</t>
        </is>
      </c>
      <c r="B10" s="39" t="inlineStr">
        <is>
          <t>Đặt và đặt tên điểm gắn cho mọi vũ khí (tâm xoay tháp, đầu nòng, điểm phóng tên lửa), điểm khói xả, điểm bị cháy, điểm thả dù; khớp với dữ liệu vũ khí để hiệu ứng bắn ra đúng chỗ.</t>
        </is>
      </c>
    </row>
    <row r="11" ht="15" customHeight="1" s="32">
      <c r="A11" s="41" t="inlineStr">
        <is>
          <t>Bộ phận boss</t>
        </is>
      </c>
      <c r="B11" s="41" t="inlineStr">
        <is>
          <t>Mỗi bộ phận phá được là một khối riêng có bản nguyên và bản vỡ; bộ phận quan trọng (tháp chính, động cơ, cửa xưởng) phải to và dễ nhắm. Boss có vạch màu và ký hiệu của tướng sở hữu.</t>
        </is>
      </c>
    </row>
    <row r="12" ht="15" customHeight="1" s="32">
      <c r="A12" s="39" t="inlineStr">
        <is>
          <t>Nhánh và hạng</t>
        </is>
      </c>
      <c r="B12" s="39" t="inlineStr">
        <is>
          <t>Hai nhánh hạng 7 của mỗi tháp phải khác nhau về hình dạng mô-đun vũ khí (xem cột Hình dạng ở sheet Công trình). Hạng 1–6 thêm chi tiết nhỏ theo hạng (vạch hạng, ốp giáp ở hạng 3 và 5).</t>
        </is>
      </c>
    </row>
    <row r="13" ht="21.75" customHeight="1" s="32">
      <c r="A13" s="41" t="inlineStr">
        <is>
          <t>Kiểm tra chất lượng</t>
        </is>
      </c>
      <c r="B13" s="41" t="inlineStr">
        <is>
          <t>Trước khi nộp: (1) ảnh bóng đen từ trên xuống nhận ra được; (2) so kích thước với xe cùng lớp đúng thứ tự; (3) không có mặt lật, lỗ hở, texture kéo giãn; (4) đo số tam giác trong ngân sách; (5) chạy test xe kẹt sau khi đổi vùng va chạm; (6) chụp ảnh ở đồ họa Thấp và Cao.</t>
        </is>
      </c>
    </row>
    <row r="14" ht="32.25" customHeight="1" s="32">
      <c r="A14" s="39" t="inlineStr">
        <is>
          <t>Mẫu prompt cho agent</t>
        </is>
      </c>
      <c r="B14" s="39" t="inlineStr">
        <is>
          <t>"Dựng model &lt;tên&gt; cho Machine Brigade. Hình dạng: &lt;cột Hình dạng&gt;. Kích thước: &lt;dài × rộng × cao&gt; m. Tham chiếu: &lt;mẫu thật&gt;. Đặc điểm nhận dạng phải nhìn rõ từ camera chéo 50°: &lt;1–2 đặc điểm&gt;. Phóng đại 15% nòng/tháp. Ngân sách &lt;n&gt; tam giác, LOD1/LOD2. Vật liệu PBR, atlas phe &lt;tên phe&gt;, vạch màu phe trên nóc và hai hông. Đặt điểm gắn: &lt;danh sách&gt;. Làm bản vỡ. Không dùng phù hiệu thật. Render ảnh so sánh với &lt;xe cùng lớp&gt; và lưu vào docs/ui-screens/."</t>
        </is>
      </c>
    </row>
  </sheetData>
  <autoFilter ref="A1:B1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2026-09-30T03:36:42Z</dcterms:created>
  <dcterms:modified xsi:type="dcterms:W3CDTF">2026-10-01T13:27:41Z</dcterms:modified>
  <cp:revision>0</cp:revision>
</cp:coreProperties>
</file>